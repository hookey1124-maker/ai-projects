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近三月新品明细数据" sheetId="7" r:id="rId1"/>
    <sheet name="新品PLP数据" sheetId="9" r:id="rId2"/>
    <sheet name="过往产品销售数据" sheetId="10" r:id="rId3"/>
    <sheet name="三部月度汇总" sheetId="12" r:id="rId4"/>
    <sheet name="三部维度汇总" sheetId="13" r:id="rId5"/>
  </sheets>
  <externalReferences>
    <externalReference r:id="rId6"/>
  </externalReferences>
  <definedNames>
    <definedName name="_xlnm._FilterDatabase" localSheetId="0" hidden="1">近三月新品明细数据!$A$1:$BI$144</definedName>
    <definedName name="_xlnm._FilterDatabase" localSheetId="2" hidden="1">过往产品销售数据!$A$1:$AK$90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<sst xmlns="http://schemas.openxmlformats.org/spreadsheetml/2006/main" count="3755" uniqueCount="1495">
  <si>
    <t>销售编号</t>
  </si>
  <si>
    <t>SKU</t>
  </si>
  <si>
    <t>最新上架日期</t>
  </si>
  <si>
    <t>首次出单日期</t>
  </si>
  <si>
    <t>4月分析人</t>
  </si>
  <si>
    <t>5月分析人</t>
  </si>
  <si>
    <t>品类</t>
  </si>
  <si>
    <t>产品拓展</t>
  </si>
  <si>
    <t>4月分析频次</t>
  </si>
  <si>
    <t>5月分析频次</t>
  </si>
  <si>
    <t>4月 8日出单</t>
  </si>
  <si>
    <t>5月 8日出单</t>
  </si>
  <si>
    <t>4月市场状态</t>
  </si>
  <si>
    <t>5月市场状态</t>
  </si>
  <si>
    <t>4月销量</t>
  </si>
  <si>
    <t>5月销量</t>
  </si>
  <si>
    <t>4月销售额</t>
  </si>
  <si>
    <t>5月销售额</t>
  </si>
  <si>
    <t>4月对手出单</t>
  </si>
  <si>
    <t>5月对手出单</t>
  </si>
  <si>
    <t>4月市容</t>
  </si>
  <si>
    <t>5月市容</t>
  </si>
  <si>
    <t>4月市占比</t>
  </si>
  <si>
    <t>5月市占比</t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</si>
  <si>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广告销量</t>
    </r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</si>
  <si>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广告销售额</t>
    </r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</si>
  <si>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广告花费</t>
    </r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</si>
  <si>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ACOS1</t>
    </r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</si>
  <si>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ACOAS</t>
    </r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</si>
  <si>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广告销量</t>
    </r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</si>
  <si>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广告销售额</t>
    </r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</si>
  <si>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广告花费</t>
    </r>
  </si>
  <si>
    <r>
      <rPr>
        <b/>
        <sz val="11"/>
        <color theme="1"/>
        <rFont val="宋体"/>
        <charset val="134"/>
      </rPr>
      <t>5月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ACOS1</t>
    </r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</si>
  <si>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PLP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ACOAS</t>
    </r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</si>
  <si>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PLG</t>
    </r>
    <r>
      <rPr>
        <b/>
        <sz val="11"/>
        <color theme="1"/>
        <rFont val="宋体"/>
        <charset val="134"/>
      </rPr>
      <t>广告花费</t>
    </r>
  </si>
  <si>
    <t>4月 PLG广告销售额</t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</si>
  <si>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PLG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ACOS</t>
    </r>
  </si>
  <si>
    <r>
      <rPr>
        <b/>
        <sz val="11"/>
        <color rgb="FF000000"/>
        <rFont val="Microsoft YaHei"/>
        <charset val="134"/>
      </rPr>
      <t>4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PLG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ACOAS</t>
    </r>
  </si>
  <si>
    <t>4月 总广告ACOAS</t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</si>
  <si>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PLG</t>
    </r>
    <r>
      <rPr>
        <b/>
        <sz val="11"/>
        <color theme="1"/>
        <rFont val="宋体"/>
        <charset val="134"/>
      </rPr>
      <t>广告花费</t>
    </r>
  </si>
  <si>
    <t>5月 PLG广告销售额</t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</si>
  <si>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PLG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ACOS</t>
    </r>
  </si>
  <si>
    <r>
      <rPr>
        <b/>
        <sz val="11"/>
        <color rgb="FF000000"/>
        <rFont val="Microsoft YaHei"/>
        <charset val="134"/>
      </rPr>
      <t>5</t>
    </r>
    <r>
      <rPr>
        <b/>
        <sz val="11"/>
        <color theme="1"/>
        <rFont val="宋体"/>
        <charset val="134"/>
      </rPr>
      <t>月</t>
    </r>
    <r>
      <rPr>
        <b/>
        <sz val="11"/>
        <color theme="1"/>
        <rFont val="Calibri"/>
        <charset val="134"/>
      </rPr>
      <t xml:space="preserve"> PLG</t>
    </r>
    <r>
      <rPr>
        <b/>
        <sz val="11"/>
        <color theme="1"/>
        <rFont val="宋体"/>
        <charset val="134"/>
      </rPr>
      <t>广告</t>
    </r>
    <r>
      <rPr>
        <b/>
        <sz val="11"/>
        <color theme="1"/>
        <rFont val="Calibri"/>
        <charset val="134"/>
      </rPr>
      <t>ACOAS</t>
    </r>
  </si>
  <si>
    <t>5月 总广告ACOAS</t>
  </si>
  <si>
    <t>LYAP-X1658</t>
  </si>
  <si>
    <t>朱培源</t>
  </si>
  <si>
    <t>Y</t>
  </si>
  <si>
    <t>无市场</t>
  </si>
  <si>
    <t>正常</t>
  </si>
  <si>
    <t>LYAP-X1658L</t>
  </si>
  <si>
    <t>LYAP-X1658R</t>
  </si>
  <si>
    <t>LYAP-X1800-1</t>
  </si>
  <si>
    <t>胡煜星</t>
  </si>
  <si>
    <t>竞争无优势</t>
  </si>
  <si>
    <t>LYAP-X1877</t>
  </si>
  <si>
    <t>LYAP-X2528</t>
  </si>
  <si>
    <t>LYAM-X2254-L</t>
  </si>
  <si>
    <t>张潇</t>
  </si>
  <si>
    <t>N</t>
  </si>
  <si>
    <t>LYAM-X2980-BK</t>
  </si>
  <si>
    <t>LYAM-X2980-GR</t>
  </si>
  <si>
    <t>LYAP-X2308</t>
  </si>
  <si>
    <t>LYAP-X2527</t>
  </si>
  <si>
    <t>LYAP-X1800-1L</t>
  </si>
  <si>
    <t>LYAP-X1800-1R</t>
  </si>
  <si>
    <t>LYAM-X2896</t>
  </si>
  <si>
    <t>LYAP-X2170</t>
  </si>
  <si>
    <t>LYAP-X2190-L</t>
  </si>
  <si>
    <t>LYAP-X2190-R</t>
  </si>
  <si>
    <t>LYAP-X1642-GR</t>
  </si>
  <si>
    <t>俞东旭</t>
  </si>
  <si>
    <t>LYAP-X1911-BK</t>
  </si>
  <si>
    <t>LYAP-X1911-C</t>
  </si>
  <si>
    <t>LYAP-X1927</t>
  </si>
  <si>
    <t>LYAP-X1934</t>
  </si>
  <si>
    <t>LYAP-X2148-1L</t>
  </si>
  <si>
    <t>王偲涵</t>
  </si>
  <si>
    <t>站外出单</t>
  </si>
  <si>
    <t>LYAP-X2148-1R</t>
  </si>
  <si>
    <t>LYAP-X2289</t>
  </si>
  <si>
    <t>LYAP-X2418</t>
  </si>
  <si>
    <t>章鹏</t>
  </si>
  <si>
    <t>MD-002-FL</t>
  </si>
  <si>
    <t>MD-002-FR</t>
  </si>
  <si>
    <t>MD-002-RL</t>
  </si>
  <si>
    <t>MD-002-RR</t>
  </si>
  <si>
    <t>LYAM-X2862</t>
  </si>
  <si>
    <t>LYAP-X1651-1L</t>
  </si>
  <si>
    <t>LYAP-X1651-1R</t>
  </si>
  <si>
    <t>LYAP-X1676</t>
  </si>
  <si>
    <t>LYAP-X2417</t>
  </si>
  <si>
    <t>MD-001-FL</t>
  </si>
  <si>
    <t>LYAP-X1788-GR</t>
  </si>
  <si>
    <t>LYAP-X1808</t>
  </si>
  <si>
    <t>LYAP-X1879</t>
  </si>
  <si>
    <t>LYAP-X2429</t>
  </si>
  <si>
    <t>LYAP-X2523</t>
  </si>
  <si>
    <t>LYAP-X2530</t>
  </si>
  <si>
    <t>MD-001-FR</t>
  </si>
  <si>
    <t>MD-001-RL</t>
  </si>
  <si>
    <t>MD-001-RR</t>
  </si>
  <si>
    <t>LYAP-X2144-1</t>
  </si>
  <si>
    <t>LYAP-X2144-1L</t>
  </si>
  <si>
    <t>未出单</t>
  </si>
  <si>
    <t>LYAP-X2144-1R</t>
  </si>
  <si>
    <t>LYAP-X1665-1</t>
  </si>
  <si>
    <t>市场无出单</t>
  </si>
  <si>
    <t>LYAP-X1872</t>
  </si>
  <si>
    <t>LYAP-X1878</t>
  </si>
  <si>
    <t>LYAP-X2130-1</t>
  </si>
  <si>
    <t>LYAP-X2130-2</t>
  </si>
  <si>
    <t>LYAP-X2309</t>
  </si>
  <si>
    <t>LYAP-X2313</t>
  </si>
  <si>
    <t>LYAP-X2077</t>
  </si>
  <si>
    <t>LYAP-X2085</t>
  </si>
  <si>
    <t>LYAP-838</t>
  </si>
  <si>
    <t>LYAP-X1665-2L</t>
  </si>
  <si>
    <t>LYAP-X1665-2R</t>
  </si>
  <si>
    <t>LYAP-X1788-BN</t>
  </si>
  <si>
    <t>LYAP-X2215</t>
  </si>
  <si>
    <t>LYAP-X2310</t>
  </si>
  <si>
    <t>LYAP-X2317</t>
  </si>
  <si>
    <t>LYAP-X1665-1L</t>
  </si>
  <si>
    <t>LYAP-X1665-1R</t>
  </si>
  <si>
    <t>LYAP-X1929</t>
  </si>
  <si>
    <t>LYAM-X2428-BK</t>
  </si>
  <si>
    <t>LYAP-X2504</t>
  </si>
  <si>
    <t>LYAM-X2804</t>
  </si>
  <si>
    <t>LYAP-X1963</t>
  </si>
  <si>
    <t>LYAM-X2818</t>
  </si>
  <si>
    <t>LYAM-X2428-C</t>
  </si>
  <si>
    <t>LYAP-X2307</t>
  </si>
  <si>
    <t>LYAP-X2314</t>
  </si>
  <si>
    <t>LYAP-X2319</t>
  </si>
  <si>
    <t>LYAP-X2320</t>
  </si>
  <si>
    <t>LYAP-X2324</t>
  </si>
  <si>
    <t>LYAM-X2895</t>
  </si>
  <si>
    <t>未记录</t>
  </si>
  <si>
    <t>LYAP-X2210-C</t>
  </si>
  <si>
    <t>LYAM-X2439</t>
  </si>
  <si>
    <t>LYAM-X2443</t>
  </si>
  <si>
    <t>LYAM-X2450-SL</t>
  </si>
  <si>
    <t>LYAP-X1909</t>
  </si>
  <si>
    <t>LYAP-X2042-FL</t>
  </si>
  <si>
    <t>LYAP-X2042-FR</t>
  </si>
  <si>
    <t>LYAP-X2317-L</t>
  </si>
  <si>
    <t>LYAP-X2317-R</t>
  </si>
  <si>
    <t>LYAP-X2318</t>
  </si>
  <si>
    <t>LYAP-X2385</t>
  </si>
  <si>
    <t>LYAP-X2428-3</t>
  </si>
  <si>
    <t>LYAP-X2428-2</t>
  </si>
  <si>
    <t>LYAP-X2428-1</t>
  </si>
  <si>
    <t>LYAP-X1360-1L</t>
  </si>
  <si>
    <t>LYAP-X2316</t>
  </si>
  <si>
    <t>LYAP-X2310-R</t>
  </si>
  <si>
    <t>LYAP-X2310-L</t>
  </si>
  <si>
    <t>LYAP-X2412</t>
  </si>
  <si>
    <t>LYAM-X2452-SL</t>
  </si>
  <si>
    <t>LYAM-X2460</t>
  </si>
  <si>
    <t>LYAP-X1966</t>
  </si>
  <si>
    <t>LYAM-X3058</t>
  </si>
  <si>
    <t>未上架</t>
  </si>
  <si>
    <t>LYAP-X1957</t>
  </si>
  <si>
    <t>LYAP-X2025</t>
  </si>
  <si>
    <t>LYAP-X2210-BK</t>
  </si>
  <si>
    <t>LYAP-X2470</t>
  </si>
  <si>
    <t>LYAP-X2471</t>
  </si>
  <si>
    <t>LYAP-X2472</t>
  </si>
  <si>
    <t>LYAP-X2473</t>
  </si>
  <si>
    <t>LYAM-X2414-BK</t>
  </si>
  <si>
    <t>LYAM-X2414-SL</t>
  </si>
  <si>
    <t>LYAM-X2433-BK</t>
  </si>
  <si>
    <t>LYAM-X2433-SL</t>
  </si>
  <si>
    <t>LYAM-X2450-BK</t>
  </si>
  <si>
    <t>LYAM-X2452-BK</t>
  </si>
  <si>
    <t>LYAM-X2822S</t>
  </si>
  <si>
    <t>LYAP-X1959</t>
  </si>
  <si>
    <t>LYAM-X2816S</t>
  </si>
  <si>
    <t>LYAP-X1852-L</t>
  </si>
  <si>
    <t>LYAP-X1852-R</t>
  </si>
  <si>
    <t>LYAP-X1916-L</t>
  </si>
  <si>
    <t>LYAP-X1916-R</t>
  </si>
  <si>
    <t>LYAP-X1979</t>
  </si>
  <si>
    <t>LYAM-X2430-BK</t>
  </si>
  <si>
    <t>LYAM-X2440</t>
  </si>
  <si>
    <t>LYAM-X2445</t>
  </si>
  <si>
    <t>LYAP-385</t>
  </si>
  <si>
    <t>LYAP-X1660-2L</t>
  </si>
  <si>
    <t>LYAP-X1660-2R</t>
  </si>
  <si>
    <t>LYAP-X1891</t>
  </si>
  <si>
    <t>LYAP-X1960</t>
  </si>
  <si>
    <t>LYAP-X1961</t>
  </si>
  <si>
    <t>LYAP-X1968</t>
  </si>
  <si>
    <t>LYAP-X1970</t>
  </si>
  <si>
    <t>LYAM-X2438-BK</t>
  </si>
  <si>
    <t>LYAM-X2442-BK</t>
  </si>
  <si>
    <t>LYAM-X2444</t>
  </si>
  <si>
    <t>LYAM-X2449</t>
  </si>
  <si>
    <t>LYAP-X2479</t>
  </si>
  <si>
    <t>LYAP-X2657</t>
  </si>
  <si>
    <t>LYAM-X2393-BK</t>
  </si>
  <si>
    <t>LYAM-X2430-SL</t>
  </si>
  <si>
    <t>LYAM-X2441-BK</t>
  </si>
  <si>
    <t>统计周期</t>
  </si>
  <si>
    <t>广告活动</t>
  </si>
  <si>
    <t>ID</t>
  </si>
  <si>
    <t>店铺</t>
  </si>
  <si>
    <t>PLP开始日期</t>
  </si>
  <si>
    <t>实际上架日期</t>
  </si>
  <si>
    <t>当月分析人</t>
  </si>
  <si>
    <t>广告曝光量</t>
  </si>
  <si>
    <t>广告点击量</t>
  </si>
  <si>
    <t>广告售出数</t>
  </si>
  <si>
    <t>广告花费</t>
  </si>
  <si>
    <t>广告销售额</t>
  </si>
  <si>
    <t>总销售额</t>
  </si>
  <si>
    <t>ROAS</t>
  </si>
  <si>
    <t>CVR</t>
  </si>
  <si>
    <t>CTR</t>
  </si>
  <si>
    <t>CPC</t>
  </si>
  <si>
    <t>CPA</t>
  </si>
  <si>
    <t>ACOS</t>
  </si>
  <si>
    <t>ACOAS</t>
  </si>
  <si>
    <t>是否开启PLG</t>
  </si>
  <si>
    <t>5月</t>
  </si>
  <si>
    <t>总数据</t>
  </si>
  <si>
    <t>广告链接数量：</t>
  </si>
  <si>
    <t>总数据：</t>
  </si>
  <si>
    <t>LYAP-X1929~张潇~smart</t>
  </si>
  <si>
    <t>177997475019</t>
  </si>
  <si>
    <t>gogreenbike</t>
  </si>
  <si>
    <t>机盖及附件</t>
  </si>
  <si>
    <t>原开品</t>
  </si>
  <si>
    <t>LYAP-X1927~张潇~smart~bike</t>
  </si>
  <si>
    <t>177947693144</t>
  </si>
  <si>
    <t>LYAP-X1360-1L~章鹏~smart~bike</t>
  </si>
  <si>
    <t>188330683250</t>
  </si>
  <si>
    <t>饰条</t>
  </si>
  <si>
    <t>拓展品</t>
  </si>
  <si>
    <t>LYAP-X1934~张潇~smart~via</t>
  </si>
  <si>
    <t>227255580000</t>
  </si>
  <si>
    <t>viautome</t>
  </si>
  <si>
    <t>LYAP-X2289~张潇~smart</t>
  </si>
  <si>
    <t>177947769950</t>
  </si>
  <si>
    <t>LYAP-X1934~张潇~smart~flash</t>
  </si>
  <si>
    <t>117085059550</t>
  </si>
  <si>
    <t>flashemotor</t>
  </si>
  <si>
    <t>LYAM-X2254-L~张潇~smart~xauto</t>
  </si>
  <si>
    <t>287180832245</t>
  </si>
  <si>
    <t>x-autoparts1</t>
  </si>
  <si>
    <t>车门系统</t>
  </si>
  <si>
    <t>LYAP-X2527~胡煜星~flash</t>
  </si>
  <si>
    <t>117072634866</t>
  </si>
  <si>
    <t>其他</t>
  </si>
  <si>
    <t>LYAM-X2452-SL～胡煜星~smart</t>
  </si>
  <si>
    <t>188330738159</t>
  </si>
  <si>
    <t>车身外扩件</t>
  </si>
  <si>
    <t>LYAP-X2210-C~张潇~smart</t>
  </si>
  <si>
    <t>117188996115</t>
  </si>
  <si>
    <t>LYAP-X2190系列~张潇~smart~bike</t>
  </si>
  <si>
    <t>177944141581</t>
  </si>
  <si>
    <t>LYAM-X2450-SL～胡煜星</t>
  </si>
  <si>
    <t>178088445830</t>
  </si>
  <si>
    <t>LYAM-X2433-BK~胡煜星</t>
  </si>
  <si>
    <t>188370853946</t>
  </si>
  <si>
    <t>LYAP-838~张潇~smart~bike</t>
  </si>
  <si>
    <t>177997411142</t>
  </si>
  <si>
    <t>LYAM-X2428-C~胡煜星</t>
  </si>
  <si>
    <t>188307728772</t>
  </si>
  <si>
    <t>LYAM-X2443～胡煜星</t>
  </si>
  <si>
    <t>178088440364</t>
  </si>
  <si>
    <t>LYAM-X2414-SL~胡煜星</t>
  </si>
  <si>
    <t>178124925402</t>
  </si>
  <si>
    <t>LYAP-X2530~胡煜星</t>
  </si>
  <si>
    <t>117093803059</t>
  </si>
  <si>
    <t>LYAP-X2412～胡煜星</t>
  </si>
  <si>
    <t>188330701630</t>
  </si>
  <si>
    <t>挡泥板</t>
  </si>
  <si>
    <t>LYAP-X2385~张潇</t>
  </si>
  <si>
    <t>188307751556</t>
  </si>
  <si>
    <t>LYAP-X1957~朱培源</t>
  </si>
  <si>
    <t>188364376827</t>
  </si>
  <si>
    <t>LYAP-X1960~胡煜星</t>
  </si>
  <si>
    <t>188402259880</t>
  </si>
  <si>
    <t>MD-002-RR~胡煜星</t>
  </si>
  <si>
    <t>117085067234</t>
  </si>
  <si>
    <t>LYAM-X2433-SL~胡煜星</t>
  </si>
  <si>
    <t>178124922531</t>
  </si>
  <si>
    <t>LYAP-X2317系列~胡煜星</t>
  </si>
  <si>
    <t>177997447464</t>
  </si>
  <si>
    <t>LYAP-X1968~张潇</t>
  </si>
  <si>
    <t>178149863263</t>
  </si>
  <si>
    <t>LYAP-X1959~胡煜星</t>
  </si>
  <si>
    <t>188384937724</t>
  </si>
  <si>
    <t>LYAM-X2254-L~张潇~smart~via</t>
  </si>
  <si>
    <t>227241168840</t>
  </si>
  <si>
    <t>188328124623</t>
  </si>
  <si>
    <t>LYAP-X1934~张潇~smart~bike</t>
  </si>
  <si>
    <t>188144177490</t>
  </si>
  <si>
    <t>LYAM-X2862~张潇</t>
  </si>
  <si>
    <t>177951390007</t>
  </si>
  <si>
    <t>188370871591</t>
  </si>
  <si>
    <t>LYAP-X2318~张潇</t>
  </si>
  <si>
    <t>188328132045</t>
  </si>
  <si>
    <t>LYAP-X2314~胡煜星</t>
  </si>
  <si>
    <t>188307740950</t>
  </si>
  <si>
    <t>LYAP-X1800系列~胡煜星</t>
  </si>
  <si>
    <t>227241156524</t>
  </si>
  <si>
    <t>LYAP-X1927~张潇~smart~luck</t>
  </si>
  <si>
    <t>327144336491</t>
  </si>
  <si>
    <t>lucksports-mall</t>
  </si>
  <si>
    <t>LYAP-X1970~张潇~smart~via</t>
  </si>
  <si>
    <t>227357384115</t>
  </si>
  <si>
    <t>LYAP-X1968~张潇~smart~via</t>
  </si>
  <si>
    <t>227357381996</t>
  </si>
  <si>
    <t>LYAP-X1963~朱培源</t>
  </si>
  <si>
    <t>188306721459</t>
  </si>
  <si>
    <t>LYAP-X1891~章鹏~bike</t>
  </si>
  <si>
    <t>178149840471</t>
  </si>
  <si>
    <t>LYAP-X2310系列~胡煜星</t>
  </si>
  <si>
    <t>177997435750</t>
  </si>
  <si>
    <t>LYAM-X2804~张潇</t>
  </si>
  <si>
    <t>178071423591</t>
  </si>
  <si>
    <t>牌照板支架</t>
  </si>
  <si>
    <t>LYAP-X1676~胡煜星~bike</t>
  </si>
  <si>
    <t>188167162085</t>
  </si>
  <si>
    <t>188328121506</t>
  </si>
  <si>
    <t>LYAP-X1872~张潇</t>
  </si>
  <si>
    <t>188197007336</t>
  </si>
  <si>
    <t>LYAP-X1968~张潇~smart~flash</t>
  </si>
  <si>
    <t>117208931830</t>
  </si>
  <si>
    <t>188330766999</t>
  </si>
  <si>
    <t>LYAP-X1911-C~张潇</t>
  </si>
  <si>
    <t>287199986176</t>
  </si>
  <si>
    <t>LYAP-X1916系列~章鹏~bike</t>
  </si>
  <si>
    <t>188395435756</t>
  </si>
  <si>
    <t>LYAP-X1879~朱培源</t>
  </si>
  <si>
    <t>177965595242</t>
  </si>
  <si>
    <t>LYAP-X2316~张潇~smart</t>
  </si>
  <si>
    <t>117178509718</t>
  </si>
  <si>
    <t>LYAM-X2438-BK~胡煜星~smart</t>
  </si>
  <si>
    <t>188405829710</t>
  </si>
  <si>
    <t>LYAP-X2473~张潇~smart</t>
  </si>
  <si>
    <t>178118198199</t>
  </si>
  <si>
    <t>LYAM-X2430-BK~胡煜星</t>
  </si>
  <si>
    <t>178149834463</t>
  </si>
  <si>
    <t>LYAM-X2445~胡煜星~smart</t>
  </si>
  <si>
    <t>188402233492</t>
  </si>
  <si>
    <t>188370908284</t>
  </si>
  <si>
    <t>LYAP-X1970~张潇</t>
  </si>
  <si>
    <t>188402268126</t>
  </si>
  <si>
    <t>LYAP-X2470~胡煜星</t>
  </si>
  <si>
    <t>178118166060</t>
  </si>
  <si>
    <t>LYAM-X2460～胡煜星~smart</t>
  </si>
  <si>
    <t>178090479690</t>
  </si>
  <si>
    <t>178088538756</t>
  </si>
  <si>
    <t>LYAM-X2439～胡煜星</t>
  </si>
  <si>
    <t>188328077040</t>
  </si>
  <si>
    <t>LYAP-X2319~胡煜星</t>
  </si>
  <si>
    <t>188307744865</t>
  </si>
  <si>
    <t>117169587615</t>
  </si>
  <si>
    <t>LYAP-X2025~ 章鹏~bike</t>
  </si>
  <si>
    <t>178118526210</t>
  </si>
  <si>
    <t>LYAM-X2440~胡煜星</t>
  </si>
  <si>
    <t>188402228844</t>
  </si>
  <si>
    <t>LYAP-X1979~胡煜星</t>
  </si>
  <si>
    <t>188397858058</t>
  </si>
  <si>
    <t>LYAP-X2479~张潇~smart~flash</t>
  </si>
  <si>
    <t>117210634994</t>
  </si>
  <si>
    <t>LYAP-X1961~胡煜星</t>
  </si>
  <si>
    <t>178149860321</t>
  </si>
  <si>
    <t>LYAM-X2452-BK～胡煜星~smart</t>
  </si>
  <si>
    <t>188370869619</t>
  </si>
  <si>
    <t>LYAP-X2307~胡煜星</t>
  </si>
  <si>
    <t>178072239367</t>
  </si>
  <si>
    <t>LYAM-X2449~章鹏~bike</t>
  </si>
  <si>
    <t>178152604132</t>
  </si>
  <si>
    <t>LYAP-385~章鹏~bike</t>
  </si>
  <si>
    <t>178149836206</t>
  </si>
  <si>
    <t>LYAM-X2444~章鹏~bike</t>
  </si>
  <si>
    <t>178152594239</t>
  </si>
  <si>
    <t>178090483656</t>
  </si>
  <si>
    <t>LYAP-X2210系列~张潇</t>
  </si>
  <si>
    <t>178087818624</t>
  </si>
  <si>
    <t>LYAM-X2895~章鹏</t>
  </si>
  <si>
    <t>178087821129</t>
  </si>
  <si>
    <t>188364385175</t>
  </si>
  <si>
    <t>LYAP-X1360-1L~章鹏~smart~flash</t>
  </si>
  <si>
    <t>117178501579</t>
  </si>
  <si>
    <t>LYAP-X2148-1~张潇</t>
  </si>
  <si>
    <t>117083115196</t>
  </si>
  <si>
    <t>LYAP-X2479~张潇</t>
  </si>
  <si>
    <t>178152564174</t>
  </si>
  <si>
    <t>LYAP-X1927~张潇~smart~flash</t>
  </si>
  <si>
    <t>117083094658</t>
  </si>
  <si>
    <t>178170954948</t>
  </si>
  <si>
    <t>LYAM-X2442-BK~胡煜星</t>
  </si>
  <si>
    <t>117208949133</t>
  </si>
  <si>
    <t>LYAP-X2657~张潇</t>
  </si>
  <si>
    <t>188405840004</t>
  </si>
  <si>
    <t>188395433417</t>
  </si>
  <si>
    <t>188139762062</t>
  </si>
  <si>
    <t>LYAP-X1970~张潇~smart~super</t>
  </si>
  <si>
    <t>336595920600</t>
  </si>
  <si>
    <t>superiorparts11</t>
  </si>
  <si>
    <t>117083102708</t>
  </si>
  <si>
    <t>LYAM-X2393-BK~胡煜星~smart</t>
  </si>
  <si>
    <t>178170946722</t>
  </si>
  <si>
    <t>LYAM-X2441-BK~王偲涵</t>
  </si>
  <si>
    <t>188433126075</t>
  </si>
  <si>
    <t>LYAP-X2471~胡煜星</t>
  </si>
  <si>
    <t>178118173971</t>
  </si>
  <si>
    <t>LYAP-X2130系列~张潇</t>
  </si>
  <si>
    <t>117105177776</t>
  </si>
  <si>
    <t>117105253233</t>
  </si>
  <si>
    <t>LYAP-X2308~胡煜星</t>
  </si>
  <si>
    <t>188126164114</t>
  </si>
  <si>
    <t>LYAP-X1966~朱培源</t>
  </si>
  <si>
    <t>188330773414</t>
  </si>
  <si>
    <t>LYAP-X1929~smart~统一管理6.5~GuKucheen</t>
  </si>
  <si>
    <t>227280332647</t>
  </si>
  <si>
    <t>3月分析人</t>
  </si>
  <si>
    <t>1月销量</t>
  </si>
  <si>
    <t>2月销量</t>
  </si>
  <si>
    <t>3月销量</t>
  </si>
  <si>
    <t>1月销售额</t>
  </si>
  <si>
    <t>2月销售额</t>
  </si>
  <si>
    <t>3月销售额</t>
  </si>
  <si>
    <t>1月对手出单</t>
  </si>
  <si>
    <t>2月对手出单</t>
  </si>
  <si>
    <t>3月对手出单</t>
  </si>
  <si>
    <t>1月市占比</t>
  </si>
  <si>
    <t>2月市占比</t>
  </si>
  <si>
    <t>3月市占比</t>
  </si>
  <si>
    <t>1月市容</t>
  </si>
  <si>
    <t>2月市容</t>
  </si>
  <si>
    <t>3月市容</t>
  </si>
  <si>
    <t>LYAM-X2815-1</t>
  </si>
  <si>
    <t>LYAP-X1861</t>
  </si>
  <si>
    <t>LYAP-X2057</t>
  </si>
  <si>
    <t>LYAP-X2060-1</t>
  </si>
  <si>
    <t>LYAP-X1656-1</t>
  </si>
  <si>
    <t>LYAM-X2046-R</t>
  </si>
  <si>
    <t>LYAP-X1865-1</t>
  </si>
  <si>
    <t>LYAM-X2416-BK</t>
  </si>
  <si>
    <t>LYAM-X2416-C</t>
  </si>
  <si>
    <t>LYAM-X2267-1</t>
  </si>
  <si>
    <t>LYAM-X2575-1</t>
  </si>
  <si>
    <t>LYAM-X2575-3</t>
  </si>
  <si>
    <t>LYAP-X1659-1L</t>
  </si>
  <si>
    <t>LYAP-X2131</t>
  </si>
  <si>
    <t>LYAP-X1656-1R</t>
  </si>
  <si>
    <t>LYAP-X1789-4R</t>
  </si>
  <si>
    <t>LYAP-X2040</t>
  </si>
  <si>
    <t>LYAP-X1919</t>
  </si>
  <si>
    <t>LYAM-X2046-L</t>
  </si>
  <si>
    <t>LYAP-X1914</t>
  </si>
  <si>
    <t>LYAM-X2756</t>
  </si>
  <si>
    <t>LYAP-X1662-1</t>
  </si>
  <si>
    <t>LYAP-X1640-1R</t>
  </si>
  <si>
    <t>LYAP-X1791-3L</t>
  </si>
  <si>
    <t>LYAP-X1640-1L</t>
  </si>
  <si>
    <t>LYAP-X1791-3R</t>
  </si>
  <si>
    <t>LYAM-X2305-1</t>
  </si>
  <si>
    <t>LYAP-X1662-2</t>
  </si>
  <si>
    <t>LYAP-X1908-BK</t>
  </si>
  <si>
    <t>LYAP-X1908-C</t>
  </si>
  <si>
    <t>LYAP-X1910-BK</t>
  </si>
  <si>
    <t>LYAP-X1910-C</t>
  </si>
  <si>
    <t>LYAP-X1939-1</t>
  </si>
  <si>
    <t>LYAP-X2020</t>
  </si>
  <si>
    <t>LYAP-X2021</t>
  </si>
  <si>
    <t>LYAP-X2032</t>
  </si>
  <si>
    <t>LYAP-X2081-1</t>
  </si>
  <si>
    <t>LYAP-X2081-1L</t>
  </si>
  <si>
    <t>LYAP-X2081-1R</t>
  </si>
  <si>
    <t>LYAP-X1789-4L</t>
  </si>
  <si>
    <t>LYAP-X1915</t>
  </si>
  <si>
    <t>LYAP-838-1L</t>
  </si>
  <si>
    <t>LYAP-838-1R</t>
  </si>
  <si>
    <t>LYAP-X1868</t>
  </si>
  <si>
    <t>LYAP-X1994-RL</t>
  </si>
  <si>
    <t>LYAP-X1994-RR</t>
  </si>
  <si>
    <t>LYAP-X2132</t>
  </si>
  <si>
    <t>LYAP-X1659-1R</t>
  </si>
  <si>
    <t>LYAP-X1939-1L</t>
  </si>
  <si>
    <t>LYAP-X1939-1R</t>
  </si>
  <si>
    <t>LYAM-X2800</t>
  </si>
  <si>
    <t>LYAP-X1640-1</t>
  </si>
  <si>
    <t>LYAP-X1659-1</t>
  </si>
  <si>
    <t>LYAP-941-1+LYAP-941-2</t>
  </si>
  <si>
    <t>组合件</t>
  </si>
  <si>
    <t>LYAP-X1482-2</t>
  </si>
  <si>
    <t>LYAP-X1482-3</t>
  </si>
  <si>
    <t>LYAP-X1482-4</t>
  </si>
  <si>
    <t>LYAP-X1791-4L</t>
  </si>
  <si>
    <t>LYAP-X1791-4R</t>
  </si>
  <si>
    <t>LYAP-X1787-BK</t>
  </si>
  <si>
    <t>LYAP-X1642-BK</t>
  </si>
  <si>
    <t>LYAP-X1799</t>
  </si>
  <si>
    <t>LYAM-X2575-2</t>
  </si>
  <si>
    <t>LYAM-X2753-1</t>
  </si>
  <si>
    <t>LYAM-X2753-2</t>
  </si>
  <si>
    <t>LYAM-X2266-1</t>
  </si>
  <si>
    <t>LYAM-X2575-4</t>
  </si>
  <si>
    <t>LYAM-X2732</t>
  </si>
  <si>
    <t>LYAP-X1920-BK</t>
  </si>
  <si>
    <t>LYAP-X1920-C</t>
  </si>
  <si>
    <t>LYAP-X1920-W</t>
  </si>
  <si>
    <t>LYAP-X1939-2</t>
  </si>
  <si>
    <t>LYAP-X1992</t>
  </si>
  <si>
    <t>LYAP-X1993</t>
  </si>
  <si>
    <t>LYAP-X2089</t>
  </si>
  <si>
    <t>LYAP-X2135</t>
  </si>
  <si>
    <t>LYAP-X2146</t>
  </si>
  <si>
    <t>LYAM-X2569-1</t>
  </si>
  <si>
    <t>LYAM-X2570-1</t>
  </si>
  <si>
    <t>LYAM-X2574-1</t>
  </si>
  <si>
    <t>LYAM-X2695</t>
  </si>
  <si>
    <t>LYAP-X1913</t>
  </si>
  <si>
    <t>LYAM-X2706</t>
  </si>
  <si>
    <t>LYAP-X1871</t>
  </si>
  <si>
    <t>LYAP-X2545-F</t>
  </si>
  <si>
    <t>LYAP-X2545-FL</t>
  </si>
  <si>
    <t>LYAP-X2545-FR</t>
  </si>
  <si>
    <t>LYAP-X2148-1</t>
  </si>
  <si>
    <t>LYAP-X2216</t>
  </si>
  <si>
    <t>销售编码</t>
  </si>
  <si>
    <t>在售SKU</t>
  </si>
  <si>
    <t>2026.1月我们销量</t>
  </si>
  <si>
    <t>2026.2月我们销量</t>
  </si>
  <si>
    <t>2026.3月我们销量</t>
  </si>
  <si>
    <t>2026.4月我们销量</t>
  </si>
  <si>
    <t>2026.5月我们销量</t>
  </si>
  <si>
    <t>2026.1月销售额</t>
  </si>
  <si>
    <t>2026.2月销售额</t>
  </si>
  <si>
    <t>2026.3月销售额</t>
  </si>
  <si>
    <t>2026.4月销售额</t>
  </si>
  <si>
    <t>2026.5月销售额</t>
  </si>
  <si>
    <t>2026.1月对手总量</t>
  </si>
  <si>
    <t>2026.2月对手总量</t>
  </si>
  <si>
    <t>2026.3月对手总量</t>
  </si>
  <si>
    <t>2026.4月对手总量</t>
  </si>
  <si>
    <t>2026.5月对手总量</t>
  </si>
  <si>
    <t>26.1月市占比</t>
  </si>
  <si>
    <t>26.2月市占比</t>
  </si>
  <si>
    <t>26.3月市占比</t>
  </si>
  <si>
    <t>26.4月市占比</t>
  </si>
  <si>
    <t>26.5月市占比</t>
  </si>
  <si>
    <t>统计</t>
  </si>
  <si>
    <t>LYAP-037S</t>
  </si>
  <si>
    <t>LYAP-050</t>
  </si>
  <si>
    <t>LYAP-064-2+LYAP-064S-1</t>
  </si>
  <si>
    <t>LYAP-073S</t>
  </si>
  <si>
    <t>LYAP-110</t>
  </si>
  <si>
    <t>LYAP-117S</t>
  </si>
  <si>
    <t>LYAP-126-1</t>
  </si>
  <si>
    <t>LYAP-126-2</t>
  </si>
  <si>
    <t>LYAP-131</t>
  </si>
  <si>
    <t>LYAP-144-1</t>
  </si>
  <si>
    <t>LYAP-168</t>
  </si>
  <si>
    <t>LYAP-601-1+LYAP-601-2</t>
  </si>
  <si>
    <t>LYAP-606</t>
  </si>
  <si>
    <t>LYAP-212</t>
  </si>
  <si>
    <t>LYAP-189</t>
  </si>
  <si>
    <t>LYAP-232-2</t>
  </si>
  <si>
    <t>LYCP-090S-1</t>
  </si>
  <si>
    <t>LYCP-115</t>
  </si>
  <si>
    <t>LYCP-116S</t>
  </si>
  <si>
    <t>LYCP-119-1</t>
  </si>
  <si>
    <t>LYCP-121-3</t>
  </si>
  <si>
    <t>LYCP-122-2</t>
  </si>
  <si>
    <t>LYCP-132</t>
  </si>
  <si>
    <t>LYCP-133-1</t>
  </si>
  <si>
    <t>LYCP-135</t>
  </si>
  <si>
    <t>LYCP-138</t>
  </si>
  <si>
    <t>LYAM-346</t>
  </si>
  <si>
    <t>LYCP-151</t>
  </si>
  <si>
    <t>LYAP-355</t>
  </si>
  <si>
    <t>LYAP-358</t>
  </si>
  <si>
    <t>LYAP-380</t>
  </si>
  <si>
    <t>LYAP-385-2+LYAP-385-3</t>
  </si>
  <si>
    <t>LYCP-158</t>
  </si>
  <si>
    <t>LYAP-450-1</t>
  </si>
  <si>
    <t>LYAP-484</t>
  </si>
  <si>
    <t>LYAM-486</t>
  </si>
  <si>
    <t>LYAM-488</t>
  </si>
  <si>
    <t>LYAP-508-1</t>
  </si>
  <si>
    <t>LYAP-510S</t>
  </si>
  <si>
    <t>LYAP-512S</t>
  </si>
  <si>
    <t>LYAP-519</t>
  </si>
  <si>
    <t>LYAP-529</t>
  </si>
  <si>
    <t>LYAP-534</t>
  </si>
  <si>
    <t>LYCP-114</t>
  </si>
  <si>
    <t>LYAP-538</t>
  </si>
  <si>
    <t>LYAM-117</t>
  </si>
  <si>
    <t>LYAM-117-L</t>
  </si>
  <si>
    <t>LYAM-118</t>
  </si>
  <si>
    <t>LYAM-121</t>
  </si>
  <si>
    <t>LYAM-159T</t>
  </si>
  <si>
    <t>LYAM-252</t>
  </si>
  <si>
    <t>LYAM-289</t>
  </si>
  <si>
    <t>LYAM-290-2+LYAM-290-3</t>
  </si>
  <si>
    <t>LYAM-306T</t>
  </si>
  <si>
    <t>LYAM-307T</t>
  </si>
  <si>
    <t>LYAM-343</t>
  </si>
  <si>
    <t>LYAM-347</t>
  </si>
  <si>
    <t>LYAM-348S</t>
  </si>
  <si>
    <t>LYAM-368</t>
  </si>
  <si>
    <t>LYAM-370</t>
  </si>
  <si>
    <t>LYAM-375</t>
  </si>
  <si>
    <t>LYAM-379T-1</t>
  </si>
  <si>
    <t>LYAM-382</t>
  </si>
  <si>
    <t>LYAM-398</t>
  </si>
  <si>
    <t>LYAM-438</t>
  </si>
  <si>
    <t>LYAM-453</t>
  </si>
  <si>
    <t>LYAM-456</t>
  </si>
  <si>
    <t>LYAM-462T</t>
  </si>
  <si>
    <t>LYAM-466-1</t>
  </si>
  <si>
    <t>LYAM-593</t>
  </si>
  <si>
    <t>LYAM-600</t>
  </si>
  <si>
    <t>LYAM-664</t>
  </si>
  <si>
    <t>LYAM-666</t>
  </si>
  <si>
    <t>LYAM-705</t>
  </si>
  <si>
    <t>LYAM-716-2X2</t>
  </si>
  <si>
    <t>LYAM-717-2</t>
  </si>
  <si>
    <t>LYAM-775</t>
  </si>
  <si>
    <t>LYAM-780S-3</t>
  </si>
  <si>
    <t>LYAM-781-2</t>
  </si>
  <si>
    <t>LYAM-811-1</t>
  </si>
  <si>
    <t>LYAM-831</t>
  </si>
  <si>
    <t>LYAM-874</t>
  </si>
  <si>
    <t>LYAM-888-1</t>
  </si>
  <si>
    <t>LYAM-889-1X2</t>
  </si>
  <si>
    <t>LYAM-909</t>
  </si>
  <si>
    <t>LYAM-X1057-1</t>
  </si>
  <si>
    <t>LYAM-X1057-2</t>
  </si>
  <si>
    <t>LYAM-X1070</t>
  </si>
  <si>
    <t>LYAM-X1159</t>
  </si>
  <si>
    <t>LYAM-X1245S-1</t>
  </si>
  <si>
    <t>LYAM-X1245S-2</t>
  </si>
  <si>
    <t>LYAM-X1246</t>
  </si>
  <si>
    <t>LYAM-X1247SA+LYAM-X1247SB</t>
  </si>
  <si>
    <t>LYAM-X1247SB</t>
  </si>
  <si>
    <t>LYAM-X1247SA</t>
  </si>
  <si>
    <t>LYAM-X1249</t>
  </si>
  <si>
    <t>LYAM-X1337</t>
  </si>
  <si>
    <t>LYAM-X1338</t>
  </si>
  <si>
    <t>LYAM-X1800-2-BK</t>
  </si>
  <si>
    <t>LYAM-X1869</t>
  </si>
  <si>
    <t>LYAM-X2014</t>
  </si>
  <si>
    <t>LYAP-024-MB</t>
  </si>
  <si>
    <t>LYAP-049</t>
  </si>
  <si>
    <t>LYAP-052</t>
  </si>
  <si>
    <t>LYAP-053-CB</t>
  </si>
  <si>
    <t>LYAP-053S</t>
  </si>
  <si>
    <t>LYAP-054</t>
  </si>
  <si>
    <t>LYAP-054-2</t>
  </si>
  <si>
    <t>LYAP-064S-1</t>
  </si>
  <si>
    <t>LYAP-072</t>
  </si>
  <si>
    <t>LYAP-075T-W</t>
  </si>
  <si>
    <t>LYAP-075T-C</t>
  </si>
  <si>
    <t>LYAP-075T-G</t>
  </si>
  <si>
    <t>LYAP-075T-MB</t>
  </si>
  <si>
    <t>LYAP-102</t>
  </si>
  <si>
    <t>LYAP-108T</t>
  </si>
  <si>
    <t>LYAP-109</t>
  </si>
  <si>
    <t>LYAP-154</t>
  </si>
  <si>
    <t>LYAP-161S-1</t>
  </si>
  <si>
    <t>LYAP-161-2</t>
  </si>
  <si>
    <t>LYAP-165</t>
  </si>
  <si>
    <t>LYAP-184</t>
  </si>
  <si>
    <t>LYAP-185</t>
  </si>
  <si>
    <t>LYAP-191</t>
  </si>
  <si>
    <t>LYAP-197</t>
  </si>
  <si>
    <t>LYAP-199-1</t>
  </si>
  <si>
    <t>LYAP-199-1+LYAP-199-2</t>
  </si>
  <si>
    <t>LYAP-199-2</t>
  </si>
  <si>
    <t>LYAP-201S</t>
  </si>
  <si>
    <t>LYAP-202</t>
  </si>
  <si>
    <t>LYAP-205</t>
  </si>
  <si>
    <t>LYAP-206-DK</t>
  </si>
  <si>
    <t>LYAP-207</t>
  </si>
  <si>
    <t>LYAP-208S</t>
  </si>
  <si>
    <t>LYAP-213</t>
  </si>
  <si>
    <t>LYAP-220</t>
  </si>
  <si>
    <t>LYAP-223</t>
  </si>
  <si>
    <t>LYAP-225-1+LYAP-225-2</t>
  </si>
  <si>
    <t>LYAP-231-1</t>
  </si>
  <si>
    <t>LYAP-231-2</t>
  </si>
  <si>
    <t>LYAP-232</t>
  </si>
  <si>
    <t>LYAP-232-1</t>
  </si>
  <si>
    <t>LYAP-239-1</t>
  </si>
  <si>
    <t>LYAP-239-1+LYAP-239-2</t>
  </si>
  <si>
    <t>LYAP-240</t>
  </si>
  <si>
    <t>LYAP-243S</t>
  </si>
  <si>
    <t>LYAP-244S</t>
  </si>
  <si>
    <t>LYAP-245S</t>
  </si>
  <si>
    <t>LYAP-246S</t>
  </si>
  <si>
    <t>LYAP-247</t>
  </si>
  <si>
    <t>LYAP-248S</t>
  </si>
  <si>
    <t>LYAP-251-1+LYAP-251-2+LYAP-251-3+LYAP-251-4</t>
  </si>
  <si>
    <t>LYAP-279-2+LYAP-279-3+LYAP-279-4+LYAP-279-5</t>
  </si>
  <si>
    <t>LYAP-280-1</t>
  </si>
  <si>
    <t>LYAP-280-2</t>
  </si>
  <si>
    <t>LYAP-285</t>
  </si>
  <si>
    <t>LYAP-286T</t>
  </si>
  <si>
    <t>LYAP-296S</t>
  </si>
  <si>
    <t>LYAP-304-1+LYAP-304-2</t>
  </si>
  <si>
    <t>LYAP-305-3</t>
  </si>
  <si>
    <t>LYAP-305-3+LYAP-305-1</t>
  </si>
  <si>
    <t>LYAP-312</t>
  </si>
  <si>
    <t>LYAP-314-1</t>
  </si>
  <si>
    <t>LYAP-314-1+LYAP-314-2</t>
  </si>
  <si>
    <t>LYAP-314-2</t>
  </si>
  <si>
    <t>LYAP-315</t>
  </si>
  <si>
    <t>LYAP-319</t>
  </si>
  <si>
    <t>LYAP-321</t>
  </si>
  <si>
    <t>LYAP-338-1</t>
  </si>
  <si>
    <t>LYAP-338-1+LYAP-338-2</t>
  </si>
  <si>
    <t>LYAP-338-2</t>
  </si>
  <si>
    <t>LYAP-339-1</t>
  </si>
  <si>
    <t>LYAP-339-1+LYAP-339-2</t>
  </si>
  <si>
    <t>LYAP-339-2</t>
  </si>
  <si>
    <t>LYAP-340</t>
  </si>
  <si>
    <t>LYAP-343</t>
  </si>
  <si>
    <t>LYAP-344</t>
  </si>
  <si>
    <t>LYAP-350-1S</t>
  </si>
  <si>
    <t>LYAP-350-2S</t>
  </si>
  <si>
    <t>LYAP-356-1</t>
  </si>
  <si>
    <t>LYAP-360</t>
  </si>
  <si>
    <t>LYAP-362</t>
  </si>
  <si>
    <t>LYAP-364</t>
  </si>
  <si>
    <t>LYAP-365T-2</t>
  </si>
  <si>
    <t>LYAP-366-2</t>
  </si>
  <si>
    <t>LYAP-368</t>
  </si>
  <si>
    <t>LYAP-376T-1</t>
  </si>
  <si>
    <t>LYAP-376T-2</t>
  </si>
  <si>
    <t>LYAP-378T</t>
  </si>
  <si>
    <t>LYAP-382</t>
  </si>
  <si>
    <t>LYAP-384</t>
  </si>
  <si>
    <t>LYAP-388</t>
  </si>
  <si>
    <t>LYAP-391</t>
  </si>
  <si>
    <t>LYAP-392-1</t>
  </si>
  <si>
    <t>LYAP-398</t>
  </si>
  <si>
    <t>LYAP-401S-2+LYAP-401-3</t>
  </si>
  <si>
    <t>LYAP-414S</t>
  </si>
  <si>
    <t>LYAP-415</t>
  </si>
  <si>
    <t>LYAP-416-1</t>
  </si>
  <si>
    <t>LYAP-447</t>
  </si>
  <si>
    <t>LYAP-417</t>
  </si>
  <si>
    <t>LYAP-422-1T</t>
  </si>
  <si>
    <t>LYAP-422S</t>
  </si>
  <si>
    <t>LYAP-431S</t>
  </si>
  <si>
    <t>LYAP-450-2</t>
  </si>
  <si>
    <t>LYAP-451</t>
  </si>
  <si>
    <t>LYAP-452</t>
  </si>
  <si>
    <t>LYAP-453S</t>
  </si>
  <si>
    <t>LYAP-456</t>
  </si>
  <si>
    <t>LYAP-461S</t>
  </si>
  <si>
    <t>LYAP-462</t>
  </si>
  <si>
    <t>LYAP-467S</t>
  </si>
  <si>
    <t>LYAP-471</t>
  </si>
  <si>
    <t>LYAP-473S-1+LYAP-473S-2</t>
  </si>
  <si>
    <t>LYAP-474S</t>
  </si>
  <si>
    <t>LYAP-480</t>
  </si>
  <si>
    <t>LYAP-481</t>
  </si>
  <si>
    <t>LYAP-483S</t>
  </si>
  <si>
    <t>LYAP-485</t>
  </si>
  <si>
    <t>LYAP-495</t>
  </si>
  <si>
    <t>LYAP-499S</t>
  </si>
  <si>
    <t>LYAP-508-2</t>
  </si>
  <si>
    <t>LYAP-513S</t>
  </si>
  <si>
    <t>LYAP-514</t>
  </si>
  <si>
    <t>LYAP-515S</t>
  </si>
  <si>
    <t>LYAP-516T-1</t>
  </si>
  <si>
    <t>LYAP-521S</t>
  </si>
  <si>
    <t>LYAP-522</t>
  </si>
  <si>
    <t>LYAP-524S</t>
  </si>
  <si>
    <t>LYAP-526</t>
  </si>
  <si>
    <t>LYAP-528S</t>
  </si>
  <si>
    <t>LYAP-530</t>
  </si>
  <si>
    <t>LYAP-545</t>
  </si>
  <si>
    <t>LYAP-550-1+LYAP-550-2</t>
  </si>
  <si>
    <t>LYAP-550-3+LYAP-550-4</t>
  </si>
  <si>
    <t>LYAP-592S</t>
  </si>
  <si>
    <t>LYAP-594</t>
  </si>
  <si>
    <t>SNAP-600</t>
  </si>
  <si>
    <t>SNAP-600+LYAP-312</t>
  </si>
  <si>
    <t>LYAP-613S</t>
  </si>
  <si>
    <t>LYAP-614-2</t>
  </si>
  <si>
    <t>LYAP-614-3</t>
  </si>
  <si>
    <t>LYAP-619</t>
  </si>
  <si>
    <t>LYAP-622</t>
  </si>
  <si>
    <t>LYAP-627S-1</t>
  </si>
  <si>
    <t>LYAP-628</t>
  </si>
  <si>
    <t>LYAP-633-1</t>
  </si>
  <si>
    <t>LYAP-633-2</t>
  </si>
  <si>
    <t>LYAP-636S-1</t>
  </si>
  <si>
    <t>LYAP-636S-2</t>
  </si>
  <si>
    <t>LYAP-640S-2</t>
  </si>
  <si>
    <t>LYAP-643</t>
  </si>
  <si>
    <t>LYAP-647-2</t>
  </si>
  <si>
    <t>LYAP-647-3</t>
  </si>
  <si>
    <t>LYAP-649</t>
  </si>
  <si>
    <t>LYAP-651</t>
  </si>
  <si>
    <t>LYAP-655S</t>
  </si>
  <si>
    <t>LYAP-656</t>
  </si>
  <si>
    <t>LYAP-657</t>
  </si>
  <si>
    <t>LYAP-659-1</t>
  </si>
  <si>
    <t>LYAP-665S</t>
  </si>
  <si>
    <t>LYAP-666S</t>
  </si>
  <si>
    <t>LYAP-667</t>
  </si>
  <si>
    <t>LYAP-668</t>
  </si>
  <si>
    <t>LYAP-670V-2</t>
  </si>
  <si>
    <t>LYAP-671T-1</t>
  </si>
  <si>
    <t>LYAP-671S-3</t>
  </si>
  <si>
    <t>LYAP-672</t>
  </si>
  <si>
    <t>LYAP-673S</t>
  </si>
  <si>
    <t>LYAP-676-1</t>
  </si>
  <si>
    <t>LYAP-676-2</t>
  </si>
  <si>
    <t>LYAP-678</t>
  </si>
  <si>
    <t>LYAP-679S</t>
  </si>
  <si>
    <t>LYAP-680-1</t>
  </si>
  <si>
    <t>LYAP-680-3</t>
  </si>
  <si>
    <t>LYAP-682-1</t>
  </si>
  <si>
    <t>LYAP-682-2</t>
  </si>
  <si>
    <t>LYAP-683S</t>
  </si>
  <si>
    <t>LYAP-684-2</t>
  </si>
  <si>
    <t>LYAP-687</t>
  </si>
  <si>
    <t>LYAP-689</t>
  </si>
  <si>
    <t>LYAP-693S-1</t>
  </si>
  <si>
    <t>LYAP-693S-2</t>
  </si>
  <si>
    <t>LYAP-695</t>
  </si>
  <si>
    <t>LYAP-697S</t>
  </si>
  <si>
    <t>LYAP-700S</t>
  </si>
  <si>
    <t>LYAP-703</t>
  </si>
  <si>
    <t>LYAP-706-1</t>
  </si>
  <si>
    <t>LYAP-721</t>
  </si>
  <si>
    <t>LYAP-722-1</t>
  </si>
  <si>
    <t>LYAP-723S-1</t>
  </si>
  <si>
    <t>LYAP-725</t>
  </si>
  <si>
    <t>LYAP-726</t>
  </si>
  <si>
    <t>LYAP-727-1</t>
  </si>
  <si>
    <t>LYAP-727-2</t>
  </si>
  <si>
    <t>LYAP-728</t>
  </si>
  <si>
    <t>LYAP-729</t>
  </si>
  <si>
    <t>LYAP-734-2</t>
  </si>
  <si>
    <t>LYAP-735</t>
  </si>
  <si>
    <t>LYAP-736</t>
  </si>
  <si>
    <t>LYAP-739</t>
  </si>
  <si>
    <t>LYAP-740-1</t>
  </si>
  <si>
    <t>LYAP-741</t>
  </si>
  <si>
    <t>LYAP-792S</t>
  </si>
  <si>
    <t>LYAP-794</t>
  </si>
  <si>
    <t>LYAP-796-2</t>
  </si>
  <si>
    <t>LYAP-806</t>
  </si>
  <si>
    <t>LYAP-816-1</t>
  </si>
  <si>
    <t>LYAP-816T-2</t>
  </si>
  <si>
    <t>LYAP-816T-2L</t>
  </si>
  <si>
    <t>LYAP-816T-2R</t>
  </si>
  <si>
    <t>LYAP-821S-1</t>
  </si>
  <si>
    <t>LYAP-825-3</t>
  </si>
  <si>
    <t>LYAP-830-1</t>
  </si>
  <si>
    <t>LYAP-831-1</t>
  </si>
  <si>
    <t>LYAP-871</t>
  </si>
  <si>
    <t>LYAP-876</t>
  </si>
  <si>
    <t>LYAP-877</t>
  </si>
  <si>
    <t>LYAP-878-1</t>
  </si>
  <si>
    <t>LYAP-878S-2</t>
  </si>
  <si>
    <t>LYAP-879-2</t>
  </si>
  <si>
    <t>LYAP-883-2</t>
  </si>
  <si>
    <t>LYAP-884</t>
  </si>
  <si>
    <t>LYAP-888</t>
  </si>
  <si>
    <t>LYAP-891S</t>
  </si>
  <si>
    <t>LYAP-906</t>
  </si>
  <si>
    <t>LYAP-917S-1</t>
  </si>
  <si>
    <t>LYAP-917S-2</t>
  </si>
  <si>
    <t>LYAP-940S-1</t>
  </si>
  <si>
    <t>LYAP-940S-2</t>
  </si>
  <si>
    <t>LYAP-941-1</t>
  </si>
  <si>
    <t>LYAP-972-1</t>
  </si>
  <si>
    <t>LYAP-983-1FL</t>
  </si>
  <si>
    <t>LYAP-983-2</t>
  </si>
  <si>
    <t>LYAP-989</t>
  </si>
  <si>
    <t>LYAP-990-1</t>
  </si>
  <si>
    <t>LYAP-992-1</t>
  </si>
  <si>
    <t>LYAP-993-2R</t>
  </si>
  <si>
    <t>LYAP-998-1</t>
  </si>
  <si>
    <t>LYAP-X1000-2L</t>
  </si>
  <si>
    <t>LYAP-X1000-3</t>
  </si>
  <si>
    <t>LYAP-X1000-4</t>
  </si>
  <si>
    <t>LYAP-X1001-1</t>
  </si>
  <si>
    <t>LYAP-X1010</t>
  </si>
  <si>
    <t>LYAP-X1014</t>
  </si>
  <si>
    <t>LYAP-X1017S-1</t>
  </si>
  <si>
    <t>LYAP-X1017-2</t>
  </si>
  <si>
    <t>LYAP-X1019S</t>
  </si>
  <si>
    <t>LYAP-X1020S</t>
  </si>
  <si>
    <t>LYAP-X1126</t>
  </si>
  <si>
    <t>LYAP-X1152</t>
  </si>
  <si>
    <t>LYAP-X1153</t>
  </si>
  <si>
    <t>LYAP-X1206</t>
  </si>
  <si>
    <t>LYAP-X1210</t>
  </si>
  <si>
    <t>LYAP-X1247</t>
  </si>
  <si>
    <t>LYAP-X1279-GB</t>
  </si>
  <si>
    <t>LYAP-X1286</t>
  </si>
  <si>
    <t>LYAP-X1343</t>
  </si>
  <si>
    <t>LYAP-X1344</t>
  </si>
  <si>
    <t>LYAP-X1345</t>
  </si>
  <si>
    <t>LYAP-X1346</t>
  </si>
  <si>
    <t>LYAP-X1350</t>
  </si>
  <si>
    <t>LYAP-X1351</t>
  </si>
  <si>
    <t>LYAP-X1352</t>
  </si>
  <si>
    <t>LYAP-X1358</t>
  </si>
  <si>
    <t>LYAP-X1359-1</t>
  </si>
  <si>
    <t>LYAP-X1381</t>
  </si>
  <si>
    <t>LYAP-X1384</t>
  </si>
  <si>
    <t>LYAP-X1385-BK</t>
  </si>
  <si>
    <t>LYAP-X1386</t>
  </si>
  <si>
    <t>LYAP-X1403-1</t>
  </si>
  <si>
    <t>LYAP-X1403-1L</t>
  </si>
  <si>
    <t>LYAP-X1405</t>
  </si>
  <si>
    <t>LYAP-X1406</t>
  </si>
  <si>
    <t>LYAP-X1407-1</t>
  </si>
  <si>
    <t>LYAP-X1407-4</t>
  </si>
  <si>
    <t>LYAP-X1407-5N</t>
  </si>
  <si>
    <t>LYAP-X1408-1</t>
  </si>
  <si>
    <t>LYAP-X1415-1-BK</t>
  </si>
  <si>
    <t>LYAP-X1415-1-C</t>
  </si>
  <si>
    <t>LYAP-X1415-1-W</t>
  </si>
  <si>
    <t>LYAP-X1415-3-BK-FL</t>
  </si>
  <si>
    <t>LYAP-X1421-1-C</t>
  </si>
  <si>
    <t>LYAP-X1434</t>
  </si>
  <si>
    <t>LYAP-X1435-GB</t>
  </si>
  <si>
    <t>LYAP-X1435-MB</t>
  </si>
  <si>
    <t>LYAP-X1436-CB</t>
  </si>
  <si>
    <t>LYAP-X1438-BK</t>
  </si>
  <si>
    <t>LYAP-X1438-CB</t>
  </si>
  <si>
    <t>LYAP-X1478S</t>
  </si>
  <si>
    <t>LYAP-X1482-1</t>
  </si>
  <si>
    <t>LYAP-X1489-1</t>
  </si>
  <si>
    <t>LYAP-X1489-2</t>
  </si>
  <si>
    <t>LYAP-X1489-4</t>
  </si>
  <si>
    <t>LYAP-X1489-5-BK</t>
  </si>
  <si>
    <t>LYAP-X1519</t>
  </si>
  <si>
    <t>LYAP-X1520</t>
  </si>
  <si>
    <t>LYAP-X1521</t>
  </si>
  <si>
    <t>LYAP-X1522</t>
  </si>
  <si>
    <t>LYAP-X1525</t>
  </si>
  <si>
    <t>LYAP-X1526</t>
  </si>
  <si>
    <t>LYAP-X1527</t>
  </si>
  <si>
    <t>LYAP-X1529</t>
  </si>
  <si>
    <t>SNAP-X1530</t>
  </si>
  <si>
    <t>LYAP-X1531</t>
  </si>
  <si>
    <t>LYAP-X1532-BK</t>
  </si>
  <si>
    <t>LYAP-X1533</t>
  </si>
  <si>
    <t>LYAP-X1546</t>
  </si>
  <si>
    <t>LYAP-X1547-1L</t>
  </si>
  <si>
    <t>LYAP-X1547-1R</t>
  </si>
  <si>
    <t>LYAP-X1550-1</t>
  </si>
  <si>
    <t>LYAP-X1550-1R</t>
  </si>
  <si>
    <t>LYAP-X1552-1</t>
  </si>
  <si>
    <t>LYAP-X1552-1L</t>
  </si>
  <si>
    <t>LYAP-X1552-1R</t>
  </si>
  <si>
    <t>LYAP-X1557-1</t>
  </si>
  <si>
    <t>LYAP-X1559-1</t>
  </si>
  <si>
    <t>LYAP-X1559-1L</t>
  </si>
  <si>
    <t>LYAP-X1559-1R</t>
  </si>
  <si>
    <t>LYAP-X1563-1</t>
  </si>
  <si>
    <t>LYAP-X1563-1L</t>
  </si>
  <si>
    <t>LYAP-X1563-1R</t>
  </si>
  <si>
    <t>LYAP-X1563-2</t>
  </si>
  <si>
    <t>LYAP-X1563-2R</t>
  </si>
  <si>
    <t>LYAP-X1565-1</t>
  </si>
  <si>
    <t>LYAP-X1567-1</t>
  </si>
  <si>
    <t>LYAP-X1567-1L</t>
  </si>
  <si>
    <t>LYAP-X1569-1</t>
  </si>
  <si>
    <t>LYAP-X1569-1L</t>
  </si>
  <si>
    <t>LYAP-X1569-1R</t>
  </si>
  <si>
    <t>LYAP-X1569-2</t>
  </si>
  <si>
    <t>LYAP-X1569-2L</t>
  </si>
  <si>
    <t>LYAP-X1570-1</t>
  </si>
  <si>
    <t>LYAP-X1570-1L</t>
  </si>
  <si>
    <t>LYAP-X1570-1R</t>
  </si>
  <si>
    <t>LYAP-X1571-1</t>
  </si>
  <si>
    <t>LYAP-X1573-1</t>
  </si>
  <si>
    <t>LYAP-X1573-1-L</t>
  </si>
  <si>
    <t>LYAP-X1573-1-R</t>
  </si>
  <si>
    <t>LYAP-X1574-1</t>
  </si>
  <si>
    <t>LYAP-X1574-1L</t>
  </si>
  <si>
    <t>LYAP-X1574-1R</t>
  </si>
  <si>
    <t>LYAP-X1576-1</t>
  </si>
  <si>
    <t>LYAP-X1576-1R</t>
  </si>
  <si>
    <t>LYAP-X1577-1</t>
  </si>
  <si>
    <t>LYAP-X1577-1L</t>
  </si>
  <si>
    <t>LYAP-X1577-1R</t>
  </si>
  <si>
    <t>LYAP-X1579-1</t>
  </si>
  <si>
    <t>LYAP-X1579-1L</t>
  </si>
  <si>
    <t>LYAP-X1579-1R</t>
  </si>
  <si>
    <t>LYAP-X1580-1</t>
  </si>
  <si>
    <t>LYAP-X1580-1L</t>
  </si>
  <si>
    <t>LYAP-X1580-1R</t>
  </si>
  <si>
    <t>LYAP-X1582-1</t>
  </si>
  <si>
    <t>LYAP-X1582-1-L</t>
  </si>
  <si>
    <t>LYAP-X1582-1-R</t>
  </si>
  <si>
    <t>LYAP-X1584-1</t>
  </si>
  <si>
    <t>LYAP-X1584-1L</t>
  </si>
  <si>
    <t>LYAP-X1584-1R</t>
  </si>
  <si>
    <t>LYAP-X1588-1</t>
  </si>
  <si>
    <t>LYAP-X1588-1L</t>
  </si>
  <si>
    <t>LYAP-X1588-1R</t>
  </si>
  <si>
    <t>LYAP-X1590-1</t>
  </si>
  <si>
    <t>LYAP-X1590-1L</t>
  </si>
  <si>
    <t>LYAP-X1590-1R</t>
  </si>
  <si>
    <t>LYAP-X1590-2</t>
  </si>
  <si>
    <t>LYAP-X1590-2L</t>
  </si>
  <si>
    <t>LYAP-X1590-2R</t>
  </si>
  <si>
    <t>LYAP-X1596-1</t>
  </si>
  <si>
    <t>LYAP-X1596-1L</t>
  </si>
  <si>
    <t>LYAP-X1596-1R</t>
  </si>
  <si>
    <t>LYAP-X1598-1</t>
  </si>
  <si>
    <t>LYAP-X1598-1L</t>
  </si>
  <si>
    <t>LYAP-X1598-1R</t>
  </si>
  <si>
    <t>LYAP-X1599-1</t>
  </si>
  <si>
    <t>LYAP-X1599-1L</t>
  </si>
  <si>
    <t>LYAP-X1601-1</t>
  </si>
  <si>
    <t>LYAP-X1601-1L</t>
  </si>
  <si>
    <t>LYAP-X1601-1R</t>
  </si>
  <si>
    <t>LYAP-X1603-1</t>
  </si>
  <si>
    <t>LYAP-X1603-1L</t>
  </si>
  <si>
    <t>LYAP-X1603-1R</t>
  </si>
  <si>
    <t>LYAP-X1605-1</t>
  </si>
  <si>
    <t>LYAP-X1605-1-L</t>
  </si>
  <si>
    <t>LYAP-X1607-1</t>
  </si>
  <si>
    <t>LYAP-X1607-2</t>
  </si>
  <si>
    <t>LYAP-X1607-2-R</t>
  </si>
  <si>
    <t>LYAP-X1611-1-L</t>
  </si>
  <si>
    <t>LYAP-X1611-1-R</t>
  </si>
  <si>
    <t>LYAP-X1611-2</t>
  </si>
  <si>
    <t>LYAP-X1611-2-L</t>
  </si>
  <si>
    <t>LYAP-X1611-2-R</t>
  </si>
  <si>
    <t>LYAP-X1613</t>
  </si>
  <si>
    <t>LYAP-X1614-1</t>
  </si>
  <si>
    <t>LYAP-X1616-1</t>
  </si>
  <si>
    <t>LYAP-X1620-1</t>
  </si>
  <si>
    <t>LYAP-X1620-1F-L</t>
  </si>
  <si>
    <t>LYAP-X1620-1F-R</t>
  </si>
  <si>
    <t>LYAP-X1621-1</t>
  </si>
  <si>
    <t>LYAP-X1621S-1L</t>
  </si>
  <si>
    <t>LYAP-X1621S-1R</t>
  </si>
  <si>
    <t>LYAP-X1629</t>
  </si>
  <si>
    <t>LYAP-X1631</t>
  </si>
  <si>
    <t>LYAP-X1638</t>
  </si>
  <si>
    <t>LYAP-X1643-1</t>
  </si>
  <si>
    <t>LYAP-X1643-1L</t>
  </si>
  <si>
    <t>LYAP-X1643-1R</t>
  </si>
  <si>
    <t>LYAP-X1645-1</t>
  </si>
  <si>
    <t>LYAP-X1645-1L</t>
  </si>
  <si>
    <t>LYAP-X1645-1R</t>
  </si>
  <si>
    <t>LYAP-X1646-1</t>
  </si>
  <si>
    <t>LYAP-X1646-1L</t>
  </si>
  <si>
    <t>LYAP-X1646-1R</t>
  </si>
  <si>
    <t>LYAP-X1669-1R</t>
  </si>
  <si>
    <t>LYAP-X1705</t>
  </si>
  <si>
    <t>LYCP-012</t>
  </si>
  <si>
    <t>LYCP-089S-1</t>
  </si>
  <si>
    <t>LYCP-090S-2</t>
  </si>
  <si>
    <t>LYCP-117S-2</t>
  </si>
  <si>
    <t>LYCP-117S-2+LYAP-892</t>
  </si>
  <si>
    <t>LYCP-117S-1</t>
  </si>
  <si>
    <t>LYCP-118</t>
  </si>
  <si>
    <t>LYCP-120</t>
  </si>
  <si>
    <t>LYCP-121-1</t>
  </si>
  <si>
    <t>LYCP-122-1</t>
  </si>
  <si>
    <t>LYCP-125S</t>
  </si>
  <si>
    <t>LYCP-126</t>
  </si>
  <si>
    <t>LYCP-127</t>
  </si>
  <si>
    <t>LYCP-128</t>
  </si>
  <si>
    <t>LYCP-129</t>
  </si>
  <si>
    <t>LYCP-131-2</t>
  </si>
  <si>
    <t>LYCP-134S</t>
  </si>
  <si>
    <t>LYCP-154</t>
  </si>
  <si>
    <t>LYCP-155-1</t>
  </si>
  <si>
    <t>LYCP-157S</t>
  </si>
  <si>
    <t>LYCP-166</t>
  </si>
  <si>
    <t>LYCP-181</t>
  </si>
  <si>
    <t>LYCP-183</t>
  </si>
  <si>
    <t>LYCP-184</t>
  </si>
  <si>
    <t>LYCP-186</t>
  </si>
  <si>
    <t>LYCP-190S-2</t>
  </si>
  <si>
    <t>LYCP-190T-1</t>
  </si>
  <si>
    <t>LYCP-192</t>
  </si>
  <si>
    <t>LYCP-193S</t>
  </si>
  <si>
    <t>LYCP-195</t>
  </si>
  <si>
    <t>LYCP-197</t>
  </si>
  <si>
    <t>LYCP-198S</t>
  </si>
  <si>
    <t>LYCP-200</t>
  </si>
  <si>
    <t>LYCP-201S</t>
  </si>
  <si>
    <t>LYCP-202</t>
  </si>
  <si>
    <t>LYCP-203S-1</t>
  </si>
  <si>
    <t>LYCP-203S-2</t>
  </si>
  <si>
    <t>LYCP-209</t>
  </si>
  <si>
    <t>LYCP-219</t>
  </si>
  <si>
    <t>LYCP-223</t>
  </si>
  <si>
    <t>LYHS-001L</t>
  </si>
  <si>
    <t>LYHS-001R</t>
  </si>
  <si>
    <t>LYHS-002L</t>
  </si>
  <si>
    <t>LYHS-002R</t>
  </si>
  <si>
    <t>LYHS-003L</t>
  </si>
  <si>
    <t>LYHS-003R</t>
  </si>
  <si>
    <t>LYHS-004L</t>
  </si>
  <si>
    <t>LYHS-004R</t>
  </si>
  <si>
    <t>LYHS-005L</t>
  </si>
  <si>
    <t>LYHS-005R</t>
  </si>
  <si>
    <t>LYHS-006L</t>
  </si>
  <si>
    <t>LYHS-006R</t>
  </si>
  <si>
    <t>LYHS-007L</t>
  </si>
  <si>
    <t>LYHS-007R</t>
  </si>
  <si>
    <t>LYHS-009L</t>
  </si>
  <si>
    <t>LYHS-009R</t>
  </si>
  <si>
    <t>LYHS-010SR</t>
  </si>
  <si>
    <t>LYHS-011SL</t>
  </si>
  <si>
    <t>LYHS-011SR</t>
  </si>
  <si>
    <t>LYHS-012SL</t>
  </si>
  <si>
    <t>LYHS-012R</t>
  </si>
  <si>
    <t>LYHS-013L</t>
  </si>
  <si>
    <t>LYHS-013R</t>
  </si>
  <si>
    <t>LYHS-016L</t>
  </si>
  <si>
    <t>LYHS-016R</t>
  </si>
  <si>
    <t>LYHS-017L</t>
  </si>
  <si>
    <t>LYHS-017R</t>
  </si>
  <si>
    <t>LYHS-018L</t>
  </si>
  <si>
    <t>LYHS-018R</t>
  </si>
  <si>
    <t>LYHS-019L</t>
  </si>
  <si>
    <t>LYHS-019R</t>
  </si>
  <si>
    <t>LYHS-020L</t>
  </si>
  <si>
    <t>LYHS-020R</t>
  </si>
  <si>
    <t>LYHS-028-R</t>
  </si>
  <si>
    <t>LYHS-029-L</t>
  </si>
  <si>
    <t>LYHS-029-R</t>
  </si>
  <si>
    <t>LYMIR-119-L-G</t>
  </si>
  <si>
    <t>LYMIR-119-L-S</t>
  </si>
  <si>
    <t>LYMIR-119-R-G</t>
  </si>
  <si>
    <t>LYMIR-119-R-S</t>
  </si>
  <si>
    <t>LYMIR-120-L</t>
  </si>
  <si>
    <t>LYMIR-120-R</t>
  </si>
  <si>
    <t>LYMIR-121-L</t>
  </si>
  <si>
    <t>LYMIR-122-L</t>
  </si>
  <si>
    <t>LYMIR-124L</t>
  </si>
  <si>
    <t>LYMIR-124R</t>
  </si>
  <si>
    <t>LYMIR-23S</t>
  </si>
  <si>
    <t>LYMIR-28S-1-GC</t>
  </si>
  <si>
    <t>LYMIR-29-1</t>
  </si>
  <si>
    <t>LYMIR-30-F</t>
  </si>
  <si>
    <t>LYMIR-30-R</t>
  </si>
  <si>
    <t>LYMIR-31-1</t>
  </si>
  <si>
    <t>LYMIR-31-2</t>
  </si>
  <si>
    <t>LYMIR-32</t>
  </si>
  <si>
    <t>LYMIR-33</t>
  </si>
  <si>
    <t>LYMIR-34-L</t>
  </si>
  <si>
    <t>LYMIR-34-R</t>
  </si>
  <si>
    <t>LYMIR-35-L</t>
  </si>
  <si>
    <t>LYMIR-35-R</t>
  </si>
  <si>
    <t>LYMIR-36-S</t>
  </si>
  <si>
    <t>LYMIR-37-1</t>
  </si>
  <si>
    <t>LYMIR-37-2</t>
  </si>
  <si>
    <t>LYMIR-38-1</t>
  </si>
  <si>
    <t>LYMIR-38-2</t>
  </si>
  <si>
    <t>LYMIR-39-L</t>
  </si>
  <si>
    <t>LYMIR-39-R</t>
  </si>
  <si>
    <t>LYMIR-40-L</t>
  </si>
  <si>
    <t>LYMIR-41-L</t>
  </si>
  <si>
    <t>LYMIR-41-R</t>
  </si>
  <si>
    <t>LYMIR-42-L</t>
  </si>
  <si>
    <t>LYMIR-42-R</t>
  </si>
  <si>
    <t>LYMIR-43</t>
  </si>
  <si>
    <t>LYMIR-44</t>
  </si>
  <si>
    <t>LYMIR-45-L</t>
  </si>
  <si>
    <t>LYMIR-45-R</t>
  </si>
  <si>
    <t>LYMIR-47-L</t>
  </si>
  <si>
    <t>LYMIR-47-R</t>
  </si>
  <si>
    <t>LYMIR-48-L</t>
  </si>
  <si>
    <t>LYMIR-48-R</t>
  </si>
  <si>
    <t>LYMIR-49S-L</t>
  </si>
  <si>
    <t>LYMIR-50-L</t>
  </si>
  <si>
    <t>LYMIR-50-R</t>
  </si>
  <si>
    <t>LYMIR-51-L</t>
  </si>
  <si>
    <t>LYMIR-52-L</t>
  </si>
  <si>
    <t>LYMIR-52-R</t>
  </si>
  <si>
    <t>LYMIR-53-L</t>
  </si>
  <si>
    <t>LYMIR-53-R</t>
  </si>
  <si>
    <t>LYMIR-54-L</t>
  </si>
  <si>
    <t>LYMIR-55-L</t>
  </si>
  <si>
    <t>LYMIR-55-R</t>
  </si>
  <si>
    <t>LYMIR-57S-L</t>
  </si>
  <si>
    <t>LYMIR-58-L</t>
  </si>
  <si>
    <t>LYMIR-59-L</t>
  </si>
  <si>
    <t>LYMIR-59-R</t>
  </si>
  <si>
    <t>LYMIR-66S-L</t>
  </si>
  <si>
    <t>LYMIR-66S-R</t>
  </si>
  <si>
    <t>LYMIR-67</t>
  </si>
  <si>
    <t>LYMIR-72-S</t>
  </si>
  <si>
    <t>LYMIR-73-R</t>
  </si>
  <si>
    <t>LYMIR-75</t>
  </si>
  <si>
    <t>LYMIR-76</t>
  </si>
  <si>
    <t>LYMIR-78</t>
  </si>
  <si>
    <t>LYMIR-78-L</t>
  </si>
  <si>
    <t>LYMIR-78-R</t>
  </si>
  <si>
    <t>LYMIR-80-L</t>
  </si>
  <si>
    <t>LYMIR-80-R</t>
  </si>
  <si>
    <t>LYMIR-86-G</t>
  </si>
  <si>
    <t>LYMIR-86-S</t>
  </si>
  <si>
    <t>LYMIR-87-L-DG</t>
  </si>
  <si>
    <t>LYMIR-87-R-DG</t>
  </si>
  <si>
    <t>LYMIR-88-S</t>
  </si>
  <si>
    <t>LYMIR-89S-R</t>
  </si>
  <si>
    <t>LYMIR-90</t>
  </si>
  <si>
    <t>LYMIR-91-G</t>
  </si>
  <si>
    <t>LYOP-034</t>
  </si>
  <si>
    <t>LYOP-061-1</t>
  </si>
  <si>
    <t>LYOP-061-2</t>
  </si>
  <si>
    <t>LYOP-106-1</t>
  </si>
  <si>
    <t>LYOP-106S-4</t>
  </si>
  <si>
    <t>LYPL-409</t>
  </si>
  <si>
    <t>NJ-002</t>
  </si>
  <si>
    <t>TJ-010</t>
  </si>
  <si>
    <t>TJ-011</t>
  </si>
  <si>
    <t>TJ-012</t>
  </si>
  <si>
    <t>TJ-013</t>
  </si>
  <si>
    <t>TJ-015</t>
  </si>
  <si>
    <t>XM-001S</t>
  </si>
  <si>
    <t>XM22-2</t>
  </si>
  <si>
    <t>LYAM-875</t>
  </si>
  <si>
    <t>LYAM-X1191S</t>
  </si>
  <si>
    <t>LYAP-X1689-1</t>
  </si>
  <si>
    <t>LYAP-X1689-1L</t>
  </si>
  <si>
    <t>LYAP-X1689-1R</t>
  </si>
  <si>
    <t>LYAP-X1882-GB</t>
  </si>
  <si>
    <t>LYAM-X2256</t>
  </si>
  <si>
    <t>LYAM-X2258</t>
  </si>
  <si>
    <t>LYAM-X2262</t>
  </si>
  <si>
    <t>LYAM-X2264</t>
  </si>
  <si>
    <t>LYCP-121-1-W</t>
  </si>
  <si>
    <t>LYCP-121-2-BK</t>
  </si>
  <si>
    <t>LYCP-121-2-W</t>
  </si>
  <si>
    <t>LYAM-X1169-2</t>
  </si>
  <si>
    <t>LYAM-X1169-4</t>
  </si>
  <si>
    <t>LYAM-X1800S-2-C</t>
  </si>
  <si>
    <t>LYAM-X1169-3</t>
  </si>
  <si>
    <t>LYMIR-82-R-BK</t>
  </si>
  <si>
    <t>LYAM-X1169-1</t>
  </si>
  <si>
    <t>LYMIR-82-L-BK</t>
  </si>
  <si>
    <t>LYMIR-88-G</t>
  </si>
  <si>
    <t>LYAP-X1524</t>
  </si>
  <si>
    <t>LYAP-X1558-2</t>
  </si>
  <si>
    <t>LYAP-X1227-1</t>
  </si>
  <si>
    <t>LYAP-X1565-1R</t>
  </si>
  <si>
    <t>LYAM-X1560T-2</t>
  </si>
  <si>
    <t>LYAP-X1480S</t>
  </si>
  <si>
    <t>LYAP-X1673-1</t>
  </si>
  <si>
    <t>LYHS-010SL</t>
  </si>
  <si>
    <t>LYAP-X1280-L</t>
  </si>
  <si>
    <t>LYAP-X1280S-R</t>
  </si>
  <si>
    <t>LYAP-X1348</t>
  </si>
  <si>
    <t>LYAP-X1353</t>
  </si>
  <si>
    <t>LYHS-030-L</t>
  </si>
  <si>
    <t>LYAP-X1782-1</t>
  </si>
  <si>
    <t>LYCP-350</t>
  </si>
  <si>
    <t>LYAP-X1355</t>
  </si>
  <si>
    <t>LYAM-612-1</t>
  </si>
  <si>
    <t>LYAM-612-1L</t>
  </si>
  <si>
    <t>LYAP-X1558-2-R</t>
  </si>
  <si>
    <t>LYCP-349</t>
  </si>
  <si>
    <t>LYAP-X1407-5W</t>
  </si>
  <si>
    <t>LYAM-X2271</t>
  </si>
  <si>
    <t>LYAP-X1641-1</t>
  </si>
  <si>
    <t>LYAP-X1641-2</t>
  </si>
  <si>
    <t>LYAP-462-CB</t>
  </si>
  <si>
    <t>LYAP-462-GB</t>
  </si>
  <si>
    <t>LYAP-462-MB</t>
  </si>
  <si>
    <t>LYAM-X2269T-1L</t>
  </si>
  <si>
    <t>LYAM-X2272</t>
  </si>
  <si>
    <t>LYAM-X2261</t>
  </si>
  <si>
    <t>LYAM-X2268</t>
  </si>
  <si>
    <t>LYAM-X2023-1F</t>
  </si>
  <si>
    <t>LYAM-X1144</t>
  </si>
  <si>
    <t>LYMIR-118-L</t>
  </si>
  <si>
    <t>LYAM-X2260</t>
  </si>
  <si>
    <t>LYAP-X1784</t>
  </si>
  <si>
    <t>LYAP-X1785-1</t>
  </si>
  <si>
    <t>LYAP-X1785-2</t>
  </si>
  <si>
    <t>LYAM-X2023-1R</t>
  </si>
  <si>
    <t>LYAP-X1864</t>
  </si>
  <si>
    <t>LYAP-X1342</t>
  </si>
  <si>
    <t>LYHS-030-R</t>
  </si>
  <si>
    <t>LYAP-X1115R-2U-1</t>
  </si>
  <si>
    <t>LYAP-X1356</t>
  </si>
  <si>
    <t>LYMIR-65</t>
  </si>
  <si>
    <t>LYAP-X2067</t>
  </si>
  <si>
    <t>LYAM-X2259</t>
  </si>
  <si>
    <t>LYAM-X2044-L</t>
  </si>
  <si>
    <t>LYAM-X2044-R</t>
  </si>
  <si>
    <t>LYAM-X2257</t>
  </si>
  <si>
    <t>LYAM-X2263</t>
  </si>
  <si>
    <t>LYAM-X2273</t>
  </si>
  <si>
    <t>LYAP-X1765</t>
  </si>
  <si>
    <t>LYMIR-128-R</t>
  </si>
  <si>
    <t>LYMIR-127-L</t>
  </si>
  <si>
    <t>LYMIR-127-R</t>
  </si>
  <si>
    <t>LYAP-X1797</t>
  </si>
  <si>
    <t>LYAP-X1798</t>
  </si>
  <si>
    <t>LYAM-X2049-R</t>
  </si>
  <si>
    <t>LYAP-X1869</t>
  </si>
  <si>
    <t>LYAP-X1874</t>
  </si>
  <si>
    <t>LYAM-X2056-2L</t>
  </si>
  <si>
    <t>LYAP-X1639</t>
  </si>
  <si>
    <t>LYAM-X2056-1L</t>
  </si>
  <si>
    <t>LYAM-X2056-1R</t>
  </si>
  <si>
    <t>LYAM-X2056-2R</t>
  </si>
  <si>
    <t>LYAP-X1657-DP</t>
  </si>
  <si>
    <t>LYAP-X2058-1</t>
  </si>
  <si>
    <t>LYAM-X2049-L</t>
  </si>
  <si>
    <t>LYAP-X1794-1L</t>
  </si>
  <si>
    <t>LYAP-X1824-1</t>
  </si>
  <si>
    <t>LYAP-X1863-1</t>
  </si>
  <si>
    <t>LYAM-X2252</t>
  </si>
  <si>
    <t>LYAP-X1789-1L</t>
  </si>
  <si>
    <t>LYAP-X1789-1R</t>
  </si>
  <si>
    <t>LYAM-X2253</t>
  </si>
  <si>
    <t>LYAM-X2265-1</t>
  </si>
  <si>
    <t>LYAM-X2485</t>
  </si>
  <si>
    <t>LYAM-X2486</t>
  </si>
  <si>
    <t>LYAM-X2571-1</t>
  </si>
  <si>
    <t>LYAM-X2487</t>
  </si>
  <si>
    <t>LYAP-X1859-1</t>
  </si>
  <si>
    <t>LYAP-X1950-1</t>
  </si>
  <si>
    <t>LYAP-X2068-1</t>
  </si>
  <si>
    <t>LYAP-X2068-2</t>
  </si>
  <si>
    <t>LYAP-X1791-2L</t>
  </si>
  <si>
    <t>LYAP-X1791-2R</t>
  </si>
  <si>
    <t>LYAP-X1860S-1</t>
  </si>
  <si>
    <t>LYAP-X1876-1</t>
  </si>
  <si>
    <t>LYAM-X2269T-1L+LYAM-X2269T-1R</t>
  </si>
  <si>
    <t>LYAM-634-1</t>
  </si>
  <si>
    <t>LYAM-X2577-1</t>
  </si>
  <si>
    <t>LYAP-X1748-2-BK</t>
  </si>
  <si>
    <t>LYAP-X1748-2-C</t>
  </si>
  <si>
    <t>LYAP-X1870-1</t>
  </si>
  <si>
    <t>LYAP-X1796-1</t>
  </si>
  <si>
    <t>LYAM-X2576-1</t>
  </si>
  <si>
    <t>LYAM-X2576-1L</t>
  </si>
  <si>
    <t>LYAM-X2576-1R</t>
  </si>
  <si>
    <t>LYAP-X1789-2L</t>
  </si>
  <si>
    <t>LYAP-X1789-2R</t>
  </si>
  <si>
    <t>LYAP-X1791-1L</t>
  </si>
  <si>
    <t>LYAP-X1791-1R</t>
  </si>
  <si>
    <t>LYAP-X1656-1L</t>
  </si>
  <si>
    <t>LYAP-941-2</t>
  </si>
  <si>
    <t>LYAP-X1800S-1L</t>
  </si>
  <si>
    <t>LYAP-X1800S-1R</t>
  </si>
  <si>
    <t>LYAP-X1254L</t>
  </si>
  <si>
    <t>LYAM-X1341</t>
  </si>
  <si>
    <t>LYCP-155-2</t>
  </si>
  <si>
    <t>LYAM-634-2</t>
  </si>
  <si>
    <t>LYAM-334</t>
  </si>
  <si>
    <t>LYAM-369</t>
  </si>
  <si>
    <t>LYCP-156</t>
  </si>
  <si>
    <t>LYAP-624S</t>
  </si>
  <si>
    <t>LYAP-654</t>
  </si>
  <si>
    <t>LYAP-669S-2</t>
  </si>
  <si>
    <t>LYAP-680-2</t>
  </si>
  <si>
    <t>LYAP-686S-1</t>
  </si>
  <si>
    <t>LYAP-686T-2</t>
  </si>
  <si>
    <t>LYAP-724-1</t>
  </si>
  <si>
    <t>LYAP-X1383</t>
  </si>
  <si>
    <t>LYAP-X1436-GB</t>
  </si>
  <si>
    <t>LYAP-640S-1</t>
  </si>
  <si>
    <t>LYAP-X1620-1F</t>
  </si>
  <si>
    <t>LYAP-X1523</t>
  </si>
  <si>
    <t>LYAP-X1528</t>
  </si>
  <si>
    <t>LYAP-X1569-2R</t>
  </si>
  <si>
    <t>LYAP-187</t>
  </si>
  <si>
    <t>LYAP-X1548-1</t>
  </si>
  <si>
    <t>LYAP-X1605-1-R</t>
  </si>
  <si>
    <t>LYAP-X1599-1R</t>
  </si>
  <si>
    <t>LYCP-218</t>
  </si>
  <si>
    <t>LYAP-230</t>
  </si>
  <si>
    <t>LYCP-131S-1</t>
  </si>
  <si>
    <t>LYAP-271</t>
  </si>
  <si>
    <t>LYAP-306</t>
  </si>
  <si>
    <t>LYAP-278</t>
  </si>
  <si>
    <t>LYAP-498</t>
  </si>
  <si>
    <t>LYAP-507</t>
  </si>
  <si>
    <t>LYAM-254</t>
  </si>
  <si>
    <t>LYAP-389</t>
  </si>
  <si>
    <t>LYAM-717-1</t>
  </si>
  <si>
    <t>LYAM-739</t>
  </si>
  <si>
    <t>LYAM-419</t>
  </si>
  <si>
    <t>LYAM-888-2</t>
  </si>
  <si>
    <t>LYAP-446</t>
  </si>
  <si>
    <t>LYAP-164-MB</t>
  </si>
  <si>
    <t>LYAP-098</t>
  </si>
  <si>
    <t>LYAP-200</t>
  </si>
  <si>
    <t>LYAP-222</t>
  </si>
  <si>
    <t>LYAP-224</t>
  </si>
  <si>
    <t>LYAP-233</t>
  </si>
  <si>
    <t>LYAP-239-2</t>
  </si>
  <si>
    <t>LYAP-304-1</t>
  </si>
  <si>
    <t>LYAP-304-2</t>
  </si>
  <si>
    <t>LYAP-320</t>
  </si>
  <si>
    <t>LYCB-001-2</t>
  </si>
  <si>
    <t>LYAP-395</t>
  </si>
  <si>
    <t>LYAP-482</t>
  </si>
  <si>
    <t>LYAP-531S</t>
  </si>
  <si>
    <t>LYAP-194</t>
  </si>
  <si>
    <t>LYAP-548</t>
  </si>
  <si>
    <t>LYAP-627-2</t>
  </si>
  <si>
    <t>LYAP-630</t>
  </si>
  <si>
    <t>LYAP-631S-2</t>
  </si>
  <si>
    <t>LYAP-652</t>
  </si>
  <si>
    <t>LYAP-699S</t>
  </si>
  <si>
    <t>LYAP-719-2</t>
  </si>
  <si>
    <t>LYAP-732-1</t>
  </si>
  <si>
    <t>LYAM-662</t>
  </si>
  <si>
    <t>LYAP-822</t>
  </si>
  <si>
    <t>LYAP-878S-3</t>
  </si>
  <si>
    <t>LYAP-917S-1+LYAP-917S-2</t>
  </si>
  <si>
    <t>LYAP-983-1</t>
  </si>
  <si>
    <t>LYAP-983-1FLR</t>
  </si>
  <si>
    <t>LYAP-983-2FLR</t>
  </si>
  <si>
    <t>LYAP-892</t>
  </si>
  <si>
    <t>LYAP-993-2</t>
  </si>
  <si>
    <t>LYAP-993-2L</t>
  </si>
  <si>
    <t>LYAP-X1142</t>
  </si>
  <si>
    <t>LYAP-X1211</t>
  </si>
  <si>
    <t>SNAP-X1228</t>
  </si>
  <si>
    <t>LYAP-X1268</t>
  </si>
  <si>
    <t>LYAP-X1357-1</t>
  </si>
  <si>
    <t>LYAP-X1481-1</t>
  </si>
  <si>
    <t>LYAP-647-1</t>
  </si>
  <si>
    <t>LYAP-795-2</t>
  </si>
  <si>
    <t>LYAP-842S-2</t>
  </si>
  <si>
    <t>LYAP-139</t>
  </si>
  <si>
    <t>SNAP-X1208</t>
  </si>
  <si>
    <t>LYAP-X1209</t>
  </si>
  <si>
    <t>LYAM-X1370</t>
  </si>
  <si>
    <t>LYAP-X1644-1</t>
  </si>
  <si>
    <t>LYAP-209</t>
  </si>
  <si>
    <t>LYAM-385</t>
  </si>
  <si>
    <t>LYAP-631S-1</t>
  </si>
  <si>
    <t>LYAP-669S-1</t>
  </si>
  <si>
    <t>LYAP-542-2</t>
  </si>
  <si>
    <t>LYAM-440</t>
  </si>
  <si>
    <t>LYAP-X1207</t>
  </si>
  <si>
    <t>LYAP-X1203</t>
  </si>
  <si>
    <t>LYAP-X1196</t>
  </si>
  <si>
    <t>LYAP-X1197</t>
  </si>
  <si>
    <t>LYAP-X1279-CB</t>
  </si>
  <si>
    <t>LYAP-X1253S</t>
  </si>
  <si>
    <t>LYAP-X1475</t>
  </si>
  <si>
    <t>LYMIR-22-L</t>
  </si>
  <si>
    <t>LYAP-X1565-1L</t>
  </si>
  <si>
    <t>LYHS-028-L</t>
  </si>
  <si>
    <t>LYHS-032-R</t>
  </si>
  <si>
    <t>LYAP-X1594-1</t>
  </si>
  <si>
    <t>LYAP-X1586-1</t>
  </si>
  <si>
    <t>LYAP-X1644-1R</t>
  </si>
  <si>
    <t>LYAP-X1483-1</t>
  </si>
  <si>
    <t>LYAM-X1857S</t>
  </si>
  <si>
    <t>LYHS-032-L</t>
  </si>
  <si>
    <t>LYAP-X1547-1</t>
  </si>
  <si>
    <t>LYAP-X1644-1L</t>
  </si>
  <si>
    <t>LYAP-X1618-1</t>
  </si>
  <si>
    <t>LYAP-X1647-1</t>
  </si>
  <si>
    <t>LYAP-X1669-1</t>
  </si>
  <si>
    <t>LYAM-267</t>
  </si>
  <si>
    <t>汇总维度</t>
  </si>
  <si>
    <t>维度值</t>
  </si>
  <si>
    <t>数据类别</t>
  </si>
  <si>
    <t>26.01月</t>
  </si>
  <si>
    <t>26.02月</t>
  </si>
  <si>
    <t>26.03月</t>
  </si>
  <si>
    <t>26.04月</t>
  </si>
  <si>
    <t>26.05月</t>
  </si>
  <si>
    <t>分类</t>
  </si>
  <si>
    <t>总销量-发货单</t>
  </si>
  <si>
    <t>分析人</t>
  </si>
  <si>
    <t>软顶</t>
  </si>
  <si>
    <t>无在售</t>
  </si>
  <si>
    <t>雨刮罩</t>
  </si>
  <si>
    <t>汇总</t>
  </si>
  <si>
    <t>总销售额-发货单</t>
  </si>
  <si>
    <t>玻璃</t>
  </si>
  <si>
    <t>售出均价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</si>
</sst>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26" formatCode="\$#,##0.00_);[Red]\(\$#,##0.00\)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\$#,##0"/>
    <numFmt numFmtId="179" formatCode="\$#,##0.00"/>
    <numFmt numFmtId="180" formatCode="yy/m/d;@"/>
    <numFmt numFmtId="181" formatCode="0.00_ "/>
    <numFmt numFmtId="182" formatCode="0_ "/>
    <numFmt numFmtId="183" formatCode="0_ ;[Red]\-0\ "/>
    <numFmt numFmtId="184" formatCode="\$#,##0.00;[Red]\-\$#,##0.00"/>
    <numFmt numFmtId="185" formatCode="0_);[Red]\(0\)"/>
    <numFmt numFmtId="186" formatCode="yyyy/m/d;@"/>
    <numFmt numFmtId="187" formatCode="\$#,##0.00;\-\$#,##0.00"/>
    <numFmt numFmtId="188" formatCode="0.00_);[Red]\(0.00\)"/>
    <numFmt numFmtId="189" formatCode="&quot;$&quot;#,##0.00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Calibri"/>
      <charset val="134"/>
    </font>
    <font>
      <sz val="11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Calibri"/>
      <charset val="134"/>
    </font>
  </fonts>
  <fills count="5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E66A4E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23" applyNumberFormat="0" applyAlignment="0" applyProtection="0">
      <alignment vertical="center"/>
    </xf>
    <xf numFmtId="0" fontId="20" fillId="21" borderId="24" applyNumberFormat="0" applyAlignment="0" applyProtection="0">
      <alignment vertical="center"/>
    </xf>
    <xf numFmtId="0" fontId="21" fillId="21" borderId="23" applyNumberFormat="0" applyAlignment="0" applyProtection="0">
      <alignment vertical="center"/>
    </xf>
    <xf numFmtId="0" fontId="22" fillId="22" borderId="25" applyNumberFormat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</cellStyleXfs>
  <cellXfs count="130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2" fillId="0" borderId="0" xfId="0" applyFont="1" applyAlignment="1"/>
    <xf numFmtId="3" fontId="2" fillId="0" borderId="0" xfId="0" applyNumberFormat="1" applyFont="1" applyAlignment="1"/>
    <xf numFmtId="0" fontId="3" fillId="3" borderId="0" xfId="0" applyFont="1" applyFill="1" applyAlignment="1"/>
    <xf numFmtId="3" fontId="3" fillId="3" borderId="0" xfId="0" applyNumberFormat="1" applyFont="1" applyFill="1" applyAlignment="1"/>
    <xf numFmtId="178" fontId="2" fillId="0" borderId="0" xfId="0" applyNumberFormat="1" applyFont="1" applyAlignment="1"/>
    <xf numFmtId="178" fontId="3" fillId="3" borderId="0" xfId="0" applyNumberFormat="1" applyFont="1" applyFill="1" applyAlignment="1"/>
    <xf numFmtId="179" fontId="2" fillId="0" borderId="0" xfId="0" applyNumberFormat="1" applyFont="1" applyAlignment="1"/>
    <xf numFmtId="179" fontId="3" fillId="3" borderId="0" xfId="0" applyNumberFormat="1" applyFont="1" applyFill="1" applyAlignment="1"/>
    <xf numFmtId="0" fontId="4" fillId="0" borderId="1" xfId="0" applyFont="1" applyBorder="1" applyAlignment="1">
      <alignment horizontal="center" vertical="center" wrapText="1"/>
    </xf>
    <xf numFmtId="180" fontId="4" fillId="4" borderId="1" xfId="0" applyNumberFormat="1" applyFont="1" applyFill="1" applyBorder="1" applyAlignment="1">
      <alignment horizontal="right" vertical="center" wrapText="1"/>
    </xf>
    <xf numFmtId="181" fontId="4" fillId="5" borderId="1" xfId="0" applyNumberFormat="1" applyFont="1" applyFill="1" applyBorder="1" applyAlignment="1">
      <alignment horizontal="right" vertical="center" wrapText="1"/>
    </xf>
    <xf numFmtId="180" fontId="4" fillId="4" borderId="2" xfId="0" applyNumberFormat="1" applyFont="1" applyFill="1" applyBorder="1" applyAlignment="1">
      <alignment horizontal="right" vertical="center" wrapText="1"/>
    </xf>
    <xf numFmtId="180" fontId="4" fillId="4" borderId="2" xfId="0" applyNumberFormat="1" applyFont="1" applyFill="1" applyBorder="1" applyAlignment="1">
      <alignment horizontal="center" vertical="center" wrapText="1"/>
    </xf>
    <xf numFmtId="180" fontId="4" fillId="6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82" fontId="5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183" fontId="5" fillId="0" borderId="1" xfId="0" applyNumberFormat="1" applyFont="1" applyBorder="1" applyAlignment="1">
      <alignment horizontal="center" vertical="center" wrapText="1"/>
    </xf>
    <xf numFmtId="182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 applyAlignment="1">
      <alignment horizontal="center" vertical="center"/>
    </xf>
    <xf numFmtId="26" fontId="0" fillId="0" borderId="7" xfId="0" applyNumberFormat="1" applyBorder="1" applyAlignment="1">
      <alignment horizontal="center" vertical="center"/>
    </xf>
    <xf numFmtId="184" fontId="0" fillId="0" borderId="0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85" fontId="0" fillId="0" borderId="0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26" fontId="4" fillId="9" borderId="7" xfId="0" applyNumberFormat="1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185" fontId="4" fillId="10" borderId="0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0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10" fontId="4" fillId="11" borderId="0" xfId="0" applyNumberFormat="1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6" fontId="5" fillId="0" borderId="0" xfId="0" applyNumberFormat="1" applyFont="1" applyAlignment="1">
      <alignment horizontal="center" vertical="center" wrapText="1"/>
    </xf>
    <xf numFmtId="186" fontId="5" fillId="0" borderId="6" xfId="0" applyNumberFormat="1" applyFont="1" applyBorder="1" applyAlignment="1">
      <alignment horizontal="center" vertical="center" wrapText="1"/>
    </xf>
    <xf numFmtId="185" fontId="5" fillId="0" borderId="0" xfId="0" applyNumberFormat="1" applyFont="1" applyBorder="1" applyAlignment="1">
      <alignment horizontal="center" vertical="center" wrapText="1"/>
    </xf>
    <xf numFmtId="26" fontId="5" fillId="0" borderId="7" xfId="0" applyNumberFormat="1" applyFont="1" applyBorder="1" applyAlignment="1">
      <alignment horizontal="center" vertical="center" wrapText="1"/>
    </xf>
    <xf numFmtId="26" fontId="5" fillId="0" borderId="0" xfId="0" applyNumberFormat="1" applyFont="1" applyBorder="1" applyAlignment="1">
      <alignment horizontal="center" vertical="center" wrapText="1"/>
    </xf>
    <xf numFmtId="185" fontId="5" fillId="0" borderId="7" xfId="0" applyNumberFormat="1" applyFont="1" applyBorder="1" applyAlignment="1">
      <alignment horizontal="center" vertical="center" wrapText="1"/>
    </xf>
    <xf numFmtId="10" fontId="5" fillId="0" borderId="7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Alignment="1">
      <alignment horizontal="center" vertical="center" wrapText="1"/>
    </xf>
    <xf numFmtId="10" fontId="5" fillId="0" borderId="8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82" fontId="0" fillId="0" borderId="0" xfId="0" applyNumberFormat="1">
      <alignment vertical="center"/>
    </xf>
    <xf numFmtId="186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82" fontId="4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86" fontId="4" fillId="0" borderId="12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26" fontId="4" fillId="0" borderId="12" xfId="0" applyNumberFormat="1" applyFont="1" applyBorder="1" applyAlignment="1">
      <alignment horizontal="center" vertical="center" wrapText="1"/>
    </xf>
    <xf numFmtId="187" fontId="4" fillId="0" borderId="13" xfId="0" applyNumberFormat="1" applyFont="1" applyBorder="1" applyAlignment="1">
      <alignment horizontal="center" vertical="center" wrapText="1"/>
    </xf>
    <xf numFmtId="187" fontId="4" fillId="0" borderId="15" xfId="0" applyNumberFormat="1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188" fontId="4" fillId="0" borderId="12" xfId="0" applyNumberFormat="1" applyFont="1" applyBorder="1" applyAlignment="1">
      <alignment horizontal="center" vertical="center" wrapText="1"/>
    </xf>
    <xf numFmtId="10" fontId="4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8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182" fontId="8" fillId="8" borderId="17" xfId="0" applyNumberFormat="1" applyFont="1" applyFill="1" applyBorder="1" applyAlignment="1">
      <alignment horizontal="center" vertical="center" wrapText="1"/>
    </xf>
    <xf numFmtId="0" fontId="9" fillId="8" borderId="0" xfId="0" applyNumberFormat="1" applyFont="1" applyFill="1" applyAlignment="1">
      <alignment horizontal="center" vertical="center" wrapText="1"/>
    </xf>
    <xf numFmtId="189" fontId="9" fillId="8" borderId="0" xfId="0" applyNumberFormat="1" applyFont="1" applyFill="1" applyAlignment="1">
      <alignment horizontal="center" vertical="center" wrapText="1"/>
    </xf>
    <xf numFmtId="188" fontId="9" fillId="8" borderId="0" xfId="0" applyNumberFormat="1" applyFont="1" applyFill="1" applyAlignment="1">
      <alignment horizontal="center" vertical="center" wrapText="1"/>
    </xf>
    <xf numFmtId="10" fontId="9" fillId="8" borderId="0" xfId="0" applyNumberFormat="1" applyFont="1" applyFill="1" applyAlignment="1">
      <alignment horizontal="center" vertical="center" wrapText="1"/>
    </xf>
    <xf numFmtId="10" fontId="9" fillId="8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82" fontId="9" fillId="0" borderId="0" xfId="0" applyNumberFormat="1" applyFont="1" applyFill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86" fontId="9" fillId="0" borderId="0" xfId="0" applyNumberFormat="1" applyFont="1" applyAlignment="1">
      <alignment horizontal="center" vertical="center" wrapText="1"/>
    </xf>
    <xf numFmtId="189" fontId="9" fillId="0" borderId="0" xfId="0" applyNumberFormat="1" applyFont="1" applyFill="1" applyAlignment="1">
      <alignment horizontal="center" vertical="center" wrapText="1"/>
    </xf>
    <xf numFmtId="188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0" fontId="0" fillId="0" borderId="0" xfId="0" applyBorder="1">
      <alignment vertical="center"/>
    </xf>
    <xf numFmtId="184" fontId="0" fillId="0" borderId="0" xfId="0" applyNumberForma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26" fontId="5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26" fontId="0" fillId="0" borderId="0" xfId="0" applyNumberFormat="1">
      <alignment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0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horizontal="center" vertical="center" wrapText="1"/>
    </xf>
    <xf numFmtId="0" fontId="4" fillId="16" borderId="0" xfId="0" applyFont="1" applyFill="1" applyBorder="1" applyAlignment="1">
      <alignment horizontal="center" vertical="center" wrapText="1"/>
    </xf>
    <xf numFmtId="10" fontId="4" fillId="11" borderId="7" xfId="0" applyNumberFormat="1" applyFont="1" applyFill="1" applyBorder="1" applyAlignment="1">
      <alignment horizontal="center" vertical="center" wrapText="1"/>
    </xf>
    <xf numFmtId="0" fontId="4" fillId="17" borderId="7" xfId="0" applyFont="1" applyFill="1" applyBorder="1" applyAlignment="1">
      <alignment horizontal="center" vertical="center" wrapText="1"/>
    </xf>
    <xf numFmtId="26" fontId="4" fillId="17" borderId="7" xfId="0" applyNumberFormat="1" applyFont="1" applyFill="1" applyBorder="1" applyAlignment="1">
      <alignment horizontal="center" vertical="center" wrapText="1"/>
    </xf>
    <xf numFmtId="10" fontId="4" fillId="17" borderId="7" xfId="0" applyNumberFormat="1" applyFont="1" applyFill="1" applyBorder="1" applyAlignment="1">
      <alignment horizontal="center" vertical="center" wrapText="1"/>
    </xf>
    <xf numFmtId="10" fontId="10" fillId="17" borderId="7" xfId="0" applyNumberFormat="1" applyFont="1" applyFill="1" applyBorder="1" applyAlignment="1">
      <alignment horizontal="center" vertical="center" wrapText="1"/>
    </xf>
    <xf numFmtId="26" fontId="4" fillId="18" borderId="7" xfId="0" applyNumberFormat="1" applyFont="1" applyFill="1" applyBorder="1" applyAlignment="1">
      <alignment horizontal="center" vertical="center" wrapText="1"/>
    </xf>
    <xf numFmtId="10" fontId="4" fillId="18" borderId="7" xfId="0" applyNumberFormat="1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center" vertical="center" wrapText="1"/>
    </xf>
    <xf numFmtId="186" fontId="5" fillId="0" borderId="19" xfId="0" applyNumberFormat="1" applyFont="1" applyBorder="1" applyAlignment="1">
      <alignment horizontal="center" vertical="center" wrapText="1"/>
    </xf>
    <xf numFmtId="186" fontId="5" fillId="0" borderId="0" xfId="0" applyNumberFormat="1" applyFont="1" applyBorder="1" applyAlignment="1">
      <alignment horizontal="center" vertical="center" wrapText="1"/>
    </xf>
    <xf numFmtId="10" fontId="5" fillId="0" borderId="0" xfId="0" applyNumberFormat="1" applyFont="1" applyFill="1" applyAlignment="1">
      <alignment horizontal="center" vertical="center" wrapText="1"/>
    </xf>
    <xf numFmtId="10" fontId="5" fillId="0" borderId="0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WPSDrive\1657638535\WPS&#20225;&#19994;&#20113;&#30424;\&#24120;&#24030;&#24066;&#20940;&#36234;&#20449;&#24687;&#25216;&#26415;&#26381;&#21153;&#26377;&#38480;&#20844;&#21496;\&#22242;&#38431;&#25991;&#26723;\eBay&#36816;&#33829;&#19977;&#37096;\&#26032;&#21697;\&#26032;&#21697;&#32047;&#35745;&#25968;&#25454;\&#26032;&#21697;&#26816;&#26597;&#35760;&#2440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四三数据累计"/>
      <sheetName val="四三透视表"/>
      <sheetName val="月数据累计"/>
      <sheetName val="月度透视表"/>
      <sheetName val="周销售数据"/>
      <sheetName val="月销售数据"/>
      <sheetName val="分配表"/>
    </sheetNames>
    <sheetDataSet>
      <sheetData sheetId="0"/>
      <sheetData sheetId="1"/>
      <sheetData sheetId="2"/>
      <sheetData sheetId="3"/>
      <sheetData sheetId="4"/>
      <sheetData sheetId="5">
        <row r="1">
          <cell r="P1" t="str">
            <v>销售编码</v>
          </cell>
        </row>
        <row r="1">
          <cell r="V1" t="str">
            <v>2026.5月我们销量</v>
          </cell>
        </row>
        <row r="1">
          <cell r="AA1" t="str">
            <v>2026.5月销售额</v>
          </cell>
        </row>
        <row r="2">
          <cell r="L2" t="str">
            <v>销售编码（有公式）</v>
          </cell>
          <cell r="M2" t="str">
            <v>提交问题日期</v>
          </cell>
        </row>
        <row r="2">
          <cell r="P2" t="str">
            <v>统计</v>
          </cell>
        </row>
        <row r="2">
          <cell r="V2">
            <v>4852</v>
          </cell>
        </row>
        <row r="2">
          <cell r="AA2">
            <v>472911.9</v>
          </cell>
        </row>
        <row r="3">
          <cell r="L3">
            <v>9981</v>
          </cell>
          <cell r="M3">
            <v>46113</v>
          </cell>
        </row>
        <row r="3">
          <cell r="P3">
            <v>243</v>
          </cell>
        </row>
        <row r="3">
          <cell r="V3">
            <v>33</v>
          </cell>
        </row>
        <row r="3">
          <cell r="AA3">
            <v>2937.89</v>
          </cell>
        </row>
        <row r="4">
          <cell r="L4">
            <v>12270</v>
          </cell>
          <cell r="M4">
            <v>46113</v>
          </cell>
        </row>
        <row r="4">
          <cell r="P4">
            <v>260</v>
          </cell>
        </row>
        <row r="4">
          <cell r="V4">
            <v>11</v>
          </cell>
        </row>
        <row r="4">
          <cell r="AA4">
            <v>407.61</v>
          </cell>
        </row>
        <row r="5">
          <cell r="L5">
            <v>11742</v>
          </cell>
          <cell r="M5">
            <v>46113</v>
          </cell>
        </row>
        <row r="5">
          <cell r="P5">
            <v>278</v>
          </cell>
        </row>
        <row r="5">
          <cell r="V5">
            <v>48</v>
          </cell>
        </row>
        <row r="5">
          <cell r="AA5">
            <v>1603.16</v>
          </cell>
        </row>
        <row r="6">
          <cell r="L6">
            <v>11833</v>
          </cell>
          <cell r="M6">
            <v>46113</v>
          </cell>
        </row>
        <row r="6">
          <cell r="P6">
            <v>290</v>
          </cell>
        </row>
        <row r="6">
          <cell r="V6">
            <v>2</v>
          </cell>
        </row>
        <row r="6">
          <cell r="AA6">
            <v>221.18</v>
          </cell>
        </row>
        <row r="7">
          <cell r="L7">
            <v>11733</v>
          </cell>
          <cell r="M7">
            <v>46113</v>
          </cell>
        </row>
        <row r="7">
          <cell r="P7">
            <v>338</v>
          </cell>
        </row>
        <row r="7">
          <cell r="V7">
            <v>19</v>
          </cell>
        </row>
        <row r="7">
          <cell r="AA7">
            <v>776.98</v>
          </cell>
        </row>
        <row r="8">
          <cell r="L8">
            <v>11857</v>
          </cell>
          <cell r="M8">
            <v>46113</v>
          </cell>
        </row>
        <row r="8">
          <cell r="P8">
            <v>347</v>
          </cell>
        </row>
        <row r="8">
          <cell r="V8">
            <v>2</v>
          </cell>
        </row>
        <row r="8">
          <cell r="AA8">
            <v>139.61</v>
          </cell>
        </row>
        <row r="9">
          <cell r="L9">
            <v>11826</v>
          </cell>
          <cell r="M9">
            <v>46113</v>
          </cell>
        </row>
        <row r="9">
          <cell r="P9">
            <v>349</v>
          </cell>
        </row>
        <row r="9">
          <cell r="V9">
            <v>10</v>
          </cell>
        </row>
        <row r="9">
          <cell r="AA9">
            <v>1219.83</v>
          </cell>
        </row>
        <row r="10">
          <cell r="L10">
            <v>11927</v>
          </cell>
          <cell r="M10">
            <v>46113</v>
          </cell>
        </row>
        <row r="10">
          <cell r="P10">
            <v>350</v>
          </cell>
        </row>
        <row r="10">
          <cell r="V10">
            <v>5</v>
          </cell>
        </row>
        <row r="10">
          <cell r="AA10">
            <v>435.5</v>
          </cell>
        </row>
        <row r="11">
          <cell r="L11">
            <v>11928</v>
          </cell>
          <cell r="M11">
            <v>46113</v>
          </cell>
        </row>
        <row r="11">
          <cell r="P11">
            <v>3102</v>
          </cell>
        </row>
        <row r="11">
          <cell r="V11">
            <v>3</v>
          </cell>
        </row>
        <row r="11">
          <cell r="AA11">
            <v>549.96</v>
          </cell>
        </row>
        <row r="12">
          <cell r="L12">
            <v>11926</v>
          </cell>
          <cell r="M12">
            <v>46113</v>
          </cell>
        </row>
        <row r="12">
          <cell r="P12">
            <v>359</v>
          </cell>
        </row>
        <row r="12">
          <cell r="V12">
            <v>11</v>
          </cell>
        </row>
        <row r="12">
          <cell r="AA12">
            <v>459.48</v>
          </cell>
        </row>
        <row r="13">
          <cell r="L13">
            <v>11929</v>
          </cell>
          <cell r="M13">
            <v>46113</v>
          </cell>
        </row>
        <row r="13">
          <cell r="P13">
            <v>2547</v>
          </cell>
        </row>
        <row r="13">
          <cell r="V13">
            <v>15</v>
          </cell>
        </row>
        <row r="13">
          <cell r="AA13">
            <v>692.62</v>
          </cell>
        </row>
        <row r="14">
          <cell r="L14">
            <v>12321</v>
          </cell>
          <cell r="M14">
            <v>46113</v>
          </cell>
        </row>
        <row r="14">
          <cell r="P14">
            <v>3242</v>
          </cell>
        </row>
        <row r="14">
          <cell r="V14">
            <v>9</v>
          </cell>
        </row>
        <row r="14">
          <cell r="AA14">
            <v>346.12</v>
          </cell>
        </row>
        <row r="15">
          <cell r="L15">
            <v>12307</v>
          </cell>
          <cell r="M15">
            <v>46113</v>
          </cell>
        </row>
        <row r="15">
          <cell r="P15">
            <v>3187</v>
          </cell>
        </row>
        <row r="15">
          <cell r="V15">
            <v>4</v>
          </cell>
        </row>
        <row r="15">
          <cell r="AA15">
            <v>707.36</v>
          </cell>
        </row>
        <row r="16">
          <cell r="L16">
            <v>12143</v>
          </cell>
          <cell r="M16">
            <v>46113</v>
          </cell>
        </row>
        <row r="16">
          <cell r="P16">
            <v>423</v>
          </cell>
        </row>
        <row r="16">
          <cell r="V16">
            <v>12</v>
          </cell>
        </row>
        <row r="16">
          <cell r="AA16">
            <v>380.39</v>
          </cell>
        </row>
        <row r="17">
          <cell r="L17">
            <v>11100</v>
          </cell>
          <cell r="M17">
            <v>46113</v>
          </cell>
        </row>
        <row r="17">
          <cell r="P17">
            <v>425</v>
          </cell>
        </row>
        <row r="17">
          <cell r="V17">
            <v>12</v>
          </cell>
        </row>
        <row r="17">
          <cell r="AA17">
            <v>467.9</v>
          </cell>
        </row>
        <row r="18">
          <cell r="L18">
            <v>11456</v>
          </cell>
          <cell r="M18">
            <v>46113</v>
          </cell>
        </row>
        <row r="18">
          <cell r="P18">
            <v>656</v>
          </cell>
        </row>
        <row r="18">
          <cell r="V18">
            <v>58</v>
          </cell>
        </row>
        <row r="18">
          <cell r="AA18">
            <v>482.52</v>
          </cell>
        </row>
        <row r="19">
          <cell r="L19">
            <v>11867</v>
          </cell>
          <cell r="M19">
            <v>46113</v>
          </cell>
        </row>
        <row r="19">
          <cell r="P19">
            <v>2476</v>
          </cell>
        </row>
        <row r="19">
          <cell r="V19">
            <v>0</v>
          </cell>
        </row>
        <row r="19">
          <cell r="AA19">
            <v>0</v>
          </cell>
        </row>
        <row r="20">
          <cell r="L20">
            <v>4658</v>
          </cell>
          <cell r="M20">
            <v>46113</v>
          </cell>
        </row>
        <row r="20">
          <cell r="P20">
            <v>3597</v>
          </cell>
        </row>
        <row r="20">
          <cell r="V20">
            <v>4</v>
          </cell>
        </row>
        <row r="20">
          <cell r="AA20">
            <v>828.92</v>
          </cell>
        </row>
        <row r="21">
          <cell r="L21">
            <v>626</v>
          </cell>
          <cell r="M21">
            <v>46113</v>
          </cell>
        </row>
        <row r="21">
          <cell r="P21">
            <v>3013</v>
          </cell>
        </row>
        <row r="21">
          <cell r="V21">
            <v>7</v>
          </cell>
        </row>
        <row r="21">
          <cell r="AA21">
            <v>1117.86</v>
          </cell>
        </row>
        <row r="22">
          <cell r="L22">
            <v>8082</v>
          </cell>
          <cell r="M22">
            <v>46113</v>
          </cell>
        </row>
        <row r="22">
          <cell r="P22">
            <v>3024</v>
          </cell>
        </row>
        <row r="22">
          <cell r="V22">
            <v>6</v>
          </cell>
        </row>
        <row r="22">
          <cell r="AA22">
            <v>538.58</v>
          </cell>
        </row>
        <row r="23">
          <cell r="L23">
            <v>9303</v>
          </cell>
          <cell r="M23">
            <v>46113</v>
          </cell>
        </row>
        <row r="23">
          <cell r="P23">
            <v>3103</v>
          </cell>
        </row>
        <row r="23">
          <cell r="V23">
            <v>6</v>
          </cell>
        </row>
        <row r="23">
          <cell r="AA23">
            <v>892.61</v>
          </cell>
        </row>
        <row r="24">
          <cell r="L24">
            <v>9363</v>
          </cell>
          <cell r="M24">
            <v>46113</v>
          </cell>
        </row>
        <row r="24">
          <cell r="P24">
            <v>3249</v>
          </cell>
        </row>
        <row r="24">
          <cell r="V24">
            <v>3</v>
          </cell>
        </row>
        <row r="24">
          <cell r="AA24">
            <v>472.47</v>
          </cell>
        </row>
        <row r="25">
          <cell r="L25">
            <v>1370</v>
          </cell>
          <cell r="M25">
            <v>46113</v>
          </cell>
        </row>
        <row r="25">
          <cell r="P25">
            <v>3231</v>
          </cell>
        </row>
        <row r="25">
          <cell r="V25">
            <v>4</v>
          </cell>
        </row>
        <row r="25">
          <cell r="AA25">
            <v>387.12</v>
          </cell>
        </row>
        <row r="26">
          <cell r="L26">
            <v>395</v>
          </cell>
          <cell r="M26">
            <v>46113</v>
          </cell>
        </row>
        <row r="26">
          <cell r="P26">
            <v>3043</v>
          </cell>
        </row>
        <row r="26">
          <cell r="V26">
            <v>0</v>
          </cell>
        </row>
        <row r="26">
          <cell r="AA26">
            <v>0</v>
          </cell>
        </row>
        <row r="27">
          <cell r="L27">
            <v>5571</v>
          </cell>
          <cell r="M27">
            <v>46113</v>
          </cell>
        </row>
        <row r="27">
          <cell r="P27">
            <v>3104</v>
          </cell>
        </row>
        <row r="27">
          <cell r="V27">
            <v>7</v>
          </cell>
        </row>
        <row r="27">
          <cell r="AA27">
            <v>696.53</v>
          </cell>
        </row>
        <row r="28">
          <cell r="L28">
            <v>6162</v>
          </cell>
          <cell r="M28">
            <v>46113</v>
          </cell>
        </row>
        <row r="28">
          <cell r="P28">
            <v>2712</v>
          </cell>
        </row>
        <row r="28">
          <cell r="V28">
            <v>11</v>
          </cell>
        </row>
        <row r="28">
          <cell r="AA28">
            <v>1140.95</v>
          </cell>
        </row>
        <row r="29">
          <cell r="L29">
            <v>635</v>
          </cell>
          <cell r="M29">
            <v>46113</v>
          </cell>
        </row>
        <row r="29">
          <cell r="P29">
            <v>2732</v>
          </cell>
        </row>
        <row r="29">
          <cell r="V29">
            <v>16</v>
          </cell>
        </row>
        <row r="29">
          <cell r="AA29">
            <v>1316.76</v>
          </cell>
        </row>
        <row r="30">
          <cell r="L30">
            <v>8364</v>
          </cell>
          <cell r="M30">
            <v>46113</v>
          </cell>
        </row>
        <row r="30">
          <cell r="P30">
            <v>1030</v>
          </cell>
        </row>
        <row r="30">
          <cell r="V30">
            <v>15</v>
          </cell>
        </row>
        <row r="30">
          <cell r="AA30">
            <v>1048.45</v>
          </cell>
        </row>
        <row r="31">
          <cell r="L31">
            <v>1657</v>
          </cell>
          <cell r="M31">
            <v>46113</v>
          </cell>
        </row>
        <row r="31">
          <cell r="P31">
            <v>1031</v>
          </cell>
        </row>
        <row r="31">
          <cell r="V31">
            <v>11</v>
          </cell>
        </row>
        <row r="31">
          <cell r="AA31">
            <v>1902.91</v>
          </cell>
        </row>
        <row r="32">
          <cell r="L32">
            <v>972</v>
          </cell>
          <cell r="M32">
            <v>46113</v>
          </cell>
        </row>
        <row r="32">
          <cell r="P32">
            <v>1140</v>
          </cell>
        </row>
        <row r="32">
          <cell r="V32">
            <v>6</v>
          </cell>
        </row>
        <row r="32">
          <cell r="AA32">
            <v>506.28</v>
          </cell>
        </row>
        <row r="33">
          <cell r="L33">
            <v>1201</v>
          </cell>
          <cell r="M33">
            <v>46113</v>
          </cell>
        </row>
        <row r="33">
          <cell r="P33">
            <v>1144</v>
          </cell>
        </row>
        <row r="33">
          <cell r="V33">
            <v>14</v>
          </cell>
        </row>
        <row r="33">
          <cell r="AA33">
            <v>547.45</v>
          </cell>
        </row>
        <row r="34">
          <cell r="L34">
            <v>11091</v>
          </cell>
          <cell r="M34">
            <v>46113</v>
          </cell>
        </row>
        <row r="34">
          <cell r="P34">
            <v>1145</v>
          </cell>
        </row>
        <row r="34">
          <cell r="V34">
            <v>0</v>
          </cell>
        </row>
        <row r="34">
          <cell r="AA34">
            <v>0</v>
          </cell>
        </row>
        <row r="35">
          <cell r="L35">
            <v>11867</v>
          </cell>
          <cell r="M35">
            <v>46113</v>
          </cell>
        </row>
        <row r="35">
          <cell r="P35">
            <v>1203</v>
          </cell>
        </row>
        <row r="35">
          <cell r="V35">
            <v>16</v>
          </cell>
        </row>
        <row r="35">
          <cell r="AA35">
            <v>669.1</v>
          </cell>
        </row>
        <row r="36">
          <cell r="L36">
            <v>3833</v>
          </cell>
          <cell r="M36">
            <v>46113</v>
          </cell>
        </row>
        <row r="36">
          <cell r="P36">
            <v>1251</v>
          </cell>
        </row>
        <row r="36">
          <cell r="V36">
            <v>5</v>
          </cell>
        </row>
        <row r="36">
          <cell r="AA36">
            <v>418.15</v>
          </cell>
        </row>
        <row r="37">
          <cell r="L37">
            <v>8879</v>
          </cell>
          <cell r="M37">
            <v>46113</v>
          </cell>
        </row>
        <row r="37">
          <cell r="P37">
            <v>1407</v>
          </cell>
        </row>
        <row r="37">
          <cell r="V37">
            <v>4</v>
          </cell>
        </row>
        <row r="37">
          <cell r="AA37">
            <v>722.08</v>
          </cell>
        </row>
        <row r="38">
          <cell r="L38">
            <v>1290</v>
          </cell>
          <cell r="M38">
            <v>46113</v>
          </cell>
        </row>
        <row r="38">
          <cell r="P38">
            <v>1446</v>
          </cell>
        </row>
        <row r="38">
          <cell r="V38">
            <v>6</v>
          </cell>
        </row>
        <row r="38">
          <cell r="AA38">
            <v>326.94</v>
          </cell>
        </row>
        <row r="39">
          <cell r="L39">
            <v>4657</v>
          </cell>
          <cell r="M39">
            <v>46113</v>
          </cell>
        </row>
        <row r="39">
          <cell r="P39">
            <v>1545</v>
          </cell>
        </row>
        <row r="39">
          <cell r="V39">
            <v>0</v>
          </cell>
        </row>
        <row r="39">
          <cell r="AA39">
            <v>0</v>
          </cell>
        </row>
        <row r="40">
          <cell r="L40">
            <v>4483</v>
          </cell>
          <cell r="M40">
            <v>46113</v>
          </cell>
        </row>
        <row r="40">
          <cell r="P40">
            <v>1587</v>
          </cell>
        </row>
        <row r="40">
          <cell r="V40">
            <v>2</v>
          </cell>
        </row>
        <row r="40">
          <cell r="AA40">
            <v>231.98</v>
          </cell>
        </row>
        <row r="41">
          <cell r="L41">
            <v>6267</v>
          </cell>
          <cell r="M41">
            <v>46113</v>
          </cell>
        </row>
        <row r="41">
          <cell r="P41">
            <v>1655</v>
          </cell>
        </row>
        <row r="41">
          <cell r="V41">
            <v>39</v>
          </cell>
        </row>
        <row r="41">
          <cell r="AA41">
            <v>4268.95</v>
          </cell>
        </row>
        <row r="42">
          <cell r="L42">
            <v>7443</v>
          </cell>
          <cell r="M42">
            <v>46113</v>
          </cell>
        </row>
        <row r="42">
          <cell r="P42">
            <v>1657</v>
          </cell>
        </row>
        <row r="42">
          <cell r="V42">
            <v>20</v>
          </cell>
        </row>
        <row r="42">
          <cell r="AA42">
            <v>1521.23</v>
          </cell>
        </row>
        <row r="43">
          <cell r="L43">
            <v>6532</v>
          </cell>
          <cell r="M43">
            <v>46113</v>
          </cell>
        </row>
        <row r="43">
          <cell r="P43">
            <v>1690</v>
          </cell>
        </row>
        <row r="43">
          <cell r="V43">
            <v>2</v>
          </cell>
        </row>
        <row r="43">
          <cell r="AA43">
            <v>108.88</v>
          </cell>
        </row>
        <row r="44">
          <cell r="L44">
            <v>8338</v>
          </cell>
          <cell r="M44">
            <v>46113</v>
          </cell>
        </row>
        <row r="44">
          <cell r="P44">
            <v>1694</v>
          </cell>
        </row>
        <row r="44">
          <cell r="V44">
            <v>10</v>
          </cell>
        </row>
        <row r="44">
          <cell r="AA44">
            <v>899</v>
          </cell>
        </row>
        <row r="45">
          <cell r="L45">
            <v>11681</v>
          </cell>
          <cell r="M45">
            <v>46113</v>
          </cell>
        </row>
        <row r="45">
          <cell r="P45">
            <v>1696</v>
          </cell>
        </row>
        <row r="45">
          <cell r="V45">
            <v>38</v>
          </cell>
        </row>
        <row r="45">
          <cell r="AA45">
            <v>2239.05</v>
          </cell>
        </row>
        <row r="46">
          <cell r="L46">
            <v>11848</v>
          </cell>
          <cell r="M46">
            <v>46113</v>
          </cell>
        </row>
        <row r="46">
          <cell r="P46">
            <v>1705</v>
          </cell>
        </row>
        <row r="46">
          <cell r="V46">
            <v>13</v>
          </cell>
        </row>
        <row r="46">
          <cell r="AA46">
            <v>851.54</v>
          </cell>
        </row>
        <row r="47">
          <cell r="L47">
            <v>11683</v>
          </cell>
          <cell r="M47">
            <v>46113</v>
          </cell>
        </row>
        <row r="47">
          <cell r="P47">
            <v>1706</v>
          </cell>
        </row>
        <row r="47">
          <cell r="V47">
            <v>0</v>
          </cell>
        </row>
        <row r="47">
          <cell r="AA47">
            <v>0</v>
          </cell>
        </row>
        <row r="48">
          <cell r="L48">
            <v>11682</v>
          </cell>
          <cell r="M48">
            <v>46113</v>
          </cell>
        </row>
        <row r="48">
          <cell r="P48">
            <v>1715</v>
          </cell>
        </row>
        <row r="48">
          <cell r="V48">
            <v>1</v>
          </cell>
        </row>
        <row r="48">
          <cell r="AA48">
            <v>56.16</v>
          </cell>
        </row>
        <row r="49">
          <cell r="L49">
            <v>11778</v>
          </cell>
          <cell r="M49">
            <v>46113</v>
          </cell>
        </row>
        <row r="49">
          <cell r="P49">
            <v>1727</v>
          </cell>
        </row>
        <row r="49">
          <cell r="V49">
            <v>7</v>
          </cell>
        </row>
        <row r="49">
          <cell r="AA49">
            <v>1116.8</v>
          </cell>
        </row>
        <row r="50">
          <cell r="L50">
            <v>11780</v>
          </cell>
          <cell r="M50">
            <v>46113</v>
          </cell>
        </row>
        <row r="50">
          <cell r="P50">
            <v>1734</v>
          </cell>
        </row>
        <row r="50">
          <cell r="V50">
            <v>17</v>
          </cell>
        </row>
        <row r="50">
          <cell r="AA50">
            <v>2295</v>
          </cell>
        </row>
        <row r="51">
          <cell r="L51">
            <v>11792</v>
          </cell>
          <cell r="M51">
            <v>46113</v>
          </cell>
        </row>
        <row r="51">
          <cell r="P51">
            <v>1748</v>
          </cell>
        </row>
        <row r="51">
          <cell r="V51">
            <v>4</v>
          </cell>
        </row>
        <row r="51">
          <cell r="AA51">
            <v>275</v>
          </cell>
        </row>
        <row r="52">
          <cell r="L52">
            <v>12359</v>
          </cell>
          <cell r="M52">
            <v>46113</v>
          </cell>
        </row>
        <row r="52">
          <cell r="P52">
            <v>108</v>
          </cell>
        </row>
        <row r="52">
          <cell r="V52">
            <v>38</v>
          </cell>
        </row>
        <row r="52">
          <cell r="AA52">
            <v>2099.43</v>
          </cell>
        </row>
        <row r="53">
          <cell r="L53">
            <v>11991</v>
          </cell>
          <cell r="M53">
            <v>46113</v>
          </cell>
        </row>
        <row r="53">
          <cell r="P53">
            <v>109</v>
          </cell>
        </row>
        <row r="53">
          <cell r="V53">
            <v>12</v>
          </cell>
        </row>
        <row r="53">
          <cell r="AA53">
            <v>563.65</v>
          </cell>
        </row>
        <row r="54">
          <cell r="L54">
            <v>12246</v>
          </cell>
          <cell r="M54">
            <v>46113</v>
          </cell>
        </row>
        <row r="54">
          <cell r="P54">
            <v>2623</v>
          </cell>
        </row>
        <row r="54">
          <cell r="V54">
            <v>5</v>
          </cell>
        </row>
        <row r="54">
          <cell r="AA54">
            <v>535.92</v>
          </cell>
        </row>
        <row r="55">
          <cell r="L55">
            <v>12318</v>
          </cell>
          <cell r="M55">
            <v>46113</v>
          </cell>
        </row>
        <row r="55">
          <cell r="P55">
            <v>111</v>
          </cell>
        </row>
        <row r="55">
          <cell r="V55">
            <v>4</v>
          </cell>
        </row>
        <row r="55">
          <cell r="AA55">
            <v>407.4</v>
          </cell>
        </row>
        <row r="56">
          <cell r="L56">
            <v>12272</v>
          </cell>
          <cell r="M56">
            <v>46113</v>
          </cell>
        </row>
        <row r="56">
          <cell r="P56">
            <v>2485</v>
          </cell>
        </row>
        <row r="56">
          <cell r="V56">
            <v>5</v>
          </cell>
        </row>
        <row r="56">
          <cell r="AA56">
            <v>817.4</v>
          </cell>
        </row>
        <row r="57">
          <cell r="L57">
            <v>11990</v>
          </cell>
          <cell r="M57">
            <v>46113</v>
          </cell>
        </row>
        <row r="57">
          <cell r="P57">
            <v>2995</v>
          </cell>
        </row>
        <row r="57">
          <cell r="V57">
            <v>0</v>
          </cell>
        </row>
        <row r="57">
          <cell r="AA57">
            <v>0</v>
          </cell>
        </row>
        <row r="58">
          <cell r="L58">
            <v>12073</v>
          </cell>
          <cell r="M58">
            <v>46113</v>
          </cell>
        </row>
        <row r="58">
          <cell r="P58">
            <v>395</v>
          </cell>
        </row>
        <row r="58">
          <cell r="V58">
            <v>4</v>
          </cell>
        </row>
        <row r="58">
          <cell r="AA58">
            <v>88.66</v>
          </cell>
        </row>
        <row r="59">
          <cell r="L59">
            <v>12074</v>
          </cell>
          <cell r="M59">
            <v>46113</v>
          </cell>
        </row>
        <row r="59">
          <cell r="P59">
            <v>545</v>
          </cell>
        </row>
        <row r="59">
          <cell r="V59">
            <v>85</v>
          </cell>
        </row>
        <row r="59">
          <cell r="AA59">
            <v>4738.27999999999</v>
          </cell>
        </row>
        <row r="60">
          <cell r="L60">
            <v>12075</v>
          </cell>
          <cell r="M60">
            <v>46113</v>
          </cell>
        </row>
        <row r="60">
          <cell r="P60">
            <v>547</v>
          </cell>
        </row>
        <row r="60">
          <cell r="V60">
            <v>8</v>
          </cell>
        </row>
        <row r="60">
          <cell r="AA60">
            <v>280.2</v>
          </cell>
        </row>
        <row r="61">
          <cell r="L61">
            <v>12165</v>
          </cell>
          <cell r="M61">
            <v>46113</v>
          </cell>
        </row>
        <row r="61">
          <cell r="P61">
            <v>839</v>
          </cell>
        </row>
        <row r="61">
          <cell r="V61">
            <v>11</v>
          </cell>
        </row>
        <row r="61">
          <cell r="AA61">
            <v>1326.88</v>
          </cell>
        </row>
        <row r="62">
          <cell r="L62">
            <v>12320</v>
          </cell>
          <cell r="M62">
            <v>46113</v>
          </cell>
        </row>
        <row r="62">
          <cell r="P62">
            <v>840</v>
          </cell>
        </row>
        <row r="62">
          <cell r="V62">
            <v>11</v>
          </cell>
        </row>
        <row r="62">
          <cell r="AA62">
            <v>1296.69</v>
          </cell>
        </row>
        <row r="63">
          <cell r="L63">
            <v>12292</v>
          </cell>
          <cell r="M63">
            <v>46113</v>
          </cell>
        </row>
        <row r="63">
          <cell r="P63">
            <v>1027</v>
          </cell>
        </row>
        <row r="63">
          <cell r="V63">
            <v>7</v>
          </cell>
        </row>
        <row r="63">
          <cell r="AA63">
            <v>766.8</v>
          </cell>
        </row>
        <row r="64">
          <cell r="L64">
            <v>12333</v>
          </cell>
          <cell r="M64">
            <v>46113</v>
          </cell>
        </row>
        <row r="64">
          <cell r="P64">
            <v>1044</v>
          </cell>
        </row>
        <row r="64">
          <cell r="V64">
            <v>5</v>
          </cell>
        </row>
        <row r="64">
          <cell r="AA64">
            <v>680.76</v>
          </cell>
        </row>
        <row r="65">
          <cell r="L65">
            <v>12334</v>
          </cell>
          <cell r="M65">
            <v>46113</v>
          </cell>
        </row>
        <row r="65">
          <cell r="P65">
            <v>1045</v>
          </cell>
        </row>
        <row r="65">
          <cell r="V65">
            <v>44</v>
          </cell>
        </row>
        <row r="65">
          <cell r="AA65">
            <v>5259.73</v>
          </cell>
        </row>
        <row r="66">
          <cell r="L66">
            <v>12298</v>
          </cell>
          <cell r="M66">
            <v>46113</v>
          </cell>
        </row>
        <row r="66">
          <cell r="P66">
            <v>1159</v>
          </cell>
        </row>
        <row r="66">
          <cell r="V66">
            <v>9</v>
          </cell>
        </row>
        <row r="66">
          <cell r="AA66">
            <v>668.91</v>
          </cell>
        </row>
        <row r="67">
          <cell r="L67">
            <v>12299</v>
          </cell>
          <cell r="M67">
            <v>46113</v>
          </cell>
        </row>
        <row r="67">
          <cell r="P67">
            <v>1161</v>
          </cell>
        </row>
        <row r="67">
          <cell r="V67">
            <v>104</v>
          </cell>
        </row>
        <row r="67">
          <cell r="AA67">
            <v>5284.24000000001</v>
          </cell>
        </row>
        <row r="68">
          <cell r="L68">
            <v>12293</v>
          </cell>
          <cell r="M68">
            <v>46113</v>
          </cell>
        </row>
        <row r="68">
          <cell r="P68">
            <v>1167</v>
          </cell>
        </row>
        <row r="68">
          <cell r="V68">
            <v>6</v>
          </cell>
        </row>
        <row r="68">
          <cell r="AA68">
            <v>802.34</v>
          </cell>
        </row>
        <row r="69">
          <cell r="L69">
            <v>12291</v>
          </cell>
          <cell r="M69">
            <v>46113</v>
          </cell>
        </row>
        <row r="69">
          <cell r="P69">
            <v>1178</v>
          </cell>
        </row>
        <row r="69">
          <cell r="V69">
            <v>27</v>
          </cell>
        </row>
        <row r="69">
          <cell r="AA69">
            <v>1865.98</v>
          </cell>
        </row>
        <row r="70">
          <cell r="L70">
            <v>12290</v>
          </cell>
          <cell r="M70">
            <v>46113</v>
          </cell>
        </row>
        <row r="70">
          <cell r="P70">
            <v>1188</v>
          </cell>
        </row>
        <row r="70">
          <cell r="V70">
            <v>25</v>
          </cell>
        </row>
        <row r="70">
          <cell r="AA70">
            <v>1485.25</v>
          </cell>
        </row>
        <row r="71">
          <cell r="L71">
            <v>12484</v>
          </cell>
          <cell r="M71">
            <v>46114</v>
          </cell>
        </row>
        <row r="71">
          <cell r="P71">
            <v>1235</v>
          </cell>
        </row>
        <row r="71">
          <cell r="V71">
            <v>9</v>
          </cell>
        </row>
        <row r="71">
          <cell r="AA71">
            <v>673.77</v>
          </cell>
        </row>
        <row r="72">
          <cell r="L72">
            <v>12483</v>
          </cell>
          <cell r="M72">
            <v>46114</v>
          </cell>
        </row>
        <row r="72">
          <cell r="P72">
            <v>1434</v>
          </cell>
        </row>
        <row r="72">
          <cell r="V72">
            <v>20</v>
          </cell>
        </row>
        <row r="72">
          <cell r="AA72">
            <v>1787.23</v>
          </cell>
        </row>
        <row r="73">
          <cell r="L73">
            <v>12426</v>
          </cell>
          <cell r="M73">
            <v>46114</v>
          </cell>
        </row>
        <row r="73">
          <cell r="P73">
            <v>1473</v>
          </cell>
        </row>
        <row r="73">
          <cell r="V73">
            <v>9</v>
          </cell>
        </row>
        <row r="73">
          <cell r="AA73">
            <v>700.1</v>
          </cell>
        </row>
        <row r="74">
          <cell r="L74">
            <v>11290</v>
          </cell>
          <cell r="M74">
            <v>46114</v>
          </cell>
        </row>
        <row r="74">
          <cell r="P74">
            <v>1487</v>
          </cell>
        </row>
        <row r="74">
          <cell r="V74">
            <v>9</v>
          </cell>
        </row>
        <row r="74">
          <cell r="AA74">
            <v>1923.12</v>
          </cell>
        </row>
        <row r="75">
          <cell r="L75">
            <v>1520</v>
          </cell>
          <cell r="M75">
            <v>46114</v>
          </cell>
        </row>
        <row r="75">
          <cell r="P75">
            <v>1494</v>
          </cell>
        </row>
        <row r="75">
          <cell r="V75">
            <v>14</v>
          </cell>
        </row>
        <row r="75">
          <cell r="AA75">
            <v>2561.22</v>
          </cell>
        </row>
        <row r="76">
          <cell r="L76">
            <v>11866</v>
          </cell>
          <cell r="M76">
            <v>46114</v>
          </cell>
        </row>
        <row r="76">
          <cell r="P76">
            <v>1544</v>
          </cell>
        </row>
        <row r="76">
          <cell r="V76">
            <v>11</v>
          </cell>
        </row>
        <row r="76">
          <cell r="AA76">
            <v>764.11</v>
          </cell>
        </row>
        <row r="77">
          <cell r="L77">
            <v>278</v>
          </cell>
          <cell r="M77">
            <v>46114</v>
          </cell>
        </row>
        <row r="77">
          <cell r="P77">
            <v>3750</v>
          </cell>
        </row>
        <row r="77">
          <cell r="V77">
            <v>9</v>
          </cell>
        </row>
        <row r="77">
          <cell r="AA77">
            <v>1694.72</v>
          </cell>
        </row>
        <row r="78">
          <cell r="L78">
            <v>4105</v>
          </cell>
          <cell r="M78">
            <v>46114</v>
          </cell>
        </row>
        <row r="78">
          <cell r="P78">
            <v>3751</v>
          </cell>
        </row>
        <row r="78">
          <cell r="V78">
            <v>8</v>
          </cell>
        </row>
        <row r="78">
          <cell r="AA78">
            <v>1072.83</v>
          </cell>
        </row>
        <row r="79">
          <cell r="L79">
            <v>5092</v>
          </cell>
          <cell r="M79">
            <v>46114</v>
          </cell>
        </row>
        <row r="79">
          <cell r="P79">
            <v>3731</v>
          </cell>
        </row>
        <row r="79">
          <cell r="V79">
            <v>10</v>
          </cell>
        </row>
        <row r="79">
          <cell r="AA79">
            <v>772.59</v>
          </cell>
        </row>
        <row r="80">
          <cell r="L80">
            <v>6912</v>
          </cell>
          <cell r="M80">
            <v>46114</v>
          </cell>
        </row>
        <row r="80">
          <cell r="P80">
            <v>5064</v>
          </cell>
        </row>
        <row r="80">
          <cell r="V80">
            <v>13</v>
          </cell>
        </row>
        <row r="80">
          <cell r="AA80">
            <v>2540.06</v>
          </cell>
        </row>
        <row r="81">
          <cell r="L81">
            <v>6913</v>
          </cell>
          <cell r="M81">
            <v>46114</v>
          </cell>
        </row>
        <row r="81">
          <cell r="P81">
            <v>4328</v>
          </cell>
        </row>
        <row r="81">
          <cell r="V81">
            <v>9</v>
          </cell>
        </row>
        <row r="81">
          <cell r="AA81">
            <v>1897.2</v>
          </cell>
        </row>
        <row r="82">
          <cell r="L82">
            <v>7194</v>
          </cell>
          <cell r="M82">
            <v>46114</v>
          </cell>
        </row>
        <row r="82">
          <cell r="P82">
            <v>5212</v>
          </cell>
        </row>
        <row r="82">
          <cell r="V82">
            <v>10</v>
          </cell>
        </row>
        <row r="82">
          <cell r="AA82">
            <v>288.46</v>
          </cell>
        </row>
        <row r="83">
          <cell r="L83">
            <v>7964</v>
          </cell>
          <cell r="M83">
            <v>46114</v>
          </cell>
        </row>
        <row r="83">
          <cell r="P83">
            <v>4658</v>
          </cell>
        </row>
        <row r="83">
          <cell r="V83">
            <v>13</v>
          </cell>
        </row>
        <row r="83">
          <cell r="AA83">
            <v>785.79</v>
          </cell>
        </row>
        <row r="84">
          <cell r="L84">
            <v>8392</v>
          </cell>
          <cell r="M84">
            <v>46114</v>
          </cell>
        </row>
        <row r="84">
          <cell r="P84">
            <v>5051</v>
          </cell>
        </row>
        <row r="84">
          <cell r="V84">
            <v>22</v>
          </cell>
        </row>
        <row r="84">
          <cell r="AA84">
            <v>1328.56</v>
          </cell>
        </row>
        <row r="85">
          <cell r="L85">
            <v>11257</v>
          </cell>
          <cell r="M85">
            <v>46114</v>
          </cell>
        </row>
        <row r="85">
          <cell r="P85">
            <v>4311</v>
          </cell>
        </row>
        <row r="85">
          <cell r="V85">
            <v>15</v>
          </cell>
        </row>
        <row r="85">
          <cell r="AA85">
            <v>615.31</v>
          </cell>
        </row>
        <row r="86">
          <cell r="L86">
            <v>11904</v>
          </cell>
          <cell r="M86">
            <v>46114</v>
          </cell>
        </row>
        <row r="86">
          <cell r="P86">
            <v>4261</v>
          </cell>
        </row>
        <row r="86">
          <cell r="V86">
            <v>10</v>
          </cell>
        </row>
        <row r="86">
          <cell r="AA86">
            <v>710.4</v>
          </cell>
        </row>
        <row r="87">
          <cell r="L87">
            <v>4328</v>
          </cell>
          <cell r="M87">
            <v>46114</v>
          </cell>
        </row>
        <row r="87">
          <cell r="P87">
            <v>5573</v>
          </cell>
        </row>
        <row r="87">
          <cell r="V87">
            <v>36</v>
          </cell>
        </row>
        <row r="87">
          <cell r="AA87">
            <v>4223.78</v>
          </cell>
        </row>
        <row r="88">
          <cell r="L88">
            <v>7318</v>
          </cell>
          <cell r="M88">
            <v>46114</v>
          </cell>
        </row>
        <row r="88">
          <cell r="P88">
            <v>6288</v>
          </cell>
        </row>
        <row r="88">
          <cell r="V88">
            <v>4</v>
          </cell>
        </row>
        <row r="88">
          <cell r="AA88">
            <v>789.42</v>
          </cell>
        </row>
        <row r="89">
          <cell r="L89">
            <v>8125</v>
          </cell>
          <cell r="M89">
            <v>46114</v>
          </cell>
        </row>
        <row r="89">
          <cell r="P89">
            <v>5447</v>
          </cell>
        </row>
        <row r="89">
          <cell r="V89">
            <v>5</v>
          </cell>
        </row>
        <row r="89">
          <cell r="AA89">
            <v>838.22</v>
          </cell>
        </row>
        <row r="90">
          <cell r="L90">
            <v>3584</v>
          </cell>
          <cell r="M90">
            <v>46114</v>
          </cell>
        </row>
        <row r="90">
          <cell r="P90">
            <v>5660</v>
          </cell>
        </row>
        <row r="90">
          <cell r="V90">
            <v>33</v>
          </cell>
        </row>
        <row r="90">
          <cell r="AA90">
            <v>438.1</v>
          </cell>
        </row>
        <row r="91">
          <cell r="L91">
            <v>1010</v>
          </cell>
          <cell r="M91">
            <v>46114</v>
          </cell>
        </row>
        <row r="91">
          <cell r="P91">
            <v>5567</v>
          </cell>
        </row>
        <row r="91">
          <cell r="V91">
            <v>16</v>
          </cell>
        </row>
        <row r="91">
          <cell r="AA91">
            <v>299.66</v>
          </cell>
        </row>
        <row r="92">
          <cell r="L92">
            <v>6873</v>
          </cell>
          <cell r="M92">
            <v>46114</v>
          </cell>
        </row>
        <row r="92">
          <cell r="P92">
            <v>5581</v>
          </cell>
        </row>
        <row r="92">
          <cell r="V92">
            <v>18</v>
          </cell>
        </row>
        <row r="92">
          <cell r="AA92">
            <v>3399.05</v>
          </cell>
        </row>
        <row r="93">
          <cell r="L93">
            <v>11876</v>
          </cell>
          <cell r="M93">
            <v>46114</v>
          </cell>
        </row>
        <row r="93">
          <cell r="P93">
            <v>6762</v>
          </cell>
        </row>
        <row r="93">
          <cell r="V93">
            <v>6</v>
          </cell>
        </row>
        <row r="93">
          <cell r="AA93">
            <v>682.84</v>
          </cell>
        </row>
        <row r="94">
          <cell r="L94">
            <v>12021</v>
          </cell>
          <cell r="M94">
            <v>46114</v>
          </cell>
        </row>
        <row r="94">
          <cell r="P94">
            <v>6763</v>
          </cell>
        </row>
        <row r="94">
          <cell r="V94">
            <v>13</v>
          </cell>
        </row>
        <row r="94">
          <cell r="AA94">
            <v>824.4</v>
          </cell>
        </row>
        <row r="95">
          <cell r="L95">
            <v>11219</v>
          </cell>
          <cell r="M95">
            <v>46114</v>
          </cell>
        </row>
        <row r="95">
          <cell r="P95">
            <v>6162</v>
          </cell>
        </row>
        <row r="95">
          <cell r="V95">
            <v>4</v>
          </cell>
        </row>
        <row r="95">
          <cell r="AA95">
            <v>1347.26</v>
          </cell>
        </row>
        <row r="96">
          <cell r="L96">
            <v>11793</v>
          </cell>
          <cell r="M96">
            <v>46114</v>
          </cell>
        </row>
        <row r="96">
          <cell r="P96">
            <v>7288</v>
          </cell>
        </row>
        <row r="96">
          <cell r="V96">
            <v>13</v>
          </cell>
        </row>
        <row r="96">
          <cell r="AA96">
            <v>2541.83</v>
          </cell>
        </row>
        <row r="97">
          <cell r="L97">
            <v>9455</v>
          </cell>
          <cell r="M97">
            <v>46114</v>
          </cell>
        </row>
        <row r="97">
          <cell r="P97">
            <v>8461</v>
          </cell>
        </row>
        <row r="97">
          <cell r="V97">
            <v>14</v>
          </cell>
        </row>
        <row r="97">
          <cell r="AA97">
            <v>3405.4</v>
          </cell>
        </row>
        <row r="98">
          <cell r="L98">
            <v>11137</v>
          </cell>
          <cell r="M98">
            <v>46114</v>
          </cell>
        </row>
        <row r="98">
          <cell r="P98">
            <v>8462</v>
          </cell>
        </row>
        <row r="98">
          <cell r="V98">
            <v>6</v>
          </cell>
        </row>
        <row r="98">
          <cell r="AA98">
            <v>1542.6</v>
          </cell>
        </row>
        <row r="99">
          <cell r="L99">
            <v>11288</v>
          </cell>
          <cell r="M99">
            <v>46114</v>
          </cell>
        </row>
        <row r="99">
          <cell r="P99">
            <v>8463</v>
          </cell>
        </row>
        <row r="99">
          <cell r="V99">
            <v>11</v>
          </cell>
        </row>
        <row r="99">
          <cell r="AA99">
            <v>2120.79</v>
          </cell>
        </row>
        <row r="100">
          <cell r="L100">
            <v>9513</v>
          </cell>
          <cell r="M100">
            <v>46114</v>
          </cell>
        </row>
        <row r="100">
          <cell r="P100">
            <v>7609</v>
          </cell>
        </row>
        <row r="100">
          <cell r="V100">
            <v>1</v>
          </cell>
        </row>
        <row r="100">
          <cell r="AA100">
            <v>789.1</v>
          </cell>
        </row>
        <row r="101">
          <cell r="L101">
            <v>11911</v>
          </cell>
          <cell r="M101">
            <v>46114</v>
          </cell>
        </row>
        <row r="101">
          <cell r="P101">
            <v>8234</v>
          </cell>
        </row>
        <row r="101">
          <cell r="V101">
            <v>24</v>
          </cell>
        </row>
        <row r="101">
          <cell r="AA101">
            <v>6943.19</v>
          </cell>
        </row>
        <row r="102">
          <cell r="L102">
            <v>565</v>
          </cell>
          <cell r="M102">
            <v>46114</v>
          </cell>
        </row>
        <row r="102">
          <cell r="P102">
            <v>8233</v>
          </cell>
        </row>
        <row r="102">
          <cell r="V102">
            <v>3</v>
          </cell>
        </row>
        <row r="102">
          <cell r="AA102">
            <v>1114.3</v>
          </cell>
        </row>
        <row r="103">
          <cell r="L103">
            <v>5660</v>
          </cell>
          <cell r="M103">
            <v>46114</v>
          </cell>
        </row>
        <row r="103">
          <cell r="P103">
            <v>7173</v>
          </cell>
        </row>
        <row r="103">
          <cell r="V103">
            <v>16</v>
          </cell>
        </row>
        <row r="103">
          <cell r="AA103">
            <v>1722.07</v>
          </cell>
        </row>
        <row r="104">
          <cell r="L104">
            <v>6033</v>
          </cell>
          <cell r="M104">
            <v>46114</v>
          </cell>
        </row>
        <row r="104">
          <cell r="P104">
            <v>7893</v>
          </cell>
        </row>
        <row r="104">
          <cell r="V104">
            <v>10</v>
          </cell>
        </row>
        <row r="104">
          <cell r="AA104">
            <v>1734.97</v>
          </cell>
        </row>
        <row r="105">
          <cell r="L105">
            <v>654</v>
          </cell>
          <cell r="M105">
            <v>46114</v>
          </cell>
        </row>
        <row r="105">
          <cell r="P105">
            <v>7894</v>
          </cell>
        </row>
        <row r="105">
          <cell r="V105">
            <v>12</v>
          </cell>
        </row>
        <row r="105">
          <cell r="AA105">
            <v>1977.79</v>
          </cell>
        </row>
        <row r="106">
          <cell r="L106">
            <v>8551</v>
          </cell>
          <cell r="M106">
            <v>46114</v>
          </cell>
        </row>
        <row r="106">
          <cell r="P106">
            <v>9481</v>
          </cell>
        </row>
        <row r="106">
          <cell r="V106">
            <v>6</v>
          </cell>
        </row>
        <row r="106">
          <cell r="AA106">
            <v>263.33</v>
          </cell>
        </row>
        <row r="107">
          <cell r="L107">
            <v>8810</v>
          </cell>
          <cell r="M107">
            <v>46114</v>
          </cell>
        </row>
        <row r="107">
          <cell r="P107">
            <v>9482</v>
          </cell>
        </row>
        <row r="107">
          <cell r="V107">
            <v>22</v>
          </cell>
        </row>
        <row r="107">
          <cell r="AA107">
            <v>2860</v>
          </cell>
        </row>
        <row r="108">
          <cell r="L108">
            <v>9649</v>
          </cell>
          <cell r="M108">
            <v>46114</v>
          </cell>
        </row>
        <row r="108">
          <cell r="P108">
            <v>9777</v>
          </cell>
        </row>
        <row r="108">
          <cell r="V108">
            <v>2</v>
          </cell>
        </row>
        <row r="108">
          <cell r="AA108">
            <v>519.74</v>
          </cell>
        </row>
        <row r="109">
          <cell r="L109">
            <v>9650</v>
          </cell>
          <cell r="M109">
            <v>46114</v>
          </cell>
        </row>
        <row r="109">
          <cell r="P109">
            <v>228</v>
          </cell>
        </row>
        <row r="109">
          <cell r="V109">
            <v>32</v>
          </cell>
        </row>
        <row r="109">
          <cell r="AA109">
            <v>1146.66</v>
          </cell>
        </row>
        <row r="110">
          <cell r="L110">
            <v>9084</v>
          </cell>
          <cell r="M110">
            <v>46114</v>
          </cell>
        </row>
        <row r="110">
          <cell r="P110">
            <v>259</v>
          </cell>
        </row>
        <row r="110">
          <cell r="V110">
            <v>66</v>
          </cell>
        </row>
        <row r="110">
          <cell r="AA110">
            <v>1579.11</v>
          </cell>
        </row>
        <row r="111">
          <cell r="L111">
            <v>9035</v>
          </cell>
          <cell r="M111">
            <v>46114</v>
          </cell>
        </row>
        <row r="111">
          <cell r="P111">
            <v>262</v>
          </cell>
        </row>
        <row r="111">
          <cell r="V111">
            <v>16</v>
          </cell>
        </row>
        <row r="111">
          <cell r="AA111">
            <v>958.48</v>
          </cell>
        </row>
        <row r="112">
          <cell r="L112">
            <v>1462</v>
          </cell>
          <cell r="M112">
            <v>46114</v>
          </cell>
        </row>
        <row r="112">
          <cell r="P112">
            <v>2553</v>
          </cell>
        </row>
        <row r="112">
          <cell r="V112">
            <v>0</v>
          </cell>
        </row>
        <row r="112">
          <cell r="AA112">
            <v>0</v>
          </cell>
        </row>
        <row r="113">
          <cell r="L113">
            <v>11091</v>
          </cell>
          <cell r="M113">
            <v>46114</v>
          </cell>
        </row>
        <row r="113">
          <cell r="P113">
            <v>263</v>
          </cell>
        </row>
        <row r="113">
          <cell r="V113">
            <v>45</v>
          </cell>
        </row>
        <row r="113">
          <cell r="AA113">
            <v>2444.2</v>
          </cell>
        </row>
        <row r="114">
          <cell r="L114">
            <v>1657</v>
          </cell>
          <cell r="M114">
            <v>46114</v>
          </cell>
        </row>
        <row r="114">
          <cell r="P114">
            <v>264</v>
          </cell>
        </row>
        <row r="114">
          <cell r="V114">
            <v>27</v>
          </cell>
        </row>
        <row r="114">
          <cell r="AA114">
            <v>1330.91</v>
          </cell>
        </row>
        <row r="115">
          <cell r="L115">
            <v>11997</v>
          </cell>
          <cell r="M115">
            <v>46114</v>
          </cell>
        </row>
        <row r="115">
          <cell r="P115">
            <v>5670</v>
          </cell>
        </row>
        <row r="115">
          <cell r="V115">
            <v>76</v>
          </cell>
        </row>
        <row r="115">
          <cell r="AA115">
            <v>4559.38</v>
          </cell>
        </row>
        <row r="116">
          <cell r="L116">
            <v>12244</v>
          </cell>
          <cell r="M116">
            <v>46114</v>
          </cell>
        </row>
        <row r="116">
          <cell r="P116">
            <v>2585</v>
          </cell>
        </row>
        <row r="116">
          <cell r="V116">
            <v>9</v>
          </cell>
        </row>
        <row r="116">
          <cell r="AA116">
            <v>197.24</v>
          </cell>
        </row>
        <row r="117">
          <cell r="L117">
            <v>9482</v>
          </cell>
          <cell r="M117">
            <v>46114</v>
          </cell>
        </row>
        <row r="117">
          <cell r="P117">
            <v>289</v>
          </cell>
        </row>
        <row r="117">
          <cell r="V117">
            <v>4</v>
          </cell>
        </row>
        <row r="117">
          <cell r="AA117">
            <v>380.48</v>
          </cell>
        </row>
        <row r="118">
          <cell r="L118">
            <v>10894</v>
          </cell>
          <cell r="M118">
            <v>46114</v>
          </cell>
        </row>
        <row r="118">
          <cell r="P118">
            <v>2638</v>
          </cell>
        </row>
        <row r="118">
          <cell r="V118">
            <v>9</v>
          </cell>
        </row>
        <row r="118">
          <cell r="AA118">
            <v>736.27</v>
          </cell>
        </row>
        <row r="119">
          <cell r="L119">
            <v>11102</v>
          </cell>
          <cell r="M119">
            <v>46114</v>
          </cell>
        </row>
        <row r="119">
          <cell r="P119">
            <v>292</v>
          </cell>
        </row>
        <row r="119">
          <cell r="V119">
            <v>194</v>
          </cell>
        </row>
        <row r="119">
          <cell r="AA119">
            <v>16201.16</v>
          </cell>
        </row>
        <row r="120">
          <cell r="L120">
            <v>12210</v>
          </cell>
          <cell r="M120">
            <v>46114</v>
          </cell>
        </row>
        <row r="120">
          <cell r="P120">
            <v>2637</v>
          </cell>
        </row>
        <row r="120">
          <cell r="V120">
            <v>33</v>
          </cell>
        </row>
        <row r="120">
          <cell r="AA120">
            <v>2882.09</v>
          </cell>
        </row>
        <row r="121">
          <cell r="L121">
            <v>3750</v>
          </cell>
          <cell r="M121">
            <v>46114</v>
          </cell>
        </row>
        <row r="121">
          <cell r="P121">
            <v>293</v>
          </cell>
        </row>
        <row r="121">
          <cell r="V121">
            <v>14</v>
          </cell>
        </row>
        <row r="121">
          <cell r="AA121">
            <v>1064.5</v>
          </cell>
        </row>
        <row r="122">
          <cell r="L122">
            <v>1201</v>
          </cell>
          <cell r="M122">
            <v>46114</v>
          </cell>
        </row>
        <row r="122">
          <cell r="P122">
            <v>327</v>
          </cell>
        </row>
        <row r="122">
          <cell r="V122">
            <v>20</v>
          </cell>
        </row>
        <row r="122">
          <cell r="AA122">
            <v>963.95</v>
          </cell>
        </row>
        <row r="123">
          <cell r="L123">
            <v>12243</v>
          </cell>
          <cell r="M123">
            <v>46114</v>
          </cell>
        </row>
        <row r="123">
          <cell r="P123">
            <v>336</v>
          </cell>
        </row>
        <row r="123">
          <cell r="V123">
            <v>50</v>
          </cell>
        </row>
        <row r="123">
          <cell r="AA123">
            <v>1250</v>
          </cell>
        </row>
        <row r="124">
          <cell r="L124">
            <v>12291</v>
          </cell>
          <cell r="M124">
            <v>46114</v>
          </cell>
        </row>
        <row r="124">
          <cell r="P124">
            <v>337</v>
          </cell>
        </row>
        <row r="124">
          <cell r="V124">
            <v>25</v>
          </cell>
        </row>
        <row r="124">
          <cell r="AA124">
            <v>1091.34</v>
          </cell>
        </row>
        <row r="125">
          <cell r="L125">
            <v>12357</v>
          </cell>
          <cell r="M125">
            <v>46114</v>
          </cell>
        </row>
        <row r="125">
          <cell r="P125">
            <v>365</v>
          </cell>
        </row>
        <row r="125">
          <cell r="V125">
            <v>25</v>
          </cell>
        </row>
        <row r="125">
          <cell r="AA125">
            <v>2082.11</v>
          </cell>
        </row>
        <row r="126">
          <cell r="L126">
            <v>12423</v>
          </cell>
          <cell r="M126">
            <v>46114</v>
          </cell>
        </row>
        <row r="126">
          <cell r="P126">
            <v>371</v>
          </cell>
        </row>
        <row r="126">
          <cell r="V126">
            <v>26</v>
          </cell>
        </row>
        <row r="126">
          <cell r="AA126">
            <v>686.96</v>
          </cell>
        </row>
        <row r="127">
          <cell r="L127">
            <v>972</v>
          </cell>
          <cell r="M127">
            <v>46114</v>
          </cell>
        </row>
        <row r="127">
          <cell r="P127">
            <v>372</v>
          </cell>
        </row>
        <row r="127">
          <cell r="V127">
            <v>26</v>
          </cell>
        </row>
        <row r="127">
          <cell r="AA127">
            <v>735.35</v>
          </cell>
        </row>
        <row r="128">
          <cell r="L128">
            <v>8685</v>
          </cell>
          <cell r="M128">
            <v>46114</v>
          </cell>
        </row>
        <row r="128">
          <cell r="P128">
            <v>2554</v>
          </cell>
        </row>
        <row r="128">
          <cell r="V128">
            <v>6</v>
          </cell>
        </row>
        <row r="128">
          <cell r="AA128">
            <v>376.68</v>
          </cell>
        </row>
        <row r="129">
          <cell r="L129">
            <v>12213</v>
          </cell>
          <cell r="M129">
            <v>46114</v>
          </cell>
        </row>
        <row r="129">
          <cell r="P129">
            <v>419</v>
          </cell>
        </row>
        <row r="129">
          <cell r="V129">
            <v>8</v>
          </cell>
        </row>
        <row r="129">
          <cell r="AA129">
            <v>339.41</v>
          </cell>
        </row>
        <row r="130">
          <cell r="L130">
            <v>1655</v>
          </cell>
          <cell r="M130">
            <v>46114</v>
          </cell>
        </row>
        <row r="130">
          <cell r="P130">
            <v>421</v>
          </cell>
        </row>
        <row r="130">
          <cell r="V130">
            <v>18</v>
          </cell>
        </row>
        <row r="130">
          <cell r="AA130">
            <v>502.14</v>
          </cell>
        </row>
        <row r="131">
          <cell r="L131">
            <v>9115</v>
          </cell>
          <cell r="M131">
            <v>46114</v>
          </cell>
        </row>
        <row r="131">
          <cell r="P131">
            <v>428</v>
          </cell>
        </row>
        <row r="131">
          <cell r="V131">
            <v>17</v>
          </cell>
        </row>
        <row r="131">
          <cell r="AA131">
            <v>520.56</v>
          </cell>
        </row>
        <row r="132">
          <cell r="L132">
            <v>4547</v>
          </cell>
          <cell r="M132">
            <v>46114</v>
          </cell>
        </row>
        <row r="132">
          <cell r="P132">
            <v>453</v>
          </cell>
        </row>
        <row r="132">
          <cell r="V132">
            <v>59</v>
          </cell>
        </row>
        <row r="132">
          <cell r="AA132">
            <v>7521.34</v>
          </cell>
        </row>
        <row r="133">
          <cell r="L133">
            <v>1307</v>
          </cell>
          <cell r="M133">
            <v>46114</v>
          </cell>
        </row>
        <row r="133">
          <cell r="P133">
            <v>623</v>
          </cell>
        </row>
        <row r="133">
          <cell r="V133">
            <v>33</v>
          </cell>
        </row>
        <row r="133">
          <cell r="AA133">
            <v>634.7</v>
          </cell>
        </row>
        <row r="134">
          <cell r="L134">
            <v>5007</v>
          </cell>
          <cell r="M134">
            <v>46114</v>
          </cell>
        </row>
        <row r="134">
          <cell r="P134">
            <v>624</v>
          </cell>
        </row>
        <row r="134">
          <cell r="V134">
            <v>18</v>
          </cell>
        </row>
        <row r="134">
          <cell r="AA134">
            <v>505.6</v>
          </cell>
        </row>
        <row r="135">
          <cell r="L135">
            <v>4613</v>
          </cell>
          <cell r="M135">
            <v>46114</v>
          </cell>
        </row>
        <row r="135">
          <cell r="P135">
            <v>625</v>
          </cell>
        </row>
        <row r="135">
          <cell r="V135">
            <v>22</v>
          </cell>
        </row>
        <row r="135">
          <cell r="AA135">
            <v>385.18</v>
          </cell>
        </row>
        <row r="136">
          <cell r="L136">
            <v>5439</v>
          </cell>
          <cell r="M136">
            <v>46114</v>
          </cell>
        </row>
        <row r="136">
          <cell r="P136">
            <v>482</v>
          </cell>
        </row>
        <row r="136">
          <cell r="V136">
            <v>8</v>
          </cell>
        </row>
        <row r="136">
          <cell r="AA136">
            <v>722.04</v>
          </cell>
        </row>
        <row r="137">
          <cell r="L137">
            <v>3731</v>
          </cell>
          <cell r="M137">
            <v>46114</v>
          </cell>
        </row>
        <row r="137">
          <cell r="P137">
            <v>483</v>
          </cell>
        </row>
        <row r="137">
          <cell r="V137">
            <v>28</v>
          </cell>
        </row>
        <row r="137">
          <cell r="AA137">
            <v>2110.66</v>
          </cell>
        </row>
        <row r="138">
          <cell r="L138">
            <v>971</v>
          </cell>
          <cell r="M138">
            <v>46114</v>
          </cell>
        </row>
        <row r="138">
          <cell r="P138">
            <v>487</v>
          </cell>
        </row>
        <row r="138">
          <cell r="V138">
            <v>16</v>
          </cell>
        </row>
        <row r="138">
          <cell r="AA138">
            <v>2172.18</v>
          </cell>
        </row>
        <row r="139">
          <cell r="L139">
            <v>1135</v>
          </cell>
          <cell r="M139">
            <v>46114</v>
          </cell>
        </row>
        <row r="139">
          <cell r="P139">
            <v>488</v>
          </cell>
        </row>
        <row r="139">
          <cell r="V139">
            <v>100</v>
          </cell>
        </row>
        <row r="139">
          <cell r="AA139">
            <v>6540.29</v>
          </cell>
        </row>
        <row r="140">
          <cell r="L140">
            <v>9112</v>
          </cell>
          <cell r="M140">
            <v>46114</v>
          </cell>
        </row>
        <row r="140">
          <cell r="P140">
            <v>489</v>
          </cell>
        </row>
        <row r="140">
          <cell r="V140">
            <v>30</v>
          </cell>
        </row>
        <row r="140">
          <cell r="AA140">
            <v>1901.59</v>
          </cell>
        </row>
        <row r="141">
          <cell r="L141">
            <v>11866</v>
          </cell>
          <cell r="M141">
            <v>46114</v>
          </cell>
        </row>
        <row r="141">
          <cell r="P141">
            <v>490</v>
          </cell>
        </row>
        <row r="141">
          <cell r="V141">
            <v>70</v>
          </cell>
        </row>
        <row r="141">
          <cell r="AA141">
            <v>4215.74999999999</v>
          </cell>
        </row>
        <row r="142">
          <cell r="L142">
            <v>1045</v>
          </cell>
          <cell r="M142">
            <v>46114</v>
          </cell>
        </row>
        <row r="142">
          <cell r="P142">
            <v>432</v>
          </cell>
        </row>
        <row r="142">
          <cell r="V142">
            <v>13</v>
          </cell>
        </row>
        <row r="142">
          <cell r="AA142">
            <v>421.39</v>
          </cell>
        </row>
        <row r="143">
          <cell r="L143">
            <v>585</v>
          </cell>
          <cell r="M143">
            <v>46114</v>
          </cell>
        </row>
        <row r="143">
          <cell r="P143">
            <v>626</v>
          </cell>
        </row>
        <row r="143">
          <cell r="V143">
            <v>34</v>
          </cell>
        </row>
        <row r="143">
          <cell r="AA143">
            <v>263.5</v>
          </cell>
        </row>
        <row r="144">
          <cell r="L144">
            <v>3023</v>
          </cell>
          <cell r="M144">
            <v>46114</v>
          </cell>
        </row>
        <row r="144">
          <cell r="P144">
            <v>635</v>
          </cell>
        </row>
        <row r="144">
          <cell r="V144">
            <v>46</v>
          </cell>
        </row>
        <row r="144">
          <cell r="AA144">
            <v>477.45</v>
          </cell>
        </row>
        <row r="145">
          <cell r="L145">
            <v>487</v>
          </cell>
          <cell r="M145">
            <v>46114</v>
          </cell>
        </row>
        <row r="145">
          <cell r="P145">
            <v>638</v>
          </cell>
        </row>
        <row r="145">
          <cell r="V145">
            <v>3</v>
          </cell>
        </row>
        <row r="145">
          <cell r="AA145">
            <v>77.4</v>
          </cell>
        </row>
        <row r="146">
          <cell r="L146">
            <v>5122</v>
          </cell>
          <cell r="M146">
            <v>46114</v>
          </cell>
        </row>
        <row r="146">
          <cell r="P146">
            <v>652</v>
          </cell>
        </row>
        <row r="146">
          <cell r="V146">
            <v>24</v>
          </cell>
        </row>
        <row r="146">
          <cell r="AA146">
            <v>235.8</v>
          </cell>
        </row>
        <row r="147">
          <cell r="L147">
            <v>3796</v>
          </cell>
          <cell r="M147">
            <v>46114</v>
          </cell>
        </row>
        <row r="147">
          <cell r="P147">
            <v>653</v>
          </cell>
        </row>
        <row r="147">
          <cell r="V147">
            <v>8</v>
          </cell>
        </row>
        <row r="147">
          <cell r="AA147">
            <v>115.76</v>
          </cell>
        </row>
        <row r="148">
          <cell r="L148">
            <v>1031</v>
          </cell>
          <cell r="M148">
            <v>46114</v>
          </cell>
        </row>
        <row r="148">
          <cell r="P148">
            <v>654</v>
          </cell>
        </row>
        <row r="148">
          <cell r="V148">
            <v>143</v>
          </cell>
        </row>
        <row r="148">
          <cell r="AA148">
            <v>1520.37</v>
          </cell>
        </row>
        <row r="149">
          <cell r="L149">
            <v>12002</v>
          </cell>
          <cell r="M149">
            <v>46114</v>
          </cell>
        </row>
        <row r="149">
          <cell r="P149">
            <v>655</v>
          </cell>
        </row>
        <row r="149">
          <cell r="V149">
            <v>72</v>
          </cell>
        </row>
        <row r="149">
          <cell r="AA149">
            <v>572.16</v>
          </cell>
        </row>
        <row r="150">
          <cell r="L150">
            <v>3238</v>
          </cell>
          <cell r="M150">
            <v>46114</v>
          </cell>
        </row>
        <row r="150">
          <cell r="P150">
            <v>565</v>
          </cell>
        </row>
        <row r="150">
          <cell r="V150">
            <v>112</v>
          </cell>
        </row>
        <row r="150">
          <cell r="AA150">
            <v>1467.91</v>
          </cell>
        </row>
        <row r="151">
          <cell r="L151">
            <v>10060</v>
          </cell>
          <cell r="M151">
            <v>46114</v>
          </cell>
        </row>
        <row r="151">
          <cell r="P151">
            <v>566</v>
          </cell>
        </row>
        <row r="151">
          <cell r="V151">
            <v>7</v>
          </cell>
        </row>
        <row r="151">
          <cell r="AA151">
            <v>196.68</v>
          </cell>
        </row>
        <row r="152">
          <cell r="L152">
            <v>11106</v>
          </cell>
          <cell r="M152">
            <v>46114</v>
          </cell>
        </row>
        <row r="152">
          <cell r="P152">
            <v>569</v>
          </cell>
        </row>
        <row r="152">
          <cell r="V152">
            <v>19</v>
          </cell>
        </row>
        <row r="152">
          <cell r="AA152">
            <v>1338.58</v>
          </cell>
        </row>
        <row r="153">
          <cell r="L153">
            <v>11758</v>
          </cell>
          <cell r="M153">
            <v>46114</v>
          </cell>
        </row>
        <row r="153">
          <cell r="P153">
            <v>574</v>
          </cell>
        </row>
        <row r="153">
          <cell r="V153">
            <v>112</v>
          </cell>
        </row>
        <row r="153">
          <cell r="AA153">
            <v>4364.31999999999</v>
          </cell>
        </row>
        <row r="154">
          <cell r="L154">
            <v>1199</v>
          </cell>
          <cell r="M154">
            <v>46114</v>
          </cell>
        </row>
        <row r="154">
          <cell r="P154">
            <v>575</v>
          </cell>
        </row>
        <row r="154">
          <cell r="V154">
            <v>100</v>
          </cell>
        </row>
        <row r="154">
          <cell r="AA154">
            <v>4304.89999999999</v>
          </cell>
        </row>
        <row r="155">
          <cell r="L155">
            <v>1372</v>
          </cell>
          <cell r="M155">
            <v>46114</v>
          </cell>
        </row>
        <row r="155">
          <cell r="P155">
            <v>576</v>
          </cell>
        </row>
        <row r="155">
          <cell r="V155">
            <v>98</v>
          </cell>
        </row>
        <row r="155">
          <cell r="AA155">
            <v>3577.83</v>
          </cell>
        </row>
        <row r="156">
          <cell r="L156">
            <v>2388</v>
          </cell>
          <cell r="M156">
            <v>46114</v>
          </cell>
        </row>
        <row r="156">
          <cell r="P156">
            <v>585</v>
          </cell>
        </row>
        <row r="156">
          <cell r="V156">
            <v>34</v>
          </cell>
        </row>
        <row r="156">
          <cell r="AA156">
            <v>3506.6</v>
          </cell>
        </row>
        <row r="157">
          <cell r="L157">
            <v>292</v>
          </cell>
          <cell r="M157">
            <v>46114</v>
          </cell>
        </row>
        <row r="157">
          <cell r="P157">
            <v>586</v>
          </cell>
        </row>
        <row r="157">
          <cell r="V157">
            <v>112</v>
          </cell>
        </row>
        <row r="157">
          <cell r="AA157">
            <v>8630.9</v>
          </cell>
        </row>
        <row r="158">
          <cell r="L158">
            <v>371</v>
          </cell>
          <cell r="M158">
            <v>46114</v>
          </cell>
        </row>
        <row r="158">
          <cell r="P158">
            <v>589</v>
          </cell>
        </row>
        <row r="158">
          <cell r="V158">
            <v>10</v>
          </cell>
        </row>
        <row r="158">
          <cell r="AA158">
            <v>260.44</v>
          </cell>
        </row>
        <row r="159">
          <cell r="L159">
            <v>4543</v>
          </cell>
          <cell r="M159">
            <v>46114</v>
          </cell>
        </row>
        <row r="159">
          <cell r="P159">
            <v>596</v>
          </cell>
        </row>
        <row r="159">
          <cell r="V159">
            <v>3</v>
          </cell>
        </row>
        <row r="159">
          <cell r="AA159">
            <v>123.27</v>
          </cell>
        </row>
        <row r="160">
          <cell r="L160">
            <v>5589</v>
          </cell>
          <cell r="M160">
            <v>46114</v>
          </cell>
        </row>
        <row r="160">
          <cell r="P160">
            <v>945</v>
          </cell>
        </row>
        <row r="160">
          <cell r="V160">
            <v>3</v>
          </cell>
        </row>
        <row r="160">
          <cell r="AA160">
            <v>103.5</v>
          </cell>
        </row>
        <row r="161">
          <cell r="L161">
            <v>6454</v>
          </cell>
          <cell r="M161">
            <v>46114</v>
          </cell>
        </row>
        <row r="161">
          <cell r="P161">
            <v>954</v>
          </cell>
        </row>
        <row r="161">
          <cell r="V161">
            <v>57</v>
          </cell>
        </row>
        <row r="161">
          <cell r="AA161">
            <v>1924.79</v>
          </cell>
        </row>
        <row r="162">
          <cell r="L162">
            <v>972</v>
          </cell>
          <cell r="M162">
            <v>46114</v>
          </cell>
        </row>
        <row r="162">
          <cell r="P162">
            <v>955</v>
          </cell>
        </row>
        <row r="162">
          <cell r="V162">
            <v>1</v>
          </cell>
        </row>
        <row r="162">
          <cell r="AA162">
            <v>46.7</v>
          </cell>
        </row>
        <row r="163">
          <cell r="L163">
            <v>6033</v>
          </cell>
          <cell r="M163">
            <v>46115</v>
          </cell>
        </row>
        <row r="163">
          <cell r="P163">
            <v>971</v>
          </cell>
        </row>
        <row r="163">
          <cell r="V163">
            <v>4</v>
          </cell>
        </row>
        <row r="163">
          <cell r="AA163">
            <v>791.62</v>
          </cell>
        </row>
        <row r="164">
          <cell r="L164">
            <v>653</v>
          </cell>
          <cell r="M164">
            <v>46115</v>
          </cell>
        </row>
        <row r="164">
          <cell r="P164">
            <v>972</v>
          </cell>
        </row>
        <row r="164">
          <cell r="V164">
            <v>36</v>
          </cell>
        </row>
        <row r="164">
          <cell r="AA164">
            <v>3524.79</v>
          </cell>
        </row>
        <row r="165">
          <cell r="L165">
            <v>9089</v>
          </cell>
          <cell r="M165">
            <v>46115</v>
          </cell>
        </row>
        <row r="165">
          <cell r="P165">
            <v>985</v>
          </cell>
        </row>
        <row r="165">
          <cell r="V165">
            <v>73</v>
          </cell>
        </row>
        <row r="165">
          <cell r="AA165">
            <v>4910.69</v>
          </cell>
        </row>
        <row r="166">
          <cell r="L166">
            <v>9288</v>
          </cell>
          <cell r="M166">
            <v>46115</v>
          </cell>
        </row>
        <row r="166">
          <cell r="P166">
            <v>1008</v>
          </cell>
        </row>
        <row r="166">
          <cell r="V166">
            <v>11</v>
          </cell>
        </row>
        <row r="166">
          <cell r="AA166">
            <v>838.09</v>
          </cell>
        </row>
        <row r="167">
          <cell r="L167">
            <v>7189</v>
          </cell>
          <cell r="M167">
            <v>46115</v>
          </cell>
        </row>
        <row r="167">
          <cell r="P167">
            <v>1010</v>
          </cell>
        </row>
        <row r="167">
          <cell r="V167">
            <v>16</v>
          </cell>
        </row>
        <row r="167">
          <cell r="AA167">
            <v>597.08</v>
          </cell>
        </row>
        <row r="168">
          <cell r="L168">
            <v>6914</v>
          </cell>
          <cell r="M168">
            <v>46115</v>
          </cell>
        </row>
        <row r="168">
          <cell r="P168">
            <v>1011</v>
          </cell>
        </row>
        <row r="168">
          <cell r="V168">
            <v>16</v>
          </cell>
        </row>
        <row r="168">
          <cell r="AA168">
            <v>1279.84</v>
          </cell>
        </row>
        <row r="169">
          <cell r="L169">
            <v>3776</v>
          </cell>
          <cell r="M169">
            <v>46115</v>
          </cell>
        </row>
        <row r="169">
          <cell r="P169">
            <v>1022</v>
          </cell>
        </row>
        <row r="169">
          <cell r="V169">
            <v>6</v>
          </cell>
        </row>
        <row r="169">
          <cell r="AA169">
            <v>261.7</v>
          </cell>
        </row>
        <row r="170">
          <cell r="L170">
            <v>9650</v>
          </cell>
          <cell r="M170">
            <v>46115</v>
          </cell>
        </row>
        <row r="170">
          <cell r="P170">
            <v>1024</v>
          </cell>
        </row>
        <row r="170">
          <cell r="V170">
            <v>5</v>
          </cell>
        </row>
        <row r="170">
          <cell r="AA170">
            <v>156.5</v>
          </cell>
        </row>
        <row r="171">
          <cell r="L171">
            <v>11911</v>
          </cell>
          <cell r="M171">
            <v>46115</v>
          </cell>
        </row>
        <row r="171">
          <cell r="P171">
            <v>1025</v>
          </cell>
        </row>
        <row r="171">
          <cell r="V171">
            <v>7</v>
          </cell>
        </row>
        <row r="171">
          <cell r="AA171">
            <v>438.9</v>
          </cell>
        </row>
        <row r="172">
          <cell r="L172">
            <v>12205</v>
          </cell>
          <cell r="M172">
            <v>46115</v>
          </cell>
        </row>
        <row r="172">
          <cell r="P172">
            <v>1026</v>
          </cell>
        </row>
        <row r="172">
          <cell r="V172">
            <v>14</v>
          </cell>
        </row>
        <row r="172">
          <cell r="AA172">
            <v>480.34</v>
          </cell>
        </row>
        <row r="173">
          <cell r="L173">
            <v>4765</v>
          </cell>
          <cell r="M173">
            <v>46115</v>
          </cell>
        </row>
        <row r="173">
          <cell r="P173">
            <v>1032</v>
          </cell>
        </row>
        <row r="173">
          <cell r="V173">
            <v>69</v>
          </cell>
        </row>
        <row r="173">
          <cell r="AA173">
            <v>4956.42</v>
          </cell>
        </row>
        <row r="174">
          <cell r="L174">
            <v>7042</v>
          </cell>
          <cell r="M174">
            <v>46115</v>
          </cell>
        </row>
        <row r="174">
          <cell r="P174">
            <v>1049</v>
          </cell>
        </row>
        <row r="174">
          <cell r="V174">
            <v>26</v>
          </cell>
        </row>
        <row r="174">
          <cell r="AA174">
            <v>1805.7</v>
          </cell>
        </row>
        <row r="175">
          <cell r="L175">
            <v>10894</v>
          </cell>
          <cell r="M175">
            <v>46115</v>
          </cell>
        </row>
        <row r="175">
          <cell r="P175">
            <v>1051</v>
          </cell>
        </row>
        <row r="175">
          <cell r="V175">
            <v>269</v>
          </cell>
        </row>
        <row r="175">
          <cell r="AA175">
            <v>12960.95</v>
          </cell>
        </row>
        <row r="176">
          <cell r="L176">
            <v>9481</v>
          </cell>
          <cell r="M176">
            <v>46115</v>
          </cell>
        </row>
        <row r="176">
          <cell r="P176">
            <v>1116</v>
          </cell>
        </row>
        <row r="176">
          <cell r="V176">
            <v>34</v>
          </cell>
        </row>
        <row r="176">
          <cell r="AA176">
            <v>919.51</v>
          </cell>
        </row>
        <row r="177">
          <cell r="L177">
            <v>1030</v>
          </cell>
          <cell r="M177">
            <v>46115</v>
          </cell>
        </row>
        <row r="177">
          <cell r="P177">
            <v>1117</v>
          </cell>
        </row>
        <row r="177">
          <cell r="V177">
            <v>2</v>
          </cell>
        </row>
        <row r="177">
          <cell r="AA177">
            <v>113</v>
          </cell>
        </row>
        <row r="178">
          <cell r="L178">
            <v>3751</v>
          </cell>
          <cell r="M178">
            <v>46115</v>
          </cell>
        </row>
        <row r="178">
          <cell r="P178">
            <v>1118</v>
          </cell>
        </row>
        <row r="178">
          <cell r="V178">
            <v>8</v>
          </cell>
        </row>
        <row r="178">
          <cell r="AA178">
            <v>249.24</v>
          </cell>
        </row>
        <row r="179">
          <cell r="L179">
            <v>8254</v>
          </cell>
          <cell r="M179">
            <v>46115</v>
          </cell>
        </row>
        <row r="179">
          <cell r="P179">
            <v>1119</v>
          </cell>
        </row>
        <row r="179">
          <cell r="V179">
            <v>9</v>
          </cell>
        </row>
        <row r="179">
          <cell r="AA179">
            <v>1072.71</v>
          </cell>
        </row>
        <row r="180">
          <cell r="L180">
            <v>9115</v>
          </cell>
          <cell r="M180">
            <v>46115</v>
          </cell>
        </row>
        <row r="180">
          <cell r="P180">
            <v>1120</v>
          </cell>
        </row>
        <row r="180">
          <cell r="V180">
            <v>41</v>
          </cell>
        </row>
        <row r="180">
          <cell r="AA180">
            <v>5546.77</v>
          </cell>
        </row>
        <row r="181">
          <cell r="L181">
            <v>4181</v>
          </cell>
          <cell r="M181">
            <v>46115</v>
          </cell>
        </row>
        <row r="181">
          <cell r="P181">
            <v>1121</v>
          </cell>
        </row>
        <row r="181">
          <cell r="V181">
            <v>7</v>
          </cell>
        </row>
        <row r="181">
          <cell r="AA181">
            <v>904.89</v>
          </cell>
        </row>
        <row r="182">
          <cell r="L182">
            <v>5993</v>
          </cell>
          <cell r="M182">
            <v>46115</v>
          </cell>
        </row>
        <row r="182">
          <cell r="P182">
            <v>1122</v>
          </cell>
        </row>
        <row r="182">
          <cell r="V182">
            <v>34</v>
          </cell>
        </row>
        <row r="182">
          <cell r="AA182">
            <v>3161.7</v>
          </cell>
        </row>
        <row r="183">
          <cell r="L183">
            <v>6990</v>
          </cell>
          <cell r="M183">
            <v>46115</v>
          </cell>
        </row>
        <row r="183">
          <cell r="P183">
            <v>1125</v>
          </cell>
        </row>
        <row r="183">
          <cell r="V183">
            <v>112</v>
          </cell>
        </row>
        <row r="183">
          <cell r="AA183">
            <v>1432.4</v>
          </cell>
        </row>
        <row r="184">
          <cell r="L184">
            <v>7443</v>
          </cell>
          <cell r="M184">
            <v>46115</v>
          </cell>
        </row>
        <row r="184">
          <cell r="P184">
            <v>1126</v>
          </cell>
        </row>
        <row r="184">
          <cell r="V184">
            <v>20</v>
          </cell>
        </row>
        <row r="184">
          <cell r="AA184">
            <v>221.65</v>
          </cell>
        </row>
        <row r="185">
          <cell r="L185">
            <v>3517</v>
          </cell>
          <cell r="M185">
            <v>46115</v>
          </cell>
        </row>
        <row r="185">
          <cell r="P185">
            <v>1134</v>
          </cell>
        </row>
        <row r="185">
          <cell r="V185">
            <v>17</v>
          </cell>
        </row>
        <row r="185">
          <cell r="AA185">
            <v>1135.74</v>
          </cell>
        </row>
        <row r="186">
          <cell r="L186">
            <v>3833</v>
          </cell>
          <cell r="M186">
            <v>46115</v>
          </cell>
        </row>
        <row r="186">
          <cell r="P186">
            <v>1135</v>
          </cell>
        </row>
        <row r="186">
          <cell r="V186">
            <v>66</v>
          </cell>
        </row>
        <row r="186">
          <cell r="AA186">
            <v>3577.2</v>
          </cell>
        </row>
        <row r="187">
          <cell r="L187">
            <v>9580</v>
          </cell>
          <cell r="M187">
            <v>46115</v>
          </cell>
        </row>
        <row r="187">
          <cell r="P187">
            <v>1141</v>
          </cell>
        </row>
        <row r="187">
          <cell r="V187">
            <v>15</v>
          </cell>
        </row>
        <row r="187">
          <cell r="AA187">
            <v>1205.69</v>
          </cell>
        </row>
        <row r="188">
          <cell r="L188">
            <v>11446</v>
          </cell>
          <cell r="M188">
            <v>46115</v>
          </cell>
        </row>
        <row r="188">
          <cell r="P188">
            <v>1146</v>
          </cell>
        </row>
        <row r="188">
          <cell r="V188">
            <v>21</v>
          </cell>
        </row>
        <row r="188">
          <cell r="AA188">
            <v>634.22</v>
          </cell>
        </row>
        <row r="189">
          <cell r="L189">
            <v>12210</v>
          </cell>
          <cell r="M189">
            <v>46115</v>
          </cell>
        </row>
        <row r="189">
          <cell r="P189">
            <v>1150</v>
          </cell>
        </row>
        <row r="189">
          <cell r="V189">
            <v>21</v>
          </cell>
        </row>
        <row r="189">
          <cell r="AA189">
            <v>1398.24</v>
          </cell>
        </row>
        <row r="190">
          <cell r="L190">
            <v>3599</v>
          </cell>
          <cell r="M190">
            <v>46115</v>
          </cell>
        </row>
        <row r="190">
          <cell r="P190">
            <v>1152</v>
          </cell>
        </row>
        <row r="190">
          <cell r="V190">
            <v>13</v>
          </cell>
        </row>
        <row r="190">
          <cell r="AA190">
            <v>649.5</v>
          </cell>
        </row>
        <row r="191">
          <cell r="L191">
            <v>8338</v>
          </cell>
          <cell r="M191">
            <v>46115</v>
          </cell>
        </row>
        <row r="191">
          <cell r="P191">
            <v>1154</v>
          </cell>
        </row>
        <row r="191">
          <cell r="V191">
            <v>70</v>
          </cell>
        </row>
        <row r="191">
          <cell r="AA191">
            <v>2792.93</v>
          </cell>
        </row>
        <row r="192">
          <cell r="L192">
            <v>9116</v>
          </cell>
          <cell r="M192">
            <v>46115</v>
          </cell>
        </row>
        <row r="192">
          <cell r="P192">
            <v>1155</v>
          </cell>
        </row>
        <row r="192">
          <cell r="V192">
            <v>18</v>
          </cell>
        </row>
        <row r="192">
          <cell r="AA192">
            <v>1400.88</v>
          </cell>
        </row>
        <row r="193">
          <cell r="L193">
            <v>12058</v>
          </cell>
          <cell r="M193">
            <v>46115</v>
          </cell>
        </row>
        <row r="193">
          <cell r="P193">
            <v>1191</v>
          </cell>
        </row>
        <row r="193">
          <cell r="V193">
            <v>34</v>
          </cell>
        </row>
        <row r="193">
          <cell r="AA193">
            <v>809.6</v>
          </cell>
        </row>
        <row r="194">
          <cell r="L194">
            <v>12059</v>
          </cell>
          <cell r="M194">
            <v>46115</v>
          </cell>
        </row>
        <row r="194">
          <cell r="P194">
            <v>1199</v>
          </cell>
        </row>
        <row r="194">
          <cell r="V194">
            <v>44</v>
          </cell>
        </row>
        <row r="194">
          <cell r="AA194">
            <v>1507.48</v>
          </cell>
        </row>
        <row r="195">
          <cell r="L195">
            <v>12227</v>
          </cell>
          <cell r="M195">
            <v>46115</v>
          </cell>
        </row>
        <row r="195">
          <cell r="P195">
            <v>2518</v>
          </cell>
        </row>
        <row r="195">
          <cell r="V195">
            <v>16</v>
          </cell>
        </row>
        <row r="195">
          <cell r="AA195">
            <v>482.73</v>
          </cell>
        </row>
        <row r="196">
          <cell r="L196">
            <v>9040</v>
          </cell>
          <cell r="M196">
            <v>46115</v>
          </cell>
        </row>
        <row r="196">
          <cell r="P196">
            <v>1201</v>
          </cell>
        </row>
        <row r="196">
          <cell r="V196">
            <v>72</v>
          </cell>
        </row>
        <row r="196">
          <cell r="AA196">
            <v>4426.08</v>
          </cell>
        </row>
        <row r="197">
          <cell r="L197">
            <v>9500</v>
          </cell>
          <cell r="M197">
            <v>46115</v>
          </cell>
        </row>
        <row r="197">
          <cell r="P197">
            <v>1247</v>
          </cell>
        </row>
        <row r="197">
          <cell r="V197">
            <v>24</v>
          </cell>
        </row>
        <row r="197">
          <cell r="AA197">
            <v>2007.76</v>
          </cell>
        </row>
        <row r="198">
          <cell r="L198">
            <v>8603</v>
          </cell>
          <cell r="M198">
            <v>46115</v>
          </cell>
        </row>
        <row r="198">
          <cell r="P198">
            <v>1249</v>
          </cell>
        </row>
        <row r="198">
          <cell r="V198">
            <v>16</v>
          </cell>
        </row>
        <row r="198">
          <cell r="AA198">
            <v>1412.25</v>
          </cell>
        </row>
        <row r="199">
          <cell r="L199">
            <v>9694</v>
          </cell>
          <cell r="M199">
            <v>46115</v>
          </cell>
        </row>
        <row r="199">
          <cell r="P199">
            <v>1286</v>
          </cell>
        </row>
        <row r="199">
          <cell r="V199">
            <v>0</v>
          </cell>
        </row>
        <row r="199">
          <cell r="AA199">
            <v>0</v>
          </cell>
        </row>
        <row r="200">
          <cell r="L200">
            <v>9698</v>
          </cell>
          <cell r="M200">
            <v>46115</v>
          </cell>
        </row>
        <row r="200">
          <cell r="P200">
            <v>1292</v>
          </cell>
        </row>
        <row r="200">
          <cell r="V200">
            <v>66</v>
          </cell>
        </row>
        <row r="200">
          <cell r="AA200">
            <v>4365.3</v>
          </cell>
        </row>
        <row r="201">
          <cell r="L201">
            <v>8841</v>
          </cell>
          <cell r="M201">
            <v>46115</v>
          </cell>
        </row>
        <row r="201">
          <cell r="P201">
            <v>1302</v>
          </cell>
        </row>
        <row r="201">
          <cell r="V201">
            <v>61</v>
          </cell>
        </row>
        <row r="201">
          <cell r="AA201">
            <v>2162.81</v>
          </cell>
        </row>
        <row r="202">
          <cell r="L202">
            <v>9697</v>
          </cell>
          <cell r="M202">
            <v>46115</v>
          </cell>
        </row>
        <row r="202">
          <cell r="P202">
            <v>1310</v>
          </cell>
        </row>
        <row r="202">
          <cell r="V202">
            <v>101</v>
          </cell>
        </row>
        <row r="202">
          <cell r="AA202">
            <v>652.46</v>
          </cell>
        </row>
        <row r="203">
          <cell r="L203">
            <v>10464</v>
          </cell>
          <cell r="M203">
            <v>46115</v>
          </cell>
        </row>
        <row r="203">
          <cell r="P203">
            <v>1320</v>
          </cell>
        </row>
        <row r="203">
          <cell r="V203">
            <v>3</v>
          </cell>
        </row>
        <row r="203">
          <cell r="AA203">
            <v>102.57</v>
          </cell>
        </row>
        <row r="204">
          <cell r="L204">
            <v>5061</v>
          </cell>
          <cell r="M204">
            <v>46115</v>
          </cell>
        </row>
        <row r="204">
          <cell r="P204">
            <v>1368</v>
          </cell>
        </row>
        <row r="204">
          <cell r="V204">
            <v>12</v>
          </cell>
        </row>
        <row r="204">
          <cell r="AA204">
            <v>714.77</v>
          </cell>
        </row>
        <row r="205">
          <cell r="L205">
            <v>12320</v>
          </cell>
          <cell r="M205">
            <v>46115</v>
          </cell>
        </row>
        <row r="205">
          <cell r="P205">
            <v>1369</v>
          </cell>
        </row>
        <row r="205">
          <cell r="V205">
            <v>9</v>
          </cell>
        </row>
        <row r="205">
          <cell r="AA205">
            <v>491.38</v>
          </cell>
        </row>
        <row r="206">
          <cell r="L206">
            <v>12333</v>
          </cell>
          <cell r="M206">
            <v>46115</v>
          </cell>
        </row>
        <row r="206">
          <cell r="P206">
            <v>1370</v>
          </cell>
        </row>
        <row r="206">
          <cell r="V206">
            <v>10</v>
          </cell>
        </row>
        <row r="206">
          <cell r="AA206">
            <v>677.9</v>
          </cell>
        </row>
        <row r="207">
          <cell r="L207">
            <v>12299</v>
          </cell>
          <cell r="M207">
            <v>46115</v>
          </cell>
        </row>
        <row r="207">
          <cell r="P207">
            <v>1371</v>
          </cell>
        </row>
        <row r="207">
          <cell r="V207">
            <v>13</v>
          </cell>
        </row>
        <row r="207">
          <cell r="AA207">
            <v>811.85</v>
          </cell>
        </row>
        <row r="208">
          <cell r="L208">
            <v>10133</v>
          </cell>
          <cell r="M208">
            <v>46115</v>
          </cell>
        </row>
        <row r="208">
          <cell r="P208">
            <v>1372</v>
          </cell>
        </row>
        <row r="208">
          <cell r="V208">
            <v>21</v>
          </cell>
        </row>
        <row r="208">
          <cell r="AA208">
            <v>1354.43</v>
          </cell>
        </row>
        <row r="209">
          <cell r="L209">
            <v>260</v>
          </cell>
          <cell r="M209">
            <v>46115</v>
          </cell>
        </row>
        <row r="209">
          <cell r="P209">
            <v>2752</v>
          </cell>
        </row>
        <row r="209">
          <cell r="V209">
            <v>7</v>
          </cell>
        </row>
        <row r="209">
          <cell r="AA209">
            <v>303.65</v>
          </cell>
        </row>
        <row r="210">
          <cell r="L210">
            <v>338</v>
          </cell>
          <cell r="M210">
            <v>46115</v>
          </cell>
        </row>
        <row r="210">
          <cell r="P210">
            <v>1379</v>
          </cell>
        </row>
        <row r="210">
          <cell r="V210">
            <v>7</v>
          </cell>
        </row>
        <row r="210">
          <cell r="AA210">
            <v>405.35</v>
          </cell>
        </row>
        <row r="211">
          <cell r="L211">
            <v>349</v>
          </cell>
          <cell r="M211">
            <v>46115</v>
          </cell>
        </row>
        <row r="211">
          <cell r="P211">
            <v>1390</v>
          </cell>
        </row>
        <row r="211">
          <cell r="V211">
            <v>75</v>
          </cell>
        </row>
        <row r="211">
          <cell r="AA211">
            <v>2178.74</v>
          </cell>
        </row>
        <row r="212">
          <cell r="L212">
            <v>350</v>
          </cell>
          <cell r="M212">
            <v>46115</v>
          </cell>
        </row>
        <row r="212">
          <cell r="P212">
            <v>1447</v>
          </cell>
        </row>
        <row r="212">
          <cell r="V212">
            <v>22</v>
          </cell>
        </row>
        <row r="212">
          <cell r="AA212">
            <v>1215.98</v>
          </cell>
        </row>
        <row r="213">
          <cell r="L213">
            <v>3102</v>
          </cell>
          <cell r="M213">
            <v>46115</v>
          </cell>
        </row>
        <row r="213">
          <cell r="P213">
            <v>1448</v>
          </cell>
        </row>
        <row r="213">
          <cell r="V213">
            <v>10</v>
          </cell>
        </row>
        <row r="213">
          <cell r="AA213">
            <v>755.34</v>
          </cell>
        </row>
        <row r="214">
          <cell r="L214">
            <v>359</v>
          </cell>
          <cell r="M214">
            <v>46115</v>
          </cell>
        </row>
        <row r="214">
          <cell r="P214">
            <v>1449</v>
          </cell>
        </row>
        <row r="214">
          <cell r="V214">
            <v>100</v>
          </cell>
        </row>
        <row r="214">
          <cell r="AA214">
            <v>7968.20000000001</v>
          </cell>
        </row>
        <row r="215">
          <cell r="L215">
            <v>2547</v>
          </cell>
          <cell r="M215">
            <v>46115</v>
          </cell>
        </row>
        <row r="215">
          <cell r="P215">
            <v>1459</v>
          </cell>
        </row>
        <row r="215">
          <cell r="V215">
            <v>44</v>
          </cell>
        </row>
        <row r="215">
          <cell r="AA215">
            <v>4446</v>
          </cell>
        </row>
        <row r="216">
          <cell r="L216">
            <v>3187</v>
          </cell>
          <cell r="M216">
            <v>46115</v>
          </cell>
        </row>
        <row r="216">
          <cell r="P216">
            <v>1462</v>
          </cell>
        </row>
        <row r="216">
          <cell r="V216">
            <v>17</v>
          </cell>
        </row>
        <row r="216">
          <cell r="AA216">
            <v>1351.65</v>
          </cell>
        </row>
        <row r="217">
          <cell r="L217">
            <v>423</v>
          </cell>
          <cell r="M217">
            <v>46115</v>
          </cell>
        </row>
        <row r="217">
          <cell r="P217">
            <v>1497</v>
          </cell>
        </row>
        <row r="217">
          <cell r="V217">
            <v>22</v>
          </cell>
        </row>
        <row r="217">
          <cell r="AA217">
            <v>1244.66</v>
          </cell>
        </row>
        <row r="218">
          <cell r="L218">
            <v>425</v>
          </cell>
          <cell r="M218">
            <v>46115</v>
          </cell>
        </row>
        <row r="218">
          <cell r="P218">
            <v>1498</v>
          </cell>
        </row>
        <row r="218">
          <cell r="V218">
            <v>10</v>
          </cell>
        </row>
        <row r="218">
          <cell r="AA218">
            <v>1659.4</v>
          </cell>
        </row>
        <row r="219">
          <cell r="L219">
            <v>3597</v>
          </cell>
          <cell r="M219">
            <v>46115</v>
          </cell>
        </row>
        <row r="219">
          <cell r="P219">
            <v>1513</v>
          </cell>
        </row>
        <row r="219">
          <cell r="V219">
            <v>68</v>
          </cell>
        </row>
        <row r="219">
          <cell r="AA219">
            <v>6563.53999999999</v>
          </cell>
        </row>
        <row r="220">
          <cell r="L220">
            <v>3013</v>
          </cell>
          <cell r="M220">
            <v>46115</v>
          </cell>
        </row>
        <row r="220">
          <cell r="P220">
            <v>1520</v>
          </cell>
        </row>
        <row r="220">
          <cell r="V220">
            <v>50</v>
          </cell>
        </row>
        <row r="220">
          <cell r="AA220">
            <v>1718.68</v>
          </cell>
        </row>
        <row r="221">
          <cell r="L221">
            <v>3024</v>
          </cell>
          <cell r="M221">
            <v>46115</v>
          </cell>
        </row>
        <row r="221">
          <cell r="P221">
            <v>1536</v>
          </cell>
        </row>
        <row r="221">
          <cell r="V221">
            <v>25</v>
          </cell>
        </row>
        <row r="221">
          <cell r="AA221">
            <v>1858.7</v>
          </cell>
        </row>
        <row r="222">
          <cell r="L222">
            <v>3103</v>
          </cell>
          <cell r="M222">
            <v>46115</v>
          </cell>
        </row>
        <row r="222">
          <cell r="P222">
            <v>1538</v>
          </cell>
        </row>
        <row r="222">
          <cell r="V222">
            <v>104</v>
          </cell>
        </row>
        <row r="222">
          <cell r="AA222">
            <v>2751.27</v>
          </cell>
        </row>
        <row r="223">
          <cell r="L223">
            <v>3249</v>
          </cell>
          <cell r="M223">
            <v>46115</v>
          </cell>
        </row>
        <row r="223">
          <cell r="P223">
            <v>1584</v>
          </cell>
        </row>
        <row r="223">
          <cell r="V223">
            <v>52</v>
          </cell>
        </row>
        <row r="223">
          <cell r="AA223">
            <v>3501.64</v>
          </cell>
        </row>
        <row r="224">
          <cell r="L224">
            <v>3231</v>
          </cell>
          <cell r="M224">
            <v>46115</v>
          </cell>
        </row>
        <row r="224">
          <cell r="P224">
            <v>2993</v>
          </cell>
        </row>
        <row r="224">
          <cell r="V224">
            <v>93</v>
          </cell>
        </row>
        <row r="224">
          <cell r="AA224">
            <v>6623.76999999999</v>
          </cell>
        </row>
        <row r="225">
          <cell r="L225">
            <v>3043</v>
          </cell>
          <cell r="M225">
            <v>46115</v>
          </cell>
        </row>
        <row r="225">
          <cell r="P225">
            <v>1586</v>
          </cell>
        </row>
        <row r="225">
          <cell r="V225">
            <v>14</v>
          </cell>
        </row>
        <row r="225">
          <cell r="AA225">
            <v>933.84</v>
          </cell>
        </row>
        <row r="226">
          <cell r="L226">
            <v>3104</v>
          </cell>
          <cell r="M226">
            <v>46115</v>
          </cell>
        </row>
        <row r="226">
          <cell r="P226">
            <v>1588</v>
          </cell>
        </row>
        <row r="226">
          <cell r="V226">
            <v>13</v>
          </cell>
        </row>
        <row r="226">
          <cell r="AA226">
            <v>1047.19</v>
          </cell>
        </row>
        <row r="227">
          <cell r="L227">
            <v>2712</v>
          </cell>
          <cell r="M227">
            <v>46115</v>
          </cell>
        </row>
        <row r="227">
          <cell r="P227">
            <v>1634</v>
          </cell>
        </row>
        <row r="227">
          <cell r="V227">
            <v>19</v>
          </cell>
        </row>
        <row r="227">
          <cell r="AA227">
            <v>1068.8</v>
          </cell>
        </row>
        <row r="228">
          <cell r="L228">
            <v>3757</v>
          </cell>
          <cell r="M228">
            <v>46115</v>
          </cell>
        </row>
        <row r="228">
          <cell r="P228">
            <v>1643</v>
          </cell>
        </row>
        <row r="228">
          <cell r="V228">
            <v>8</v>
          </cell>
        </row>
        <row r="228">
          <cell r="AA228">
            <v>463.47</v>
          </cell>
        </row>
        <row r="229">
          <cell r="L229">
            <v>1696</v>
          </cell>
          <cell r="M229">
            <v>46115</v>
          </cell>
        </row>
        <row r="229">
          <cell r="P229">
            <v>1691</v>
          </cell>
        </row>
        <row r="229">
          <cell r="V229">
            <v>1</v>
          </cell>
        </row>
        <row r="229">
          <cell r="AA229">
            <v>56.59</v>
          </cell>
        </row>
        <row r="230">
          <cell r="L230">
            <v>574</v>
          </cell>
          <cell r="M230">
            <v>46115</v>
          </cell>
        </row>
        <row r="230">
          <cell r="P230">
            <v>1697</v>
          </cell>
        </row>
        <row r="230">
          <cell r="V230">
            <v>15</v>
          </cell>
        </row>
        <row r="230">
          <cell r="AA230">
            <v>950.45</v>
          </cell>
        </row>
        <row r="231">
          <cell r="L231">
            <v>1584</v>
          </cell>
          <cell r="M231">
            <v>46115</v>
          </cell>
        </row>
        <row r="231">
          <cell r="P231">
            <v>1698</v>
          </cell>
        </row>
        <row r="231">
          <cell r="V231">
            <v>11</v>
          </cell>
        </row>
        <row r="231">
          <cell r="AA231">
            <v>647.56</v>
          </cell>
        </row>
        <row r="232">
          <cell r="L232">
            <v>6681</v>
          </cell>
          <cell r="M232">
            <v>46115</v>
          </cell>
        </row>
        <row r="232">
          <cell r="P232">
            <v>1699</v>
          </cell>
        </row>
        <row r="232">
          <cell r="V232">
            <v>28</v>
          </cell>
        </row>
        <row r="232">
          <cell r="AA232">
            <v>1931.74</v>
          </cell>
        </row>
        <row r="233">
          <cell r="L233">
            <v>4612</v>
          </cell>
          <cell r="M233">
            <v>46115</v>
          </cell>
        </row>
        <row r="233">
          <cell r="P233">
            <v>1700</v>
          </cell>
        </row>
        <row r="233">
          <cell r="V233">
            <v>51</v>
          </cell>
        </row>
        <row r="233">
          <cell r="AA233">
            <v>2440.49</v>
          </cell>
        </row>
        <row r="234">
          <cell r="L234">
            <v>5670</v>
          </cell>
          <cell r="M234">
            <v>46115</v>
          </cell>
        </row>
        <row r="234">
          <cell r="P234">
            <v>1707</v>
          </cell>
        </row>
        <row r="234">
          <cell r="V234">
            <v>35</v>
          </cell>
        </row>
        <row r="234">
          <cell r="AA234">
            <v>1890.6</v>
          </cell>
        </row>
        <row r="235">
          <cell r="L235">
            <v>7119</v>
          </cell>
          <cell r="M235">
            <v>46115</v>
          </cell>
        </row>
        <row r="235">
          <cell r="P235">
            <v>1708</v>
          </cell>
        </row>
        <row r="235">
          <cell r="V235">
            <v>18</v>
          </cell>
        </row>
        <row r="235">
          <cell r="AA235">
            <v>968.6</v>
          </cell>
        </row>
        <row r="236">
          <cell r="L236">
            <v>1292</v>
          </cell>
          <cell r="M236">
            <v>46115</v>
          </cell>
        </row>
        <row r="236">
          <cell r="P236">
            <v>1710</v>
          </cell>
        </row>
        <row r="236">
          <cell r="V236">
            <v>26</v>
          </cell>
        </row>
        <row r="236">
          <cell r="AA236">
            <v>1811.32</v>
          </cell>
        </row>
        <row r="237">
          <cell r="L237">
            <v>1449</v>
          </cell>
          <cell r="M237">
            <v>46115</v>
          </cell>
        </row>
        <row r="237">
          <cell r="P237">
            <v>1712</v>
          </cell>
        </row>
        <row r="237">
          <cell r="V237">
            <v>27</v>
          </cell>
        </row>
        <row r="237">
          <cell r="AA237">
            <v>1611.73</v>
          </cell>
        </row>
        <row r="238">
          <cell r="L238">
            <v>9649</v>
          </cell>
          <cell r="M238">
            <v>46119</v>
          </cell>
        </row>
        <row r="238">
          <cell r="P238">
            <v>1714</v>
          </cell>
        </row>
        <row r="238">
          <cell r="V238">
            <v>36</v>
          </cell>
        </row>
        <row r="238">
          <cell r="AA238">
            <v>2504.88</v>
          </cell>
        </row>
        <row r="239">
          <cell r="L239">
            <v>9045</v>
          </cell>
          <cell r="M239">
            <v>46119</v>
          </cell>
        </row>
        <row r="239">
          <cell r="P239">
            <v>1716</v>
          </cell>
        </row>
        <row r="239">
          <cell r="V239">
            <v>35</v>
          </cell>
        </row>
        <row r="239">
          <cell r="AA239">
            <v>2040</v>
          </cell>
        </row>
        <row r="240">
          <cell r="L240">
            <v>11756</v>
          </cell>
          <cell r="M240">
            <v>46119</v>
          </cell>
        </row>
        <row r="240">
          <cell r="P240">
            <v>1768</v>
          </cell>
        </row>
        <row r="240">
          <cell r="V240">
            <v>119</v>
          </cell>
        </row>
        <row r="240">
          <cell r="AA240">
            <v>9979.00999999999</v>
          </cell>
        </row>
        <row r="241">
          <cell r="L241">
            <v>9650</v>
          </cell>
          <cell r="M241">
            <v>46119</v>
          </cell>
        </row>
        <row r="241">
          <cell r="P241">
            <v>3284</v>
          </cell>
        </row>
        <row r="241">
          <cell r="V241">
            <v>1</v>
          </cell>
        </row>
        <row r="241">
          <cell r="AA241">
            <v>47</v>
          </cell>
        </row>
        <row r="242">
          <cell r="L242">
            <v>624</v>
          </cell>
          <cell r="M242">
            <v>46119</v>
          </cell>
        </row>
        <row r="242">
          <cell r="P242">
            <v>3341</v>
          </cell>
        </row>
        <row r="242">
          <cell r="V242">
            <v>6</v>
          </cell>
        </row>
        <row r="242">
          <cell r="AA242">
            <v>230.6</v>
          </cell>
        </row>
        <row r="243">
          <cell r="L243">
            <v>1520</v>
          </cell>
          <cell r="M243">
            <v>46119</v>
          </cell>
        </row>
        <row r="243">
          <cell r="P243">
            <v>2850</v>
          </cell>
        </row>
        <row r="243">
          <cell r="V243">
            <v>3</v>
          </cell>
        </row>
        <row r="243">
          <cell r="AA243">
            <v>285.05</v>
          </cell>
        </row>
        <row r="244">
          <cell r="L244">
            <v>6913</v>
          </cell>
          <cell r="M244">
            <v>46119</v>
          </cell>
        </row>
        <row r="244">
          <cell r="P244">
            <v>3385</v>
          </cell>
        </row>
        <row r="244">
          <cell r="V244">
            <v>2</v>
          </cell>
        </row>
        <row r="244">
          <cell r="AA244">
            <v>393.58</v>
          </cell>
        </row>
        <row r="245">
          <cell r="L245">
            <v>4411</v>
          </cell>
          <cell r="M245">
            <v>46119</v>
          </cell>
        </row>
        <row r="245">
          <cell r="P245">
            <v>3096</v>
          </cell>
        </row>
        <row r="245">
          <cell r="V245">
            <v>3</v>
          </cell>
        </row>
        <row r="245">
          <cell r="AA245">
            <v>147.97</v>
          </cell>
        </row>
        <row r="246">
          <cell r="L246">
            <v>6872</v>
          </cell>
          <cell r="M246">
            <v>46119</v>
          </cell>
        </row>
        <row r="246">
          <cell r="P246">
            <v>3118</v>
          </cell>
        </row>
        <row r="246">
          <cell r="V246">
            <v>32</v>
          </cell>
        </row>
        <row r="246">
          <cell r="AA246">
            <v>2075.37</v>
          </cell>
        </row>
        <row r="247">
          <cell r="L247">
            <v>6915</v>
          </cell>
          <cell r="M247">
            <v>46119</v>
          </cell>
        </row>
        <row r="247">
          <cell r="P247">
            <v>3650</v>
          </cell>
        </row>
        <row r="247">
          <cell r="V247">
            <v>7</v>
          </cell>
        </row>
        <row r="247">
          <cell r="AA247">
            <v>392</v>
          </cell>
        </row>
        <row r="248">
          <cell r="L248">
            <v>7315</v>
          </cell>
          <cell r="M248">
            <v>46119</v>
          </cell>
        </row>
        <row r="248">
          <cell r="P248">
            <v>3681</v>
          </cell>
        </row>
        <row r="248">
          <cell r="V248">
            <v>7</v>
          </cell>
        </row>
        <row r="248">
          <cell r="AA248">
            <v>329.7</v>
          </cell>
        </row>
        <row r="249">
          <cell r="L249">
            <v>7316</v>
          </cell>
          <cell r="M249">
            <v>46119</v>
          </cell>
        </row>
        <row r="249">
          <cell r="P249">
            <v>3757</v>
          </cell>
        </row>
        <row r="249">
          <cell r="V249">
            <v>14</v>
          </cell>
        </row>
        <row r="249">
          <cell r="AA249">
            <v>646.13</v>
          </cell>
        </row>
        <row r="250">
          <cell r="L250">
            <v>7319</v>
          </cell>
          <cell r="M250">
            <v>46119</v>
          </cell>
        </row>
        <row r="250">
          <cell r="P250">
            <v>3584</v>
          </cell>
        </row>
        <row r="250">
          <cell r="V250">
            <v>11</v>
          </cell>
        </row>
        <row r="250">
          <cell r="AA250">
            <v>429.99</v>
          </cell>
        </row>
        <row r="251">
          <cell r="L251">
            <v>7422</v>
          </cell>
          <cell r="M251">
            <v>46119</v>
          </cell>
        </row>
        <row r="251">
          <cell r="P251">
            <v>3625</v>
          </cell>
        </row>
        <row r="251">
          <cell r="V251">
            <v>31</v>
          </cell>
        </row>
        <row r="251">
          <cell r="AA251">
            <v>1599.21</v>
          </cell>
        </row>
        <row r="252">
          <cell r="L252">
            <v>8125</v>
          </cell>
          <cell r="M252">
            <v>46119</v>
          </cell>
        </row>
        <row r="252">
          <cell r="P252">
            <v>3645</v>
          </cell>
        </row>
        <row r="252">
          <cell r="V252">
            <v>12</v>
          </cell>
        </row>
        <row r="252">
          <cell r="AA252">
            <v>937.64</v>
          </cell>
        </row>
        <row r="253">
          <cell r="L253">
            <v>8181</v>
          </cell>
          <cell r="M253">
            <v>46119</v>
          </cell>
        </row>
        <row r="253">
          <cell r="P253">
            <v>3683</v>
          </cell>
        </row>
        <row r="253">
          <cell r="V253">
            <v>25</v>
          </cell>
        </row>
        <row r="253">
          <cell r="AA253">
            <v>2230.82</v>
          </cell>
        </row>
        <row r="254">
          <cell r="L254">
            <v>290</v>
          </cell>
          <cell r="M254">
            <v>46119</v>
          </cell>
        </row>
        <row r="254">
          <cell r="P254">
            <v>3684</v>
          </cell>
        </row>
        <row r="254">
          <cell r="V254">
            <v>15</v>
          </cell>
        </row>
        <row r="254">
          <cell r="AA254">
            <v>904.68</v>
          </cell>
        </row>
        <row r="255">
          <cell r="L255">
            <v>1494</v>
          </cell>
          <cell r="M255">
            <v>46119</v>
          </cell>
        </row>
        <row r="255">
          <cell r="P255">
            <v>3685</v>
          </cell>
        </row>
        <row r="255">
          <cell r="V255">
            <v>21</v>
          </cell>
        </row>
        <row r="255">
          <cell r="AA255">
            <v>1126.79</v>
          </cell>
        </row>
        <row r="256">
          <cell r="L256">
            <v>4328</v>
          </cell>
          <cell r="M256">
            <v>46119</v>
          </cell>
        </row>
        <row r="256">
          <cell r="P256">
            <v>3758</v>
          </cell>
        </row>
        <row r="256">
          <cell r="V256">
            <v>8</v>
          </cell>
        </row>
        <row r="256">
          <cell r="AA256">
            <v>299.5</v>
          </cell>
        </row>
        <row r="257">
          <cell r="L257">
            <v>4658</v>
          </cell>
          <cell r="M257">
            <v>46119</v>
          </cell>
        </row>
        <row r="257">
          <cell r="P257">
            <v>3759</v>
          </cell>
        </row>
        <row r="257">
          <cell r="V257">
            <v>17</v>
          </cell>
        </row>
        <row r="257">
          <cell r="AA257">
            <v>565.84</v>
          </cell>
        </row>
        <row r="258">
          <cell r="L258">
            <v>7609</v>
          </cell>
          <cell r="M258">
            <v>46119</v>
          </cell>
        </row>
        <row r="258">
          <cell r="P258">
            <v>4326</v>
          </cell>
        </row>
        <row r="258">
          <cell r="V258">
            <v>41</v>
          </cell>
        </row>
        <row r="258">
          <cell r="AA258">
            <v>1029.77</v>
          </cell>
        </row>
        <row r="259">
          <cell r="L259">
            <v>2585</v>
          </cell>
          <cell r="M259">
            <v>46119</v>
          </cell>
        </row>
        <row r="259">
          <cell r="P259">
            <v>4350</v>
          </cell>
        </row>
        <row r="259">
          <cell r="V259">
            <v>5</v>
          </cell>
        </row>
        <row r="259">
          <cell r="AA259">
            <v>524.98</v>
          </cell>
        </row>
        <row r="260">
          <cell r="L260">
            <v>985</v>
          </cell>
          <cell r="M260">
            <v>46119</v>
          </cell>
        </row>
        <row r="260">
          <cell r="P260">
            <v>5078</v>
          </cell>
        </row>
        <row r="260">
          <cell r="V260">
            <v>41</v>
          </cell>
        </row>
        <row r="260">
          <cell r="AA260">
            <v>1274.99</v>
          </cell>
        </row>
        <row r="261">
          <cell r="L261">
            <v>8393</v>
          </cell>
          <cell r="M261">
            <v>46119</v>
          </cell>
        </row>
        <row r="261">
          <cell r="P261">
            <v>5077</v>
          </cell>
        </row>
        <row r="261">
          <cell r="V261">
            <v>50</v>
          </cell>
        </row>
        <row r="261">
          <cell r="AA261">
            <v>1731.63</v>
          </cell>
        </row>
        <row r="262">
          <cell r="L262">
            <v>9776</v>
          </cell>
          <cell r="M262">
            <v>46119</v>
          </cell>
        </row>
        <row r="262">
          <cell r="P262">
            <v>5708</v>
          </cell>
        </row>
        <row r="262">
          <cell r="V262">
            <v>28</v>
          </cell>
        </row>
        <row r="262">
          <cell r="AA262">
            <v>4109.15</v>
          </cell>
        </row>
        <row r="263">
          <cell r="L263">
            <v>9553</v>
          </cell>
          <cell r="M263">
            <v>46119</v>
          </cell>
        </row>
        <row r="263">
          <cell r="P263">
            <v>4267</v>
          </cell>
        </row>
        <row r="263">
          <cell r="V263">
            <v>68</v>
          </cell>
        </row>
        <row r="263">
          <cell r="AA263">
            <v>7656.53</v>
          </cell>
        </row>
        <row r="264">
          <cell r="L264">
            <v>9725</v>
          </cell>
          <cell r="M264">
            <v>46119</v>
          </cell>
        </row>
        <row r="264">
          <cell r="P264">
            <v>4663</v>
          </cell>
        </row>
        <row r="264">
          <cell r="V264">
            <v>18</v>
          </cell>
        </row>
        <row r="264">
          <cell r="AA264">
            <v>2379.93</v>
          </cell>
        </row>
        <row r="265">
          <cell r="L265">
            <v>9817</v>
          </cell>
          <cell r="M265">
            <v>46119</v>
          </cell>
        </row>
        <row r="265">
          <cell r="P265">
            <v>4219</v>
          </cell>
        </row>
        <row r="265">
          <cell r="V265">
            <v>10</v>
          </cell>
        </row>
        <row r="265">
          <cell r="AA265">
            <v>639.5</v>
          </cell>
        </row>
        <row r="266">
          <cell r="L266">
            <v>9806</v>
          </cell>
          <cell r="M266">
            <v>46119</v>
          </cell>
        </row>
        <row r="266">
          <cell r="P266">
            <v>4794</v>
          </cell>
        </row>
        <row r="266">
          <cell r="V266">
            <v>71</v>
          </cell>
        </row>
        <row r="266">
          <cell r="AA266">
            <v>11310.21</v>
          </cell>
        </row>
        <row r="267">
          <cell r="L267">
            <v>11076</v>
          </cell>
          <cell r="M267">
            <v>46119</v>
          </cell>
        </row>
        <row r="267">
          <cell r="P267">
            <v>4756</v>
          </cell>
        </row>
        <row r="267">
          <cell r="V267">
            <v>1</v>
          </cell>
        </row>
        <row r="267">
          <cell r="AA267">
            <v>86.49</v>
          </cell>
        </row>
        <row r="268">
          <cell r="L268">
            <v>10381</v>
          </cell>
          <cell r="M268">
            <v>46119</v>
          </cell>
        </row>
        <row r="268">
          <cell r="P268">
            <v>3657</v>
          </cell>
        </row>
        <row r="268">
          <cell r="V268">
            <v>20</v>
          </cell>
        </row>
        <row r="268">
          <cell r="AA268">
            <v>1399.42</v>
          </cell>
        </row>
        <row r="269">
          <cell r="L269">
            <v>7636</v>
          </cell>
          <cell r="M269">
            <v>46119</v>
          </cell>
        </row>
        <row r="269">
          <cell r="P269">
            <v>3920</v>
          </cell>
        </row>
        <row r="269">
          <cell r="V269">
            <v>38</v>
          </cell>
        </row>
        <row r="269">
          <cell r="AA269">
            <v>3419.12</v>
          </cell>
        </row>
        <row r="270">
          <cell r="L270">
            <v>5843</v>
          </cell>
          <cell r="M270">
            <v>46119</v>
          </cell>
        </row>
        <row r="270">
          <cell r="P270">
            <v>3533</v>
          </cell>
        </row>
        <row r="270">
          <cell r="V270">
            <v>11</v>
          </cell>
        </row>
        <row r="270">
          <cell r="AA270">
            <v>1118.98</v>
          </cell>
        </row>
        <row r="271">
          <cell r="L271">
            <v>5672</v>
          </cell>
          <cell r="M271">
            <v>46119</v>
          </cell>
        </row>
        <row r="271">
          <cell r="P271">
            <v>3608</v>
          </cell>
        </row>
        <row r="271">
          <cell r="V271">
            <v>11</v>
          </cell>
        </row>
        <row r="271">
          <cell r="AA271">
            <v>1184.23</v>
          </cell>
        </row>
        <row r="272">
          <cell r="L272">
            <v>5671</v>
          </cell>
          <cell r="M272">
            <v>46119</v>
          </cell>
        </row>
        <row r="272">
          <cell r="P272">
            <v>3509</v>
          </cell>
        </row>
        <row r="272">
          <cell r="V272">
            <v>7</v>
          </cell>
        </row>
        <row r="272">
          <cell r="AA272">
            <v>417.48</v>
          </cell>
        </row>
        <row r="273">
          <cell r="L273">
            <v>5538</v>
          </cell>
          <cell r="M273">
            <v>46119</v>
          </cell>
        </row>
        <row r="273">
          <cell r="P273">
            <v>3686</v>
          </cell>
        </row>
        <row r="273">
          <cell r="V273">
            <v>14</v>
          </cell>
        </row>
        <row r="273">
          <cell r="AA273">
            <v>1391.86</v>
          </cell>
        </row>
        <row r="274">
          <cell r="L274">
            <v>3876</v>
          </cell>
          <cell r="M274">
            <v>46119</v>
          </cell>
        </row>
        <row r="274">
          <cell r="P274">
            <v>3687</v>
          </cell>
        </row>
        <row r="274">
          <cell r="V274">
            <v>17</v>
          </cell>
        </row>
        <row r="274">
          <cell r="AA274">
            <v>1840.32</v>
          </cell>
        </row>
        <row r="275">
          <cell r="L275">
            <v>3685</v>
          </cell>
          <cell r="M275">
            <v>46119</v>
          </cell>
        </row>
        <row r="275">
          <cell r="P275">
            <v>3760</v>
          </cell>
        </row>
        <row r="275">
          <cell r="V275">
            <v>11</v>
          </cell>
        </row>
        <row r="275">
          <cell r="AA275">
            <v>630.72</v>
          </cell>
        </row>
        <row r="276">
          <cell r="L276">
            <v>3684</v>
          </cell>
          <cell r="M276">
            <v>46119</v>
          </cell>
        </row>
        <row r="276">
          <cell r="P276">
            <v>3646</v>
          </cell>
        </row>
        <row r="276">
          <cell r="V276">
            <v>29</v>
          </cell>
        </row>
        <row r="276">
          <cell r="AA276">
            <v>2315.53</v>
          </cell>
        </row>
        <row r="277">
          <cell r="L277">
            <v>1697</v>
          </cell>
          <cell r="M277">
            <v>46119</v>
          </cell>
        </row>
        <row r="277">
          <cell r="P277">
            <v>3713</v>
          </cell>
        </row>
        <row r="277">
          <cell r="V277">
            <v>3</v>
          </cell>
        </row>
        <row r="277">
          <cell r="AA277">
            <v>233.97</v>
          </cell>
        </row>
        <row r="278">
          <cell r="L278">
            <v>2993</v>
          </cell>
          <cell r="M278">
            <v>46119</v>
          </cell>
        </row>
        <row r="278">
          <cell r="P278">
            <v>3714</v>
          </cell>
        </row>
        <row r="278">
          <cell r="V278">
            <v>13</v>
          </cell>
        </row>
        <row r="278">
          <cell r="AA278">
            <v>871.37</v>
          </cell>
        </row>
        <row r="279">
          <cell r="L279">
            <v>1536</v>
          </cell>
          <cell r="M279">
            <v>46119</v>
          </cell>
        </row>
        <row r="279">
          <cell r="P279">
            <v>4534</v>
          </cell>
        </row>
        <row r="279">
          <cell r="V279">
            <v>1</v>
          </cell>
        </row>
        <row r="279">
          <cell r="AA279">
            <v>89.99</v>
          </cell>
        </row>
        <row r="280">
          <cell r="L280">
            <v>10785</v>
          </cell>
          <cell r="M280">
            <v>46119</v>
          </cell>
        </row>
        <row r="280">
          <cell r="P280">
            <v>3766</v>
          </cell>
        </row>
        <row r="280">
          <cell r="V280">
            <v>24</v>
          </cell>
        </row>
        <row r="280">
          <cell r="AA280">
            <v>2658.63</v>
          </cell>
        </row>
        <row r="281">
          <cell r="L281">
            <v>1140</v>
          </cell>
          <cell r="M281">
            <v>46119</v>
          </cell>
        </row>
        <row r="281">
          <cell r="P281">
            <v>4088</v>
          </cell>
        </row>
        <row r="281">
          <cell r="V281">
            <v>7</v>
          </cell>
        </row>
        <row r="281">
          <cell r="AA281">
            <v>466.19</v>
          </cell>
        </row>
        <row r="282">
          <cell r="L282">
            <v>11875</v>
          </cell>
          <cell r="M282">
            <v>46119</v>
          </cell>
        </row>
        <row r="282">
          <cell r="P282">
            <v>3834</v>
          </cell>
        </row>
        <row r="282">
          <cell r="V282">
            <v>12</v>
          </cell>
        </row>
        <row r="282">
          <cell r="AA282">
            <v>1318.8</v>
          </cell>
        </row>
        <row r="283">
          <cell r="L283">
            <v>8781</v>
          </cell>
          <cell r="M283">
            <v>46119</v>
          </cell>
        </row>
        <row r="283">
          <cell r="P283">
            <v>3555</v>
          </cell>
        </row>
        <row r="283">
          <cell r="V283">
            <v>15</v>
          </cell>
        </row>
        <row r="283">
          <cell r="AA283">
            <v>884.45</v>
          </cell>
        </row>
        <row r="284">
          <cell r="L284">
            <v>12205</v>
          </cell>
          <cell r="M284">
            <v>46119</v>
          </cell>
        </row>
        <row r="284">
          <cell r="P284">
            <v>3510</v>
          </cell>
        </row>
        <row r="284">
          <cell r="V284">
            <v>31</v>
          </cell>
        </row>
        <row r="284">
          <cell r="AA284">
            <v>1751.99</v>
          </cell>
        </row>
        <row r="285">
          <cell r="L285">
            <v>1320</v>
          </cell>
          <cell r="M285">
            <v>46119</v>
          </cell>
        </row>
        <row r="285">
          <cell r="P285">
            <v>3845</v>
          </cell>
        </row>
        <row r="285">
          <cell r="V285">
            <v>9</v>
          </cell>
        </row>
        <row r="285">
          <cell r="AA285">
            <v>661.5</v>
          </cell>
        </row>
        <row r="286">
          <cell r="L286">
            <v>5630</v>
          </cell>
          <cell r="M286">
            <v>46119</v>
          </cell>
        </row>
        <row r="286">
          <cell r="P286">
            <v>4675</v>
          </cell>
        </row>
        <row r="286">
          <cell r="V286">
            <v>7</v>
          </cell>
        </row>
        <row r="286">
          <cell r="AA286">
            <v>958.91</v>
          </cell>
        </row>
        <row r="287">
          <cell r="L287">
            <v>5841</v>
          </cell>
          <cell r="M287">
            <v>46119</v>
          </cell>
        </row>
        <row r="287">
          <cell r="P287">
            <v>3846</v>
          </cell>
        </row>
        <row r="287">
          <cell r="V287">
            <v>19</v>
          </cell>
        </row>
        <row r="287">
          <cell r="AA287">
            <v>2132.96</v>
          </cell>
        </row>
        <row r="288">
          <cell r="L288">
            <v>655</v>
          </cell>
          <cell r="M288">
            <v>46119</v>
          </cell>
        </row>
        <row r="288">
          <cell r="P288">
            <v>4166</v>
          </cell>
        </row>
        <row r="288">
          <cell r="V288">
            <v>9</v>
          </cell>
        </row>
        <row r="288">
          <cell r="AA288">
            <v>761.48</v>
          </cell>
        </row>
        <row r="289">
          <cell r="L289">
            <v>8675</v>
          </cell>
          <cell r="M289">
            <v>46119</v>
          </cell>
        </row>
        <row r="289">
          <cell r="P289">
            <v>3630</v>
          </cell>
        </row>
        <row r="289">
          <cell r="V289">
            <v>0</v>
          </cell>
        </row>
        <row r="289">
          <cell r="AA289">
            <v>0</v>
          </cell>
        </row>
        <row r="290">
          <cell r="L290">
            <v>9234</v>
          </cell>
          <cell r="M290">
            <v>46119</v>
          </cell>
        </row>
        <row r="290">
          <cell r="P290">
            <v>4091</v>
          </cell>
        </row>
        <row r="290">
          <cell r="V290">
            <v>3</v>
          </cell>
        </row>
        <row r="290">
          <cell r="AA290">
            <v>312.82</v>
          </cell>
        </row>
        <row r="291">
          <cell r="L291">
            <v>9516</v>
          </cell>
          <cell r="M291">
            <v>46119</v>
          </cell>
        </row>
        <row r="291">
          <cell r="P291">
            <v>3785</v>
          </cell>
        </row>
        <row r="291">
          <cell r="V291">
            <v>7</v>
          </cell>
        </row>
        <row r="291">
          <cell r="AA291">
            <v>765.87</v>
          </cell>
        </row>
        <row r="292">
          <cell r="L292">
            <v>9723</v>
          </cell>
          <cell r="M292">
            <v>46119</v>
          </cell>
        </row>
        <row r="292">
          <cell r="P292">
            <v>3652</v>
          </cell>
        </row>
        <row r="292">
          <cell r="V292">
            <v>0</v>
          </cell>
        </row>
        <row r="292">
          <cell r="AA292">
            <v>0</v>
          </cell>
        </row>
        <row r="293">
          <cell r="L293">
            <v>264</v>
          </cell>
          <cell r="M293">
            <v>46119</v>
          </cell>
        </row>
        <row r="293">
          <cell r="P293">
            <v>4094</v>
          </cell>
        </row>
        <row r="293">
          <cell r="V293">
            <v>3</v>
          </cell>
        </row>
        <row r="293">
          <cell r="AA293">
            <v>378.88</v>
          </cell>
        </row>
        <row r="294">
          <cell r="L294">
            <v>1449</v>
          </cell>
          <cell r="M294">
            <v>46119</v>
          </cell>
        </row>
        <row r="294">
          <cell r="P294">
            <v>4148</v>
          </cell>
        </row>
        <row r="294">
          <cell r="V294">
            <v>7</v>
          </cell>
        </row>
        <row r="294">
          <cell r="AA294">
            <v>509.08</v>
          </cell>
        </row>
        <row r="295">
          <cell r="L295">
            <v>3118</v>
          </cell>
          <cell r="M295">
            <v>46119</v>
          </cell>
        </row>
        <row r="295">
          <cell r="P295">
            <v>3715</v>
          </cell>
        </row>
        <row r="295">
          <cell r="V295">
            <v>19</v>
          </cell>
        </row>
        <row r="295">
          <cell r="AA295">
            <v>730.19</v>
          </cell>
        </row>
        <row r="296">
          <cell r="L296">
            <v>5078</v>
          </cell>
          <cell r="M296">
            <v>46119</v>
          </cell>
        </row>
        <row r="296">
          <cell r="P296">
            <v>5598</v>
          </cell>
        </row>
        <row r="296">
          <cell r="V296">
            <v>6</v>
          </cell>
        </row>
        <row r="296">
          <cell r="AA296">
            <v>990.67</v>
          </cell>
        </row>
        <row r="297">
          <cell r="L297">
            <v>6681</v>
          </cell>
          <cell r="M297">
            <v>46119</v>
          </cell>
        </row>
        <row r="297">
          <cell r="P297">
            <v>3876</v>
          </cell>
        </row>
        <row r="297">
          <cell r="V297">
            <v>12</v>
          </cell>
        </row>
        <row r="297">
          <cell r="AA297">
            <v>435.78</v>
          </cell>
        </row>
        <row r="298">
          <cell r="L298">
            <v>9296</v>
          </cell>
          <cell r="M298">
            <v>46119</v>
          </cell>
        </row>
        <row r="298">
          <cell r="P298">
            <v>4351</v>
          </cell>
        </row>
        <row r="298">
          <cell r="V298">
            <v>0</v>
          </cell>
        </row>
        <row r="298">
          <cell r="AA298">
            <v>0</v>
          </cell>
        </row>
        <row r="299">
          <cell r="L299">
            <v>10386</v>
          </cell>
          <cell r="M299">
            <v>46119</v>
          </cell>
        </row>
        <row r="299">
          <cell r="P299">
            <v>4054</v>
          </cell>
        </row>
        <row r="299">
          <cell r="V299">
            <v>0</v>
          </cell>
        </row>
        <row r="299">
          <cell r="AA299">
            <v>0</v>
          </cell>
        </row>
        <row r="300">
          <cell r="L300">
            <v>4133</v>
          </cell>
          <cell r="M300">
            <v>46119</v>
          </cell>
        </row>
        <row r="300">
          <cell r="P300">
            <v>5008</v>
          </cell>
        </row>
        <row r="300">
          <cell r="V300">
            <v>10</v>
          </cell>
        </row>
        <row r="300">
          <cell r="AA300">
            <v>952</v>
          </cell>
        </row>
        <row r="301">
          <cell r="L301">
            <v>5567</v>
          </cell>
          <cell r="M301">
            <v>46119</v>
          </cell>
        </row>
        <row r="301">
          <cell r="P301">
            <v>4184</v>
          </cell>
        </row>
        <row r="301">
          <cell r="V301">
            <v>35</v>
          </cell>
        </row>
        <row r="301">
          <cell r="AA301">
            <v>2770.47</v>
          </cell>
        </row>
        <row r="302">
          <cell r="L302">
            <v>7288</v>
          </cell>
          <cell r="M302">
            <v>46119</v>
          </cell>
        </row>
        <row r="302">
          <cell r="P302">
            <v>4721</v>
          </cell>
        </row>
        <row r="302">
          <cell r="V302">
            <v>26</v>
          </cell>
        </row>
        <row r="302">
          <cell r="AA302">
            <v>1729.72</v>
          </cell>
        </row>
        <row r="303">
          <cell r="L303">
            <v>6914</v>
          </cell>
          <cell r="M303">
            <v>46119</v>
          </cell>
        </row>
        <row r="303">
          <cell r="P303">
            <v>4482</v>
          </cell>
        </row>
        <row r="303">
          <cell r="V303">
            <v>16</v>
          </cell>
        </row>
        <row r="303">
          <cell r="AA303">
            <v>1602.12</v>
          </cell>
        </row>
        <row r="304">
          <cell r="L304">
            <v>8126</v>
          </cell>
          <cell r="M304">
            <v>46119</v>
          </cell>
        </row>
        <row r="304">
          <cell r="P304">
            <v>4817</v>
          </cell>
        </row>
        <row r="304">
          <cell r="V304">
            <v>15</v>
          </cell>
        </row>
        <row r="304">
          <cell r="AA304">
            <v>786.48</v>
          </cell>
        </row>
        <row r="305">
          <cell r="L305">
            <v>1302</v>
          </cell>
          <cell r="M305">
            <v>46119</v>
          </cell>
        </row>
        <row r="305">
          <cell r="P305">
            <v>3837</v>
          </cell>
        </row>
        <row r="305">
          <cell r="V305">
            <v>21</v>
          </cell>
        </row>
        <row r="305">
          <cell r="AA305">
            <v>1514.47</v>
          </cell>
        </row>
        <row r="306">
          <cell r="L306">
            <v>3715</v>
          </cell>
          <cell r="M306">
            <v>46119</v>
          </cell>
        </row>
        <row r="306">
          <cell r="P306">
            <v>3924</v>
          </cell>
        </row>
        <row r="306">
          <cell r="V306">
            <v>19</v>
          </cell>
        </row>
        <row r="306">
          <cell r="AA306">
            <v>1386.81</v>
          </cell>
        </row>
        <row r="307">
          <cell r="L307">
            <v>6872</v>
          </cell>
          <cell r="M307">
            <v>46119</v>
          </cell>
        </row>
        <row r="307">
          <cell r="P307">
            <v>3799</v>
          </cell>
        </row>
        <row r="307">
          <cell r="V307">
            <v>18</v>
          </cell>
        </row>
        <row r="307">
          <cell r="AA307">
            <v>1589</v>
          </cell>
        </row>
        <row r="308">
          <cell r="L308">
            <v>7189</v>
          </cell>
          <cell r="M308">
            <v>46119</v>
          </cell>
        </row>
        <row r="308">
          <cell r="P308">
            <v>4103</v>
          </cell>
        </row>
        <row r="308">
          <cell r="V308">
            <v>6</v>
          </cell>
        </row>
        <row r="308">
          <cell r="AA308">
            <v>485.94</v>
          </cell>
        </row>
        <row r="309">
          <cell r="L309">
            <v>7194</v>
          </cell>
          <cell r="M309">
            <v>46119</v>
          </cell>
        </row>
        <row r="309">
          <cell r="P309">
            <v>4105</v>
          </cell>
        </row>
        <row r="309">
          <cell r="V309">
            <v>18</v>
          </cell>
        </row>
        <row r="309">
          <cell r="AA309">
            <v>1847.63</v>
          </cell>
        </row>
        <row r="310">
          <cell r="L310">
            <v>7252</v>
          </cell>
          <cell r="M310">
            <v>46119</v>
          </cell>
        </row>
        <row r="310">
          <cell r="P310">
            <v>4072</v>
          </cell>
        </row>
        <row r="310">
          <cell r="V310">
            <v>6</v>
          </cell>
        </row>
        <row r="310">
          <cell r="AA310">
            <v>469.65</v>
          </cell>
        </row>
        <row r="311">
          <cell r="L311">
            <v>8196</v>
          </cell>
          <cell r="M311">
            <v>46119</v>
          </cell>
        </row>
        <row r="311">
          <cell r="P311">
            <v>3926</v>
          </cell>
        </row>
        <row r="311">
          <cell r="V311">
            <v>30</v>
          </cell>
        </row>
        <row r="311">
          <cell r="AA311">
            <v>1182.04</v>
          </cell>
        </row>
        <row r="312">
          <cell r="L312">
            <v>8392</v>
          </cell>
          <cell r="M312">
            <v>46119</v>
          </cell>
        </row>
        <row r="312">
          <cell r="P312">
            <v>4073</v>
          </cell>
        </row>
        <row r="312">
          <cell r="V312">
            <v>13</v>
          </cell>
        </row>
        <row r="312">
          <cell r="AA312">
            <v>1209.57</v>
          </cell>
        </row>
        <row r="313">
          <cell r="L313">
            <v>6911</v>
          </cell>
          <cell r="M313">
            <v>46119</v>
          </cell>
        </row>
        <row r="313">
          <cell r="P313">
            <v>4497</v>
          </cell>
        </row>
        <row r="313">
          <cell r="V313">
            <v>6</v>
          </cell>
        </row>
        <row r="313">
          <cell r="AA313">
            <v>564.65</v>
          </cell>
        </row>
        <row r="314">
          <cell r="L314">
            <v>1010</v>
          </cell>
          <cell r="M314">
            <v>46119</v>
          </cell>
        </row>
        <row r="314">
          <cell r="P314">
            <v>4106</v>
          </cell>
        </row>
        <row r="314">
          <cell r="V314">
            <v>7</v>
          </cell>
        </row>
        <row r="314">
          <cell r="AA314">
            <v>712.88</v>
          </cell>
        </row>
        <row r="315">
          <cell r="L315">
            <v>11655</v>
          </cell>
          <cell r="M315">
            <v>46119</v>
          </cell>
        </row>
        <row r="315">
          <cell r="P315">
            <v>5538</v>
          </cell>
        </row>
        <row r="315">
          <cell r="V315">
            <v>5</v>
          </cell>
        </row>
        <row r="315">
          <cell r="AA315">
            <v>517.5</v>
          </cell>
        </row>
        <row r="316">
          <cell r="L316">
            <v>11699</v>
          </cell>
          <cell r="M316">
            <v>46119</v>
          </cell>
        </row>
        <row r="316">
          <cell r="P316">
            <v>4765</v>
          </cell>
        </row>
        <row r="316">
          <cell r="V316">
            <v>18</v>
          </cell>
        </row>
        <row r="316">
          <cell r="AA316">
            <v>1070.82</v>
          </cell>
        </row>
        <row r="317">
          <cell r="L317">
            <v>12321</v>
          </cell>
          <cell r="M317">
            <v>46119</v>
          </cell>
        </row>
        <row r="317">
          <cell r="P317">
            <v>5441</v>
          </cell>
        </row>
        <row r="317">
          <cell r="V317">
            <v>14</v>
          </cell>
        </row>
        <row r="317">
          <cell r="AA317">
            <v>535.26</v>
          </cell>
        </row>
        <row r="318">
          <cell r="L318">
            <v>12386</v>
          </cell>
          <cell r="M318">
            <v>46119</v>
          </cell>
        </row>
        <row r="318">
          <cell r="P318">
            <v>5539</v>
          </cell>
        </row>
        <row r="318">
          <cell r="V318">
            <v>33</v>
          </cell>
        </row>
        <row r="318">
          <cell r="AA318">
            <v>6104.02</v>
          </cell>
        </row>
        <row r="319">
          <cell r="L319">
            <v>5092</v>
          </cell>
          <cell r="M319">
            <v>46119</v>
          </cell>
        </row>
        <row r="319">
          <cell r="P319">
            <v>4607</v>
          </cell>
        </row>
        <row r="319">
          <cell r="V319">
            <v>7</v>
          </cell>
        </row>
        <row r="319">
          <cell r="AA319">
            <v>223.25</v>
          </cell>
        </row>
        <row r="320">
          <cell r="L320">
            <v>7964</v>
          </cell>
          <cell r="M320">
            <v>46119</v>
          </cell>
        </row>
        <row r="320">
          <cell r="P320">
            <v>4610</v>
          </cell>
        </row>
        <row r="320">
          <cell r="V320">
            <v>20</v>
          </cell>
        </row>
        <row r="320">
          <cell r="AA320">
            <v>899.8</v>
          </cell>
        </row>
        <row r="321">
          <cell r="L321">
            <v>9814</v>
          </cell>
          <cell r="M321">
            <v>46119</v>
          </cell>
        </row>
        <row r="321">
          <cell r="P321">
            <v>4611</v>
          </cell>
        </row>
        <row r="321">
          <cell r="V321">
            <v>44</v>
          </cell>
        </row>
        <row r="321">
          <cell r="AA321">
            <v>1366.64</v>
          </cell>
        </row>
        <row r="322">
          <cell r="L322">
            <v>1712</v>
          </cell>
          <cell r="M322">
            <v>46119</v>
          </cell>
        </row>
        <row r="322">
          <cell r="P322">
            <v>4612</v>
          </cell>
        </row>
        <row r="322">
          <cell r="V322">
            <v>14</v>
          </cell>
        </row>
        <row r="322">
          <cell r="AA322">
            <v>489.73</v>
          </cell>
        </row>
        <row r="323">
          <cell r="L323">
            <v>3757</v>
          </cell>
          <cell r="M323">
            <v>46119</v>
          </cell>
        </row>
        <row r="323">
          <cell r="P323">
            <v>4678</v>
          </cell>
        </row>
        <row r="323">
          <cell r="V323">
            <v>62</v>
          </cell>
        </row>
        <row r="323">
          <cell r="AA323">
            <v>2382.52</v>
          </cell>
        </row>
        <row r="324">
          <cell r="L324">
            <v>4267</v>
          </cell>
          <cell r="M324">
            <v>46119</v>
          </cell>
        </row>
        <row r="324">
          <cell r="P324">
            <v>5121</v>
          </cell>
        </row>
        <row r="324">
          <cell r="V324">
            <v>14</v>
          </cell>
        </row>
        <row r="324">
          <cell r="AA324">
            <v>1051.71</v>
          </cell>
        </row>
        <row r="325">
          <cell r="L325">
            <v>1586</v>
          </cell>
          <cell r="M325">
            <v>46119</v>
          </cell>
        </row>
        <row r="325">
          <cell r="P325">
            <v>4435</v>
          </cell>
        </row>
        <row r="325">
          <cell r="V325">
            <v>11</v>
          </cell>
        </row>
        <row r="325">
          <cell r="AA325">
            <v>441.23</v>
          </cell>
        </row>
        <row r="326">
          <cell r="L326">
            <v>9561</v>
          </cell>
          <cell r="M326">
            <v>46119</v>
          </cell>
        </row>
        <row r="326">
          <cell r="P326">
            <v>4665</v>
          </cell>
        </row>
        <row r="326">
          <cell r="V326">
            <v>9</v>
          </cell>
        </row>
        <row r="326">
          <cell r="AA326">
            <v>445.91</v>
          </cell>
        </row>
        <row r="327">
          <cell r="L327">
            <v>1655</v>
          </cell>
          <cell r="M327">
            <v>46119</v>
          </cell>
        </row>
        <row r="327">
          <cell r="P327">
            <v>5834</v>
          </cell>
        </row>
        <row r="327">
          <cell r="V327">
            <v>19</v>
          </cell>
        </row>
        <row r="327">
          <cell r="AA327">
            <v>1347.08</v>
          </cell>
        </row>
        <row r="328">
          <cell r="L328">
            <v>1657</v>
          </cell>
          <cell r="M328">
            <v>46119</v>
          </cell>
        </row>
        <row r="328">
          <cell r="P328">
            <v>4208</v>
          </cell>
        </row>
        <row r="328">
          <cell r="V328">
            <v>6</v>
          </cell>
        </row>
        <row r="328">
          <cell r="AA328">
            <v>529.17</v>
          </cell>
        </row>
        <row r="329">
          <cell r="L329">
            <v>1249</v>
          </cell>
          <cell r="M329">
            <v>46119</v>
          </cell>
        </row>
        <row r="329">
          <cell r="P329">
            <v>4236</v>
          </cell>
        </row>
        <row r="329">
          <cell r="V329">
            <v>5</v>
          </cell>
        </row>
        <row r="329">
          <cell r="AA329">
            <v>291.96</v>
          </cell>
        </row>
        <row r="330">
          <cell r="L330">
            <v>1161</v>
          </cell>
          <cell r="M330">
            <v>46119</v>
          </cell>
        </row>
        <row r="330">
          <cell r="P330">
            <v>4535</v>
          </cell>
        </row>
        <row r="330">
          <cell r="V330">
            <v>3</v>
          </cell>
        </row>
        <row r="330">
          <cell r="AA330">
            <v>303</v>
          </cell>
        </row>
        <row r="331">
          <cell r="L331">
            <v>545</v>
          </cell>
          <cell r="M331">
            <v>46119</v>
          </cell>
        </row>
        <row r="331">
          <cell r="P331">
            <v>4505</v>
          </cell>
        </row>
        <row r="331">
          <cell r="V331">
            <v>29</v>
          </cell>
        </row>
        <row r="331">
          <cell r="AA331">
            <v>2259.4</v>
          </cell>
        </row>
        <row r="332">
          <cell r="L332">
            <v>1310</v>
          </cell>
          <cell r="M332">
            <v>46119</v>
          </cell>
        </row>
        <row r="332">
          <cell r="P332">
            <v>4646</v>
          </cell>
        </row>
        <row r="332">
          <cell r="V332">
            <v>10</v>
          </cell>
        </row>
        <row r="332">
          <cell r="AA332">
            <v>1418.46</v>
          </cell>
        </row>
        <row r="333">
          <cell r="L333">
            <v>5869</v>
          </cell>
          <cell r="M333">
            <v>46119</v>
          </cell>
        </row>
        <row r="333">
          <cell r="P333">
            <v>4411</v>
          </cell>
        </row>
        <row r="333">
          <cell r="V333">
            <v>19</v>
          </cell>
        </row>
        <row r="333">
          <cell r="AA333">
            <v>1208.21</v>
          </cell>
        </row>
        <row r="334">
          <cell r="L334">
            <v>1159</v>
          </cell>
          <cell r="M334">
            <v>46119</v>
          </cell>
        </row>
        <row r="334">
          <cell r="P334">
            <v>4412</v>
          </cell>
        </row>
        <row r="334">
          <cell r="V334">
            <v>0</v>
          </cell>
        </row>
        <row r="334">
          <cell r="AA334">
            <v>0</v>
          </cell>
        </row>
        <row r="335">
          <cell r="L335">
            <v>8985</v>
          </cell>
          <cell r="M335">
            <v>46119</v>
          </cell>
        </row>
        <row r="335">
          <cell r="P335">
            <v>4209</v>
          </cell>
        </row>
        <row r="335">
          <cell r="V335">
            <v>1</v>
          </cell>
        </row>
        <row r="335">
          <cell r="AA335">
            <v>87.5</v>
          </cell>
        </row>
        <row r="336">
          <cell r="L336">
            <v>9113</v>
          </cell>
          <cell r="M336">
            <v>46119</v>
          </cell>
        </row>
        <row r="336">
          <cell r="P336">
            <v>4669</v>
          </cell>
        </row>
        <row r="336">
          <cell r="V336">
            <v>15</v>
          </cell>
        </row>
        <row r="336">
          <cell r="AA336">
            <v>2341.6</v>
          </cell>
        </row>
        <row r="337">
          <cell r="L337">
            <v>11446</v>
          </cell>
          <cell r="M337">
            <v>46119</v>
          </cell>
        </row>
        <row r="337">
          <cell r="P337">
            <v>4280</v>
          </cell>
        </row>
        <row r="337">
          <cell r="V337">
            <v>0</v>
          </cell>
        </row>
        <row r="337">
          <cell r="AA337">
            <v>0</v>
          </cell>
        </row>
        <row r="338">
          <cell r="L338">
            <v>1370</v>
          </cell>
          <cell r="M338">
            <v>46119</v>
          </cell>
        </row>
        <row r="338">
          <cell r="P338">
            <v>4282</v>
          </cell>
        </row>
        <row r="338">
          <cell r="V338">
            <v>2</v>
          </cell>
        </row>
        <row r="338">
          <cell r="AA338">
            <v>649.8</v>
          </cell>
        </row>
        <row r="339">
          <cell r="L339">
            <v>5447</v>
          </cell>
          <cell r="M339">
            <v>46119</v>
          </cell>
        </row>
        <row r="339">
          <cell r="P339">
            <v>5283</v>
          </cell>
        </row>
        <row r="339">
          <cell r="V339">
            <v>11</v>
          </cell>
        </row>
        <row r="339">
          <cell r="AA339">
            <v>2558.34</v>
          </cell>
        </row>
        <row r="340">
          <cell r="L340">
            <v>8680</v>
          </cell>
          <cell r="M340">
            <v>46119</v>
          </cell>
        </row>
        <row r="340">
          <cell r="P340">
            <v>5671</v>
          </cell>
        </row>
        <row r="340">
          <cell r="V340">
            <v>18</v>
          </cell>
        </row>
        <row r="340">
          <cell r="AA340">
            <v>2296.82</v>
          </cell>
        </row>
        <row r="341">
          <cell r="L341">
            <v>6162</v>
          </cell>
          <cell r="M341">
            <v>46119</v>
          </cell>
        </row>
        <row r="341">
          <cell r="P341">
            <v>5672</v>
          </cell>
        </row>
        <row r="341">
          <cell r="V341">
            <v>9</v>
          </cell>
        </row>
        <row r="341">
          <cell r="AA341">
            <v>1111.81</v>
          </cell>
        </row>
        <row r="342">
          <cell r="L342">
            <v>635</v>
          </cell>
          <cell r="M342">
            <v>46119</v>
          </cell>
        </row>
        <row r="342">
          <cell r="P342">
            <v>5589</v>
          </cell>
        </row>
        <row r="342">
          <cell r="V342">
            <v>7</v>
          </cell>
        </row>
        <row r="342">
          <cell r="AA342">
            <v>242.3</v>
          </cell>
        </row>
        <row r="343">
          <cell r="L343">
            <v>626</v>
          </cell>
          <cell r="M343">
            <v>46119</v>
          </cell>
        </row>
        <row r="343">
          <cell r="P343">
            <v>5590</v>
          </cell>
        </row>
        <row r="343">
          <cell r="V343">
            <v>17</v>
          </cell>
        </row>
        <row r="343">
          <cell r="AA343">
            <v>524.6</v>
          </cell>
        </row>
        <row r="344">
          <cell r="L344">
            <v>693</v>
          </cell>
          <cell r="M344">
            <v>46119</v>
          </cell>
        </row>
        <row r="344">
          <cell r="P344">
            <v>5835</v>
          </cell>
        </row>
        <row r="344">
          <cell r="V344">
            <v>8</v>
          </cell>
        </row>
        <row r="344">
          <cell r="AA344">
            <v>2166.89</v>
          </cell>
        </row>
        <row r="345">
          <cell r="L345">
            <v>7173</v>
          </cell>
          <cell r="M345">
            <v>46119</v>
          </cell>
        </row>
        <row r="345">
          <cell r="P345">
            <v>7042</v>
          </cell>
        </row>
        <row r="345">
          <cell r="V345">
            <v>84</v>
          </cell>
        </row>
        <row r="345">
          <cell r="AA345">
            <v>1387.22</v>
          </cell>
        </row>
        <row r="346">
          <cell r="L346">
            <v>5571</v>
          </cell>
          <cell r="M346">
            <v>46119</v>
          </cell>
        </row>
        <row r="346">
          <cell r="P346">
            <v>6031</v>
          </cell>
        </row>
        <row r="346">
          <cell r="V346">
            <v>16</v>
          </cell>
        </row>
        <row r="346">
          <cell r="AA346">
            <v>170.15</v>
          </cell>
        </row>
        <row r="347">
          <cell r="L347">
            <v>1371</v>
          </cell>
          <cell r="M347">
            <v>46119</v>
          </cell>
        </row>
        <row r="347">
          <cell r="P347">
            <v>6033</v>
          </cell>
        </row>
        <row r="347">
          <cell r="V347">
            <v>22</v>
          </cell>
        </row>
        <row r="347">
          <cell r="AA347">
            <v>658.9</v>
          </cell>
        </row>
        <row r="348">
          <cell r="L348">
            <v>9456</v>
          </cell>
          <cell r="M348">
            <v>46119</v>
          </cell>
        </row>
        <row r="348">
          <cell r="P348">
            <v>5571</v>
          </cell>
        </row>
        <row r="348">
          <cell r="V348">
            <v>2</v>
          </cell>
        </row>
        <row r="348">
          <cell r="AA348">
            <v>95.53</v>
          </cell>
        </row>
        <row r="349">
          <cell r="L349">
            <v>10298</v>
          </cell>
          <cell r="M349">
            <v>46119</v>
          </cell>
        </row>
        <row r="349">
          <cell r="P349">
            <v>5627</v>
          </cell>
        </row>
        <row r="349">
          <cell r="V349">
            <v>0</v>
          </cell>
        </row>
        <row r="349">
          <cell r="AA349">
            <v>0</v>
          </cell>
        </row>
        <row r="350">
          <cell r="L350">
            <v>1027</v>
          </cell>
          <cell r="M350">
            <v>46119</v>
          </cell>
        </row>
        <row r="350">
          <cell r="P350">
            <v>5728</v>
          </cell>
        </row>
        <row r="350">
          <cell r="V350">
            <v>26</v>
          </cell>
        </row>
        <row r="350">
          <cell r="AA350">
            <v>363.67</v>
          </cell>
        </row>
        <row r="351">
          <cell r="L351">
            <v>8082</v>
          </cell>
          <cell r="M351">
            <v>46119</v>
          </cell>
        </row>
        <row r="351">
          <cell r="P351">
            <v>5620</v>
          </cell>
        </row>
        <row r="351">
          <cell r="V351">
            <v>9</v>
          </cell>
        </row>
        <row r="351">
          <cell r="AA351">
            <v>96.3</v>
          </cell>
        </row>
        <row r="352">
          <cell r="L352">
            <v>8753</v>
          </cell>
          <cell r="M352">
            <v>46119</v>
          </cell>
        </row>
        <row r="352">
          <cell r="P352">
            <v>5841</v>
          </cell>
        </row>
        <row r="352">
          <cell r="V352">
            <v>31</v>
          </cell>
        </row>
        <row r="352">
          <cell r="AA352">
            <v>348.49</v>
          </cell>
        </row>
        <row r="353">
          <cell r="L353">
            <v>8754</v>
          </cell>
          <cell r="M353">
            <v>46119</v>
          </cell>
        </row>
        <row r="353">
          <cell r="P353">
            <v>5630</v>
          </cell>
        </row>
        <row r="353">
          <cell r="V353">
            <v>22</v>
          </cell>
        </row>
        <row r="353">
          <cell r="AA353">
            <v>242</v>
          </cell>
        </row>
        <row r="354">
          <cell r="L354">
            <v>8212</v>
          </cell>
          <cell r="M354">
            <v>46119</v>
          </cell>
        </row>
        <row r="354">
          <cell r="P354">
            <v>5455</v>
          </cell>
        </row>
        <row r="354">
          <cell r="V354">
            <v>1</v>
          </cell>
        </row>
        <row r="354">
          <cell r="AA354">
            <v>30.76</v>
          </cell>
        </row>
        <row r="355">
          <cell r="L355">
            <v>9172</v>
          </cell>
          <cell r="M355">
            <v>46119</v>
          </cell>
        </row>
        <row r="355">
          <cell r="P355">
            <v>5647</v>
          </cell>
        </row>
        <row r="355">
          <cell r="V355">
            <v>0</v>
          </cell>
        </row>
        <row r="355">
          <cell r="AA355">
            <v>0</v>
          </cell>
        </row>
        <row r="356">
          <cell r="L356">
            <v>8936</v>
          </cell>
          <cell r="M356">
            <v>46119</v>
          </cell>
        </row>
        <row r="356">
          <cell r="P356">
            <v>5092</v>
          </cell>
        </row>
        <row r="356">
          <cell r="V356">
            <v>45</v>
          </cell>
        </row>
        <row r="356">
          <cell r="AA356">
            <v>454.95</v>
          </cell>
        </row>
        <row r="357">
          <cell r="L357">
            <v>9495</v>
          </cell>
          <cell r="M357">
            <v>46119</v>
          </cell>
        </row>
        <row r="357">
          <cell r="P357">
            <v>5310</v>
          </cell>
        </row>
        <row r="357">
          <cell r="V357">
            <v>8</v>
          </cell>
        </row>
        <row r="357">
          <cell r="AA357">
            <v>1641.32</v>
          </cell>
        </row>
        <row r="358">
          <cell r="L358">
            <v>3284</v>
          </cell>
          <cell r="M358">
            <v>46119</v>
          </cell>
        </row>
        <row r="358">
          <cell r="P358">
            <v>5336</v>
          </cell>
        </row>
        <row r="358">
          <cell r="V358">
            <v>23</v>
          </cell>
        </row>
        <row r="358">
          <cell r="AA358">
            <v>3177.39</v>
          </cell>
        </row>
        <row r="359">
          <cell r="L359">
            <v>9233</v>
          </cell>
          <cell r="M359">
            <v>46119</v>
          </cell>
        </row>
        <row r="359">
          <cell r="P359">
            <v>5843</v>
          </cell>
        </row>
        <row r="359">
          <cell r="V359">
            <v>13</v>
          </cell>
        </row>
        <row r="359">
          <cell r="AA359">
            <v>1444.87</v>
          </cell>
        </row>
        <row r="360">
          <cell r="L360">
            <v>8437</v>
          </cell>
          <cell r="M360">
            <v>46119</v>
          </cell>
        </row>
        <row r="360">
          <cell r="P360">
            <v>5813</v>
          </cell>
        </row>
        <row r="360">
          <cell r="V360">
            <v>3</v>
          </cell>
        </row>
        <row r="360">
          <cell r="AA360">
            <v>345</v>
          </cell>
        </row>
        <row r="361">
          <cell r="L361">
            <v>8783</v>
          </cell>
          <cell r="M361">
            <v>46119</v>
          </cell>
        </row>
        <row r="361">
          <cell r="P361">
            <v>5787</v>
          </cell>
        </row>
        <row r="361">
          <cell r="V361">
            <v>6</v>
          </cell>
        </row>
        <row r="361">
          <cell r="AA361">
            <v>855.3</v>
          </cell>
        </row>
        <row r="362">
          <cell r="L362">
            <v>9289</v>
          </cell>
          <cell r="M362">
            <v>46119</v>
          </cell>
        </row>
        <row r="362">
          <cell r="P362">
            <v>5788</v>
          </cell>
        </row>
        <row r="362">
          <cell r="V362">
            <v>3</v>
          </cell>
        </row>
        <row r="362">
          <cell r="AA362">
            <v>427.9</v>
          </cell>
        </row>
        <row r="363">
          <cell r="L363">
            <v>9514</v>
          </cell>
          <cell r="M363">
            <v>46119</v>
          </cell>
        </row>
        <row r="363">
          <cell r="P363">
            <v>6304</v>
          </cell>
        </row>
        <row r="363">
          <cell r="V363">
            <v>0</v>
          </cell>
        </row>
        <row r="363">
          <cell r="AA363">
            <v>0</v>
          </cell>
        </row>
        <row r="364">
          <cell r="L364">
            <v>9290</v>
          </cell>
          <cell r="M364">
            <v>46119</v>
          </cell>
        </row>
        <row r="364">
          <cell r="P364">
            <v>6821</v>
          </cell>
        </row>
        <row r="364">
          <cell r="V364">
            <v>5</v>
          </cell>
        </row>
        <row r="364">
          <cell r="AA364">
            <v>946.14</v>
          </cell>
        </row>
        <row r="365">
          <cell r="L365">
            <v>8781</v>
          </cell>
          <cell r="M365">
            <v>46119</v>
          </cell>
        </row>
        <row r="365">
          <cell r="P365">
            <v>7636</v>
          </cell>
        </row>
        <row r="365">
          <cell r="V365">
            <v>21</v>
          </cell>
        </row>
        <row r="365">
          <cell r="AA365">
            <v>1488.92</v>
          </cell>
        </row>
        <row r="366">
          <cell r="L366">
            <v>8550</v>
          </cell>
          <cell r="M366">
            <v>46119</v>
          </cell>
        </row>
        <row r="366">
          <cell r="P366">
            <v>6725</v>
          </cell>
        </row>
        <row r="366">
          <cell r="V366">
            <v>35</v>
          </cell>
        </row>
        <row r="366">
          <cell r="AA366">
            <v>3301.52</v>
          </cell>
        </row>
        <row r="367">
          <cell r="L367">
            <v>8617</v>
          </cell>
          <cell r="M367">
            <v>46119</v>
          </cell>
        </row>
        <row r="367">
          <cell r="P367">
            <v>6454</v>
          </cell>
        </row>
        <row r="367">
          <cell r="V367">
            <v>42</v>
          </cell>
        </row>
        <row r="367">
          <cell r="AA367">
            <v>1768.89</v>
          </cell>
        </row>
        <row r="368">
          <cell r="L368">
            <v>8766</v>
          </cell>
          <cell r="M368">
            <v>46119</v>
          </cell>
        </row>
        <row r="368">
          <cell r="P368">
            <v>6058</v>
          </cell>
        </row>
        <row r="368">
          <cell r="V368">
            <v>13</v>
          </cell>
        </row>
        <row r="368">
          <cell r="AA368">
            <v>740.56</v>
          </cell>
        </row>
        <row r="369">
          <cell r="L369">
            <v>8767</v>
          </cell>
          <cell r="M369">
            <v>46119</v>
          </cell>
        </row>
        <row r="369">
          <cell r="P369">
            <v>7643</v>
          </cell>
        </row>
        <row r="369">
          <cell r="V369">
            <v>49</v>
          </cell>
        </row>
        <row r="369">
          <cell r="AA369">
            <v>1377.21</v>
          </cell>
        </row>
        <row r="370">
          <cell r="L370">
            <v>8845</v>
          </cell>
          <cell r="M370">
            <v>46119</v>
          </cell>
        </row>
        <row r="370">
          <cell r="P370">
            <v>7104</v>
          </cell>
        </row>
        <row r="370">
          <cell r="V370">
            <v>32</v>
          </cell>
        </row>
        <row r="370">
          <cell r="AA370">
            <v>1356.6</v>
          </cell>
        </row>
        <row r="371">
          <cell r="L371">
            <v>9625</v>
          </cell>
          <cell r="M371">
            <v>46119</v>
          </cell>
        </row>
        <row r="371">
          <cell r="P371">
            <v>6681</v>
          </cell>
        </row>
        <row r="371">
          <cell r="V371">
            <v>31</v>
          </cell>
        </row>
        <row r="371">
          <cell r="AA371">
            <v>1487.08</v>
          </cell>
        </row>
        <row r="372">
          <cell r="L372">
            <v>9912</v>
          </cell>
          <cell r="M372">
            <v>46119</v>
          </cell>
        </row>
        <row r="372">
          <cell r="P372">
            <v>9551</v>
          </cell>
        </row>
        <row r="372">
          <cell r="V372">
            <v>6</v>
          </cell>
        </row>
        <row r="372">
          <cell r="AA372">
            <v>985.51</v>
          </cell>
        </row>
        <row r="373">
          <cell r="L373">
            <v>357</v>
          </cell>
          <cell r="M373">
            <v>46119</v>
          </cell>
        </row>
        <row r="373">
          <cell r="P373">
            <v>9296</v>
          </cell>
        </row>
        <row r="373">
          <cell r="V373">
            <v>0</v>
          </cell>
        </row>
        <row r="373">
          <cell r="AA373">
            <v>0</v>
          </cell>
        </row>
        <row r="374">
          <cell r="L374">
            <v>481</v>
          </cell>
          <cell r="M374">
            <v>46119</v>
          </cell>
        </row>
        <row r="374">
          <cell r="P374">
            <v>9821</v>
          </cell>
        </row>
        <row r="374">
          <cell r="V374">
            <v>17</v>
          </cell>
        </row>
        <row r="374">
          <cell r="AA374">
            <v>3465</v>
          </cell>
        </row>
        <row r="375">
          <cell r="L375">
            <v>636</v>
          </cell>
          <cell r="M375">
            <v>46119</v>
          </cell>
        </row>
        <row r="375">
          <cell r="P375">
            <v>9174</v>
          </cell>
        </row>
        <row r="375">
          <cell r="V375">
            <v>91</v>
          </cell>
        </row>
        <row r="375">
          <cell r="AA375">
            <v>11834.58</v>
          </cell>
        </row>
        <row r="376">
          <cell r="L376">
            <v>944</v>
          </cell>
          <cell r="M376">
            <v>46119</v>
          </cell>
        </row>
        <row r="376">
          <cell r="P376">
            <v>8353</v>
          </cell>
        </row>
        <row r="376">
          <cell r="V376">
            <v>6</v>
          </cell>
        </row>
        <row r="376">
          <cell r="AA376">
            <v>827.94</v>
          </cell>
        </row>
        <row r="377">
          <cell r="L377">
            <v>1212</v>
          </cell>
          <cell r="M377">
            <v>46119</v>
          </cell>
        </row>
        <row r="377">
          <cell r="P377">
            <v>8671</v>
          </cell>
        </row>
        <row r="377">
          <cell r="V377">
            <v>13</v>
          </cell>
        </row>
        <row r="377">
          <cell r="AA377">
            <v>1773</v>
          </cell>
        </row>
        <row r="378">
          <cell r="L378">
            <v>1290</v>
          </cell>
          <cell r="M378">
            <v>46119</v>
          </cell>
        </row>
        <row r="378">
          <cell r="P378">
            <v>9932</v>
          </cell>
        </row>
        <row r="378">
          <cell r="V378">
            <v>21</v>
          </cell>
        </row>
        <row r="378">
          <cell r="AA378">
            <v>2154.11</v>
          </cell>
        </row>
        <row r="379">
          <cell r="L379">
            <v>1753</v>
          </cell>
          <cell r="M379">
            <v>46119</v>
          </cell>
        </row>
        <row r="379">
          <cell r="P379">
            <v>9806</v>
          </cell>
        </row>
        <row r="379">
          <cell r="V379">
            <v>21</v>
          </cell>
        </row>
        <row r="379">
          <cell r="AA379">
            <v>1355.79</v>
          </cell>
        </row>
        <row r="380">
          <cell r="L380">
            <v>3598</v>
          </cell>
          <cell r="M380">
            <v>46119</v>
          </cell>
        </row>
        <row r="380">
          <cell r="P380">
            <v>9817</v>
          </cell>
        </row>
        <row r="380">
          <cell r="V380">
            <v>2</v>
          </cell>
        </row>
        <row r="380">
          <cell r="AA380">
            <v>315.23</v>
          </cell>
        </row>
        <row r="381">
          <cell r="L381">
            <v>3651</v>
          </cell>
          <cell r="M381">
            <v>46119</v>
          </cell>
        </row>
        <row r="381">
          <cell r="P381">
            <v>9725</v>
          </cell>
        </row>
        <row r="381">
          <cell r="V381">
            <v>14</v>
          </cell>
        </row>
        <row r="381">
          <cell r="AA381">
            <v>964</v>
          </cell>
        </row>
        <row r="382">
          <cell r="L382">
            <v>3794</v>
          </cell>
          <cell r="M382">
            <v>46119</v>
          </cell>
        </row>
        <row r="382">
          <cell r="P382">
            <v>9156</v>
          </cell>
        </row>
        <row r="382">
          <cell r="V382">
            <v>8</v>
          </cell>
        </row>
        <row r="382">
          <cell r="AA382">
            <v>726.72</v>
          </cell>
        </row>
        <row r="383">
          <cell r="L383">
            <v>3833</v>
          </cell>
          <cell r="M383">
            <v>46119</v>
          </cell>
        </row>
        <row r="383">
          <cell r="P383">
            <v>9358</v>
          </cell>
        </row>
        <row r="383">
          <cell r="V383">
            <v>6</v>
          </cell>
        </row>
        <row r="383">
          <cell r="AA383">
            <v>369.99</v>
          </cell>
        </row>
        <row r="384">
          <cell r="L384">
            <v>3871</v>
          </cell>
          <cell r="M384">
            <v>46119</v>
          </cell>
        </row>
        <row r="384">
          <cell r="P384">
            <v>9552</v>
          </cell>
        </row>
        <row r="384">
          <cell r="V384">
            <v>0</v>
          </cell>
        </row>
        <row r="384">
          <cell r="AA384">
            <v>0</v>
          </cell>
        </row>
        <row r="385">
          <cell r="L385">
            <v>6559</v>
          </cell>
          <cell r="M385">
            <v>46119</v>
          </cell>
        </row>
        <row r="385">
          <cell r="P385">
            <v>9258</v>
          </cell>
        </row>
        <row r="385">
          <cell r="V385">
            <v>2</v>
          </cell>
        </row>
        <row r="385">
          <cell r="AA385">
            <v>218.9</v>
          </cell>
        </row>
        <row r="386">
          <cell r="L386">
            <v>6903</v>
          </cell>
          <cell r="M386">
            <v>46119</v>
          </cell>
        </row>
        <row r="386">
          <cell r="P386">
            <v>8525</v>
          </cell>
        </row>
        <row r="386">
          <cell r="V386">
            <v>3</v>
          </cell>
        </row>
        <row r="386">
          <cell r="AA386">
            <v>150.99</v>
          </cell>
        </row>
        <row r="387">
          <cell r="L387">
            <v>8088</v>
          </cell>
          <cell r="M387">
            <v>46119</v>
          </cell>
        </row>
        <row r="387">
          <cell r="P387">
            <v>8526</v>
          </cell>
        </row>
        <row r="387">
          <cell r="V387">
            <v>5</v>
          </cell>
        </row>
        <row r="387">
          <cell r="AA387">
            <v>171.25</v>
          </cell>
        </row>
        <row r="388">
          <cell r="L388">
            <v>8213</v>
          </cell>
          <cell r="M388">
            <v>46119</v>
          </cell>
        </row>
        <row r="388">
          <cell r="P388">
            <v>9553</v>
          </cell>
        </row>
        <row r="388">
          <cell r="V388">
            <v>8</v>
          </cell>
        </row>
        <row r="388">
          <cell r="AA388">
            <v>490.72</v>
          </cell>
        </row>
        <row r="389">
          <cell r="L389">
            <v>8373</v>
          </cell>
          <cell r="M389">
            <v>46119</v>
          </cell>
        </row>
        <row r="389">
          <cell r="P389">
            <v>9776</v>
          </cell>
        </row>
        <row r="389">
          <cell r="V389">
            <v>39</v>
          </cell>
        </row>
        <row r="389">
          <cell r="AA389">
            <v>2124.19</v>
          </cell>
        </row>
        <row r="390">
          <cell r="L390">
            <v>8879</v>
          </cell>
          <cell r="M390">
            <v>46119</v>
          </cell>
        </row>
        <row r="390">
          <cell r="P390">
            <v>9227</v>
          </cell>
        </row>
        <row r="390">
          <cell r="V390">
            <v>0</v>
          </cell>
        </row>
        <row r="390">
          <cell r="AA390">
            <v>0</v>
          </cell>
        </row>
        <row r="391">
          <cell r="L391">
            <v>481</v>
          </cell>
          <cell r="M391">
            <v>46119</v>
          </cell>
        </row>
        <row r="391">
          <cell r="P391">
            <v>9233</v>
          </cell>
        </row>
        <row r="391">
          <cell r="V391">
            <v>22</v>
          </cell>
        </row>
        <row r="391">
          <cell r="AA391">
            <v>267.76</v>
          </cell>
        </row>
        <row r="392">
          <cell r="L392">
            <v>3901</v>
          </cell>
          <cell r="M392">
            <v>46119</v>
          </cell>
        </row>
        <row r="392">
          <cell r="P392">
            <v>9234</v>
          </cell>
        </row>
        <row r="392">
          <cell r="V392">
            <v>5</v>
          </cell>
        </row>
        <row r="392">
          <cell r="AA392">
            <v>62.88</v>
          </cell>
        </row>
        <row r="393">
          <cell r="L393">
            <v>12005</v>
          </cell>
          <cell r="M393">
            <v>46119</v>
          </cell>
        </row>
        <row r="393">
          <cell r="P393">
            <v>9228</v>
          </cell>
        </row>
        <row r="393">
          <cell r="V393">
            <v>11</v>
          </cell>
        </row>
        <row r="393">
          <cell r="AA393">
            <v>438.89</v>
          </cell>
        </row>
        <row r="394">
          <cell r="L394">
            <v>12011</v>
          </cell>
          <cell r="M394">
            <v>46119</v>
          </cell>
        </row>
        <row r="394">
          <cell r="P394">
            <v>8903</v>
          </cell>
        </row>
        <row r="394">
          <cell r="V394">
            <v>0</v>
          </cell>
        </row>
        <row r="394">
          <cell r="AA394">
            <v>0</v>
          </cell>
        </row>
        <row r="395">
          <cell r="L395">
            <v>12060</v>
          </cell>
          <cell r="M395">
            <v>46119</v>
          </cell>
        </row>
        <row r="395">
          <cell r="P395">
            <v>8899</v>
          </cell>
        </row>
        <row r="395">
          <cell r="V395">
            <v>11</v>
          </cell>
        </row>
        <row r="395">
          <cell r="AA395">
            <v>467.83</v>
          </cell>
        </row>
        <row r="396">
          <cell r="L396">
            <v>11997</v>
          </cell>
          <cell r="M396">
            <v>46119</v>
          </cell>
        </row>
        <row r="396">
          <cell r="P396">
            <v>8906</v>
          </cell>
        </row>
        <row r="396">
          <cell r="V396">
            <v>11</v>
          </cell>
        </row>
        <row r="396">
          <cell r="AA396">
            <v>477.02</v>
          </cell>
        </row>
        <row r="397">
          <cell r="L397">
            <v>11603</v>
          </cell>
          <cell r="M397">
            <v>46119</v>
          </cell>
        </row>
        <row r="397">
          <cell r="P397">
            <v>9723</v>
          </cell>
        </row>
        <row r="397">
          <cell r="V397">
            <v>13</v>
          </cell>
        </row>
        <row r="397">
          <cell r="AA397">
            <v>624</v>
          </cell>
        </row>
        <row r="398">
          <cell r="L398">
            <v>12105</v>
          </cell>
          <cell r="M398">
            <v>46119</v>
          </cell>
        </row>
        <row r="398">
          <cell r="P398">
            <v>8914</v>
          </cell>
        </row>
        <row r="398">
          <cell r="V398">
            <v>0</v>
          </cell>
        </row>
        <row r="398">
          <cell r="AA398">
            <v>0</v>
          </cell>
        </row>
        <row r="399">
          <cell r="L399">
            <v>12106</v>
          </cell>
          <cell r="M399">
            <v>46119</v>
          </cell>
        </row>
        <row r="399">
          <cell r="P399">
            <v>8908</v>
          </cell>
        </row>
        <row r="399">
          <cell r="V399">
            <v>1</v>
          </cell>
        </row>
        <row r="399">
          <cell r="AA399">
            <v>13.68</v>
          </cell>
        </row>
        <row r="400">
          <cell r="L400">
            <v>12073</v>
          </cell>
          <cell r="M400">
            <v>46119</v>
          </cell>
        </row>
        <row r="400">
          <cell r="P400">
            <v>8675</v>
          </cell>
        </row>
        <row r="400">
          <cell r="V400">
            <v>6</v>
          </cell>
        </row>
        <row r="400">
          <cell r="AA400">
            <v>159</v>
          </cell>
        </row>
        <row r="401">
          <cell r="L401">
            <v>12075</v>
          </cell>
          <cell r="M401">
            <v>46119</v>
          </cell>
        </row>
        <row r="401">
          <cell r="P401">
            <v>8984</v>
          </cell>
        </row>
        <row r="401">
          <cell r="V401">
            <v>10</v>
          </cell>
        </row>
        <row r="401">
          <cell r="AA401">
            <v>1047.72</v>
          </cell>
        </row>
        <row r="402">
          <cell r="L402">
            <v>3597</v>
          </cell>
          <cell r="M402">
            <v>46119</v>
          </cell>
        </row>
        <row r="402">
          <cell r="P402">
            <v>9894</v>
          </cell>
        </row>
        <row r="402">
          <cell r="V402">
            <v>13</v>
          </cell>
        </row>
        <row r="402">
          <cell r="AA402">
            <v>2046.62</v>
          </cell>
        </row>
        <row r="403">
          <cell r="L403">
            <v>2462</v>
          </cell>
          <cell r="M403">
            <v>46119</v>
          </cell>
        </row>
        <row r="403">
          <cell r="P403">
            <v>9814</v>
          </cell>
        </row>
        <row r="403">
          <cell r="V403">
            <v>6</v>
          </cell>
        </row>
        <row r="403">
          <cell r="AA403">
            <v>760.54</v>
          </cell>
        </row>
        <row r="404">
          <cell r="L404">
            <v>4324</v>
          </cell>
          <cell r="M404">
            <v>46119</v>
          </cell>
        </row>
        <row r="404">
          <cell r="P404">
            <v>9455</v>
          </cell>
        </row>
        <row r="404">
          <cell r="V404">
            <v>1</v>
          </cell>
        </row>
        <row r="404">
          <cell r="AA404">
            <v>110.69</v>
          </cell>
        </row>
        <row r="405">
          <cell r="L405">
            <v>2713</v>
          </cell>
          <cell r="M405">
            <v>46119</v>
          </cell>
        </row>
        <row r="405">
          <cell r="P405">
            <v>9581</v>
          </cell>
        </row>
        <row r="405">
          <cell r="V405">
            <v>0</v>
          </cell>
        </row>
        <row r="405">
          <cell r="AA405">
            <v>0</v>
          </cell>
        </row>
        <row r="406">
          <cell r="L406">
            <v>349</v>
          </cell>
          <cell r="M406">
            <v>46119</v>
          </cell>
        </row>
        <row r="406">
          <cell r="P406">
            <v>9731</v>
          </cell>
        </row>
        <row r="406">
          <cell r="V406">
            <v>9</v>
          </cell>
        </row>
        <row r="406">
          <cell r="AA406">
            <v>1463</v>
          </cell>
        </row>
        <row r="407">
          <cell r="L407">
            <v>483</v>
          </cell>
          <cell r="M407">
            <v>46119</v>
          </cell>
        </row>
        <row r="407">
          <cell r="P407">
            <v>9732</v>
          </cell>
        </row>
        <row r="407">
          <cell r="V407">
            <v>2</v>
          </cell>
        </row>
        <row r="407">
          <cell r="AA407">
            <v>325.34</v>
          </cell>
        </row>
        <row r="408">
          <cell r="L408">
            <v>487</v>
          </cell>
          <cell r="M408">
            <v>46119</v>
          </cell>
        </row>
        <row r="408">
          <cell r="P408">
            <v>7964</v>
          </cell>
        </row>
        <row r="408">
          <cell r="V408">
            <v>50</v>
          </cell>
        </row>
        <row r="408">
          <cell r="AA408">
            <v>3426.6</v>
          </cell>
        </row>
        <row r="409">
          <cell r="L409">
            <v>2388</v>
          </cell>
          <cell r="M409">
            <v>46119</v>
          </cell>
        </row>
        <row r="409">
          <cell r="P409">
            <v>8422</v>
          </cell>
        </row>
        <row r="409">
          <cell r="V409">
            <v>7</v>
          </cell>
        </row>
        <row r="409">
          <cell r="AA409">
            <v>932.93</v>
          </cell>
        </row>
        <row r="410">
          <cell r="L410">
            <v>2462</v>
          </cell>
          <cell r="M410">
            <v>46119</v>
          </cell>
        </row>
        <row r="410">
          <cell r="P410">
            <v>9683</v>
          </cell>
        </row>
        <row r="410">
          <cell r="V410">
            <v>35</v>
          </cell>
        </row>
        <row r="410">
          <cell r="AA410">
            <v>7539.5</v>
          </cell>
        </row>
        <row r="411">
          <cell r="L411">
            <v>2834</v>
          </cell>
          <cell r="M411">
            <v>46119</v>
          </cell>
        </row>
        <row r="411">
          <cell r="P411">
            <v>9375</v>
          </cell>
        </row>
        <row r="411">
          <cell r="V411">
            <v>22</v>
          </cell>
        </row>
        <row r="411">
          <cell r="AA411">
            <v>2858.54</v>
          </cell>
        </row>
        <row r="412">
          <cell r="L412">
            <v>2851</v>
          </cell>
          <cell r="M412">
            <v>46119</v>
          </cell>
        </row>
        <row r="412">
          <cell r="P412">
            <v>9685</v>
          </cell>
        </row>
        <row r="412">
          <cell r="V412">
            <v>10</v>
          </cell>
        </row>
        <row r="412">
          <cell r="AA412">
            <v>449.9</v>
          </cell>
        </row>
        <row r="413">
          <cell r="L413">
            <v>3758</v>
          </cell>
          <cell r="M413">
            <v>46119</v>
          </cell>
        </row>
        <row r="413">
          <cell r="P413">
            <v>9686</v>
          </cell>
        </row>
        <row r="413">
          <cell r="V413">
            <v>7</v>
          </cell>
        </row>
        <row r="413">
          <cell r="AA413">
            <v>96.6</v>
          </cell>
        </row>
        <row r="414">
          <cell r="L414">
            <v>5589</v>
          </cell>
          <cell r="M414">
            <v>46119</v>
          </cell>
        </row>
        <row r="414">
          <cell r="P414">
            <v>9490</v>
          </cell>
        </row>
        <row r="414">
          <cell r="V414">
            <v>5</v>
          </cell>
        </row>
        <row r="414">
          <cell r="AA414">
            <v>646.95</v>
          </cell>
        </row>
        <row r="415">
          <cell r="L415">
            <v>6763</v>
          </cell>
          <cell r="M415">
            <v>46119</v>
          </cell>
        </row>
        <row r="415">
          <cell r="P415">
            <v>8985</v>
          </cell>
        </row>
        <row r="415">
          <cell r="V415">
            <v>19</v>
          </cell>
        </row>
        <row r="415">
          <cell r="AA415">
            <v>1653.9</v>
          </cell>
        </row>
        <row r="416">
          <cell r="L416">
            <v>292</v>
          </cell>
          <cell r="M416">
            <v>46119</v>
          </cell>
        </row>
        <row r="416">
          <cell r="P416">
            <v>9386</v>
          </cell>
        </row>
        <row r="416">
          <cell r="V416">
            <v>3</v>
          </cell>
        </row>
        <row r="416">
          <cell r="AA416">
            <v>478.19</v>
          </cell>
        </row>
        <row r="417">
          <cell r="L417">
            <v>585</v>
          </cell>
          <cell r="M417">
            <v>46119</v>
          </cell>
        </row>
        <row r="417">
          <cell r="P417">
            <v>9035</v>
          </cell>
        </row>
        <row r="417">
          <cell r="V417">
            <v>11</v>
          </cell>
        </row>
        <row r="417">
          <cell r="AA417">
            <v>193.44</v>
          </cell>
        </row>
        <row r="418">
          <cell r="L418">
            <v>1126</v>
          </cell>
          <cell r="M418">
            <v>46119</v>
          </cell>
        </row>
        <row r="418">
          <cell r="P418">
            <v>9387</v>
          </cell>
        </row>
        <row r="418">
          <cell r="V418">
            <v>11</v>
          </cell>
        </row>
        <row r="418">
          <cell r="AA418">
            <v>229.6</v>
          </cell>
        </row>
        <row r="419">
          <cell r="L419">
            <v>3238</v>
          </cell>
          <cell r="M419">
            <v>46119</v>
          </cell>
        </row>
        <row r="419">
          <cell r="P419">
            <v>9112</v>
          </cell>
        </row>
        <row r="419">
          <cell r="V419">
            <v>18</v>
          </cell>
        </row>
        <row r="419">
          <cell r="AA419">
            <v>210.94</v>
          </cell>
        </row>
        <row r="420">
          <cell r="L420">
            <v>11758</v>
          </cell>
          <cell r="M420">
            <v>46119</v>
          </cell>
        </row>
        <row r="420">
          <cell r="P420">
            <v>9113</v>
          </cell>
        </row>
        <row r="420">
          <cell r="V420">
            <v>14</v>
          </cell>
        </row>
        <row r="420">
          <cell r="AA420">
            <v>245</v>
          </cell>
        </row>
        <row r="421">
          <cell r="L421">
            <v>945</v>
          </cell>
          <cell r="M421">
            <v>46120</v>
          </cell>
        </row>
        <row r="421">
          <cell r="P421">
            <v>8986</v>
          </cell>
        </row>
        <row r="421">
          <cell r="V421">
            <v>17</v>
          </cell>
        </row>
        <row r="421">
          <cell r="AA421">
            <v>221.23</v>
          </cell>
        </row>
        <row r="422">
          <cell r="L422">
            <v>9228</v>
          </cell>
          <cell r="M422">
            <v>46120</v>
          </cell>
        </row>
        <row r="422">
          <cell r="P422">
            <v>9114</v>
          </cell>
        </row>
        <row r="422">
          <cell r="V422">
            <v>15</v>
          </cell>
        </row>
        <row r="422">
          <cell r="AA422">
            <v>237.12</v>
          </cell>
        </row>
        <row r="423">
          <cell r="L423">
            <v>9234</v>
          </cell>
          <cell r="M423">
            <v>46120</v>
          </cell>
        </row>
        <row r="423">
          <cell r="P423">
            <v>9115</v>
          </cell>
        </row>
        <row r="423">
          <cell r="V423">
            <v>10</v>
          </cell>
        </row>
        <row r="423">
          <cell r="AA423">
            <v>249.1</v>
          </cell>
        </row>
        <row r="424">
          <cell r="L424">
            <v>9627</v>
          </cell>
          <cell r="M424">
            <v>46120</v>
          </cell>
        </row>
        <row r="424">
          <cell r="P424">
            <v>8677</v>
          </cell>
        </row>
        <row r="424">
          <cell r="V424">
            <v>35</v>
          </cell>
        </row>
        <row r="424">
          <cell r="AA424">
            <v>457.65</v>
          </cell>
        </row>
        <row r="425">
          <cell r="L425">
            <v>566</v>
          </cell>
          <cell r="M425">
            <v>46120</v>
          </cell>
        </row>
        <row r="425">
          <cell r="P425">
            <v>8602</v>
          </cell>
        </row>
        <row r="425">
          <cell r="V425">
            <v>3</v>
          </cell>
        </row>
        <row r="425">
          <cell r="AA425">
            <v>58.68</v>
          </cell>
        </row>
        <row r="426">
          <cell r="L426">
            <v>596</v>
          </cell>
          <cell r="M426">
            <v>46120</v>
          </cell>
        </row>
        <row r="426">
          <cell r="P426">
            <v>8532</v>
          </cell>
        </row>
        <row r="426">
          <cell r="V426">
            <v>48</v>
          </cell>
        </row>
        <row r="426">
          <cell r="AA426">
            <v>5012.8</v>
          </cell>
        </row>
        <row r="427">
          <cell r="L427">
            <v>653</v>
          </cell>
          <cell r="M427">
            <v>46120</v>
          </cell>
        </row>
        <row r="427">
          <cell r="P427">
            <v>8363</v>
          </cell>
        </row>
        <row r="427">
          <cell r="V427">
            <v>17</v>
          </cell>
        </row>
        <row r="427">
          <cell r="AA427">
            <v>558.01</v>
          </cell>
        </row>
        <row r="428">
          <cell r="L428">
            <v>5660</v>
          </cell>
          <cell r="M428">
            <v>46120</v>
          </cell>
        </row>
        <row r="428">
          <cell r="P428">
            <v>8364</v>
          </cell>
        </row>
        <row r="428">
          <cell r="V428">
            <v>18</v>
          </cell>
        </row>
        <row r="428">
          <cell r="AA428">
            <v>667.32</v>
          </cell>
        </row>
        <row r="429">
          <cell r="L429">
            <v>8772</v>
          </cell>
          <cell r="M429">
            <v>46120</v>
          </cell>
        </row>
        <row r="429">
          <cell r="P429">
            <v>8603</v>
          </cell>
        </row>
        <row r="429">
          <cell r="V429">
            <v>22</v>
          </cell>
        </row>
        <row r="429">
          <cell r="AA429">
            <v>593.78</v>
          </cell>
        </row>
        <row r="430">
          <cell r="L430">
            <v>656</v>
          </cell>
          <cell r="M430">
            <v>46120</v>
          </cell>
        </row>
        <row r="430">
          <cell r="P430">
            <v>8605</v>
          </cell>
        </row>
        <row r="430">
          <cell r="V430">
            <v>2</v>
          </cell>
        </row>
        <row r="430">
          <cell r="AA430">
            <v>33.38</v>
          </cell>
        </row>
        <row r="431">
          <cell r="L431">
            <v>1545</v>
          </cell>
          <cell r="M431">
            <v>46120</v>
          </cell>
        </row>
        <row r="431">
          <cell r="P431">
            <v>8936</v>
          </cell>
        </row>
        <row r="431">
          <cell r="V431">
            <v>30</v>
          </cell>
        </row>
        <row r="431">
          <cell r="AA431">
            <v>1191.37</v>
          </cell>
        </row>
        <row r="432">
          <cell r="L432">
            <v>5660</v>
          </cell>
          <cell r="M432">
            <v>46120</v>
          </cell>
        </row>
        <row r="432">
          <cell r="P432">
            <v>8840</v>
          </cell>
        </row>
        <row r="432">
          <cell r="V432">
            <v>4</v>
          </cell>
        </row>
        <row r="432">
          <cell r="AA432">
            <v>79.99</v>
          </cell>
        </row>
        <row r="433">
          <cell r="L433">
            <v>428</v>
          </cell>
          <cell r="M433">
            <v>46120</v>
          </cell>
        </row>
        <row r="433">
          <cell r="P433">
            <v>8841</v>
          </cell>
        </row>
        <row r="433">
          <cell r="V433">
            <v>16</v>
          </cell>
        </row>
        <row r="433">
          <cell r="AA433">
            <v>313.44</v>
          </cell>
        </row>
        <row r="434">
          <cell r="L434">
            <v>652</v>
          </cell>
          <cell r="M434">
            <v>46120</v>
          </cell>
        </row>
        <row r="434">
          <cell r="P434">
            <v>8212</v>
          </cell>
        </row>
        <row r="434">
          <cell r="V434">
            <v>29</v>
          </cell>
        </row>
        <row r="434">
          <cell r="AA434">
            <v>1193.82</v>
          </cell>
        </row>
        <row r="435">
          <cell r="L435">
            <v>653</v>
          </cell>
          <cell r="M435">
            <v>46120</v>
          </cell>
        </row>
        <row r="435">
          <cell r="P435">
            <v>8606</v>
          </cell>
        </row>
        <row r="435">
          <cell r="V435">
            <v>72</v>
          </cell>
        </row>
        <row r="435">
          <cell r="AA435">
            <v>3312.61</v>
          </cell>
        </row>
        <row r="436">
          <cell r="L436">
            <v>654</v>
          </cell>
          <cell r="M436">
            <v>46120</v>
          </cell>
        </row>
        <row r="436">
          <cell r="P436">
            <v>8607</v>
          </cell>
        </row>
        <row r="436">
          <cell r="V436">
            <v>14</v>
          </cell>
        </row>
        <row r="436">
          <cell r="AA436">
            <v>408.57</v>
          </cell>
        </row>
        <row r="437">
          <cell r="L437">
            <v>655</v>
          </cell>
          <cell r="M437">
            <v>46120</v>
          </cell>
        </row>
        <row r="437">
          <cell r="P437">
            <v>8608</v>
          </cell>
        </row>
        <row r="437">
          <cell r="V437">
            <v>0</v>
          </cell>
        </row>
        <row r="437">
          <cell r="AA437">
            <v>0</v>
          </cell>
        </row>
        <row r="438">
          <cell r="L438">
            <v>565</v>
          </cell>
          <cell r="M438">
            <v>46120</v>
          </cell>
        </row>
        <row r="438">
          <cell r="P438">
            <v>9439</v>
          </cell>
        </row>
        <row r="438">
          <cell r="V438">
            <v>20</v>
          </cell>
        </row>
        <row r="438">
          <cell r="AA438">
            <v>849.4</v>
          </cell>
        </row>
        <row r="439">
          <cell r="L439">
            <v>566</v>
          </cell>
          <cell r="M439">
            <v>46120</v>
          </cell>
        </row>
        <row r="439">
          <cell r="P439">
            <v>9557</v>
          </cell>
        </row>
        <row r="439">
          <cell r="V439">
            <v>5</v>
          </cell>
        </row>
        <row r="439">
          <cell r="AA439">
            <v>115.6</v>
          </cell>
        </row>
        <row r="440">
          <cell r="L440">
            <v>955</v>
          </cell>
          <cell r="M440">
            <v>46120</v>
          </cell>
        </row>
        <row r="440">
          <cell r="P440">
            <v>9558</v>
          </cell>
        </row>
        <row r="440">
          <cell r="V440">
            <v>7</v>
          </cell>
        </row>
        <row r="440">
          <cell r="AA440">
            <v>167.09</v>
          </cell>
        </row>
        <row r="441">
          <cell r="L441">
            <v>5620</v>
          </cell>
          <cell r="M441">
            <v>46120</v>
          </cell>
        </row>
        <row r="441">
          <cell r="P441">
            <v>9456</v>
          </cell>
        </row>
        <row r="441">
          <cell r="V441">
            <v>2</v>
          </cell>
        </row>
        <row r="441">
          <cell r="AA441">
            <v>110.46</v>
          </cell>
        </row>
        <row r="442">
          <cell r="L442">
            <v>5455</v>
          </cell>
          <cell r="M442">
            <v>46120</v>
          </cell>
        </row>
        <row r="442">
          <cell r="P442">
            <v>9559</v>
          </cell>
        </row>
        <row r="442">
          <cell r="V442">
            <v>0</v>
          </cell>
        </row>
        <row r="442">
          <cell r="AA442">
            <v>0</v>
          </cell>
        </row>
        <row r="443">
          <cell r="L443">
            <v>5647</v>
          </cell>
          <cell r="M443">
            <v>46120</v>
          </cell>
        </row>
        <row r="443">
          <cell r="P443">
            <v>9560</v>
          </cell>
        </row>
        <row r="443">
          <cell r="V443">
            <v>16</v>
          </cell>
        </row>
        <row r="443">
          <cell r="AA443">
            <v>454.82</v>
          </cell>
        </row>
        <row r="444">
          <cell r="L444">
            <v>954</v>
          </cell>
          <cell r="M444">
            <v>46120</v>
          </cell>
        </row>
        <row r="444">
          <cell r="P444">
            <v>8089</v>
          </cell>
        </row>
        <row r="444">
          <cell r="V444">
            <v>34</v>
          </cell>
        </row>
        <row r="444">
          <cell r="AA444">
            <v>1195.64</v>
          </cell>
        </row>
        <row r="445">
          <cell r="L445">
            <v>11262</v>
          </cell>
          <cell r="M445">
            <v>46120</v>
          </cell>
        </row>
        <row r="445">
          <cell r="P445">
            <v>9491</v>
          </cell>
        </row>
        <row r="445">
          <cell r="V445">
            <v>3</v>
          </cell>
        </row>
        <row r="445">
          <cell r="AA445">
            <v>142.28</v>
          </cell>
        </row>
        <row r="446">
          <cell r="L446">
            <v>11348</v>
          </cell>
          <cell r="M446">
            <v>46120</v>
          </cell>
        </row>
        <row r="446">
          <cell r="P446">
            <v>9492</v>
          </cell>
        </row>
        <row r="446">
          <cell r="V446">
            <v>5</v>
          </cell>
        </row>
        <row r="446">
          <cell r="AA446">
            <v>144.2</v>
          </cell>
        </row>
        <row r="447">
          <cell r="L447">
            <v>12252</v>
          </cell>
          <cell r="M447">
            <v>46120</v>
          </cell>
        </row>
        <row r="447">
          <cell r="P447">
            <v>9493</v>
          </cell>
        </row>
        <row r="447">
          <cell r="V447">
            <v>0</v>
          </cell>
        </row>
        <row r="447">
          <cell r="AA447">
            <v>0</v>
          </cell>
        </row>
        <row r="448">
          <cell r="L448">
            <v>12071</v>
          </cell>
          <cell r="M448">
            <v>46120</v>
          </cell>
        </row>
        <row r="448">
          <cell r="P448">
            <v>8609</v>
          </cell>
        </row>
        <row r="448">
          <cell r="V448">
            <v>29</v>
          </cell>
        </row>
        <row r="448">
          <cell r="AA448">
            <v>1691.27</v>
          </cell>
        </row>
        <row r="449">
          <cell r="L449">
            <v>12072</v>
          </cell>
          <cell r="M449">
            <v>46120</v>
          </cell>
        </row>
        <row r="449">
          <cell r="P449">
            <v>8610</v>
          </cell>
        </row>
        <row r="449">
          <cell r="V449">
            <v>6</v>
          </cell>
        </row>
        <row r="449">
          <cell r="AA449">
            <v>164.58</v>
          </cell>
        </row>
        <row r="450">
          <cell r="L450">
            <v>12248</v>
          </cell>
          <cell r="M450">
            <v>46120</v>
          </cell>
        </row>
        <row r="450">
          <cell r="P450">
            <v>8611</v>
          </cell>
        </row>
        <row r="450">
          <cell r="V450">
            <v>22</v>
          </cell>
        </row>
        <row r="450">
          <cell r="AA450">
            <v>534.44</v>
          </cell>
        </row>
        <row r="451">
          <cell r="L451">
            <v>12206</v>
          </cell>
          <cell r="M451">
            <v>46120</v>
          </cell>
        </row>
        <row r="451">
          <cell r="P451">
            <v>8988</v>
          </cell>
        </row>
        <row r="451">
          <cell r="V451">
            <v>30</v>
          </cell>
        </row>
        <row r="451">
          <cell r="AA451">
            <v>1159</v>
          </cell>
        </row>
        <row r="452">
          <cell r="L452">
            <v>12368</v>
          </cell>
          <cell r="M452">
            <v>46120</v>
          </cell>
        </row>
        <row r="452">
          <cell r="P452">
            <v>8960</v>
          </cell>
        </row>
        <row r="452">
          <cell r="V452">
            <v>4</v>
          </cell>
        </row>
        <row r="452">
          <cell r="AA452">
            <v>89.04</v>
          </cell>
        </row>
        <row r="453">
          <cell r="L453">
            <v>12396</v>
          </cell>
          <cell r="M453">
            <v>46120</v>
          </cell>
        </row>
        <row r="453">
          <cell r="P453">
            <v>9499</v>
          </cell>
        </row>
        <row r="453">
          <cell r="V453">
            <v>35</v>
          </cell>
        </row>
        <row r="453">
          <cell r="AA453">
            <v>1949.56</v>
          </cell>
        </row>
        <row r="454">
          <cell r="L454">
            <v>11990</v>
          </cell>
          <cell r="M454">
            <v>46120</v>
          </cell>
        </row>
        <row r="454">
          <cell r="P454">
            <v>9500</v>
          </cell>
        </row>
        <row r="454">
          <cell r="V454">
            <v>23</v>
          </cell>
        </row>
        <row r="454">
          <cell r="AA454">
            <v>579.79</v>
          </cell>
        </row>
        <row r="455">
          <cell r="L455">
            <v>9358</v>
          </cell>
          <cell r="M455">
            <v>46120</v>
          </cell>
        </row>
        <row r="455">
          <cell r="P455">
            <v>9501</v>
          </cell>
        </row>
        <row r="455">
          <cell r="V455">
            <v>4</v>
          </cell>
        </row>
        <row r="455">
          <cell r="AA455">
            <v>141.41</v>
          </cell>
        </row>
        <row r="456">
          <cell r="L456">
            <v>9814</v>
          </cell>
          <cell r="M456">
            <v>46120</v>
          </cell>
        </row>
        <row r="456">
          <cell r="P456">
            <v>8423</v>
          </cell>
        </row>
        <row r="456">
          <cell r="V456">
            <v>6</v>
          </cell>
        </row>
        <row r="456">
          <cell r="AA456">
            <v>489.03</v>
          </cell>
        </row>
        <row r="457">
          <cell r="L457">
            <v>7249</v>
          </cell>
          <cell r="M457">
            <v>46120</v>
          </cell>
        </row>
        <row r="457">
          <cell r="P457">
            <v>9388</v>
          </cell>
        </row>
        <row r="457">
          <cell r="V457">
            <v>19</v>
          </cell>
        </row>
        <row r="457">
          <cell r="AA457">
            <v>821.66</v>
          </cell>
        </row>
        <row r="458">
          <cell r="L458">
            <v>7318</v>
          </cell>
          <cell r="M458">
            <v>46120</v>
          </cell>
        </row>
        <row r="458">
          <cell r="P458">
            <v>9389</v>
          </cell>
        </row>
        <row r="458">
          <cell r="V458">
            <v>9</v>
          </cell>
        </row>
        <row r="458">
          <cell r="AA458">
            <v>249.11</v>
          </cell>
        </row>
        <row r="459">
          <cell r="L459">
            <v>6872</v>
          </cell>
          <cell r="M459">
            <v>46120</v>
          </cell>
        </row>
        <row r="459">
          <cell r="P459">
            <v>9390</v>
          </cell>
        </row>
        <row r="459">
          <cell r="V459">
            <v>14</v>
          </cell>
        </row>
        <row r="459">
          <cell r="AA459">
            <v>422.04</v>
          </cell>
        </row>
        <row r="460">
          <cell r="L460">
            <v>11331</v>
          </cell>
          <cell r="M460">
            <v>46120</v>
          </cell>
        </row>
        <row r="460">
          <cell r="P460">
            <v>9694</v>
          </cell>
        </row>
        <row r="460">
          <cell r="V460">
            <v>12</v>
          </cell>
        </row>
        <row r="460">
          <cell r="AA460">
            <v>903.88</v>
          </cell>
        </row>
        <row r="461">
          <cell r="L461">
            <v>11600</v>
          </cell>
          <cell r="M461">
            <v>46120</v>
          </cell>
        </row>
        <row r="461">
          <cell r="P461">
            <v>9695</v>
          </cell>
        </row>
        <row r="461">
          <cell r="V461">
            <v>6</v>
          </cell>
        </row>
        <row r="461">
          <cell r="AA461">
            <v>243.48</v>
          </cell>
        </row>
        <row r="462">
          <cell r="L462">
            <v>1694</v>
          </cell>
          <cell r="M462">
            <v>46120</v>
          </cell>
        </row>
        <row r="462">
          <cell r="P462">
            <v>9696</v>
          </cell>
        </row>
        <row r="462">
          <cell r="V462">
            <v>4</v>
          </cell>
        </row>
        <row r="462">
          <cell r="AA462">
            <v>175.96</v>
          </cell>
        </row>
        <row r="463">
          <cell r="L463">
            <v>12461</v>
          </cell>
          <cell r="M463">
            <v>46120</v>
          </cell>
        </row>
        <row r="463">
          <cell r="P463">
            <v>8087</v>
          </cell>
        </row>
        <row r="463">
          <cell r="V463">
            <v>11</v>
          </cell>
        </row>
        <row r="463">
          <cell r="AA463">
            <v>676.92</v>
          </cell>
        </row>
        <row r="464">
          <cell r="L464">
            <v>11929</v>
          </cell>
          <cell r="M464">
            <v>46120</v>
          </cell>
        </row>
        <row r="464">
          <cell r="P464">
            <v>8082</v>
          </cell>
        </row>
        <row r="464">
          <cell r="V464">
            <v>11</v>
          </cell>
        </row>
        <row r="464">
          <cell r="AA464">
            <v>382.75</v>
          </cell>
        </row>
        <row r="465">
          <cell r="L465">
            <v>11890</v>
          </cell>
          <cell r="M465">
            <v>46120</v>
          </cell>
        </row>
        <row r="465">
          <cell r="P465">
            <v>9316</v>
          </cell>
        </row>
        <row r="465">
          <cell r="V465">
            <v>15</v>
          </cell>
        </row>
        <row r="465">
          <cell r="AA465">
            <v>1041.64</v>
          </cell>
        </row>
        <row r="466">
          <cell r="L466">
            <v>12021</v>
          </cell>
          <cell r="M466">
            <v>46120</v>
          </cell>
        </row>
        <row r="466">
          <cell r="P466">
            <v>9445</v>
          </cell>
        </row>
        <row r="466">
          <cell r="V466">
            <v>5</v>
          </cell>
        </row>
        <row r="466">
          <cell r="AA466">
            <v>194.95</v>
          </cell>
        </row>
        <row r="467">
          <cell r="L467">
            <v>12304</v>
          </cell>
          <cell r="M467">
            <v>46120</v>
          </cell>
        </row>
        <row r="467">
          <cell r="P467">
            <v>9446</v>
          </cell>
        </row>
        <row r="467">
          <cell r="V467">
            <v>1</v>
          </cell>
        </row>
        <row r="467">
          <cell r="AA467">
            <v>39.59</v>
          </cell>
        </row>
        <row r="468">
          <cell r="L468">
            <v>12309</v>
          </cell>
          <cell r="M468">
            <v>46120</v>
          </cell>
        </row>
        <row r="468">
          <cell r="P468">
            <v>9359</v>
          </cell>
        </row>
        <row r="468">
          <cell r="V468">
            <v>8</v>
          </cell>
        </row>
        <row r="468">
          <cell r="AA468">
            <v>548.42</v>
          </cell>
        </row>
        <row r="469">
          <cell r="L469">
            <v>12311</v>
          </cell>
          <cell r="M469">
            <v>46120</v>
          </cell>
        </row>
        <row r="469">
          <cell r="P469">
            <v>9360</v>
          </cell>
        </row>
        <row r="469">
          <cell r="V469">
            <v>10</v>
          </cell>
        </row>
        <row r="469">
          <cell r="AA469">
            <v>371.94</v>
          </cell>
        </row>
        <row r="470">
          <cell r="L470">
            <v>12306</v>
          </cell>
          <cell r="M470">
            <v>46120</v>
          </cell>
        </row>
        <row r="470">
          <cell r="P470">
            <v>9361</v>
          </cell>
        </row>
        <row r="470">
          <cell r="V470">
            <v>6</v>
          </cell>
        </row>
        <row r="470">
          <cell r="AA470">
            <v>225.6</v>
          </cell>
        </row>
        <row r="471">
          <cell r="L471">
            <v>12308</v>
          </cell>
          <cell r="M471">
            <v>46120</v>
          </cell>
        </row>
        <row r="471">
          <cell r="P471">
            <v>9362</v>
          </cell>
        </row>
        <row r="471">
          <cell r="V471">
            <v>12</v>
          </cell>
        </row>
        <row r="471">
          <cell r="AA471">
            <v>660</v>
          </cell>
        </row>
        <row r="472">
          <cell r="L472">
            <v>12387</v>
          </cell>
          <cell r="M472">
            <v>46120</v>
          </cell>
        </row>
        <row r="472">
          <cell r="P472">
            <v>9363</v>
          </cell>
        </row>
        <row r="472">
          <cell r="V472">
            <v>7</v>
          </cell>
        </row>
        <row r="472">
          <cell r="AA472">
            <v>209.93</v>
          </cell>
        </row>
        <row r="473">
          <cell r="L473">
            <v>12388</v>
          </cell>
          <cell r="M473">
            <v>46120</v>
          </cell>
        </row>
        <row r="473">
          <cell r="P473">
            <v>9364</v>
          </cell>
        </row>
        <row r="473">
          <cell r="V473">
            <v>0</v>
          </cell>
        </row>
        <row r="473">
          <cell r="AA473">
            <v>0</v>
          </cell>
        </row>
        <row r="474">
          <cell r="L474">
            <v>12429</v>
          </cell>
          <cell r="M474">
            <v>46120</v>
          </cell>
        </row>
        <row r="474">
          <cell r="P474">
            <v>9171</v>
          </cell>
        </row>
        <row r="474">
          <cell r="V474">
            <v>3</v>
          </cell>
        </row>
        <row r="474">
          <cell r="AA474">
            <v>140.13</v>
          </cell>
        </row>
        <row r="475">
          <cell r="L475">
            <v>12424</v>
          </cell>
          <cell r="M475">
            <v>46120</v>
          </cell>
        </row>
        <row r="475">
          <cell r="P475">
            <v>9159</v>
          </cell>
        </row>
        <row r="475">
          <cell r="V475">
            <v>3</v>
          </cell>
        </row>
        <row r="475">
          <cell r="AA475">
            <v>73.95</v>
          </cell>
        </row>
        <row r="476">
          <cell r="L476">
            <v>12414</v>
          </cell>
          <cell r="M476">
            <v>46120</v>
          </cell>
        </row>
        <row r="476">
          <cell r="P476">
            <v>9160</v>
          </cell>
        </row>
        <row r="476">
          <cell r="V476">
            <v>5</v>
          </cell>
        </row>
        <row r="476">
          <cell r="AA476">
            <v>152.62</v>
          </cell>
        </row>
        <row r="477">
          <cell r="L477">
            <v>12422</v>
          </cell>
          <cell r="M477">
            <v>46120</v>
          </cell>
        </row>
        <row r="477">
          <cell r="P477">
            <v>9733</v>
          </cell>
        </row>
        <row r="477">
          <cell r="V477">
            <v>16</v>
          </cell>
        </row>
        <row r="477">
          <cell r="AA477">
            <v>1138.54</v>
          </cell>
        </row>
        <row r="478">
          <cell r="L478">
            <v>262</v>
          </cell>
          <cell r="M478">
            <v>46120</v>
          </cell>
        </row>
        <row r="478">
          <cell r="P478">
            <v>9697</v>
          </cell>
        </row>
        <row r="478">
          <cell r="V478">
            <v>3</v>
          </cell>
        </row>
        <row r="478">
          <cell r="AA478">
            <v>156</v>
          </cell>
        </row>
        <row r="479">
          <cell r="L479">
            <v>347</v>
          </cell>
          <cell r="M479">
            <v>46120</v>
          </cell>
        </row>
        <row r="479">
          <cell r="P479">
            <v>9698</v>
          </cell>
        </row>
        <row r="479">
          <cell r="V479">
            <v>12</v>
          </cell>
        </row>
        <row r="479">
          <cell r="AA479">
            <v>535.92</v>
          </cell>
        </row>
        <row r="480">
          <cell r="L480">
            <v>1026</v>
          </cell>
          <cell r="M480">
            <v>46120</v>
          </cell>
        </row>
        <row r="480">
          <cell r="P480">
            <v>9302</v>
          </cell>
        </row>
        <row r="480">
          <cell r="V480">
            <v>18</v>
          </cell>
        </row>
        <row r="480">
          <cell r="AA480">
            <v>568.62</v>
          </cell>
        </row>
        <row r="481">
          <cell r="L481">
            <v>1247</v>
          </cell>
          <cell r="M481">
            <v>46120</v>
          </cell>
        </row>
        <row r="481">
          <cell r="P481">
            <v>9303</v>
          </cell>
        </row>
        <row r="481">
          <cell r="V481">
            <v>5</v>
          </cell>
        </row>
        <row r="481">
          <cell r="AA481">
            <v>99.29</v>
          </cell>
        </row>
        <row r="482">
          <cell r="L482">
            <v>1497</v>
          </cell>
          <cell r="M482">
            <v>46120</v>
          </cell>
        </row>
        <row r="482">
          <cell r="P482">
            <v>9304</v>
          </cell>
        </row>
        <row r="482">
          <cell r="V482">
            <v>22</v>
          </cell>
        </row>
        <row r="482">
          <cell r="AA482">
            <v>448.01</v>
          </cell>
        </row>
        <row r="483">
          <cell r="L483">
            <v>1643</v>
          </cell>
          <cell r="M483">
            <v>46120</v>
          </cell>
        </row>
        <row r="483">
          <cell r="P483">
            <v>9803</v>
          </cell>
        </row>
        <row r="483">
          <cell r="V483">
            <v>16</v>
          </cell>
        </row>
        <row r="483">
          <cell r="AA483">
            <v>687.4</v>
          </cell>
        </row>
        <row r="484">
          <cell r="L484">
            <v>1697</v>
          </cell>
          <cell r="M484">
            <v>46120</v>
          </cell>
        </row>
        <row r="484">
          <cell r="P484">
            <v>9494</v>
          </cell>
        </row>
        <row r="484">
          <cell r="V484">
            <v>3</v>
          </cell>
        </row>
        <row r="484">
          <cell r="AA484">
            <v>66.57</v>
          </cell>
        </row>
        <row r="485">
          <cell r="L485">
            <v>3757</v>
          </cell>
          <cell r="M485">
            <v>46120</v>
          </cell>
        </row>
        <row r="485">
          <cell r="P485">
            <v>9495</v>
          </cell>
        </row>
        <row r="485">
          <cell r="V485">
            <v>12</v>
          </cell>
        </row>
        <row r="485">
          <cell r="AA485">
            <v>291.29</v>
          </cell>
        </row>
        <row r="486">
          <cell r="L486">
            <v>3625</v>
          </cell>
          <cell r="M486">
            <v>46120</v>
          </cell>
        </row>
        <row r="486">
          <cell r="P486">
            <v>9561</v>
          </cell>
        </row>
        <row r="486">
          <cell r="V486">
            <v>23</v>
          </cell>
        </row>
        <row r="486">
          <cell r="AA486">
            <v>843.07</v>
          </cell>
        </row>
        <row r="487">
          <cell r="L487">
            <v>3608</v>
          </cell>
          <cell r="M487">
            <v>46120</v>
          </cell>
        </row>
        <row r="487">
          <cell r="P487">
            <v>9539</v>
          </cell>
        </row>
        <row r="487">
          <cell r="V487">
            <v>15</v>
          </cell>
        </row>
        <row r="487">
          <cell r="AA487">
            <v>307.2</v>
          </cell>
        </row>
        <row r="488">
          <cell r="L488">
            <v>3714</v>
          </cell>
          <cell r="M488">
            <v>46120</v>
          </cell>
        </row>
        <row r="488">
          <cell r="P488">
            <v>9540</v>
          </cell>
        </row>
        <row r="488">
          <cell r="V488">
            <v>8</v>
          </cell>
        </row>
        <row r="488">
          <cell r="AA488">
            <v>154.08</v>
          </cell>
        </row>
        <row r="489">
          <cell r="L489">
            <v>3834</v>
          </cell>
          <cell r="M489">
            <v>46120</v>
          </cell>
        </row>
        <row r="489">
          <cell r="P489">
            <v>8944</v>
          </cell>
        </row>
        <row r="489">
          <cell r="V489">
            <v>33</v>
          </cell>
        </row>
        <row r="489">
          <cell r="AA489">
            <v>1067.67</v>
          </cell>
        </row>
        <row r="490">
          <cell r="L490">
            <v>3785</v>
          </cell>
          <cell r="M490">
            <v>46120</v>
          </cell>
        </row>
        <row r="490">
          <cell r="P490">
            <v>8989</v>
          </cell>
        </row>
        <row r="490">
          <cell r="V490">
            <v>4</v>
          </cell>
        </row>
        <row r="490">
          <cell r="AA490">
            <v>92.04</v>
          </cell>
        </row>
        <row r="491">
          <cell r="L491">
            <v>3924</v>
          </cell>
          <cell r="M491">
            <v>46120</v>
          </cell>
        </row>
        <row r="491">
          <cell r="P491">
            <v>8990</v>
          </cell>
        </row>
        <row r="491">
          <cell r="V491">
            <v>1</v>
          </cell>
        </row>
        <row r="491">
          <cell r="AA491">
            <v>28.19</v>
          </cell>
        </row>
        <row r="492">
          <cell r="L492">
            <v>4646</v>
          </cell>
          <cell r="M492">
            <v>46120</v>
          </cell>
        </row>
        <row r="492">
          <cell r="P492">
            <v>8678</v>
          </cell>
        </row>
        <row r="492">
          <cell r="V492">
            <v>69</v>
          </cell>
        </row>
        <row r="492">
          <cell r="AA492">
            <v>2479.02</v>
          </cell>
        </row>
        <row r="493">
          <cell r="L493">
            <v>11751</v>
          </cell>
          <cell r="M493">
            <v>46120</v>
          </cell>
        </row>
        <row r="493">
          <cell r="P493">
            <v>8679</v>
          </cell>
        </row>
        <row r="493">
          <cell r="V493">
            <v>6</v>
          </cell>
        </row>
        <row r="493">
          <cell r="AA493">
            <v>149.24</v>
          </cell>
        </row>
        <row r="494">
          <cell r="L494">
            <v>5670</v>
          </cell>
          <cell r="M494">
            <v>46120</v>
          </cell>
        </row>
        <row r="494">
          <cell r="P494">
            <v>8680</v>
          </cell>
        </row>
        <row r="494">
          <cell r="V494">
            <v>22</v>
          </cell>
        </row>
        <row r="494">
          <cell r="AA494">
            <v>514.75</v>
          </cell>
        </row>
        <row r="495">
          <cell r="L495">
            <v>574</v>
          </cell>
          <cell r="M495">
            <v>46120</v>
          </cell>
        </row>
        <row r="495">
          <cell r="P495">
            <v>9305</v>
          </cell>
        </row>
        <row r="495">
          <cell r="V495">
            <v>0</v>
          </cell>
        </row>
        <row r="495">
          <cell r="AA495">
            <v>0</v>
          </cell>
        </row>
        <row r="496">
          <cell r="L496">
            <v>576</v>
          </cell>
          <cell r="M496">
            <v>46120</v>
          </cell>
        </row>
        <row r="496">
          <cell r="P496">
            <v>9306</v>
          </cell>
        </row>
        <row r="496">
          <cell r="V496">
            <v>21</v>
          </cell>
        </row>
        <row r="496">
          <cell r="AA496">
            <v>409.68</v>
          </cell>
        </row>
        <row r="497">
          <cell r="L497">
            <v>1025</v>
          </cell>
          <cell r="M497">
            <v>46120</v>
          </cell>
        </row>
        <row r="497">
          <cell r="P497">
            <v>8842</v>
          </cell>
        </row>
        <row r="497">
          <cell r="V497">
            <v>30</v>
          </cell>
        </row>
        <row r="497">
          <cell r="AA497">
            <v>1518.3</v>
          </cell>
        </row>
        <row r="498">
          <cell r="L498">
            <v>1497</v>
          </cell>
          <cell r="M498">
            <v>46120</v>
          </cell>
        </row>
        <row r="498">
          <cell r="P498">
            <v>8843</v>
          </cell>
        </row>
        <row r="498">
          <cell r="V498">
            <v>18</v>
          </cell>
        </row>
        <row r="498">
          <cell r="AA498">
            <v>524.26</v>
          </cell>
        </row>
        <row r="499">
          <cell r="L499">
            <v>1699</v>
          </cell>
          <cell r="M499">
            <v>46120</v>
          </cell>
        </row>
        <row r="499">
          <cell r="P499">
            <v>8844</v>
          </cell>
        </row>
        <row r="499">
          <cell r="V499">
            <v>20</v>
          </cell>
        </row>
        <row r="499">
          <cell r="AA499">
            <v>613.8</v>
          </cell>
        </row>
        <row r="500">
          <cell r="L500">
            <v>1700</v>
          </cell>
          <cell r="M500">
            <v>46120</v>
          </cell>
        </row>
        <row r="500">
          <cell r="P500">
            <v>9116</v>
          </cell>
        </row>
        <row r="500">
          <cell r="V500">
            <v>7</v>
          </cell>
        </row>
        <row r="500">
          <cell r="AA500">
            <v>309.05</v>
          </cell>
        </row>
        <row r="501">
          <cell r="L501">
            <v>4794</v>
          </cell>
          <cell r="M501">
            <v>46120</v>
          </cell>
        </row>
        <row r="501">
          <cell r="P501">
            <v>9172</v>
          </cell>
        </row>
        <row r="501">
          <cell r="V501">
            <v>3</v>
          </cell>
        </row>
        <row r="501">
          <cell r="AA501">
            <v>84.96</v>
          </cell>
        </row>
        <row r="502">
          <cell r="L502">
            <v>3608</v>
          </cell>
          <cell r="M502">
            <v>46120</v>
          </cell>
        </row>
        <row r="502">
          <cell r="P502">
            <v>9173</v>
          </cell>
        </row>
        <row r="502">
          <cell r="V502">
            <v>3</v>
          </cell>
        </row>
        <row r="502">
          <cell r="AA502">
            <v>68.97</v>
          </cell>
        </row>
        <row r="503">
          <cell r="L503">
            <v>4610</v>
          </cell>
          <cell r="M503">
            <v>46120</v>
          </cell>
        </row>
        <row r="503">
          <cell r="P503">
            <v>9064</v>
          </cell>
        </row>
        <row r="503">
          <cell r="V503">
            <v>28</v>
          </cell>
        </row>
        <row r="503">
          <cell r="AA503">
            <v>1624</v>
          </cell>
        </row>
        <row r="504">
          <cell r="L504">
            <v>4611</v>
          </cell>
          <cell r="M504">
            <v>46120</v>
          </cell>
        </row>
        <row r="504">
          <cell r="P504">
            <v>9065</v>
          </cell>
        </row>
        <row r="504">
          <cell r="V504">
            <v>16</v>
          </cell>
        </row>
        <row r="504">
          <cell r="AA504">
            <v>532.91</v>
          </cell>
        </row>
        <row r="505">
          <cell r="L505">
            <v>4612</v>
          </cell>
          <cell r="M505">
            <v>46120</v>
          </cell>
        </row>
        <row r="505">
          <cell r="P505">
            <v>9284</v>
          </cell>
        </row>
        <row r="505">
          <cell r="V505">
            <v>5</v>
          </cell>
        </row>
        <row r="505">
          <cell r="AA505">
            <v>189</v>
          </cell>
        </row>
        <row r="506">
          <cell r="L506">
            <v>4665</v>
          </cell>
          <cell r="M506">
            <v>46120</v>
          </cell>
        </row>
        <row r="506">
          <cell r="P506">
            <v>9117</v>
          </cell>
        </row>
        <row r="506">
          <cell r="V506">
            <v>14</v>
          </cell>
        </row>
        <row r="506">
          <cell r="AA506">
            <v>377.85</v>
          </cell>
        </row>
        <row r="507">
          <cell r="L507">
            <v>5843</v>
          </cell>
          <cell r="M507">
            <v>46120</v>
          </cell>
        </row>
        <row r="507">
          <cell r="P507">
            <v>9068</v>
          </cell>
        </row>
        <row r="507">
          <cell r="V507">
            <v>4</v>
          </cell>
        </row>
        <row r="507">
          <cell r="AA507">
            <v>89.88</v>
          </cell>
        </row>
        <row r="508">
          <cell r="L508">
            <v>1116</v>
          </cell>
          <cell r="M508">
            <v>46120</v>
          </cell>
        </row>
        <row r="508">
          <cell r="P508">
            <v>9037</v>
          </cell>
        </row>
        <row r="508">
          <cell r="V508">
            <v>0</v>
          </cell>
        </row>
        <row r="508">
          <cell r="AA508">
            <v>0</v>
          </cell>
        </row>
        <row r="509">
          <cell r="L509">
            <v>1117</v>
          </cell>
          <cell r="M509">
            <v>46120</v>
          </cell>
        </row>
        <row r="509">
          <cell r="P509">
            <v>9038</v>
          </cell>
        </row>
        <row r="509">
          <cell r="V509">
            <v>1</v>
          </cell>
        </row>
        <row r="509">
          <cell r="AA509">
            <v>31.96</v>
          </cell>
        </row>
        <row r="510">
          <cell r="L510">
            <v>1118</v>
          </cell>
          <cell r="M510">
            <v>46120</v>
          </cell>
        </row>
        <row r="510">
          <cell r="P510">
            <v>8993</v>
          </cell>
        </row>
        <row r="510">
          <cell r="V510">
            <v>8</v>
          </cell>
        </row>
        <row r="510">
          <cell r="AA510">
            <v>301.14</v>
          </cell>
        </row>
        <row r="511">
          <cell r="L511">
            <v>1247</v>
          </cell>
          <cell r="M511">
            <v>46120</v>
          </cell>
        </row>
        <row r="511">
          <cell r="P511">
            <v>9039</v>
          </cell>
        </row>
        <row r="511">
          <cell r="V511">
            <v>2</v>
          </cell>
        </row>
        <row r="511">
          <cell r="AA511">
            <v>43.62</v>
          </cell>
        </row>
        <row r="512">
          <cell r="L512">
            <v>1700</v>
          </cell>
          <cell r="M512">
            <v>46120</v>
          </cell>
        </row>
        <row r="512">
          <cell r="P512">
            <v>9040</v>
          </cell>
        </row>
        <row r="512">
          <cell r="V512">
            <v>5</v>
          </cell>
        </row>
        <row r="512">
          <cell r="AA512">
            <v>110.2</v>
          </cell>
        </row>
        <row r="513">
          <cell r="L513">
            <v>1712</v>
          </cell>
          <cell r="M513">
            <v>46120</v>
          </cell>
        </row>
        <row r="513">
          <cell r="P513">
            <v>8426</v>
          </cell>
        </row>
        <row r="513">
          <cell r="V513">
            <v>10</v>
          </cell>
        </row>
        <row r="513">
          <cell r="AA513">
            <v>482.75</v>
          </cell>
        </row>
        <row r="514">
          <cell r="L514">
            <v>1716</v>
          </cell>
          <cell r="M514">
            <v>46120</v>
          </cell>
        </row>
        <row r="514">
          <cell r="P514">
            <v>8612</v>
          </cell>
        </row>
        <row r="514">
          <cell r="V514">
            <v>9</v>
          </cell>
        </row>
        <row r="514">
          <cell r="AA514">
            <v>435.04</v>
          </cell>
        </row>
        <row r="515">
          <cell r="L515">
            <v>3920</v>
          </cell>
          <cell r="M515">
            <v>46120</v>
          </cell>
        </row>
        <row r="515">
          <cell r="P515">
            <v>8681</v>
          </cell>
        </row>
        <row r="515">
          <cell r="V515">
            <v>13</v>
          </cell>
        </row>
        <row r="515">
          <cell r="AA515">
            <v>632.66</v>
          </cell>
        </row>
        <row r="516">
          <cell r="L516">
            <v>3714</v>
          </cell>
          <cell r="M516">
            <v>46120</v>
          </cell>
        </row>
        <row r="516">
          <cell r="P516">
            <v>8684</v>
          </cell>
        </row>
        <row r="516">
          <cell r="V516">
            <v>15</v>
          </cell>
        </row>
        <row r="516">
          <cell r="AA516">
            <v>1407.93</v>
          </cell>
        </row>
        <row r="517">
          <cell r="L517">
            <v>4435</v>
          </cell>
          <cell r="M517">
            <v>46120</v>
          </cell>
        </row>
        <row r="517">
          <cell r="P517">
            <v>8686</v>
          </cell>
        </row>
        <row r="517">
          <cell r="V517">
            <v>30</v>
          </cell>
        </row>
        <row r="517">
          <cell r="AA517">
            <v>714.14</v>
          </cell>
        </row>
        <row r="518">
          <cell r="L518">
            <v>1748</v>
          </cell>
          <cell r="M518">
            <v>46120</v>
          </cell>
        </row>
        <row r="518">
          <cell r="P518">
            <v>8687</v>
          </cell>
        </row>
        <row r="518">
          <cell r="V518">
            <v>28</v>
          </cell>
        </row>
        <row r="518">
          <cell r="AA518">
            <v>802.77</v>
          </cell>
        </row>
        <row r="519">
          <cell r="L519">
            <v>4721</v>
          </cell>
          <cell r="M519">
            <v>46120</v>
          </cell>
        </row>
        <row r="519">
          <cell r="P519">
            <v>8752</v>
          </cell>
        </row>
        <row r="519">
          <cell r="V519">
            <v>10</v>
          </cell>
        </row>
        <row r="519">
          <cell r="AA519">
            <v>433.8</v>
          </cell>
        </row>
        <row r="520">
          <cell r="L520">
            <v>8607</v>
          </cell>
          <cell r="M520">
            <v>46120</v>
          </cell>
        </row>
        <row r="520">
          <cell r="P520">
            <v>8753</v>
          </cell>
        </row>
        <row r="520">
          <cell r="V520">
            <v>8</v>
          </cell>
        </row>
        <row r="520">
          <cell r="AA520">
            <v>213.7</v>
          </cell>
        </row>
        <row r="521">
          <cell r="L521">
            <v>11064</v>
          </cell>
          <cell r="M521">
            <v>46120</v>
          </cell>
        </row>
        <row r="521">
          <cell r="P521">
            <v>8754</v>
          </cell>
        </row>
        <row r="521">
          <cell r="V521">
            <v>6</v>
          </cell>
        </row>
        <row r="521">
          <cell r="AA521">
            <v>146.25</v>
          </cell>
        </row>
        <row r="522">
          <cell r="L522">
            <v>8687</v>
          </cell>
          <cell r="M522">
            <v>46120</v>
          </cell>
        </row>
        <row r="522">
          <cell r="P522">
            <v>9391</v>
          </cell>
        </row>
        <row r="522">
          <cell r="V522">
            <v>5</v>
          </cell>
        </row>
        <row r="522">
          <cell r="AA522">
            <v>976.55</v>
          </cell>
        </row>
        <row r="523">
          <cell r="L523">
            <v>9160</v>
          </cell>
          <cell r="M523">
            <v>46120</v>
          </cell>
        </row>
        <row r="523">
          <cell r="P523">
            <v>8533</v>
          </cell>
        </row>
        <row r="523">
          <cell r="V523">
            <v>18</v>
          </cell>
        </row>
        <row r="523">
          <cell r="AA523">
            <v>281.72</v>
          </cell>
        </row>
        <row r="524">
          <cell r="L524">
            <v>9360</v>
          </cell>
          <cell r="M524">
            <v>46120</v>
          </cell>
        </row>
        <row r="524">
          <cell r="P524">
            <v>8900</v>
          </cell>
        </row>
        <row r="524">
          <cell r="V524">
            <v>3</v>
          </cell>
        </row>
        <row r="524">
          <cell r="AA524">
            <v>597</v>
          </cell>
        </row>
        <row r="525">
          <cell r="L525">
            <v>11406</v>
          </cell>
          <cell r="M525">
            <v>46120</v>
          </cell>
        </row>
        <row r="525">
          <cell r="P525">
            <v>9645</v>
          </cell>
        </row>
        <row r="525">
          <cell r="V525">
            <v>12</v>
          </cell>
        </row>
        <row r="525">
          <cell r="AA525">
            <v>860.96</v>
          </cell>
        </row>
        <row r="526">
          <cell r="L526">
            <v>12225</v>
          </cell>
          <cell r="M526">
            <v>46120</v>
          </cell>
        </row>
        <row r="526">
          <cell r="P526">
            <v>9646</v>
          </cell>
        </row>
        <row r="526">
          <cell r="V526">
            <v>6</v>
          </cell>
        </row>
        <row r="526">
          <cell r="AA526">
            <v>208.1</v>
          </cell>
        </row>
        <row r="527">
          <cell r="L527">
            <v>8612</v>
          </cell>
          <cell r="M527">
            <v>46120</v>
          </cell>
        </row>
        <row r="527">
          <cell r="P527">
            <v>9647</v>
          </cell>
        </row>
        <row r="527">
          <cell r="V527">
            <v>5</v>
          </cell>
        </row>
        <row r="527">
          <cell r="AA527">
            <v>190.96</v>
          </cell>
        </row>
        <row r="528">
          <cell r="L528">
            <v>9577</v>
          </cell>
          <cell r="M528">
            <v>46120</v>
          </cell>
        </row>
        <row r="528">
          <cell r="P528">
            <v>8541</v>
          </cell>
        </row>
        <row r="528">
          <cell r="V528">
            <v>31</v>
          </cell>
        </row>
        <row r="528">
          <cell r="AA528">
            <v>2225.73</v>
          </cell>
        </row>
        <row r="529">
          <cell r="L529">
            <v>9008</v>
          </cell>
          <cell r="M529">
            <v>46120</v>
          </cell>
        </row>
        <row r="529">
          <cell r="P529">
            <v>8542</v>
          </cell>
        </row>
        <row r="529">
          <cell r="V529">
            <v>10</v>
          </cell>
        </row>
        <row r="529">
          <cell r="AA529">
            <v>480.7</v>
          </cell>
        </row>
        <row r="530">
          <cell r="L530">
            <v>9494</v>
          </cell>
          <cell r="M530">
            <v>46120</v>
          </cell>
        </row>
        <row r="530">
          <cell r="P530">
            <v>8543</v>
          </cell>
        </row>
        <row r="530">
          <cell r="V530">
            <v>20</v>
          </cell>
        </row>
        <row r="530">
          <cell r="AA530">
            <v>979.8</v>
          </cell>
        </row>
        <row r="531">
          <cell r="L531">
            <v>8083</v>
          </cell>
          <cell r="M531">
            <v>46120</v>
          </cell>
        </row>
        <row r="531">
          <cell r="P531">
            <v>9584</v>
          </cell>
        </row>
        <row r="531">
          <cell r="V531">
            <v>20</v>
          </cell>
        </row>
        <row r="531">
          <cell r="AA531">
            <v>752.51</v>
          </cell>
        </row>
        <row r="532">
          <cell r="L532">
            <v>11781</v>
          </cell>
          <cell r="M532">
            <v>46120</v>
          </cell>
        </row>
        <row r="532">
          <cell r="P532">
            <v>9605</v>
          </cell>
        </row>
        <row r="532">
          <cell r="V532">
            <v>3</v>
          </cell>
        </row>
        <row r="532">
          <cell r="AA532">
            <v>76.44</v>
          </cell>
        </row>
        <row r="533">
          <cell r="L533">
            <v>1010</v>
          </cell>
          <cell r="M533">
            <v>46120</v>
          </cell>
        </row>
        <row r="533">
          <cell r="P533">
            <v>9606</v>
          </cell>
        </row>
        <row r="533">
          <cell r="V533">
            <v>6</v>
          </cell>
        </row>
        <row r="533">
          <cell r="AA533">
            <v>174</v>
          </cell>
        </row>
        <row r="534">
          <cell r="L534">
            <v>11600</v>
          </cell>
          <cell r="M534">
            <v>46120</v>
          </cell>
        </row>
        <row r="534">
          <cell r="P534">
            <v>8484</v>
          </cell>
        </row>
        <row r="534">
          <cell r="V534">
            <v>0</v>
          </cell>
        </row>
        <row r="534">
          <cell r="AA534">
            <v>0</v>
          </cell>
        </row>
        <row r="535">
          <cell r="L535">
            <v>11793</v>
          </cell>
          <cell r="M535">
            <v>46120</v>
          </cell>
        </row>
        <row r="535">
          <cell r="P535">
            <v>8485</v>
          </cell>
        </row>
        <row r="535">
          <cell r="V535">
            <v>3</v>
          </cell>
        </row>
        <row r="535">
          <cell r="AA535">
            <v>87.03</v>
          </cell>
        </row>
        <row r="536">
          <cell r="L536">
            <v>624</v>
          </cell>
          <cell r="M536">
            <v>46120</v>
          </cell>
        </row>
        <row r="536">
          <cell r="P536">
            <v>9084</v>
          </cell>
        </row>
        <row r="536">
          <cell r="V536">
            <v>11</v>
          </cell>
        </row>
        <row r="536">
          <cell r="AA536">
            <v>152.69</v>
          </cell>
        </row>
        <row r="537">
          <cell r="L537">
            <v>623</v>
          </cell>
          <cell r="M537">
            <v>46120</v>
          </cell>
        </row>
        <row r="537">
          <cell r="P537">
            <v>693</v>
          </cell>
        </row>
        <row r="537">
          <cell r="V537">
            <v>10</v>
          </cell>
        </row>
        <row r="537">
          <cell r="AA537">
            <v>192</v>
          </cell>
        </row>
        <row r="538">
          <cell r="L538">
            <v>6873</v>
          </cell>
          <cell r="M538">
            <v>46120</v>
          </cell>
        </row>
        <row r="538">
          <cell r="P538">
            <v>2462</v>
          </cell>
        </row>
        <row r="538">
          <cell r="V538">
            <v>4</v>
          </cell>
        </row>
        <row r="538">
          <cell r="AA538">
            <v>365.44</v>
          </cell>
        </row>
        <row r="539">
          <cell r="L539">
            <v>11192</v>
          </cell>
          <cell r="M539">
            <v>46120</v>
          </cell>
        </row>
        <row r="539">
          <cell r="P539">
            <v>3023</v>
          </cell>
        </row>
        <row r="539">
          <cell r="V539">
            <v>72</v>
          </cell>
        </row>
        <row r="539">
          <cell r="AA539">
            <v>13031.06</v>
          </cell>
        </row>
        <row r="540">
          <cell r="L540">
            <v>8462</v>
          </cell>
          <cell r="M540">
            <v>46120</v>
          </cell>
        </row>
        <row r="540">
          <cell r="P540">
            <v>3511</v>
          </cell>
        </row>
        <row r="540">
          <cell r="V540">
            <v>16</v>
          </cell>
        </row>
        <row r="540">
          <cell r="AA540">
            <v>2796.44</v>
          </cell>
        </row>
        <row r="541">
          <cell r="L541">
            <v>11857</v>
          </cell>
          <cell r="M541">
            <v>46120</v>
          </cell>
        </row>
        <row r="541">
          <cell r="P541">
            <v>5919</v>
          </cell>
        </row>
        <row r="541">
          <cell r="V541">
            <v>20</v>
          </cell>
        </row>
        <row r="541">
          <cell r="AA541">
            <v>4289.9</v>
          </cell>
        </row>
        <row r="542">
          <cell r="L542">
            <v>11855</v>
          </cell>
          <cell r="M542">
            <v>46120</v>
          </cell>
        </row>
        <row r="542">
          <cell r="P542">
            <v>3575</v>
          </cell>
        </row>
        <row r="542">
          <cell r="V542">
            <v>15</v>
          </cell>
        </row>
        <row r="542">
          <cell r="AA542">
            <v>2195.63</v>
          </cell>
        </row>
        <row r="543">
          <cell r="L543">
            <v>11288</v>
          </cell>
          <cell r="M543">
            <v>46120</v>
          </cell>
        </row>
        <row r="543">
          <cell r="P543">
            <v>3031</v>
          </cell>
        </row>
        <row r="543">
          <cell r="V543">
            <v>21</v>
          </cell>
        </row>
        <row r="543">
          <cell r="AA543">
            <v>2815.81</v>
          </cell>
        </row>
        <row r="544">
          <cell r="L544">
            <v>11100</v>
          </cell>
          <cell r="M544">
            <v>46120</v>
          </cell>
        </row>
        <row r="544">
          <cell r="P544">
            <v>5208</v>
          </cell>
        </row>
        <row r="544">
          <cell r="V544">
            <v>16</v>
          </cell>
        </row>
        <row r="544">
          <cell r="AA544">
            <v>2906.11</v>
          </cell>
        </row>
        <row r="545">
          <cell r="L545">
            <v>8126</v>
          </cell>
          <cell r="M545">
            <v>46120</v>
          </cell>
        </row>
        <row r="545">
          <cell r="P545">
            <v>3238</v>
          </cell>
        </row>
        <row r="545">
          <cell r="V545">
            <v>3</v>
          </cell>
        </row>
        <row r="545">
          <cell r="AA545">
            <v>541.01</v>
          </cell>
        </row>
        <row r="546">
          <cell r="L546">
            <v>8234</v>
          </cell>
          <cell r="M546">
            <v>46120</v>
          </cell>
        </row>
        <row r="546">
          <cell r="P546">
            <v>2834</v>
          </cell>
        </row>
        <row r="546">
          <cell r="V546">
            <v>30</v>
          </cell>
        </row>
        <row r="546">
          <cell r="AA546">
            <v>2989.44</v>
          </cell>
        </row>
        <row r="547">
          <cell r="L547">
            <v>6910</v>
          </cell>
          <cell r="M547">
            <v>46120</v>
          </cell>
        </row>
        <row r="547">
          <cell r="P547">
            <v>3708</v>
          </cell>
        </row>
        <row r="547">
          <cell r="V547">
            <v>17</v>
          </cell>
        </row>
        <row r="547">
          <cell r="AA547">
            <v>3113.39</v>
          </cell>
        </row>
        <row r="548">
          <cell r="L548">
            <v>12244</v>
          </cell>
          <cell r="M548">
            <v>46120</v>
          </cell>
        </row>
        <row r="548">
          <cell r="P548">
            <v>3512</v>
          </cell>
        </row>
        <row r="548">
          <cell r="V548">
            <v>14</v>
          </cell>
        </row>
        <row r="548">
          <cell r="AA548">
            <v>3113.36</v>
          </cell>
        </row>
        <row r="549">
          <cell r="L549">
            <v>12243</v>
          </cell>
          <cell r="M549">
            <v>46120</v>
          </cell>
        </row>
        <row r="549">
          <cell r="P549">
            <v>3796</v>
          </cell>
        </row>
        <row r="549">
          <cell r="V549">
            <v>9</v>
          </cell>
        </row>
        <row r="549">
          <cell r="AA549">
            <v>1907.76</v>
          </cell>
        </row>
        <row r="550">
          <cell r="L550">
            <v>12085</v>
          </cell>
          <cell r="M550">
            <v>46120</v>
          </cell>
        </row>
        <row r="550">
          <cell r="P550">
            <v>3534</v>
          </cell>
        </row>
        <row r="550">
          <cell r="V550">
            <v>16</v>
          </cell>
        </row>
        <row r="550">
          <cell r="AA550">
            <v>3006.78</v>
          </cell>
        </row>
        <row r="551">
          <cell r="L551">
            <v>12086</v>
          </cell>
          <cell r="M551">
            <v>46120</v>
          </cell>
        </row>
        <row r="551">
          <cell r="P551">
            <v>3535</v>
          </cell>
        </row>
        <row r="551">
          <cell r="V551">
            <v>4</v>
          </cell>
        </row>
        <row r="551">
          <cell r="AA551">
            <v>828.92</v>
          </cell>
        </row>
        <row r="552">
          <cell r="L552">
            <v>12258</v>
          </cell>
          <cell r="M552">
            <v>46120</v>
          </cell>
        </row>
        <row r="552">
          <cell r="P552">
            <v>2851</v>
          </cell>
        </row>
        <row r="552">
          <cell r="V552">
            <v>8</v>
          </cell>
        </row>
        <row r="552">
          <cell r="AA552">
            <v>890.96</v>
          </cell>
        </row>
        <row r="553">
          <cell r="L553">
            <v>12210</v>
          </cell>
          <cell r="M553">
            <v>46120</v>
          </cell>
        </row>
        <row r="553">
          <cell r="P553">
            <v>3536</v>
          </cell>
        </row>
        <row r="553">
          <cell r="V553">
            <v>5</v>
          </cell>
        </row>
        <row r="553">
          <cell r="AA553">
            <v>1247.09</v>
          </cell>
        </row>
        <row r="554">
          <cell r="L554">
            <v>12332</v>
          </cell>
          <cell r="M554">
            <v>46120</v>
          </cell>
        </row>
        <row r="554">
          <cell r="P554">
            <v>1405</v>
          </cell>
        </row>
        <row r="554">
          <cell r="V554">
            <v>14</v>
          </cell>
        </row>
        <row r="554">
          <cell r="AA554">
            <v>2501.07</v>
          </cell>
        </row>
        <row r="555">
          <cell r="L555">
            <v>12441</v>
          </cell>
          <cell r="M555">
            <v>46120</v>
          </cell>
        </row>
        <row r="555">
          <cell r="P555">
            <v>3262</v>
          </cell>
        </row>
        <row r="555">
          <cell r="V555">
            <v>60</v>
          </cell>
        </row>
        <row r="555">
          <cell r="AA555">
            <v>8759.16</v>
          </cell>
        </row>
        <row r="556">
          <cell r="L556">
            <v>12391</v>
          </cell>
          <cell r="M556">
            <v>46120</v>
          </cell>
        </row>
        <row r="556">
          <cell r="P556">
            <v>1406</v>
          </cell>
        </row>
        <row r="556">
          <cell r="V556">
            <v>25</v>
          </cell>
        </row>
        <row r="556">
          <cell r="AA556">
            <v>3469.65</v>
          </cell>
        </row>
        <row r="557">
          <cell r="L557">
            <v>12398</v>
          </cell>
          <cell r="M557">
            <v>46120</v>
          </cell>
        </row>
        <row r="557">
          <cell r="P557">
            <v>3776</v>
          </cell>
        </row>
        <row r="557">
          <cell r="V557">
            <v>15</v>
          </cell>
        </row>
        <row r="557">
          <cell r="AA557">
            <v>1603.9</v>
          </cell>
        </row>
        <row r="558">
          <cell r="L558">
            <v>12357</v>
          </cell>
          <cell r="M558">
            <v>46120</v>
          </cell>
        </row>
        <row r="558">
          <cell r="P558">
            <v>4491</v>
          </cell>
        </row>
        <row r="558">
          <cell r="V558">
            <v>15</v>
          </cell>
        </row>
        <row r="558">
          <cell r="AA558">
            <v>2237.4</v>
          </cell>
        </row>
        <row r="559">
          <cell r="L559">
            <v>12423</v>
          </cell>
          <cell r="M559">
            <v>46120</v>
          </cell>
        </row>
        <row r="559">
          <cell r="P559">
            <v>4537</v>
          </cell>
        </row>
        <row r="559">
          <cell r="V559">
            <v>5</v>
          </cell>
        </row>
        <row r="559">
          <cell r="AA559">
            <v>865.71</v>
          </cell>
        </row>
        <row r="560">
          <cell r="L560">
            <v>12291</v>
          </cell>
          <cell r="M560">
            <v>46120</v>
          </cell>
        </row>
        <row r="560">
          <cell r="P560">
            <v>4120</v>
          </cell>
        </row>
        <row r="560">
          <cell r="V560">
            <v>2</v>
          </cell>
        </row>
        <row r="560">
          <cell r="AA560">
            <v>256.23</v>
          </cell>
        </row>
        <row r="561">
          <cell r="L561">
            <v>12290</v>
          </cell>
          <cell r="M561">
            <v>46120</v>
          </cell>
        </row>
        <row r="561">
          <cell r="P561">
            <v>4647</v>
          </cell>
        </row>
        <row r="561">
          <cell r="V561">
            <v>1</v>
          </cell>
        </row>
        <row r="561">
          <cell r="AA561">
            <v>479.05</v>
          </cell>
        </row>
        <row r="562">
          <cell r="L562">
            <v>12474</v>
          </cell>
          <cell r="M562">
            <v>46120</v>
          </cell>
        </row>
        <row r="562">
          <cell r="P562">
            <v>4324</v>
          </cell>
        </row>
        <row r="562">
          <cell r="V562">
            <v>11</v>
          </cell>
        </row>
        <row r="562">
          <cell r="AA562">
            <v>2565.18</v>
          </cell>
        </row>
        <row r="563">
          <cell r="L563">
            <v>12213</v>
          </cell>
          <cell r="M563">
            <v>46120</v>
          </cell>
        </row>
        <row r="563">
          <cell r="P563">
            <v>4323</v>
          </cell>
        </row>
        <row r="563">
          <cell r="V563">
            <v>26</v>
          </cell>
        </row>
        <row r="563">
          <cell r="AA563">
            <v>5589.36</v>
          </cell>
        </row>
        <row r="564">
          <cell r="L564">
            <v>5439</v>
          </cell>
          <cell r="M564">
            <v>46120</v>
          </cell>
        </row>
        <row r="564">
          <cell r="P564">
            <v>5012</v>
          </cell>
        </row>
        <row r="564">
          <cell r="V564">
            <v>4</v>
          </cell>
        </row>
        <row r="564">
          <cell r="AA564">
            <v>1087.74</v>
          </cell>
        </row>
        <row r="565">
          <cell r="L565">
            <v>337</v>
          </cell>
          <cell r="M565">
            <v>46120</v>
          </cell>
        </row>
        <row r="565">
          <cell r="P565">
            <v>4812</v>
          </cell>
        </row>
        <row r="565">
          <cell r="V565">
            <v>10</v>
          </cell>
        </row>
        <row r="565">
          <cell r="AA565">
            <v>1857.96</v>
          </cell>
        </row>
        <row r="566">
          <cell r="L566">
            <v>419</v>
          </cell>
          <cell r="M566">
            <v>46120</v>
          </cell>
        </row>
        <row r="566">
          <cell r="P566">
            <v>5122</v>
          </cell>
        </row>
        <row r="566">
          <cell r="V566">
            <v>9</v>
          </cell>
        </row>
        <row r="566">
          <cell r="AA566">
            <v>2159.38</v>
          </cell>
        </row>
        <row r="567">
          <cell r="L567">
            <v>589</v>
          </cell>
          <cell r="M567">
            <v>46120</v>
          </cell>
        </row>
        <row r="567">
          <cell r="P567">
            <v>4325</v>
          </cell>
        </row>
        <row r="567">
          <cell r="V567">
            <v>8</v>
          </cell>
        </row>
        <row r="567">
          <cell r="AA567">
            <v>1682.8</v>
          </cell>
        </row>
        <row r="568">
          <cell r="L568">
            <v>972</v>
          </cell>
          <cell r="M568">
            <v>46120</v>
          </cell>
        </row>
        <row r="568">
          <cell r="P568">
            <v>4543</v>
          </cell>
        </row>
        <row r="568">
          <cell r="V568">
            <v>36</v>
          </cell>
        </row>
        <row r="568">
          <cell r="AA568">
            <v>5565.96</v>
          </cell>
        </row>
        <row r="569">
          <cell r="L569">
            <v>2752</v>
          </cell>
          <cell r="M569">
            <v>46120</v>
          </cell>
        </row>
        <row r="569">
          <cell r="P569">
            <v>4671</v>
          </cell>
        </row>
        <row r="569">
          <cell r="V569">
            <v>2</v>
          </cell>
        </row>
        <row r="569">
          <cell r="AA569">
            <v>431.32</v>
          </cell>
        </row>
        <row r="570">
          <cell r="L570">
            <v>10138</v>
          </cell>
          <cell r="M570">
            <v>46120</v>
          </cell>
        </row>
        <row r="570">
          <cell r="P570">
            <v>5060</v>
          </cell>
        </row>
        <row r="570">
          <cell r="V570">
            <v>5</v>
          </cell>
        </row>
        <row r="570">
          <cell r="AA570">
            <v>897.34</v>
          </cell>
        </row>
        <row r="571">
          <cell r="L571">
            <v>10988</v>
          </cell>
          <cell r="M571">
            <v>46120</v>
          </cell>
        </row>
        <row r="571">
          <cell r="P571">
            <v>5061</v>
          </cell>
        </row>
        <row r="571">
          <cell r="V571">
            <v>5</v>
          </cell>
        </row>
        <row r="571">
          <cell r="AA571">
            <v>885.16</v>
          </cell>
        </row>
        <row r="572">
          <cell r="L572">
            <v>4543</v>
          </cell>
          <cell r="M572">
            <v>46120</v>
          </cell>
        </row>
        <row r="572">
          <cell r="P572">
            <v>4691</v>
          </cell>
        </row>
        <row r="572">
          <cell r="V572">
            <v>10</v>
          </cell>
        </row>
        <row r="572">
          <cell r="AA572">
            <v>2522.94</v>
          </cell>
        </row>
        <row r="573">
          <cell r="L573">
            <v>3759</v>
          </cell>
          <cell r="M573">
            <v>46120</v>
          </cell>
        </row>
        <row r="573">
          <cell r="P573">
            <v>4692</v>
          </cell>
        </row>
        <row r="573">
          <cell r="V573">
            <v>5</v>
          </cell>
        </row>
        <row r="573">
          <cell r="AA573">
            <v>1480.05</v>
          </cell>
        </row>
        <row r="574">
          <cell r="L574">
            <v>5919</v>
          </cell>
          <cell r="M574">
            <v>46120</v>
          </cell>
        </row>
        <row r="574">
          <cell r="P574">
            <v>5096</v>
          </cell>
        </row>
        <row r="574">
          <cell r="V574">
            <v>4</v>
          </cell>
        </row>
        <row r="574">
          <cell r="AA574">
            <v>1258.02</v>
          </cell>
        </row>
        <row r="575">
          <cell r="L575">
            <v>5212</v>
          </cell>
          <cell r="M575">
            <v>46120</v>
          </cell>
        </row>
        <row r="575">
          <cell r="P575">
            <v>5611</v>
          </cell>
        </row>
        <row r="575">
          <cell r="V575">
            <v>23</v>
          </cell>
        </row>
        <row r="575">
          <cell r="AA575">
            <v>276.37</v>
          </cell>
        </row>
        <row r="576">
          <cell r="L576">
            <v>11938</v>
          </cell>
          <cell r="M576">
            <v>46121</v>
          </cell>
        </row>
        <row r="576">
          <cell r="P576">
            <v>5125</v>
          </cell>
        </row>
        <row r="576">
          <cell r="V576">
            <v>3</v>
          </cell>
        </row>
        <row r="576">
          <cell r="AA576">
            <v>516.2</v>
          </cell>
        </row>
        <row r="577">
          <cell r="L577">
            <v>12240</v>
          </cell>
          <cell r="M577">
            <v>46121</v>
          </cell>
        </row>
        <row r="577">
          <cell r="P577">
            <v>6906</v>
          </cell>
        </row>
        <row r="577">
          <cell r="V577">
            <v>6</v>
          </cell>
        </row>
        <row r="577">
          <cell r="AA577">
            <v>1889.32</v>
          </cell>
        </row>
        <row r="578">
          <cell r="L578">
            <v>12250</v>
          </cell>
          <cell r="M578">
            <v>46121</v>
          </cell>
        </row>
        <row r="578">
          <cell r="P578">
            <v>6907</v>
          </cell>
        </row>
        <row r="578">
          <cell r="V578">
            <v>6</v>
          </cell>
        </row>
        <row r="578">
          <cell r="AA578">
            <v>1935.58</v>
          </cell>
        </row>
        <row r="579">
          <cell r="L579">
            <v>12251</v>
          </cell>
          <cell r="M579">
            <v>46121</v>
          </cell>
        </row>
        <row r="579">
          <cell r="P579">
            <v>6872</v>
          </cell>
        </row>
        <row r="579">
          <cell r="V579">
            <v>6</v>
          </cell>
        </row>
        <row r="579">
          <cell r="AA579">
            <v>1178.25</v>
          </cell>
        </row>
        <row r="580">
          <cell r="L580">
            <v>542</v>
          </cell>
          <cell r="M580">
            <v>46121</v>
          </cell>
        </row>
        <row r="580">
          <cell r="P580">
            <v>6873</v>
          </cell>
        </row>
        <row r="580">
          <cell r="V580">
            <v>1</v>
          </cell>
        </row>
        <row r="580">
          <cell r="AA580">
            <v>224.9</v>
          </cell>
        </row>
        <row r="581">
          <cell r="L581">
            <v>1302</v>
          </cell>
          <cell r="M581">
            <v>46121</v>
          </cell>
        </row>
        <row r="581">
          <cell r="P581">
            <v>6908</v>
          </cell>
        </row>
        <row r="581">
          <cell r="V581">
            <v>3</v>
          </cell>
        </row>
        <row r="581">
          <cell r="AA581">
            <v>585</v>
          </cell>
        </row>
        <row r="582">
          <cell r="L582">
            <v>8461</v>
          </cell>
          <cell r="M582">
            <v>46121</v>
          </cell>
        </row>
        <row r="582">
          <cell r="P582">
            <v>6909</v>
          </cell>
        </row>
        <row r="582">
          <cell r="V582">
            <v>3</v>
          </cell>
        </row>
        <row r="582">
          <cell r="AA582">
            <v>557.97</v>
          </cell>
        </row>
        <row r="583">
          <cell r="L583">
            <v>624</v>
          </cell>
          <cell r="M583">
            <v>46121</v>
          </cell>
        </row>
        <row r="583">
          <cell r="P583">
            <v>6910</v>
          </cell>
        </row>
        <row r="583">
          <cell r="V583">
            <v>12</v>
          </cell>
        </row>
        <row r="583">
          <cell r="AA583">
            <v>3053.53</v>
          </cell>
        </row>
        <row r="584">
          <cell r="L584">
            <v>625</v>
          </cell>
          <cell r="M584">
            <v>46121</v>
          </cell>
        </row>
        <row r="584">
          <cell r="P584">
            <v>6911</v>
          </cell>
        </row>
        <row r="584">
          <cell r="V584">
            <v>0</v>
          </cell>
        </row>
        <row r="584">
          <cell r="AA584">
            <v>0</v>
          </cell>
        </row>
        <row r="585">
          <cell r="L585">
            <v>11876</v>
          </cell>
          <cell r="M585">
            <v>46121</v>
          </cell>
        </row>
        <row r="585">
          <cell r="P585">
            <v>6912</v>
          </cell>
        </row>
        <row r="585">
          <cell r="V585">
            <v>13</v>
          </cell>
        </row>
        <row r="585">
          <cell r="AA585">
            <v>2707.5</v>
          </cell>
        </row>
        <row r="586">
          <cell r="L586">
            <v>359</v>
          </cell>
          <cell r="M586">
            <v>46121</v>
          </cell>
        </row>
        <row r="586">
          <cell r="P586">
            <v>6913</v>
          </cell>
        </row>
        <row r="586">
          <cell r="V586">
            <v>13</v>
          </cell>
        </row>
        <row r="586">
          <cell r="AA586">
            <v>2639.6</v>
          </cell>
        </row>
        <row r="587">
          <cell r="L587">
            <v>2476</v>
          </cell>
          <cell r="M587">
            <v>46121</v>
          </cell>
        </row>
        <row r="587">
          <cell r="P587">
            <v>6914</v>
          </cell>
        </row>
        <row r="587">
          <cell r="V587">
            <v>23</v>
          </cell>
        </row>
        <row r="587">
          <cell r="AA587">
            <v>6126.4</v>
          </cell>
        </row>
        <row r="588">
          <cell r="L588">
            <v>3249</v>
          </cell>
          <cell r="M588">
            <v>46121</v>
          </cell>
        </row>
        <row r="588">
          <cell r="P588">
            <v>6915</v>
          </cell>
        </row>
        <row r="588">
          <cell r="V588">
            <v>3</v>
          </cell>
        </row>
        <row r="588">
          <cell r="AA588">
            <v>953.44</v>
          </cell>
        </row>
        <row r="589">
          <cell r="L589">
            <v>1031</v>
          </cell>
          <cell r="M589">
            <v>46121</v>
          </cell>
        </row>
        <row r="589">
          <cell r="P589">
            <v>7189</v>
          </cell>
        </row>
        <row r="589">
          <cell r="V589">
            <v>3</v>
          </cell>
        </row>
        <row r="589">
          <cell r="AA589">
            <v>741.08</v>
          </cell>
        </row>
        <row r="590">
          <cell r="L590">
            <v>1407</v>
          </cell>
          <cell r="M590">
            <v>46121</v>
          </cell>
        </row>
        <row r="590">
          <cell r="P590">
            <v>7190</v>
          </cell>
        </row>
        <row r="590">
          <cell r="V590">
            <v>2</v>
          </cell>
        </row>
        <row r="590">
          <cell r="AA590">
            <v>474.32</v>
          </cell>
        </row>
        <row r="591">
          <cell r="L591">
            <v>1045</v>
          </cell>
          <cell r="M591">
            <v>46121</v>
          </cell>
        </row>
        <row r="591">
          <cell r="P591">
            <v>7314</v>
          </cell>
        </row>
        <row r="591">
          <cell r="V591">
            <v>4</v>
          </cell>
        </row>
        <row r="591">
          <cell r="AA591">
            <v>893.98</v>
          </cell>
        </row>
        <row r="592">
          <cell r="L592">
            <v>365</v>
          </cell>
          <cell r="M592">
            <v>46121</v>
          </cell>
        </row>
        <row r="592">
          <cell r="P592">
            <v>7315</v>
          </cell>
        </row>
        <row r="592">
          <cell r="V592">
            <v>7</v>
          </cell>
        </row>
        <row r="592">
          <cell r="AA592">
            <v>1642.79</v>
          </cell>
        </row>
        <row r="593">
          <cell r="L593">
            <v>421</v>
          </cell>
          <cell r="M593">
            <v>46121</v>
          </cell>
        </row>
        <row r="593">
          <cell r="P593">
            <v>7248</v>
          </cell>
        </row>
        <row r="593">
          <cell r="V593">
            <v>17</v>
          </cell>
        </row>
        <row r="593">
          <cell r="AA593">
            <v>1513</v>
          </cell>
        </row>
        <row r="594">
          <cell r="L594">
            <v>453</v>
          </cell>
          <cell r="M594">
            <v>46121</v>
          </cell>
        </row>
        <row r="594">
          <cell r="P594">
            <v>7316</v>
          </cell>
        </row>
        <row r="594">
          <cell r="V594">
            <v>8</v>
          </cell>
        </row>
        <row r="594">
          <cell r="AA594">
            <v>811</v>
          </cell>
        </row>
        <row r="595">
          <cell r="L595">
            <v>483</v>
          </cell>
          <cell r="M595">
            <v>46121</v>
          </cell>
        </row>
        <row r="595">
          <cell r="P595">
            <v>7317</v>
          </cell>
        </row>
        <row r="595">
          <cell r="V595">
            <v>2</v>
          </cell>
        </row>
        <row r="595">
          <cell r="AA595">
            <v>194</v>
          </cell>
        </row>
        <row r="596">
          <cell r="L596">
            <v>488</v>
          </cell>
          <cell r="M596">
            <v>46121</v>
          </cell>
        </row>
        <row r="596">
          <cell r="P596">
            <v>7249</v>
          </cell>
        </row>
        <row r="596">
          <cell r="V596">
            <v>53</v>
          </cell>
        </row>
        <row r="596">
          <cell r="AA596">
            <v>5751.88</v>
          </cell>
        </row>
        <row r="597">
          <cell r="L597">
            <v>489</v>
          </cell>
          <cell r="M597">
            <v>46121</v>
          </cell>
        </row>
        <row r="597">
          <cell r="P597">
            <v>7250</v>
          </cell>
        </row>
        <row r="597">
          <cell r="V597">
            <v>51</v>
          </cell>
        </row>
        <row r="597">
          <cell r="AA597">
            <v>5377</v>
          </cell>
        </row>
        <row r="598">
          <cell r="L598">
            <v>586</v>
          </cell>
          <cell r="M598">
            <v>46121</v>
          </cell>
        </row>
        <row r="598">
          <cell r="P598">
            <v>7318</v>
          </cell>
        </row>
        <row r="598">
          <cell r="V598">
            <v>15</v>
          </cell>
        </row>
        <row r="598">
          <cell r="AA598">
            <v>2749.1</v>
          </cell>
        </row>
        <row r="599">
          <cell r="L599">
            <v>589</v>
          </cell>
          <cell r="M599">
            <v>46121</v>
          </cell>
        </row>
        <row r="599">
          <cell r="P599">
            <v>7319</v>
          </cell>
        </row>
        <row r="599">
          <cell r="V599">
            <v>2</v>
          </cell>
        </row>
        <row r="599">
          <cell r="AA599">
            <v>426.9</v>
          </cell>
        </row>
        <row r="600">
          <cell r="L600">
            <v>971</v>
          </cell>
          <cell r="M600">
            <v>46121</v>
          </cell>
        </row>
        <row r="600">
          <cell r="P600">
            <v>7348</v>
          </cell>
        </row>
        <row r="600">
          <cell r="V600">
            <v>0</v>
          </cell>
        </row>
        <row r="600">
          <cell r="AA600">
            <v>0</v>
          </cell>
        </row>
        <row r="601">
          <cell r="L601">
            <v>1372</v>
          </cell>
          <cell r="M601">
            <v>46121</v>
          </cell>
        </row>
        <row r="601">
          <cell r="P601">
            <v>7349</v>
          </cell>
        </row>
        <row r="601">
          <cell r="V601">
            <v>1</v>
          </cell>
        </row>
        <row r="601">
          <cell r="AA601">
            <v>189.7</v>
          </cell>
        </row>
        <row r="602">
          <cell r="L602">
            <v>5589</v>
          </cell>
          <cell r="M602">
            <v>46121</v>
          </cell>
        </row>
        <row r="602">
          <cell r="P602">
            <v>7193</v>
          </cell>
        </row>
        <row r="602">
          <cell r="V602">
            <v>0</v>
          </cell>
        </row>
        <row r="602">
          <cell r="AA602">
            <v>0</v>
          </cell>
        </row>
        <row r="603">
          <cell r="L603">
            <v>5590</v>
          </cell>
          <cell r="M603">
            <v>46121</v>
          </cell>
        </row>
        <row r="603">
          <cell r="P603">
            <v>7194</v>
          </cell>
        </row>
        <row r="603">
          <cell r="V603">
            <v>13</v>
          </cell>
        </row>
        <row r="603">
          <cell r="AA603">
            <v>2198.93</v>
          </cell>
        </row>
        <row r="604">
          <cell r="L604">
            <v>2462</v>
          </cell>
          <cell r="M604">
            <v>46121</v>
          </cell>
        </row>
        <row r="604">
          <cell r="P604">
            <v>7421</v>
          </cell>
        </row>
        <row r="604">
          <cell r="V604">
            <v>1</v>
          </cell>
        </row>
        <row r="604">
          <cell r="AA604">
            <v>199</v>
          </cell>
        </row>
        <row r="605">
          <cell r="L605">
            <v>3023</v>
          </cell>
          <cell r="M605">
            <v>46121</v>
          </cell>
        </row>
        <row r="605">
          <cell r="P605">
            <v>7422</v>
          </cell>
        </row>
        <row r="605">
          <cell r="V605">
            <v>0</v>
          </cell>
        </row>
        <row r="605">
          <cell r="AA605">
            <v>0</v>
          </cell>
        </row>
        <row r="606">
          <cell r="L606">
            <v>3511</v>
          </cell>
          <cell r="M606">
            <v>46121</v>
          </cell>
        </row>
        <row r="606">
          <cell r="P606">
            <v>7251</v>
          </cell>
        </row>
        <row r="606">
          <cell r="V606">
            <v>6</v>
          </cell>
        </row>
        <row r="606">
          <cell r="AA606">
            <v>1108.7</v>
          </cell>
        </row>
        <row r="607">
          <cell r="L607">
            <v>2834</v>
          </cell>
          <cell r="M607">
            <v>46121</v>
          </cell>
        </row>
        <row r="607">
          <cell r="P607">
            <v>7252</v>
          </cell>
        </row>
        <row r="607">
          <cell r="V607">
            <v>5</v>
          </cell>
        </row>
        <row r="607">
          <cell r="AA607">
            <v>916.55</v>
          </cell>
        </row>
        <row r="608">
          <cell r="L608">
            <v>4323</v>
          </cell>
          <cell r="M608">
            <v>46121</v>
          </cell>
        </row>
        <row r="608">
          <cell r="P608">
            <v>7195</v>
          </cell>
        </row>
        <row r="608">
          <cell r="V608">
            <v>1</v>
          </cell>
        </row>
        <row r="608">
          <cell r="AA608">
            <v>165</v>
          </cell>
        </row>
        <row r="609">
          <cell r="L609">
            <v>4543</v>
          </cell>
          <cell r="M609">
            <v>46121</v>
          </cell>
        </row>
        <row r="609">
          <cell r="P609">
            <v>7196</v>
          </cell>
        </row>
        <row r="609">
          <cell r="V609">
            <v>0</v>
          </cell>
        </row>
        <row r="609">
          <cell r="AA609">
            <v>0</v>
          </cell>
        </row>
        <row r="610">
          <cell r="L610">
            <v>2388</v>
          </cell>
          <cell r="M610">
            <v>46121</v>
          </cell>
        </row>
        <row r="610">
          <cell r="P610">
            <v>8196</v>
          </cell>
        </row>
        <row r="610">
          <cell r="V610">
            <v>2</v>
          </cell>
        </row>
        <row r="610">
          <cell r="AA610">
            <v>490</v>
          </cell>
        </row>
        <row r="611">
          <cell r="L611">
            <v>453</v>
          </cell>
          <cell r="M611">
            <v>46121</v>
          </cell>
        </row>
        <row r="611">
          <cell r="P611">
            <v>8125</v>
          </cell>
        </row>
        <row r="611">
          <cell r="V611">
            <v>12</v>
          </cell>
        </row>
        <row r="611">
          <cell r="AA611">
            <v>2655</v>
          </cell>
        </row>
        <row r="612">
          <cell r="L612">
            <v>1199</v>
          </cell>
          <cell r="M612">
            <v>46121</v>
          </cell>
        </row>
        <row r="612">
          <cell r="P612">
            <v>8392</v>
          </cell>
        </row>
        <row r="612">
          <cell r="V612">
            <v>10</v>
          </cell>
        </row>
        <row r="612">
          <cell r="AA612">
            <v>2265</v>
          </cell>
        </row>
        <row r="613">
          <cell r="L613">
            <v>2462</v>
          </cell>
          <cell r="M613">
            <v>46121</v>
          </cell>
        </row>
        <row r="613">
          <cell r="P613">
            <v>8757</v>
          </cell>
        </row>
        <row r="613">
          <cell r="V613">
            <v>6</v>
          </cell>
        </row>
        <row r="613">
          <cell r="AA613">
            <v>379.8</v>
          </cell>
        </row>
        <row r="614">
          <cell r="L614">
            <v>3023</v>
          </cell>
          <cell r="M614">
            <v>46121</v>
          </cell>
        </row>
        <row r="614">
          <cell r="P614">
            <v>8758</v>
          </cell>
        </row>
        <row r="614">
          <cell r="V614">
            <v>11</v>
          </cell>
        </row>
        <row r="614">
          <cell r="AA614">
            <v>844.91</v>
          </cell>
        </row>
        <row r="615">
          <cell r="L615">
            <v>1405</v>
          </cell>
          <cell r="M615">
            <v>46121</v>
          </cell>
        </row>
        <row r="615">
          <cell r="P615">
            <v>8759</v>
          </cell>
        </row>
        <row r="615">
          <cell r="V615">
            <v>5</v>
          </cell>
        </row>
        <row r="615">
          <cell r="AA615">
            <v>329.7</v>
          </cell>
        </row>
        <row r="616">
          <cell r="L616">
            <v>10107</v>
          </cell>
          <cell r="M616">
            <v>46121</v>
          </cell>
        </row>
        <row r="616">
          <cell r="P616">
            <v>8760</v>
          </cell>
        </row>
        <row r="616">
          <cell r="V616">
            <v>13</v>
          </cell>
        </row>
        <row r="616">
          <cell r="AA616">
            <v>937.17</v>
          </cell>
        </row>
        <row r="617">
          <cell r="L617">
            <v>292</v>
          </cell>
          <cell r="M617">
            <v>46121</v>
          </cell>
        </row>
        <row r="617">
          <cell r="P617">
            <v>9649</v>
          </cell>
        </row>
        <row r="617">
          <cell r="V617">
            <v>65</v>
          </cell>
        </row>
        <row r="617">
          <cell r="AA617">
            <v>3946.6</v>
          </cell>
        </row>
        <row r="618">
          <cell r="L618">
            <v>2637</v>
          </cell>
          <cell r="M618">
            <v>46121</v>
          </cell>
        </row>
        <row r="618">
          <cell r="P618">
            <v>9885</v>
          </cell>
        </row>
        <row r="618">
          <cell r="V618">
            <v>0</v>
          </cell>
        </row>
        <row r="618">
          <cell r="AA618">
            <v>0</v>
          </cell>
        </row>
        <row r="619">
          <cell r="L619">
            <v>490</v>
          </cell>
          <cell r="M619">
            <v>46121</v>
          </cell>
        </row>
        <row r="619">
          <cell r="P619">
            <v>9650</v>
          </cell>
        </row>
        <row r="619">
          <cell r="V619">
            <v>55</v>
          </cell>
        </row>
        <row r="619">
          <cell r="AA619">
            <v>3375.89</v>
          </cell>
        </row>
        <row r="620">
          <cell r="L620">
            <v>1768</v>
          </cell>
          <cell r="M620">
            <v>46121</v>
          </cell>
        </row>
        <row r="620">
          <cell r="P620">
            <v>9165</v>
          </cell>
        </row>
        <row r="620">
          <cell r="V620">
            <v>2</v>
          </cell>
        </row>
        <row r="620">
          <cell r="AA620">
            <v>156</v>
          </cell>
        </row>
        <row r="621">
          <cell r="L621">
            <v>7042</v>
          </cell>
          <cell r="M621">
            <v>46121</v>
          </cell>
        </row>
        <row r="621">
          <cell r="P621">
            <v>9166</v>
          </cell>
        </row>
        <row r="621">
          <cell r="V621">
            <v>0</v>
          </cell>
        </row>
        <row r="621">
          <cell r="AA621">
            <v>0</v>
          </cell>
        </row>
        <row r="622">
          <cell r="L622">
            <v>3238</v>
          </cell>
          <cell r="M622">
            <v>46121</v>
          </cell>
        </row>
        <row r="622">
          <cell r="P622">
            <v>9121</v>
          </cell>
        </row>
        <row r="622">
          <cell r="V622">
            <v>7</v>
          </cell>
        </row>
        <row r="622">
          <cell r="AA622">
            <v>412.3</v>
          </cell>
        </row>
        <row r="623">
          <cell r="L623">
            <v>3262</v>
          </cell>
          <cell r="M623">
            <v>46121</v>
          </cell>
        </row>
        <row r="623">
          <cell r="P623">
            <v>9901</v>
          </cell>
        </row>
        <row r="623">
          <cell r="V623">
            <v>8</v>
          </cell>
        </row>
        <row r="623">
          <cell r="AA623">
            <v>859.18</v>
          </cell>
        </row>
        <row r="624">
          <cell r="L624">
            <v>4692</v>
          </cell>
          <cell r="M624">
            <v>46121</v>
          </cell>
        </row>
        <row r="624">
          <cell r="P624">
            <v>9895</v>
          </cell>
        </row>
        <row r="624">
          <cell r="V624">
            <v>6</v>
          </cell>
        </row>
        <row r="624">
          <cell r="AA624">
            <v>649</v>
          </cell>
        </row>
        <row r="625">
          <cell r="L625">
            <v>10089</v>
          </cell>
          <cell r="M625">
            <v>46121</v>
          </cell>
        </row>
        <row r="625">
          <cell r="P625">
            <v>8116</v>
          </cell>
        </row>
        <row r="625">
          <cell r="V625">
            <v>10</v>
          </cell>
        </row>
        <row r="625">
          <cell r="AA625">
            <v>822</v>
          </cell>
        </row>
        <row r="626">
          <cell r="L626">
            <v>10090</v>
          </cell>
          <cell r="M626">
            <v>46121</v>
          </cell>
        </row>
        <row r="626">
          <cell r="P626">
            <v>9623</v>
          </cell>
        </row>
        <row r="626">
          <cell r="V626">
            <v>0</v>
          </cell>
        </row>
        <row r="626">
          <cell r="AA626">
            <v>0</v>
          </cell>
        </row>
        <row r="627">
          <cell r="L627">
            <v>10107</v>
          </cell>
          <cell r="M627">
            <v>46121</v>
          </cell>
        </row>
        <row r="627">
          <cell r="P627">
            <v>8727</v>
          </cell>
        </row>
        <row r="627">
          <cell r="V627">
            <v>5</v>
          </cell>
        </row>
        <row r="627">
          <cell r="AA627">
            <v>531</v>
          </cell>
        </row>
        <row r="628">
          <cell r="L628">
            <v>10133</v>
          </cell>
          <cell r="M628">
            <v>46121</v>
          </cell>
        </row>
        <row r="628">
          <cell r="P628">
            <v>8845</v>
          </cell>
        </row>
        <row r="628">
          <cell r="V628">
            <v>13</v>
          </cell>
        </row>
        <row r="628">
          <cell r="AA628">
            <v>1307.58</v>
          </cell>
        </row>
        <row r="629">
          <cell r="L629">
            <v>10812</v>
          </cell>
          <cell r="M629">
            <v>46121</v>
          </cell>
        </row>
        <row r="629">
          <cell r="P629">
            <v>9513</v>
          </cell>
        </row>
        <row r="629">
          <cell r="V629">
            <v>20</v>
          </cell>
        </row>
        <row r="629">
          <cell r="AA629">
            <v>3646.3</v>
          </cell>
        </row>
        <row r="630">
          <cell r="L630">
            <v>11464</v>
          </cell>
          <cell r="M630">
            <v>46121</v>
          </cell>
        </row>
        <row r="630">
          <cell r="P630">
            <v>9625</v>
          </cell>
        </row>
        <row r="630">
          <cell r="V630">
            <v>1</v>
          </cell>
        </row>
        <row r="630">
          <cell r="AA630">
            <v>140.68</v>
          </cell>
        </row>
        <row r="631">
          <cell r="L631">
            <v>11528</v>
          </cell>
          <cell r="M631">
            <v>46121</v>
          </cell>
        </row>
        <row r="631">
          <cell r="P631">
            <v>8847</v>
          </cell>
        </row>
        <row r="631">
          <cell r="V631">
            <v>13</v>
          </cell>
        </row>
        <row r="631">
          <cell r="AA631">
            <v>1329</v>
          </cell>
        </row>
        <row r="632">
          <cell r="L632">
            <v>424</v>
          </cell>
          <cell r="M632">
            <v>46121</v>
          </cell>
        </row>
        <row r="632">
          <cell r="P632">
            <v>8848</v>
          </cell>
        </row>
        <row r="632">
          <cell r="V632">
            <v>8</v>
          </cell>
        </row>
        <row r="632">
          <cell r="AA632">
            <v>714</v>
          </cell>
        </row>
        <row r="633">
          <cell r="L633">
            <v>944</v>
          </cell>
          <cell r="M633">
            <v>46121</v>
          </cell>
        </row>
        <row r="633">
          <cell r="P633">
            <v>9514</v>
          </cell>
        </row>
        <row r="633">
          <cell r="V633">
            <v>4</v>
          </cell>
        </row>
        <row r="633">
          <cell r="AA633">
            <v>573.12</v>
          </cell>
        </row>
        <row r="634">
          <cell r="L634">
            <v>971</v>
          </cell>
          <cell r="M634">
            <v>46121</v>
          </cell>
        </row>
        <row r="634">
          <cell r="P634">
            <v>8437</v>
          </cell>
        </row>
        <row r="634">
          <cell r="V634">
            <v>13</v>
          </cell>
        </row>
        <row r="634">
          <cell r="AA634">
            <v>748.14</v>
          </cell>
        </row>
        <row r="635">
          <cell r="L635">
            <v>1030</v>
          </cell>
          <cell r="M635">
            <v>46121</v>
          </cell>
        </row>
        <row r="635">
          <cell r="P635">
            <v>8766</v>
          </cell>
        </row>
        <row r="635">
          <cell r="V635">
            <v>14</v>
          </cell>
        </row>
        <row r="635">
          <cell r="AA635">
            <v>1185.7</v>
          </cell>
        </row>
        <row r="636">
          <cell r="L636">
            <v>1159</v>
          </cell>
          <cell r="M636">
            <v>46121</v>
          </cell>
        </row>
        <row r="636">
          <cell r="P636">
            <v>8767</v>
          </cell>
        </row>
        <row r="636">
          <cell r="V636">
            <v>14</v>
          </cell>
        </row>
        <row r="636">
          <cell r="AA636">
            <v>1168</v>
          </cell>
        </row>
        <row r="637">
          <cell r="L637">
            <v>3376</v>
          </cell>
          <cell r="M637">
            <v>46121</v>
          </cell>
        </row>
        <row r="637">
          <cell r="P637">
            <v>8768</v>
          </cell>
        </row>
        <row r="637">
          <cell r="V637">
            <v>0</v>
          </cell>
        </row>
        <row r="637">
          <cell r="AA637">
            <v>0</v>
          </cell>
        </row>
        <row r="638">
          <cell r="L638">
            <v>3833</v>
          </cell>
          <cell r="M638">
            <v>46121</v>
          </cell>
        </row>
        <row r="638">
          <cell r="P638">
            <v>8769</v>
          </cell>
        </row>
        <row r="638">
          <cell r="V638">
            <v>4</v>
          </cell>
        </row>
        <row r="638">
          <cell r="AA638">
            <v>875.6</v>
          </cell>
        </row>
        <row r="639">
          <cell r="L639">
            <v>4272</v>
          </cell>
          <cell r="M639">
            <v>46121</v>
          </cell>
        </row>
        <row r="639">
          <cell r="P639">
            <v>8696</v>
          </cell>
        </row>
        <row r="639">
          <cell r="V639">
            <v>0</v>
          </cell>
        </row>
        <row r="639">
          <cell r="AA639">
            <v>0</v>
          </cell>
        </row>
        <row r="640">
          <cell r="L640">
            <v>4536</v>
          </cell>
          <cell r="M640">
            <v>46121</v>
          </cell>
        </row>
        <row r="640">
          <cell r="P640">
            <v>8697</v>
          </cell>
        </row>
        <row r="640">
          <cell r="V640">
            <v>6</v>
          </cell>
        </row>
        <row r="640">
          <cell r="AA640">
            <v>553.62</v>
          </cell>
        </row>
        <row r="641">
          <cell r="L641">
            <v>5493</v>
          </cell>
          <cell r="M641">
            <v>46121</v>
          </cell>
        </row>
        <row r="641">
          <cell r="P641">
            <v>8849</v>
          </cell>
        </row>
        <row r="641">
          <cell r="V641">
            <v>3</v>
          </cell>
        </row>
        <row r="641">
          <cell r="AA641">
            <v>327</v>
          </cell>
        </row>
        <row r="642">
          <cell r="L642">
            <v>6977</v>
          </cell>
          <cell r="M642">
            <v>46121</v>
          </cell>
        </row>
        <row r="642">
          <cell r="P642">
            <v>8850</v>
          </cell>
        </row>
        <row r="642">
          <cell r="V642">
            <v>13</v>
          </cell>
        </row>
        <row r="642">
          <cell r="AA642">
            <v>1368</v>
          </cell>
        </row>
        <row r="643">
          <cell r="L643">
            <v>7965</v>
          </cell>
          <cell r="M643">
            <v>46121</v>
          </cell>
        </row>
        <row r="643">
          <cell r="P643">
            <v>8851</v>
          </cell>
        </row>
        <row r="643">
          <cell r="V643">
            <v>19</v>
          </cell>
        </row>
        <row r="643">
          <cell r="AA643">
            <v>1801.9</v>
          </cell>
        </row>
        <row r="644">
          <cell r="L644">
            <v>8213</v>
          </cell>
          <cell r="M644">
            <v>46121</v>
          </cell>
        </row>
        <row r="644">
          <cell r="P644">
            <v>8852</v>
          </cell>
        </row>
        <row r="644">
          <cell r="V644">
            <v>14</v>
          </cell>
        </row>
        <row r="644">
          <cell r="AA644">
            <v>1283.34</v>
          </cell>
        </row>
        <row r="645">
          <cell r="L645">
            <v>8879</v>
          </cell>
          <cell r="M645">
            <v>46121</v>
          </cell>
        </row>
        <row r="645">
          <cell r="P645">
            <v>9287</v>
          </cell>
        </row>
        <row r="645">
          <cell r="V645">
            <v>6</v>
          </cell>
        </row>
        <row r="645">
          <cell r="AA645">
            <v>379</v>
          </cell>
        </row>
        <row r="646">
          <cell r="L646">
            <v>11091</v>
          </cell>
          <cell r="M646">
            <v>46121</v>
          </cell>
        </row>
        <row r="646">
          <cell r="P646">
            <v>9288</v>
          </cell>
        </row>
        <row r="646">
          <cell r="V646">
            <v>7</v>
          </cell>
        </row>
        <row r="646">
          <cell r="AA646">
            <v>504.7</v>
          </cell>
        </row>
        <row r="647">
          <cell r="L647">
            <v>9650</v>
          </cell>
          <cell r="M647">
            <v>46121</v>
          </cell>
        </row>
        <row r="647">
          <cell r="P647">
            <v>9123</v>
          </cell>
        </row>
        <row r="647">
          <cell r="V647">
            <v>5</v>
          </cell>
        </row>
        <row r="647">
          <cell r="AA647">
            <v>317.95</v>
          </cell>
        </row>
        <row r="648">
          <cell r="L648">
            <v>9649</v>
          </cell>
          <cell r="M648">
            <v>46121</v>
          </cell>
        </row>
        <row r="648">
          <cell r="P648">
            <v>9124</v>
          </cell>
        </row>
        <row r="648">
          <cell r="V648">
            <v>0</v>
          </cell>
        </row>
        <row r="648">
          <cell r="AA648">
            <v>0</v>
          </cell>
        </row>
        <row r="649">
          <cell r="L649">
            <v>3341</v>
          </cell>
          <cell r="M649">
            <v>46122</v>
          </cell>
        </row>
        <row r="649">
          <cell r="P649">
            <v>8616</v>
          </cell>
        </row>
        <row r="649">
          <cell r="V649">
            <v>7</v>
          </cell>
        </row>
        <row r="649">
          <cell r="AA649">
            <v>559.4</v>
          </cell>
        </row>
        <row r="650">
          <cell r="L650">
            <v>547</v>
          </cell>
          <cell r="M650">
            <v>46122</v>
          </cell>
        </row>
        <row r="650">
          <cell r="P650">
            <v>8617</v>
          </cell>
        </row>
        <row r="650">
          <cell r="V650">
            <v>3</v>
          </cell>
        </row>
        <row r="650">
          <cell r="AA650">
            <v>237</v>
          </cell>
        </row>
        <row r="651">
          <cell r="L651">
            <v>6033</v>
          </cell>
          <cell r="M651">
            <v>46122</v>
          </cell>
        </row>
        <row r="651">
          <cell r="P651">
            <v>8770</v>
          </cell>
        </row>
        <row r="651">
          <cell r="V651">
            <v>2</v>
          </cell>
        </row>
        <row r="651">
          <cell r="AA651">
            <v>150.42</v>
          </cell>
        </row>
        <row r="652">
          <cell r="L652">
            <v>638</v>
          </cell>
          <cell r="M652">
            <v>46122</v>
          </cell>
        </row>
        <row r="652">
          <cell r="P652">
            <v>8771</v>
          </cell>
        </row>
        <row r="652">
          <cell r="V652">
            <v>6</v>
          </cell>
        </row>
        <row r="652">
          <cell r="AA652">
            <v>365.85</v>
          </cell>
        </row>
        <row r="653">
          <cell r="L653">
            <v>8728</v>
          </cell>
          <cell r="M653">
            <v>46122</v>
          </cell>
        </row>
        <row r="653">
          <cell r="P653">
            <v>9812</v>
          </cell>
        </row>
        <row r="653">
          <cell r="V653">
            <v>7</v>
          </cell>
        </row>
        <row r="653">
          <cell r="AA653">
            <v>1216</v>
          </cell>
        </row>
        <row r="654">
          <cell r="L654">
            <v>9981</v>
          </cell>
          <cell r="M654">
            <v>46122</v>
          </cell>
        </row>
        <row r="654">
          <cell r="P654">
            <v>8772</v>
          </cell>
        </row>
        <row r="654">
          <cell r="V654">
            <v>4</v>
          </cell>
        </row>
        <row r="654">
          <cell r="AA654">
            <v>285.6</v>
          </cell>
        </row>
        <row r="655">
          <cell r="L655">
            <v>3757</v>
          </cell>
          <cell r="M655">
            <v>46122</v>
          </cell>
        </row>
        <row r="655">
          <cell r="P655">
            <v>9088</v>
          </cell>
        </row>
        <row r="655">
          <cell r="V655">
            <v>17</v>
          </cell>
        </row>
        <row r="655">
          <cell r="AA655">
            <v>1027.65</v>
          </cell>
        </row>
        <row r="656">
          <cell r="L656">
            <v>1536</v>
          </cell>
          <cell r="M656">
            <v>46122</v>
          </cell>
        </row>
        <row r="656">
          <cell r="P656">
            <v>9089</v>
          </cell>
        </row>
        <row r="656">
          <cell r="V656">
            <v>7</v>
          </cell>
        </row>
        <row r="656">
          <cell r="AA656">
            <v>466</v>
          </cell>
        </row>
        <row r="657">
          <cell r="L657">
            <v>10785</v>
          </cell>
          <cell r="M657">
            <v>46122</v>
          </cell>
        </row>
        <row r="657">
          <cell r="P657">
            <v>8773</v>
          </cell>
        </row>
        <row r="657">
          <cell r="V657">
            <v>0</v>
          </cell>
        </row>
        <row r="657">
          <cell r="AA657">
            <v>0</v>
          </cell>
        </row>
        <row r="658">
          <cell r="L658">
            <v>1049</v>
          </cell>
          <cell r="M658">
            <v>46122</v>
          </cell>
        </row>
        <row r="658">
          <cell r="P658">
            <v>8774</v>
          </cell>
        </row>
        <row r="658">
          <cell r="V658">
            <v>0</v>
          </cell>
        </row>
        <row r="658">
          <cell r="AA658">
            <v>0</v>
          </cell>
        </row>
        <row r="659">
          <cell r="L659">
            <v>9776</v>
          </cell>
          <cell r="M659">
            <v>46122</v>
          </cell>
        </row>
        <row r="659">
          <cell r="P659">
            <v>9045</v>
          </cell>
        </row>
        <row r="659">
          <cell r="V659">
            <v>11</v>
          </cell>
        </row>
        <row r="659">
          <cell r="AA659">
            <v>781.02</v>
          </cell>
        </row>
        <row r="660">
          <cell r="L660">
            <v>9174</v>
          </cell>
          <cell r="M660">
            <v>46122</v>
          </cell>
        </row>
        <row r="660">
          <cell r="P660">
            <v>9046</v>
          </cell>
        </row>
        <row r="660">
          <cell r="V660">
            <v>4</v>
          </cell>
        </row>
        <row r="660">
          <cell r="AA660">
            <v>280.02</v>
          </cell>
        </row>
        <row r="661">
          <cell r="L661">
            <v>9553</v>
          </cell>
          <cell r="M661">
            <v>46122</v>
          </cell>
        </row>
        <row r="661">
          <cell r="P661">
            <v>9515</v>
          </cell>
        </row>
        <row r="661">
          <cell r="V661">
            <v>14</v>
          </cell>
        </row>
        <row r="661">
          <cell r="AA661">
            <v>910</v>
          </cell>
        </row>
        <row r="662">
          <cell r="L662">
            <v>4091</v>
          </cell>
          <cell r="M662">
            <v>46122</v>
          </cell>
        </row>
        <row r="662">
          <cell r="P662">
            <v>9516</v>
          </cell>
        </row>
        <row r="662">
          <cell r="V662">
            <v>16</v>
          </cell>
        </row>
        <row r="662">
          <cell r="AA662">
            <v>1062</v>
          </cell>
        </row>
        <row r="663">
          <cell r="L663">
            <v>10386</v>
          </cell>
          <cell r="M663">
            <v>46122</v>
          </cell>
        </row>
        <row r="663">
          <cell r="P663">
            <v>8618</v>
          </cell>
        </row>
        <row r="663">
          <cell r="V663">
            <v>8</v>
          </cell>
        </row>
        <row r="663">
          <cell r="AA663">
            <v>457.6</v>
          </cell>
        </row>
        <row r="664">
          <cell r="L664">
            <v>9806</v>
          </cell>
          <cell r="M664">
            <v>46122</v>
          </cell>
        </row>
        <row r="664">
          <cell r="P664">
            <v>8619</v>
          </cell>
        </row>
        <row r="664">
          <cell r="V664">
            <v>0</v>
          </cell>
        </row>
        <row r="664">
          <cell r="AA664">
            <v>0</v>
          </cell>
        </row>
        <row r="665">
          <cell r="L665">
            <v>7242</v>
          </cell>
          <cell r="M665">
            <v>46122</v>
          </cell>
        </row>
        <row r="665">
          <cell r="P665">
            <v>9517</v>
          </cell>
        </row>
        <row r="665">
          <cell r="V665">
            <v>8</v>
          </cell>
        </row>
        <row r="665">
          <cell r="AA665">
            <v>544.15</v>
          </cell>
        </row>
        <row r="666">
          <cell r="L666">
            <v>1160</v>
          </cell>
          <cell r="M666">
            <v>46122</v>
          </cell>
        </row>
        <row r="666">
          <cell r="P666">
            <v>9518</v>
          </cell>
        </row>
        <row r="666">
          <cell r="V666">
            <v>4</v>
          </cell>
        </row>
        <row r="666">
          <cell r="AA666">
            <v>289.8</v>
          </cell>
        </row>
        <row r="667">
          <cell r="L667">
            <v>1585</v>
          </cell>
          <cell r="M667">
            <v>46122</v>
          </cell>
        </row>
        <row r="667">
          <cell r="P667">
            <v>8775</v>
          </cell>
        </row>
        <row r="667">
          <cell r="V667">
            <v>1</v>
          </cell>
        </row>
        <row r="667">
          <cell r="AA667">
            <v>61.76</v>
          </cell>
        </row>
        <row r="668">
          <cell r="L668">
            <v>6465</v>
          </cell>
          <cell r="M668">
            <v>46122</v>
          </cell>
        </row>
        <row r="668">
          <cell r="P668">
            <v>8776</v>
          </cell>
        </row>
        <row r="668">
          <cell r="V668">
            <v>0</v>
          </cell>
        </row>
        <row r="668">
          <cell r="AA668">
            <v>0</v>
          </cell>
        </row>
        <row r="669">
          <cell r="L669">
            <v>5439</v>
          </cell>
          <cell r="M669">
            <v>46122</v>
          </cell>
        </row>
        <row r="669">
          <cell r="P669">
            <v>9282</v>
          </cell>
        </row>
        <row r="669">
          <cell r="V669">
            <v>8</v>
          </cell>
        </row>
        <row r="669">
          <cell r="AA669">
            <v>942.77</v>
          </cell>
        </row>
        <row r="670">
          <cell r="L670">
            <v>7965</v>
          </cell>
          <cell r="M670">
            <v>46122</v>
          </cell>
        </row>
        <row r="670">
          <cell r="P670">
            <v>9311</v>
          </cell>
        </row>
        <row r="670">
          <cell r="V670">
            <v>7</v>
          </cell>
        </row>
        <row r="670">
          <cell r="AA670">
            <v>888.36</v>
          </cell>
        </row>
        <row r="671">
          <cell r="L671">
            <v>9035</v>
          </cell>
          <cell r="M671">
            <v>46122</v>
          </cell>
        </row>
        <row r="671">
          <cell r="P671">
            <v>8620</v>
          </cell>
        </row>
        <row r="671">
          <cell r="V671">
            <v>5</v>
          </cell>
        </row>
        <row r="671">
          <cell r="AA671">
            <v>323.62</v>
          </cell>
        </row>
        <row r="672">
          <cell r="L672">
            <v>12006</v>
          </cell>
          <cell r="M672">
            <v>46122</v>
          </cell>
        </row>
        <row r="672">
          <cell r="P672">
            <v>8621</v>
          </cell>
        </row>
        <row r="672">
          <cell r="V672">
            <v>0</v>
          </cell>
        </row>
        <row r="672">
          <cell r="AA672">
            <v>0</v>
          </cell>
        </row>
        <row r="673">
          <cell r="L673">
            <v>1462</v>
          </cell>
          <cell r="M673">
            <v>46122</v>
          </cell>
        </row>
        <row r="673">
          <cell r="P673">
            <v>8999</v>
          </cell>
        </row>
        <row r="673">
          <cell r="V673">
            <v>5</v>
          </cell>
        </row>
        <row r="673">
          <cell r="AA673">
            <v>395.8</v>
          </cell>
        </row>
        <row r="674">
          <cell r="L674">
            <v>11091</v>
          </cell>
          <cell r="M674">
            <v>46122</v>
          </cell>
        </row>
        <row r="674">
          <cell r="P674">
            <v>9000</v>
          </cell>
        </row>
        <row r="674">
          <cell r="V674">
            <v>0</v>
          </cell>
        </row>
        <row r="674">
          <cell r="AA674">
            <v>0</v>
          </cell>
        </row>
        <row r="675">
          <cell r="L675">
            <v>3750</v>
          </cell>
          <cell r="M675">
            <v>46122</v>
          </cell>
        </row>
        <row r="675">
          <cell r="P675">
            <v>9771</v>
          </cell>
        </row>
        <row r="675">
          <cell r="V675">
            <v>5</v>
          </cell>
        </row>
        <row r="675">
          <cell r="AA675">
            <v>384</v>
          </cell>
        </row>
        <row r="676">
          <cell r="L676">
            <v>1050</v>
          </cell>
          <cell r="M676">
            <v>46122</v>
          </cell>
        </row>
        <row r="676">
          <cell r="P676">
            <v>9805</v>
          </cell>
        </row>
        <row r="676">
          <cell r="V676">
            <v>11</v>
          </cell>
        </row>
        <row r="676">
          <cell r="AA676">
            <v>753.5</v>
          </cell>
        </row>
        <row r="677">
          <cell r="L677">
            <v>5542</v>
          </cell>
          <cell r="M677">
            <v>46122</v>
          </cell>
        </row>
        <row r="677">
          <cell r="P677">
            <v>9048</v>
          </cell>
        </row>
        <row r="677">
          <cell r="V677">
            <v>0</v>
          </cell>
        </row>
        <row r="677">
          <cell r="AA677">
            <v>0</v>
          </cell>
        </row>
        <row r="678">
          <cell r="L678">
            <v>4657</v>
          </cell>
          <cell r="M678">
            <v>46122</v>
          </cell>
        </row>
        <row r="678">
          <cell r="P678">
            <v>8622</v>
          </cell>
        </row>
        <row r="678">
          <cell r="V678">
            <v>2</v>
          </cell>
        </row>
        <row r="678">
          <cell r="AA678">
            <v>114</v>
          </cell>
        </row>
        <row r="679">
          <cell r="L679">
            <v>12357</v>
          </cell>
          <cell r="M679">
            <v>46122</v>
          </cell>
        </row>
        <row r="679">
          <cell r="P679">
            <v>8623</v>
          </cell>
        </row>
        <row r="679">
          <cell r="V679">
            <v>0</v>
          </cell>
        </row>
        <row r="679">
          <cell r="AA679">
            <v>0</v>
          </cell>
        </row>
        <row r="680">
          <cell r="L680">
            <v>12423</v>
          </cell>
          <cell r="M680">
            <v>46122</v>
          </cell>
        </row>
        <row r="680">
          <cell r="P680">
            <v>9049</v>
          </cell>
        </row>
        <row r="680">
          <cell r="V680">
            <v>8</v>
          </cell>
        </row>
        <row r="680">
          <cell r="AA680">
            <v>430.98</v>
          </cell>
        </row>
        <row r="681">
          <cell r="L681">
            <v>8277</v>
          </cell>
          <cell r="M681">
            <v>46122</v>
          </cell>
        </row>
        <row r="681">
          <cell r="P681">
            <v>9289</v>
          </cell>
        </row>
        <row r="681">
          <cell r="V681">
            <v>2</v>
          </cell>
        </row>
        <row r="681">
          <cell r="AA681">
            <v>126.38</v>
          </cell>
        </row>
        <row r="682">
          <cell r="L682">
            <v>8366</v>
          </cell>
          <cell r="M682">
            <v>46122</v>
          </cell>
        </row>
        <row r="682">
          <cell r="P682">
            <v>9290</v>
          </cell>
        </row>
        <row r="682">
          <cell r="V682">
            <v>4</v>
          </cell>
        </row>
        <row r="682">
          <cell r="AA682">
            <v>269.96</v>
          </cell>
        </row>
        <row r="683">
          <cell r="L683">
            <v>7965</v>
          </cell>
          <cell r="M683">
            <v>46122</v>
          </cell>
        </row>
        <row r="683">
          <cell r="P683">
            <v>9291</v>
          </cell>
        </row>
        <row r="683">
          <cell r="V683">
            <v>0</v>
          </cell>
        </row>
        <row r="683">
          <cell r="AA683">
            <v>0</v>
          </cell>
        </row>
        <row r="684">
          <cell r="L684">
            <v>5079</v>
          </cell>
          <cell r="M684">
            <v>46122</v>
          </cell>
        </row>
        <row r="684">
          <cell r="P684">
            <v>8550</v>
          </cell>
        </row>
        <row r="684">
          <cell r="V684">
            <v>6</v>
          </cell>
        </row>
        <row r="684">
          <cell r="AA684">
            <v>490.35</v>
          </cell>
        </row>
        <row r="685">
          <cell r="L685">
            <v>12441</v>
          </cell>
          <cell r="M685">
            <v>46122</v>
          </cell>
        </row>
        <row r="685">
          <cell r="P685">
            <v>8551</v>
          </cell>
        </row>
        <row r="685">
          <cell r="V685">
            <v>6</v>
          </cell>
        </row>
        <row r="685">
          <cell r="AA685">
            <v>437</v>
          </cell>
        </row>
        <row r="686">
          <cell r="L686">
            <v>1657</v>
          </cell>
          <cell r="M686">
            <v>46122</v>
          </cell>
        </row>
        <row r="686">
          <cell r="P686">
            <v>9626</v>
          </cell>
        </row>
        <row r="686">
          <cell r="V686">
            <v>6</v>
          </cell>
        </row>
        <row r="686">
          <cell r="AA686">
            <v>636.3</v>
          </cell>
        </row>
        <row r="687">
          <cell r="L687">
            <v>3871</v>
          </cell>
          <cell r="M687">
            <v>46122</v>
          </cell>
        </row>
        <row r="687">
          <cell r="P687">
            <v>9816</v>
          </cell>
        </row>
        <row r="687">
          <cell r="V687">
            <v>0</v>
          </cell>
        </row>
        <row r="687">
          <cell r="AA687">
            <v>0</v>
          </cell>
        </row>
        <row r="688">
          <cell r="L688">
            <v>9084</v>
          </cell>
          <cell r="M688">
            <v>46122</v>
          </cell>
        </row>
        <row r="688">
          <cell r="P688">
            <v>9904</v>
          </cell>
        </row>
        <row r="688">
          <cell r="V688">
            <v>12</v>
          </cell>
        </row>
        <row r="688">
          <cell r="AA688">
            <v>1717</v>
          </cell>
        </row>
        <row r="689">
          <cell r="L689">
            <v>1310</v>
          </cell>
          <cell r="M689">
            <v>46122</v>
          </cell>
        </row>
        <row r="689">
          <cell r="P689">
            <v>8779</v>
          </cell>
        </row>
        <row r="689">
          <cell r="V689">
            <v>0</v>
          </cell>
        </row>
        <row r="689">
          <cell r="AA689">
            <v>0</v>
          </cell>
        </row>
        <row r="690">
          <cell r="L690">
            <v>4328</v>
          </cell>
          <cell r="M690">
            <v>46122</v>
          </cell>
        </row>
        <row r="690">
          <cell r="P690">
            <v>8780</v>
          </cell>
        </row>
        <row r="690">
          <cell r="V690">
            <v>4</v>
          </cell>
        </row>
        <row r="690">
          <cell r="AA690">
            <v>295.87</v>
          </cell>
        </row>
        <row r="691">
          <cell r="L691">
            <v>9650</v>
          </cell>
          <cell r="M691">
            <v>46122</v>
          </cell>
        </row>
        <row r="691">
          <cell r="P691">
            <v>8728</v>
          </cell>
        </row>
        <row r="691">
          <cell r="V691">
            <v>6</v>
          </cell>
        </row>
        <row r="691">
          <cell r="AA691">
            <v>408.14</v>
          </cell>
        </row>
        <row r="692">
          <cell r="L692">
            <v>11554</v>
          </cell>
          <cell r="M692">
            <v>46122</v>
          </cell>
        </row>
        <row r="692">
          <cell r="P692">
            <v>8810</v>
          </cell>
        </row>
        <row r="692">
          <cell r="V692">
            <v>4</v>
          </cell>
        </row>
        <row r="692">
          <cell r="AA692">
            <v>277.6</v>
          </cell>
        </row>
        <row r="693">
          <cell r="L693">
            <v>656</v>
          </cell>
          <cell r="M693">
            <v>46122</v>
          </cell>
        </row>
        <row r="693">
          <cell r="P693">
            <v>10349</v>
          </cell>
        </row>
        <row r="693">
          <cell r="V693">
            <v>3</v>
          </cell>
        </row>
        <row r="693">
          <cell r="AA693">
            <v>510</v>
          </cell>
        </row>
        <row r="694">
          <cell r="L694">
            <v>9981</v>
          </cell>
          <cell r="M694">
            <v>46122</v>
          </cell>
        </row>
        <row r="694">
          <cell r="P694">
            <v>8552</v>
          </cell>
        </row>
        <row r="694">
          <cell r="V694">
            <v>3</v>
          </cell>
        </row>
        <row r="694">
          <cell r="AA694">
            <v>255.84</v>
          </cell>
        </row>
        <row r="695">
          <cell r="L695">
            <v>10938</v>
          </cell>
          <cell r="M695">
            <v>46122</v>
          </cell>
        </row>
        <row r="695">
          <cell r="P695">
            <v>8553</v>
          </cell>
        </row>
        <row r="695">
          <cell r="V695">
            <v>1</v>
          </cell>
        </row>
        <row r="695">
          <cell r="AA695">
            <v>95.26</v>
          </cell>
        </row>
        <row r="696">
          <cell r="L696">
            <v>9649</v>
          </cell>
          <cell r="M696">
            <v>46122</v>
          </cell>
        </row>
        <row r="696">
          <cell r="P696">
            <v>8624</v>
          </cell>
        </row>
        <row r="696">
          <cell r="V696">
            <v>6</v>
          </cell>
        </row>
        <row r="696">
          <cell r="AA696">
            <v>350.1</v>
          </cell>
        </row>
        <row r="697">
          <cell r="L697">
            <v>9650</v>
          </cell>
          <cell r="M697">
            <v>46122</v>
          </cell>
        </row>
        <row r="697">
          <cell r="P697">
            <v>8625</v>
          </cell>
        </row>
        <row r="697">
          <cell r="V697">
            <v>3</v>
          </cell>
        </row>
        <row r="697">
          <cell r="AA697">
            <v>169.53</v>
          </cell>
        </row>
        <row r="698">
          <cell r="L698">
            <v>8525</v>
          </cell>
          <cell r="M698">
            <v>46122</v>
          </cell>
        </row>
        <row r="698">
          <cell r="P698">
            <v>9912</v>
          </cell>
        </row>
        <row r="698">
          <cell r="V698">
            <v>7</v>
          </cell>
        </row>
        <row r="698">
          <cell r="AA698">
            <v>1195</v>
          </cell>
        </row>
        <row r="699">
          <cell r="L699">
            <v>8622</v>
          </cell>
          <cell r="M699">
            <v>46122</v>
          </cell>
        </row>
        <row r="699">
          <cell r="P699">
            <v>9981</v>
          </cell>
        </row>
        <row r="699">
          <cell r="V699">
            <v>22</v>
          </cell>
        </row>
        <row r="699">
          <cell r="AA699">
            <v>4358.25</v>
          </cell>
        </row>
        <row r="700">
          <cell r="L700">
            <v>9517</v>
          </cell>
          <cell r="M700">
            <v>46122</v>
          </cell>
        </row>
        <row r="700">
          <cell r="P700">
            <v>8781</v>
          </cell>
        </row>
        <row r="700">
          <cell r="V700">
            <v>0</v>
          </cell>
        </row>
        <row r="700">
          <cell r="AA700">
            <v>0</v>
          </cell>
        </row>
        <row r="701">
          <cell r="L701">
            <v>8619</v>
          </cell>
          <cell r="M701">
            <v>46122</v>
          </cell>
        </row>
        <row r="701">
          <cell r="P701">
            <v>8783</v>
          </cell>
        </row>
        <row r="701">
          <cell r="V701">
            <v>10</v>
          </cell>
        </row>
        <row r="701">
          <cell r="AA701">
            <v>1161</v>
          </cell>
        </row>
        <row r="702">
          <cell r="L702">
            <v>8757</v>
          </cell>
          <cell r="M702">
            <v>46122</v>
          </cell>
        </row>
        <row r="702">
          <cell r="P702">
            <v>9938</v>
          </cell>
        </row>
        <row r="702">
          <cell r="V702">
            <v>9</v>
          </cell>
        </row>
        <row r="702">
          <cell r="AA702">
            <v>1570.8</v>
          </cell>
        </row>
        <row r="703">
          <cell r="L703">
            <v>12247</v>
          </cell>
          <cell r="M703">
            <v>46122</v>
          </cell>
        </row>
        <row r="703">
          <cell r="P703">
            <v>8699</v>
          </cell>
        </row>
        <row r="703">
          <cell r="V703">
            <v>5</v>
          </cell>
        </row>
        <row r="703">
          <cell r="AA703">
            <v>310.5</v>
          </cell>
        </row>
        <row r="704">
          <cell r="L704">
            <v>8728</v>
          </cell>
          <cell r="M704">
            <v>46122</v>
          </cell>
        </row>
        <row r="704">
          <cell r="P704">
            <v>9627</v>
          </cell>
        </row>
        <row r="704">
          <cell r="V704">
            <v>7</v>
          </cell>
        </row>
        <row r="704">
          <cell r="AA704">
            <v>1067</v>
          </cell>
        </row>
        <row r="705">
          <cell r="L705">
            <v>9901</v>
          </cell>
          <cell r="M705">
            <v>46122</v>
          </cell>
        </row>
        <row r="705">
          <cell r="P705">
            <v>9860</v>
          </cell>
        </row>
        <row r="705">
          <cell r="V705">
            <v>10</v>
          </cell>
        </row>
        <row r="705">
          <cell r="AA705">
            <v>796</v>
          </cell>
        </row>
        <row r="706">
          <cell r="L706">
            <v>8757</v>
          </cell>
          <cell r="M706">
            <v>46122</v>
          </cell>
        </row>
        <row r="706">
          <cell r="P706">
            <v>9939</v>
          </cell>
        </row>
        <row r="706">
          <cell r="V706">
            <v>0</v>
          </cell>
        </row>
        <row r="706">
          <cell r="AA706">
            <v>0</v>
          </cell>
        </row>
        <row r="707">
          <cell r="L707">
            <v>8810</v>
          </cell>
          <cell r="M707">
            <v>46122</v>
          </cell>
        </row>
        <row r="707">
          <cell r="P707">
            <v>542</v>
          </cell>
        </row>
        <row r="707">
          <cell r="V707">
            <v>57</v>
          </cell>
        </row>
        <row r="707">
          <cell r="AA707">
            <v>1445.42</v>
          </cell>
        </row>
        <row r="708">
          <cell r="L708">
            <v>11553</v>
          </cell>
          <cell r="M708">
            <v>46122</v>
          </cell>
        </row>
        <row r="708">
          <cell r="P708">
            <v>5869</v>
          </cell>
        </row>
        <row r="708">
          <cell r="V708">
            <v>16</v>
          </cell>
        </row>
        <row r="708">
          <cell r="AA708">
            <v>2823.84</v>
          </cell>
        </row>
        <row r="709">
          <cell r="L709">
            <v>9045</v>
          </cell>
          <cell r="M709">
            <v>46122</v>
          </cell>
        </row>
        <row r="709">
          <cell r="P709">
            <v>5987</v>
          </cell>
        </row>
        <row r="709">
          <cell r="V709">
            <v>5</v>
          </cell>
        </row>
        <row r="709">
          <cell r="AA709">
            <v>884.46</v>
          </cell>
        </row>
        <row r="710">
          <cell r="L710">
            <v>8776</v>
          </cell>
          <cell r="M710">
            <v>46122</v>
          </cell>
        </row>
        <row r="710">
          <cell r="P710">
            <v>5362</v>
          </cell>
        </row>
        <row r="710">
          <cell r="V710">
            <v>8</v>
          </cell>
        </row>
        <row r="710">
          <cell r="AA710">
            <v>1483.74</v>
          </cell>
        </row>
        <row r="711">
          <cell r="L711">
            <v>12206</v>
          </cell>
          <cell r="M711">
            <v>46122</v>
          </cell>
        </row>
        <row r="711">
          <cell r="P711">
            <v>5363</v>
          </cell>
        </row>
        <row r="711">
          <cell r="V711">
            <v>10</v>
          </cell>
        </row>
        <row r="711">
          <cell r="AA711">
            <v>1666.35</v>
          </cell>
        </row>
        <row r="712">
          <cell r="L712">
            <v>9233</v>
          </cell>
          <cell r="M712">
            <v>46122</v>
          </cell>
        </row>
        <row r="712">
          <cell r="P712">
            <v>9953</v>
          </cell>
        </row>
        <row r="712">
          <cell r="V712">
            <v>7</v>
          </cell>
        </row>
        <row r="712">
          <cell r="AA712">
            <v>1441.6</v>
          </cell>
        </row>
        <row r="713">
          <cell r="L713">
            <v>8616</v>
          </cell>
          <cell r="M713">
            <v>46122</v>
          </cell>
        </row>
        <row r="713">
          <cell r="P713">
            <v>9008</v>
          </cell>
        </row>
        <row r="713">
          <cell r="V713">
            <v>8</v>
          </cell>
        </row>
        <row r="713">
          <cell r="AA713">
            <v>919.92</v>
          </cell>
        </row>
        <row r="714">
          <cell r="L714">
            <v>8697</v>
          </cell>
          <cell r="M714">
            <v>46122</v>
          </cell>
        </row>
        <row r="714">
          <cell r="P714">
            <v>2763</v>
          </cell>
        </row>
        <row r="714">
          <cell r="V714">
            <v>10</v>
          </cell>
        </row>
        <row r="714">
          <cell r="AA714">
            <v>956.36</v>
          </cell>
        </row>
        <row r="715">
          <cell r="L715">
            <v>11756</v>
          </cell>
          <cell r="M715">
            <v>46122</v>
          </cell>
        </row>
        <row r="715">
          <cell r="P715">
            <v>2764</v>
          </cell>
        </row>
        <row r="715">
          <cell r="V715">
            <v>4</v>
          </cell>
        </row>
        <row r="715">
          <cell r="AA715">
            <v>327.16</v>
          </cell>
        </row>
        <row r="716">
          <cell r="L716">
            <v>9650</v>
          </cell>
          <cell r="M716">
            <v>46122</v>
          </cell>
        </row>
        <row r="716">
          <cell r="P716">
            <v>2798</v>
          </cell>
        </row>
        <row r="716">
          <cell r="V716">
            <v>3</v>
          </cell>
        </row>
        <row r="716">
          <cell r="AA716">
            <v>291.03</v>
          </cell>
        </row>
        <row r="717">
          <cell r="L717">
            <v>1437</v>
          </cell>
          <cell r="M717">
            <v>46122</v>
          </cell>
        </row>
        <row r="717">
          <cell r="P717">
            <v>2772</v>
          </cell>
        </row>
        <row r="717">
          <cell r="V717">
            <v>15</v>
          </cell>
        </row>
        <row r="717">
          <cell r="AA717">
            <v>2053.78</v>
          </cell>
        </row>
        <row r="718">
          <cell r="L718">
            <v>12396</v>
          </cell>
          <cell r="M718">
            <v>46122</v>
          </cell>
        </row>
        <row r="718">
          <cell r="P718">
            <v>2893</v>
          </cell>
        </row>
        <row r="718">
          <cell r="V718">
            <v>10</v>
          </cell>
        </row>
        <row r="718">
          <cell r="AA718">
            <v>1604.22</v>
          </cell>
        </row>
        <row r="719">
          <cell r="L719">
            <v>6914</v>
          </cell>
          <cell r="M719">
            <v>46122</v>
          </cell>
        </row>
        <row r="719">
          <cell r="P719">
            <v>2388</v>
          </cell>
        </row>
        <row r="719">
          <cell r="V719">
            <v>51</v>
          </cell>
        </row>
        <row r="719">
          <cell r="AA719">
            <v>1927.56</v>
          </cell>
        </row>
        <row r="720">
          <cell r="L720">
            <v>11455</v>
          </cell>
          <cell r="M720">
            <v>46122</v>
          </cell>
        </row>
        <row r="720">
          <cell r="P720">
            <v>3452</v>
          </cell>
        </row>
        <row r="720">
          <cell r="V720">
            <v>31</v>
          </cell>
        </row>
        <row r="720">
          <cell r="AA720">
            <v>1036.09</v>
          </cell>
        </row>
        <row r="721">
          <cell r="L721">
            <v>12021</v>
          </cell>
          <cell r="M721">
            <v>46122</v>
          </cell>
        </row>
        <row r="721">
          <cell r="P721">
            <v>9135</v>
          </cell>
        </row>
        <row r="721">
          <cell r="V721">
            <v>6</v>
          </cell>
        </row>
        <row r="721">
          <cell r="AA721">
            <v>390</v>
          </cell>
        </row>
        <row r="722">
          <cell r="L722">
            <v>12307</v>
          </cell>
          <cell r="M722">
            <v>46122</v>
          </cell>
        </row>
        <row r="722">
          <cell r="P722">
            <v>9577</v>
          </cell>
        </row>
        <row r="722">
          <cell r="V722">
            <v>5</v>
          </cell>
        </row>
        <row r="722">
          <cell r="AA722">
            <v>1223</v>
          </cell>
        </row>
        <row r="723">
          <cell r="L723">
            <v>12311</v>
          </cell>
          <cell r="M723">
            <v>46122</v>
          </cell>
        </row>
        <row r="723">
          <cell r="P723">
            <v>10008</v>
          </cell>
        </row>
        <row r="723">
          <cell r="V723">
            <v>60</v>
          </cell>
        </row>
        <row r="723">
          <cell r="AA723">
            <v>2266</v>
          </cell>
        </row>
        <row r="724">
          <cell r="L724">
            <v>12386</v>
          </cell>
          <cell r="M724">
            <v>46122</v>
          </cell>
        </row>
        <row r="724">
          <cell r="P724">
            <v>10009</v>
          </cell>
        </row>
        <row r="724">
          <cell r="V724">
            <v>16</v>
          </cell>
        </row>
        <row r="724">
          <cell r="AA724">
            <v>437.63</v>
          </cell>
        </row>
        <row r="725">
          <cell r="L725">
            <v>4411</v>
          </cell>
          <cell r="M725">
            <v>46122</v>
          </cell>
        </row>
        <row r="725">
          <cell r="P725">
            <v>10010</v>
          </cell>
        </row>
        <row r="725">
          <cell r="V725">
            <v>8</v>
          </cell>
        </row>
        <row r="725">
          <cell r="AA725">
            <v>214.51</v>
          </cell>
        </row>
        <row r="726">
          <cell r="L726">
            <v>7194</v>
          </cell>
          <cell r="M726">
            <v>46122</v>
          </cell>
        </row>
        <row r="726">
          <cell r="P726">
            <v>10012</v>
          </cell>
        </row>
        <row r="726">
          <cell r="V726">
            <v>5</v>
          </cell>
        </row>
        <row r="726">
          <cell r="AA726">
            <v>312</v>
          </cell>
        </row>
        <row r="727">
          <cell r="L727">
            <v>7318</v>
          </cell>
          <cell r="M727">
            <v>46122</v>
          </cell>
        </row>
        <row r="727">
          <cell r="P727">
            <v>10059</v>
          </cell>
        </row>
        <row r="727">
          <cell r="V727">
            <v>19</v>
          </cell>
        </row>
        <row r="727">
          <cell r="AA727">
            <v>362.07</v>
          </cell>
        </row>
        <row r="728">
          <cell r="L728">
            <v>8125</v>
          </cell>
          <cell r="M728">
            <v>46122</v>
          </cell>
        </row>
        <row r="728">
          <cell r="P728">
            <v>10060</v>
          </cell>
        </row>
        <row r="728">
          <cell r="V728">
            <v>9</v>
          </cell>
        </row>
        <row r="728">
          <cell r="AA728">
            <v>166.5</v>
          </cell>
        </row>
        <row r="729">
          <cell r="L729">
            <v>8234</v>
          </cell>
          <cell r="M729">
            <v>46122</v>
          </cell>
        </row>
        <row r="729">
          <cell r="P729">
            <v>10061</v>
          </cell>
        </row>
        <row r="729">
          <cell r="V729">
            <v>0</v>
          </cell>
        </row>
        <row r="729">
          <cell r="AA729">
            <v>0</v>
          </cell>
        </row>
        <row r="730">
          <cell r="L730">
            <v>12320</v>
          </cell>
          <cell r="M730">
            <v>46122</v>
          </cell>
        </row>
        <row r="730">
          <cell r="P730">
            <v>10062</v>
          </cell>
        </row>
        <row r="730">
          <cell r="V730">
            <v>9</v>
          </cell>
        </row>
        <row r="730">
          <cell r="AA730">
            <v>213.35</v>
          </cell>
        </row>
        <row r="731">
          <cell r="L731">
            <v>12298</v>
          </cell>
          <cell r="M731">
            <v>46122</v>
          </cell>
        </row>
        <row r="731">
          <cell r="P731">
            <v>10089</v>
          </cell>
        </row>
        <row r="731">
          <cell r="V731">
            <v>1</v>
          </cell>
        </row>
        <row r="731">
          <cell r="AA731">
            <v>527.8</v>
          </cell>
        </row>
        <row r="732">
          <cell r="L732">
            <v>2732</v>
          </cell>
          <cell r="M732">
            <v>46122</v>
          </cell>
        </row>
        <row r="732">
          <cell r="P732">
            <v>10090</v>
          </cell>
        </row>
        <row r="732">
          <cell r="V732">
            <v>12</v>
          </cell>
        </row>
        <row r="732">
          <cell r="AA732">
            <v>3540</v>
          </cell>
        </row>
        <row r="733">
          <cell r="L733">
            <v>12088</v>
          </cell>
          <cell r="M733">
            <v>46122</v>
          </cell>
        </row>
        <row r="733">
          <cell r="P733">
            <v>10091</v>
          </cell>
        </row>
        <row r="733">
          <cell r="V733">
            <v>3</v>
          </cell>
        </row>
        <row r="733">
          <cell r="AA733">
            <v>1635.06</v>
          </cell>
        </row>
        <row r="734">
          <cell r="L734">
            <v>12023</v>
          </cell>
          <cell r="M734">
            <v>46122</v>
          </cell>
        </row>
        <row r="734">
          <cell r="P734">
            <v>10095</v>
          </cell>
        </row>
        <row r="734">
          <cell r="V734">
            <v>0</v>
          </cell>
        </row>
        <row r="734">
          <cell r="AA734">
            <v>0</v>
          </cell>
        </row>
        <row r="735">
          <cell r="L735">
            <v>12165</v>
          </cell>
          <cell r="M735">
            <v>46122</v>
          </cell>
        </row>
        <row r="735">
          <cell r="P735">
            <v>10096</v>
          </cell>
        </row>
        <row r="735">
          <cell r="V735">
            <v>0</v>
          </cell>
        </row>
        <row r="735">
          <cell r="AA735">
            <v>0</v>
          </cell>
        </row>
        <row r="736">
          <cell r="L736">
            <v>10061</v>
          </cell>
          <cell r="M736">
            <v>46122</v>
          </cell>
        </row>
        <row r="736">
          <cell r="P736">
            <v>10107</v>
          </cell>
        </row>
        <row r="736">
          <cell r="V736">
            <v>11</v>
          </cell>
        </row>
        <row r="736">
          <cell r="AA736">
            <v>2516.51</v>
          </cell>
        </row>
        <row r="737">
          <cell r="L737">
            <v>10062</v>
          </cell>
          <cell r="M737">
            <v>46122</v>
          </cell>
        </row>
        <row r="737">
          <cell r="P737">
            <v>10127</v>
          </cell>
        </row>
        <row r="737">
          <cell r="V737">
            <v>1</v>
          </cell>
        </row>
        <row r="737">
          <cell r="AA737">
            <v>138.73</v>
          </cell>
        </row>
        <row r="738">
          <cell r="L738">
            <v>1126</v>
          </cell>
          <cell r="M738">
            <v>46122</v>
          </cell>
        </row>
        <row r="738">
          <cell r="P738">
            <v>10128</v>
          </cell>
        </row>
        <row r="738">
          <cell r="V738">
            <v>26</v>
          </cell>
        </row>
        <row r="738">
          <cell r="AA738">
            <v>1124.5</v>
          </cell>
        </row>
        <row r="739">
          <cell r="L739">
            <v>11815</v>
          </cell>
          <cell r="M739">
            <v>46122</v>
          </cell>
        </row>
        <row r="739">
          <cell r="P739">
            <v>10133</v>
          </cell>
        </row>
        <row r="739">
          <cell r="V739">
            <v>3</v>
          </cell>
        </row>
        <row r="739">
          <cell r="AA739">
            <v>522.89</v>
          </cell>
        </row>
        <row r="740">
          <cell r="L740">
            <v>1390</v>
          </cell>
          <cell r="M740">
            <v>46122</v>
          </cell>
        </row>
        <row r="740">
          <cell r="P740">
            <v>10135</v>
          </cell>
        </row>
        <row r="740">
          <cell r="V740">
            <v>4</v>
          </cell>
        </row>
        <row r="740">
          <cell r="AA740">
            <v>276.04</v>
          </cell>
        </row>
        <row r="741">
          <cell r="L741">
            <v>3238</v>
          </cell>
          <cell r="M741">
            <v>46122</v>
          </cell>
        </row>
        <row r="741">
          <cell r="P741">
            <v>10138</v>
          </cell>
        </row>
        <row r="741">
          <cell r="V741">
            <v>1</v>
          </cell>
        </row>
        <row r="741">
          <cell r="AA741">
            <v>127.42</v>
          </cell>
        </row>
        <row r="742">
          <cell r="L742">
            <v>3249</v>
          </cell>
          <cell r="M742">
            <v>46122</v>
          </cell>
        </row>
        <row r="742">
          <cell r="P742">
            <v>10144</v>
          </cell>
        </row>
        <row r="742">
          <cell r="V742">
            <v>0</v>
          </cell>
        </row>
        <row r="742">
          <cell r="AA742">
            <v>0</v>
          </cell>
        </row>
        <row r="743">
          <cell r="L743">
            <v>336</v>
          </cell>
          <cell r="M743">
            <v>46122</v>
          </cell>
        </row>
        <row r="743">
          <cell r="P743">
            <v>10171</v>
          </cell>
        </row>
        <row r="743">
          <cell r="V743">
            <v>8</v>
          </cell>
        </row>
        <row r="743">
          <cell r="AA743">
            <v>488.92</v>
          </cell>
        </row>
        <row r="744">
          <cell r="L744">
            <v>2462</v>
          </cell>
          <cell r="M744">
            <v>46122</v>
          </cell>
        </row>
        <row r="744">
          <cell r="P744">
            <v>10172</v>
          </cell>
        </row>
        <row r="744">
          <cell r="V744">
            <v>0</v>
          </cell>
        </row>
        <row r="744">
          <cell r="AA744">
            <v>0</v>
          </cell>
        </row>
        <row r="745">
          <cell r="L745">
            <v>12074</v>
          </cell>
          <cell r="M745">
            <v>46122</v>
          </cell>
        </row>
        <row r="745">
          <cell r="P745">
            <v>10226</v>
          </cell>
        </row>
        <row r="745">
          <cell r="V745">
            <v>7</v>
          </cell>
        </row>
        <row r="745">
          <cell r="AA745">
            <v>132.43</v>
          </cell>
        </row>
        <row r="746">
          <cell r="L746">
            <v>327</v>
          </cell>
          <cell r="M746">
            <v>46122</v>
          </cell>
        </row>
        <row r="746">
          <cell r="P746">
            <v>10298</v>
          </cell>
        </row>
        <row r="746">
          <cell r="V746">
            <v>2</v>
          </cell>
        </row>
        <row r="746">
          <cell r="AA746">
            <v>86.99</v>
          </cell>
        </row>
        <row r="747">
          <cell r="L747">
            <v>2834</v>
          </cell>
          <cell r="M747">
            <v>46122</v>
          </cell>
        </row>
        <row r="747">
          <cell r="P747">
            <v>7119</v>
          </cell>
        </row>
        <row r="747">
          <cell r="V747">
            <v>24</v>
          </cell>
        </row>
        <row r="747">
          <cell r="AA747">
            <v>1027.59</v>
          </cell>
        </row>
        <row r="748">
          <cell r="L748">
            <v>2476</v>
          </cell>
          <cell r="M748">
            <v>46122</v>
          </cell>
        </row>
        <row r="748">
          <cell r="P748">
            <v>8083</v>
          </cell>
        </row>
        <row r="748">
          <cell r="V748">
            <v>51</v>
          </cell>
        </row>
        <row r="748">
          <cell r="AA748">
            <v>1168.68</v>
          </cell>
        </row>
        <row r="749">
          <cell r="L749">
            <v>3231</v>
          </cell>
          <cell r="M749">
            <v>46122</v>
          </cell>
        </row>
        <row r="749">
          <cell r="P749">
            <v>8254</v>
          </cell>
        </row>
        <row r="749">
          <cell r="V749">
            <v>7</v>
          </cell>
        </row>
        <row r="749">
          <cell r="AA749">
            <v>272.32</v>
          </cell>
        </row>
        <row r="750">
          <cell r="L750">
            <v>9296</v>
          </cell>
          <cell r="M750">
            <v>46123</v>
          </cell>
        </row>
        <row r="750">
          <cell r="P750">
            <v>8181</v>
          </cell>
        </row>
        <row r="750">
          <cell r="V750">
            <v>18</v>
          </cell>
        </row>
        <row r="750">
          <cell r="AA750">
            <v>850.9</v>
          </cell>
        </row>
        <row r="751">
          <cell r="L751">
            <v>11839</v>
          </cell>
          <cell r="M751">
            <v>46123</v>
          </cell>
        </row>
        <row r="751">
          <cell r="P751">
            <v>8374</v>
          </cell>
        </row>
        <row r="751">
          <cell r="V751">
            <v>14</v>
          </cell>
        </row>
        <row r="751">
          <cell r="AA751">
            <v>884.96</v>
          </cell>
        </row>
        <row r="752">
          <cell r="L752">
            <v>4678</v>
          </cell>
          <cell r="M752">
            <v>46123</v>
          </cell>
        </row>
        <row r="752">
          <cell r="P752">
            <v>136</v>
          </cell>
        </row>
        <row r="752">
          <cell r="V752">
            <v>0</v>
          </cell>
        </row>
        <row r="752">
          <cell r="AA752">
            <v>0</v>
          </cell>
        </row>
        <row r="753">
          <cell r="L753">
            <v>3760</v>
          </cell>
          <cell r="M753">
            <v>46123</v>
          </cell>
        </row>
        <row r="753">
          <cell r="P753">
            <v>7247</v>
          </cell>
        </row>
        <row r="753">
          <cell r="V753">
            <v>1</v>
          </cell>
        </row>
        <row r="753">
          <cell r="AA753">
            <v>118.09</v>
          </cell>
        </row>
        <row r="754">
          <cell r="L754">
            <v>1696</v>
          </cell>
          <cell r="M754">
            <v>46123</v>
          </cell>
        </row>
        <row r="754">
          <cell r="P754">
            <v>7688</v>
          </cell>
        </row>
        <row r="754">
          <cell r="V754">
            <v>31</v>
          </cell>
        </row>
        <row r="754">
          <cell r="AA754">
            <v>1079.24</v>
          </cell>
        </row>
        <row r="755">
          <cell r="L755">
            <v>2993</v>
          </cell>
          <cell r="M755">
            <v>46123</v>
          </cell>
        </row>
        <row r="755">
          <cell r="P755">
            <v>7689</v>
          </cell>
        </row>
        <row r="755">
          <cell r="V755">
            <v>37</v>
          </cell>
        </row>
        <row r="755">
          <cell r="AA755">
            <v>1359.11</v>
          </cell>
        </row>
        <row r="756">
          <cell r="L756">
            <v>1449</v>
          </cell>
          <cell r="M756">
            <v>46123</v>
          </cell>
        </row>
        <row r="756">
          <cell r="P756">
            <v>10350</v>
          </cell>
        </row>
        <row r="756">
          <cell r="V756">
            <v>0</v>
          </cell>
        </row>
        <row r="756">
          <cell r="AA756">
            <v>0</v>
          </cell>
        </row>
        <row r="757">
          <cell r="L757">
            <v>1122</v>
          </cell>
          <cell r="M757">
            <v>46123</v>
          </cell>
        </row>
        <row r="757">
          <cell r="P757">
            <v>10386</v>
          </cell>
        </row>
        <row r="757">
          <cell r="V757">
            <v>38</v>
          </cell>
        </row>
        <row r="757">
          <cell r="AA757">
            <v>5214.35</v>
          </cell>
        </row>
        <row r="758">
          <cell r="L758">
            <v>5670</v>
          </cell>
          <cell r="M758">
            <v>46123</v>
          </cell>
        </row>
        <row r="758">
          <cell r="P758">
            <v>10381</v>
          </cell>
        </row>
        <row r="758">
          <cell r="V758">
            <v>10</v>
          </cell>
        </row>
        <row r="758">
          <cell r="AA758">
            <v>628.9</v>
          </cell>
        </row>
        <row r="759">
          <cell r="L759">
            <v>1714</v>
          </cell>
          <cell r="M759">
            <v>46123</v>
          </cell>
        </row>
        <row r="759">
          <cell r="P759">
            <v>10414</v>
          </cell>
        </row>
        <row r="759">
          <cell r="V759">
            <v>0</v>
          </cell>
        </row>
        <row r="759">
          <cell r="AA759">
            <v>0</v>
          </cell>
        </row>
        <row r="760">
          <cell r="L760">
            <v>1292</v>
          </cell>
          <cell r="M760">
            <v>46123</v>
          </cell>
        </row>
        <row r="760">
          <cell r="P760">
            <v>10470</v>
          </cell>
        </row>
        <row r="760">
          <cell r="V760">
            <v>0</v>
          </cell>
        </row>
        <row r="760">
          <cell r="AA760">
            <v>0</v>
          </cell>
        </row>
        <row r="761">
          <cell r="L761">
            <v>3118</v>
          </cell>
          <cell r="M761">
            <v>46123</v>
          </cell>
        </row>
        <row r="761">
          <cell r="P761">
            <v>8126</v>
          </cell>
        </row>
        <row r="761">
          <cell r="V761">
            <v>4</v>
          </cell>
        </row>
        <row r="761">
          <cell r="AA761">
            <v>629</v>
          </cell>
        </row>
        <row r="762">
          <cell r="L762">
            <v>5708</v>
          </cell>
          <cell r="M762">
            <v>46123</v>
          </cell>
        </row>
        <row r="762">
          <cell r="P762">
            <v>10464</v>
          </cell>
        </row>
        <row r="762">
          <cell r="V762">
            <v>7</v>
          </cell>
        </row>
        <row r="762">
          <cell r="AA762">
            <v>144.05</v>
          </cell>
        </row>
        <row r="763">
          <cell r="L763">
            <v>9683</v>
          </cell>
          <cell r="M763">
            <v>46123</v>
          </cell>
        </row>
        <row r="763">
          <cell r="P763">
            <v>10465</v>
          </cell>
        </row>
        <row r="763">
          <cell r="V763">
            <v>0</v>
          </cell>
        </row>
        <row r="763">
          <cell r="AA763">
            <v>0</v>
          </cell>
        </row>
        <row r="764">
          <cell r="L764">
            <v>6906</v>
          </cell>
          <cell r="M764">
            <v>46123</v>
          </cell>
        </row>
        <row r="764">
          <cell r="P764">
            <v>10466</v>
          </cell>
        </row>
        <row r="764">
          <cell r="V764">
            <v>0</v>
          </cell>
        </row>
        <row r="764">
          <cell r="AA764">
            <v>0</v>
          </cell>
        </row>
        <row r="765">
          <cell r="L765">
            <v>12271</v>
          </cell>
          <cell r="M765">
            <v>46123</v>
          </cell>
        </row>
        <row r="765">
          <cell r="P765">
            <v>10554</v>
          </cell>
        </row>
        <row r="765">
          <cell r="V765">
            <v>8</v>
          </cell>
        </row>
        <row r="765">
          <cell r="AA765">
            <v>312</v>
          </cell>
        </row>
        <row r="766">
          <cell r="L766">
            <v>12270</v>
          </cell>
          <cell r="M766">
            <v>46123</v>
          </cell>
        </row>
        <row r="766">
          <cell r="P766">
            <v>10544</v>
          </cell>
        </row>
        <row r="766">
          <cell r="V766">
            <v>8</v>
          </cell>
        </row>
        <row r="766">
          <cell r="AA766">
            <v>1032.99</v>
          </cell>
        </row>
        <row r="767">
          <cell r="L767">
            <v>12307</v>
          </cell>
          <cell r="M767">
            <v>46123</v>
          </cell>
        </row>
        <row r="767">
          <cell r="P767">
            <v>10518</v>
          </cell>
        </row>
        <row r="767">
          <cell r="V767">
            <v>10</v>
          </cell>
        </row>
        <row r="767">
          <cell r="AA767">
            <v>1759.17</v>
          </cell>
        </row>
        <row r="768">
          <cell r="L768">
            <v>12310</v>
          </cell>
          <cell r="M768">
            <v>46123</v>
          </cell>
        </row>
        <row r="768">
          <cell r="P768">
            <v>10519</v>
          </cell>
        </row>
        <row r="768">
          <cell r="V768">
            <v>11</v>
          </cell>
        </row>
        <row r="768">
          <cell r="AA768">
            <v>1027.95</v>
          </cell>
        </row>
        <row r="769">
          <cell r="L769">
            <v>12312</v>
          </cell>
          <cell r="M769">
            <v>46123</v>
          </cell>
        </row>
        <row r="769">
          <cell r="P769">
            <v>10520</v>
          </cell>
        </row>
        <row r="769">
          <cell r="V769">
            <v>0</v>
          </cell>
        </row>
        <row r="769">
          <cell r="AA769">
            <v>0</v>
          </cell>
        </row>
        <row r="770">
          <cell r="L770">
            <v>11876</v>
          </cell>
          <cell r="M770">
            <v>46123</v>
          </cell>
        </row>
        <row r="770">
          <cell r="P770">
            <v>10545</v>
          </cell>
        </row>
        <row r="770">
          <cell r="V770">
            <v>0</v>
          </cell>
        </row>
        <row r="770">
          <cell r="AA770">
            <v>0</v>
          </cell>
        </row>
        <row r="771">
          <cell r="L771">
            <v>8126</v>
          </cell>
          <cell r="M771">
            <v>46123</v>
          </cell>
        </row>
        <row r="771">
          <cell r="P771">
            <v>10546</v>
          </cell>
        </row>
        <row r="771">
          <cell r="V771">
            <v>9</v>
          </cell>
        </row>
        <row r="771">
          <cell r="AA771">
            <v>246.59</v>
          </cell>
        </row>
        <row r="772">
          <cell r="L772">
            <v>12489</v>
          </cell>
          <cell r="M772">
            <v>46123</v>
          </cell>
        </row>
        <row r="772">
          <cell r="P772">
            <v>10553</v>
          </cell>
        </row>
        <row r="772">
          <cell r="V772">
            <v>6</v>
          </cell>
        </row>
        <row r="772">
          <cell r="AA772">
            <v>334.05</v>
          </cell>
        </row>
        <row r="773">
          <cell r="L773">
            <v>1008</v>
          </cell>
          <cell r="M773">
            <v>46123</v>
          </cell>
        </row>
        <row r="773">
          <cell r="P773">
            <v>10585</v>
          </cell>
        </row>
        <row r="773">
          <cell r="V773">
            <v>0</v>
          </cell>
        </row>
        <row r="773">
          <cell r="AA773">
            <v>0</v>
          </cell>
        </row>
        <row r="774">
          <cell r="L774">
            <v>11455</v>
          </cell>
          <cell r="M774">
            <v>46123</v>
          </cell>
        </row>
        <row r="774">
          <cell r="P774">
            <v>10592</v>
          </cell>
        </row>
        <row r="774">
          <cell r="V774">
            <v>0</v>
          </cell>
        </row>
        <row r="774">
          <cell r="AA774">
            <v>0</v>
          </cell>
        </row>
        <row r="775">
          <cell r="L775">
            <v>11781</v>
          </cell>
          <cell r="M775">
            <v>46123</v>
          </cell>
        </row>
        <row r="775">
          <cell r="P775">
            <v>10593</v>
          </cell>
        </row>
        <row r="775">
          <cell r="V775">
            <v>0</v>
          </cell>
        </row>
        <row r="775">
          <cell r="AA775">
            <v>0</v>
          </cell>
        </row>
        <row r="776">
          <cell r="L776">
            <v>625</v>
          </cell>
          <cell r="M776">
            <v>46123</v>
          </cell>
        </row>
        <row r="776">
          <cell r="P776">
            <v>10639</v>
          </cell>
        </row>
        <row r="776">
          <cell r="V776">
            <v>13</v>
          </cell>
        </row>
        <row r="776">
          <cell r="AA776">
            <v>455.45</v>
          </cell>
        </row>
        <row r="777">
          <cell r="L777">
            <v>7315</v>
          </cell>
          <cell r="M777">
            <v>46123</v>
          </cell>
        </row>
        <row r="777">
          <cell r="P777">
            <v>10653</v>
          </cell>
        </row>
        <row r="777">
          <cell r="V777">
            <v>8</v>
          </cell>
        </row>
        <row r="777">
          <cell r="AA777">
            <v>1615.42</v>
          </cell>
        </row>
        <row r="778">
          <cell r="L778">
            <v>9649</v>
          </cell>
          <cell r="M778">
            <v>46123</v>
          </cell>
        </row>
        <row r="778">
          <cell r="P778">
            <v>10659</v>
          </cell>
        </row>
        <row r="778">
          <cell r="V778">
            <v>0</v>
          </cell>
        </row>
        <row r="778">
          <cell r="AA778">
            <v>0</v>
          </cell>
        </row>
        <row r="779">
          <cell r="L779">
            <v>3776</v>
          </cell>
          <cell r="M779">
            <v>46123</v>
          </cell>
        </row>
        <row r="779">
          <cell r="P779">
            <v>10660</v>
          </cell>
        </row>
        <row r="779">
          <cell r="V779">
            <v>0</v>
          </cell>
        </row>
        <row r="779">
          <cell r="AA779">
            <v>0</v>
          </cell>
        </row>
        <row r="780">
          <cell r="L780">
            <v>10937</v>
          </cell>
          <cell r="M780">
            <v>46123</v>
          </cell>
        </row>
        <row r="780">
          <cell r="P780">
            <v>10774</v>
          </cell>
        </row>
        <row r="780">
          <cell r="V780">
            <v>10</v>
          </cell>
        </row>
        <row r="780">
          <cell r="AA780">
            <v>1882.9</v>
          </cell>
        </row>
        <row r="781">
          <cell r="L781">
            <v>9048</v>
          </cell>
          <cell r="M781">
            <v>46123</v>
          </cell>
        </row>
        <row r="781">
          <cell r="P781">
            <v>10785</v>
          </cell>
        </row>
        <row r="781">
          <cell r="V781">
            <v>22</v>
          </cell>
        </row>
        <row r="781">
          <cell r="AA781">
            <v>1099.78</v>
          </cell>
        </row>
        <row r="782">
          <cell r="L782">
            <v>8845</v>
          </cell>
          <cell r="M782">
            <v>46123</v>
          </cell>
        </row>
        <row r="782">
          <cell r="P782">
            <v>10786</v>
          </cell>
        </row>
        <row r="782">
          <cell r="V782">
            <v>32</v>
          </cell>
        </row>
        <row r="782">
          <cell r="AA782">
            <v>1714.37</v>
          </cell>
        </row>
        <row r="783">
          <cell r="L783">
            <v>12318</v>
          </cell>
          <cell r="M783">
            <v>46123</v>
          </cell>
        </row>
        <row r="783">
          <cell r="P783">
            <v>10787</v>
          </cell>
        </row>
        <row r="783">
          <cell r="V783">
            <v>15</v>
          </cell>
        </row>
        <row r="783">
          <cell r="AA783">
            <v>614.85</v>
          </cell>
        </row>
        <row r="784">
          <cell r="L784">
            <v>11380</v>
          </cell>
          <cell r="M784">
            <v>46123</v>
          </cell>
        </row>
        <row r="784">
          <cell r="P784">
            <v>10811</v>
          </cell>
        </row>
        <row r="784">
          <cell r="V784">
            <v>0</v>
          </cell>
        </row>
        <row r="784">
          <cell r="AA784">
            <v>0</v>
          </cell>
        </row>
        <row r="785">
          <cell r="L785">
            <v>9895</v>
          </cell>
          <cell r="M785">
            <v>46123</v>
          </cell>
        </row>
        <row r="785">
          <cell r="P785">
            <v>10812</v>
          </cell>
        </row>
        <row r="785">
          <cell r="V785">
            <v>0</v>
          </cell>
        </row>
        <row r="785">
          <cell r="AA785">
            <v>0</v>
          </cell>
        </row>
        <row r="786">
          <cell r="L786">
            <v>9938</v>
          </cell>
          <cell r="M786">
            <v>46123</v>
          </cell>
        </row>
        <row r="786">
          <cell r="P786">
            <v>10813</v>
          </cell>
        </row>
        <row r="786">
          <cell r="V786">
            <v>4</v>
          </cell>
        </row>
        <row r="786">
          <cell r="AA786">
            <v>157.48</v>
          </cell>
        </row>
        <row r="787">
          <cell r="L787">
            <v>9649</v>
          </cell>
          <cell r="M787">
            <v>46123</v>
          </cell>
        </row>
        <row r="787">
          <cell r="P787">
            <v>10857</v>
          </cell>
        </row>
        <row r="787">
          <cell r="V787">
            <v>0</v>
          </cell>
        </row>
        <row r="787">
          <cell r="AA787">
            <v>0</v>
          </cell>
        </row>
        <row r="788">
          <cell r="L788">
            <v>11240</v>
          </cell>
          <cell r="M788">
            <v>46123</v>
          </cell>
        </row>
        <row r="788">
          <cell r="P788">
            <v>10858</v>
          </cell>
        </row>
        <row r="788">
          <cell r="V788">
            <v>14</v>
          </cell>
        </row>
        <row r="788">
          <cell r="AA788">
            <v>351.17</v>
          </cell>
        </row>
        <row r="789">
          <cell r="L789">
            <v>9515</v>
          </cell>
          <cell r="M789">
            <v>46123</v>
          </cell>
        </row>
        <row r="789">
          <cell r="P789">
            <v>10859</v>
          </cell>
        </row>
        <row r="789">
          <cell r="V789">
            <v>7</v>
          </cell>
        </row>
        <row r="789">
          <cell r="AA789">
            <v>894.34</v>
          </cell>
        </row>
        <row r="790">
          <cell r="L790">
            <v>9391</v>
          </cell>
          <cell r="M790">
            <v>46123</v>
          </cell>
        </row>
        <row r="790">
          <cell r="P790">
            <v>10894</v>
          </cell>
        </row>
        <row r="790">
          <cell r="V790">
            <v>6</v>
          </cell>
        </row>
        <row r="790">
          <cell r="AA790">
            <v>495.86</v>
          </cell>
        </row>
        <row r="791">
          <cell r="L791">
            <v>259</v>
          </cell>
          <cell r="M791">
            <v>46123</v>
          </cell>
        </row>
        <row r="791">
          <cell r="P791">
            <v>10906</v>
          </cell>
        </row>
        <row r="791">
          <cell r="V791">
            <v>0</v>
          </cell>
        </row>
        <row r="791">
          <cell r="AA791">
            <v>0</v>
          </cell>
        </row>
        <row r="792">
          <cell r="L792">
            <v>8851</v>
          </cell>
          <cell r="M792">
            <v>46123</v>
          </cell>
        </row>
        <row r="792">
          <cell r="P792">
            <v>10920</v>
          </cell>
        </row>
        <row r="792">
          <cell r="V792">
            <v>3</v>
          </cell>
        </row>
        <row r="792">
          <cell r="AA792">
            <v>676.72</v>
          </cell>
        </row>
        <row r="793">
          <cell r="L793">
            <v>11911</v>
          </cell>
          <cell r="M793">
            <v>46123</v>
          </cell>
        </row>
        <row r="793">
          <cell r="P793">
            <v>10937</v>
          </cell>
        </row>
        <row r="793">
          <cell r="V793">
            <v>2</v>
          </cell>
        </row>
        <row r="793">
          <cell r="AA793">
            <v>160.72</v>
          </cell>
        </row>
        <row r="794">
          <cell r="L794">
            <v>12252</v>
          </cell>
          <cell r="M794">
            <v>46123</v>
          </cell>
        </row>
        <row r="794">
          <cell r="P794">
            <v>10938</v>
          </cell>
        </row>
        <row r="794">
          <cell r="V794">
            <v>0</v>
          </cell>
        </row>
        <row r="794">
          <cell r="AA794">
            <v>0</v>
          </cell>
        </row>
        <row r="795">
          <cell r="L795">
            <v>954</v>
          </cell>
          <cell r="M795">
            <v>46123</v>
          </cell>
        </row>
        <row r="795">
          <cell r="P795">
            <v>10977</v>
          </cell>
        </row>
        <row r="795">
          <cell r="V795">
            <v>0</v>
          </cell>
        </row>
        <row r="795">
          <cell r="AA795">
            <v>0</v>
          </cell>
        </row>
        <row r="796">
          <cell r="L796">
            <v>9233</v>
          </cell>
          <cell r="M796">
            <v>46123</v>
          </cell>
        </row>
        <row r="796">
          <cell r="P796">
            <v>10988</v>
          </cell>
        </row>
        <row r="796">
          <cell r="V796">
            <v>23</v>
          </cell>
        </row>
        <row r="796">
          <cell r="AA796">
            <v>454.71</v>
          </cell>
        </row>
        <row r="797">
          <cell r="L797">
            <v>12205</v>
          </cell>
          <cell r="M797">
            <v>46123</v>
          </cell>
        </row>
        <row r="797">
          <cell r="P797">
            <v>11002</v>
          </cell>
        </row>
        <row r="797">
          <cell r="V797">
            <v>10</v>
          </cell>
        </row>
        <row r="797">
          <cell r="AA797">
            <v>1479.09</v>
          </cell>
        </row>
        <row r="798">
          <cell r="L798">
            <v>1320</v>
          </cell>
          <cell r="M798">
            <v>46123</v>
          </cell>
        </row>
        <row r="798">
          <cell r="P798">
            <v>11003</v>
          </cell>
        </row>
        <row r="798">
          <cell r="V798">
            <v>19</v>
          </cell>
        </row>
        <row r="798">
          <cell r="AA798">
            <v>994</v>
          </cell>
        </row>
        <row r="799">
          <cell r="L799">
            <v>9649</v>
          </cell>
          <cell r="M799">
            <v>46123</v>
          </cell>
        </row>
        <row r="799">
          <cell r="P799">
            <v>11004</v>
          </cell>
        </row>
        <row r="799">
          <cell r="V799">
            <v>5</v>
          </cell>
        </row>
        <row r="799">
          <cell r="AA799">
            <v>159.1</v>
          </cell>
        </row>
        <row r="800">
          <cell r="L800">
            <v>12246</v>
          </cell>
          <cell r="M800">
            <v>46123</v>
          </cell>
        </row>
        <row r="800">
          <cell r="P800">
            <v>11005</v>
          </cell>
        </row>
        <row r="800">
          <cell r="V800">
            <v>0</v>
          </cell>
        </row>
        <row r="800">
          <cell r="AA800">
            <v>0</v>
          </cell>
        </row>
        <row r="801">
          <cell r="L801">
            <v>12139</v>
          </cell>
          <cell r="M801">
            <v>46123</v>
          </cell>
        </row>
        <row r="801">
          <cell r="P801">
            <v>11030</v>
          </cell>
        </row>
        <row r="801">
          <cell r="V801">
            <v>7</v>
          </cell>
        </row>
        <row r="801">
          <cell r="AA801">
            <v>472.85</v>
          </cell>
        </row>
        <row r="802">
          <cell r="L802">
            <v>12262</v>
          </cell>
          <cell r="M802">
            <v>46123</v>
          </cell>
        </row>
        <row r="802">
          <cell r="P802">
            <v>11033</v>
          </cell>
        </row>
        <row r="802">
          <cell r="V802">
            <v>3</v>
          </cell>
        </row>
        <row r="802">
          <cell r="AA802">
            <v>396.9</v>
          </cell>
        </row>
        <row r="803">
          <cell r="L803">
            <v>12291</v>
          </cell>
          <cell r="M803">
            <v>46123</v>
          </cell>
        </row>
        <row r="803">
          <cell r="P803">
            <v>11043</v>
          </cell>
        </row>
        <row r="803">
          <cell r="V803">
            <v>110</v>
          </cell>
        </row>
        <row r="803">
          <cell r="AA803">
            <v>8373.33</v>
          </cell>
        </row>
        <row r="804">
          <cell r="L804">
            <v>1655</v>
          </cell>
          <cell r="M804">
            <v>46123</v>
          </cell>
        </row>
        <row r="804">
          <cell r="P804">
            <v>11053</v>
          </cell>
        </row>
        <row r="804">
          <cell r="V804">
            <v>0</v>
          </cell>
        </row>
        <row r="804">
          <cell r="AA804">
            <v>0</v>
          </cell>
        </row>
        <row r="805">
          <cell r="L805">
            <v>8463</v>
          </cell>
          <cell r="M805">
            <v>46123</v>
          </cell>
        </row>
        <row r="805">
          <cell r="P805">
            <v>8393</v>
          </cell>
        </row>
        <row r="805">
          <cell r="V805">
            <v>0</v>
          </cell>
        </row>
        <row r="805">
          <cell r="AA805">
            <v>0</v>
          </cell>
        </row>
        <row r="806">
          <cell r="L806">
            <v>1135</v>
          </cell>
          <cell r="M806">
            <v>46123</v>
          </cell>
        </row>
        <row r="806">
          <cell r="P806">
            <v>11064</v>
          </cell>
        </row>
        <row r="806">
          <cell r="V806">
            <v>3</v>
          </cell>
        </row>
        <row r="806">
          <cell r="AA806">
            <v>310.34</v>
          </cell>
        </row>
        <row r="807">
          <cell r="L807">
            <v>1310</v>
          </cell>
          <cell r="M807">
            <v>46123</v>
          </cell>
        </row>
        <row r="807">
          <cell r="P807">
            <v>10508</v>
          </cell>
        </row>
        <row r="807">
          <cell r="V807">
            <v>0</v>
          </cell>
        </row>
        <row r="807">
          <cell r="AA807">
            <v>0</v>
          </cell>
        </row>
        <row r="808">
          <cell r="L808">
            <v>7042</v>
          </cell>
          <cell r="M808">
            <v>46123</v>
          </cell>
        </row>
        <row r="808">
          <cell r="P808">
            <v>11076</v>
          </cell>
        </row>
        <row r="808">
          <cell r="V808">
            <v>17</v>
          </cell>
        </row>
        <row r="808">
          <cell r="AA808">
            <v>2367.9</v>
          </cell>
        </row>
        <row r="809">
          <cell r="L809">
            <v>12210</v>
          </cell>
          <cell r="M809">
            <v>46123</v>
          </cell>
        </row>
        <row r="809">
          <cell r="P809">
            <v>11086</v>
          </cell>
        </row>
        <row r="809">
          <cell r="V809">
            <v>4</v>
          </cell>
        </row>
        <row r="809">
          <cell r="AA809">
            <v>503.79</v>
          </cell>
        </row>
        <row r="810">
          <cell r="L810">
            <v>12213</v>
          </cell>
          <cell r="M810">
            <v>46123</v>
          </cell>
        </row>
        <row r="810">
          <cell r="P810">
            <v>11091</v>
          </cell>
        </row>
        <row r="810">
          <cell r="V810">
            <v>35</v>
          </cell>
        </row>
        <row r="810">
          <cell r="AA810">
            <v>2729.65</v>
          </cell>
        </row>
        <row r="811">
          <cell r="L811">
            <v>9580</v>
          </cell>
          <cell r="M811">
            <v>46123</v>
          </cell>
        </row>
        <row r="811">
          <cell r="P811">
            <v>11093</v>
          </cell>
        </row>
        <row r="811">
          <cell r="V811">
            <v>13</v>
          </cell>
        </row>
        <row r="811">
          <cell r="AA811">
            <v>414.29</v>
          </cell>
        </row>
        <row r="812">
          <cell r="L812">
            <v>8685</v>
          </cell>
          <cell r="M812">
            <v>46123</v>
          </cell>
        </row>
        <row r="812">
          <cell r="P812">
            <v>11096</v>
          </cell>
        </row>
        <row r="812">
          <cell r="V812">
            <v>0</v>
          </cell>
        </row>
        <row r="812">
          <cell r="AA812">
            <v>0</v>
          </cell>
        </row>
        <row r="813">
          <cell r="L813">
            <v>657</v>
          </cell>
          <cell r="M813">
            <v>46123</v>
          </cell>
        </row>
        <row r="813">
          <cell r="P813">
            <v>11100</v>
          </cell>
        </row>
        <row r="813">
          <cell r="V813">
            <v>0</v>
          </cell>
        </row>
        <row r="813">
          <cell r="AA813">
            <v>0</v>
          </cell>
        </row>
        <row r="814">
          <cell r="L814">
            <v>1050</v>
          </cell>
          <cell r="M814">
            <v>46123</v>
          </cell>
        </row>
        <row r="814">
          <cell r="P814">
            <v>11101</v>
          </cell>
        </row>
        <row r="814">
          <cell r="V814">
            <v>0</v>
          </cell>
        </row>
        <row r="814">
          <cell r="AA814">
            <v>0</v>
          </cell>
        </row>
        <row r="815">
          <cell r="L815">
            <v>7965</v>
          </cell>
          <cell r="M815">
            <v>46123</v>
          </cell>
        </row>
        <row r="815">
          <cell r="P815">
            <v>11102</v>
          </cell>
        </row>
        <row r="815">
          <cell r="V815">
            <v>16</v>
          </cell>
        </row>
        <row r="815">
          <cell r="AA815">
            <v>448.96</v>
          </cell>
        </row>
        <row r="816">
          <cell r="L816">
            <v>9580</v>
          </cell>
          <cell r="M816">
            <v>46123</v>
          </cell>
        </row>
        <row r="816">
          <cell r="P816">
            <v>11103</v>
          </cell>
        </row>
        <row r="816">
          <cell r="V816">
            <v>19</v>
          </cell>
        </row>
        <row r="816">
          <cell r="AA816">
            <v>518.6</v>
          </cell>
        </row>
        <row r="817">
          <cell r="L817">
            <v>4056</v>
          </cell>
          <cell r="M817">
            <v>46123</v>
          </cell>
        </row>
        <row r="817">
          <cell r="P817">
            <v>11104</v>
          </cell>
        </row>
        <row r="817">
          <cell r="V817">
            <v>18</v>
          </cell>
        </row>
        <row r="817">
          <cell r="AA817">
            <v>407.22</v>
          </cell>
        </row>
        <row r="818">
          <cell r="L818">
            <v>1290</v>
          </cell>
          <cell r="M818">
            <v>46123</v>
          </cell>
        </row>
        <row r="818">
          <cell r="P818">
            <v>11106</v>
          </cell>
        </row>
        <row r="818">
          <cell r="V818">
            <v>3</v>
          </cell>
        </row>
        <row r="818">
          <cell r="AA818">
            <v>129</v>
          </cell>
        </row>
        <row r="819">
          <cell r="L819">
            <v>1657</v>
          </cell>
          <cell r="M819">
            <v>46123</v>
          </cell>
        </row>
        <row r="819">
          <cell r="P819">
            <v>11137</v>
          </cell>
        </row>
        <row r="819">
          <cell r="V819">
            <v>3</v>
          </cell>
        </row>
        <row r="819">
          <cell r="AA819">
            <v>616.77</v>
          </cell>
        </row>
        <row r="820">
          <cell r="L820">
            <v>3517</v>
          </cell>
          <cell r="M820">
            <v>46123</v>
          </cell>
        </row>
        <row r="820">
          <cell r="P820">
            <v>11178</v>
          </cell>
        </row>
        <row r="820">
          <cell r="V820">
            <v>0</v>
          </cell>
        </row>
        <row r="820">
          <cell r="AA820">
            <v>0</v>
          </cell>
        </row>
        <row r="821">
          <cell r="L821">
            <v>3855</v>
          </cell>
          <cell r="M821">
            <v>46123</v>
          </cell>
        </row>
        <row r="821">
          <cell r="P821">
            <v>11179</v>
          </cell>
        </row>
        <row r="821">
          <cell r="V821">
            <v>6</v>
          </cell>
        </row>
        <row r="821">
          <cell r="AA821">
            <v>673.62</v>
          </cell>
        </row>
        <row r="822">
          <cell r="L822">
            <v>409</v>
          </cell>
          <cell r="M822">
            <v>46123</v>
          </cell>
        </row>
        <row r="822">
          <cell r="P822">
            <v>11187</v>
          </cell>
        </row>
        <row r="822">
          <cell r="V822">
            <v>2</v>
          </cell>
        </row>
        <row r="822">
          <cell r="AA822">
            <v>193.04</v>
          </cell>
        </row>
        <row r="823">
          <cell r="L823">
            <v>4657</v>
          </cell>
          <cell r="M823">
            <v>46123</v>
          </cell>
        </row>
        <row r="823">
          <cell r="P823">
            <v>11188</v>
          </cell>
        </row>
        <row r="823">
          <cell r="V823">
            <v>5</v>
          </cell>
        </row>
        <row r="823">
          <cell r="AA823">
            <v>505.2</v>
          </cell>
        </row>
        <row r="824">
          <cell r="L824">
            <v>5079</v>
          </cell>
          <cell r="M824">
            <v>46123</v>
          </cell>
        </row>
        <row r="824">
          <cell r="P824">
            <v>11192</v>
          </cell>
        </row>
        <row r="824">
          <cell r="V824">
            <v>2</v>
          </cell>
        </row>
        <row r="824">
          <cell r="AA824">
            <v>113.8</v>
          </cell>
        </row>
        <row r="825">
          <cell r="L825">
            <v>5958</v>
          </cell>
          <cell r="M825">
            <v>46123</v>
          </cell>
        </row>
        <row r="825">
          <cell r="P825">
            <v>11193</v>
          </cell>
        </row>
        <row r="825">
          <cell r="V825">
            <v>7</v>
          </cell>
        </row>
        <row r="825">
          <cell r="AA825">
            <v>273</v>
          </cell>
        </row>
        <row r="826">
          <cell r="L826">
            <v>8338</v>
          </cell>
          <cell r="M826">
            <v>46123</v>
          </cell>
        </row>
        <row r="826">
          <cell r="P826">
            <v>11219</v>
          </cell>
        </row>
        <row r="826">
          <cell r="V826">
            <v>1</v>
          </cell>
        </row>
        <row r="826">
          <cell r="AA826">
            <v>165.65</v>
          </cell>
        </row>
        <row r="827">
          <cell r="L827">
            <v>8879</v>
          </cell>
          <cell r="M827">
            <v>46123</v>
          </cell>
        </row>
        <row r="827">
          <cell r="P827">
            <v>11223</v>
          </cell>
        </row>
        <row r="827">
          <cell r="V827">
            <v>1</v>
          </cell>
        </row>
        <row r="827">
          <cell r="AA827">
            <v>89</v>
          </cell>
        </row>
        <row r="828">
          <cell r="L828">
            <v>3833</v>
          </cell>
          <cell r="M828">
            <v>46123</v>
          </cell>
        </row>
        <row r="828">
          <cell r="P828">
            <v>11230</v>
          </cell>
        </row>
        <row r="828">
          <cell r="V828">
            <v>9</v>
          </cell>
        </row>
        <row r="828">
          <cell r="AA828">
            <v>656.92</v>
          </cell>
        </row>
        <row r="829">
          <cell r="L829">
            <v>467</v>
          </cell>
          <cell r="M829">
            <v>46123</v>
          </cell>
        </row>
        <row r="829">
          <cell r="P829">
            <v>11233</v>
          </cell>
        </row>
        <row r="829">
          <cell r="V829">
            <v>0</v>
          </cell>
        </row>
        <row r="829">
          <cell r="AA829">
            <v>0</v>
          </cell>
        </row>
        <row r="830">
          <cell r="L830">
            <v>9061</v>
          </cell>
          <cell r="M830">
            <v>46123</v>
          </cell>
        </row>
        <row r="830">
          <cell r="P830">
            <v>11240</v>
          </cell>
        </row>
        <row r="830">
          <cell r="V830">
            <v>0</v>
          </cell>
        </row>
        <row r="830">
          <cell r="AA830">
            <v>0</v>
          </cell>
        </row>
        <row r="831">
          <cell r="L831">
            <v>1201</v>
          </cell>
          <cell r="M831">
            <v>46123</v>
          </cell>
        </row>
        <row r="831">
          <cell r="P831">
            <v>11244</v>
          </cell>
        </row>
        <row r="831">
          <cell r="V831">
            <v>0</v>
          </cell>
        </row>
        <row r="831">
          <cell r="AA831">
            <v>0</v>
          </cell>
        </row>
        <row r="832">
          <cell r="L832">
            <v>4547</v>
          </cell>
          <cell r="M832">
            <v>46123</v>
          </cell>
        </row>
        <row r="832">
          <cell r="P832">
            <v>11245</v>
          </cell>
        </row>
        <row r="832">
          <cell r="V832">
            <v>0</v>
          </cell>
        </row>
        <row r="832">
          <cell r="AA832">
            <v>0</v>
          </cell>
        </row>
        <row r="833">
          <cell r="L833">
            <v>3104</v>
          </cell>
          <cell r="M833">
            <v>46123</v>
          </cell>
        </row>
        <row r="833">
          <cell r="P833">
            <v>11246</v>
          </cell>
        </row>
        <row r="833">
          <cell r="V833">
            <v>0</v>
          </cell>
        </row>
        <row r="833">
          <cell r="AA833">
            <v>0</v>
          </cell>
        </row>
        <row r="834">
          <cell r="L834">
            <v>12104</v>
          </cell>
          <cell r="M834">
            <v>46123</v>
          </cell>
        </row>
        <row r="834">
          <cell r="P834">
            <v>11257</v>
          </cell>
        </row>
        <row r="834">
          <cell r="V834">
            <v>0</v>
          </cell>
        </row>
        <row r="834">
          <cell r="AA834">
            <v>0</v>
          </cell>
        </row>
        <row r="835">
          <cell r="L835">
            <v>11758</v>
          </cell>
          <cell r="M835">
            <v>46123</v>
          </cell>
        </row>
        <row r="835">
          <cell r="P835">
            <v>11258</v>
          </cell>
        </row>
        <row r="835">
          <cell r="V835">
            <v>0</v>
          </cell>
        </row>
        <row r="835">
          <cell r="AA835">
            <v>0</v>
          </cell>
        </row>
        <row r="836">
          <cell r="L836">
            <v>11809</v>
          </cell>
          <cell r="M836">
            <v>46123</v>
          </cell>
        </row>
        <row r="836">
          <cell r="P836">
            <v>11262</v>
          </cell>
        </row>
        <row r="836">
          <cell r="V836">
            <v>1</v>
          </cell>
        </row>
        <row r="836">
          <cell r="AA836">
            <v>420</v>
          </cell>
        </row>
        <row r="837">
          <cell r="L837">
            <v>11757</v>
          </cell>
          <cell r="M837">
            <v>46123</v>
          </cell>
        </row>
        <row r="837">
          <cell r="P837">
            <v>11270</v>
          </cell>
        </row>
        <row r="837">
          <cell r="V837">
            <v>40</v>
          </cell>
        </row>
        <row r="837">
          <cell r="AA837">
            <v>2116.8</v>
          </cell>
        </row>
        <row r="838">
          <cell r="L838">
            <v>10639</v>
          </cell>
          <cell r="M838">
            <v>46123</v>
          </cell>
        </row>
        <row r="838">
          <cell r="P838">
            <v>11284</v>
          </cell>
        </row>
        <row r="838">
          <cell r="V838">
            <v>0</v>
          </cell>
        </row>
        <row r="838">
          <cell r="AA838">
            <v>0</v>
          </cell>
        </row>
        <row r="839">
          <cell r="L839">
            <v>11103</v>
          </cell>
          <cell r="M839">
            <v>46123</v>
          </cell>
        </row>
        <row r="839">
          <cell r="P839">
            <v>11288</v>
          </cell>
        </row>
        <row r="839">
          <cell r="V839">
            <v>10</v>
          </cell>
        </row>
        <row r="839">
          <cell r="AA839">
            <v>323.94</v>
          </cell>
        </row>
        <row r="840">
          <cell r="L840">
            <v>487</v>
          </cell>
          <cell r="M840">
            <v>46123</v>
          </cell>
        </row>
        <row r="840">
          <cell r="P840">
            <v>11289</v>
          </cell>
        </row>
        <row r="840">
          <cell r="V840">
            <v>0</v>
          </cell>
        </row>
        <row r="840">
          <cell r="AA840">
            <v>0</v>
          </cell>
        </row>
        <row r="841">
          <cell r="L841">
            <v>1031</v>
          </cell>
          <cell r="M841">
            <v>46123</v>
          </cell>
        </row>
        <row r="841">
          <cell r="P841">
            <v>11290</v>
          </cell>
        </row>
        <row r="841">
          <cell r="V841">
            <v>16</v>
          </cell>
        </row>
        <row r="841">
          <cell r="AA841">
            <v>1065.6</v>
          </cell>
        </row>
        <row r="842">
          <cell r="L842">
            <v>337</v>
          </cell>
          <cell r="M842">
            <v>46123</v>
          </cell>
        </row>
        <row r="842">
          <cell r="P842">
            <v>11312</v>
          </cell>
        </row>
        <row r="842">
          <cell r="V842">
            <v>11</v>
          </cell>
        </row>
        <row r="842">
          <cell r="AA842">
            <v>1518.75</v>
          </cell>
        </row>
        <row r="843">
          <cell r="L843">
            <v>9953</v>
          </cell>
          <cell r="M843">
            <v>46123</v>
          </cell>
        </row>
        <row r="843">
          <cell r="P843">
            <v>11327</v>
          </cell>
        </row>
        <row r="843">
          <cell r="V843">
            <v>13</v>
          </cell>
        </row>
        <row r="843">
          <cell r="AA843">
            <v>1694.59</v>
          </cell>
        </row>
        <row r="844">
          <cell r="L844">
            <v>12002</v>
          </cell>
          <cell r="M844">
            <v>46123</v>
          </cell>
        </row>
        <row r="844">
          <cell r="P844">
            <v>11330</v>
          </cell>
        </row>
        <row r="844">
          <cell r="V844">
            <v>12</v>
          </cell>
        </row>
        <row r="844">
          <cell r="AA844">
            <v>435.72</v>
          </cell>
        </row>
        <row r="845">
          <cell r="L845">
            <v>3043</v>
          </cell>
          <cell r="M845">
            <v>46123</v>
          </cell>
        </row>
        <row r="845">
          <cell r="P845">
            <v>11331</v>
          </cell>
        </row>
        <row r="845">
          <cell r="V845">
            <v>10</v>
          </cell>
        </row>
        <row r="845">
          <cell r="AA845">
            <v>328</v>
          </cell>
        </row>
        <row r="846">
          <cell r="L846">
            <v>11100</v>
          </cell>
          <cell r="M846">
            <v>46125</v>
          </cell>
        </row>
        <row r="846">
          <cell r="P846">
            <v>11345</v>
          </cell>
        </row>
        <row r="846">
          <cell r="V846">
            <v>0</v>
          </cell>
        </row>
        <row r="846">
          <cell r="AA846">
            <v>0</v>
          </cell>
        </row>
        <row r="847">
          <cell r="L847">
            <v>11245</v>
          </cell>
          <cell r="M847">
            <v>46125</v>
          </cell>
        </row>
        <row r="847">
          <cell r="P847">
            <v>11346</v>
          </cell>
        </row>
        <row r="847">
          <cell r="V847">
            <v>0</v>
          </cell>
        </row>
        <row r="847">
          <cell r="AA847">
            <v>0</v>
          </cell>
        </row>
        <row r="848">
          <cell r="L848">
            <v>11246</v>
          </cell>
          <cell r="M848">
            <v>46125</v>
          </cell>
        </row>
        <row r="848">
          <cell r="P848">
            <v>11348</v>
          </cell>
        </row>
        <row r="848">
          <cell r="V848">
            <v>8</v>
          </cell>
        </row>
        <row r="848">
          <cell r="AA848">
            <v>916</v>
          </cell>
        </row>
        <row r="849">
          <cell r="L849">
            <v>1302</v>
          </cell>
          <cell r="M849">
            <v>46125</v>
          </cell>
        </row>
        <row r="849">
          <cell r="P849">
            <v>11349</v>
          </cell>
        </row>
        <row r="849">
          <cell r="V849">
            <v>3</v>
          </cell>
        </row>
        <row r="849">
          <cell r="AA849">
            <v>468</v>
          </cell>
        </row>
        <row r="850">
          <cell r="L850">
            <v>4105</v>
          </cell>
          <cell r="M850">
            <v>46125</v>
          </cell>
        </row>
        <row r="850">
          <cell r="P850">
            <v>11350</v>
          </cell>
        </row>
        <row r="850">
          <cell r="V850">
            <v>7</v>
          </cell>
        </row>
        <row r="850">
          <cell r="AA850">
            <v>1316.25</v>
          </cell>
        </row>
        <row r="851">
          <cell r="L851">
            <v>4411</v>
          </cell>
          <cell r="M851">
            <v>46125</v>
          </cell>
        </row>
        <row r="851">
          <cell r="P851">
            <v>11380</v>
          </cell>
        </row>
        <row r="851">
          <cell r="V851">
            <v>9</v>
          </cell>
        </row>
        <row r="851">
          <cell r="AA851">
            <v>1271.16</v>
          </cell>
        </row>
        <row r="852">
          <cell r="L852">
            <v>7194</v>
          </cell>
          <cell r="M852">
            <v>46125</v>
          </cell>
        </row>
        <row r="852">
          <cell r="P852">
            <v>11394</v>
          </cell>
        </row>
        <row r="852">
          <cell r="V852">
            <v>0</v>
          </cell>
        </row>
        <row r="852">
          <cell r="AA852">
            <v>0</v>
          </cell>
        </row>
        <row r="853">
          <cell r="L853">
            <v>7247</v>
          </cell>
          <cell r="M853">
            <v>46125</v>
          </cell>
        </row>
        <row r="853">
          <cell r="P853">
            <v>11398</v>
          </cell>
        </row>
        <row r="853">
          <cell r="V853">
            <v>12</v>
          </cell>
        </row>
        <row r="853">
          <cell r="AA853">
            <v>2363</v>
          </cell>
        </row>
        <row r="854">
          <cell r="L854">
            <v>7251</v>
          </cell>
          <cell r="M854">
            <v>46125</v>
          </cell>
        </row>
        <row r="854">
          <cell r="P854">
            <v>11446</v>
          </cell>
        </row>
        <row r="854">
          <cell r="V854">
            <v>41</v>
          </cell>
        </row>
        <row r="854">
          <cell r="AA854">
            <v>467.04</v>
          </cell>
        </row>
        <row r="855">
          <cell r="L855">
            <v>7252</v>
          </cell>
          <cell r="M855">
            <v>46125</v>
          </cell>
        </row>
        <row r="855">
          <cell r="P855">
            <v>11405</v>
          </cell>
        </row>
        <row r="855">
          <cell r="V855">
            <v>1</v>
          </cell>
        </row>
        <row r="855">
          <cell r="AA855">
            <v>175</v>
          </cell>
        </row>
        <row r="856">
          <cell r="L856">
            <v>7316</v>
          </cell>
          <cell r="M856">
            <v>46125</v>
          </cell>
        </row>
        <row r="856">
          <cell r="P856">
            <v>11406</v>
          </cell>
        </row>
        <row r="856">
          <cell r="V856">
            <v>7</v>
          </cell>
        </row>
        <row r="856">
          <cell r="AA856">
            <v>494.31</v>
          </cell>
        </row>
        <row r="857">
          <cell r="L857">
            <v>8234</v>
          </cell>
          <cell r="M857">
            <v>46125</v>
          </cell>
        </row>
        <row r="857">
          <cell r="P857">
            <v>11455</v>
          </cell>
        </row>
        <row r="857">
          <cell r="V857">
            <v>14</v>
          </cell>
        </row>
        <row r="857">
          <cell r="AA857">
            <v>537.56</v>
          </cell>
        </row>
        <row r="858">
          <cell r="L858">
            <v>8392</v>
          </cell>
          <cell r="M858">
            <v>46125</v>
          </cell>
        </row>
        <row r="858">
          <cell r="P858">
            <v>11456</v>
          </cell>
        </row>
        <row r="858">
          <cell r="V858">
            <v>9</v>
          </cell>
        </row>
        <row r="858">
          <cell r="AA858">
            <v>270</v>
          </cell>
        </row>
        <row r="859">
          <cell r="L859">
            <v>9455</v>
          </cell>
          <cell r="M859">
            <v>46125</v>
          </cell>
        </row>
        <row r="859">
          <cell r="P859">
            <v>11464</v>
          </cell>
        </row>
        <row r="859">
          <cell r="V859">
            <v>12</v>
          </cell>
        </row>
        <row r="859">
          <cell r="AA859">
            <v>2393.86</v>
          </cell>
        </row>
        <row r="860">
          <cell r="L860">
            <v>985</v>
          </cell>
          <cell r="M860">
            <v>46125</v>
          </cell>
        </row>
        <row r="860">
          <cell r="P860">
            <v>11465</v>
          </cell>
        </row>
        <row r="860">
          <cell r="V860">
            <v>11</v>
          </cell>
        </row>
        <row r="860">
          <cell r="AA860">
            <v>962.92</v>
          </cell>
        </row>
        <row r="861">
          <cell r="L861">
            <v>9894</v>
          </cell>
          <cell r="M861">
            <v>46125</v>
          </cell>
        </row>
        <row r="861">
          <cell r="P861">
            <v>11490</v>
          </cell>
        </row>
        <row r="861">
          <cell r="V861">
            <v>24</v>
          </cell>
        </row>
        <row r="861">
          <cell r="AA861">
            <v>2862.29</v>
          </cell>
        </row>
        <row r="862">
          <cell r="L862">
            <v>1030</v>
          </cell>
          <cell r="M862">
            <v>46125</v>
          </cell>
        </row>
        <row r="862">
          <cell r="P862">
            <v>4133</v>
          </cell>
        </row>
        <row r="862">
          <cell r="V862">
            <v>14</v>
          </cell>
        </row>
        <row r="862">
          <cell r="AA862">
            <v>544.32</v>
          </cell>
        </row>
        <row r="863">
          <cell r="L863">
            <v>10894</v>
          </cell>
          <cell r="M863">
            <v>46125</v>
          </cell>
        </row>
        <row r="863">
          <cell r="P863">
            <v>11078</v>
          </cell>
        </row>
        <row r="863">
          <cell r="V863">
            <v>0</v>
          </cell>
        </row>
        <row r="863">
          <cell r="AA863">
            <v>0</v>
          </cell>
        </row>
        <row r="864">
          <cell r="L864">
            <v>11102</v>
          </cell>
          <cell r="M864">
            <v>46125</v>
          </cell>
        </row>
        <row r="864">
          <cell r="P864">
            <v>11510</v>
          </cell>
        </row>
        <row r="864">
          <cell r="V864">
            <v>14</v>
          </cell>
        </row>
        <row r="864">
          <cell r="AA864">
            <v>862.4</v>
          </cell>
        </row>
        <row r="865">
          <cell r="L865">
            <v>11446</v>
          </cell>
          <cell r="M865">
            <v>46125</v>
          </cell>
        </row>
        <row r="865">
          <cell r="P865">
            <v>11512</v>
          </cell>
        </row>
        <row r="865">
          <cell r="V865">
            <v>9</v>
          </cell>
        </row>
        <row r="865">
          <cell r="AA865">
            <v>450.63</v>
          </cell>
        </row>
        <row r="866">
          <cell r="L866">
            <v>11866</v>
          </cell>
          <cell r="M866">
            <v>46125</v>
          </cell>
        </row>
        <row r="866">
          <cell r="P866">
            <v>11513</v>
          </cell>
        </row>
        <row r="866">
          <cell r="V866">
            <v>21</v>
          </cell>
        </row>
        <row r="866">
          <cell r="AA866">
            <v>1229.76</v>
          </cell>
        </row>
        <row r="867">
          <cell r="L867">
            <v>12005</v>
          </cell>
          <cell r="M867">
            <v>46125</v>
          </cell>
        </row>
        <row r="867">
          <cell r="P867">
            <v>11528</v>
          </cell>
        </row>
        <row r="867">
          <cell r="V867">
            <v>0</v>
          </cell>
        </row>
        <row r="867">
          <cell r="AA867">
            <v>0</v>
          </cell>
        </row>
        <row r="868">
          <cell r="L868">
            <v>12060</v>
          </cell>
          <cell r="M868">
            <v>46125</v>
          </cell>
        </row>
        <row r="868">
          <cell r="P868">
            <v>11546</v>
          </cell>
        </row>
        <row r="868">
          <cell r="V868">
            <v>3</v>
          </cell>
        </row>
        <row r="868">
          <cell r="AA868">
            <v>135</v>
          </cell>
        </row>
        <row r="869">
          <cell r="L869">
            <v>12210</v>
          </cell>
          <cell r="M869">
            <v>46125</v>
          </cell>
        </row>
        <row r="869">
          <cell r="P869">
            <v>11547</v>
          </cell>
        </row>
        <row r="869">
          <cell r="V869">
            <v>2</v>
          </cell>
        </row>
        <row r="869">
          <cell r="AA869">
            <v>118</v>
          </cell>
        </row>
        <row r="870">
          <cell r="L870">
            <v>1585</v>
          </cell>
          <cell r="M870">
            <v>46125</v>
          </cell>
        </row>
        <row r="870">
          <cell r="P870">
            <v>11552</v>
          </cell>
        </row>
        <row r="870">
          <cell r="V870">
            <v>1</v>
          </cell>
        </row>
        <row r="870">
          <cell r="AA870">
            <v>48</v>
          </cell>
        </row>
        <row r="871">
          <cell r="L871">
            <v>1657</v>
          </cell>
          <cell r="M871">
            <v>46125</v>
          </cell>
        </row>
        <row r="871">
          <cell r="P871">
            <v>11553</v>
          </cell>
        </row>
        <row r="871">
          <cell r="V871">
            <v>4</v>
          </cell>
        </row>
        <row r="871">
          <cell r="AA871">
            <v>108</v>
          </cell>
        </row>
        <row r="872">
          <cell r="L872">
            <v>1775</v>
          </cell>
          <cell r="M872">
            <v>46125</v>
          </cell>
        </row>
        <row r="872">
          <cell r="P872">
            <v>11554</v>
          </cell>
        </row>
        <row r="872">
          <cell r="V872">
            <v>1</v>
          </cell>
        </row>
        <row r="872">
          <cell r="AA872">
            <v>27</v>
          </cell>
        </row>
        <row r="873">
          <cell r="L873">
            <v>322</v>
          </cell>
          <cell r="M873">
            <v>46125</v>
          </cell>
        </row>
        <row r="873">
          <cell r="P873">
            <v>11600</v>
          </cell>
        </row>
        <row r="873">
          <cell r="V873">
            <v>19</v>
          </cell>
        </row>
        <row r="873">
          <cell r="AA873">
            <v>648</v>
          </cell>
        </row>
        <row r="874">
          <cell r="L874">
            <v>3599</v>
          </cell>
          <cell r="M874">
            <v>46125</v>
          </cell>
        </row>
        <row r="874">
          <cell r="P874">
            <v>11601</v>
          </cell>
        </row>
        <row r="874">
          <cell r="V874">
            <v>10</v>
          </cell>
        </row>
        <row r="874">
          <cell r="AA874">
            <v>335.97</v>
          </cell>
        </row>
        <row r="875">
          <cell r="L875">
            <v>3855</v>
          </cell>
          <cell r="M875">
            <v>46125</v>
          </cell>
        </row>
        <row r="875">
          <cell r="P875">
            <v>11603</v>
          </cell>
        </row>
        <row r="875">
          <cell r="V875">
            <v>1</v>
          </cell>
        </row>
        <row r="875">
          <cell r="AA875">
            <v>119</v>
          </cell>
        </row>
        <row r="876">
          <cell r="L876">
            <v>3900</v>
          </cell>
          <cell r="M876">
            <v>46125</v>
          </cell>
        </row>
        <row r="876">
          <cell r="P876">
            <v>11650</v>
          </cell>
        </row>
        <row r="876">
          <cell r="V876">
            <v>12</v>
          </cell>
        </row>
        <row r="876">
          <cell r="AA876">
            <v>1779.8</v>
          </cell>
        </row>
        <row r="877">
          <cell r="L877">
            <v>409</v>
          </cell>
          <cell r="M877">
            <v>46125</v>
          </cell>
        </row>
        <row r="877">
          <cell r="P877">
            <v>11655</v>
          </cell>
        </row>
        <row r="877">
          <cell r="V877">
            <v>4</v>
          </cell>
        </row>
        <row r="877">
          <cell r="AA877">
            <v>123.18</v>
          </cell>
        </row>
        <row r="878">
          <cell r="L878">
            <v>4802</v>
          </cell>
          <cell r="M878">
            <v>46125</v>
          </cell>
        </row>
        <row r="878">
          <cell r="P878">
            <v>11656</v>
          </cell>
        </row>
        <row r="878">
          <cell r="V878">
            <v>1</v>
          </cell>
        </row>
        <row r="878">
          <cell r="AA878">
            <v>30</v>
          </cell>
        </row>
        <row r="879">
          <cell r="L879">
            <v>5079</v>
          </cell>
          <cell r="M879">
            <v>46125</v>
          </cell>
        </row>
        <row r="879">
          <cell r="P879">
            <v>11668</v>
          </cell>
        </row>
        <row r="879">
          <cell r="V879">
            <v>5</v>
          </cell>
        </row>
        <row r="879">
          <cell r="AA879">
            <v>675</v>
          </cell>
        </row>
        <row r="880">
          <cell r="L880">
            <v>5493</v>
          </cell>
          <cell r="M880">
            <v>46125</v>
          </cell>
        </row>
        <row r="880">
          <cell r="P880">
            <v>11674</v>
          </cell>
        </row>
        <row r="880">
          <cell r="V880">
            <v>6</v>
          </cell>
        </row>
        <row r="880">
          <cell r="AA880">
            <v>497.36</v>
          </cell>
        </row>
        <row r="881">
          <cell r="L881">
            <v>5728</v>
          </cell>
          <cell r="M881">
            <v>46125</v>
          </cell>
        </row>
        <row r="881">
          <cell r="P881">
            <v>11681</v>
          </cell>
        </row>
        <row r="881">
          <cell r="V881">
            <v>1</v>
          </cell>
        </row>
        <row r="881">
          <cell r="AA881">
            <v>320</v>
          </cell>
        </row>
        <row r="882">
          <cell r="L882">
            <v>6027</v>
          </cell>
          <cell r="M882">
            <v>46125</v>
          </cell>
        </row>
        <row r="882">
          <cell r="P882">
            <v>11682</v>
          </cell>
        </row>
        <row r="882">
          <cell r="V882">
            <v>0</v>
          </cell>
        </row>
        <row r="882">
          <cell r="AA882">
            <v>0</v>
          </cell>
        </row>
        <row r="883">
          <cell r="L883">
            <v>6465</v>
          </cell>
          <cell r="M883">
            <v>46125</v>
          </cell>
        </row>
        <row r="883">
          <cell r="P883">
            <v>11683</v>
          </cell>
        </row>
        <row r="883">
          <cell r="V883">
            <v>0</v>
          </cell>
        </row>
        <row r="883">
          <cell r="AA883">
            <v>0</v>
          </cell>
        </row>
        <row r="884">
          <cell r="L884">
            <v>6559</v>
          </cell>
          <cell r="M884">
            <v>46125</v>
          </cell>
        </row>
        <row r="884">
          <cell r="P884">
            <v>11699</v>
          </cell>
        </row>
        <row r="884">
          <cell r="V884">
            <v>4</v>
          </cell>
        </row>
        <row r="884">
          <cell r="AA884">
            <v>445</v>
          </cell>
        </row>
        <row r="885">
          <cell r="L885">
            <v>7443</v>
          </cell>
          <cell r="M885">
            <v>46125</v>
          </cell>
        </row>
        <row r="885">
          <cell r="P885">
            <v>11704</v>
          </cell>
        </row>
        <row r="885">
          <cell r="V885">
            <v>3</v>
          </cell>
        </row>
        <row r="885">
          <cell r="AA885">
            <v>289.6</v>
          </cell>
        </row>
        <row r="886">
          <cell r="L886">
            <v>8213</v>
          </cell>
          <cell r="M886">
            <v>46125</v>
          </cell>
        </row>
        <row r="886">
          <cell r="P886">
            <v>11733</v>
          </cell>
        </row>
        <row r="886">
          <cell r="V886">
            <v>3</v>
          </cell>
        </row>
        <row r="886">
          <cell r="AA886">
            <v>107</v>
          </cell>
        </row>
        <row r="887">
          <cell r="L887">
            <v>8333</v>
          </cell>
          <cell r="M887">
            <v>46125</v>
          </cell>
        </row>
        <row r="887">
          <cell r="P887">
            <v>11736</v>
          </cell>
        </row>
        <row r="887">
          <cell r="V887">
            <v>12</v>
          </cell>
        </row>
        <row r="887">
          <cell r="AA887">
            <v>1304.42</v>
          </cell>
        </row>
        <row r="888">
          <cell r="L888">
            <v>8338</v>
          </cell>
          <cell r="M888">
            <v>46125</v>
          </cell>
        </row>
        <row r="888">
          <cell r="P888">
            <v>11742</v>
          </cell>
        </row>
        <row r="888">
          <cell r="V888">
            <v>8</v>
          </cell>
        </row>
        <row r="888">
          <cell r="AA888">
            <v>880</v>
          </cell>
        </row>
        <row r="889">
          <cell r="L889">
            <v>9063</v>
          </cell>
          <cell r="M889">
            <v>46125</v>
          </cell>
        </row>
        <row r="889">
          <cell r="P889">
            <v>11745</v>
          </cell>
        </row>
        <row r="889">
          <cell r="V889">
            <v>10</v>
          </cell>
        </row>
        <row r="889">
          <cell r="AA889">
            <v>664.9</v>
          </cell>
        </row>
        <row r="890">
          <cell r="L890">
            <v>9112</v>
          </cell>
          <cell r="M890">
            <v>46125</v>
          </cell>
        </row>
        <row r="890">
          <cell r="P890">
            <v>11751</v>
          </cell>
        </row>
        <row r="890">
          <cell r="V890">
            <v>19</v>
          </cell>
        </row>
        <row r="890">
          <cell r="AA890">
            <v>1387.5</v>
          </cell>
        </row>
        <row r="891">
          <cell r="L891">
            <v>9114</v>
          </cell>
          <cell r="M891">
            <v>46125</v>
          </cell>
        </row>
        <row r="891">
          <cell r="P891">
            <v>11756</v>
          </cell>
        </row>
        <row r="891">
          <cell r="V891">
            <v>0</v>
          </cell>
        </row>
        <row r="891">
          <cell r="AA891">
            <v>0</v>
          </cell>
        </row>
        <row r="892">
          <cell r="L892">
            <v>9580</v>
          </cell>
          <cell r="M892">
            <v>46125</v>
          </cell>
        </row>
        <row r="892">
          <cell r="P892">
            <v>11757</v>
          </cell>
        </row>
        <row r="892">
          <cell r="V892">
            <v>3</v>
          </cell>
        </row>
        <row r="892">
          <cell r="AA892">
            <v>144</v>
          </cell>
        </row>
        <row r="893">
          <cell r="L893">
            <v>12474</v>
          </cell>
          <cell r="M893">
            <v>46125</v>
          </cell>
        </row>
        <row r="893">
          <cell r="P893">
            <v>11758</v>
          </cell>
        </row>
        <row r="893">
          <cell r="V893">
            <v>22</v>
          </cell>
        </row>
        <row r="893">
          <cell r="AA893">
            <v>991.57</v>
          </cell>
        </row>
        <row r="894">
          <cell r="L894">
            <v>1655</v>
          </cell>
          <cell r="M894">
            <v>46125</v>
          </cell>
        </row>
        <row r="894">
          <cell r="P894">
            <v>11764</v>
          </cell>
        </row>
        <row r="894">
          <cell r="V894">
            <v>0</v>
          </cell>
        </row>
        <row r="894">
          <cell r="AA894">
            <v>0</v>
          </cell>
        </row>
        <row r="895">
          <cell r="L895">
            <v>972</v>
          </cell>
          <cell r="M895">
            <v>46125</v>
          </cell>
        </row>
        <row r="895">
          <cell r="P895">
            <v>11765</v>
          </cell>
        </row>
        <row r="895">
          <cell r="V895">
            <v>0</v>
          </cell>
        </row>
        <row r="895">
          <cell r="AA895">
            <v>0</v>
          </cell>
        </row>
        <row r="896">
          <cell r="L896">
            <v>488</v>
          </cell>
          <cell r="M896">
            <v>46125</v>
          </cell>
        </row>
        <row r="896">
          <cell r="P896">
            <v>11777</v>
          </cell>
        </row>
        <row r="896">
          <cell r="V896">
            <v>5</v>
          </cell>
        </row>
        <row r="896">
          <cell r="AA896">
            <v>1022</v>
          </cell>
        </row>
        <row r="897">
          <cell r="L897">
            <v>489</v>
          </cell>
          <cell r="M897">
            <v>46125</v>
          </cell>
        </row>
        <row r="897">
          <cell r="P897">
            <v>11778</v>
          </cell>
        </row>
        <row r="897">
          <cell r="V897">
            <v>0</v>
          </cell>
        </row>
        <row r="897">
          <cell r="AA897">
            <v>0</v>
          </cell>
        </row>
        <row r="898">
          <cell r="L898">
            <v>545</v>
          </cell>
          <cell r="M898">
            <v>46125</v>
          </cell>
        </row>
        <row r="898">
          <cell r="P898">
            <v>11780</v>
          </cell>
        </row>
        <row r="898">
          <cell r="V898">
            <v>0</v>
          </cell>
        </row>
        <row r="898">
          <cell r="AA898">
            <v>0</v>
          </cell>
        </row>
        <row r="899">
          <cell r="L899">
            <v>1734</v>
          </cell>
          <cell r="M899">
            <v>46125</v>
          </cell>
        </row>
        <row r="899">
          <cell r="P899">
            <v>11781</v>
          </cell>
        </row>
        <row r="899">
          <cell r="V899">
            <v>6</v>
          </cell>
        </row>
        <row r="899">
          <cell r="AA899">
            <v>165.4</v>
          </cell>
        </row>
        <row r="900">
          <cell r="L900">
            <v>3238</v>
          </cell>
          <cell r="M900">
            <v>46125</v>
          </cell>
        </row>
        <row r="900">
          <cell r="P900">
            <v>11792</v>
          </cell>
        </row>
        <row r="900">
          <cell r="V900">
            <v>1</v>
          </cell>
        </row>
        <row r="900">
          <cell r="AA900">
            <v>148.8</v>
          </cell>
        </row>
        <row r="901">
          <cell r="L901">
            <v>12292</v>
          </cell>
          <cell r="M901">
            <v>46125</v>
          </cell>
        </row>
        <row r="901">
          <cell r="P901">
            <v>11793</v>
          </cell>
        </row>
        <row r="901">
          <cell r="V901">
            <v>3</v>
          </cell>
        </row>
        <row r="901">
          <cell r="AA901">
            <v>90</v>
          </cell>
        </row>
        <row r="902">
          <cell r="L902">
            <v>10133</v>
          </cell>
          <cell r="M902">
            <v>46125</v>
          </cell>
        </row>
        <row r="902">
          <cell r="P902">
            <v>11794</v>
          </cell>
        </row>
        <row r="902">
          <cell r="V902">
            <v>12</v>
          </cell>
        </row>
        <row r="902">
          <cell r="AA902">
            <v>925.75</v>
          </cell>
        </row>
        <row r="903">
          <cell r="L903">
            <v>10127</v>
          </cell>
          <cell r="M903">
            <v>46125</v>
          </cell>
        </row>
        <row r="903">
          <cell r="P903">
            <v>11808</v>
          </cell>
        </row>
        <row r="903">
          <cell r="V903">
            <v>1</v>
          </cell>
        </row>
        <row r="903">
          <cell r="AA903">
            <v>48</v>
          </cell>
        </row>
        <row r="904">
          <cell r="L904">
            <v>11547</v>
          </cell>
          <cell r="M904">
            <v>46125</v>
          </cell>
        </row>
        <row r="904">
          <cell r="P904">
            <v>11809</v>
          </cell>
        </row>
        <row r="904">
          <cell r="V904">
            <v>16</v>
          </cell>
        </row>
        <row r="904">
          <cell r="AA904">
            <v>788.35</v>
          </cell>
        </row>
        <row r="905">
          <cell r="L905">
            <v>11603</v>
          </cell>
          <cell r="M905">
            <v>46125</v>
          </cell>
        </row>
        <row r="905">
          <cell r="P905">
            <v>11814</v>
          </cell>
        </row>
        <row r="905">
          <cell r="V905">
            <v>2</v>
          </cell>
        </row>
        <row r="905">
          <cell r="AA905">
            <v>79.23</v>
          </cell>
        </row>
        <row r="906">
          <cell r="L906">
            <v>1199</v>
          </cell>
          <cell r="M906">
            <v>46125</v>
          </cell>
        </row>
        <row r="906">
          <cell r="P906">
            <v>11815</v>
          </cell>
        </row>
        <row r="906">
          <cell r="V906">
            <v>1</v>
          </cell>
        </row>
        <row r="906">
          <cell r="AA906">
            <v>34.62</v>
          </cell>
        </row>
        <row r="907">
          <cell r="L907">
            <v>1031</v>
          </cell>
          <cell r="M907">
            <v>46125</v>
          </cell>
        </row>
        <row r="907">
          <cell r="P907">
            <v>11823</v>
          </cell>
        </row>
        <row r="907">
          <cell r="V907">
            <v>4</v>
          </cell>
        </row>
        <row r="907">
          <cell r="AA907">
            <v>148</v>
          </cell>
        </row>
        <row r="908">
          <cell r="L908">
            <v>453</v>
          </cell>
          <cell r="M908">
            <v>46125</v>
          </cell>
        </row>
        <row r="908">
          <cell r="P908">
            <v>11824</v>
          </cell>
        </row>
        <row r="908">
          <cell r="V908">
            <v>9</v>
          </cell>
        </row>
        <row r="908">
          <cell r="AA908">
            <v>1222</v>
          </cell>
        </row>
        <row r="909">
          <cell r="L909">
            <v>2462</v>
          </cell>
          <cell r="M909">
            <v>46125</v>
          </cell>
        </row>
        <row r="909">
          <cell r="P909">
            <v>11826</v>
          </cell>
        </row>
        <row r="909">
          <cell r="V909">
            <v>13</v>
          </cell>
        </row>
        <row r="909">
          <cell r="AA909">
            <v>585</v>
          </cell>
        </row>
        <row r="910">
          <cell r="L910">
            <v>3512</v>
          </cell>
          <cell r="M910">
            <v>46125</v>
          </cell>
        </row>
        <row r="910">
          <cell r="P910">
            <v>11830</v>
          </cell>
        </row>
        <row r="910">
          <cell r="V910">
            <v>7</v>
          </cell>
        </row>
        <row r="910">
          <cell r="AA910">
            <v>399.5</v>
          </cell>
        </row>
        <row r="911">
          <cell r="L911">
            <v>10988</v>
          </cell>
          <cell r="M911">
            <v>46125</v>
          </cell>
        </row>
        <row r="911">
          <cell r="P911">
            <v>11833</v>
          </cell>
        </row>
        <row r="911">
          <cell r="V911">
            <v>9</v>
          </cell>
        </row>
        <row r="911">
          <cell r="AA911">
            <v>405</v>
          </cell>
        </row>
        <row r="912">
          <cell r="L912">
            <v>11490</v>
          </cell>
          <cell r="M912">
            <v>46125</v>
          </cell>
        </row>
        <row r="912">
          <cell r="P912">
            <v>11839</v>
          </cell>
        </row>
        <row r="912">
          <cell r="V912">
            <v>10</v>
          </cell>
        </row>
        <row r="912">
          <cell r="AA912">
            <v>529.41</v>
          </cell>
        </row>
        <row r="913">
          <cell r="L913">
            <v>12073</v>
          </cell>
          <cell r="M913">
            <v>46125</v>
          </cell>
        </row>
        <row r="913">
          <cell r="P913">
            <v>11840</v>
          </cell>
        </row>
        <row r="913">
          <cell r="V913">
            <v>18</v>
          </cell>
        </row>
        <row r="913">
          <cell r="AA913">
            <v>948.15</v>
          </cell>
        </row>
        <row r="914">
          <cell r="L914">
            <v>10091</v>
          </cell>
          <cell r="M914">
            <v>46125</v>
          </cell>
        </row>
        <row r="914">
          <cell r="P914">
            <v>11848</v>
          </cell>
        </row>
        <row r="914">
          <cell r="V914">
            <v>8</v>
          </cell>
        </row>
        <row r="914">
          <cell r="AA914">
            <v>396</v>
          </cell>
        </row>
        <row r="915">
          <cell r="L915">
            <v>11512</v>
          </cell>
          <cell r="M915">
            <v>46125</v>
          </cell>
        </row>
        <row r="915">
          <cell r="P915">
            <v>11852</v>
          </cell>
        </row>
        <row r="915">
          <cell r="V915">
            <v>9</v>
          </cell>
        </row>
        <row r="915">
          <cell r="AA915">
            <v>3746.08</v>
          </cell>
        </row>
        <row r="916">
          <cell r="L916">
            <v>3262</v>
          </cell>
          <cell r="M916">
            <v>46125</v>
          </cell>
        </row>
        <row r="916">
          <cell r="P916">
            <v>11855</v>
          </cell>
        </row>
        <row r="916">
          <cell r="V916">
            <v>4</v>
          </cell>
        </row>
        <row r="916">
          <cell r="AA916">
            <v>316</v>
          </cell>
        </row>
        <row r="917">
          <cell r="L917">
            <v>1407</v>
          </cell>
          <cell r="M917">
            <v>46125</v>
          </cell>
        </row>
        <row r="917">
          <cell r="P917">
            <v>11856</v>
          </cell>
        </row>
        <row r="917">
          <cell r="V917">
            <v>2</v>
          </cell>
        </row>
        <row r="917">
          <cell r="AA917">
            <v>82</v>
          </cell>
        </row>
        <row r="918">
          <cell r="L918">
            <v>11290</v>
          </cell>
          <cell r="M918">
            <v>46126</v>
          </cell>
        </row>
        <row r="918">
          <cell r="P918">
            <v>11857</v>
          </cell>
        </row>
        <row r="918">
          <cell r="V918">
            <v>2</v>
          </cell>
        </row>
        <row r="918">
          <cell r="AA918">
            <v>77.98</v>
          </cell>
        </row>
        <row r="919">
          <cell r="L919">
            <v>12271</v>
          </cell>
          <cell r="M919">
            <v>46126</v>
          </cell>
        </row>
        <row r="919">
          <cell r="P919">
            <v>11866</v>
          </cell>
        </row>
        <row r="919">
          <cell r="V919">
            <v>14</v>
          </cell>
        </row>
        <row r="919">
          <cell r="AA919">
            <v>356.49</v>
          </cell>
        </row>
        <row r="920">
          <cell r="L920">
            <v>12306</v>
          </cell>
          <cell r="M920">
            <v>46126</v>
          </cell>
        </row>
        <row r="920">
          <cell r="P920">
            <v>11867</v>
          </cell>
        </row>
        <row r="920">
          <cell r="V920">
            <v>10</v>
          </cell>
        </row>
        <row r="920">
          <cell r="AA920">
            <v>260</v>
          </cell>
        </row>
        <row r="921">
          <cell r="L921">
            <v>6910</v>
          </cell>
          <cell r="M921">
            <v>46126</v>
          </cell>
        </row>
        <row r="921">
          <cell r="P921">
            <v>11874</v>
          </cell>
        </row>
        <row r="921">
          <cell r="V921">
            <v>4</v>
          </cell>
        </row>
        <row r="921">
          <cell r="AA921">
            <v>565</v>
          </cell>
        </row>
        <row r="922">
          <cell r="L922">
            <v>6911</v>
          </cell>
          <cell r="M922">
            <v>46126</v>
          </cell>
        </row>
        <row r="922">
          <cell r="P922">
            <v>11875</v>
          </cell>
        </row>
        <row r="922">
          <cell r="V922">
            <v>0</v>
          </cell>
        </row>
        <row r="922">
          <cell r="AA922">
            <v>0</v>
          </cell>
        </row>
        <row r="923">
          <cell r="L923">
            <v>9258</v>
          </cell>
          <cell r="M923">
            <v>46126</v>
          </cell>
        </row>
        <row r="923">
          <cell r="P923">
            <v>11876</v>
          </cell>
        </row>
        <row r="923">
          <cell r="V923">
            <v>2</v>
          </cell>
        </row>
        <row r="923">
          <cell r="AA923">
            <v>415.2</v>
          </cell>
        </row>
        <row r="924">
          <cell r="L924">
            <v>11455</v>
          </cell>
          <cell r="M924">
            <v>46126</v>
          </cell>
        </row>
        <row r="924">
          <cell r="P924">
            <v>11884</v>
          </cell>
        </row>
        <row r="924">
          <cell r="V924">
            <v>0</v>
          </cell>
        </row>
        <row r="924">
          <cell r="AA924">
            <v>0</v>
          </cell>
        </row>
        <row r="925">
          <cell r="L925">
            <v>11781</v>
          </cell>
          <cell r="M925">
            <v>46126</v>
          </cell>
        </row>
        <row r="925">
          <cell r="P925">
            <v>11885</v>
          </cell>
        </row>
        <row r="925">
          <cell r="V925">
            <v>0</v>
          </cell>
        </row>
        <row r="925">
          <cell r="AA925">
            <v>0</v>
          </cell>
        </row>
        <row r="926">
          <cell r="L926">
            <v>12321</v>
          </cell>
          <cell r="M926">
            <v>46126</v>
          </cell>
        </row>
        <row r="926">
          <cell r="P926">
            <v>11890</v>
          </cell>
        </row>
        <row r="926">
          <cell r="V926">
            <v>2</v>
          </cell>
        </row>
        <row r="926">
          <cell r="AA926">
            <v>86.3</v>
          </cell>
        </row>
        <row r="927">
          <cell r="L927">
            <v>1010</v>
          </cell>
          <cell r="M927">
            <v>46126</v>
          </cell>
        </row>
        <row r="927">
          <cell r="P927">
            <v>11904</v>
          </cell>
        </row>
        <row r="927">
          <cell r="V927">
            <v>5</v>
          </cell>
        </row>
        <row r="927">
          <cell r="AA927">
            <v>403.85</v>
          </cell>
        </row>
        <row r="928">
          <cell r="L928">
            <v>11456</v>
          </cell>
          <cell r="M928">
            <v>46126</v>
          </cell>
        </row>
        <row r="928">
          <cell r="P928">
            <v>11911</v>
          </cell>
        </row>
        <row r="928">
          <cell r="V928">
            <v>29</v>
          </cell>
        </row>
        <row r="928">
          <cell r="AA928">
            <v>1820.46</v>
          </cell>
        </row>
        <row r="929">
          <cell r="L929">
            <v>12386</v>
          </cell>
          <cell r="M929">
            <v>46126</v>
          </cell>
        </row>
        <row r="929">
          <cell r="P929">
            <v>11921</v>
          </cell>
        </row>
        <row r="929">
          <cell r="V929">
            <v>22</v>
          </cell>
        </row>
        <row r="929">
          <cell r="AA929">
            <v>3676.9</v>
          </cell>
        </row>
        <row r="930">
          <cell r="L930">
            <v>3926</v>
          </cell>
          <cell r="M930">
            <v>46126</v>
          </cell>
        </row>
        <row r="930">
          <cell r="P930">
            <v>11922</v>
          </cell>
        </row>
        <row r="930">
          <cell r="V930">
            <v>36</v>
          </cell>
        </row>
        <row r="930">
          <cell r="AA930">
            <v>6539.2</v>
          </cell>
        </row>
        <row r="931">
          <cell r="L931">
            <v>6914</v>
          </cell>
          <cell r="M931">
            <v>46126</v>
          </cell>
        </row>
        <row r="931">
          <cell r="P931">
            <v>11923</v>
          </cell>
        </row>
        <row r="931">
          <cell r="V931">
            <v>19</v>
          </cell>
        </row>
        <row r="931">
          <cell r="AA931">
            <v>3021</v>
          </cell>
        </row>
        <row r="932">
          <cell r="L932">
            <v>7964</v>
          </cell>
          <cell r="M932">
            <v>46126</v>
          </cell>
        </row>
        <row r="932">
          <cell r="P932">
            <v>11925</v>
          </cell>
        </row>
        <row r="932">
          <cell r="V932">
            <v>18</v>
          </cell>
        </row>
        <row r="932">
          <cell r="AA932">
            <v>5309.96</v>
          </cell>
        </row>
        <row r="933">
          <cell r="L933">
            <v>8422</v>
          </cell>
          <cell r="M933">
            <v>46126</v>
          </cell>
        </row>
        <row r="933">
          <cell r="P933">
            <v>11926</v>
          </cell>
        </row>
        <row r="933">
          <cell r="V933">
            <v>15</v>
          </cell>
        </row>
        <row r="933">
          <cell r="AA933">
            <v>1185</v>
          </cell>
        </row>
        <row r="934">
          <cell r="L934">
            <v>1030</v>
          </cell>
          <cell r="M934">
            <v>46126</v>
          </cell>
        </row>
        <row r="934">
          <cell r="P934">
            <v>11927</v>
          </cell>
        </row>
        <row r="934">
          <cell r="V934">
            <v>6</v>
          </cell>
        </row>
        <row r="934">
          <cell r="AA934">
            <v>183</v>
          </cell>
        </row>
        <row r="935">
          <cell r="L935">
            <v>6977</v>
          </cell>
          <cell r="M935">
            <v>46126</v>
          </cell>
        </row>
        <row r="935">
          <cell r="P935">
            <v>11928</v>
          </cell>
        </row>
        <row r="935">
          <cell r="V935">
            <v>0</v>
          </cell>
        </row>
        <row r="935">
          <cell r="AA935">
            <v>0</v>
          </cell>
        </row>
        <row r="936">
          <cell r="L936">
            <v>6532</v>
          </cell>
          <cell r="M936">
            <v>46126</v>
          </cell>
        </row>
        <row r="936">
          <cell r="P936">
            <v>11929</v>
          </cell>
        </row>
        <row r="936">
          <cell r="V936">
            <v>4</v>
          </cell>
        </row>
        <row r="936">
          <cell r="AA936">
            <v>474</v>
          </cell>
        </row>
        <row r="937">
          <cell r="L937">
            <v>6990</v>
          </cell>
          <cell r="M937">
            <v>46126</v>
          </cell>
        </row>
        <row r="937">
          <cell r="P937">
            <v>11933</v>
          </cell>
        </row>
        <row r="937">
          <cell r="V937">
            <v>2</v>
          </cell>
        </row>
        <row r="937">
          <cell r="AA937">
            <v>138</v>
          </cell>
        </row>
        <row r="938">
          <cell r="L938">
            <v>5051</v>
          </cell>
          <cell r="M938">
            <v>46126</v>
          </cell>
        </row>
        <row r="938">
          <cell r="P938">
            <v>11936</v>
          </cell>
        </row>
        <row r="938">
          <cell r="V938">
            <v>5</v>
          </cell>
        </row>
        <row r="938">
          <cell r="AA938">
            <v>125</v>
          </cell>
        </row>
        <row r="939">
          <cell r="L939">
            <v>1538</v>
          </cell>
          <cell r="M939">
            <v>46126</v>
          </cell>
        </row>
        <row r="939">
          <cell r="P939">
            <v>11937</v>
          </cell>
        </row>
        <row r="939">
          <cell r="V939">
            <v>2</v>
          </cell>
        </row>
        <row r="939">
          <cell r="AA939">
            <v>46</v>
          </cell>
        </row>
        <row r="940">
          <cell r="L940">
            <v>372</v>
          </cell>
          <cell r="M940">
            <v>46126</v>
          </cell>
        </row>
        <row r="940">
          <cell r="P940">
            <v>11938</v>
          </cell>
        </row>
        <row r="940">
          <cell r="V940">
            <v>1</v>
          </cell>
        </row>
        <row r="940">
          <cell r="AA940">
            <v>38.99</v>
          </cell>
        </row>
        <row r="941">
          <cell r="L941">
            <v>6763</v>
          </cell>
          <cell r="M941">
            <v>46126</v>
          </cell>
        </row>
        <row r="941">
          <cell r="P941">
            <v>11982</v>
          </cell>
        </row>
        <row r="941">
          <cell r="V941">
            <v>10</v>
          </cell>
        </row>
        <row r="941">
          <cell r="AA941">
            <v>1516.94</v>
          </cell>
        </row>
        <row r="942">
          <cell r="L942">
            <v>1768</v>
          </cell>
          <cell r="M942">
            <v>46126</v>
          </cell>
        </row>
        <row r="942">
          <cell r="P942">
            <v>12303</v>
          </cell>
        </row>
        <row r="942">
          <cell r="V942">
            <v>11</v>
          </cell>
        </row>
        <row r="942">
          <cell r="AA942">
            <v>420.15</v>
          </cell>
        </row>
        <row r="943">
          <cell r="L943">
            <v>2732</v>
          </cell>
          <cell r="M943">
            <v>46126</v>
          </cell>
        </row>
        <row r="943">
          <cell r="P943">
            <v>2429</v>
          </cell>
        </row>
        <row r="943">
          <cell r="V943">
            <v>1</v>
          </cell>
        </row>
        <row r="943">
          <cell r="AA943">
            <v>189</v>
          </cell>
        </row>
        <row r="944">
          <cell r="L944">
            <v>4323</v>
          </cell>
          <cell r="M944">
            <v>46126</v>
          </cell>
        </row>
        <row r="944">
          <cell r="P944">
            <v>5836</v>
          </cell>
        </row>
        <row r="944">
          <cell r="V944">
            <v>1</v>
          </cell>
        </row>
        <row r="944">
          <cell r="AA944">
            <v>264.29</v>
          </cell>
        </row>
        <row r="945">
          <cell r="L945">
            <v>3708</v>
          </cell>
          <cell r="M945">
            <v>46126</v>
          </cell>
        </row>
        <row r="945">
          <cell r="P945">
            <v>12359</v>
          </cell>
        </row>
        <row r="945">
          <cell r="V945">
            <v>3</v>
          </cell>
        </row>
        <row r="945">
          <cell r="AA945">
            <v>1497</v>
          </cell>
        </row>
        <row r="946">
          <cell r="L946">
            <v>840</v>
          </cell>
          <cell r="M946">
            <v>46126</v>
          </cell>
        </row>
        <row r="946">
          <cell r="P946">
            <v>12000</v>
          </cell>
        </row>
        <row r="946">
          <cell r="V946">
            <v>0</v>
          </cell>
        </row>
        <row r="946">
          <cell r="AA946">
            <v>0</v>
          </cell>
        </row>
        <row r="947">
          <cell r="L947">
            <v>260</v>
          </cell>
          <cell r="M947">
            <v>46126</v>
          </cell>
        </row>
        <row r="947">
          <cell r="P947">
            <v>11981</v>
          </cell>
        </row>
        <row r="947">
          <cell r="V947">
            <v>3</v>
          </cell>
        </row>
        <row r="947">
          <cell r="AA947">
            <v>471.2</v>
          </cell>
        </row>
        <row r="948">
          <cell r="L948">
            <v>2637</v>
          </cell>
          <cell r="M948">
            <v>46126</v>
          </cell>
        </row>
        <row r="948">
          <cell r="P948">
            <v>12002</v>
          </cell>
        </row>
        <row r="948">
          <cell r="V948">
            <v>2</v>
          </cell>
        </row>
        <row r="948">
          <cell r="AA948">
            <v>145</v>
          </cell>
        </row>
        <row r="949">
          <cell r="L949">
            <v>2638</v>
          </cell>
          <cell r="M949">
            <v>46126</v>
          </cell>
        </row>
        <row r="949">
          <cell r="P949">
            <v>12005</v>
          </cell>
        </row>
        <row r="949">
          <cell r="V949">
            <v>29</v>
          </cell>
        </row>
        <row r="949">
          <cell r="AA949">
            <v>1955.1</v>
          </cell>
        </row>
        <row r="950">
          <cell r="L950">
            <v>349</v>
          </cell>
          <cell r="M950">
            <v>46126</v>
          </cell>
        </row>
        <row r="950">
          <cell r="P950">
            <v>12006</v>
          </cell>
        </row>
        <row r="950">
          <cell r="V950">
            <v>46</v>
          </cell>
        </row>
        <row r="950">
          <cell r="AA950">
            <v>2945.76</v>
          </cell>
        </row>
        <row r="951">
          <cell r="L951">
            <v>359</v>
          </cell>
          <cell r="M951">
            <v>46126</v>
          </cell>
        </row>
        <row r="951">
          <cell r="P951">
            <v>12021</v>
          </cell>
        </row>
        <row r="951">
          <cell r="V951">
            <v>1</v>
          </cell>
        </row>
        <row r="951">
          <cell r="AA951">
            <v>50.99</v>
          </cell>
        </row>
        <row r="952">
          <cell r="L952">
            <v>365</v>
          </cell>
          <cell r="M952">
            <v>46126</v>
          </cell>
        </row>
        <row r="952">
          <cell r="P952">
            <v>12023</v>
          </cell>
        </row>
        <row r="952">
          <cell r="V952">
            <v>3</v>
          </cell>
        </row>
        <row r="952">
          <cell r="AA952">
            <v>161.28</v>
          </cell>
        </row>
        <row r="953">
          <cell r="L953">
            <v>1126</v>
          </cell>
          <cell r="M953">
            <v>46126</v>
          </cell>
        </row>
        <row r="953">
          <cell r="P953">
            <v>11998</v>
          </cell>
        </row>
        <row r="953">
          <cell r="V953">
            <v>8</v>
          </cell>
        </row>
        <row r="953">
          <cell r="AA953">
            <v>3996</v>
          </cell>
        </row>
        <row r="954">
          <cell r="L954">
            <v>1203</v>
          </cell>
          <cell r="M954">
            <v>46126</v>
          </cell>
        </row>
        <row r="954">
          <cell r="P954">
            <v>12088</v>
          </cell>
        </row>
        <row r="954">
          <cell r="V954">
            <v>0</v>
          </cell>
        </row>
        <row r="954">
          <cell r="AA954">
            <v>0</v>
          </cell>
        </row>
        <row r="955">
          <cell r="L955">
            <v>2462</v>
          </cell>
          <cell r="M955">
            <v>46126</v>
          </cell>
        </row>
        <row r="955">
          <cell r="P955">
            <v>12089</v>
          </cell>
        </row>
        <row r="955">
          <cell r="V955">
            <v>9</v>
          </cell>
        </row>
        <row r="955">
          <cell r="AA955">
            <v>783.15</v>
          </cell>
        </row>
        <row r="956">
          <cell r="L956">
            <v>2388</v>
          </cell>
          <cell r="M956">
            <v>46126</v>
          </cell>
        </row>
        <row r="956">
          <cell r="P956">
            <v>12011</v>
          </cell>
        </row>
        <row r="956">
          <cell r="V956">
            <v>12</v>
          </cell>
        </row>
        <row r="956">
          <cell r="AA956">
            <v>1550.97</v>
          </cell>
        </row>
        <row r="957">
          <cell r="L957">
            <v>10060</v>
          </cell>
          <cell r="M957">
            <v>46126</v>
          </cell>
        </row>
        <row r="957">
          <cell r="P957">
            <v>12061</v>
          </cell>
        </row>
        <row r="957">
          <cell r="V957">
            <v>18</v>
          </cell>
        </row>
        <row r="957">
          <cell r="AA957">
            <v>902.43</v>
          </cell>
        </row>
        <row r="958">
          <cell r="L958">
            <v>228</v>
          </cell>
          <cell r="M958">
            <v>46126</v>
          </cell>
        </row>
        <row r="958">
          <cell r="P958">
            <v>11989</v>
          </cell>
        </row>
        <row r="958">
          <cell r="V958">
            <v>8</v>
          </cell>
        </row>
        <row r="958">
          <cell r="AA958">
            <v>835.8</v>
          </cell>
        </row>
        <row r="959">
          <cell r="L959">
            <v>569</v>
          </cell>
          <cell r="M959">
            <v>46126</v>
          </cell>
        </row>
        <row r="959">
          <cell r="P959">
            <v>11990</v>
          </cell>
        </row>
        <row r="959">
          <cell r="V959">
            <v>0</v>
          </cell>
        </row>
        <row r="959">
          <cell r="AA959">
            <v>0</v>
          </cell>
        </row>
        <row r="960">
          <cell r="L960">
            <v>2518</v>
          </cell>
          <cell r="M960">
            <v>46126</v>
          </cell>
        </row>
        <row r="960">
          <cell r="P960">
            <v>11991</v>
          </cell>
        </row>
        <row r="960">
          <cell r="V960">
            <v>0</v>
          </cell>
        </row>
        <row r="960">
          <cell r="AA960">
            <v>0</v>
          </cell>
        </row>
        <row r="961">
          <cell r="L961">
            <v>5590</v>
          </cell>
          <cell r="M961">
            <v>46126</v>
          </cell>
        </row>
        <row r="961">
          <cell r="P961">
            <v>12139</v>
          </cell>
        </row>
        <row r="961">
          <cell r="V961">
            <v>0</v>
          </cell>
        </row>
        <row r="961">
          <cell r="AA961">
            <v>0</v>
          </cell>
        </row>
        <row r="962">
          <cell r="L962">
            <v>3708</v>
          </cell>
          <cell r="M962">
            <v>46126</v>
          </cell>
        </row>
        <row r="962">
          <cell r="P962">
            <v>12087</v>
          </cell>
        </row>
        <row r="962">
          <cell r="V962">
            <v>3</v>
          </cell>
        </row>
        <row r="962">
          <cell r="AA962">
            <v>139.59</v>
          </cell>
        </row>
        <row r="963">
          <cell r="L963">
            <v>357</v>
          </cell>
          <cell r="M963">
            <v>46127</v>
          </cell>
        </row>
        <row r="963">
          <cell r="P963">
            <v>12105</v>
          </cell>
        </row>
        <row r="963">
          <cell r="V963">
            <v>0</v>
          </cell>
        </row>
        <row r="963">
          <cell r="AA963">
            <v>0</v>
          </cell>
        </row>
        <row r="964">
          <cell r="L964">
            <v>2481</v>
          </cell>
          <cell r="M964">
            <v>46127</v>
          </cell>
        </row>
        <row r="964">
          <cell r="P964">
            <v>12106</v>
          </cell>
        </row>
        <row r="964">
          <cell r="V964">
            <v>6</v>
          </cell>
        </row>
        <row r="964">
          <cell r="AA964">
            <v>312</v>
          </cell>
        </row>
        <row r="965">
          <cell r="L965">
            <v>636</v>
          </cell>
          <cell r="M965">
            <v>46127</v>
          </cell>
        </row>
        <row r="965">
          <cell r="P965">
            <v>12058</v>
          </cell>
        </row>
        <row r="965">
          <cell r="V965">
            <v>16</v>
          </cell>
        </row>
        <row r="965">
          <cell r="AA965">
            <v>329</v>
          </cell>
        </row>
        <row r="966">
          <cell r="L966">
            <v>971</v>
          </cell>
          <cell r="M966">
            <v>46127</v>
          </cell>
        </row>
        <row r="966">
          <cell r="P966">
            <v>12059</v>
          </cell>
        </row>
        <row r="966">
          <cell r="V966">
            <v>6</v>
          </cell>
        </row>
        <row r="966">
          <cell r="AA966">
            <v>115.95</v>
          </cell>
        </row>
        <row r="967">
          <cell r="L967">
            <v>1134</v>
          </cell>
          <cell r="M967">
            <v>46127</v>
          </cell>
        </row>
        <row r="967">
          <cell r="P967">
            <v>12060</v>
          </cell>
        </row>
        <row r="967">
          <cell r="V967">
            <v>21</v>
          </cell>
        </row>
        <row r="967">
          <cell r="AA967">
            <v>411.83</v>
          </cell>
        </row>
        <row r="968">
          <cell r="L968">
            <v>3901</v>
          </cell>
          <cell r="M968">
            <v>46127</v>
          </cell>
        </row>
        <row r="968">
          <cell r="P968">
            <v>12143</v>
          </cell>
        </row>
        <row r="968">
          <cell r="V968">
            <v>2</v>
          </cell>
        </row>
        <row r="968">
          <cell r="AA968">
            <v>290</v>
          </cell>
        </row>
        <row r="969">
          <cell r="L969">
            <v>3833</v>
          </cell>
          <cell r="M969">
            <v>46127</v>
          </cell>
        </row>
        <row r="969">
          <cell r="P969">
            <v>12079</v>
          </cell>
        </row>
        <row r="969">
          <cell r="V969">
            <v>7</v>
          </cell>
        </row>
        <row r="969">
          <cell r="AA969">
            <v>912.55</v>
          </cell>
        </row>
        <row r="970">
          <cell r="L970">
            <v>4272</v>
          </cell>
          <cell r="M970">
            <v>46127</v>
          </cell>
        </row>
        <row r="970">
          <cell r="P970">
            <v>12104</v>
          </cell>
        </row>
        <row r="970">
          <cell r="V970">
            <v>0</v>
          </cell>
        </row>
        <row r="970">
          <cell r="AA970">
            <v>0</v>
          </cell>
        </row>
        <row r="971">
          <cell r="L971">
            <v>6990</v>
          </cell>
          <cell r="M971">
            <v>46127</v>
          </cell>
        </row>
        <row r="971">
          <cell r="P971">
            <v>12072</v>
          </cell>
        </row>
        <row r="971">
          <cell r="V971">
            <v>2</v>
          </cell>
        </row>
        <row r="971">
          <cell r="AA971">
            <v>598</v>
          </cell>
        </row>
        <row r="972">
          <cell r="L972">
            <v>6991</v>
          </cell>
          <cell r="M972">
            <v>46127</v>
          </cell>
        </row>
        <row r="972">
          <cell r="P972">
            <v>12073</v>
          </cell>
        </row>
        <row r="972">
          <cell r="V972">
            <v>8</v>
          </cell>
        </row>
        <row r="972">
          <cell r="AA972">
            <v>3360</v>
          </cell>
        </row>
        <row r="973">
          <cell r="L973">
            <v>6531</v>
          </cell>
          <cell r="M973">
            <v>46127</v>
          </cell>
        </row>
        <row r="973">
          <cell r="P973">
            <v>12074</v>
          </cell>
        </row>
        <row r="973">
          <cell r="V973">
            <v>23</v>
          </cell>
        </row>
        <row r="973">
          <cell r="AA973">
            <v>5766.52</v>
          </cell>
        </row>
        <row r="974">
          <cell r="L974">
            <v>8533</v>
          </cell>
          <cell r="M974">
            <v>46127</v>
          </cell>
        </row>
        <row r="974">
          <cell r="P974">
            <v>12075</v>
          </cell>
        </row>
        <row r="974">
          <cell r="V974">
            <v>3</v>
          </cell>
        </row>
        <row r="974">
          <cell r="AA974">
            <v>660</v>
          </cell>
        </row>
        <row r="975">
          <cell r="L975">
            <v>6903</v>
          </cell>
          <cell r="M975">
            <v>46127</v>
          </cell>
        </row>
        <row r="975">
          <cell r="P975">
            <v>12252</v>
          </cell>
        </row>
        <row r="975">
          <cell r="V975">
            <v>4</v>
          </cell>
        </row>
        <row r="975">
          <cell r="AA975">
            <v>160</v>
          </cell>
        </row>
        <row r="976">
          <cell r="L976">
            <v>8254</v>
          </cell>
          <cell r="M976">
            <v>46127</v>
          </cell>
        </row>
        <row r="976">
          <cell r="P976">
            <v>12205</v>
          </cell>
        </row>
        <row r="976">
          <cell r="V976">
            <v>19</v>
          </cell>
        </row>
        <row r="976">
          <cell r="AA976">
            <v>417.36</v>
          </cell>
        </row>
        <row r="977">
          <cell r="L977">
            <v>424</v>
          </cell>
          <cell r="M977">
            <v>46127</v>
          </cell>
        </row>
        <row r="977">
          <cell r="P977">
            <v>12206</v>
          </cell>
        </row>
        <row r="977">
          <cell r="V977">
            <v>8</v>
          </cell>
        </row>
        <row r="977">
          <cell r="AA977">
            <v>176</v>
          </cell>
        </row>
        <row r="978">
          <cell r="L978">
            <v>657</v>
          </cell>
          <cell r="M978">
            <v>46127</v>
          </cell>
        </row>
        <row r="978">
          <cell r="P978">
            <v>12165</v>
          </cell>
        </row>
        <row r="978">
          <cell r="V978">
            <v>3</v>
          </cell>
        </row>
        <row r="978">
          <cell r="AA978">
            <v>510</v>
          </cell>
        </row>
        <row r="979">
          <cell r="L979">
            <v>5509</v>
          </cell>
          <cell r="M979">
            <v>46127</v>
          </cell>
        </row>
        <row r="979">
          <cell r="P979">
            <v>12240</v>
          </cell>
        </row>
        <row r="979">
          <cell r="V979">
            <v>4</v>
          </cell>
        </row>
        <row r="979">
          <cell r="AA979">
            <v>238</v>
          </cell>
        </row>
        <row r="980">
          <cell r="L980">
            <v>7965</v>
          </cell>
          <cell r="M980">
            <v>46127</v>
          </cell>
        </row>
        <row r="980">
          <cell r="P980">
            <v>12225</v>
          </cell>
        </row>
        <row r="980">
          <cell r="V980">
            <v>7</v>
          </cell>
        </row>
        <row r="980">
          <cell r="AA980">
            <v>413</v>
          </cell>
        </row>
        <row r="981">
          <cell r="L981">
            <v>9387</v>
          </cell>
          <cell r="M981">
            <v>46127</v>
          </cell>
        </row>
        <row r="981">
          <cell r="P981">
            <v>12248</v>
          </cell>
        </row>
        <row r="981">
          <cell r="V981">
            <v>17</v>
          </cell>
        </row>
        <row r="981">
          <cell r="AA981">
            <v>1454</v>
          </cell>
        </row>
        <row r="982">
          <cell r="L982">
            <v>9307</v>
          </cell>
          <cell r="M982">
            <v>46127</v>
          </cell>
        </row>
        <row r="982">
          <cell r="P982">
            <v>12246</v>
          </cell>
        </row>
        <row r="982">
          <cell r="V982">
            <v>36</v>
          </cell>
        </row>
        <row r="982">
          <cell r="AA982">
            <v>3323</v>
          </cell>
        </row>
        <row r="983">
          <cell r="L983">
            <v>8350</v>
          </cell>
          <cell r="M983">
            <v>46127</v>
          </cell>
        </row>
        <row r="983">
          <cell r="P983">
            <v>12247</v>
          </cell>
        </row>
        <row r="983">
          <cell r="V983">
            <v>21</v>
          </cell>
        </row>
        <row r="983">
          <cell r="AA983">
            <v>2089.5</v>
          </cell>
        </row>
        <row r="984">
          <cell r="L984">
            <v>8685</v>
          </cell>
          <cell r="M984">
            <v>46127</v>
          </cell>
        </row>
        <row r="984">
          <cell r="P984">
            <v>11997</v>
          </cell>
        </row>
        <row r="984">
          <cell r="V984">
            <v>6</v>
          </cell>
        </row>
        <row r="984">
          <cell r="AA984">
            <v>827.05</v>
          </cell>
        </row>
        <row r="985">
          <cell r="L985">
            <v>8609</v>
          </cell>
          <cell r="M985">
            <v>46127</v>
          </cell>
        </row>
        <row r="985">
          <cell r="P985">
            <v>12071</v>
          </cell>
        </row>
        <row r="985">
          <cell r="V985">
            <v>5</v>
          </cell>
        </row>
        <row r="985">
          <cell r="AA985">
            <v>1480.05</v>
          </cell>
        </row>
        <row r="986">
          <cell r="L986">
            <v>8089</v>
          </cell>
          <cell r="M986">
            <v>46127</v>
          </cell>
        </row>
        <row r="986">
          <cell r="P986">
            <v>12304</v>
          </cell>
        </row>
        <row r="986">
          <cell r="V986">
            <v>3</v>
          </cell>
        </row>
        <row r="986">
          <cell r="AA986">
            <v>1472.05</v>
          </cell>
        </row>
        <row r="987">
          <cell r="L987">
            <v>6162</v>
          </cell>
          <cell r="M987">
            <v>46127</v>
          </cell>
        </row>
        <row r="987">
          <cell r="P987">
            <v>12086</v>
          </cell>
        </row>
        <row r="987">
          <cell r="V987">
            <v>9</v>
          </cell>
        </row>
        <row r="987">
          <cell r="AA987">
            <v>664.3</v>
          </cell>
        </row>
        <row r="988">
          <cell r="L988">
            <v>9363</v>
          </cell>
          <cell r="M988">
            <v>46127</v>
          </cell>
        </row>
        <row r="988">
          <cell r="P988">
            <v>12258</v>
          </cell>
        </row>
        <row r="988">
          <cell r="V988">
            <v>57</v>
          </cell>
        </row>
        <row r="988">
          <cell r="AA988">
            <v>1594.6</v>
          </cell>
        </row>
        <row r="989">
          <cell r="L989">
            <v>9561</v>
          </cell>
          <cell r="M989">
            <v>46127</v>
          </cell>
        </row>
        <row r="989">
          <cell r="P989">
            <v>12210</v>
          </cell>
        </row>
        <row r="989">
          <cell r="V989">
            <v>30</v>
          </cell>
        </row>
        <row r="989">
          <cell r="AA989">
            <v>342.2</v>
          </cell>
        </row>
        <row r="990">
          <cell r="L990">
            <v>9501</v>
          </cell>
          <cell r="M990">
            <v>46127</v>
          </cell>
        </row>
        <row r="990">
          <cell r="P990">
            <v>12250</v>
          </cell>
        </row>
        <row r="990">
          <cell r="V990">
            <v>4</v>
          </cell>
        </row>
        <row r="990">
          <cell r="AA990">
            <v>141</v>
          </cell>
        </row>
        <row r="991">
          <cell r="L991">
            <v>8374</v>
          </cell>
          <cell r="M991">
            <v>46127</v>
          </cell>
        </row>
        <row r="991">
          <cell r="P991">
            <v>12251</v>
          </cell>
        </row>
        <row r="991">
          <cell r="V991">
            <v>1</v>
          </cell>
        </row>
        <row r="991">
          <cell r="AA991">
            <v>34</v>
          </cell>
        </row>
        <row r="992">
          <cell r="L992">
            <v>3341</v>
          </cell>
          <cell r="M992">
            <v>46127</v>
          </cell>
        </row>
        <row r="992">
          <cell r="P992">
            <v>12262</v>
          </cell>
        </row>
        <row r="992">
          <cell r="V992">
            <v>3</v>
          </cell>
        </row>
        <row r="992">
          <cell r="AA992">
            <v>426</v>
          </cell>
        </row>
        <row r="993">
          <cell r="L993">
            <v>5660</v>
          </cell>
          <cell r="M993">
            <v>46127</v>
          </cell>
        </row>
        <row r="993">
          <cell r="P993">
            <v>12244</v>
          </cell>
        </row>
        <row r="993">
          <cell r="V993">
            <v>1</v>
          </cell>
        </row>
        <row r="993">
          <cell r="AA993">
            <v>38</v>
          </cell>
        </row>
        <row r="994">
          <cell r="L994">
            <v>6031</v>
          </cell>
          <cell r="M994">
            <v>46127</v>
          </cell>
        </row>
        <row r="994">
          <cell r="P994">
            <v>12243</v>
          </cell>
        </row>
        <row r="994">
          <cell r="V994">
            <v>7</v>
          </cell>
        </row>
        <row r="994">
          <cell r="AA994">
            <v>261.82</v>
          </cell>
        </row>
        <row r="995">
          <cell r="L995">
            <v>10653</v>
          </cell>
          <cell r="M995">
            <v>46127</v>
          </cell>
        </row>
        <row r="995">
          <cell r="P995">
            <v>12332</v>
          </cell>
        </row>
        <row r="995">
          <cell r="V995">
            <v>14</v>
          </cell>
        </row>
        <row r="995">
          <cell r="AA995">
            <v>1596</v>
          </cell>
        </row>
        <row r="996">
          <cell r="L996">
            <v>259</v>
          </cell>
          <cell r="M996">
            <v>46127</v>
          </cell>
        </row>
        <row r="996">
          <cell r="P996">
            <v>12368</v>
          </cell>
        </row>
        <row r="996">
          <cell r="V996">
            <v>9</v>
          </cell>
        </row>
        <row r="996">
          <cell r="AA996">
            <v>883.02</v>
          </cell>
        </row>
        <row r="997">
          <cell r="L997">
            <v>12272</v>
          </cell>
          <cell r="M997">
            <v>46127</v>
          </cell>
        </row>
        <row r="997">
          <cell r="P997">
            <v>12085</v>
          </cell>
        </row>
        <row r="997">
          <cell r="V997">
            <v>10</v>
          </cell>
        </row>
        <row r="997">
          <cell r="AA997">
            <v>845.75</v>
          </cell>
        </row>
        <row r="998">
          <cell r="L998">
            <v>8849</v>
          </cell>
          <cell r="M998">
            <v>46127</v>
          </cell>
        </row>
        <row r="998">
          <cell r="P998">
            <v>12227</v>
          </cell>
        </row>
        <row r="998">
          <cell r="V998">
            <v>17</v>
          </cell>
        </row>
        <row r="998">
          <cell r="AA998">
            <v>1192.07</v>
          </cell>
        </row>
        <row r="999">
          <cell r="L999">
            <v>9514</v>
          </cell>
          <cell r="M999">
            <v>46127</v>
          </cell>
        </row>
        <row r="999">
          <cell r="P999">
            <v>12271</v>
          </cell>
        </row>
        <row r="999">
          <cell r="V999">
            <v>8</v>
          </cell>
        </row>
        <row r="999">
          <cell r="AA999">
            <v>2400</v>
          </cell>
        </row>
        <row r="1000">
          <cell r="L1000">
            <v>12310</v>
          </cell>
          <cell r="M1000">
            <v>46127</v>
          </cell>
        </row>
        <row r="1000">
          <cell r="P1000">
            <v>12270</v>
          </cell>
        </row>
        <row r="1000">
          <cell r="V1000">
            <v>2</v>
          </cell>
        </row>
        <row r="1000">
          <cell r="AA1000">
            <v>540</v>
          </cell>
        </row>
        <row r="1001">
          <cell r="L1001">
            <v>12312</v>
          </cell>
          <cell r="M1001">
            <v>46127</v>
          </cell>
        </row>
        <row r="1001">
          <cell r="P1001">
            <v>12292</v>
          </cell>
        </row>
        <row r="1001">
          <cell r="V1001">
            <v>3</v>
          </cell>
        </row>
        <row r="1001">
          <cell r="AA1001">
            <v>267</v>
          </cell>
        </row>
        <row r="1002">
          <cell r="L1002">
            <v>12305</v>
          </cell>
          <cell r="M1002">
            <v>46127</v>
          </cell>
        </row>
        <row r="1002">
          <cell r="P1002">
            <v>12213</v>
          </cell>
        </row>
        <row r="1002">
          <cell r="V1002">
            <v>46</v>
          </cell>
        </row>
        <row r="1002">
          <cell r="AA1002">
            <v>1610</v>
          </cell>
        </row>
        <row r="1003">
          <cell r="L1003">
            <v>12387</v>
          </cell>
          <cell r="M1003">
            <v>46127</v>
          </cell>
        </row>
        <row r="1003">
          <cell r="P1003">
            <v>12293</v>
          </cell>
        </row>
        <row r="1003">
          <cell r="V1003">
            <v>0</v>
          </cell>
        </row>
        <row r="1003">
          <cell r="AA1003">
            <v>0</v>
          </cell>
        </row>
        <row r="1004">
          <cell r="L1004">
            <v>12388</v>
          </cell>
          <cell r="M1004">
            <v>46127</v>
          </cell>
        </row>
        <row r="1004">
          <cell r="P1004">
            <v>12298</v>
          </cell>
        </row>
        <row r="1004">
          <cell r="V1004">
            <v>1</v>
          </cell>
        </row>
        <row r="1004">
          <cell r="AA1004">
            <v>24.78</v>
          </cell>
        </row>
        <row r="1005">
          <cell r="L1005">
            <v>12424</v>
          </cell>
          <cell r="M1005">
            <v>46127</v>
          </cell>
        </row>
        <row r="1005">
          <cell r="P1005">
            <v>12299</v>
          </cell>
        </row>
        <row r="1005">
          <cell r="V1005">
            <v>1</v>
          </cell>
        </row>
        <row r="1005">
          <cell r="AA1005">
            <v>28</v>
          </cell>
        </row>
        <row r="1006">
          <cell r="L1006">
            <v>12414</v>
          </cell>
          <cell r="M1006">
            <v>46127</v>
          </cell>
        </row>
        <row r="1006">
          <cell r="P1006">
            <v>12320</v>
          </cell>
        </row>
        <row r="1006">
          <cell r="V1006">
            <v>3</v>
          </cell>
        </row>
        <row r="1006">
          <cell r="AA1006">
            <v>225</v>
          </cell>
        </row>
        <row r="1007">
          <cell r="L1007">
            <v>12422</v>
          </cell>
          <cell r="M1007">
            <v>46127</v>
          </cell>
        </row>
        <row r="1007">
          <cell r="P1007">
            <v>12333</v>
          </cell>
        </row>
        <row r="1007">
          <cell r="V1007">
            <v>5</v>
          </cell>
        </row>
        <row r="1007">
          <cell r="AA1007">
            <v>348</v>
          </cell>
        </row>
        <row r="1008">
          <cell r="L1008">
            <v>5064</v>
          </cell>
          <cell r="M1008">
            <v>46127</v>
          </cell>
        </row>
        <row r="1008">
          <cell r="P1008">
            <v>12334</v>
          </cell>
        </row>
        <row r="1008">
          <cell r="V1008">
            <v>8</v>
          </cell>
        </row>
        <row r="1008">
          <cell r="AA1008">
            <v>720</v>
          </cell>
        </row>
        <row r="1009">
          <cell r="L1009">
            <v>243</v>
          </cell>
          <cell r="M1009">
            <v>46127</v>
          </cell>
        </row>
        <row r="1009">
          <cell r="P1009">
            <v>12305</v>
          </cell>
        </row>
        <row r="1009">
          <cell r="V1009">
            <v>3</v>
          </cell>
        </row>
        <row r="1009">
          <cell r="AA1009">
            <v>1770</v>
          </cell>
        </row>
        <row r="1010">
          <cell r="L1010">
            <v>1010</v>
          </cell>
          <cell r="M1010">
            <v>46127</v>
          </cell>
        </row>
        <row r="1010">
          <cell r="P1010">
            <v>12306</v>
          </cell>
        </row>
        <row r="1010">
          <cell r="V1010">
            <v>9</v>
          </cell>
        </row>
        <row r="1010">
          <cell r="AA1010">
            <v>5367</v>
          </cell>
        </row>
        <row r="1011">
          <cell r="L1011">
            <v>11876</v>
          </cell>
          <cell r="M1011">
            <v>46127</v>
          </cell>
        </row>
        <row r="1011">
          <cell r="P1011">
            <v>12307</v>
          </cell>
        </row>
        <row r="1011">
          <cell r="V1011">
            <v>3</v>
          </cell>
        </row>
        <row r="1011">
          <cell r="AA1011">
            <v>1740</v>
          </cell>
        </row>
        <row r="1012">
          <cell r="L1012">
            <v>5611</v>
          </cell>
          <cell r="M1012">
            <v>46127</v>
          </cell>
        </row>
        <row r="1012">
          <cell r="P1012">
            <v>12308</v>
          </cell>
        </row>
        <row r="1012">
          <cell r="V1012">
            <v>4</v>
          </cell>
        </row>
        <row r="1012">
          <cell r="AA1012">
            <v>2367</v>
          </cell>
        </row>
        <row r="1013">
          <cell r="L1013">
            <v>6906</v>
          </cell>
          <cell r="M1013">
            <v>46127</v>
          </cell>
        </row>
        <row r="1013">
          <cell r="P1013">
            <v>12309</v>
          </cell>
        </row>
        <row r="1013">
          <cell r="V1013">
            <v>2</v>
          </cell>
        </row>
        <row r="1013">
          <cell r="AA1013">
            <v>957</v>
          </cell>
        </row>
        <row r="1014">
          <cell r="L1014">
            <v>278</v>
          </cell>
          <cell r="M1014">
            <v>46127</v>
          </cell>
        </row>
        <row r="1014">
          <cell r="P1014">
            <v>12310</v>
          </cell>
        </row>
        <row r="1014">
          <cell r="V1014">
            <v>1</v>
          </cell>
        </row>
        <row r="1014">
          <cell r="AA1014">
            <v>483</v>
          </cell>
        </row>
        <row r="1015">
          <cell r="L1015">
            <v>7964</v>
          </cell>
          <cell r="M1015">
            <v>46127</v>
          </cell>
        </row>
        <row r="1015">
          <cell r="P1015">
            <v>12321</v>
          </cell>
        </row>
        <row r="1015">
          <cell r="V1015">
            <v>21</v>
          </cell>
        </row>
        <row r="1015">
          <cell r="AA1015">
            <v>753.9</v>
          </cell>
        </row>
        <row r="1016">
          <cell r="L1016">
            <v>6873</v>
          </cell>
          <cell r="M1016">
            <v>46127</v>
          </cell>
        </row>
        <row r="1016">
          <cell r="P1016">
            <v>12272</v>
          </cell>
        </row>
        <row r="1016">
          <cell r="V1016">
            <v>24</v>
          </cell>
        </row>
        <row r="1016">
          <cell r="AA1016">
            <v>1708.5</v>
          </cell>
        </row>
        <row r="1017">
          <cell r="L1017">
            <v>11192</v>
          </cell>
          <cell r="M1017">
            <v>46127</v>
          </cell>
        </row>
        <row r="1017">
          <cell r="P1017">
            <v>12311</v>
          </cell>
        </row>
        <row r="1017">
          <cell r="V1017">
            <v>2</v>
          </cell>
        </row>
        <row r="1017">
          <cell r="AA1017">
            <v>960</v>
          </cell>
        </row>
        <row r="1018">
          <cell r="L1018">
            <v>1010</v>
          </cell>
          <cell r="M1018">
            <v>46127</v>
          </cell>
        </row>
        <row r="1018">
          <cell r="P1018">
            <v>12312</v>
          </cell>
        </row>
        <row r="1018">
          <cell r="V1018">
            <v>3</v>
          </cell>
        </row>
        <row r="1018">
          <cell r="AA1018">
            <v>1428</v>
          </cell>
        </row>
        <row r="1019">
          <cell r="L1019">
            <v>8462</v>
          </cell>
          <cell r="M1019">
            <v>46127</v>
          </cell>
        </row>
        <row r="1019">
          <cell r="P1019">
            <v>12069</v>
          </cell>
        </row>
        <row r="1019">
          <cell r="V1019">
            <v>0</v>
          </cell>
        </row>
        <row r="1019">
          <cell r="AA1019">
            <v>0</v>
          </cell>
        </row>
        <row r="1020">
          <cell r="L1020">
            <v>11736</v>
          </cell>
          <cell r="M1020">
            <v>46127</v>
          </cell>
        </row>
        <row r="1020">
          <cell r="P1020">
            <v>12290</v>
          </cell>
        </row>
        <row r="1020">
          <cell r="V1020">
            <v>3</v>
          </cell>
        </row>
        <row r="1020">
          <cell r="AA1020">
            <v>354</v>
          </cell>
        </row>
        <row r="1021">
          <cell r="L1021">
            <v>11857</v>
          </cell>
          <cell r="M1021">
            <v>46127</v>
          </cell>
        </row>
        <row r="1021">
          <cell r="P1021">
            <v>12291</v>
          </cell>
        </row>
        <row r="1021">
          <cell r="V1021">
            <v>5</v>
          </cell>
        </row>
        <row r="1021">
          <cell r="AA1021">
            <v>645</v>
          </cell>
        </row>
        <row r="1022">
          <cell r="L1022">
            <v>11193</v>
          </cell>
          <cell r="M1022">
            <v>46127</v>
          </cell>
        </row>
        <row r="1022">
          <cell r="P1022">
            <v>12318</v>
          </cell>
        </row>
        <row r="1022">
          <cell r="V1022">
            <v>2</v>
          </cell>
        </row>
        <row r="1022">
          <cell r="AA1022">
            <v>920</v>
          </cell>
        </row>
        <row r="1023">
          <cell r="L1023">
            <v>11793</v>
          </cell>
          <cell r="M1023">
            <v>46127</v>
          </cell>
        </row>
        <row r="1023">
          <cell r="P1023">
            <v>12357</v>
          </cell>
        </row>
        <row r="1023">
          <cell r="V1023">
            <v>5</v>
          </cell>
        </row>
        <row r="1023">
          <cell r="AA1023">
            <v>495</v>
          </cell>
        </row>
        <row r="1024">
          <cell r="L1024">
            <v>11699</v>
          </cell>
          <cell r="M1024">
            <v>46127</v>
          </cell>
        </row>
        <row r="1024">
          <cell r="P1024">
            <v>12441</v>
          </cell>
        </row>
        <row r="1024">
          <cell r="V1024">
            <v>3</v>
          </cell>
        </row>
        <row r="1024">
          <cell r="AA1024">
            <v>413</v>
          </cell>
        </row>
        <row r="1025">
          <cell r="L1025">
            <v>11100</v>
          </cell>
          <cell r="M1025">
            <v>46127</v>
          </cell>
        </row>
        <row r="1025">
          <cell r="P1025">
            <v>7440</v>
          </cell>
        </row>
        <row r="1025">
          <cell r="V1025">
            <v>4</v>
          </cell>
        </row>
        <row r="1025">
          <cell r="AA1025">
            <v>43.92</v>
          </cell>
        </row>
        <row r="1026">
          <cell r="L1026">
            <v>7318</v>
          </cell>
          <cell r="M1026">
            <v>46127</v>
          </cell>
        </row>
        <row r="1026">
          <cell r="P1026">
            <v>12396</v>
          </cell>
        </row>
        <row r="1026">
          <cell r="V1026">
            <v>0</v>
          </cell>
        </row>
        <row r="1026">
          <cell r="AA1026">
            <v>0</v>
          </cell>
        </row>
        <row r="1027">
          <cell r="L1027">
            <v>10107</v>
          </cell>
          <cell r="M1027">
            <v>46127</v>
          </cell>
        </row>
        <row r="1027">
          <cell r="P1027">
            <v>12391</v>
          </cell>
        </row>
        <row r="1027">
          <cell r="V1027">
            <v>2</v>
          </cell>
        </row>
        <row r="1027">
          <cell r="AA1027">
            <v>278</v>
          </cell>
        </row>
        <row r="1028">
          <cell r="L1028">
            <v>2851</v>
          </cell>
          <cell r="M1028">
            <v>46127</v>
          </cell>
        </row>
        <row r="1028">
          <cell r="P1028">
            <v>12398</v>
          </cell>
        </row>
        <row r="1028">
          <cell r="V1028">
            <v>8</v>
          </cell>
        </row>
        <row r="1028">
          <cell r="AA1028">
            <v>392</v>
          </cell>
        </row>
        <row r="1029">
          <cell r="L1029">
            <v>3262</v>
          </cell>
          <cell r="M1029">
            <v>46127</v>
          </cell>
        </row>
        <row r="1029">
          <cell r="P1029">
            <v>12423</v>
          </cell>
        </row>
        <row r="1029">
          <cell r="V1029">
            <v>1</v>
          </cell>
        </row>
        <row r="1029">
          <cell r="AA1029">
            <v>58</v>
          </cell>
        </row>
        <row r="1030">
          <cell r="L1030">
            <v>11230</v>
          </cell>
          <cell r="M1030">
            <v>46127</v>
          </cell>
        </row>
        <row r="1030">
          <cell r="P1030">
            <v>12387</v>
          </cell>
        </row>
        <row r="1030">
          <cell r="V1030">
            <v>3</v>
          </cell>
        </row>
        <row r="1030">
          <cell r="AA1030">
            <v>105</v>
          </cell>
        </row>
        <row r="1031">
          <cell r="L1031">
            <v>10059</v>
          </cell>
          <cell r="M1031">
            <v>46127</v>
          </cell>
        </row>
        <row r="1031">
          <cell r="P1031">
            <v>12388</v>
          </cell>
        </row>
        <row r="1031">
          <cell r="V1031">
            <v>0</v>
          </cell>
        </row>
        <row r="1031">
          <cell r="AA1031">
            <v>0</v>
          </cell>
        </row>
        <row r="1032">
          <cell r="L1032">
            <v>11327</v>
          </cell>
          <cell r="M1032">
            <v>46127</v>
          </cell>
        </row>
        <row r="1032">
          <cell r="P1032">
            <v>6903</v>
          </cell>
        </row>
        <row r="1032">
          <cell r="V1032">
            <v>92</v>
          </cell>
        </row>
        <row r="1032">
          <cell r="AA1032">
            <v>6233.39999999999</v>
          </cell>
        </row>
        <row r="1033">
          <cell r="L1033">
            <v>5122</v>
          </cell>
          <cell r="M1033">
            <v>46127</v>
          </cell>
        </row>
        <row r="1033">
          <cell r="P1033">
            <v>2713</v>
          </cell>
        </row>
        <row r="1033">
          <cell r="V1033">
            <v>12</v>
          </cell>
        </row>
        <row r="1033">
          <cell r="AA1033">
            <v>1676.54</v>
          </cell>
        </row>
        <row r="1034">
          <cell r="L1034">
            <v>5125</v>
          </cell>
          <cell r="M1034">
            <v>46127</v>
          </cell>
        </row>
        <row r="1034">
          <cell r="P1034">
            <v>4134</v>
          </cell>
        </row>
        <row r="1034">
          <cell r="V1034">
            <v>77</v>
          </cell>
        </row>
        <row r="1034">
          <cell r="AA1034">
            <v>2838.67</v>
          </cell>
        </row>
        <row r="1035">
          <cell r="L1035">
            <v>5208</v>
          </cell>
          <cell r="M1035">
            <v>46127</v>
          </cell>
        </row>
        <row r="1035">
          <cell r="P1035">
            <v>994</v>
          </cell>
        </row>
        <row r="1035">
          <cell r="V1035">
            <v>21</v>
          </cell>
        </row>
        <row r="1035">
          <cell r="AA1035">
            <v>2232.78</v>
          </cell>
        </row>
        <row r="1036">
          <cell r="L1036">
            <v>5092</v>
          </cell>
          <cell r="M1036">
            <v>46128</v>
          </cell>
        </row>
        <row r="1036">
          <cell r="P1036">
            <v>1160</v>
          </cell>
        </row>
        <row r="1036">
          <cell r="V1036">
            <v>19</v>
          </cell>
        </row>
        <row r="1036">
          <cell r="AA1036">
            <v>1203.85</v>
          </cell>
        </row>
        <row r="1037">
          <cell r="L1037">
            <v>7349</v>
          </cell>
          <cell r="M1037">
            <v>46128</v>
          </cell>
        </row>
        <row r="1037">
          <cell r="P1037">
            <v>3183</v>
          </cell>
        </row>
        <row r="1037">
          <cell r="V1037">
            <v>16</v>
          </cell>
        </row>
        <row r="1037">
          <cell r="AA1037">
            <v>2695.29</v>
          </cell>
        </row>
        <row r="1038">
          <cell r="L1038">
            <v>7421</v>
          </cell>
          <cell r="M1038">
            <v>46128</v>
          </cell>
        </row>
        <row r="1038">
          <cell r="P1038">
            <v>3855</v>
          </cell>
        </row>
        <row r="1038">
          <cell r="V1038">
            <v>38</v>
          </cell>
        </row>
        <row r="1038">
          <cell r="AA1038">
            <v>2903.98</v>
          </cell>
        </row>
        <row r="1039">
          <cell r="L1039">
            <v>9358</v>
          </cell>
          <cell r="M1039">
            <v>46128</v>
          </cell>
        </row>
        <row r="1039">
          <cell r="P1039">
            <v>4181</v>
          </cell>
        </row>
        <row r="1039">
          <cell r="V1039">
            <v>22</v>
          </cell>
        </row>
        <row r="1039">
          <cell r="AA1039">
            <v>1122.28</v>
          </cell>
        </row>
        <row r="1040">
          <cell r="L1040">
            <v>9455</v>
          </cell>
          <cell r="M1040">
            <v>46128</v>
          </cell>
        </row>
        <row r="1040">
          <cell r="P1040">
            <v>3517</v>
          </cell>
        </row>
        <row r="1040">
          <cell r="V1040">
            <v>43</v>
          </cell>
        </row>
        <row r="1040">
          <cell r="AA1040">
            <v>2152.57</v>
          </cell>
        </row>
        <row r="1041">
          <cell r="L1041">
            <v>9814</v>
          </cell>
          <cell r="M1041">
            <v>46128</v>
          </cell>
        </row>
        <row r="1041">
          <cell r="P1041">
            <v>3833</v>
          </cell>
        </row>
        <row r="1041">
          <cell r="V1041">
            <v>41</v>
          </cell>
        </row>
        <row r="1041">
          <cell r="AA1041">
            <v>2969.5</v>
          </cell>
        </row>
        <row r="1042">
          <cell r="L1042">
            <v>11655</v>
          </cell>
          <cell r="M1042">
            <v>46128</v>
          </cell>
        </row>
        <row r="1042">
          <cell r="P1042">
            <v>3598</v>
          </cell>
        </row>
        <row r="1042">
          <cell r="V1042">
            <v>21</v>
          </cell>
        </row>
        <row r="1042">
          <cell r="AA1042">
            <v>1195.59</v>
          </cell>
        </row>
        <row r="1043">
          <cell r="L1043">
            <v>11852</v>
          </cell>
          <cell r="M1043">
            <v>46128</v>
          </cell>
        </row>
        <row r="1043">
          <cell r="P1043">
            <v>3599</v>
          </cell>
        </row>
        <row r="1043">
          <cell r="V1043">
            <v>70</v>
          </cell>
        </row>
        <row r="1043">
          <cell r="AA1043">
            <v>3700.4</v>
          </cell>
        </row>
        <row r="1044">
          <cell r="L1044">
            <v>11890</v>
          </cell>
          <cell r="M1044">
            <v>46128</v>
          </cell>
        </row>
        <row r="1044">
          <cell r="P1044">
            <v>4547</v>
          </cell>
        </row>
        <row r="1044">
          <cell r="V1044">
            <v>69</v>
          </cell>
        </row>
        <row r="1044">
          <cell r="AA1044">
            <v>6314.63</v>
          </cell>
        </row>
        <row r="1045">
          <cell r="L1045">
            <v>11923</v>
          </cell>
          <cell r="M1045">
            <v>46128</v>
          </cell>
        </row>
        <row r="1045">
          <cell r="P1045">
            <v>9061</v>
          </cell>
        </row>
        <row r="1045">
          <cell r="V1045">
            <v>55</v>
          </cell>
        </row>
        <row r="1045">
          <cell r="AA1045">
            <v>8802.68999999999</v>
          </cell>
        </row>
        <row r="1046">
          <cell r="L1046">
            <v>11928</v>
          </cell>
          <cell r="M1046">
            <v>46128</v>
          </cell>
        </row>
        <row r="1046">
          <cell r="P1046">
            <v>9580</v>
          </cell>
        </row>
        <row r="1046">
          <cell r="V1046">
            <v>54</v>
          </cell>
        </row>
        <row r="1046">
          <cell r="AA1046">
            <v>5068.46</v>
          </cell>
        </row>
        <row r="1047">
          <cell r="L1047">
            <v>11998</v>
          </cell>
          <cell r="M1047">
            <v>46128</v>
          </cell>
        </row>
        <row r="1047">
          <cell r="P1047">
            <v>5493</v>
          </cell>
        </row>
        <row r="1047">
          <cell r="V1047">
            <v>56</v>
          </cell>
        </row>
        <row r="1047">
          <cell r="AA1047">
            <v>1327.65</v>
          </cell>
        </row>
        <row r="1048">
          <cell r="L1048">
            <v>12143</v>
          </cell>
          <cell r="M1048">
            <v>46128</v>
          </cell>
        </row>
        <row r="1048">
          <cell r="P1048">
            <v>8685</v>
          </cell>
        </row>
        <row r="1048">
          <cell r="V1048">
            <v>69</v>
          </cell>
        </row>
        <row r="1048">
          <cell r="AA1048">
            <v>3161.31</v>
          </cell>
        </row>
        <row r="1049">
          <cell r="L1049">
            <v>12303</v>
          </cell>
          <cell r="M1049">
            <v>46128</v>
          </cell>
        </row>
        <row r="1049">
          <cell r="P1049">
            <v>8749</v>
          </cell>
        </row>
        <row r="1049">
          <cell r="V1049">
            <v>18</v>
          </cell>
        </row>
        <row r="1049">
          <cell r="AA1049">
            <v>259.52</v>
          </cell>
        </row>
        <row r="1050">
          <cell r="L1050">
            <v>8757</v>
          </cell>
          <cell r="M1050">
            <v>46128</v>
          </cell>
        </row>
        <row r="1050">
          <cell r="P1050">
            <v>8879</v>
          </cell>
        </row>
        <row r="1050">
          <cell r="V1050">
            <v>31</v>
          </cell>
        </row>
        <row r="1050">
          <cell r="AA1050">
            <v>320.54</v>
          </cell>
        </row>
        <row r="1051">
          <cell r="L1051">
            <v>12318</v>
          </cell>
          <cell r="M1051">
            <v>46128</v>
          </cell>
        </row>
        <row r="1051">
          <cell r="P1051">
            <v>8961</v>
          </cell>
        </row>
        <row r="1051">
          <cell r="V1051">
            <v>26</v>
          </cell>
        </row>
        <row r="1051">
          <cell r="AA1051">
            <v>553.99</v>
          </cell>
        </row>
        <row r="1052">
          <cell r="L1052">
            <v>1178</v>
          </cell>
          <cell r="M1052">
            <v>46128</v>
          </cell>
        </row>
        <row r="1052">
          <cell r="P1052">
            <v>424</v>
          </cell>
        </row>
        <row r="1052">
          <cell r="V1052">
            <v>11</v>
          </cell>
        </row>
        <row r="1052">
          <cell r="AA1052">
            <v>269.6</v>
          </cell>
        </row>
        <row r="1053">
          <cell r="L1053">
            <v>11911</v>
          </cell>
          <cell r="M1053">
            <v>46128</v>
          </cell>
        </row>
        <row r="1053">
          <cell r="P1053">
            <v>9063</v>
          </cell>
        </row>
        <row r="1053">
          <cell r="V1053">
            <v>7</v>
          </cell>
        </row>
        <row r="1053">
          <cell r="AA1053">
            <v>418.73</v>
          </cell>
        </row>
        <row r="1054">
          <cell r="L1054">
            <v>12318</v>
          </cell>
          <cell r="M1054">
            <v>46128</v>
          </cell>
        </row>
        <row r="1054">
          <cell r="P1054">
            <v>9066</v>
          </cell>
        </row>
        <row r="1054">
          <cell r="V1054">
            <v>20</v>
          </cell>
        </row>
        <row r="1054">
          <cell r="AA1054">
            <v>669</v>
          </cell>
        </row>
        <row r="1055">
          <cell r="L1055">
            <v>1320</v>
          </cell>
          <cell r="M1055">
            <v>46128</v>
          </cell>
        </row>
        <row r="1055">
          <cell r="P1055">
            <v>9307</v>
          </cell>
        </row>
        <row r="1055">
          <cell r="V1055">
            <v>29</v>
          </cell>
        </row>
        <row r="1055">
          <cell r="AA1055">
            <v>584.23</v>
          </cell>
        </row>
        <row r="1056">
          <cell r="L1056">
            <v>9901</v>
          </cell>
          <cell r="M1056">
            <v>46128</v>
          </cell>
        </row>
        <row r="1056">
          <cell r="P1056">
            <v>5542</v>
          </cell>
        </row>
        <row r="1056">
          <cell r="V1056">
            <v>14</v>
          </cell>
        </row>
        <row r="1056">
          <cell r="AA1056">
            <v>193.86</v>
          </cell>
        </row>
        <row r="1057">
          <cell r="L1057">
            <v>8757</v>
          </cell>
          <cell r="M1057">
            <v>46128</v>
          </cell>
        </row>
        <row r="1057">
          <cell r="P1057">
            <v>651</v>
          </cell>
        </row>
        <row r="1057">
          <cell r="V1057">
            <v>109</v>
          </cell>
        </row>
        <row r="1057">
          <cell r="AA1057">
            <v>875.729999999999</v>
          </cell>
        </row>
        <row r="1058">
          <cell r="L1058">
            <v>11848</v>
          </cell>
          <cell r="M1058">
            <v>46128</v>
          </cell>
        </row>
        <row r="1058">
          <cell r="P1058">
            <v>3379</v>
          </cell>
        </row>
        <row r="1058">
          <cell r="V1058">
            <v>32</v>
          </cell>
        </row>
        <row r="1058">
          <cell r="AA1058">
            <v>6787.51</v>
          </cell>
        </row>
        <row r="1059">
          <cell r="L1059">
            <v>12252</v>
          </cell>
          <cell r="M1059">
            <v>46128</v>
          </cell>
        </row>
        <row r="1059">
          <cell r="P1059">
            <v>922</v>
          </cell>
        </row>
        <row r="1059">
          <cell r="V1059">
            <v>36</v>
          </cell>
        </row>
        <row r="1059">
          <cell r="AA1059">
            <v>548.93</v>
          </cell>
        </row>
        <row r="1060">
          <cell r="L1060">
            <v>9233</v>
          </cell>
          <cell r="M1060">
            <v>46128</v>
          </cell>
        </row>
        <row r="1060">
          <cell r="P1060">
            <v>1014</v>
          </cell>
        </row>
        <row r="1060">
          <cell r="V1060">
            <v>8</v>
          </cell>
        </row>
        <row r="1060">
          <cell r="AA1060">
            <v>366.5</v>
          </cell>
        </row>
        <row r="1061">
          <cell r="L1061">
            <v>9650</v>
          </cell>
          <cell r="M1061">
            <v>46128</v>
          </cell>
        </row>
        <row r="1061">
          <cell r="P1061">
            <v>944</v>
          </cell>
        </row>
        <row r="1061">
          <cell r="V1061">
            <v>18</v>
          </cell>
        </row>
        <row r="1061">
          <cell r="AA1061">
            <v>1032.04</v>
          </cell>
        </row>
        <row r="1062">
          <cell r="L1062">
            <v>1437</v>
          </cell>
          <cell r="M1062">
            <v>46128</v>
          </cell>
        </row>
        <row r="1062">
          <cell r="P1062">
            <v>1642</v>
          </cell>
        </row>
        <row r="1062">
          <cell r="V1062">
            <v>12</v>
          </cell>
        </row>
        <row r="1062">
          <cell r="AA1062">
            <v>566.4</v>
          </cell>
        </row>
        <row r="1063">
          <cell r="L1063">
            <v>289</v>
          </cell>
          <cell r="M1063">
            <v>46128</v>
          </cell>
        </row>
        <row r="1063">
          <cell r="P1063">
            <v>1689</v>
          </cell>
        </row>
        <row r="1063">
          <cell r="V1063">
            <v>11</v>
          </cell>
        </row>
        <row r="1063">
          <cell r="AA1063">
            <v>765.2</v>
          </cell>
        </row>
        <row r="1064">
          <cell r="L1064">
            <v>1025</v>
          </cell>
          <cell r="M1064">
            <v>46128</v>
          </cell>
        </row>
        <row r="1064">
          <cell r="P1064">
            <v>409</v>
          </cell>
        </row>
        <row r="1064">
          <cell r="V1064">
            <v>20</v>
          </cell>
        </row>
        <row r="1064">
          <cell r="AA1064">
            <v>340.94</v>
          </cell>
        </row>
        <row r="1065">
          <cell r="L1065">
            <v>1588</v>
          </cell>
          <cell r="M1065">
            <v>46128</v>
          </cell>
        </row>
        <row r="1065">
          <cell r="P1065">
            <v>1290</v>
          </cell>
        </row>
        <row r="1065">
          <cell r="V1065">
            <v>24</v>
          </cell>
        </row>
        <row r="1065">
          <cell r="AA1065">
            <v>1956.07</v>
          </cell>
        </row>
        <row r="1066">
          <cell r="L1066">
            <v>1690</v>
          </cell>
          <cell r="M1066">
            <v>46128</v>
          </cell>
        </row>
        <row r="1066">
          <cell r="P1066">
            <v>4657</v>
          </cell>
        </row>
        <row r="1066">
          <cell r="V1066">
            <v>13</v>
          </cell>
        </row>
        <row r="1066">
          <cell r="AA1066">
            <v>1008.22</v>
          </cell>
        </row>
        <row r="1067">
          <cell r="L1067">
            <v>1710</v>
          </cell>
          <cell r="M1067">
            <v>46128</v>
          </cell>
        </row>
        <row r="1067">
          <cell r="P1067">
            <v>3871</v>
          </cell>
        </row>
        <row r="1067">
          <cell r="V1067">
            <v>10</v>
          </cell>
        </row>
        <row r="1067">
          <cell r="AA1067">
            <v>292.8</v>
          </cell>
        </row>
        <row r="1068">
          <cell r="L1068">
            <v>3533</v>
          </cell>
          <cell r="M1068">
            <v>46128</v>
          </cell>
        </row>
        <row r="1068">
          <cell r="P1068">
            <v>1296</v>
          </cell>
        </row>
        <row r="1068">
          <cell r="V1068">
            <v>35</v>
          </cell>
        </row>
        <row r="1068">
          <cell r="AA1068">
            <v>637.76</v>
          </cell>
        </row>
        <row r="1069">
          <cell r="L1069">
            <v>3650</v>
          </cell>
          <cell r="M1069">
            <v>46128</v>
          </cell>
        </row>
        <row r="1069">
          <cell r="P1069">
            <v>5690</v>
          </cell>
        </row>
        <row r="1069">
          <cell r="V1069">
            <v>36</v>
          </cell>
        </row>
        <row r="1069">
          <cell r="AA1069">
            <v>583.44</v>
          </cell>
        </row>
        <row r="1070">
          <cell r="L1070">
            <v>3683</v>
          </cell>
          <cell r="M1070">
            <v>46128</v>
          </cell>
        </row>
        <row r="1070">
          <cell r="P1070">
            <v>1424</v>
          </cell>
        </row>
        <row r="1070">
          <cell r="V1070">
            <v>9</v>
          </cell>
        </row>
        <row r="1070">
          <cell r="AA1070">
            <v>630.71</v>
          </cell>
        </row>
        <row r="1071">
          <cell r="L1071">
            <v>4103</v>
          </cell>
          <cell r="M1071">
            <v>46128</v>
          </cell>
        </row>
        <row r="1071">
          <cell r="P1071">
            <v>2481</v>
          </cell>
        </row>
        <row r="1071">
          <cell r="V1071">
            <v>26</v>
          </cell>
        </row>
        <row r="1071">
          <cell r="AA1071">
            <v>427.84</v>
          </cell>
        </row>
        <row r="1072">
          <cell r="L1072">
            <v>12240</v>
          </cell>
          <cell r="M1072">
            <v>46128</v>
          </cell>
        </row>
        <row r="1072">
          <cell r="P1072">
            <v>322</v>
          </cell>
        </row>
        <row r="1072">
          <cell r="V1072">
            <v>23</v>
          </cell>
        </row>
        <row r="1072">
          <cell r="AA1072">
            <v>1295.41</v>
          </cell>
        </row>
        <row r="1073">
          <cell r="L1073">
            <v>11904</v>
          </cell>
          <cell r="M1073">
            <v>46128</v>
          </cell>
        </row>
        <row r="1073">
          <cell r="P1073">
            <v>481</v>
          </cell>
        </row>
        <row r="1073">
          <cell r="V1073">
            <v>2</v>
          </cell>
        </row>
        <row r="1073">
          <cell r="AA1073">
            <v>95.18</v>
          </cell>
        </row>
        <row r="1074">
          <cell r="L1074">
            <v>4328</v>
          </cell>
          <cell r="M1074">
            <v>46128</v>
          </cell>
        </row>
        <row r="1074">
          <cell r="P1074">
            <v>634</v>
          </cell>
        </row>
        <row r="1074">
          <cell r="V1074">
            <v>86</v>
          </cell>
        </row>
        <row r="1074">
          <cell r="AA1074">
            <v>930.240000000001</v>
          </cell>
        </row>
        <row r="1075">
          <cell r="L1075">
            <v>1161</v>
          </cell>
          <cell r="M1075">
            <v>46128</v>
          </cell>
        </row>
        <row r="1075">
          <cell r="P1075">
            <v>636</v>
          </cell>
        </row>
        <row r="1075">
          <cell r="V1075">
            <v>45</v>
          </cell>
        </row>
        <row r="1075">
          <cell r="AA1075">
            <v>564.58</v>
          </cell>
        </row>
        <row r="1076">
          <cell r="L1076">
            <v>8359</v>
          </cell>
          <cell r="M1076">
            <v>46128</v>
          </cell>
        </row>
        <row r="1076">
          <cell r="P1076">
            <v>657</v>
          </cell>
        </row>
        <row r="1076">
          <cell r="V1076">
            <v>36</v>
          </cell>
        </row>
        <row r="1076">
          <cell r="AA1076">
            <v>1003.96</v>
          </cell>
        </row>
        <row r="1077">
          <cell r="L1077">
            <v>994</v>
          </cell>
          <cell r="M1077">
            <v>46128</v>
          </cell>
        </row>
        <row r="1077">
          <cell r="P1077">
            <v>567</v>
          </cell>
        </row>
        <row r="1077">
          <cell r="V1077">
            <v>69</v>
          </cell>
        </row>
        <row r="1077">
          <cell r="AA1077">
            <v>868.76</v>
          </cell>
        </row>
        <row r="1078">
          <cell r="L1078">
            <v>1585</v>
          </cell>
          <cell r="M1078">
            <v>46128</v>
          </cell>
        </row>
        <row r="1078">
          <cell r="P1078">
            <v>1007</v>
          </cell>
        </row>
        <row r="1078">
          <cell r="V1078">
            <v>23</v>
          </cell>
        </row>
        <row r="1078">
          <cell r="AA1078">
            <v>801.5</v>
          </cell>
        </row>
        <row r="1079">
          <cell r="L1079">
            <v>3517</v>
          </cell>
          <cell r="M1079">
            <v>46128</v>
          </cell>
        </row>
        <row r="1079">
          <cell r="P1079">
            <v>1009</v>
          </cell>
        </row>
        <row r="1079">
          <cell r="V1079">
            <v>27</v>
          </cell>
        </row>
        <row r="1079">
          <cell r="AA1079">
            <v>1161.3</v>
          </cell>
        </row>
        <row r="1080">
          <cell r="L1080">
            <v>1775</v>
          </cell>
          <cell r="M1080">
            <v>46128</v>
          </cell>
        </row>
        <row r="1080">
          <cell r="P1080">
            <v>1050</v>
          </cell>
        </row>
        <row r="1080">
          <cell r="V1080">
            <v>112</v>
          </cell>
        </row>
        <row r="1080">
          <cell r="AA1080">
            <v>4399.08999999999</v>
          </cell>
        </row>
        <row r="1081">
          <cell r="L1081">
            <v>3598</v>
          </cell>
          <cell r="M1081">
            <v>46128</v>
          </cell>
        </row>
        <row r="1081">
          <cell r="P1081">
            <v>3376</v>
          </cell>
        </row>
        <row r="1081">
          <cell r="V1081">
            <v>6</v>
          </cell>
        </row>
        <row r="1081">
          <cell r="AA1081">
            <v>68.22</v>
          </cell>
        </row>
        <row r="1082">
          <cell r="L1082">
            <v>1030</v>
          </cell>
          <cell r="M1082">
            <v>46128</v>
          </cell>
        </row>
        <row r="1082">
          <cell r="P1082">
            <v>1307</v>
          </cell>
        </row>
        <row r="1082">
          <cell r="V1082">
            <v>29</v>
          </cell>
        </row>
        <row r="1082">
          <cell r="AA1082">
            <v>514.41</v>
          </cell>
        </row>
        <row r="1083">
          <cell r="L1083">
            <v>9084</v>
          </cell>
          <cell r="M1083">
            <v>46128</v>
          </cell>
        </row>
        <row r="1083">
          <cell r="P1083">
            <v>1585</v>
          </cell>
        </row>
        <row r="1083">
          <cell r="V1083">
            <v>17</v>
          </cell>
        </row>
        <row r="1083">
          <cell r="AA1083">
            <v>1508.68</v>
          </cell>
        </row>
        <row r="1084">
          <cell r="L1084">
            <v>7965</v>
          </cell>
          <cell r="M1084">
            <v>46128</v>
          </cell>
        </row>
        <row r="1084">
          <cell r="P1084">
            <v>1717</v>
          </cell>
        </row>
        <row r="1084">
          <cell r="V1084">
            <v>11</v>
          </cell>
        </row>
        <row r="1084">
          <cell r="AA1084">
            <v>569.89</v>
          </cell>
        </row>
        <row r="1085">
          <cell r="L1085">
            <v>9035</v>
          </cell>
          <cell r="M1085">
            <v>46128</v>
          </cell>
        </row>
        <row r="1085">
          <cell r="P1085">
            <v>434</v>
          </cell>
        </row>
        <row r="1085">
          <cell r="V1085">
            <v>38</v>
          </cell>
        </row>
        <row r="1085">
          <cell r="AA1085">
            <v>1772.4</v>
          </cell>
        </row>
        <row r="1086">
          <cell r="L1086">
            <v>5079</v>
          </cell>
          <cell r="M1086">
            <v>46128</v>
          </cell>
        </row>
        <row r="1086">
          <cell r="P1086">
            <v>1775</v>
          </cell>
        </row>
        <row r="1086">
          <cell r="V1086">
            <v>13</v>
          </cell>
        </row>
        <row r="1086">
          <cell r="AA1086">
            <v>598.5</v>
          </cell>
        </row>
        <row r="1087">
          <cell r="L1087">
            <v>1462</v>
          </cell>
          <cell r="M1087">
            <v>46128</v>
          </cell>
        </row>
        <row r="1087">
          <cell r="P1087">
            <v>3651</v>
          </cell>
        </row>
        <row r="1087">
          <cell r="V1087">
            <v>53</v>
          </cell>
        </row>
        <row r="1087">
          <cell r="AA1087">
            <v>3708.79</v>
          </cell>
        </row>
        <row r="1088">
          <cell r="L1088">
            <v>12291</v>
          </cell>
          <cell r="M1088">
            <v>46128</v>
          </cell>
        </row>
        <row r="1088">
          <cell r="P1088">
            <v>3626</v>
          </cell>
        </row>
        <row r="1088">
          <cell r="V1088">
            <v>22</v>
          </cell>
        </row>
        <row r="1088">
          <cell r="AA1088">
            <v>2085.46</v>
          </cell>
        </row>
        <row r="1089">
          <cell r="L1089">
            <v>4133</v>
          </cell>
          <cell r="M1089">
            <v>46128</v>
          </cell>
        </row>
        <row r="1089">
          <cell r="P1089">
            <v>3901</v>
          </cell>
        </row>
        <row r="1089">
          <cell r="V1089">
            <v>13</v>
          </cell>
        </row>
        <row r="1089">
          <cell r="AA1089">
            <v>830.09</v>
          </cell>
        </row>
        <row r="1090">
          <cell r="L1090">
            <v>5567</v>
          </cell>
          <cell r="M1090">
            <v>46128</v>
          </cell>
        </row>
        <row r="1090">
          <cell r="P1090">
            <v>5007</v>
          </cell>
        </row>
        <row r="1090">
          <cell r="V1090">
            <v>16</v>
          </cell>
        </row>
        <row r="1090">
          <cell r="AA1090">
            <v>620.69</v>
          </cell>
        </row>
        <row r="1091">
          <cell r="L1091">
            <v>5611</v>
          </cell>
          <cell r="M1091">
            <v>46128</v>
          </cell>
        </row>
        <row r="1091">
          <cell r="P1091">
            <v>3794</v>
          </cell>
        </row>
        <row r="1091">
          <cell r="V1091">
            <v>23</v>
          </cell>
        </row>
        <row r="1091">
          <cell r="AA1091">
            <v>1039.55</v>
          </cell>
        </row>
        <row r="1092">
          <cell r="L1092">
            <v>6873</v>
          </cell>
          <cell r="M1092">
            <v>46128</v>
          </cell>
        </row>
        <row r="1092">
          <cell r="P1092">
            <v>4056</v>
          </cell>
        </row>
        <row r="1092">
          <cell r="V1092">
            <v>8</v>
          </cell>
        </row>
        <row r="1092">
          <cell r="AA1092">
            <v>641.32</v>
          </cell>
        </row>
        <row r="1093">
          <cell r="L1093">
            <v>6906</v>
          </cell>
          <cell r="M1093">
            <v>46128</v>
          </cell>
        </row>
        <row r="1093">
          <cell r="P1093">
            <v>4483</v>
          </cell>
        </row>
        <row r="1093">
          <cell r="V1093">
            <v>15</v>
          </cell>
        </row>
        <row r="1093">
          <cell r="AA1093">
            <v>1221.4</v>
          </cell>
        </row>
        <row r="1094">
          <cell r="L1094">
            <v>6907</v>
          </cell>
          <cell r="M1094">
            <v>46128</v>
          </cell>
        </row>
        <row r="1094">
          <cell r="P1094">
            <v>4802</v>
          </cell>
        </row>
        <row r="1094">
          <cell r="V1094">
            <v>3</v>
          </cell>
        </row>
        <row r="1094">
          <cell r="AA1094">
            <v>93.51</v>
          </cell>
        </row>
        <row r="1095">
          <cell r="L1095">
            <v>6909</v>
          </cell>
          <cell r="M1095">
            <v>46128</v>
          </cell>
        </row>
        <row r="1095">
          <cell r="P1095">
            <v>4613</v>
          </cell>
        </row>
        <row r="1095">
          <cell r="V1095">
            <v>24</v>
          </cell>
        </row>
        <row r="1095">
          <cell r="AA1095">
            <v>710.1</v>
          </cell>
        </row>
        <row r="1096">
          <cell r="L1096">
            <v>7316</v>
          </cell>
          <cell r="M1096">
            <v>46128</v>
          </cell>
        </row>
        <row r="1096">
          <cell r="P1096">
            <v>4536</v>
          </cell>
        </row>
        <row r="1096">
          <cell r="V1096">
            <v>13</v>
          </cell>
        </row>
        <row r="1096">
          <cell r="AA1096">
            <v>1133.37</v>
          </cell>
        </row>
        <row r="1097">
          <cell r="L1097">
            <v>7422</v>
          </cell>
          <cell r="M1097">
            <v>46128</v>
          </cell>
        </row>
        <row r="1097">
          <cell r="P1097">
            <v>6267</v>
          </cell>
        </row>
        <row r="1097">
          <cell r="V1097">
            <v>52</v>
          </cell>
        </row>
        <row r="1097">
          <cell r="AA1097">
            <v>6834.76000000001</v>
          </cell>
        </row>
        <row r="1098">
          <cell r="L1098">
            <v>11876</v>
          </cell>
          <cell r="M1098">
            <v>46128</v>
          </cell>
        </row>
        <row r="1098">
          <cell r="P1098">
            <v>6027</v>
          </cell>
        </row>
        <row r="1098">
          <cell r="V1098">
            <v>5</v>
          </cell>
        </row>
        <row r="1098">
          <cell r="AA1098">
            <v>147.9</v>
          </cell>
        </row>
        <row r="1099">
          <cell r="L1099">
            <v>12303</v>
          </cell>
          <cell r="M1099">
            <v>46128</v>
          </cell>
        </row>
        <row r="1099">
          <cell r="P1099">
            <v>5958</v>
          </cell>
        </row>
        <row r="1099">
          <cell r="V1099">
            <v>31</v>
          </cell>
        </row>
        <row r="1099">
          <cell r="AA1099">
            <v>467.78</v>
          </cell>
        </row>
        <row r="1100">
          <cell r="L1100">
            <v>359</v>
          </cell>
          <cell r="M1100">
            <v>46128</v>
          </cell>
        </row>
        <row r="1100">
          <cell r="P1100">
            <v>5993</v>
          </cell>
        </row>
        <row r="1100">
          <cell r="V1100">
            <v>48</v>
          </cell>
        </row>
        <row r="1100">
          <cell r="AA1100">
            <v>871.650000000001</v>
          </cell>
        </row>
        <row r="1101">
          <cell r="L1101">
            <v>292</v>
          </cell>
          <cell r="M1101">
            <v>46128</v>
          </cell>
        </row>
        <row r="1101">
          <cell r="P1101">
            <v>4272</v>
          </cell>
        </row>
        <row r="1101">
          <cell r="V1101">
            <v>20</v>
          </cell>
        </row>
        <row r="1101">
          <cell r="AA1101">
            <v>1195.35</v>
          </cell>
        </row>
        <row r="1102">
          <cell r="L1102">
            <v>586</v>
          </cell>
          <cell r="M1102">
            <v>46128</v>
          </cell>
        </row>
        <row r="1102">
          <cell r="P1102">
            <v>5618</v>
          </cell>
        </row>
        <row r="1102">
          <cell r="V1102">
            <v>70</v>
          </cell>
        </row>
        <row r="1102">
          <cell r="AA1102">
            <v>1123.88</v>
          </cell>
        </row>
        <row r="1103">
          <cell r="L1103">
            <v>1203</v>
          </cell>
          <cell r="M1103">
            <v>46128</v>
          </cell>
        </row>
        <row r="1103">
          <cell r="P1103">
            <v>5619</v>
          </cell>
        </row>
        <row r="1103">
          <cell r="V1103">
            <v>24</v>
          </cell>
        </row>
        <row r="1103">
          <cell r="AA1103">
            <v>301.41</v>
          </cell>
        </row>
        <row r="1104">
          <cell r="L1104">
            <v>2518</v>
          </cell>
          <cell r="M1104">
            <v>46128</v>
          </cell>
        </row>
        <row r="1104">
          <cell r="P1104">
            <v>7242</v>
          </cell>
        </row>
        <row r="1104">
          <cell r="V1104">
            <v>24</v>
          </cell>
        </row>
        <row r="1104">
          <cell r="AA1104">
            <v>3597.64</v>
          </cell>
        </row>
        <row r="1105">
          <cell r="L1105">
            <v>2732</v>
          </cell>
          <cell r="M1105">
            <v>46128</v>
          </cell>
        </row>
        <row r="1105">
          <cell r="P1105">
            <v>6787</v>
          </cell>
        </row>
        <row r="1105">
          <cell r="V1105">
            <v>11</v>
          </cell>
        </row>
        <row r="1105">
          <cell r="AA1105">
            <v>2514.05</v>
          </cell>
        </row>
        <row r="1106">
          <cell r="L1106">
            <v>4647</v>
          </cell>
          <cell r="M1106">
            <v>46128</v>
          </cell>
        </row>
        <row r="1106">
          <cell r="P1106">
            <v>7686</v>
          </cell>
        </row>
        <row r="1106">
          <cell r="V1106">
            <v>17</v>
          </cell>
        </row>
        <row r="1106">
          <cell r="AA1106">
            <v>410.54</v>
          </cell>
        </row>
        <row r="1107">
          <cell r="L1107">
            <v>10060</v>
          </cell>
          <cell r="M1107">
            <v>46128</v>
          </cell>
        </row>
        <row r="1107">
          <cell r="P1107">
            <v>7443</v>
          </cell>
        </row>
        <row r="1107">
          <cell r="V1107">
            <v>8</v>
          </cell>
        </row>
        <row r="1107">
          <cell r="AA1107">
            <v>162.35</v>
          </cell>
        </row>
        <row r="1108">
          <cell r="L1108">
            <v>10089</v>
          </cell>
          <cell r="M1108">
            <v>46128</v>
          </cell>
        </row>
        <row r="1108">
          <cell r="P1108">
            <v>8354</v>
          </cell>
        </row>
        <row r="1108">
          <cell r="V1108">
            <v>105</v>
          </cell>
        </row>
        <row r="1108">
          <cell r="AA1108">
            <v>6369.22999999999</v>
          </cell>
        </row>
        <row r="1109">
          <cell r="L1109">
            <v>10920</v>
          </cell>
          <cell r="M1109">
            <v>46128</v>
          </cell>
        </row>
        <row r="1109">
          <cell r="P1109">
            <v>7965</v>
          </cell>
        </row>
        <row r="1109">
          <cell r="V1109">
            <v>23</v>
          </cell>
        </row>
        <row r="1109">
          <cell r="AA1109">
            <v>2062.9</v>
          </cell>
        </row>
        <row r="1110">
          <cell r="L1110">
            <v>11512</v>
          </cell>
          <cell r="M1110">
            <v>46128</v>
          </cell>
        </row>
        <row r="1110">
          <cell r="P1110">
            <v>5079</v>
          </cell>
        </row>
        <row r="1110">
          <cell r="V1110">
            <v>28</v>
          </cell>
        </row>
        <row r="1110">
          <cell r="AA1110">
            <v>1264.45</v>
          </cell>
        </row>
        <row r="1111">
          <cell r="L1111">
            <v>3183</v>
          </cell>
          <cell r="M1111">
            <v>46128</v>
          </cell>
        </row>
        <row r="1111">
          <cell r="P1111">
            <v>5439</v>
          </cell>
        </row>
        <row r="1111">
          <cell r="V1111">
            <v>13</v>
          </cell>
        </row>
        <row r="1111">
          <cell r="AA1111">
            <v>758.75</v>
          </cell>
        </row>
        <row r="1112">
          <cell r="L1112">
            <v>3715</v>
          </cell>
          <cell r="M1112">
            <v>46129</v>
          </cell>
        </row>
        <row r="1112">
          <cell r="P1112">
            <v>5509</v>
          </cell>
        </row>
        <row r="1112">
          <cell r="V1112">
            <v>25</v>
          </cell>
        </row>
        <row r="1112">
          <cell r="AA1112">
            <v>389.65</v>
          </cell>
        </row>
        <row r="1113">
          <cell r="L1113">
            <v>5092</v>
          </cell>
          <cell r="M1113">
            <v>46129</v>
          </cell>
        </row>
        <row r="1113">
          <cell r="P1113">
            <v>357</v>
          </cell>
        </row>
        <row r="1113">
          <cell r="V1113">
            <v>22</v>
          </cell>
        </row>
        <row r="1113">
          <cell r="AA1113">
            <v>773.18</v>
          </cell>
        </row>
        <row r="1114">
          <cell r="L1114">
            <v>6911</v>
          </cell>
          <cell r="M1114">
            <v>46129</v>
          </cell>
        </row>
        <row r="1114">
          <cell r="P1114">
            <v>6531</v>
          </cell>
        </row>
        <row r="1114">
          <cell r="V1114">
            <v>50</v>
          </cell>
        </row>
        <row r="1114">
          <cell r="AA1114">
            <v>2096.46</v>
          </cell>
        </row>
        <row r="1115">
          <cell r="L1115">
            <v>6913</v>
          </cell>
          <cell r="M1115">
            <v>46129</v>
          </cell>
        </row>
        <row r="1115">
          <cell r="P1115">
            <v>6532</v>
          </cell>
        </row>
        <row r="1115">
          <cell r="V1115">
            <v>5</v>
          </cell>
        </row>
        <row r="1115">
          <cell r="AA1115">
            <v>196.42</v>
          </cell>
        </row>
        <row r="1116">
          <cell r="L1116">
            <v>12304</v>
          </cell>
          <cell r="M1116">
            <v>46129</v>
          </cell>
        </row>
        <row r="1116">
          <cell r="P1116">
            <v>6977</v>
          </cell>
        </row>
        <row r="1116">
          <cell r="V1116">
            <v>4</v>
          </cell>
        </row>
        <row r="1116">
          <cell r="AA1116">
            <v>156.66</v>
          </cell>
        </row>
        <row r="1117">
          <cell r="L1117">
            <v>11922</v>
          </cell>
          <cell r="M1117">
            <v>46129</v>
          </cell>
        </row>
        <row r="1117">
          <cell r="P1117">
            <v>8350</v>
          </cell>
        </row>
        <row r="1117">
          <cell r="V1117">
            <v>16</v>
          </cell>
        </row>
        <row r="1117">
          <cell r="AA1117">
            <v>1197.29</v>
          </cell>
        </row>
        <row r="1118">
          <cell r="L1118">
            <v>11699</v>
          </cell>
          <cell r="M1118">
            <v>46129</v>
          </cell>
        </row>
        <row r="1118">
          <cell r="P1118">
            <v>491</v>
          </cell>
        </row>
        <row r="1118">
          <cell r="V1118">
            <v>46</v>
          </cell>
        </row>
        <row r="1118">
          <cell r="AA1118">
            <v>2691.04</v>
          </cell>
        </row>
        <row r="1119">
          <cell r="L1119">
            <v>12312</v>
          </cell>
          <cell r="M1119">
            <v>46129</v>
          </cell>
        </row>
        <row r="1119">
          <cell r="P1119">
            <v>1212</v>
          </cell>
        </row>
        <row r="1119">
          <cell r="V1119">
            <v>6</v>
          </cell>
        </row>
        <row r="1119">
          <cell r="AA1119">
            <v>149.47</v>
          </cell>
        </row>
        <row r="1120">
          <cell r="L1120">
            <v>2763</v>
          </cell>
          <cell r="M1120">
            <v>46129</v>
          </cell>
        </row>
        <row r="1120">
          <cell r="P1120">
            <v>3900</v>
          </cell>
        </row>
        <row r="1120">
          <cell r="V1120">
            <v>14</v>
          </cell>
        </row>
        <row r="1120">
          <cell r="AA1120">
            <v>1025.98</v>
          </cell>
        </row>
        <row r="1121">
          <cell r="L1121">
            <v>6909</v>
          </cell>
          <cell r="M1121">
            <v>46129</v>
          </cell>
        </row>
        <row r="1121">
          <cell r="P1121">
            <v>3516</v>
          </cell>
        </row>
        <row r="1121">
          <cell r="V1121">
            <v>4</v>
          </cell>
        </row>
        <row r="1121">
          <cell r="AA1121">
            <v>218.5</v>
          </cell>
        </row>
        <row r="1122">
          <cell r="L1122">
            <v>7194</v>
          </cell>
          <cell r="M1122">
            <v>46129</v>
          </cell>
        </row>
        <row r="1122">
          <cell r="P1122">
            <v>1753</v>
          </cell>
        </row>
        <row r="1122">
          <cell r="V1122">
            <v>9</v>
          </cell>
        </row>
        <row r="1122">
          <cell r="AA1122">
            <v>354.6</v>
          </cell>
        </row>
        <row r="1123">
          <cell r="L1123">
            <v>8126</v>
          </cell>
          <cell r="M1123">
            <v>46129</v>
          </cell>
        </row>
        <row r="1123">
          <cell r="P1123">
            <v>1437</v>
          </cell>
        </row>
        <row r="1123">
          <cell r="V1123">
            <v>15</v>
          </cell>
        </row>
        <row r="1123">
          <cell r="AA1123">
            <v>1987.48</v>
          </cell>
        </row>
        <row r="1124">
          <cell r="L1124">
            <v>985</v>
          </cell>
          <cell r="M1124">
            <v>46129</v>
          </cell>
        </row>
        <row r="1124">
          <cell r="P1124">
            <v>6465</v>
          </cell>
        </row>
        <row r="1124">
          <cell r="V1124">
            <v>16</v>
          </cell>
        </row>
        <row r="1124">
          <cell r="AA1124">
            <v>880.26</v>
          </cell>
        </row>
        <row r="1125">
          <cell r="L1125">
            <v>11100</v>
          </cell>
          <cell r="M1125">
            <v>46129</v>
          </cell>
        </row>
        <row r="1125">
          <cell r="P1125">
            <v>6559</v>
          </cell>
        </row>
        <row r="1125">
          <cell r="V1125">
            <v>29</v>
          </cell>
        </row>
        <row r="1125">
          <cell r="AA1125">
            <v>837.32</v>
          </cell>
        </row>
        <row r="1126">
          <cell r="L1126">
            <v>11455</v>
          </cell>
          <cell r="M1126">
            <v>46129</v>
          </cell>
        </row>
        <row r="1126">
          <cell r="P1126">
            <v>6990</v>
          </cell>
        </row>
        <row r="1126">
          <cell r="V1126">
            <v>1</v>
          </cell>
        </row>
        <row r="1126">
          <cell r="AA1126">
            <v>46.23</v>
          </cell>
        </row>
        <row r="1127">
          <cell r="L1127">
            <v>12388</v>
          </cell>
          <cell r="M1127">
            <v>46129</v>
          </cell>
        </row>
        <row r="1127">
          <cell r="P1127">
            <v>6991</v>
          </cell>
        </row>
        <row r="1127">
          <cell r="V1127">
            <v>39</v>
          </cell>
        </row>
        <row r="1127">
          <cell r="AA1127">
            <v>1493.61</v>
          </cell>
        </row>
        <row r="1128">
          <cell r="L1128">
            <v>2764</v>
          </cell>
          <cell r="M1128">
            <v>46129</v>
          </cell>
        </row>
        <row r="1128">
          <cell r="P1128">
            <v>7103</v>
          </cell>
        </row>
        <row r="1128">
          <cell r="V1128">
            <v>10</v>
          </cell>
        </row>
        <row r="1128">
          <cell r="AA1128">
            <v>476.8</v>
          </cell>
        </row>
        <row r="1129">
          <cell r="L1129">
            <v>4105</v>
          </cell>
          <cell r="M1129">
            <v>46129</v>
          </cell>
        </row>
        <row r="1129">
          <cell r="P1129">
            <v>7486</v>
          </cell>
        </row>
        <row r="1129">
          <cell r="V1129">
            <v>130</v>
          </cell>
        </row>
        <row r="1129">
          <cell r="AA1129">
            <v>1277.54</v>
          </cell>
        </row>
        <row r="1130">
          <cell r="L1130">
            <v>12248</v>
          </cell>
          <cell r="M1130">
            <v>46129</v>
          </cell>
        </row>
        <row r="1130">
          <cell r="P1130">
            <v>7918</v>
          </cell>
        </row>
        <row r="1130">
          <cell r="V1130">
            <v>9</v>
          </cell>
        </row>
        <row r="1130">
          <cell r="AA1130">
            <v>673.41</v>
          </cell>
        </row>
        <row r="1131">
          <cell r="L1131">
            <v>12368</v>
          </cell>
          <cell r="M1131">
            <v>46129</v>
          </cell>
        </row>
        <row r="1131">
          <cell r="P1131">
            <v>8053</v>
          </cell>
        </row>
        <row r="1131">
          <cell r="V1131">
            <v>2</v>
          </cell>
        </row>
        <row r="1131">
          <cell r="AA1131">
            <v>170.87</v>
          </cell>
        </row>
        <row r="1132">
          <cell r="L1132">
            <v>12396</v>
          </cell>
          <cell r="M1132">
            <v>46129</v>
          </cell>
        </row>
        <row r="1132">
          <cell r="P1132">
            <v>8088</v>
          </cell>
        </row>
        <row r="1132">
          <cell r="V1132">
            <v>16</v>
          </cell>
        </row>
        <row r="1132">
          <cell r="AA1132">
            <v>384.53</v>
          </cell>
        </row>
        <row r="1133">
          <cell r="L1133">
            <v>12426</v>
          </cell>
          <cell r="M1133">
            <v>46129</v>
          </cell>
        </row>
        <row r="1133">
          <cell r="P1133">
            <v>8124</v>
          </cell>
        </row>
        <row r="1133">
          <cell r="V1133">
            <v>6</v>
          </cell>
        </row>
        <row r="1133">
          <cell r="AA1133">
            <v>1117.86</v>
          </cell>
        </row>
        <row r="1134">
          <cell r="L1134">
            <v>12483</v>
          </cell>
          <cell r="M1134">
            <v>46129</v>
          </cell>
        </row>
        <row r="1134">
          <cell r="P1134">
            <v>8127</v>
          </cell>
        </row>
        <row r="1134">
          <cell r="V1134">
            <v>0</v>
          </cell>
        </row>
        <row r="1134">
          <cell r="AA1134">
            <v>0</v>
          </cell>
        </row>
        <row r="1135">
          <cell r="L1135">
            <v>12484</v>
          </cell>
          <cell r="M1135">
            <v>46129</v>
          </cell>
        </row>
        <row r="1135">
          <cell r="P1135">
            <v>8201</v>
          </cell>
        </row>
        <row r="1135">
          <cell r="V1135">
            <v>3</v>
          </cell>
        </row>
        <row r="1135">
          <cell r="AA1135">
            <v>102.96</v>
          </cell>
        </row>
        <row r="1136">
          <cell r="L1136">
            <v>8781</v>
          </cell>
          <cell r="M1136">
            <v>46129</v>
          </cell>
        </row>
        <row r="1136">
          <cell r="P1136">
            <v>8213</v>
          </cell>
        </row>
        <row r="1136">
          <cell r="V1136">
            <v>15</v>
          </cell>
        </row>
        <row r="1136">
          <cell r="AA1136">
            <v>393.44</v>
          </cell>
        </row>
        <row r="1137">
          <cell r="L1137">
            <v>955</v>
          </cell>
          <cell r="M1137">
            <v>46129</v>
          </cell>
        </row>
        <row r="1137">
          <cell r="P1137">
            <v>8277</v>
          </cell>
        </row>
        <row r="1137">
          <cell r="V1137">
            <v>13</v>
          </cell>
        </row>
        <row r="1137">
          <cell r="AA1137">
            <v>507.53</v>
          </cell>
        </row>
        <row r="1138">
          <cell r="L1138">
            <v>3757</v>
          </cell>
          <cell r="M1138">
            <v>46129</v>
          </cell>
        </row>
        <row r="1138">
          <cell r="P1138">
            <v>8307</v>
          </cell>
        </row>
        <row r="1138">
          <cell r="V1138">
            <v>7</v>
          </cell>
        </row>
        <row r="1138">
          <cell r="AA1138">
            <v>495.85</v>
          </cell>
        </row>
        <row r="1139">
          <cell r="L1139">
            <v>10009</v>
          </cell>
          <cell r="M1139">
            <v>46129</v>
          </cell>
        </row>
        <row r="1139">
          <cell r="P1139">
            <v>8333</v>
          </cell>
        </row>
        <row r="1139">
          <cell r="V1139">
            <v>8</v>
          </cell>
        </row>
        <row r="1139">
          <cell r="AA1139">
            <v>792.48</v>
          </cell>
        </row>
        <row r="1140">
          <cell r="L1140">
            <v>2993</v>
          </cell>
          <cell r="M1140">
            <v>46129</v>
          </cell>
        </row>
        <row r="1140">
          <cell r="P1140">
            <v>8338</v>
          </cell>
        </row>
        <row r="1140">
          <cell r="V1140">
            <v>4</v>
          </cell>
        </row>
        <row r="1140">
          <cell r="AA1140">
            <v>793.04</v>
          </cell>
        </row>
        <row r="1141">
          <cell r="L1141">
            <v>9174</v>
          </cell>
          <cell r="M1141">
            <v>46129</v>
          </cell>
        </row>
        <row r="1141">
          <cell r="P1141">
            <v>8359</v>
          </cell>
        </row>
        <row r="1141">
          <cell r="V1141">
            <v>53</v>
          </cell>
        </row>
        <row r="1141">
          <cell r="AA1141">
            <v>2620.27</v>
          </cell>
        </row>
        <row r="1142">
          <cell r="L1142">
            <v>12250</v>
          </cell>
          <cell r="M1142">
            <v>46129</v>
          </cell>
        </row>
        <row r="1142">
          <cell r="P1142">
            <v>8366</v>
          </cell>
        </row>
        <row r="1142">
          <cell r="V1142">
            <v>20</v>
          </cell>
        </row>
        <row r="1142">
          <cell r="AA1142">
            <v>757.8</v>
          </cell>
        </row>
        <row r="1143">
          <cell r="L1143">
            <v>3760</v>
          </cell>
          <cell r="M1143">
            <v>46129</v>
          </cell>
        </row>
        <row r="1143">
          <cell r="P1143">
            <v>8373</v>
          </cell>
        </row>
        <row r="1143">
          <cell r="V1143">
            <v>3</v>
          </cell>
        </row>
        <row r="1143">
          <cell r="AA1143">
            <v>141.15</v>
          </cell>
        </row>
        <row r="1144">
          <cell r="L1144">
            <v>1714</v>
          </cell>
          <cell r="M1144">
            <v>46129</v>
          </cell>
        </row>
        <row r="1144">
          <cell r="P1144">
            <v>8429</v>
          </cell>
        </row>
        <row r="1144">
          <cell r="V1144">
            <v>12</v>
          </cell>
        </row>
        <row r="1144">
          <cell r="AA1144">
            <v>612.24</v>
          </cell>
        </row>
        <row r="1145">
          <cell r="L1145">
            <v>12251</v>
          </cell>
          <cell r="M1145">
            <v>46129</v>
          </cell>
        </row>
        <row r="1145">
          <cell r="P1145">
            <v>8483</v>
          </cell>
        </row>
        <row r="1145">
          <cell r="V1145">
            <v>21</v>
          </cell>
        </row>
        <row r="1145">
          <cell r="AA1145">
            <v>921.12</v>
          </cell>
        </row>
        <row r="1146">
          <cell r="L1146">
            <v>12087</v>
          </cell>
          <cell r="M1146">
            <v>46129</v>
          </cell>
        </row>
        <row r="1146">
          <cell r="P1146">
            <v>467</v>
          </cell>
        </row>
        <row r="1146">
          <cell r="V1146">
            <v>9</v>
          </cell>
        </row>
        <row r="1146">
          <cell r="AA1146">
            <v>1616.95</v>
          </cell>
        </row>
        <row r="1147">
          <cell r="L1147">
            <v>9806</v>
          </cell>
          <cell r="M1147">
            <v>46129</v>
          </cell>
        </row>
        <row r="1147">
          <cell r="P1147">
            <v>12386</v>
          </cell>
        </row>
        <row r="1147">
          <cell r="V1147">
            <v>5</v>
          </cell>
        </row>
        <row r="1147">
          <cell r="AA1147">
            <v>152.35</v>
          </cell>
        </row>
        <row r="1148">
          <cell r="L1148">
            <v>1696</v>
          </cell>
          <cell r="M1148">
            <v>46129</v>
          </cell>
        </row>
        <row r="1148">
          <cell r="P1148">
            <v>12414</v>
          </cell>
        </row>
        <row r="1148">
          <cell r="V1148">
            <v>1</v>
          </cell>
        </row>
        <row r="1148">
          <cell r="AA1148">
            <v>250</v>
          </cell>
        </row>
        <row r="1149">
          <cell r="L1149">
            <v>3646</v>
          </cell>
          <cell r="M1149">
            <v>46129</v>
          </cell>
        </row>
        <row r="1149">
          <cell r="P1149">
            <v>12422</v>
          </cell>
        </row>
        <row r="1149">
          <cell r="V1149">
            <v>0</v>
          </cell>
        </row>
        <row r="1149">
          <cell r="AA1149">
            <v>0</v>
          </cell>
        </row>
        <row r="1150">
          <cell r="L1150">
            <v>1122</v>
          </cell>
          <cell r="M1150">
            <v>46129</v>
          </cell>
        </row>
        <row r="1150">
          <cell r="P1150">
            <v>12424</v>
          </cell>
        </row>
        <row r="1150">
          <cell r="V1150">
            <v>0</v>
          </cell>
        </row>
        <row r="1150">
          <cell r="AA1150">
            <v>0</v>
          </cell>
        </row>
        <row r="1151">
          <cell r="L1151">
            <v>4610</v>
          </cell>
          <cell r="M1151">
            <v>46129</v>
          </cell>
        </row>
        <row r="1151">
          <cell r="P1151">
            <v>12426</v>
          </cell>
        </row>
        <row r="1151">
          <cell r="V1151">
            <v>24</v>
          </cell>
        </row>
        <row r="1151">
          <cell r="AA1151">
            <v>1560</v>
          </cell>
        </row>
        <row r="1152">
          <cell r="L1152">
            <v>4794</v>
          </cell>
          <cell r="M1152">
            <v>46129</v>
          </cell>
        </row>
        <row r="1152">
          <cell r="P1152">
            <v>12429</v>
          </cell>
        </row>
        <row r="1152">
          <cell r="V1152">
            <v>3</v>
          </cell>
        </row>
        <row r="1152">
          <cell r="AA1152">
            <v>765</v>
          </cell>
        </row>
        <row r="1153">
          <cell r="L1153">
            <v>1691</v>
          </cell>
          <cell r="M1153">
            <v>46129</v>
          </cell>
        </row>
        <row r="1153">
          <cell r="P1153">
            <v>12474</v>
          </cell>
        </row>
        <row r="1153">
          <cell r="V1153">
            <v>9</v>
          </cell>
        </row>
        <row r="1153">
          <cell r="AA1153">
            <v>769.5</v>
          </cell>
        </row>
        <row r="1154">
          <cell r="L1154">
            <v>1118</v>
          </cell>
          <cell r="M1154">
            <v>46129</v>
          </cell>
        </row>
        <row r="1154">
          <cell r="P1154">
            <v>12483</v>
          </cell>
        </row>
        <row r="1154">
          <cell r="V1154">
            <v>6</v>
          </cell>
        </row>
        <row r="1154">
          <cell r="AA1154">
            <v>725.4</v>
          </cell>
        </row>
        <row r="1155">
          <cell r="L1155">
            <v>1032</v>
          </cell>
          <cell r="M1155">
            <v>46129</v>
          </cell>
        </row>
        <row r="1155">
          <cell r="P1155">
            <v>12484</v>
          </cell>
        </row>
        <row r="1155">
          <cell r="V1155">
            <v>11</v>
          </cell>
        </row>
        <row r="1155">
          <cell r="AA1155">
            <v>1272.2</v>
          </cell>
        </row>
        <row r="1156">
          <cell r="L1156">
            <v>7119</v>
          </cell>
          <cell r="M1156">
            <v>46129</v>
          </cell>
        </row>
        <row r="1156">
          <cell r="P1156">
            <v>12461</v>
          </cell>
        </row>
        <row r="1156">
          <cell r="V1156">
            <v>11</v>
          </cell>
        </row>
        <row r="1156">
          <cell r="AA1156">
            <v>1309</v>
          </cell>
        </row>
        <row r="1157">
          <cell r="L1157">
            <v>656</v>
          </cell>
          <cell r="M1157">
            <v>46129</v>
          </cell>
        </row>
        <row r="1157">
          <cell r="P1157">
            <v>12489</v>
          </cell>
        </row>
        <row r="1157">
          <cell r="V1157">
            <v>20</v>
          </cell>
        </row>
        <row r="1157">
          <cell r="AA1157">
            <v>900</v>
          </cell>
        </row>
        <row r="1158">
          <cell r="L1158">
            <v>565</v>
          </cell>
          <cell r="M1158">
            <v>46129</v>
          </cell>
        </row>
        <row r="1158">
          <cell r="P1158">
            <v>12480</v>
          </cell>
        </row>
        <row r="1158">
          <cell r="V1158">
            <v>1</v>
          </cell>
        </row>
        <row r="1158">
          <cell r="AA1158">
            <v>45</v>
          </cell>
        </row>
        <row r="1159">
          <cell r="L1159">
            <v>9517</v>
          </cell>
          <cell r="M1159">
            <v>46129</v>
          </cell>
        </row>
        <row r="1159">
          <cell r="P1159">
            <v>12558</v>
          </cell>
        </row>
        <row r="1159">
          <cell r="V1159">
            <v>4</v>
          </cell>
        </row>
        <row r="1159">
          <cell r="AA1159">
            <v>340</v>
          </cell>
        </row>
        <row r="1160">
          <cell r="L1160">
            <v>11262</v>
          </cell>
          <cell r="M1160">
            <v>46129</v>
          </cell>
        </row>
        <row r="1160">
          <cell r="P1160">
            <v>12473</v>
          </cell>
        </row>
        <row r="1160">
          <cell r="V1160">
            <v>14</v>
          </cell>
        </row>
        <row r="1160">
          <cell r="AA1160">
            <v>1388.6</v>
          </cell>
        </row>
        <row r="1161">
          <cell r="L1161">
            <v>654</v>
          </cell>
          <cell r="M1161">
            <v>46129</v>
          </cell>
        </row>
        <row r="1161">
          <cell r="P1161">
            <v>12464</v>
          </cell>
        </row>
        <row r="1161">
          <cell r="V1161">
            <v>5</v>
          </cell>
        </row>
        <row r="1161">
          <cell r="AA1161">
            <v>625</v>
          </cell>
        </row>
        <row r="1162">
          <cell r="L1162">
            <v>8620</v>
          </cell>
          <cell r="M1162">
            <v>46129</v>
          </cell>
        </row>
        <row r="1162">
          <cell r="P1162">
            <v>12540</v>
          </cell>
        </row>
        <row r="1162">
          <cell r="V1162">
            <v>4</v>
          </cell>
        </row>
        <row r="1162">
          <cell r="AA1162">
            <v>252</v>
          </cell>
        </row>
        <row r="1163">
          <cell r="L1163">
            <v>954</v>
          </cell>
          <cell r="M1163">
            <v>46129</v>
          </cell>
        </row>
        <row r="1163">
          <cell r="P1163">
            <v>12541</v>
          </cell>
        </row>
        <row r="1163">
          <cell r="V1163">
            <v>7</v>
          </cell>
        </row>
        <row r="1163">
          <cell r="AA1163">
            <v>1050</v>
          </cell>
        </row>
        <row r="1164">
          <cell r="L1164">
            <v>290</v>
          </cell>
          <cell r="M1164">
            <v>46129</v>
          </cell>
        </row>
        <row r="1164">
          <cell r="P1164">
            <v>12542</v>
          </cell>
        </row>
        <row r="1164">
          <cell r="V1164">
            <v>0</v>
          </cell>
        </row>
        <row r="1164">
          <cell r="AA1164">
            <v>0</v>
          </cell>
        </row>
        <row r="1165">
          <cell r="L1165">
            <v>1694</v>
          </cell>
          <cell r="M1165">
            <v>46129</v>
          </cell>
        </row>
        <row r="1165">
          <cell r="P1165">
            <v>12543</v>
          </cell>
        </row>
        <row r="1165">
          <cell r="V1165">
            <v>2</v>
          </cell>
        </row>
        <row r="1165">
          <cell r="AA1165">
            <v>300</v>
          </cell>
        </row>
        <row r="1166">
          <cell r="L1166">
            <v>2485</v>
          </cell>
          <cell r="M1166">
            <v>46129</v>
          </cell>
        </row>
        <row r="1166">
          <cell r="P1166">
            <v>12544</v>
          </cell>
        </row>
        <row r="1166">
          <cell r="V1166">
            <v>8</v>
          </cell>
        </row>
        <row r="1166">
          <cell r="AA1166">
            <v>1200</v>
          </cell>
        </row>
        <row r="1167">
          <cell r="L1167">
            <v>4072</v>
          </cell>
          <cell r="M1167">
            <v>46129</v>
          </cell>
        </row>
        <row r="1167">
          <cell r="P1167">
            <v>12612</v>
          </cell>
        </row>
        <row r="1167">
          <cell r="V1167">
            <v>2</v>
          </cell>
        </row>
        <row r="1167">
          <cell r="AA1167">
            <v>330</v>
          </cell>
        </row>
        <row r="1168">
          <cell r="L1168">
            <v>9156</v>
          </cell>
          <cell r="M1168">
            <v>46129</v>
          </cell>
        </row>
        <row r="1168">
          <cell r="P1168">
            <v>12651</v>
          </cell>
        </row>
        <row r="1168">
          <cell r="V1168">
            <v>8</v>
          </cell>
        </row>
        <row r="1168">
          <cell r="AA1168">
            <v>712</v>
          </cell>
        </row>
        <row r="1169">
          <cell r="L1169">
            <v>9731</v>
          </cell>
          <cell r="M1169">
            <v>46129</v>
          </cell>
        </row>
        <row r="1169">
          <cell r="P1169">
            <v>12604</v>
          </cell>
        </row>
        <row r="1169">
          <cell r="V1169">
            <v>2</v>
          </cell>
        </row>
        <row r="1169">
          <cell r="AA1169">
            <v>284</v>
          </cell>
        </row>
        <row r="1170">
          <cell r="L1170">
            <v>9686</v>
          </cell>
          <cell r="M1170">
            <v>46129</v>
          </cell>
        </row>
        <row r="1170">
          <cell r="P1170">
            <v>12526</v>
          </cell>
        </row>
        <row r="1170">
          <cell r="V1170">
            <v>4</v>
          </cell>
        </row>
        <row r="1170">
          <cell r="AA1170">
            <v>620</v>
          </cell>
        </row>
        <row r="1171">
          <cell r="L1171">
            <v>11193</v>
          </cell>
          <cell r="M1171">
            <v>46129</v>
          </cell>
        </row>
        <row r="1171">
          <cell r="P1171">
            <v>12590</v>
          </cell>
        </row>
        <row r="1171">
          <cell r="V1171">
            <v>6</v>
          </cell>
        </row>
        <row r="1171">
          <cell r="AA1171">
            <v>750</v>
          </cell>
        </row>
        <row r="1172">
          <cell r="L1172">
            <v>11290</v>
          </cell>
          <cell r="M1172">
            <v>46129</v>
          </cell>
        </row>
        <row r="1172">
          <cell r="P1172">
            <v>12586</v>
          </cell>
        </row>
        <row r="1172">
          <cell r="V1172">
            <v>11</v>
          </cell>
        </row>
        <row r="1172">
          <cell r="AA1172">
            <v>769.74</v>
          </cell>
        </row>
        <row r="1173">
          <cell r="L1173">
            <v>11826</v>
          </cell>
          <cell r="M1173">
            <v>46129</v>
          </cell>
        </row>
        <row r="1173">
          <cell r="P1173">
            <v>12615</v>
          </cell>
        </row>
        <row r="1173">
          <cell r="V1173">
            <v>1</v>
          </cell>
        </row>
        <row r="1173">
          <cell r="AA1173">
            <v>95</v>
          </cell>
        </row>
        <row r="1174">
          <cell r="L1174">
            <v>11833</v>
          </cell>
          <cell r="M1174">
            <v>46129</v>
          </cell>
        </row>
        <row r="1174">
          <cell r="P1174">
            <v>12616</v>
          </cell>
        </row>
        <row r="1174">
          <cell r="V1174">
            <v>3</v>
          </cell>
        </row>
        <row r="1174">
          <cell r="AA1174">
            <v>285</v>
          </cell>
        </row>
        <row r="1175">
          <cell r="L1175">
            <v>11998</v>
          </cell>
          <cell r="M1175">
            <v>46129</v>
          </cell>
        </row>
        <row r="1175">
          <cell r="P1175">
            <v>12572</v>
          </cell>
        </row>
        <row r="1175">
          <cell r="V1175">
            <v>4</v>
          </cell>
        </row>
        <row r="1175">
          <cell r="AA1175">
            <v>240</v>
          </cell>
        </row>
        <row r="1176">
          <cell r="L1176">
            <v>6912</v>
          </cell>
          <cell r="M1176">
            <v>46129</v>
          </cell>
        </row>
        <row r="1176">
          <cell r="P1176">
            <v>12573</v>
          </cell>
        </row>
        <row r="1176">
          <cell r="V1176">
            <v>4</v>
          </cell>
        </row>
        <row r="1176">
          <cell r="AA1176">
            <v>240</v>
          </cell>
        </row>
        <row r="1177">
          <cell r="L1177">
            <v>1446</v>
          </cell>
          <cell r="M1177">
            <v>46129</v>
          </cell>
        </row>
        <row r="1177">
          <cell r="P1177">
            <v>12650</v>
          </cell>
        </row>
        <row r="1177">
          <cell r="V1177">
            <v>2</v>
          </cell>
        </row>
        <row r="1177">
          <cell r="AA1177">
            <v>159.8</v>
          </cell>
        </row>
        <row r="1178">
          <cell r="L1178">
            <v>6162</v>
          </cell>
          <cell r="M1178">
            <v>46129</v>
          </cell>
        </row>
        <row r="1178">
          <cell r="P1178">
            <v>12649</v>
          </cell>
        </row>
        <row r="1178">
          <cell r="V1178">
            <v>4</v>
          </cell>
        </row>
        <row r="1178">
          <cell r="AA1178">
            <v>480</v>
          </cell>
        </row>
        <row r="1179">
          <cell r="L1179">
            <v>1447</v>
          </cell>
          <cell r="M1179">
            <v>46129</v>
          </cell>
        </row>
        <row r="1179">
          <cell r="P1179">
            <v>12629</v>
          </cell>
        </row>
        <row r="1179">
          <cell r="V1179">
            <v>7</v>
          </cell>
        </row>
        <row r="1179">
          <cell r="AA1179">
            <v>245</v>
          </cell>
        </row>
        <row r="1180">
          <cell r="L1180">
            <v>8988</v>
          </cell>
          <cell r="M1180">
            <v>46129</v>
          </cell>
        </row>
        <row r="1180">
          <cell r="P1180">
            <v>12591</v>
          </cell>
        </row>
        <row r="1180">
          <cell r="V1180">
            <v>6</v>
          </cell>
        </row>
        <row r="1180">
          <cell r="AA1180">
            <v>750</v>
          </cell>
        </row>
        <row r="1181">
          <cell r="L1181">
            <v>8087</v>
          </cell>
          <cell r="M1181">
            <v>46129</v>
          </cell>
        </row>
        <row r="1181">
          <cell r="P1181">
            <v>12606</v>
          </cell>
        </row>
        <row r="1181">
          <cell r="V1181">
            <v>0</v>
          </cell>
        </row>
        <row r="1181">
          <cell r="AA1181">
            <v>0</v>
          </cell>
        </row>
        <row r="1182">
          <cell r="L1182">
            <v>9561</v>
          </cell>
          <cell r="M1182">
            <v>46129</v>
          </cell>
        </row>
        <row r="1182">
          <cell r="P1182">
            <v>12614</v>
          </cell>
        </row>
        <row r="1182">
          <cell r="V1182">
            <v>8</v>
          </cell>
        </row>
        <row r="1182">
          <cell r="AA1182">
            <v>1032</v>
          </cell>
        </row>
        <row r="1183">
          <cell r="L1183">
            <v>9584</v>
          </cell>
          <cell r="M1183">
            <v>46129</v>
          </cell>
        </row>
        <row r="1183">
          <cell r="P1183">
            <v>12632</v>
          </cell>
        </row>
        <row r="1183">
          <cell r="V1183">
            <v>0</v>
          </cell>
        </row>
        <row r="1183">
          <cell r="AA1183">
            <v>0</v>
          </cell>
        </row>
        <row r="1184">
          <cell r="L1184">
            <v>9491</v>
          </cell>
          <cell r="M1184">
            <v>46129</v>
          </cell>
        </row>
        <row r="1184">
          <cell r="P1184">
            <v>12631</v>
          </cell>
        </row>
        <row r="1184">
          <cell r="V1184">
            <v>17</v>
          </cell>
        </row>
        <row r="1184">
          <cell r="AA1184">
            <v>2125</v>
          </cell>
        </row>
        <row r="1185">
          <cell r="L1185">
            <v>8681</v>
          </cell>
          <cell r="M1185">
            <v>46129</v>
          </cell>
        </row>
        <row r="1185">
          <cell r="P1185">
            <v>12630</v>
          </cell>
        </row>
        <row r="1185">
          <cell r="V1185">
            <v>4</v>
          </cell>
        </row>
        <row r="1185">
          <cell r="AA1185">
            <v>980</v>
          </cell>
        </row>
        <row r="1186">
          <cell r="L1186">
            <v>9696</v>
          </cell>
          <cell r="M1186">
            <v>46129</v>
          </cell>
        </row>
        <row r="1186">
          <cell r="P1186">
            <v>12587</v>
          </cell>
        </row>
        <row r="1186">
          <cell r="V1186">
            <v>11</v>
          </cell>
        </row>
        <row r="1186">
          <cell r="AA1186">
            <v>468.87</v>
          </cell>
        </row>
        <row r="1187">
          <cell r="L1187">
            <v>1188</v>
          </cell>
          <cell r="M1187">
            <v>46129</v>
          </cell>
        </row>
        <row r="1187">
          <cell r="P1187">
            <v>12569</v>
          </cell>
        </row>
        <row r="1187">
          <cell r="V1187">
            <v>1</v>
          </cell>
        </row>
        <row r="1187">
          <cell r="AA1187">
            <v>45</v>
          </cell>
        </row>
        <row r="1188">
          <cell r="L1188">
            <v>5787</v>
          </cell>
          <cell r="M1188">
            <v>46129</v>
          </cell>
        </row>
        <row r="1188">
          <cell r="P1188">
            <v>12575</v>
          </cell>
        </row>
        <row r="1188">
          <cell r="V1188">
            <v>2</v>
          </cell>
        </row>
        <row r="1188">
          <cell r="AA1188">
            <v>130</v>
          </cell>
        </row>
        <row r="1189">
          <cell r="L1189">
            <v>9316</v>
          </cell>
          <cell r="M1189">
            <v>46129</v>
          </cell>
        </row>
        <row r="1189">
          <cell r="P1189">
            <v>12574</v>
          </cell>
        </row>
        <row r="1189">
          <cell r="V1189">
            <v>4</v>
          </cell>
        </row>
        <row r="1189">
          <cell r="AA1189">
            <v>260</v>
          </cell>
        </row>
        <row r="1190">
          <cell r="L1190">
            <v>8485</v>
          </cell>
          <cell r="M1190">
            <v>46129</v>
          </cell>
        </row>
        <row r="1190">
          <cell r="P1190">
            <v>12532</v>
          </cell>
        </row>
        <row r="1190">
          <cell r="V1190">
            <v>0</v>
          </cell>
        </row>
        <row r="1190">
          <cell r="AA1190">
            <v>0</v>
          </cell>
        </row>
        <row r="1191">
          <cell r="L1191">
            <v>8686</v>
          </cell>
          <cell r="M1191">
            <v>46129</v>
          </cell>
        </row>
        <row r="1191">
          <cell r="P1191">
            <v>12713</v>
          </cell>
        </row>
        <row r="1191">
          <cell r="V1191">
            <v>5</v>
          </cell>
        </row>
        <row r="1191">
          <cell r="AA1191">
            <v>695</v>
          </cell>
        </row>
        <row r="1192">
          <cell r="L1192">
            <v>4261</v>
          </cell>
          <cell r="M1192">
            <v>46129</v>
          </cell>
        </row>
        <row r="1192">
          <cell r="P1192">
            <v>12732</v>
          </cell>
        </row>
        <row r="1192">
          <cell r="V1192">
            <v>1</v>
          </cell>
        </row>
        <row r="1192">
          <cell r="AA1192">
            <v>109</v>
          </cell>
        </row>
        <row r="1193">
          <cell r="L1193">
            <v>5310</v>
          </cell>
          <cell r="M1193">
            <v>46129</v>
          </cell>
        </row>
        <row r="1193">
          <cell r="P1193">
            <v>12658</v>
          </cell>
        </row>
        <row r="1193">
          <cell r="V1193">
            <v>11</v>
          </cell>
        </row>
        <row r="1193">
          <cell r="AA1193">
            <v>1023</v>
          </cell>
        </row>
        <row r="1194">
          <cell r="L1194">
            <v>8681</v>
          </cell>
          <cell r="M1194">
            <v>46129</v>
          </cell>
        </row>
        <row r="1194">
          <cell r="P1194">
            <v>12741</v>
          </cell>
        </row>
        <row r="1194">
          <cell r="V1194">
            <v>1</v>
          </cell>
        </row>
        <row r="1194">
          <cell r="AA1194">
            <v>96</v>
          </cell>
        </row>
        <row r="1195">
          <cell r="L1195">
            <v>9064</v>
          </cell>
          <cell r="M1195">
            <v>46129</v>
          </cell>
        </row>
        <row r="1195">
          <cell r="P1195">
            <v>12740</v>
          </cell>
        </row>
        <row r="1195">
          <cell r="V1195">
            <v>3</v>
          </cell>
        </row>
        <row r="1195">
          <cell r="AA1195">
            <v>297</v>
          </cell>
        </row>
        <row r="1196">
          <cell r="L1196">
            <v>9065</v>
          </cell>
          <cell r="M1196">
            <v>46129</v>
          </cell>
        </row>
        <row r="1196">
          <cell r="P1196">
            <v>12743</v>
          </cell>
        </row>
        <row r="1196">
          <cell r="V1196">
            <v>2</v>
          </cell>
        </row>
        <row r="1196">
          <cell r="AA1196">
            <v>240</v>
          </cell>
        </row>
        <row r="1197">
          <cell r="L1197">
            <v>11405</v>
          </cell>
          <cell r="M1197">
            <v>46129</v>
          </cell>
        </row>
        <row r="1197">
          <cell r="P1197">
            <v>12742</v>
          </cell>
        </row>
        <row r="1197">
          <cell r="V1197">
            <v>0</v>
          </cell>
        </row>
        <row r="1197">
          <cell r="AA1197">
            <v>0</v>
          </cell>
        </row>
        <row r="1198">
          <cell r="L1198">
            <v>12058</v>
          </cell>
          <cell r="M1198">
            <v>46129</v>
          </cell>
        </row>
        <row r="1198">
          <cell r="P1198">
            <v>12595</v>
          </cell>
        </row>
        <row r="1198">
          <cell r="V1198">
            <v>6</v>
          </cell>
        </row>
        <row r="1198">
          <cell r="AA1198">
            <v>570</v>
          </cell>
        </row>
        <row r="1199">
          <cell r="L1199">
            <v>8840</v>
          </cell>
          <cell r="M1199">
            <v>46129</v>
          </cell>
        </row>
        <row r="1199">
          <cell r="P1199">
            <v>12588</v>
          </cell>
        </row>
        <row r="1199">
          <cell r="V1199">
            <v>2</v>
          </cell>
        </row>
        <row r="1199">
          <cell r="AA1199">
            <v>210</v>
          </cell>
        </row>
        <row r="1200">
          <cell r="L1200">
            <v>9117</v>
          </cell>
          <cell r="M1200">
            <v>46129</v>
          </cell>
        </row>
        <row r="1200">
          <cell r="P1200">
            <v>12596</v>
          </cell>
        </row>
        <row r="1200">
          <cell r="V1200">
            <v>7</v>
          </cell>
        </row>
        <row r="1200">
          <cell r="AA1200">
            <v>805</v>
          </cell>
        </row>
        <row r="1201">
          <cell r="L1201">
            <v>9302</v>
          </cell>
          <cell r="M1201">
            <v>46129</v>
          </cell>
        </row>
        <row r="1201">
          <cell r="P1201">
            <v>12589</v>
          </cell>
        </row>
        <row r="1201">
          <cell r="V1201">
            <v>2</v>
          </cell>
        </row>
        <row r="1201">
          <cell r="AA1201">
            <v>250</v>
          </cell>
        </row>
        <row r="1202">
          <cell r="L1202">
            <v>8841</v>
          </cell>
          <cell r="M1202">
            <v>46129</v>
          </cell>
        </row>
        <row r="1202">
          <cell r="P1202">
            <v>12597</v>
          </cell>
        </row>
        <row r="1202">
          <cell r="V1202">
            <v>2</v>
          </cell>
        </row>
        <row r="1202">
          <cell r="AA1202">
            <v>230</v>
          </cell>
        </row>
        <row r="1203">
          <cell r="L1203">
            <v>9494</v>
          </cell>
          <cell r="M1203">
            <v>46129</v>
          </cell>
        </row>
        <row r="1203">
          <cell r="P1203">
            <v>12598</v>
          </cell>
        </row>
        <row r="1203">
          <cell r="V1203">
            <v>1</v>
          </cell>
        </row>
        <row r="1203">
          <cell r="AA1203">
            <v>100</v>
          </cell>
        </row>
        <row r="1204">
          <cell r="L1204">
            <v>7242</v>
          </cell>
          <cell r="M1204">
            <v>46129</v>
          </cell>
        </row>
        <row r="1204">
          <cell r="P1204">
            <v>12833</v>
          </cell>
        </row>
        <row r="1204">
          <cell r="V1204">
            <v>25</v>
          </cell>
        </row>
        <row r="1204">
          <cell r="AA1204">
            <v>2200</v>
          </cell>
        </row>
        <row r="1205">
          <cell r="L1205">
            <v>5542</v>
          </cell>
          <cell r="M1205">
            <v>46129</v>
          </cell>
        </row>
        <row r="1205">
          <cell r="P1205">
            <v>12519</v>
          </cell>
        </row>
        <row r="1205">
          <cell r="V1205">
            <v>3</v>
          </cell>
        </row>
        <row r="1205">
          <cell r="AA1205">
            <v>327</v>
          </cell>
        </row>
        <row r="1206">
          <cell r="L1206">
            <v>12005</v>
          </cell>
          <cell r="M1206">
            <v>46129</v>
          </cell>
        </row>
        <row r="1206">
          <cell r="P1206">
            <v>12686</v>
          </cell>
        </row>
        <row r="1206">
          <cell r="V1206">
            <v>7</v>
          </cell>
        </row>
        <row r="1206">
          <cell r="AA1206">
            <v>385</v>
          </cell>
        </row>
        <row r="1207">
          <cell r="L1207">
            <v>12006</v>
          </cell>
          <cell r="M1207">
            <v>46129</v>
          </cell>
        </row>
        <row r="1207">
          <cell r="P1207">
            <v>12687</v>
          </cell>
        </row>
        <row r="1207">
          <cell r="V1207">
            <v>4</v>
          </cell>
        </row>
        <row r="1207">
          <cell r="AA1207">
            <v>220</v>
          </cell>
        </row>
        <row r="1208">
          <cell r="L1208">
            <v>4657</v>
          </cell>
          <cell r="M1208">
            <v>46129</v>
          </cell>
        </row>
        <row r="1208">
          <cell r="P1208">
            <v>12701</v>
          </cell>
        </row>
        <row r="1208">
          <cell r="V1208">
            <v>6</v>
          </cell>
        </row>
        <row r="1208">
          <cell r="AA1208">
            <v>570</v>
          </cell>
        </row>
        <row r="1209">
          <cell r="L1209">
            <v>12085</v>
          </cell>
          <cell r="M1209">
            <v>46129</v>
          </cell>
        </row>
        <row r="1209">
          <cell r="P1209">
            <v>12700</v>
          </cell>
        </row>
        <row r="1209">
          <cell r="V1209">
            <v>6</v>
          </cell>
        </row>
        <row r="1209">
          <cell r="AA1209">
            <v>570</v>
          </cell>
        </row>
        <row r="1210">
          <cell r="L1210">
            <v>12086</v>
          </cell>
          <cell r="M1210">
            <v>46129</v>
          </cell>
        </row>
        <row r="1210">
          <cell r="P1210">
            <v>12779</v>
          </cell>
        </row>
        <row r="1210">
          <cell r="V1210">
            <v>0</v>
          </cell>
        </row>
        <row r="1210">
          <cell r="AA1210">
            <v>0</v>
          </cell>
        </row>
        <row r="1211">
          <cell r="L1211">
            <v>11102</v>
          </cell>
          <cell r="M1211">
            <v>46129</v>
          </cell>
        </row>
        <row r="1211">
          <cell r="P1211">
            <v>12602</v>
          </cell>
        </row>
        <row r="1211">
          <cell r="V1211">
            <v>2</v>
          </cell>
        </row>
        <row r="1211">
          <cell r="AA1211">
            <v>234</v>
          </cell>
        </row>
        <row r="1212">
          <cell r="L1212">
            <v>12210</v>
          </cell>
          <cell r="M1212">
            <v>46129</v>
          </cell>
        </row>
        <row r="1212">
          <cell r="P1212">
            <v>12786</v>
          </cell>
        </row>
        <row r="1212">
          <cell r="V1212">
            <v>1</v>
          </cell>
        </row>
        <row r="1212">
          <cell r="AA1212">
            <v>150</v>
          </cell>
        </row>
        <row r="1213">
          <cell r="L1213">
            <v>12423</v>
          </cell>
          <cell r="M1213">
            <v>46129</v>
          </cell>
        </row>
        <row r="1213">
          <cell r="P1213">
            <v>12840</v>
          </cell>
        </row>
        <row r="1213">
          <cell r="V1213">
            <v>1</v>
          </cell>
        </row>
        <row r="1213">
          <cell r="AA1213">
            <v>140</v>
          </cell>
        </row>
        <row r="1214">
          <cell r="L1214">
            <v>9387</v>
          </cell>
          <cell r="M1214">
            <v>46129</v>
          </cell>
        </row>
        <row r="1214">
          <cell r="P1214">
            <v>12892</v>
          </cell>
        </row>
        <row r="1214">
          <cell r="V1214">
            <v>1</v>
          </cell>
        </row>
        <row r="1214">
          <cell r="AA1214">
            <v>71</v>
          </cell>
        </row>
        <row r="1215">
          <cell r="L1215">
            <v>9482</v>
          </cell>
          <cell r="M1215">
            <v>46129</v>
          </cell>
        </row>
        <row r="1215">
          <cell r="P1215">
            <v>12781</v>
          </cell>
        </row>
        <row r="1215">
          <cell r="V1215">
            <v>1</v>
          </cell>
        </row>
        <row r="1215">
          <cell r="AA1215">
            <v>189.05</v>
          </cell>
        </row>
        <row r="1216">
          <cell r="L1216">
            <v>8373</v>
          </cell>
          <cell r="M1216">
            <v>46129</v>
          </cell>
        </row>
        <row r="1216">
          <cell r="P1216">
            <v>12778</v>
          </cell>
        </row>
        <row r="1216">
          <cell r="V1216">
            <v>1</v>
          </cell>
        </row>
        <row r="1216">
          <cell r="AA1216">
            <v>189.05</v>
          </cell>
        </row>
        <row r="1217">
          <cell r="L1217">
            <v>1310</v>
          </cell>
          <cell r="M1217">
            <v>46129</v>
          </cell>
        </row>
        <row r="1217">
          <cell r="P1217">
            <v>12714</v>
          </cell>
        </row>
        <row r="1217">
          <cell r="V1217">
            <v>2</v>
          </cell>
        </row>
        <row r="1217">
          <cell r="AA1217">
            <v>210</v>
          </cell>
        </row>
        <row r="1218">
          <cell r="L1218">
            <v>488</v>
          </cell>
          <cell r="M1218">
            <v>46129</v>
          </cell>
        </row>
        <row r="1218">
          <cell r="P1218">
            <v>12761</v>
          </cell>
        </row>
        <row r="1218">
          <cell r="V1218">
            <v>5</v>
          </cell>
        </row>
        <row r="1218">
          <cell r="AA1218">
            <v>750</v>
          </cell>
        </row>
        <row r="1219">
          <cell r="L1219">
            <v>4547</v>
          </cell>
          <cell r="M1219">
            <v>46129</v>
          </cell>
        </row>
        <row r="1219">
          <cell r="P1219">
            <v>12771</v>
          </cell>
        </row>
        <row r="1219">
          <cell r="V1219">
            <v>1</v>
          </cell>
        </row>
        <row r="1219">
          <cell r="AA1219">
            <v>130</v>
          </cell>
        </row>
        <row r="1220">
          <cell r="L1220">
            <v>9580</v>
          </cell>
          <cell r="M1220">
            <v>46129</v>
          </cell>
        </row>
        <row r="1220">
          <cell r="P1220">
            <v>12715</v>
          </cell>
        </row>
        <row r="1220">
          <cell r="V1220">
            <v>5</v>
          </cell>
        </row>
        <row r="1220">
          <cell r="AA1220">
            <v>373.7</v>
          </cell>
        </row>
        <row r="1221">
          <cell r="L1221">
            <v>636</v>
          </cell>
          <cell r="M1221">
            <v>46129</v>
          </cell>
        </row>
        <row r="1221">
          <cell r="P1221">
            <v>12762</v>
          </cell>
        </row>
        <row r="1221">
          <cell r="V1221">
            <v>3</v>
          </cell>
        </row>
        <row r="1221">
          <cell r="AA1221">
            <v>211.8</v>
          </cell>
        </row>
        <row r="1222">
          <cell r="L1222">
            <v>5618</v>
          </cell>
          <cell r="M1222">
            <v>46129</v>
          </cell>
        </row>
        <row r="1222">
          <cell r="P1222">
            <v>12726</v>
          </cell>
        </row>
        <row r="1222">
          <cell r="V1222">
            <v>0</v>
          </cell>
        </row>
        <row r="1222">
          <cell r="AA1222">
            <v>0</v>
          </cell>
        </row>
        <row r="1223">
          <cell r="L1223">
            <v>357</v>
          </cell>
          <cell r="M1223">
            <v>46129</v>
          </cell>
        </row>
        <row r="1223">
          <cell r="P1223">
            <v>12605</v>
          </cell>
        </row>
        <row r="1223">
          <cell r="V1223">
            <v>1</v>
          </cell>
        </row>
        <row r="1223">
          <cell r="AA1223">
            <v>180</v>
          </cell>
        </row>
        <row r="1224">
          <cell r="L1224">
            <v>6531</v>
          </cell>
          <cell r="M1224">
            <v>46129</v>
          </cell>
        </row>
        <row r="1224">
          <cell r="P1224">
            <v>12708</v>
          </cell>
        </row>
        <row r="1224">
          <cell r="V1224">
            <v>0</v>
          </cell>
        </row>
        <row r="1224">
          <cell r="AA1224">
            <v>0</v>
          </cell>
        </row>
        <row r="1225">
          <cell r="L1225">
            <v>1134</v>
          </cell>
          <cell r="M1225">
            <v>46129</v>
          </cell>
        </row>
        <row r="1225">
          <cell r="P1225">
            <v>12527</v>
          </cell>
        </row>
        <row r="1225">
          <cell r="V1225">
            <v>0</v>
          </cell>
        </row>
        <row r="1225">
          <cell r="AA1225">
            <v>0</v>
          </cell>
        </row>
        <row r="1226">
          <cell r="L1226">
            <v>9482</v>
          </cell>
          <cell r="M1226">
            <v>46129</v>
          </cell>
        </row>
        <row r="1226">
          <cell r="P1226">
            <v>12838</v>
          </cell>
        </row>
        <row r="1226">
          <cell r="V1226">
            <v>0</v>
          </cell>
        </row>
        <row r="1226">
          <cell r="AA1226">
            <v>0</v>
          </cell>
        </row>
        <row r="1227">
          <cell r="L1227">
            <v>1434</v>
          </cell>
          <cell r="M1227">
            <v>46129</v>
          </cell>
        </row>
        <row r="1227">
          <cell r="P1227">
            <v>12839</v>
          </cell>
        </row>
        <row r="1227">
          <cell r="V1227">
            <v>0</v>
          </cell>
        </row>
        <row r="1227">
          <cell r="AA1227">
            <v>0</v>
          </cell>
        </row>
        <row r="1228">
          <cell r="L1228">
            <v>9490</v>
          </cell>
          <cell r="M1228">
            <v>46129</v>
          </cell>
        </row>
        <row r="1228">
          <cell r="P1228">
            <v>12795</v>
          </cell>
        </row>
        <row r="1228">
          <cell r="V1228">
            <v>0</v>
          </cell>
        </row>
        <row r="1228">
          <cell r="AA1228">
            <v>0</v>
          </cell>
        </row>
        <row r="1229">
          <cell r="L1229">
            <v>12061</v>
          </cell>
          <cell r="M1229">
            <v>46129</v>
          </cell>
        </row>
        <row r="1229">
          <cell r="P1229">
            <v>12835</v>
          </cell>
        </row>
        <row r="1230">
          <cell r="L1230">
            <v>4765</v>
          </cell>
          <cell r="M1230">
            <v>46129</v>
          </cell>
        </row>
        <row r="1230">
          <cell r="P1230">
            <v>12725</v>
          </cell>
        </row>
        <row r="1231">
          <cell r="L1231">
            <v>12006</v>
          </cell>
          <cell r="M1231">
            <v>46129</v>
          </cell>
        </row>
        <row r="1231">
          <cell r="P1231">
            <v>12813</v>
          </cell>
        </row>
        <row r="1232">
          <cell r="L1232">
            <v>5690</v>
          </cell>
          <cell r="M1232">
            <v>46129</v>
          </cell>
        </row>
        <row r="1232">
          <cell r="P1232">
            <v>12928</v>
          </cell>
        </row>
        <row r="1233">
          <cell r="L1233">
            <v>481</v>
          </cell>
          <cell r="M1233">
            <v>46129</v>
          </cell>
        </row>
        <row r="1233">
          <cell r="P1233">
            <v>12927</v>
          </cell>
        </row>
        <row r="1234">
          <cell r="L1234">
            <v>1009</v>
          </cell>
          <cell r="M1234">
            <v>46129</v>
          </cell>
        </row>
        <row r="1234">
          <cell r="P1234">
            <v>12850</v>
          </cell>
        </row>
        <row r="1235">
          <cell r="L1235">
            <v>7686</v>
          </cell>
          <cell r="M1235">
            <v>46129</v>
          </cell>
        </row>
        <row r="1235">
          <cell r="P1235">
            <v>12908</v>
          </cell>
        </row>
        <row r="1236">
          <cell r="L1236">
            <v>6465</v>
          </cell>
          <cell r="M1236">
            <v>46129</v>
          </cell>
        </row>
        <row r="1236">
          <cell r="P1236">
            <v>12907</v>
          </cell>
        </row>
        <row r="1237">
          <cell r="L1237">
            <v>6990</v>
          </cell>
          <cell r="M1237">
            <v>46129</v>
          </cell>
        </row>
        <row r="1237">
          <cell r="P1237">
            <v>12861</v>
          </cell>
        </row>
        <row r="1238">
          <cell r="L1238">
            <v>7918</v>
          </cell>
          <cell r="M1238">
            <v>46129</v>
          </cell>
        </row>
        <row r="1238">
          <cell r="P1238">
            <v>12988</v>
          </cell>
        </row>
        <row r="1239">
          <cell r="L1239">
            <v>8088</v>
          </cell>
          <cell r="M1239">
            <v>46129</v>
          </cell>
        </row>
        <row r="1239">
          <cell r="P1239">
            <v>12921</v>
          </cell>
        </row>
        <row r="1240">
          <cell r="L1240">
            <v>8483</v>
          </cell>
          <cell r="M1240">
            <v>46129</v>
          </cell>
        </row>
        <row r="1240">
          <cell r="P1240">
            <v>12998</v>
          </cell>
        </row>
        <row r="1241">
          <cell r="L1241">
            <v>636</v>
          </cell>
          <cell r="M1241">
            <v>46129</v>
          </cell>
        </row>
        <row r="1241">
          <cell r="P1241">
            <v>12922</v>
          </cell>
        </row>
        <row r="1242">
          <cell r="L1242">
            <v>3516</v>
          </cell>
          <cell r="M1242">
            <v>46129</v>
          </cell>
        </row>
        <row r="1242">
          <cell r="P1242">
            <v>12987</v>
          </cell>
        </row>
        <row r="1243">
          <cell r="L1243">
            <v>3855</v>
          </cell>
          <cell r="M1243">
            <v>46129</v>
          </cell>
        </row>
        <row r="1243">
          <cell r="P1243">
            <v>12963</v>
          </cell>
        </row>
        <row r="1244">
          <cell r="L1244">
            <v>3871</v>
          </cell>
          <cell r="M1244">
            <v>46129</v>
          </cell>
        </row>
        <row r="1244">
          <cell r="P1244">
            <v>12637</v>
          </cell>
        </row>
        <row r="1245">
          <cell r="L1245">
            <v>3901</v>
          </cell>
          <cell r="M1245">
            <v>46129</v>
          </cell>
        </row>
        <row r="1246">
          <cell r="L1246">
            <v>6532</v>
          </cell>
          <cell r="M1246">
            <v>46129</v>
          </cell>
        </row>
        <row r="1247">
          <cell r="L1247">
            <v>1538</v>
          </cell>
          <cell r="M1247">
            <v>46129</v>
          </cell>
        </row>
        <row r="1248">
          <cell r="L1248">
            <v>4543</v>
          </cell>
          <cell r="M1248">
            <v>46129</v>
          </cell>
        </row>
        <row r="1249">
          <cell r="L1249">
            <v>2388</v>
          </cell>
          <cell r="M1249">
            <v>46129</v>
          </cell>
        </row>
        <row r="1250">
          <cell r="L1250">
            <v>10811</v>
          </cell>
          <cell r="M1250">
            <v>46129</v>
          </cell>
        </row>
        <row r="1251">
          <cell r="L1251">
            <v>11490</v>
          </cell>
          <cell r="M1251">
            <v>46129</v>
          </cell>
        </row>
        <row r="1252">
          <cell r="L1252">
            <v>11513</v>
          </cell>
          <cell r="M1252">
            <v>46129</v>
          </cell>
        </row>
        <row r="1253">
          <cell r="L1253">
            <v>11547</v>
          </cell>
          <cell r="M1253">
            <v>46129</v>
          </cell>
        </row>
        <row r="1254">
          <cell r="L1254">
            <v>11815</v>
          </cell>
          <cell r="M1254">
            <v>46129</v>
          </cell>
        </row>
        <row r="1255">
          <cell r="L1255">
            <v>12002</v>
          </cell>
          <cell r="M1255">
            <v>46129</v>
          </cell>
        </row>
        <row r="1256">
          <cell r="L1256">
            <v>12089</v>
          </cell>
          <cell r="M1256">
            <v>46129</v>
          </cell>
        </row>
        <row r="1257">
          <cell r="L1257">
            <v>12106</v>
          </cell>
          <cell r="M1257">
            <v>46129</v>
          </cell>
        </row>
        <row r="1258">
          <cell r="L1258">
            <v>12165</v>
          </cell>
          <cell r="M1258">
            <v>46129</v>
          </cell>
        </row>
        <row r="1259">
          <cell r="L1259">
            <v>5987</v>
          </cell>
          <cell r="M1259">
            <v>46132</v>
          </cell>
        </row>
        <row r="1260">
          <cell r="L1260">
            <v>5869</v>
          </cell>
          <cell r="M1260">
            <v>46132</v>
          </cell>
        </row>
        <row r="1261">
          <cell r="L1261">
            <v>5581</v>
          </cell>
          <cell r="M1261">
            <v>46132</v>
          </cell>
        </row>
        <row r="1262">
          <cell r="L1262">
            <v>1487</v>
          </cell>
          <cell r="M1262">
            <v>46132</v>
          </cell>
        </row>
        <row r="1263">
          <cell r="L1263">
            <v>5362</v>
          </cell>
          <cell r="M1263">
            <v>46132</v>
          </cell>
        </row>
        <row r="1264">
          <cell r="L1264">
            <v>8233</v>
          </cell>
          <cell r="M1264">
            <v>46132</v>
          </cell>
        </row>
        <row r="1265">
          <cell r="L1265">
            <v>1011</v>
          </cell>
          <cell r="M1265">
            <v>46132</v>
          </cell>
        </row>
        <row r="1266">
          <cell r="L1266">
            <v>5363</v>
          </cell>
          <cell r="M1266">
            <v>46132</v>
          </cell>
        </row>
        <row r="1267">
          <cell r="L1267">
            <v>4073</v>
          </cell>
          <cell r="M1267">
            <v>46132</v>
          </cell>
        </row>
        <row r="1268">
          <cell r="L1268">
            <v>4663</v>
          </cell>
          <cell r="M1268">
            <v>46132</v>
          </cell>
        </row>
        <row r="1269">
          <cell r="L1269">
            <v>4756</v>
          </cell>
          <cell r="M1269">
            <v>46132</v>
          </cell>
        </row>
        <row r="1270">
          <cell r="L1270">
            <v>4675</v>
          </cell>
          <cell r="M1270">
            <v>46132</v>
          </cell>
        </row>
        <row r="1271">
          <cell r="L1271">
            <v>5598</v>
          </cell>
          <cell r="M1271">
            <v>46132</v>
          </cell>
        </row>
        <row r="1272">
          <cell r="L1272">
            <v>4669</v>
          </cell>
          <cell r="M1272">
            <v>46132</v>
          </cell>
        </row>
        <row r="1273">
          <cell r="L1273">
            <v>6058</v>
          </cell>
          <cell r="M1273">
            <v>46132</v>
          </cell>
        </row>
        <row r="1274">
          <cell r="L1274">
            <v>8984</v>
          </cell>
          <cell r="M1274">
            <v>46132</v>
          </cell>
        </row>
        <row r="1275">
          <cell r="L1275">
            <v>9732</v>
          </cell>
          <cell r="M1275">
            <v>46132</v>
          </cell>
        </row>
        <row r="1276">
          <cell r="L1276">
            <v>9685</v>
          </cell>
          <cell r="M1276">
            <v>46132</v>
          </cell>
        </row>
        <row r="1277">
          <cell r="L1277">
            <v>9500</v>
          </cell>
          <cell r="M1277">
            <v>46132</v>
          </cell>
        </row>
        <row r="1278">
          <cell r="L1278">
            <v>9697</v>
          </cell>
          <cell r="M1278">
            <v>46132</v>
          </cell>
        </row>
        <row r="1279">
          <cell r="L1279">
            <v>693</v>
          </cell>
          <cell r="M1279">
            <v>46132</v>
          </cell>
        </row>
        <row r="1280">
          <cell r="L1280">
            <v>1370</v>
          </cell>
          <cell r="M1280">
            <v>46132</v>
          </cell>
        </row>
        <row r="1281">
          <cell r="L1281">
            <v>1446</v>
          </cell>
          <cell r="M1281">
            <v>46132</v>
          </cell>
        </row>
        <row r="1282">
          <cell r="L1282">
            <v>6162</v>
          </cell>
          <cell r="M1282">
            <v>46132</v>
          </cell>
        </row>
        <row r="1283">
          <cell r="L1283">
            <v>8752</v>
          </cell>
          <cell r="M1283">
            <v>46132</v>
          </cell>
        </row>
        <row r="1284">
          <cell r="L1284">
            <v>8753</v>
          </cell>
          <cell r="M1284">
            <v>46132</v>
          </cell>
        </row>
        <row r="1285">
          <cell r="L1285">
            <v>8754</v>
          </cell>
          <cell r="M1285">
            <v>46132</v>
          </cell>
        </row>
        <row r="1286">
          <cell r="L1286">
            <v>8936</v>
          </cell>
          <cell r="M1286">
            <v>46132</v>
          </cell>
        </row>
        <row r="1287">
          <cell r="L1287">
            <v>8990</v>
          </cell>
          <cell r="M1287">
            <v>46132</v>
          </cell>
        </row>
        <row r="1288">
          <cell r="L1288">
            <v>9039</v>
          </cell>
          <cell r="M1288">
            <v>46132</v>
          </cell>
        </row>
        <row r="1289">
          <cell r="L1289">
            <v>9360</v>
          </cell>
          <cell r="M1289">
            <v>46132</v>
          </cell>
        </row>
        <row r="1290">
          <cell r="L1290">
            <v>9446</v>
          </cell>
          <cell r="M1290">
            <v>46132</v>
          </cell>
        </row>
        <row r="1291">
          <cell r="L1291">
            <v>9491</v>
          </cell>
          <cell r="M1291">
            <v>46132</v>
          </cell>
        </row>
        <row r="1292">
          <cell r="L1292">
            <v>9495</v>
          </cell>
          <cell r="M1292">
            <v>46132</v>
          </cell>
        </row>
        <row r="1293">
          <cell r="L1293">
            <v>9499</v>
          </cell>
          <cell r="M1293">
            <v>46132</v>
          </cell>
        </row>
        <row r="1294">
          <cell r="L1294">
            <v>9540</v>
          </cell>
          <cell r="M1294">
            <v>46132</v>
          </cell>
        </row>
        <row r="1295">
          <cell r="L1295">
            <v>9695</v>
          </cell>
          <cell r="M1295">
            <v>46132</v>
          </cell>
        </row>
        <row r="1296">
          <cell r="L1296">
            <v>12059</v>
          </cell>
          <cell r="M1296">
            <v>46132</v>
          </cell>
        </row>
        <row r="1297">
          <cell r="L1297">
            <v>12225</v>
          </cell>
          <cell r="M1297">
            <v>46132</v>
          </cell>
        </row>
        <row r="1298">
          <cell r="L1298">
            <v>11100</v>
          </cell>
          <cell r="M1298">
            <v>46132</v>
          </cell>
        </row>
        <row r="1299">
          <cell r="L1299">
            <v>11781</v>
          </cell>
          <cell r="M1299">
            <v>46132</v>
          </cell>
        </row>
        <row r="1300">
          <cell r="L1300">
            <v>11890</v>
          </cell>
          <cell r="M1300">
            <v>46132</v>
          </cell>
        </row>
        <row r="1301">
          <cell r="L1301">
            <v>12310</v>
          </cell>
          <cell r="M1301">
            <v>46132</v>
          </cell>
        </row>
        <row r="1302">
          <cell r="L1302">
            <v>12321</v>
          </cell>
          <cell r="M1302">
            <v>46132</v>
          </cell>
        </row>
        <row r="1303">
          <cell r="L1303">
            <v>1302</v>
          </cell>
          <cell r="M1303">
            <v>46132</v>
          </cell>
        </row>
        <row r="1304">
          <cell r="L1304">
            <v>6912</v>
          </cell>
          <cell r="M1304">
            <v>46132</v>
          </cell>
        </row>
        <row r="1305">
          <cell r="L1305">
            <v>8125</v>
          </cell>
          <cell r="M1305">
            <v>46132</v>
          </cell>
        </row>
        <row r="1306">
          <cell r="L1306">
            <v>8234</v>
          </cell>
          <cell r="M1306">
            <v>46132</v>
          </cell>
        </row>
        <row r="1307">
          <cell r="L1307">
            <v>8392</v>
          </cell>
          <cell r="M1307">
            <v>46132</v>
          </cell>
        </row>
        <row r="1308">
          <cell r="L1308">
            <v>8685</v>
          </cell>
          <cell r="M1308">
            <v>46132</v>
          </cell>
        </row>
        <row r="1309">
          <cell r="L1309">
            <v>6977</v>
          </cell>
          <cell r="M1309">
            <v>46132</v>
          </cell>
        </row>
        <row r="1310">
          <cell r="L1310">
            <v>8879</v>
          </cell>
          <cell r="M1310">
            <v>46132</v>
          </cell>
        </row>
        <row r="1311">
          <cell r="L1311">
            <v>9063</v>
          </cell>
          <cell r="M1311">
            <v>46132</v>
          </cell>
        </row>
        <row r="1312">
          <cell r="L1312">
            <v>9112</v>
          </cell>
          <cell r="M1312">
            <v>46132</v>
          </cell>
        </row>
        <row r="1313">
          <cell r="L1313">
            <v>9115</v>
          </cell>
          <cell r="M1313">
            <v>46132</v>
          </cell>
        </row>
        <row r="1314">
          <cell r="L1314">
            <v>9387</v>
          </cell>
          <cell r="M1314">
            <v>46132</v>
          </cell>
        </row>
        <row r="1315">
          <cell r="L1315">
            <v>9580</v>
          </cell>
          <cell r="M1315">
            <v>46132</v>
          </cell>
        </row>
        <row r="1316">
          <cell r="L1316">
            <v>10894</v>
          </cell>
          <cell r="M1316">
            <v>46132</v>
          </cell>
        </row>
        <row r="1317">
          <cell r="L1317">
            <v>11866</v>
          </cell>
          <cell r="M1317">
            <v>46132</v>
          </cell>
        </row>
        <row r="1318">
          <cell r="L1318">
            <v>11997</v>
          </cell>
          <cell r="M1318">
            <v>46132</v>
          </cell>
        </row>
        <row r="1319">
          <cell r="L1319">
            <v>12060</v>
          </cell>
          <cell r="M1319">
            <v>46132</v>
          </cell>
        </row>
        <row r="1320">
          <cell r="L1320">
            <v>12061</v>
          </cell>
          <cell r="M1320">
            <v>46132</v>
          </cell>
        </row>
        <row r="1321">
          <cell r="L1321">
            <v>1030</v>
          </cell>
          <cell r="M1321">
            <v>46132</v>
          </cell>
        </row>
        <row r="1322">
          <cell r="L1322">
            <v>10894</v>
          </cell>
          <cell r="M1322">
            <v>46132</v>
          </cell>
        </row>
        <row r="1323">
          <cell r="L1323">
            <v>11030</v>
          </cell>
          <cell r="M1323">
            <v>46132</v>
          </cell>
        </row>
        <row r="1324">
          <cell r="L1324">
            <v>1135</v>
          </cell>
          <cell r="M1324">
            <v>46132</v>
          </cell>
        </row>
        <row r="1325">
          <cell r="L1325">
            <v>1201</v>
          </cell>
          <cell r="M1325">
            <v>46132</v>
          </cell>
        </row>
        <row r="1326">
          <cell r="L1326">
            <v>12060</v>
          </cell>
          <cell r="M1326">
            <v>46132</v>
          </cell>
        </row>
        <row r="1327">
          <cell r="L1327">
            <v>1290</v>
          </cell>
          <cell r="M1327">
            <v>46132</v>
          </cell>
        </row>
        <row r="1328">
          <cell r="L1328">
            <v>1310</v>
          </cell>
          <cell r="M1328">
            <v>46132</v>
          </cell>
        </row>
        <row r="1329">
          <cell r="L1329">
            <v>1657</v>
          </cell>
          <cell r="M1329">
            <v>46132</v>
          </cell>
        </row>
        <row r="1330">
          <cell r="L1330">
            <v>1775</v>
          </cell>
          <cell r="M1330">
            <v>46132</v>
          </cell>
        </row>
        <row r="1331">
          <cell r="L1331">
            <v>322</v>
          </cell>
          <cell r="M1331">
            <v>46132</v>
          </cell>
        </row>
        <row r="1332">
          <cell r="L1332">
            <v>3376</v>
          </cell>
          <cell r="M1332">
            <v>46132</v>
          </cell>
        </row>
        <row r="1333">
          <cell r="L1333">
            <v>3599</v>
          </cell>
          <cell r="M1333">
            <v>46132</v>
          </cell>
        </row>
        <row r="1334">
          <cell r="L1334">
            <v>424</v>
          </cell>
          <cell r="M1334">
            <v>46132</v>
          </cell>
        </row>
        <row r="1335">
          <cell r="L1335">
            <v>4483</v>
          </cell>
          <cell r="M1335">
            <v>46132</v>
          </cell>
        </row>
        <row r="1336">
          <cell r="L1336">
            <v>5079</v>
          </cell>
          <cell r="M1336">
            <v>46132</v>
          </cell>
        </row>
        <row r="1337">
          <cell r="L1337">
            <v>567</v>
          </cell>
          <cell r="M1337">
            <v>46132</v>
          </cell>
        </row>
        <row r="1338">
          <cell r="L1338">
            <v>5728</v>
          </cell>
          <cell r="M1338">
            <v>46132</v>
          </cell>
        </row>
        <row r="1339">
          <cell r="L1339">
            <v>6027</v>
          </cell>
          <cell r="M1339">
            <v>46132</v>
          </cell>
        </row>
        <row r="1340">
          <cell r="L1340">
            <v>8088</v>
          </cell>
          <cell r="M1340">
            <v>46132</v>
          </cell>
        </row>
        <row r="1341">
          <cell r="L1341">
            <v>8213</v>
          </cell>
          <cell r="M1341">
            <v>46132</v>
          </cell>
        </row>
        <row r="1342">
          <cell r="L1342">
            <v>8333</v>
          </cell>
          <cell r="M1342">
            <v>46132</v>
          </cell>
        </row>
        <row r="1343">
          <cell r="L1343">
            <v>8338</v>
          </cell>
          <cell r="M1343">
            <v>46132</v>
          </cell>
        </row>
        <row r="1344">
          <cell r="L1344">
            <v>9481</v>
          </cell>
          <cell r="M1344">
            <v>46132</v>
          </cell>
        </row>
        <row r="1345">
          <cell r="L1345">
            <v>9580</v>
          </cell>
          <cell r="M1345">
            <v>46132</v>
          </cell>
        </row>
        <row r="1346">
          <cell r="L1346">
            <v>11446</v>
          </cell>
          <cell r="M1346">
            <v>46132</v>
          </cell>
        </row>
        <row r="1347">
          <cell r="L1347">
            <v>11866</v>
          </cell>
          <cell r="M1347">
            <v>46132</v>
          </cell>
        </row>
        <row r="1348">
          <cell r="L1348">
            <v>12474</v>
          </cell>
          <cell r="M1348">
            <v>46132</v>
          </cell>
        </row>
        <row r="1349">
          <cell r="L1349">
            <v>1655</v>
          </cell>
          <cell r="M1349">
            <v>46132</v>
          </cell>
        </row>
        <row r="1350">
          <cell r="L1350">
            <v>4613</v>
          </cell>
          <cell r="M1350">
            <v>46132</v>
          </cell>
        </row>
        <row r="1351">
          <cell r="L1351">
            <v>972</v>
          </cell>
          <cell r="M1351">
            <v>46132</v>
          </cell>
        </row>
        <row r="1352">
          <cell r="L1352">
            <v>11989</v>
          </cell>
          <cell r="M1352">
            <v>46132</v>
          </cell>
        </row>
        <row r="1353">
          <cell r="L1353">
            <v>12011</v>
          </cell>
          <cell r="M1353">
            <v>46132</v>
          </cell>
        </row>
        <row r="1354">
          <cell r="L1354">
            <v>11997</v>
          </cell>
          <cell r="M1354">
            <v>46132</v>
          </cell>
        </row>
        <row r="1355">
          <cell r="L1355">
            <v>12086</v>
          </cell>
          <cell r="M1355">
            <v>46132</v>
          </cell>
        </row>
        <row r="1356">
          <cell r="L1356">
            <v>12258</v>
          </cell>
          <cell r="M1356">
            <v>46132</v>
          </cell>
        </row>
        <row r="1357">
          <cell r="L1357">
            <v>12290</v>
          </cell>
          <cell r="M1357">
            <v>46132</v>
          </cell>
        </row>
        <row r="1358">
          <cell r="L1358">
            <v>12391</v>
          </cell>
          <cell r="M1358">
            <v>46132</v>
          </cell>
        </row>
        <row r="1359">
          <cell r="L1359">
            <v>12398</v>
          </cell>
          <cell r="M1359">
            <v>46132</v>
          </cell>
        </row>
        <row r="1360">
          <cell r="L1360">
            <v>11230</v>
          </cell>
          <cell r="M1360">
            <v>46132</v>
          </cell>
        </row>
        <row r="1361">
          <cell r="L1361">
            <v>10061</v>
          </cell>
          <cell r="M1361">
            <v>46132</v>
          </cell>
        </row>
        <row r="1362">
          <cell r="L1362">
            <v>2637</v>
          </cell>
          <cell r="M1362">
            <v>46132</v>
          </cell>
        </row>
        <row r="1363">
          <cell r="L1363">
            <v>2732</v>
          </cell>
          <cell r="M1363">
            <v>46132</v>
          </cell>
        </row>
        <row r="1364">
          <cell r="L1364">
            <v>10107</v>
          </cell>
          <cell r="M1364">
            <v>46132</v>
          </cell>
        </row>
        <row r="1365">
          <cell r="L1365">
            <v>11650</v>
          </cell>
          <cell r="M1365">
            <v>46132</v>
          </cell>
        </row>
        <row r="1366">
          <cell r="L1366">
            <v>12320</v>
          </cell>
          <cell r="M1366">
            <v>46132</v>
          </cell>
        </row>
        <row r="1367">
          <cell r="L1367">
            <v>12298</v>
          </cell>
          <cell r="M1367">
            <v>46132</v>
          </cell>
        </row>
        <row r="1368">
          <cell r="L1368">
            <v>12089</v>
          </cell>
          <cell r="M1368">
            <v>46132</v>
          </cell>
        </row>
        <row r="1369">
          <cell r="L1369">
            <v>11904</v>
          </cell>
          <cell r="M1369">
            <v>46133</v>
          </cell>
        </row>
        <row r="1370">
          <cell r="L1370">
            <v>4328</v>
          </cell>
          <cell r="M1370">
            <v>46133</v>
          </cell>
        </row>
        <row r="1371">
          <cell r="L1371">
            <v>9516</v>
          </cell>
          <cell r="M1371">
            <v>46133</v>
          </cell>
        </row>
        <row r="1372">
          <cell r="L1372">
            <v>11510</v>
          </cell>
          <cell r="M1372">
            <v>46133</v>
          </cell>
        </row>
        <row r="1373">
          <cell r="L1373">
            <v>11554</v>
          </cell>
          <cell r="M1373">
            <v>46133</v>
          </cell>
        </row>
        <row r="1374">
          <cell r="L1374">
            <v>11911</v>
          </cell>
          <cell r="M1374">
            <v>46133</v>
          </cell>
        </row>
        <row r="1375">
          <cell r="L1375">
            <v>5841</v>
          </cell>
          <cell r="M1375">
            <v>46133</v>
          </cell>
        </row>
        <row r="1376">
          <cell r="L1376">
            <v>6033</v>
          </cell>
          <cell r="M1376">
            <v>46133</v>
          </cell>
        </row>
        <row r="1377">
          <cell r="L1377">
            <v>653</v>
          </cell>
          <cell r="M1377">
            <v>46133</v>
          </cell>
        </row>
        <row r="1378">
          <cell r="L1378">
            <v>8728</v>
          </cell>
          <cell r="M1378">
            <v>46133</v>
          </cell>
        </row>
        <row r="1379">
          <cell r="L1379">
            <v>8810</v>
          </cell>
          <cell r="M1379">
            <v>46133</v>
          </cell>
        </row>
        <row r="1380">
          <cell r="L1380">
            <v>9045</v>
          </cell>
          <cell r="M1380">
            <v>46133</v>
          </cell>
        </row>
        <row r="1381">
          <cell r="L1381">
            <v>9311</v>
          </cell>
          <cell r="M1381">
            <v>46133</v>
          </cell>
        </row>
        <row r="1382">
          <cell r="L1382">
            <v>9627</v>
          </cell>
          <cell r="M1382">
            <v>46133</v>
          </cell>
        </row>
        <row r="1383">
          <cell r="L1383">
            <v>8781</v>
          </cell>
          <cell r="M1383">
            <v>46133</v>
          </cell>
        </row>
        <row r="1384">
          <cell r="L1384">
            <v>12205</v>
          </cell>
          <cell r="M1384">
            <v>46133</v>
          </cell>
        </row>
        <row r="1385">
          <cell r="L1385">
            <v>12206</v>
          </cell>
          <cell r="M1385">
            <v>46133</v>
          </cell>
        </row>
        <row r="1386">
          <cell r="L1386">
            <v>9649</v>
          </cell>
          <cell r="M1386">
            <v>46133</v>
          </cell>
        </row>
        <row r="1387">
          <cell r="L1387">
            <v>9650</v>
          </cell>
          <cell r="M1387">
            <v>46133</v>
          </cell>
        </row>
        <row r="1388">
          <cell r="L1388">
            <v>11929</v>
          </cell>
          <cell r="M1388">
            <v>46133</v>
          </cell>
        </row>
        <row r="1389">
          <cell r="L1389">
            <v>12308</v>
          </cell>
          <cell r="M1389">
            <v>46133</v>
          </cell>
        </row>
        <row r="1390">
          <cell r="L1390">
            <v>12429</v>
          </cell>
          <cell r="M1390">
            <v>46133</v>
          </cell>
        </row>
        <row r="1391">
          <cell r="L1391">
            <v>12461</v>
          </cell>
          <cell r="M1391">
            <v>46133</v>
          </cell>
        </row>
        <row r="1392">
          <cell r="L1392">
            <v>12387</v>
          </cell>
          <cell r="M1392">
            <v>46133</v>
          </cell>
        </row>
        <row r="1393">
          <cell r="L1393">
            <v>12388</v>
          </cell>
          <cell r="M1393">
            <v>46133</v>
          </cell>
        </row>
        <row r="1394">
          <cell r="L1394">
            <v>12424</v>
          </cell>
          <cell r="M1394">
            <v>46133</v>
          </cell>
        </row>
        <row r="1395">
          <cell r="L1395">
            <v>12386</v>
          </cell>
          <cell r="M1395">
            <v>46133</v>
          </cell>
        </row>
        <row r="1396">
          <cell r="L1396">
            <v>12414</v>
          </cell>
          <cell r="M1396">
            <v>46133</v>
          </cell>
        </row>
        <row r="1397">
          <cell r="L1397">
            <v>12422</v>
          </cell>
          <cell r="M1397">
            <v>46133</v>
          </cell>
        </row>
        <row r="1398">
          <cell r="L1398">
            <v>12489</v>
          </cell>
          <cell r="M1398">
            <v>46133</v>
          </cell>
        </row>
        <row r="1399">
          <cell r="L1399">
            <v>11270</v>
          </cell>
          <cell r="M1399">
            <v>46133</v>
          </cell>
        </row>
        <row r="1400">
          <cell r="L1400">
            <v>11921</v>
          </cell>
          <cell r="M1400">
            <v>46133</v>
          </cell>
        </row>
        <row r="1401">
          <cell r="L1401">
            <v>12305</v>
          </cell>
          <cell r="M1401">
            <v>46133</v>
          </cell>
        </row>
        <row r="1402">
          <cell r="L1402">
            <v>12306</v>
          </cell>
          <cell r="M1402">
            <v>46133</v>
          </cell>
        </row>
        <row r="1403">
          <cell r="L1403">
            <v>6910</v>
          </cell>
          <cell r="M1403">
            <v>46133</v>
          </cell>
        </row>
        <row r="1404">
          <cell r="L1404">
            <v>11455</v>
          </cell>
          <cell r="M1404">
            <v>46133</v>
          </cell>
        </row>
        <row r="1405">
          <cell r="L1405">
            <v>11699</v>
          </cell>
          <cell r="M1405">
            <v>46133</v>
          </cell>
        </row>
        <row r="1406">
          <cell r="L1406">
            <v>7194</v>
          </cell>
          <cell r="M1406">
            <v>46133</v>
          </cell>
        </row>
        <row r="1407">
          <cell r="L1407">
            <v>9358</v>
          </cell>
          <cell r="M1407">
            <v>46133</v>
          </cell>
        </row>
        <row r="1408">
          <cell r="L1408">
            <v>1010</v>
          </cell>
          <cell r="M1408">
            <v>46133</v>
          </cell>
        </row>
        <row r="1409">
          <cell r="L1409">
            <v>11704</v>
          </cell>
          <cell r="M1409">
            <v>46133</v>
          </cell>
        </row>
        <row r="1410">
          <cell r="L1410">
            <v>3584</v>
          </cell>
          <cell r="M1410">
            <v>46133</v>
          </cell>
        </row>
        <row r="1411">
          <cell r="L1411">
            <v>3715</v>
          </cell>
          <cell r="M1411">
            <v>46133</v>
          </cell>
        </row>
        <row r="1412">
          <cell r="L1412">
            <v>5092</v>
          </cell>
          <cell r="M1412">
            <v>46133</v>
          </cell>
        </row>
        <row r="1413">
          <cell r="L1413">
            <v>6914</v>
          </cell>
          <cell r="M1413">
            <v>46133</v>
          </cell>
        </row>
        <row r="1414">
          <cell r="L1414">
            <v>7964</v>
          </cell>
          <cell r="M1414">
            <v>46133</v>
          </cell>
        </row>
        <row r="1415">
          <cell r="L1415">
            <v>8422</v>
          </cell>
          <cell r="M1415">
            <v>46133</v>
          </cell>
        </row>
        <row r="1416">
          <cell r="L1416">
            <v>9455</v>
          </cell>
          <cell r="M1416">
            <v>46133</v>
          </cell>
        </row>
        <row r="1417">
          <cell r="L1417">
            <v>9894</v>
          </cell>
          <cell r="M1417">
            <v>46133</v>
          </cell>
        </row>
        <row r="1418">
          <cell r="L1418">
            <v>9445</v>
          </cell>
          <cell r="M1418">
            <v>46133</v>
          </cell>
        </row>
        <row r="1419">
          <cell r="L1419">
            <v>9645</v>
          </cell>
          <cell r="M1419">
            <v>46133</v>
          </cell>
        </row>
        <row r="1420">
          <cell r="L1420">
            <v>1125</v>
          </cell>
          <cell r="M1420">
            <v>46133</v>
          </cell>
        </row>
        <row r="1421">
          <cell r="L1421">
            <v>8542</v>
          </cell>
          <cell r="M1421">
            <v>46133</v>
          </cell>
        </row>
        <row r="1422">
          <cell r="L1422">
            <v>8606</v>
          </cell>
          <cell r="M1422">
            <v>46133</v>
          </cell>
        </row>
        <row r="1423">
          <cell r="L1423">
            <v>8679</v>
          </cell>
          <cell r="M1423">
            <v>46133</v>
          </cell>
        </row>
        <row r="1424">
          <cell r="L1424">
            <v>8944</v>
          </cell>
          <cell r="M1424">
            <v>46133</v>
          </cell>
        </row>
        <row r="1425">
          <cell r="L1425">
            <v>9439</v>
          </cell>
          <cell r="M1425">
            <v>46133</v>
          </cell>
        </row>
        <row r="1426">
          <cell r="L1426">
            <v>9733</v>
          </cell>
          <cell r="M1426">
            <v>46133</v>
          </cell>
        </row>
        <row r="1427">
          <cell r="L1427">
            <v>8687</v>
          </cell>
          <cell r="M1427">
            <v>46133</v>
          </cell>
        </row>
        <row r="1428">
          <cell r="L1428">
            <v>634</v>
          </cell>
          <cell r="M1428">
            <v>46133</v>
          </cell>
        </row>
        <row r="1429">
          <cell r="L1429">
            <v>1007</v>
          </cell>
          <cell r="M1429">
            <v>46133</v>
          </cell>
        </row>
        <row r="1430">
          <cell r="L1430">
            <v>1689</v>
          </cell>
          <cell r="M1430">
            <v>46133</v>
          </cell>
        </row>
        <row r="1431">
          <cell r="L1431">
            <v>5573</v>
          </cell>
          <cell r="M1431">
            <v>46133</v>
          </cell>
        </row>
        <row r="1432">
          <cell r="L1432">
            <v>4535</v>
          </cell>
          <cell r="M1432">
            <v>46133</v>
          </cell>
        </row>
        <row r="1433">
          <cell r="L1433">
            <v>4612</v>
          </cell>
          <cell r="M1433">
            <v>46133</v>
          </cell>
        </row>
        <row r="1434">
          <cell r="L1434">
            <v>4611</v>
          </cell>
          <cell r="M1434">
            <v>46133</v>
          </cell>
        </row>
        <row r="1435">
          <cell r="L1435">
            <v>4103</v>
          </cell>
          <cell r="M1435">
            <v>46133</v>
          </cell>
        </row>
        <row r="1436">
          <cell r="L1436">
            <v>4482</v>
          </cell>
          <cell r="M1436">
            <v>46133</v>
          </cell>
        </row>
        <row r="1437">
          <cell r="L1437">
            <v>4721</v>
          </cell>
          <cell r="M1437">
            <v>46133</v>
          </cell>
        </row>
        <row r="1438">
          <cell r="L1438">
            <v>3834</v>
          </cell>
          <cell r="M1438">
            <v>46133</v>
          </cell>
        </row>
        <row r="1439">
          <cell r="L1439">
            <v>4088</v>
          </cell>
          <cell r="M1439">
            <v>46133</v>
          </cell>
        </row>
        <row r="1440">
          <cell r="L1440">
            <v>3714</v>
          </cell>
          <cell r="M1440">
            <v>46133</v>
          </cell>
        </row>
        <row r="1441">
          <cell r="L1441">
            <v>1712</v>
          </cell>
          <cell r="M1441">
            <v>46133</v>
          </cell>
        </row>
        <row r="1442">
          <cell r="L1442">
            <v>1699</v>
          </cell>
          <cell r="M1442">
            <v>46133</v>
          </cell>
        </row>
        <row r="1443">
          <cell r="L1443">
            <v>1691</v>
          </cell>
          <cell r="M1443">
            <v>46133</v>
          </cell>
        </row>
        <row r="1444">
          <cell r="L1444">
            <v>1643</v>
          </cell>
          <cell r="M1444">
            <v>46133</v>
          </cell>
        </row>
        <row r="1445">
          <cell r="L1445">
            <v>1587</v>
          </cell>
          <cell r="M1445">
            <v>46133</v>
          </cell>
        </row>
        <row r="1446">
          <cell r="L1446">
            <v>1247</v>
          </cell>
          <cell r="M1446">
            <v>46133</v>
          </cell>
        </row>
        <row r="1447">
          <cell r="L1447">
            <v>9806</v>
          </cell>
          <cell r="M1447">
            <v>46133</v>
          </cell>
        </row>
        <row r="1448">
          <cell r="L1448">
            <v>7119</v>
          </cell>
          <cell r="M1448">
            <v>46133</v>
          </cell>
        </row>
        <row r="1449">
          <cell r="L1449">
            <v>3924</v>
          </cell>
          <cell r="M1449">
            <v>46133</v>
          </cell>
        </row>
        <row r="1450">
          <cell r="L1450">
            <v>3510</v>
          </cell>
          <cell r="M1450">
            <v>46133</v>
          </cell>
        </row>
        <row r="1451">
          <cell r="L1451">
            <v>1049</v>
          </cell>
          <cell r="M1451">
            <v>46133</v>
          </cell>
        </row>
        <row r="1452">
          <cell r="L1452">
            <v>576</v>
          </cell>
          <cell r="M1452">
            <v>46133</v>
          </cell>
        </row>
        <row r="1453">
          <cell r="L1453">
            <v>263</v>
          </cell>
          <cell r="M1453">
            <v>46133</v>
          </cell>
        </row>
        <row r="1454">
          <cell r="L1454">
            <v>12292</v>
          </cell>
          <cell r="M1454">
            <v>46133</v>
          </cell>
        </row>
        <row r="1455">
          <cell r="L1455">
            <v>12333</v>
          </cell>
          <cell r="M1455">
            <v>46133</v>
          </cell>
        </row>
        <row r="1456">
          <cell r="L1456">
            <v>12334</v>
          </cell>
          <cell r="M1456">
            <v>46133</v>
          </cell>
        </row>
        <row r="1457">
          <cell r="L1457">
            <v>12293</v>
          </cell>
          <cell r="M1457">
            <v>46133</v>
          </cell>
        </row>
        <row r="1458">
          <cell r="L1458">
            <v>12299</v>
          </cell>
          <cell r="M1458">
            <v>46133</v>
          </cell>
        </row>
        <row r="1459">
          <cell r="L1459">
            <v>6762</v>
          </cell>
          <cell r="M1459">
            <v>46133</v>
          </cell>
        </row>
        <row r="1460">
          <cell r="L1460">
            <v>10127</v>
          </cell>
          <cell r="M1460">
            <v>46133</v>
          </cell>
        </row>
        <row r="1461">
          <cell r="L1461">
            <v>5447</v>
          </cell>
          <cell r="M1461">
            <v>46134</v>
          </cell>
        </row>
        <row r="1462">
          <cell r="L1462">
            <v>5571</v>
          </cell>
          <cell r="M1462">
            <v>46134</v>
          </cell>
        </row>
        <row r="1463">
          <cell r="L1463">
            <v>9577</v>
          </cell>
          <cell r="M1463">
            <v>46134</v>
          </cell>
        </row>
        <row r="1464">
          <cell r="L1464">
            <v>9008</v>
          </cell>
          <cell r="M1464">
            <v>46134</v>
          </cell>
        </row>
        <row r="1465">
          <cell r="L1465">
            <v>9499</v>
          </cell>
          <cell r="M1465">
            <v>46134</v>
          </cell>
        </row>
        <row r="1466">
          <cell r="L1466">
            <v>12058</v>
          </cell>
          <cell r="M1466">
            <v>46134</v>
          </cell>
        </row>
        <row r="1467">
          <cell r="L1467">
            <v>9302</v>
          </cell>
          <cell r="M1467">
            <v>46134</v>
          </cell>
        </row>
        <row r="1468">
          <cell r="L1468">
            <v>1370</v>
          </cell>
          <cell r="M1468">
            <v>46134</v>
          </cell>
        </row>
        <row r="1469">
          <cell r="L1469">
            <v>1446</v>
          </cell>
          <cell r="M1469">
            <v>46134</v>
          </cell>
        </row>
        <row r="1470">
          <cell r="L1470">
            <v>5310</v>
          </cell>
          <cell r="M1470">
            <v>46134</v>
          </cell>
        </row>
        <row r="1471">
          <cell r="L1471">
            <v>8843</v>
          </cell>
          <cell r="M1471">
            <v>46134</v>
          </cell>
        </row>
        <row r="1472">
          <cell r="L1472">
            <v>626</v>
          </cell>
          <cell r="M1472">
            <v>46134</v>
          </cell>
        </row>
        <row r="1473">
          <cell r="L1473">
            <v>11781</v>
          </cell>
          <cell r="M1473">
            <v>46134</v>
          </cell>
        </row>
        <row r="1474">
          <cell r="L1474">
            <v>12307</v>
          </cell>
          <cell r="M1474">
            <v>46134</v>
          </cell>
        </row>
        <row r="1475">
          <cell r="L1475">
            <v>278</v>
          </cell>
          <cell r="M1475">
            <v>46134</v>
          </cell>
        </row>
        <row r="1476">
          <cell r="L1476">
            <v>6872</v>
          </cell>
          <cell r="M1476">
            <v>46134</v>
          </cell>
        </row>
        <row r="1477">
          <cell r="L1477">
            <v>6909</v>
          </cell>
          <cell r="M1477">
            <v>46134</v>
          </cell>
        </row>
        <row r="1478">
          <cell r="L1478">
            <v>7251</v>
          </cell>
          <cell r="M1478">
            <v>46134</v>
          </cell>
        </row>
        <row r="1479">
          <cell r="L1479">
            <v>7315</v>
          </cell>
          <cell r="M1479">
            <v>46134</v>
          </cell>
        </row>
        <row r="1480">
          <cell r="L1480">
            <v>8234</v>
          </cell>
          <cell r="M1480">
            <v>46134</v>
          </cell>
        </row>
        <row r="1481">
          <cell r="L1481">
            <v>5619</v>
          </cell>
          <cell r="M1481">
            <v>46134</v>
          </cell>
        </row>
        <row r="1482">
          <cell r="L1482">
            <v>1030</v>
          </cell>
          <cell r="M1482">
            <v>46134</v>
          </cell>
        </row>
        <row r="1483">
          <cell r="L1483">
            <v>6288</v>
          </cell>
          <cell r="M1483">
            <v>46134</v>
          </cell>
        </row>
        <row r="1484">
          <cell r="L1484">
            <v>12061</v>
          </cell>
          <cell r="M1484">
            <v>46134</v>
          </cell>
        </row>
        <row r="1485">
          <cell r="L1485">
            <v>322</v>
          </cell>
          <cell r="M1485">
            <v>46134</v>
          </cell>
        </row>
        <row r="1486">
          <cell r="L1486">
            <v>2481</v>
          </cell>
          <cell r="M1486">
            <v>46134</v>
          </cell>
        </row>
        <row r="1487">
          <cell r="L1487">
            <v>971</v>
          </cell>
          <cell r="M1487">
            <v>46134</v>
          </cell>
        </row>
        <row r="1488">
          <cell r="L1488">
            <v>1007</v>
          </cell>
          <cell r="M1488">
            <v>46134</v>
          </cell>
        </row>
        <row r="1489">
          <cell r="L1489">
            <v>1009</v>
          </cell>
          <cell r="M1489">
            <v>46134</v>
          </cell>
        </row>
        <row r="1490">
          <cell r="L1490">
            <v>1642</v>
          </cell>
          <cell r="M1490">
            <v>46134</v>
          </cell>
        </row>
        <row r="1491">
          <cell r="L1491">
            <v>3598</v>
          </cell>
          <cell r="M1491">
            <v>46134</v>
          </cell>
        </row>
        <row r="1492">
          <cell r="L1492">
            <v>3599</v>
          </cell>
          <cell r="M1492">
            <v>46134</v>
          </cell>
        </row>
        <row r="1493">
          <cell r="L1493">
            <v>4613</v>
          </cell>
          <cell r="M1493">
            <v>46134</v>
          </cell>
        </row>
        <row r="1494">
          <cell r="L1494">
            <v>4536</v>
          </cell>
          <cell r="M1494">
            <v>46134</v>
          </cell>
        </row>
        <row r="1495">
          <cell r="L1495">
            <v>4272</v>
          </cell>
          <cell r="M1495">
            <v>46134</v>
          </cell>
        </row>
        <row r="1496">
          <cell r="L1496">
            <v>6559</v>
          </cell>
          <cell r="M1496">
            <v>46134</v>
          </cell>
        </row>
        <row r="1497">
          <cell r="L1497">
            <v>3452</v>
          </cell>
          <cell r="M1497">
            <v>46134</v>
          </cell>
        </row>
        <row r="1498">
          <cell r="L1498">
            <v>8254</v>
          </cell>
          <cell r="M1498">
            <v>46134</v>
          </cell>
        </row>
        <row r="1499">
          <cell r="L1499">
            <v>5509</v>
          </cell>
          <cell r="M1499">
            <v>46134</v>
          </cell>
        </row>
        <row r="1500">
          <cell r="L1500">
            <v>7103</v>
          </cell>
          <cell r="M1500">
            <v>46134</v>
          </cell>
        </row>
        <row r="1501">
          <cell r="L1501">
            <v>9387</v>
          </cell>
          <cell r="M1501">
            <v>46134</v>
          </cell>
        </row>
        <row r="1502">
          <cell r="L1502">
            <v>8685</v>
          </cell>
          <cell r="M1502">
            <v>46134</v>
          </cell>
        </row>
        <row r="1503">
          <cell r="L1503">
            <v>1135</v>
          </cell>
          <cell r="M1503">
            <v>46134</v>
          </cell>
        </row>
        <row r="1504">
          <cell r="L1504">
            <v>12244</v>
          </cell>
          <cell r="M1504">
            <v>46134</v>
          </cell>
        </row>
        <row r="1505">
          <cell r="L1505">
            <v>944</v>
          </cell>
          <cell r="M1505">
            <v>46134</v>
          </cell>
        </row>
        <row r="1506">
          <cell r="L1506">
            <v>12396</v>
          </cell>
          <cell r="M1506">
            <v>46135</v>
          </cell>
        </row>
        <row r="1507">
          <cell r="L1507">
            <v>565</v>
          </cell>
          <cell r="M1507">
            <v>46135</v>
          </cell>
        </row>
        <row r="1508">
          <cell r="L1508">
            <v>654</v>
          </cell>
          <cell r="M1508">
            <v>46135</v>
          </cell>
        </row>
        <row r="1509">
          <cell r="L1509">
            <v>656</v>
          </cell>
          <cell r="M1509">
            <v>46135</v>
          </cell>
        </row>
        <row r="1510">
          <cell r="L1510">
            <v>8550</v>
          </cell>
          <cell r="M1510">
            <v>46135</v>
          </cell>
        </row>
        <row r="1511">
          <cell r="L1511">
            <v>8620</v>
          </cell>
          <cell r="M1511">
            <v>46135</v>
          </cell>
        </row>
        <row r="1512">
          <cell r="L1512">
            <v>955</v>
          </cell>
          <cell r="M1512">
            <v>46135</v>
          </cell>
        </row>
        <row r="1513">
          <cell r="L1513">
            <v>9904</v>
          </cell>
          <cell r="M1513">
            <v>46135</v>
          </cell>
        </row>
        <row r="1514">
          <cell r="L1514">
            <v>1178</v>
          </cell>
          <cell r="M1514">
            <v>46135</v>
          </cell>
        </row>
        <row r="1515">
          <cell r="L1515">
            <v>9981</v>
          </cell>
          <cell r="M1515">
            <v>46135</v>
          </cell>
        </row>
        <row r="1516">
          <cell r="L1516">
            <v>12227</v>
          </cell>
          <cell r="M1516">
            <v>46135</v>
          </cell>
        </row>
        <row r="1517">
          <cell r="L1517">
            <v>635</v>
          </cell>
          <cell r="M1517">
            <v>46135</v>
          </cell>
        </row>
        <row r="1518">
          <cell r="L1518">
            <v>9803</v>
          </cell>
          <cell r="M1518">
            <v>46135</v>
          </cell>
        </row>
        <row r="1519">
          <cell r="L1519">
            <v>9439</v>
          </cell>
          <cell r="M1519">
            <v>46135</v>
          </cell>
        </row>
        <row r="1520">
          <cell r="L1520">
            <v>8960</v>
          </cell>
          <cell r="M1520">
            <v>46135</v>
          </cell>
        </row>
        <row r="1521">
          <cell r="L1521">
            <v>12308</v>
          </cell>
          <cell r="M1521">
            <v>46135</v>
          </cell>
        </row>
        <row r="1522">
          <cell r="L1522">
            <v>12414</v>
          </cell>
          <cell r="M1522">
            <v>46135</v>
          </cell>
        </row>
        <row r="1523">
          <cell r="L1523">
            <v>12422</v>
          </cell>
          <cell r="M1523">
            <v>46135</v>
          </cell>
        </row>
        <row r="1524">
          <cell r="L1524">
            <v>1011</v>
          </cell>
          <cell r="M1524">
            <v>46135</v>
          </cell>
        </row>
        <row r="1525">
          <cell r="L1525">
            <v>12312</v>
          </cell>
          <cell r="M1525">
            <v>46135</v>
          </cell>
        </row>
        <row r="1526">
          <cell r="L1526">
            <v>3584</v>
          </cell>
          <cell r="M1526">
            <v>46135</v>
          </cell>
        </row>
        <row r="1527">
          <cell r="L1527">
            <v>9894</v>
          </cell>
          <cell r="M1527">
            <v>46135</v>
          </cell>
        </row>
        <row r="1528">
          <cell r="L1528">
            <v>6910</v>
          </cell>
          <cell r="M1528">
            <v>46135</v>
          </cell>
        </row>
        <row r="1529">
          <cell r="L1529">
            <v>11921</v>
          </cell>
          <cell r="M1529">
            <v>46135</v>
          </cell>
        </row>
        <row r="1530">
          <cell r="L1530">
            <v>12540</v>
          </cell>
          <cell r="M1530">
            <v>46135</v>
          </cell>
        </row>
        <row r="1531">
          <cell r="L1531">
            <v>12543</v>
          </cell>
          <cell r="M1531">
            <v>46135</v>
          </cell>
        </row>
        <row r="1532">
          <cell r="L1532">
            <v>9035</v>
          </cell>
          <cell r="M1532">
            <v>46135</v>
          </cell>
        </row>
        <row r="1533">
          <cell r="L1533">
            <v>11102</v>
          </cell>
          <cell r="M1533">
            <v>46135</v>
          </cell>
        </row>
        <row r="1534">
          <cell r="L1534">
            <v>994</v>
          </cell>
          <cell r="M1534">
            <v>46135</v>
          </cell>
        </row>
        <row r="1535">
          <cell r="L1535">
            <v>1585</v>
          </cell>
          <cell r="M1535">
            <v>46135</v>
          </cell>
        </row>
        <row r="1536">
          <cell r="L1536">
            <v>8354</v>
          </cell>
          <cell r="M1536">
            <v>46135</v>
          </cell>
        </row>
        <row r="1537">
          <cell r="L1537">
            <v>9084</v>
          </cell>
          <cell r="M1537">
            <v>46135</v>
          </cell>
        </row>
        <row r="1538">
          <cell r="L1538">
            <v>1462</v>
          </cell>
          <cell r="M1538">
            <v>46135</v>
          </cell>
        </row>
        <row r="1539">
          <cell r="L1539">
            <v>12243</v>
          </cell>
          <cell r="M1539">
            <v>46135</v>
          </cell>
        </row>
        <row r="1540">
          <cell r="L1540">
            <v>12291</v>
          </cell>
          <cell r="M1540">
            <v>46135</v>
          </cell>
        </row>
        <row r="1541">
          <cell r="L1541">
            <v>3750</v>
          </cell>
          <cell r="M1541">
            <v>46135</v>
          </cell>
        </row>
        <row r="1542">
          <cell r="L1542">
            <v>3517</v>
          </cell>
          <cell r="M1542">
            <v>46135</v>
          </cell>
        </row>
        <row r="1543">
          <cell r="L1543">
            <v>545</v>
          </cell>
          <cell r="M1543">
            <v>46135</v>
          </cell>
        </row>
        <row r="1544">
          <cell r="L1544">
            <v>3833</v>
          </cell>
          <cell r="M1544">
            <v>46135</v>
          </cell>
        </row>
        <row r="1545">
          <cell r="L1545">
            <v>6990</v>
          </cell>
          <cell r="M1545">
            <v>46135</v>
          </cell>
        </row>
        <row r="1546">
          <cell r="L1546">
            <v>8350</v>
          </cell>
          <cell r="M1546">
            <v>46135</v>
          </cell>
        </row>
        <row r="1547">
          <cell r="L1547">
            <v>5493</v>
          </cell>
          <cell r="M1547">
            <v>46135</v>
          </cell>
        </row>
        <row r="1548">
          <cell r="L1548">
            <v>12480</v>
          </cell>
          <cell r="M1548">
            <v>46135</v>
          </cell>
        </row>
        <row r="1549">
          <cell r="L1549">
            <v>12473</v>
          </cell>
          <cell r="M1549">
            <v>46135</v>
          </cell>
        </row>
        <row r="1550">
          <cell r="L1550">
            <v>12544</v>
          </cell>
          <cell r="M1550">
            <v>46135</v>
          </cell>
        </row>
        <row r="1551">
          <cell r="L1551">
            <v>12464</v>
          </cell>
          <cell r="M1551">
            <v>46136</v>
          </cell>
        </row>
        <row r="1552">
          <cell r="L1552">
            <v>5064</v>
          </cell>
          <cell r="M1552">
            <v>46136</v>
          </cell>
        </row>
        <row r="1553">
          <cell r="L1553">
            <v>5581</v>
          </cell>
          <cell r="M1553">
            <v>46136</v>
          </cell>
        </row>
        <row r="1554">
          <cell r="L1554">
            <v>2585</v>
          </cell>
          <cell r="M1554">
            <v>46136</v>
          </cell>
        </row>
        <row r="1555">
          <cell r="L1555">
            <v>290</v>
          </cell>
          <cell r="M1555">
            <v>46136</v>
          </cell>
        </row>
        <row r="1556">
          <cell r="L1556">
            <v>625</v>
          </cell>
          <cell r="M1556">
            <v>46136</v>
          </cell>
        </row>
        <row r="1557">
          <cell r="L1557">
            <v>1008</v>
          </cell>
          <cell r="M1557">
            <v>46136</v>
          </cell>
        </row>
        <row r="1558">
          <cell r="L1558">
            <v>1011</v>
          </cell>
          <cell r="M1558">
            <v>46136</v>
          </cell>
        </row>
        <row r="1559">
          <cell r="L1559">
            <v>1694</v>
          </cell>
          <cell r="M1559">
            <v>46136</v>
          </cell>
        </row>
        <row r="1560">
          <cell r="L1560">
            <v>3242</v>
          </cell>
          <cell r="M1560">
            <v>46136</v>
          </cell>
        </row>
        <row r="1561">
          <cell r="L1561">
            <v>5708</v>
          </cell>
          <cell r="M1561">
            <v>46136</v>
          </cell>
        </row>
        <row r="1562">
          <cell r="L1562">
            <v>4073</v>
          </cell>
          <cell r="M1562">
            <v>46136</v>
          </cell>
        </row>
        <row r="1563">
          <cell r="L1563">
            <v>5092</v>
          </cell>
          <cell r="M1563">
            <v>46136</v>
          </cell>
        </row>
        <row r="1564">
          <cell r="L1564">
            <v>11876</v>
          </cell>
          <cell r="M1564">
            <v>46136</v>
          </cell>
        </row>
        <row r="1565">
          <cell r="L1565">
            <v>5611</v>
          </cell>
          <cell r="M1565">
            <v>46136</v>
          </cell>
        </row>
        <row r="1566">
          <cell r="L1566">
            <v>6906</v>
          </cell>
          <cell r="M1566">
            <v>46136</v>
          </cell>
        </row>
        <row r="1567">
          <cell r="L1567">
            <v>6908</v>
          </cell>
          <cell r="M1567">
            <v>46136</v>
          </cell>
        </row>
        <row r="1568">
          <cell r="L1568">
            <v>6913</v>
          </cell>
          <cell r="M1568">
            <v>46136</v>
          </cell>
        </row>
        <row r="1569">
          <cell r="L1569">
            <v>6915</v>
          </cell>
          <cell r="M1569">
            <v>46136</v>
          </cell>
        </row>
        <row r="1570">
          <cell r="L1570">
            <v>7189</v>
          </cell>
          <cell r="M1570">
            <v>46136</v>
          </cell>
        </row>
        <row r="1571">
          <cell r="L1571">
            <v>7314</v>
          </cell>
          <cell r="M1571">
            <v>46136</v>
          </cell>
        </row>
        <row r="1572">
          <cell r="L1572">
            <v>7319</v>
          </cell>
          <cell r="M1572">
            <v>46136</v>
          </cell>
        </row>
        <row r="1573">
          <cell r="L1573">
            <v>2763</v>
          </cell>
          <cell r="M1573">
            <v>46136</v>
          </cell>
        </row>
        <row r="1574">
          <cell r="L1574">
            <v>2772</v>
          </cell>
          <cell r="M1574">
            <v>46136</v>
          </cell>
        </row>
        <row r="1575">
          <cell r="L1575">
            <v>5567</v>
          </cell>
          <cell r="M1575">
            <v>46136</v>
          </cell>
        </row>
        <row r="1576">
          <cell r="L1576">
            <v>278</v>
          </cell>
          <cell r="M1576">
            <v>46136</v>
          </cell>
        </row>
        <row r="1577">
          <cell r="L1577">
            <v>278</v>
          </cell>
          <cell r="M1577">
            <v>46136</v>
          </cell>
        </row>
        <row r="1578">
          <cell r="L1578">
            <v>3926</v>
          </cell>
          <cell r="M1578">
            <v>46136</v>
          </cell>
        </row>
        <row r="1579">
          <cell r="L1579">
            <v>12303</v>
          </cell>
          <cell r="M1579">
            <v>46136</v>
          </cell>
        </row>
        <row r="1580">
          <cell r="L1580">
            <v>7249</v>
          </cell>
          <cell r="M1580">
            <v>46136</v>
          </cell>
        </row>
        <row r="1581">
          <cell r="L1581">
            <v>2485</v>
          </cell>
          <cell r="M1581">
            <v>46136</v>
          </cell>
        </row>
        <row r="1582">
          <cell r="L1582">
            <v>8984</v>
          </cell>
          <cell r="M1582">
            <v>46136</v>
          </cell>
        </row>
        <row r="1583">
          <cell r="L1583">
            <v>9731</v>
          </cell>
          <cell r="M1583">
            <v>46136</v>
          </cell>
        </row>
        <row r="1584">
          <cell r="L1584">
            <v>11290</v>
          </cell>
          <cell r="M1584">
            <v>46136</v>
          </cell>
        </row>
        <row r="1585">
          <cell r="L1585">
            <v>11546</v>
          </cell>
          <cell r="M1585">
            <v>46136</v>
          </cell>
        </row>
        <row r="1586">
          <cell r="L1586">
            <v>11601</v>
          </cell>
          <cell r="M1586">
            <v>46136</v>
          </cell>
        </row>
        <row r="1587">
          <cell r="L1587">
            <v>11733</v>
          </cell>
          <cell r="M1587">
            <v>46136</v>
          </cell>
        </row>
        <row r="1588">
          <cell r="L1588">
            <v>11826</v>
          </cell>
          <cell r="M1588">
            <v>46136</v>
          </cell>
        </row>
        <row r="1589">
          <cell r="L1589">
            <v>11833</v>
          </cell>
          <cell r="M1589">
            <v>46136</v>
          </cell>
        </row>
        <row r="1590">
          <cell r="L1590">
            <v>11852</v>
          </cell>
          <cell r="M1590">
            <v>46136</v>
          </cell>
        </row>
        <row r="1591">
          <cell r="L1591">
            <v>11876</v>
          </cell>
          <cell r="M1591">
            <v>46136</v>
          </cell>
        </row>
        <row r="1592">
          <cell r="L1592">
            <v>11926</v>
          </cell>
          <cell r="M1592">
            <v>46136</v>
          </cell>
        </row>
        <row r="1593">
          <cell r="L1593">
            <v>11927</v>
          </cell>
          <cell r="M1593">
            <v>46136</v>
          </cell>
        </row>
        <row r="1594">
          <cell r="L1594">
            <v>11928</v>
          </cell>
          <cell r="M1594">
            <v>46136</v>
          </cell>
        </row>
        <row r="1595">
          <cell r="L1595">
            <v>12303</v>
          </cell>
          <cell r="M1595">
            <v>46136</v>
          </cell>
        </row>
        <row r="1596">
          <cell r="L1596">
            <v>11998</v>
          </cell>
          <cell r="M1596">
            <v>46136</v>
          </cell>
        </row>
        <row r="1597">
          <cell r="L1597">
            <v>11193</v>
          </cell>
          <cell r="M1597">
            <v>46136</v>
          </cell>
        </row>
        <row r="1598">
          <cell r="L1598">
            <v>12414</v>
          </cell>
          <cell r="M1598">
            <v>46136</v>
          </cell>
        </row>
        <row r="1599">
          <cell r="L1599">
            <v>12422</v>
          </cell>
          <cell r="M1599">
            <v>46136</v>
          </cell>
        </row>
        <row r="1600">
          <cell r="L1600">
            <v>11192</v>
          </cell>
          <cell r="M1600">
            <v>46136</v>
          </cell>
        </row>
        <row r="1601">
          <cell r="L1601">
            <v>11331</v>
          </cell>
          <cell r="M1601">
            <v>46136</v>
          </cell>
        </row>
        <row r="1602">
          <cell r="L1602">
            <v>5708</v>
          </cell>
          <cell r="M1602">
            <v>46136</v>
          </cell>
        </row>
        <row r="1603">
          <cell r="L1603">
            <v>4663</v>
          </cell>
          <cell r="M1603">
            <v>46136</v>
          </cell>
        </row>
        <row r="1604">
          <cell r="L1604">
            <v>5598</v>
          </cell>
          <cell r="M1604">
            <v>46136</v>
          </cell>
        </row>
        <row r="1605">
          <cell r="L1605">
            <v>4072</v>
          </cell>
          <cell r="M1605">
            <v>46136</v>
          </cell>
        </row>
        <row r="1606">
          <cell r="L1606">
            <v>4669</v>
          </cell>
          <cell r="M1606">
            <v>46136</v>
          </cell>
        </row>
        <row r="1607">
          <cell r="L1607">
            <v>6058</v>
          </cell>
          <cell r="M1607">
            <v>46136</v>
          </cell>
        </row>
        <row r="1608">
          <cell r="L1608">
            <v>2798</v>
          </cell>
          <cell r="M1608">
            <v>46136</v>
          </cell>
        </row>
        <row r="1609">
          <cell r="L1609">
            <v>10012</v>
          </cell>
          <cell r="M1609">
            <v>46136</v>
          </cell>
        </row>
        <row r="1610">
          <cell r="L1610">
            <v>12424</v>
          </cell>
          <cell r="M1610">
            <v>46136</v>
          </cell>
        </row>
        <row r="1611">
          <cell r="L1611">
            <v>12429</v>
          </cell>
          <cell r="M1611">
            <v>46136</v>
          </cell>
        </row>
        <row r="1612">
          <cell r="L1612">
            <v>11455</v>
          </cell>
          <cell r="M1612">
            <v>46136</v>
          </cell>
        </row>
        <row r="1613">
          <cell r="L1613">
            <v>6872</v>
          </cell>
          <cell r="M1613">
            <v>46136</v>
          </cell>
        </row>
        <row r="1614">
          <cell r="L1614">
            <v>7194</v>
          </cell>
          <cell r="M1614">
            <v>46136</v>
          </cell>
        </row>
        <row r="1615">
          <cell r="L1615">
            <v>7251</v>
          </cell>
          <cell r="M1615">
            <v>46136</v>
          </cell>
        </row>
        <row r="1616">
          <cell r="L1616">
            <v>9358</v>
          </cell>
          <cell r="M1616">
            <v>46136</v>
          </cell>
        </row>
        <row r="1617">
          <cell r="L1617">
            <v>9814</v>
          </cell>
          <cell r="M1617">
            <v>46136</v>
          </cell>
        </row>
        <row r="1618">
          <cell r="L1618">
            <v>11856</v>
          </cell>
          <cell r="M1618">
            <v>46136</v>
          </cell>
        </row>
        <row r="1619">
          <cell r="L1619">
            <v>11655</v>
          </cell>
          <cell r="M1619">
            <v>46136</v>
          </cell>
        </row>
        <row r="1620">
          <cell r="L1620">
            <v>7252</v>
          </cell>
          <cell r="M1620">
            <v>46136</v>
          </cell>
        </row>
        <row r="1621">
          <cell r="L1621">
            <v>11600</v>
          </cell>
          <cell r="M1621">
            <v>46136</v>
          </cell>
        </row>
        <row r="1622">
          <cell r="L1622">
            <v>11736</v>
          </cell>
          <cell r="M1622">
            <v>46136</v>
          </cell>
        </row>
        <row r="1623">
          <cell r="L1623">
            <v>6912</v>
          </cell>
          <cell r="M1623">
            <v>46136</v>
          </cell>
        </row>
        <row r="1624">
          <cell r="L1624">
            <v>8984</v>
          </cell>
          <cell r="M1624">
            <v>46136</v>
          </cell>
        </row>
        <row r="1625">
          <cell r="L1625">
            <v>278</v>
          </cell>
          <cell r="M1625">
            <v>46136</v>
          </cell>
        </row>
        <row r="1626">
          <cell r="L1626">
            <v>8461</v>
          </cell>
          <cell r="M1626">
            <v>46136</v>
          </cell>
        </row>
        <row r="1627">
          <cell r="L1627">
            <v>8234</v>
          </cell>
          <cell r="M1627">
            <v>46136</v>
          </cell>
        </row>
        <row r="1628">
          <cell r="L1628">
            <v>4756</v>
          </cell>
          <cell r="M1628">
            <v>46136</v>
          </cell>
        </row>
        <row r="1629">
          <cell r="L1629">
            <v>9683</v>
          </cell>
          <cell r="M1629">
            <v>46136</v>
          </cell>
        </row>
        <row r="1630">
          <cell r="L1630">
            <v>9685</v>
          </cell>
          <cell r="M1630">
            <v>46136</v>
          </cell>
        </row>
        <row r="1631">
          <cell r="L1631">
            <v>6910</v>
          </cell>
          <cell r="M1631">
            <v>46136</v>
          </cell>
        </row>
        <row r="1632">
          <cell r="L1632">
            <v>11876</v>
          </cell>
          <cell r="M1632">
            <v>46136</v>
          </cell>
        </row>
        <row r="1633">
          <cell r="L1633">
            <v>12306</v>
          </cell>
          <cell r="M1633">
            <v>46136</v>
          </cell>
        </row>
        <row r="1634">
          <cell r="L1634">
            <v>8609</v>
          </cell>
          <cell r="M1634">
            <v>46136</v>
          </cell>
        </row>
        <row r="1635">
          <cell r="L1635">
            <v>9495</v>
          </cell>
          <cell r="M1635">
            <v>46136</v>
          </cell>
        </row>
        <row r="1636">
          <cell r="L1636">
            <v>9540</v>
          </cell>
          <cell r="M1636">
            <v>46136</v>
          </cell>
        </row>
        <row r="1637">
          <cell r="L1637">
            <v>9065</v>
          </cell>
          <cell r="M1637">
            <v>46136</v>
          </cell>
        </row>
        <row r="1638">
          <cell r="L1638">
            <v>9284</v>
          </cell>
          <cell r="M1638">
            <v>46136</v>
          </cell>
        </row>
        <row r="1639">
          <cell r="L1639">
            <v>8753</v>
          </cell>
          <cell r="M1639">
            <v>46136</v>
          </cell>
        </row>
        <row r="1640">
          <cell r="L1640">
            <v>8543</v>
          </cell>
          <cell r="M1640">
            <v>46136</v>
          </cell>
        </row>
        <row r="1641">
          <cell r="L1641">
            <v>1447</v>
          </cell>
          <cell r="M1641">
            <v>46136</v>
          </cell>
        </row>
        <row r="1642">
          <cell r="L1642">
            <v>8087</v>
          </cell>
          <cell r="M1642">
            <v>46136</v>
          </cell>
        </row>
        <row r="1643">
          <cell r="L1643">
            <v>8607</v>
          </cell>
          <cell r="M1643">
            <v>46136</v>
          </cell>
        </row>
        <row r="1644">
          <cell r="L1644">
            <v>1370</v>
          </cell>
          <cell r="M1644">
            <v>46136</v>
          </cell>
        </row>
        <row r="1645">
          <cell r="L1645">
            <v>8089</v>
          </cell>
          <cell r="M1645">
            <v>46136</v>
          </cell>
        </row>
        <row r="1646">
          <cell r="L1646">
            <v>8609</v>
          </cell>
          <cell r="M1646">
            <v>46136</v>
          </cell>
        </row>
        <row r="1647">
          <cell r="L1647">
            <v>8680</v>
          </cell>
          <cell r="M1647">
            <v>46136</v>
          </cell>
        </row>
        <row r="1648">
          <cell r="L1648">
            <v>8083</v>
          </cell>
          <cell r="M1648">
            <v>46136</v>
          </cell>
        </row>
        <row r="1649">
          <cell r="L1649">
            <v>5787</v>
          </cell>
          <cell r="M1649">
            <v>46136</v>
          </cell>
        </row>
        <row r="1650">
          <cell r="L1650">
            <v>5788</v>
          </cell>
          <cell r="M1650">
            <v>46136</v>
          </cell>
        </row>
        <row r="1651">
          <cell r="L1651">
            <v>8608</v>
          </cell>
          <cell r="M1651">
            <v>46136</v>
          </cell>
        </row>
        <row r="1652">
          <cell r="L1652">
            <v>9038</v>
          </cell>
          <cell r="M1652">
            <v>46136</v>
          </cell>
        </row>
        <row r="1653">
          <cell r="L1653">
            <v>9389</v>
          </cell>
          <cell r="M1653">
            <v>46136</v>
          </cell>
        </row>
        <row r="1654">
          <cell r="L1654">
            <v>8606</v>
          </cell>
          <cell r="M1654">
            <v>46136</v>
          </cell>
        </row>
        <row r="1655">
          <cell r="L1655">
            <v>8687</v>
          </cell>
          <cell r="M1655">
            <v>46136</v>
          </cell>
        </row>
        <row r="1656">
          <cell r="L1656">
            <v>5571</v>
          </cell>
          <cell r="M1656">
            <v>46136</v>
          </cell>
        </row>
        <row r="1657">
          <cell r="L1657">
            <v>8752</v>
          </cell>
          <cell r="M1657">
            <v>46136</v>
          </cell>
        </row>
        <row r="1658">
          <cell r="L1658">
            <v>9117</v>
          </cell>
          <cell r="M1658">
            <v>46136</v>
          </cell>
        </row>
        <row r="1659">
          <cell r="L1659">
            <v>1161</v>
          </cell>
          <cell r="M1659">
            <v>46136</v>
          </cell>
        </row>
        <row r="1660">
          <cell r="L1660">
            <v>1310</v>
          </cell>
          <cell r="M1660">
            <v>46136</v>
          </cell>
        </row>
        <row r="1661">
          <cell r="L1661">
            <v>11867</v>
          </cell>
          <cell r="M1661">
            <v>46136</v>
          </cell>
        </row>
        <row r="1662">
          <cell r="L1662">
            <v>12006</v>
          </cell>
          <cell r="M1662">
            <v>46136</v>
          </cell>
        </row>
        <row r="1663">
          <cell r="L1663">
            <v>5690</v>
          </cell>
          <cell r="M1663">
            <v>46136</v>
          </cell>
        </row>
        <row r="1664">
          <cell r="L1664">
            <v>322</v>
          </cell>
          <cell r="M1664">
            <v>46136</v>
          </cell>
        </row>
        <row r="1665">
          <cell r="L1665">
            <v>634</v>
          </cell>
          <cell r="M1665">
            <v>46136</v>
          </cell>
        </row>
        <row r="1666">
          <cell r="L1666">
            <v>657</v>
          </cell>
          <cell r="M1666">
            <v>46136</v>
          </cell>
        </row>
        <row r="1667">
          <cell r="L1667">
            <v>1050</v>
          </cell>
          <cell r="M1667">
            <v>46136</v>
          </cell>
        </row>
        <row r="1668">
          <cell r="L1668">
            <v>6531</v>
          </cell>
          <cell r="M1668">
            <v>46136</v>
          </cell>
        </row>
        <row r="1669">
          <cell r="L1669">
            <v>6532</v>
          </cell>
          <cell r="M1669">
            <v>46136</v>
          </cell>
        </row>
        <row r="1670">
          <cell r="L1670">
            <v>1009</v>
          </cell>
          <cell r="M1670">
            <v>46136</v>
          </cell>
        </row>
        <row r="1671">
          <cell r="L1671">
            <v>1135</v>
          </cell>
          <cell r="M1671">
            <v>46136</v>
          </cell>
        </row>
        <row r="1672">
          <cell r="L1672">
            <v>3855</v>
          </cell>
          <cell r="M1672">
            <v>46136</v>
          </cell>
        </row>
        <row r="1673">
          <cell r="L1673">
            <v>3626</v>
          </cell>
          <cell r="M1673">
            <v>46136</v>
          </cell>
        </row>
        <row r="1674">
          <cell r="L1674">
            <v>3833</v>
          </cell>
          <cell r="M1674">
            <v>46136</v>
          </cell>
        </row>
        <row r="1675">
          <cell r="L1675">
            <v>8354</v>
          </cell>
          <cell r="M1675">
            <v>46136</v>
          </cell>
        </row>
        <row r="1676">
          <cell r="L1676">
            <v>5493</v>
          </cell>
          <cell r="M1676">
            <v>46136</v>
          </cell>
        </row>
        <row r="1677">
          <cell r="L1677">
            <v>3651</v>
          </cell>
          <cell r="M1677">
            <v>46136</v>
          </cell>
        </row>
        <row r="1678">
          <cell r="L1678">
            <v>8201</v>
          </cell>
          <cell r="M1678">
            <v>46136</v>
          </cell>
        </row>
        <row r="1679">
          <cell r="L1679">
            <v>409</v>
          </cell>
          <cell r="M1679">
            <v>46136</v>
          </cell>
        </row>
        <row r="1680">
          <cell r="L1680">
            <v>6991</v>
          </cell>
          <cell r="M1680">
            <v>46136</v>
          </cell>
        </row>
        <row r="1681">
          <cell r="L1681">
            <v>8986</v>
          </cell>
          <cell r="M1681">
            <v>46136</v>
          </cell>
        </row>
        <row r="1682">
          <cell r="L1682">
            <v>8483</v>
          </cell>
          <cell r="M1682">
            <v>46136</v>
          </cell>
        </row>
        <row r="1683">
          <cell r="L1683">
            <v>4613</v>
          </cell>
          <cell r="M1683">
            <v>46136</v>
          </cell>
        </row>
        <row r="1684">
          <cell r="L1684">
            <v>434</v>
          </cell>
          <cell r="M1684">
            <v>46136</v>
          </cell>
        </row>
        <row r="1685">
          <cell r="L1685">
            <v>4056</v>
          </cell>
          <cell r="M1685">
            <v>46136</v>
          </cell>
        </row>
        <row r="1686">
          <cell r="L1686">
            <v>1007</v>
          </cell>
          <cell r="M1686">
            <v>46136</v>
          </cell>
        </row>
        <row r="1687">
          <cell r="L1687">
            <v>8254</v>
          </cell>
          <cell r="M1687">
            <v>46136</v>
          </cell>
        </row>
        <row r="1688">
          <cell r="L1688">
            <v>3794</v>
          </cell>
          <cell r="M1688">
            <v>46136</v>
          </cell>
        </row>
        <row r="1689">
          <cell r="L1689">
            <v>8373</v>
          </cell>
          <cell r="M1689">
            <v>46136</v>
          </cell>
        </row>
        <row r="1690">
          <cell r="L1690">
            <v>4181</v>
          </cell>
          <cell r="M1690">
            <v>46136</v>
          </cell>
        </row>
        <row r="1691">
          <cell r="L1691">
            <v>8366</v>
          </cell>
          <cell r="M1691">
            <v>46136</v>
          </cell>
        </row>
        <row r="1692">
          <cell r="L1692">
            <v>259</v>
          </cell>
          <cell r="M1692">
            <v>46136</v>
          </cell>
        </row>
        <row r="1693">
          <cell r="L1693">
            <v>12541</v>
          </cell>
          <cell r="M1693">
            <v>46136</v>
          </cell>
        </row>
        <row r="1694">
          <cell r="L1694">
            <v>12542</v>
          </cell>
          <cell r="M1694">
            <v>46136</v>
          </cell>
        </row>
        <row r="1695">
          <cell r="L1695">
            <v>11758</v>
          </cell>
          <cell r="M1695">
            <v>46135</v>
          </cell>
        </row>
        <row r="1696">
          <cell r="L1696">
            <v>12292</v>
          </cell>
          <cell r="M1696">
            <v>46135</v>
          </cell>
        </row>
        <row r="1697">
          <cell r="L1697">
            <v>585</v>
          </cell>
          <cell r="M1697">
            <v>46135</v>
          </cell>
        </row>
        <row r="1698">
          <cell r="L1698">
            <v>10059</v>
          </cell>
          <cell r="M1698">
            <v>46136</v>
          </cell>
        </row>
        <row r="1699">
          <cell r="L1699">
            <v>1126</v>
          </cell>
          <cell r="M1699">
            <v>46136</v>
          </cell>
        </row>
        <row r="1700">
          <cell r="L1700">
            <v>11512</v>
          </cell>
          <cell r="M1700">
            <v>46136</v>
          </cell>
        </row>
        <row r="1701">
          <cell r="L1701">
            <v>11745</v>
          </cell>
          <cell r="M1701">
            <v>46136</v>
          </cell>
        </row>
        <row r="1702">
          <cell r="L1702">
            <v>1199</v>
          </cell>
          <cell r="M1702">
            <v>46136</v>
          </cell>
        </row>
        <row r="1703">
          <cell r="L1703">
            <v>12088</v>
          </cell>
          <cell r="M1703">
            <v>46136</v>
          </cell>
        </row>
        <row r="1704">
          <cell r="L1704">
            <v>1369</v>
          </cell>
          <cell r="M1704">
            <v>46136</v>
          </cell>
        </row>
        <row r="1705">
          <cell r="L1705">
            <v>1379</v>
          </cell>
          <cell r="M1705">
            <v>46136</v>
          </cell>
        </row>
        <row r="1706">
          <cell r="L1706">
            <v>1473</v>
          </cell>
          <cell r="M1706">
            <v>46136</v>
          </cell>
        </row>
        <row r="1707">
          <cell r="L1707">
            <v>2462</v>
          </cell>
          <cell r="M1707">
            <v>46136</v>
          </cell>
        </row>
        <row r="1708">
          <cell r="L1708">
            <v>3024</v>
          </cell>
          <cell r="M1708">
            <v>46136</v>
          </cell>
        </row>
        <row r="1709">
          <cell r="L1709">
            <v>359</v>
          </cell>
          <cell r="M1709">
            <v>46136</v>
          </cell>
        </row>
        <row r="1710">
          <cell r="L1710">
            <v>371</v>
          </cell>
          <cell r="M1710">
            <v>46136</v>
          </cell>
        </row>
        <row r="1711">
          <cell r="L1711">
            <v>3758</v>
          </cell>
          <cell r="M1711">
            <v>46136</v>
          </cell>
        </row>
        <row r="1712">
          <cell r="L1712">
            <v>4543</v>
          </cell>
          <cell r="M1712">
            <v>46136</v>
          </cell>
        </row>
        <row r="1713">
          <cell r="L1713">
            <v>5590</v>
          </cell>
          <cell r="M1713">
            <v>46136</v>
          </cell>
        </row>
        <row r="1714">
          <cell r="L1714">
            <v>586</v>
          </cell>
          <cell r="M1714">
            <v>46136</v>
          </cell>
        </row>
        <row r="1715">
          <cell r="L1715">
            <v>12558</v>
          </cell>
          <cell r="M1715">
            <v>46136</v>
          </cell>
        </row>
        <row r="1716">
          <cell r="L1716">
            <v>569</v>
          </cell>
          <cell r="M1716">
            <v>46136</v>
          </cell>
        </row>
        <row r="1717">
          <cell r="L1717">
            <v>1390</v>
          </cell>
          <cell r="M1717">
            <v>46136</v>
          </cell>
        </row>
        <row r="1718">
          <cell r="L1718">
            <v>7918</v>
          </cell>
          <cell r="M1718">
            <v>46137</v>
          </cell>
        </row>
        <row r="1719">
          <cell r="L1719">
            <v>9035</v>
          </cell>
          <cell r="M1719">
            <v>46137</v>
          </cell>
        </row>
        <row r="1720">
          <cell r="L1720">
            <v>11446</v>
          </cell>
          <cell r="M1720">
            <v>46137</v>
          </cell>
        </row>
        <row r="1721">
          <cell r="L1721">
            <v>9063</v>
          </cell>
          <cell r="M1721">
            <v>46137</v>
          </cell>
        </row>
        <row r="1722">
          <cell r="L1722">
            <v>11876</v>
          </cell>
          <cell r="M1722">
            <v>46137</v>
          </cell>
        </row>
        <row r="1723">
          <cell r="L1723">
            <v>624</v>
          </cell>
          <cell r="M1723">
            <v>46137</v>
          </cell>
        </row>
        <row r="1724">
          <cell r="L1724">
            <v>623</v>
          </cell>
          <cell r="M1724">
            <v>46137</v>
          </cell>
        </row>
        <row r="1725">
          <cell r="L1725">
            <v>8233</v>
          </cell>
          <cell r="M1725">
            <v>46137</v>
          </cell>
        </row>
        <row r="1726">
          <cell r="L1726">
            <v>11192</v>
          </cell>
          <cell r="M1726">
            <v>46137</v>
          </cell>
        </row>
        <row r="1727">
          <cell r="L1727">
            <v>8462</v>
          </cell>
          <cell r="M1727">
            <v>46137</v>
          </cell>
        </row>
        <row r="1728">
          <cell r="L1728">
            <v>12312</v>
          </cell>
          <cell r="M1728">
            <v>46137</v>
          </cell>
        </row>
        <row r="1729">
          <cell r="L1729">
            <v>11733</v>
          </cell>
          <cell r="M1729">
            <v>46137</v>
          </cell>
        </row>
        <row r="1730">
          <cell r="L1730">
            <v>11781</v>
          </cell>
          <cell r="M1730">
            <v>46137</v>
          </cell>
        </row>
        <row r="1731">
          <cell r="L1731">
            <v>11793</v>
          </cell>
          <cell r="M1731">
            <v>46137</v>
          </cell>
        </row>
        <row r="1732">
          <cell r="L1732">
            <v>11699</v>
          </cell>
          <cell r="M1732">
            <v>46137</v>
          </cell>
        </row>
        <row r="1733">
          <cell r="L1733">
            <v>4105</v>
          </cell>
          <cell r="M1733">
            <v>46137</v>
          </cell>
        </row>
        <row r="1734">
          <cell r="L1734">
            <v>8234</v>
          </cell>
          <cell r="M1734">
            <v>46137</v>
          </cell>
        </row>
        <row r="1735">
          <cell r="L1735">
            <v>9455</v>
          </cell>
          <cell r="M1735">
            <v>46137</v>
          </cell>
        </row>
        <row r="1736">
          <cell r="L1736">
            <v>9814</v>
          </cell>
          <cell r="M1736">
            <v>46137</v>
          </cell>
        </row>
        <row r="1737">
          <cell r="L1737">
            <v>9174</v>
          </cell>
          <cell r="M1737">
            <v>46137</v>
          </cell>
        </row>
        <row r="1738">
          <cell r="L1738">
            <v>4678</v>
          </cell>
          <cell r="M1738">
            <v>46137</v>
          </cell>
        </row>
        <row r="1739">
          <cell r="L1739">
            <v>4721</v>
          </cell>
          <cell r="M1739">
            <v>46137</v>
          </cell>
        </row>
        <row r="1740">
          <cell r="L1740">
            <v>4326</v>
          </cell>
          <cell r="M1740">
            <v>46137</v>
          </cell>
        </row>
        <row r="1741">
          <cell r="L1741">
            <v>3625</v>
          </cell>
          <cell r="M1741">
            <v>46137</v>
          </cell>
        </row>
        <row r="1742">
          <cell r="L1742">
            <v>3757</v>
          </cell>
          <cell r="M1742">
            <v>46137</v>
          </cell>
        </row>
        <row r="1743">
          <cell r="L1743">
            <v>1292</v>
          </cell>
          <cell r="M1743">
            <v>46137</v>
          </cell>
        </row>
        <row r="1744">
          <cell r="L1744">
            <v>576</v>
          </cell>
          <cell r="M1744">
            <v>46137</v>
          </cell>
        </row>
        <row r="1745">
          <cell r="L1745">
            <v>574</v>
          </cell>
          <cell r="M1745">
            <v>46137</v>
          </cell>
        </row>
        <row r="1746">
          <cell r="L1746">
            <v>263</v>
          </cell>
          <cell r="M1746">
            <v>46137</v>
          </cell>
        </row>
        <row r="1747">
          <cell r="L1747">
            <v>9234</v>
          </cell>
          <cell r="M1747">
            <v>46137</v>
          </cell>
        </row>
        <row r="1748">
          <cell r="L1748">
            <v>9233</v>
          </cell>
          <cell r="M1748">
            <v>46137</v>
          </cell>
        </row>
        <row r="1749">
          <cell r="L1749">
            <v>8437</v>
          </cell>
          <cell r="M1749">
            <v>46137</v>
          </cell>
        </row>
        <row r="1750">
          <cell r="L1750">
            <v>9895</v>
          </cell>
          <cell r="M1750">
            <v>46137</v>
          </cell>
        </row>
        <row r="1751">
          <cell r="L1751">
            <v>4328</v>
          </cell>
          <cell r="M1751">
            <v>46137</v>
          </cell>
        </row>
        <row r="1752">
          <cell r="L1752">
            <v>9287</v>
          </cell>
          <cell r="M1752">
            <v>46137</v>
          </cell>
        </row>
        <row r="1753">
          <cell r="L1753">
            <v>8616</v>
          </cell>
          <cell r="M1753">
            <v>46137</v>
          </cell>
        </row>
        <row r="1754">
          <cell r="L1754">
            <v>8908</v>
          </cell>
          <cell r="M1754">
            <v>46137</v>
          </cell>
        </row>
        <row r="1755">
          <cell r="L1755">
            <v>11904</v>
          </cell>
          <cell r="M1755">
            <v>46137</v>
          </cell>
        </row>
        <row r="1756">
          <cell r="L1756">
            <v>8781</v>
          </cell>
          <cell r="M1756">
            <v>46137</v>
          </cell>
        </row>
        <row r="1757">
          <cell r="L1757">
            <v>10171</v>
          </cell>
          <cell r="M1757">
            <v>46137</v>
          </cell>
        </row>
        <row r="1758">
          <cell r="L1758">
            <v>12484</v>
          </cell>
          <cell r="M1758">
            <v>46137</v>
          </cell>
        </row>
        <row r="1759">
          <cell r="L1759">
            <v>8767</v>
          </cell>
          <cell r="M1759">
            <v>46137</v>
          </cell>
        </row>
        <row r="1760">
          <cell r="L1760">
            <v>8845</v>
          </cell>
          <cell r="M1760">
            <v>46137</v>
          </cell>
        </row>
        <row r="1761">
          <cell r="L1761">
            <v>9049</v>
          </cell>
          <cell r="M1761">
            <v>46137</v>
          </cell>
        </row>
        <row r="1762">
          <cell r="L1762">
            <v>9514</v>
          </cell>
          <cell r="M1762">
            <v>46137</v>
          </cell>
        </row>
        <row r="1763">
          <cell r="L1763">
            <v>12247</v>
          </cell>
          <cell r="M1763">
            <v>46137</v>
          </cell>
        </row>
        <row r="1764">
          <cell r="L1764">
            <v>12246</v>
          </cell>
          <cell r="M1764">
            <v>46137</v>
          </cell>
        </row>
        <row r="1765">
          <cell r="L1765">
            <v>9516</v>
          </cell>
          <cell r="M1765">
            <v>46137</v>
          </cell>
        </row>
        <row r="1766">
          <cell r="L1766">
            <v>9517</v>
          </cell>
          <cell r="M1766">
            <v>46137</v>
          </cell>
        </row>
        <row r="1767">
          <cell r="L1767">
            <v>8766</v>
          </cell>
          <cell r="M1767">
            <v>46137</v>
          </cell>
        </row>
        <row r="1768">
          <cell r="L1768">
            <v>1437</v>
          </cell>
          <cell r="M1768">
            <v>46137</v>
          </cell>
        </row>
        <row r="1769">
          <cell r="L1769">
            <v>8728</v>
          </cell>
          <cell r="M1769">
            <v>46137</v>
          </cell>
        </row>
        <row r="1770">
          <cell r="L1770">
            <v>8847</v>
          </cell>
          <cell r="M1770">
            <v>46137</v>
          </cell>
        </row>
        <row r="1771">
          <cell r="L1771">
            <v>4328</v>
          </cell>
          <cell r="M1771">
            <v>46137</v>
          </cell>
        </row>
        <row r="1772">
          <cell r="L1772">
            <v>8550</v>
          </cell>
          <cell r="M1772">
            <v>46137</v>
          </cell>
        </row>
        <row r="1773">
          <cell r="L1773">
            <v>8810</v>
          </cell>
          <cell r="M1773">
            <v>46137</v>
          </cell>
        </row>
        <row r="1774">
          <cell r="L1774">
            <v>8908</v>
          </cell>
          <cell r="M1774">
            <v>46137</v>
          </cell>
        </row>
        <row r="1775">
          <cell r="L1775">
            <v>9627</v>
          </cell>
          <cell r="M1775">
            <v>46137</v>
          </cell>
        </row>
        <row r="1776">
          <cell r="L1776">
            <v>9904</v>
          </cell>
          <cell r="M1776">
            <v>46137</v>
          </cell>
        </row>
        <row r="1777">
          <cell r="L1777">
            <v>11348</v>
          </cell>
          <cell r="M1777">
            <v>46137</v>
          </cell>
        </row>
        <row r="1778">
          <cell r="L1778">
            <v>1538</v>
          </cell>
          <cell r="M1778">
            <v>46137</v>
          </cell>
        </row>
        <row r="1779">
          <cell r="L1779">
            <v>6454</v>
          </cell>
          <cell r="M1779">
            <v>46137</v>
          </cell>
        </row>
        <row r="1780">
          <cell r="L1780">
            <v>4323</v>
          </cell>
          <cell r="M1780">
            <v>46137</v>
          </cell>
        </row>
        <row r="1781">
          <cell r="L1781">
            <v>10089</v>
          </cell>
          <cell r="M1781">
            <v>46137</v>
          </cell>
        </row>
        <row r="1782">
          <cell r="L1782">
            <v>10386</v>
          </cell>
          <cell r="M1782">
            <v>46137</v>
          </cell>
        </row>
        <row r="1783">
          <cell r="L1783">
            <v>5670</v>
          </cell>
          <cell r="M1783">
            <v>46137</v>
          </cell>
        </row>
        <row r="1784">
          <cell r="L1784">
            <v>1536</v>
          </cell>
          <cell r="M1784">
            <v>46137</v>
          </cell>
        </row>
        <row r="1785">
          <cell r="L1785">
            <v>1049</v>
          </cell>
          <cell r="M1785">
            <v>46137</v>
          </cell>
        </row>
        <row r="1786">
          <cell r="L1786">
            <v>9776</v>
          </cell>
          <cell r="M1786">
            <v>46137</v>
          </cell>
        </row>
        <row r="1787">
          <cell r="L1787">
            <v>2993</v>
          </cell>
          <cell r="M1787">
            <v>46137</v>
          </cell>
        </row>
        <row r="1788">
          <cell r="L1788">
            <v>1032</v>
          </cell>
          <cell r="M1788">
            <v>46137</v>
          </cell>
        </row>
        <row r="1789">
          <cell r="L1789">
            <v>12240</v>
          </cell>
          <cell r="M1789">
            <v>46137</v>
          </cell>
        </row>
        <row r="1790">
          <cell r="L1790">
            <v>12250</v>
          </cell>
          <cell r="M1790">
            <v>46137</v>
          </cell>
        </row>
        <row r="1791">
          <cell r="L1791">
            <v>12251</v>
          </cell>
          <cell r="M1791">
            <v>46137</v>
          </cell>
        </row>
        <row r="1792">
          <cell r="L1792">
            <v>3760</v>
          </cell>
          <cell r="M1792">
            <v>46137</v>
          </cell>
        </row>
        <row r="1793">
          <cell r="L1793">
            <v>3118</v>
          </cell>
          <cell r="M1793">
            <v>46137</v>
          </cell>
        </row>
        <row r="1794">
          <cell r="L1794">
            <v>12250</v>
          </cell>
          <cell r="M1794">
            <v>46137</v>
          </cell>
        </row>
        <row r="1795">
          <cell r="L1795">
            <v>12251</v>
          </cell>
          <cell r="M1795">
            <v>46137</v>
          </cell>
        </row>
        <row r="1796">
          <cell r="L1796">
            <v>10009</v>
          </cell>
          <cell r="M1796">
            <v>46137</v>
          </cell>
        </row>
        <row r="1797">
          <cell r="L1797">
            <v>7689</v>
          </cell>
          <cell r="M1797">
            <v>46137</v>
          </cell>
        </row>
        <row r="1798">
          <cell r="L1798">
            <v>6725</v>
          </cell>
          <cell r="M1798">
            <v>46137</v>
          </cell>
        </row>
        <row r="1799">
          <cell r="L1799">
            <v>1251</v>
          </cell>
          <cell r="M1799">
            <v>46139</v>
          </cell>
        </row>
        <row r="1800">
          <cell r="L1800">
            <v>1167</v>
          </cell>
          <cell r="M1800">
            <v>46139</v>
          </cell>
        </row>
        <row r="1801">
          <cell r="L1801">
            <v>7893</v>
          </cell>
          <cell r="M1801">
            <v>46139</v>
          </cell>
        </row>
        <row r="1802">
          <cell r="L1802">
            <v>11446</v>
          </cell>
          <cell r="M1802">
            <v>46139</v>
          </cell>
        </row>
        <row r="1803">
          <cell r="L1803">
            <v>12332</v>
          </cell>
          <cell r="M1803">
            <v>46139</v>
          </cell>
        </row>
        <row r="1804">
          <cell r="L1804">
            <v>12357</v>
          </cell>
          <cell r="M1804">
            <v>46139</v>
          </cell>
        </row>
        <row r="1805">
          <cell r="L1805">
            <v>12213</v>
          </cell>
          <cell r="M1805">
            <v>46139</v>
          </cell>
        </row>
        <row r="1806">
          <cell r="L1806">
            <v>12480</v>
          </cell>
          <cell r="M1806">
            <v>46139</v>
          </cell>
        </row>
        <row r="1807">
          <cell r="L1807">
            <v>12473</v>
          </cell>
          <cell r="M1807">
            <v>46139</v>
          </cell>
        </row>
        <row r="1808">
          <cell r="L1808">
            <v>12544</v>
          </cell>
          <cell r="M1808">
            <v>46139</v>
          </cell>
        </row>
        <row r="1809">
          <cell r="L1809">
            <v>12474</v>
          </cell>
          <cell r="M1809">
            <v>46139</v>
          </cell>
        </row>
        <row r="1810">
          <cell r="L1810">
            <v>1717</v>
          </cell>
          <cell r="M1810">
            <v>46139</v>
          </cell>
        </row>
        <row r="1811">
          <cell r="L1811">
            <v>3731</v>
          </cell>
          <cell r="M1811">
            <v>46139</v>
          </cell>
        </row>
        <row r="1812">
          <cell r="L1812">
            <v>467</v>
          </cell>
          <cell r="M1812">
            <v>46139</v>
          </cell>
        </row>
        <row r="1813">
          <cell r="L1813">
            <v>4765</v>
          </cell>
          <cell r="M1813">
            <v>46139</v>
          </cell>
        </row>
        <row r="1814">
          <cell r="L1814">
            <v>7440</v>
          </cell>
          <cell r="M1814">
            <v>46139</v>
          </cell>
        </row>
        <row r="1815">
          <cell r="L1815">
            <v>9490</v>
          </cell>
          <cell r="M1815">
            <v>46139</v>
          </cell>
        </row>
        <row r="1816">
          <cell r="L1816">
            <v>9115</v>
          </cell>
          <cell r="M1816">
            <v>46139</v>
          </cell>
        </row>
        <row r="1817">
          <cell r="L1817">
            <v>5439</v>
          </cell>
          <cell r="M1817">
            <v>46139</v>
          </cell>
        </row>
        <row r="1818">
          <cell r="L1818">
            <v>1030</v>
          </cell>
          <cell r="M1818">
            <v>46139</v>
          </cell>
        </row>
        <row r="1819">
          <cell r="L1819">
            <v>10894</v>
          </cell>
          <cell r="M1819">
            <v>46139</v>
          </cell>
        </row>
        <row r="1820">
          <cell r="L1820">
            <v>11091</v>
          </cell>
          <cell r="M1820">
            <v>46139</v>
          </cell>
        </row>
        <row r="1821">
          <cell r="L1821">
            <v>1135</v>
          </cell>
          <cell r="M1821">
            <v>46139</v>
          </cell>
        </row>
        <row r="1822">
          <cell r="L1822">
            <v>9172</v>
          </cell>
          <cell r="M1822">
            <v>46139</v>
          </cell>
        </row>
        <row r="1823">
          <cell r="L1823">
            <v>1379</v>
          </cell>
          <cell r="M1823">
            <v>46139</v>
          </cell>
        </row>
        <row r="1824">
          <cell r="L1824">
            <v>372</v>
          </cell>
          <cell r="M1824">
            <v>46139</v>
          </cell>
        </row>
        <row r="1825">
          <cell r="L1825">
            <v>5051</v>
          </cell>
          <cell r="M1825">
            <v>46139</v>
          </cell>
        </row>
        <row r="1826">
          <cell r="L1826">
            <v>1538</v>
          </cell>
          <cell r="M1826">
            <v>46139</v>
          </cell>
        </row>
        <row r="1827">
          <cell r="L1827">
            <v>2713</v>
          </cell>
          <cell r="M1827">
            <v>46139</v>
          </cell>
        </row>
        <row r="1828">
          <cell r="L1828">
            <v>2518</v>
          </cell>
          <cell r="M1828">
            <v>46139</v>
          </cell>
        </row>
        <row r="1829">
          <cell r="L1829">
            <v>2388</v>
          </cell>
          <cell r="M1829">
            <v>46139</v>
          </cell>
        </row>
        <row r="1830">
          <cell r="L1830">
            <v>1203</v>
          </cell>
          <cell r="M1830">
            <v>46139</v>
          </cell>
        </row>
        <row r="1831">
          <cell r="L1831">
            <v>2732</v>
          </cell>
          <cell r="M1831">
            <v>46139</v>
          </cell>
        </row>
        <row r="1832">
          <cell r="L1832">
            <v>10107</v>
          </cell>
          <cell r="M1832">
            <v>46139</v>
          </cell>
        </row>
        <row r="1833">
          <cell r="L1833">
            <v>11230</v>
          </cell>
          <cell r="M1833">
            <v>46139</v>
          </cell>
        </row>
        <row r="1834">
          <cell r="L1834">
            <v>11674</v>
          </cell>
          <cell r="M1834">
            <v>46139</v>
          </cell>
        </row>
        <row r="1835">
          <cell r="L1835">
            <v>3708</v>
          </cell>
          <cell r="M1835">
            <v>46139</v>
          </cell>
        </row>
        <row r="1836">
          <cell r="L1836">
            <v>5208</v>
          </cell>
          <cell r="M1836">
            <v>46139</v>
          </cell>
        </row>
        <row r="1837">
          <cell r="L1837">
            <v>4671</v>
          </cell>
          <cell r="M1837">
            <v>46139</v>
          </cell>
        </row>
        <row r="1838">
          <cell r="L1838">
            <v>5125</v>
          </cell>
          <cell r="M1838">
            <v>46139</v>
          </cell>
        </row>
        <row r="1839">
          <cell r="L1839">
            <v>3262</v>
          </cell>
          <cell r="M1839">
            <v>46139</v>
          </cell>
        </row>
        <row r="1840">
          <cell r="L1840">
            <v>12002</v>
          </cell>
          <cell r="M1840">
            <v>46139</v>
          </cell>
        </row>
        <row r="1841">
          <cell r="L1841">
            <v>3684</v>
          </cell>
          <cell r="M1841">
            <v>46140</v>
          </cell>
        </row>
        <row r="1842">
          <cell r="L1842">
            <v>4350</v>
          </cell>
          <cell r="M1842">
            <v>46140</v>
          </cell>
        </row>
        <row r="1843">
          <cell r="L1843">
            <v>3686</v>
          </cell>
          <cell r="M1843">
            <v>46140</v>
          </cell>
        </row>
        <row r="1844">
          <cell r="L1844">
            <v>3766</v>
          </cell>
          <cell r="M1844">
            <v>46140</v>
          </cell>
        </row>
        <row r="1845">
          <cell r="L1845">
            <v>4094</v>
          </cell>
          <cell r="M1845">
            <v>46140</v>
          </cell>
        </row>
        <row r="1846">
          <cell r="L1846">
            <v>4817</v>
          </cell>
          <cell r="M1846">
            <v>46140</v>
          </cell>
        </row>
        <row r="1847">
          <cell r="L1847">
            <v>4103</v>
          </cell>
          <cell r="M1847">
            <v>46140</v>
          </cell>
        </row>
        <row r="1848">
          <cell r="L1848">
            <v>4236</v>
          </cell>
          <cell r="M1848">
            <v>46140</v>
          </cell>
        </row>
        <row r="1849">
          <cell r="L1849">
            <v>9501</v>
          </cell>
          <cell r="M1849">
            <v>46140</v>
          </cell>
        </row>
        <row r="1850">
          <cell r="L1850">
            <v>4261</v>
          </cell>
          <cell r="M1850">
            <v>46140</v>
          </cell>
        </row>
        <row r="1851">
          <cell r="L1851">
            <v>7894</v>
          </cell>
          <cell r="M1851">
            <v>46140</v>
          </cell>
        </row>
        <row r="1852">
          <cell r="L1852">
            <v>5310</v>
          </cell>
          <cell r="M1852">
            <v>46140</v>
          </cell>
        </row>
        <row r="1853">
          <cell r="L1853">
            <v>8843</v>
          </cell>
          <cell r="M1853">
            <v>46140</v>
          </cell>
        </row>
        <row r="1854">
          <cell r="L1854">
            <v>8426</v>
          </cell>
          <cell r="M1854">
            <v>46140</v>
          </cell>
        </row>
        <row r="1855">
          <cell r="L1855">
            <v>8678</v>
          </cell>
          <cell r="M1855">
            <v>46140</v>
          </cell>
        </row>
        <row r="1856">
          <cell r="L1856">
            <v>4282</v>
          </cell>
          <cell r="M1856">
            <v>46140</v>
          </cell>
        </row>
        <row r="1857">
          <cell r="L1857">
            <v>8363</v>
          </cell>
          <cell r="M1857">
            <v>46140</v>
          </cell>
        </row>
        <row r="1858">
          <cell r="L1858">
            <v>9560</v>
          </cell>
          <cell r="M1858">
            <v>46140</v>
          </cell>
        </row>
        <row r="1859">
          <cell r="L1859">
            <v>9388</v>
          </cell>
          <cell r="M1859">
            <v>46140</v>
          </cell>
        </row>
        <row r="1860">
          <cell r="L1860">
            <v>9390</v>
          </cell>
          <cell r="M1860">
            <v>46140</v>
          </cell>
        </row>
        <row r="1861">
          <cell r="L1861">
            <v>9359</v>
          </cell>
          <cell r="M1861">
            <v>46140</v>
          </cell>
        </row>
        <row r="1862">
          <cell r="L1862">
            <v>12424</v>
          </cell>
          <cell r="M1862">
            <v>46140</v>
          </cell>
        </row>
        <row r="1863">
          <cell r="L1863">
            <v>12308</v>
          </cell>
          <cell r="M1863">
            <v>46140</v>
          </cell>
        </row>
        <row r="1864">
          <cell r="L1864">
            <v>6910</v>
          </cell>
          <cell r="M1864">
            <v>46140</v>
          </cell>
        </row>
        <row r="1865">
          <cell r="L1865">
            <v>1010</v>
          </cell>
          <cell r="M1865">
            <v>46140</v>
          </cell>
        </row>
        <row r="1866">
          <cell r="L1866">
            <v>12321</v>
          </cell>
          <cell r="M1866">
            <v>46140</v>
          </cell>
        </row>
        <row r="1867">
          <cell r="L1867">
            <v>7251</v>
          </cell>
          <cell r="M1867">
            <v>46140</v>
          </cell>
        </row>
        <row r="1868">
          <cell r="L1868">
            <v>9686</v>
          </cell>
          <cell r="M1868">
            <v>46140</v>
          </cell>
        </row>
        <row r="1869">
          <cell r="L1869">
            <v>7248</v>
          </cell>
          <cell r="M1869">
            <v>46140</v>
          </cell>
        </row>
        <row r="1870">
          <cell r="L1870">
            <v>7317</v>
          </cell>
          <cell r="M1870">
            <v>46140</v>
          </cell>
        </row>
        <row r="1871">
          <cell r="L1871">
            <v>7250</v>
          </cell>
          <cell r="M1871">
            <v>46140</v>
          </cell>
        </row>
        <row r="1872">
          <cell r="L1872">
            <v>7193</v>
          </cell>
          <cell r="M1872">
            <v>46140</v>
          </cell>
        </row>
        <row r="1873">
          <cell r="L1873">
            <v>7195</v>
          </cell>
          <cell r="M1873">
            <v>46140</v>
          </cell>
        </row>
        <row r="1874">
          <cell r="L1874">
            <v>7196</v>
          </cell>
          <cell r="M1874">
            <v>46140</v>
          </cell>
        </row>
        <row r="1875">
          <cell r="L1875">
            <v>2893</v>
          </cell>
          <cell r="M1875">
            <v>46140</v>
          </cell>
        </row>
        <row r="1876">
          <cell r="L1876">
            <v>11002</v>
          </cell>
          <cell r="M1876">
            <v>46140</v>
          </cell>
        </row>
        <row r="1877">
          <cell r="L1877">
            <v>11003</v>
          </cell>
          <cell r="M1877">
            <v>46140</v>
          </cell>
        </row>
        <row r="1878">
          <cell r="L1878">
            <v>11101</v>
          </cell>
          <cell r="M1878">
            <v>46140</v>
          </cell>
        </row>
        <row r="1879">
          <cell r="L1879">
            <v>11233</v>
          </cell>
          <cell r="M1879">
            <v>46140</v>
          </cell>
        </row>
        <row r="1880">
          <cell r="L1880">
            <v>11244</v>
          </cell>
          <cell r="M1880">
            <v>46140</v>
          </cell>
        </row>
        <row r="1881">
          <cell r="L1881">
            <v>11330</v>
          </cell>
          <cell r="M1881">
            <v>46140</v>
          </cell>
        </row>
        <row r="1882">
          <cell r="L1882">
            <v>11874</v>
          </cell>
          <cell r="M1882">
            <v>46140</v>
          </cell>
        </row>
        <row r="1883">
          <cell r="L1883">
            <v>7315</v>
          </cell>
          <cell r="M1883">
            <v>46140</v>
          </cell>
        </row>
        <row r="1884">
          <cell r="L1884">
            <v>5363</v>
          </cell>
          <cell r="M1884">
            <v>46140</v>
          </cell>
        </row>
        <row r="1885">
          <cell r="L1885">
            <v>12464</v>
          </cell>
          <cell r="M1885">
            <v>46140</v>
          </cell>
        </row>
        <row r="1886">
          <cell r="L1886">
            <v>11736</v>
          </cell>
          <cell r="M1886">
            <v>46140</v>
          </cell>
        </row>
        <row r="1887">
          <cell r="L1887">
            <v>8462</v>
          </cell>
          <cell r="M1887">
            <v>46140</v>
          </cell>
        </row>
        <row r="1888">
          <cell r="L1888">
            <v>12021</v>
          </cell>
          <cell r="M1888">
            <v>46140</v>
          </cell>
        </row>
        <row r="1889">
          <cell r="L1889">
            <v>8126</v>
          </cell>
          <cell r="M1889">
            <v>46140</v>
          </cell>
        </row>
        <row r="1890">
          <cell r="L1890">
            <v>12387</v>
          </cell>
          <cell r="M1890">
            <v>46140</v>
          </cell>
        </row>
        <row r="1891">
          <cell r="L1891">
            <v>12414</v>
          </cell>
          <cell r="M1891">
            <v>46140</v>
          </cell>
        </row>
        <row r="1892">
          <cell r="L1892">
            <v>12422</v>
          </cell>
          <cell r="M1892">
            <v>46140</v>
          </cell>
        </row>
        <row r="1893">
          <cell r="L1893">
            <v>8196</v>
          </cell>
          <cell r="M1893">
            <v>46140</v>
          </cell>
        </row>
        <row r="1894">
          <cell r="L1894">
            <v>11137</v>
          </cell>
          <cell r="M1894">
            <v>46140</v>
          </cell>
        </row>
        <row r="1895">
          <cell r="L1895">
            <v>11911</v>
          </cell>
          <cell r="M1895">
            <v>46139</v>
          </cell>
        </row>
        <row r="1896">
          <cell r="L1896">
            <v>12205</v>
          </cell>
          <cell r="M1896">
            <v>46139</v>
          </cell>
        </row>
        <row r="1897">
          <cell r="L1897">
            <v>654</v>
          </cell>
          <cell r="M1897">
            <v>46139</v>
          </cell>
        </row>
        <row r="1898">
          <cell r="L1898">
            <v>656</v>
          </cell>
          <cell r="M1898">
            <v>46139</v>
          </cell>
        </row>
        <row r="1899">
          <cell r="L1899">
            <v>8551</v>
          </cell>
          <cell r="M1899">
            <v>46139</v>
          </cell>
        </row>
        <row r="1900">
          <cell r="L1900">
            <v>8620</v>
          </cell>
          <cell r="M1900">
            <v>46139</v>
          </cell>
        </row>
        <row r="1901">
          <cell r="L1901">
            <v>8810</v>
          </cell>
          <cell r="M1901">
            <v>46139</v>
          </cell>
        </row>
        <row r="1902">
          <cell r="L1902">
            <v>8847</v>
          </cell>
          <cell r="M1902">
            <v>46139</v>
          </cell>
        </row>
        <row r="1903">
          <cell r="L1903">
            <v>1734</v>
          </cell>
          <cell r="M1903">
            <v>46140</v>
          </cell>
        </row>
        <row r="1904">
          <cell r="L1904">
            <v>11758</v>
          </cell>
          <cell r="M1904">
            <v>46140</v>
          </cell>
        </row>
        <row r="1905">
          <cell r="L1905">
            <v>12104</v>
          </cell>
          <cell r="M1905">
            <v>46140</v>
          </cell>
        </row>
        <row r="1906">
          <cell r="L1906">
            <v>2732</v>
          </cell>
          <cell r="M1906">
            <v>46140</v>
          </cell>
        </row>
        <row r="1907">
          <cell r="L1907">
            <v>11312</v>
          </cell>
          <cell r="M1907">
            <v>46140</v>
          </cell>
        </row>
        <row r="1908">
          <cell r="L1908">
            <v>11547</v>
          </cell>
          <cell r="M1908">
            <v>46140</v>
          </cell>
        </row>
        <row r="1909">
          <cell r="L1909">
            <v>11757</v>
          </cell>
          <cell r="M1909">
            <v>46140</v>
          </cell>
        </row>
        <row r="1910">
          <cell r="L1910">
            <v>11814</v>
          </cell>
          <cell r="M1910">
            <v>46140</v>
          </cell>
        </row>
        <row r="1911">
          <cell r="L1911">
            <v>11815</v>
          </cell>
          <cell r="M1911">
            <v>46140</v>
          </cell>
        </row>
        <row r="1912">
          <cell r="L1912">
            <v>12105</v>
          </cell>
          <cell r="M1912">
            <v>46140</v>
          </cell>
        </row>
        <row r="1913">
          <cell r="L1913">
            <v>12106</v>
          </cell>
          <cell r="M1913">
            <v>46140</v>
          </cell>
        </row>
        <row r="1914">
          <cell r="L1914">
            <v>3103</v>
          </cell>
          <cell r="M1914">
            <v>46140</v>
          </cell>
        </row>
        <row r="1915">
          <cell r="L1915">
            <v>3104</v>
          </cell>
          <cell r="M1915">
            <v>46140</v>
          </cell>
        </row>
        <row r="1916">
          <cell r="L1916">
            <v>2637</v>
          </cell>
          <cell r="M1916">
            <v>46140</v>
          </cell>
        </row>
        <row r="1917">
          <cell r="L1917">
            <v>9777</v>
          </cell>
          <cell r="M1917">
            <v>46141</v>
          </cell>
        </row>
        <row r="1918">
          <cell r="L1918">
            <v>3284</v>
          </cell>
          <cell r="M1918">
            <v>46141</v>
          </cell>
        </row>
        <row r="1919">
          <cell r="L1919">
            <v>5835</v>
          </cell>
          <cell r="M1919">
            <v>46141</v>
          </cell>
        </row>
        <row r="1920">
          <cell r="L1920">
            <v>6821</v>
          </cell>
          <cell r="M1920">
            <v>46141</v>
          </cell>
        </row>
        <row r="1921">
          <cell r="L1921">
            <v>8906</v>
          </cell>
          <cell r="M1921">
            <v>46141</v>
          </cell>
        </row>
        <row r="1922">
          <cell r="L1922">
            <v>9391</v>
          </cell>
          <cell r="M1922">
            <v>46141</v>
          </cell>
        </row>
        <row r="1923">
          <cell r="L1923">
            <v>8900</v>
          </cell>
          <cell r="M1923">
            <v>46141</v>
          </cell>
        </row>
        <row r="1924">
          <cell r="L1924">
            <v>8758</v>
          </cell>
          <cell r="M1924">
            <v>46141</v>
          </cell>
        </row>
        <row r="1925">
          <cell r="L1925">
            <v>8116</v>
          </cell>
          <cell r="M1925">
            <v>46141</v>
          </cell>
        </row>
        <row r="1926">
          <cell r="L1926">
            <v>9625</v>
          </cell>
          <cell r="M1926">
            <v>46141</v>
          </cell>
        </row>
        <row r="1927">
          <cell r="L1927">
            <v>8437</v>
          </cell>
          <cell r="M1927">
            <v>46141</v>
          </cell>
        </row>
        <row r="1928">
          <cell r="L1928">
            <v>8769</v>
          </cell>
          <cell r="M1928">
            <v>46141</v>
          </cell>
        </row>
        <row r="1929">
          <cell r="L1929">
            <v>8697</v>
          </cell>
          <cell r="M1929">
            <v>46141</v>
          </cell>
        </row>
        <row r="1930">
          <cell r="L1930">
            <v>9812</v>
          </cell>
          <cell r="M1930">
            <v>46141</v>
          </cell>
        </row>
        <row r="1931">
          <cell r="L1931">
            <v>8775</v>
          </cell>
          <cell r="M1931">
            <v>46141</v>
          </cell>
        </row>
        <row r="1932">
          <cell r="L1932">
            <v>10349</v>
          </cell>
          <cell r="M1932">
            <v>46141</v>
          </cell>
        </row>
        <row r="1933">
          <cell r="L1933">
            <v>10172</v>
          </cell>
          <cell r="M1933">
            <v>46141</v>
          </cell>
        </row>
        <row r="1934">
          <cell r="L1934">
            <v>10518</v>
          </cell>
          <cell r="M1934">
            <v>46141</v>
          </cell>
        </row>
        <row r="1935">
          <cell r="L1935">
            <v>10653</v>
          </cell>
          <cell r="M1935">
            <v>46141</v>
          </cell>
        </row>
        <row r="1936">
          <cell r="L1936">
            <v>12309</v>
          </cell>
          <cell r="M1936">
            <v>46141</v>
          </cell>
        </row>
        <row r="1937">
          <cell r="L1937">
            <v>12311</v>
          </cell>
          <cell r="M1937">
            <v>46141</v>
          </cell>
        </row>
        <row r="1938">
          <cell r="L1938">
            <v>243</v>
          </cell>
          <cell r="M1938">
            <v>46141</v>
          </cell>
        </row>
        <row r="1939">
          <cell r="L1939">
            <v>4663</v>
          </cell>
          <cell r="M1939">
            <v>46141</v>
          </cell>
        </row>
        <row r="1940">
          <cell r="L1940">
            <v>6912</v>
          </cell>
          <cell r="M1940">
            <v>46141</v>
          </cell>
        </row>
        <row r="1941">
          <cell r="L1941">
            <v>6914</v>
          </cell>
          <cell r="M1941">
            <v>46141</v>
          </cell>
        </row>
        <row r="1942">
          <cell r="L1942">
            <v>7318</v>
          </cell>
          <cell r="M1942">
            <v>46141</v>
          </cell>
        </row>
        <row r="1943">
          <cell r="L1943">
            <v>4133</v>
          </cell>
          <cell r="M1943">
            <v>46141</v>
          </cell>
        </row>
        <row r="1944">
          <cell r="L1944">
            <v>11290</v>
          </cell>
          <cell r="M1944">
            <v>46141</v>
          </cell>
        </row>
        <row r="1945">
          <cell r="L1945">
            <v>11826</v>
          </cell>
          <cell r="M1945">
            <v>46141</v>
          </cell>
        </row>
        <row r="1946">
          <cell r="L1946">
            <v>11852</v>
          </cell>
          <cell r="M1946">
            <v>46141</v>
          </cell>
        </row>
        <row r="1947">
          <cell r="L1947">
            <v>11926</v>
          </cell>
          <cell r="M1947">
            <v>46141</v>
          </cell>
        </row>
        <row r="1948">
          <cell r="L1948">
            <v>5670</v>
          </cell>
          <cell r="M1948">
            <v>46141</v>
          </cell>
        </row>
        <row r="1949">
          <cell r="L1949">
            <v>1049</v>
          </cell>
          <cell r="M1949">
            <v>46141</v>
          </cell>
        </row>
        <row r="1950">
          <cell r="L1950">
            <v>1714</v>
          </cell>
          <cell r="M1950">
            <v>46141</v>
          </cell>
        </row>
        <row r="1951">
          <cell r="L1951">
            <v>4267</v>
          </cell>
          <cell r="M1951">
            <v>46141</v>
          </cell>
        </row>
        <row r="1952">
          <cell r="L1952">
            <v>4607</v>
          </cell>
          <cell r="M1952">
            <v>46141</v>
          </cell>
        </row>
        <row r="1953">
          <cell r="L1953">
            <v>4612</v>
          </cell>
          <cell r="M1953">
            <v>46141</v>
          </cell>
        </row>
        <row r="1954">
          <cell r="L1954">
            <v>7119</v>
          </cell>
          <cell r="M1954">
            <v>46141</v>
          </cell>
        </row>
        <row r="1955">
          <cell r="L1955">
            <v>10386</v>
          </cell>
          <cell r="M1955">
            <v>46141</v>
          </cell>
        </row>
        <row r="1956">
          <cell r="L1956">
            <v>10009</v>
          </cell>
          <cell r="M1956">
            <v>46141</v>
          </cell>
        </row>
        <row r="1957">
          <cell r="L1957">
            <v>12250</v>
          </cell>
          <cell r="M1957">
            <v>46141</v>
          </cell>
        </row>
        <row r="1958">
          <cell r="L1958">
            <v>278</v>
          </cell>
          <cell r="M1958">
            <v>46141</v>
          </cell>
        </row>
        <row r="1959">
          <cell r="L1959">
            <v>278</v>
          </cell>
          <cell r="M1959">
            <v>46141</v>
          </cell>
        </row>
        <row r="1960">
          <cell r="L1960">
            <v>8392</v>
          </cell>
          <cell r="M1960">
            <v>46141</v>
          </cell>
        </row>
        <row r="1961">
          <cell r="L1961">
            <v>11290</v>
          </cell>
          <cell r="M1961">
            <v>46141</v>
          </cell>
        </row>
        <row r="1962">
          <cell r="L1962">
            <v>11921</v>
          </cell>
          <cell r="M1962">
            <v>46141</v>
          </cell>
        </row>
        <row r="1963">
          <cell r="L1963">
            <v>1249</v>
          </cell>
          <cell r="M1963">
            <v>46141</v>
          </cell>
        </row>
        <row r="1964">
          <cell r="L1964">
            <v>8609</v>
          </cell>
          <cell r="M1964">
            <v>46141</v>
          </cell>
        </row>
        <row r="1965">
          <cell r="L1965">
            <v>11064</v>
          </cell>
          <cell r="M1965">
            <v>46141</v>
          </cell>
        </row>
        <row r="1966">
          <cell r="L1966">
            <v>8681</v>
          </cell>
          <cell r="M1966">
            <v>46141</v>
          </cell>
        </row>
        <row r="1967">
          <cell r="L1967">
            <v>9065</v>
          </cell>
          <cell r="M1967">
            <v>46141</v>
          </cell>
        </row>
        <row r="1968">
          <cell r="L1968">
            <v>9361</v>
          </cell>
          <cell r="M1968">
            <v>46141</v>
          </cell>
        </row>
        <row r="1969">
          <cell r="L1969">
            <v>9362</v>
          </cell>
          <cell r="M1969">
            <v>46141</v>
          </cell>
        </row>
        <row r="1970">
          <cell r="L1970">
            <v>9159</v>
          </cell>
          <cell r="M1970">
            <v>46141</v>
          </cell>
        </row>
        <row r="1971">
          <cell r="L1971">
            <v>9305</v>
          </cell>
          <cell r="M1971">
            <v>46141</v>
          </cell>
        </row>
        <row r="1972">
          <cell r="L1972">
            <v>9306</v>
          </cell>
          <cell r="M1972">
            <v>46141</v>
          </cell>
        </row>
        <row r="1973">
          <cell r="L1973">
            <v>8842</v>
          </cell>
          <cell r="M1973">
            <v>46141</v>
          </cell>
        </row>
        <row r="1974">
          <cell r="L1974">
            <v>8844</v>
          </cell>
          <cell r="M1974">
            <v>46141</v>
          </cell>
        </row>
        <row r="1975">
          <cell r="L1975">
            <v>8684</v>
          </cell>
          <cell r="M1975">
            <v>46141</v>
          </cell>
        </row>
        <row r="1976">
          <cell r="L1976">
            <v>9647</v>
          </cell>
          <cell r="M1976">
            <v>46141</v>
          </cell>
        </row>
        <row r="1977">
          <cell r="L1977">
            <v>8541</v>
          </cell>
          <cell r="M1977">
            <v>46141</v>
          </cell>
        </row>
        <row r="1978">
          <cell r="L1978">
            <v>9606</v>
          </cell>
          <cell r="M1978">
            <v>46141</v>
          </cell>
        </row>
        <row r="1979">
          <cell r="L1979">
            <v>10546</v>
          </cell>
          <cell r="M1979">
            <v>46141</v>
          </cell>
        </row>
        <row r="1980">
          <cell r="L1980">
            <v>12612</v>
          </cell>
          <cell r="M1980">
            <v>46141</v>
          </cell>
        </row>
        <row r="1981">
          <cell r="L1981">
            <v>8936</v>
          </cell>
          <cell r="M1981">
            <v>46141</v>
          </cell>
        </row>
        <row r="1982">
          <cell r="L1982">
            <v>9584</v>
          </cell>
          <cell r="M1982">
            <v>46141</v>
          </cell>
        </row>
        <row r="1983">
          <cell r="L1983">
            <v>9561</v>
          </cell>
          <cell r="M1983">
            <v>46141</v>
          </cell>
        </row>
        <row r="1984">
          <cell r="L1984">
            <v>1188</v>
          </cell>
          <cell r="M1984">
            <v>46141</v>
          </cell>
        </row>
        <row r="1985">
          <cell r="L1985">
            <v>12225</v>
          </cell>
          <cell r="M1985">
            <v>46141</v>
          </cell>
        </row>
        <row r="1986">
          <cell r="L1986">
            <v>8988</v>
          </cell>
          <cell r="M1986">
            <v>46141</v>
          </cell>
        </row>
        <row r="1987">
          <cell r="L1987">
            <v>434</v>
          </cell>
          <cell r="M1987">
            <v>46141</v>
          </cell>
        </row>
        <row r="1988">
          <cell r="L1988">
            <v>972</v>
          </cell>
          <cell r="M1988">
            <v>46141</v>
          </cell>
        </row>
        <row r="1989">
          <cell r="L1989">
            <v>1310</v>
          </cell>
          <cell r="M1989">
            <v>46141</v>
          </cell>
        </row>
        <row r="1990">
          <cell r="L1990">
            <v>3651</v>
          </cell>
          <cell r="M1990">
            <v>46141</v>
          </cell>
        </row>
        <row r="1991">
          <cell r="L1991">
            <v>3626</v>
          </cell>
          <cell r="M1991">
            <v>46141</v>
          </cell>
        </row>
        <row r="1992">
          <cell r="L1992">
            <v>5618</v>
          </cell>
          <cell r="M1992">
            <v>46141</v>
          </cell>
        </row>
        <row r="1993">
          <cell r="L1993">
            <v>9307</v>
          </cell>
          <cell r="M1993">
            <v>46141</v>
          </cell>
        </row>
        <row r="1994">
          <cell r="L1994">
            <v>8685</v>
          </cell>
          <cell r="M1994">
            <v>46141</v>
          </cell>
        </row>
        <row r="1995">
          <cell r="L1995">
            <v>12480</v>
          </cell>
          <cell r="M1995">
            <v>46141</v>
          </cell>
        </row>
        <row r="1996">
          <cell r="L1996">
            <v>12473</v>
          </cell>
          <cell r="M1996">
            <v>46141</v>
          </cell>
        </row>
        <row r="1997">
          <cell r="L1997">
            <v>12544</v>
          </cell>
          <cell r="M1997">
            <v>46141</v>
          </cell>
        </row>
        <row r="1998">
          <cell r="L1998">
            <v>12651</v>
          </cell>
          <cell r="M1998">
            <v>46141</v>
          </cell>
        </row>
        <row r="1999">
          <cell r="L1999">
            <v>1134</v>
          </cell>
          <cell r="M1999">
            <v>46141</v>
          </cell>
        </row>
        <row r="2000">
          <cell r="L2000">
            <v>3731</v>
          </cell>
          <cell r="M2000">
            <v>46141</v>
          </cell>
        </row>
        <row r="2001">
          <cell r="L2001">
            <v>3751</v>
          </cell>
          <cell r="M2001">
            <v>46141</v>
          </cell>
        </row>
        <row r="2002">
          <cell r="L2002">
            <v>5539</v>
          </cell>
          <cell r="M2002">
            <v>46141</v>
          </cell>
        </row>
        <row r="2003">
          <cell r="L2003">
            <v>7440</v>
          </cell>
          <cell r="M2003">
            <v>46141</v>
          </cell>
        </row>
        <row r="2004">
          <cell r="L2004">
            <v>12061</v>
          </cell>
          <cell r="M2004">
            <v>46141</v>
          </cell>
        </row>
        <row r="2005">
          <cell r="L2005">
            <v>1160</v>
          </cell>
          <cell r="M2005">
            <v>46141</v>
          </cell>
        </row>
        <row r="2006">
          <cell r="L2006">
            <v>3598</v>
          </cell>
          <cell r="M2006">
            <v>46141</v>
          </cell>
        </row>
        <row r="2007">
          <cell r="L2007">
            <v>3599</v>
          </cell>
          <cell r="M2007">
            <v>46141</v>
          </cell>
        </row>
        <row r="2008">
          <cell r="L2008">
            <v>8350</v>
          </cell>
          <cell r="M2008">
            <v>46141</v>
          </cell>
        </row>
        <row r="2009">
          <cell r="L2009">
            <v>8373</v>
          </cell>
          <cell r="M2009">
            <v>46141</v>
          </cell>
        </row>
        <row r="2010">
          <cell r="L2010">
            <v>9066</v>
          </cell>
          <cell r="M2010">
            <v>46141</v>
          </cell>
        </row>
        <row r="2011">
          <cell r="L2011">
            <v>11866</v>
          </cell>
          <cell r="M2011">
            <v>46141</v>
          </cell>
        </row>
        <row r="2012">
          <cell r="L2012">
            <v>12243</v>
          </cell>
          <cell r="M2012">
            <v>46141</v>
          </cell>
        </row>
        <row r="2013">
          <cell r="L2013">
            <v>12244</v>
          </cell>
          <cell r="M2013">
            <v>46141</v>
          </cell>
        </row>
        <row r="2014">
          <cell r="L2014">
            <v>12291</v>
          </cell>
          <cell r="M2014">
            <v>46141</v>
          </cell>
        </row>
        <row r="2015">
          <cell r="L2015">
            <v>944</v>
          </cell>
          <cell r="M2015">
            <v>46141</v>
          </cell>
        </row>
        <row r="2016">
          <cell r="L2016">
            <v>4181</v>
          </cell>
          <cell r="M2016">
            <v>46141</v>
          </cell>
        </row>
        <row r="2017">
          <cell r="L2017">
            <v>12011</v>
          </cell>
          <cell r="M2017">
            <v>46141</v>
          </cell>
        </row>
        <row r="2018">
          <cell r="L2018">
            <v>652</v>
          </cell>
          <cell r="M2018">
            <v>46141</v>
          </cell>
        </row>
        <row r="2019">
          <cell r="L2019">
            <v>1437</v>
          </cell>
          <cell r="M2019">
            <v>46141</v>
          </cell>
        </row>
        <row r="2020">
          <cell r="L2020">
            <v>2462</v>
          </cell>
          <cell r="M2020">
            <v>46141</v>
          </cell>
        </row>
        <row r="2021">
          <cell r="L2021">
            <v>292</v>
          </cell>
          <cell r="M2021">
            <v>46141</v>
          </cell>
        </row>
        <row r="2022">
          <cell r="L2022">
            <v>293</v>
          </cell>
          <cell r="M2022">
            <v>46141</v>
          </cell>
        </row>
        <row r="2023">
          <cell r="L2023">
            <v>3238</v>
          </cell>
          <cell r="M2023">
            <v>46141</v>
          </cell>
        </row>
        <row r="2024">
          <cell r="L2024">
            <v>3249</v>
          </cell>
          <cell r="M2024">
            <v>46141</v>
          </cell>
        </row>
        <row r="2025">
          <cell r="L2025">
            <v>3262</v>
          </cell>
          <cell r="M2025">
            <v>46141</v>
          </cell>
        </row>
        <row r="2026">
          <cell r="L2026">
            <v>371</v>
          </cell>
          <cell r="M2026">
            <v>46141</v>
          </cell>
        </row>
        <row r="2027">
          <cell r="L2027">
            <v>5590</v>
          </cell>
          <cell r="M2027">
            <v>46141</v>
          </cell>
        </row>
        <row r="2028">
          <cell r="L2028">
            <v>6762</v>
          </cell>
          <cell r="M2028">
            <v>46141</v>
          </cell>
        </row>
        <row r="2029">
          <cell r="L2029">
            <v>12586</v>
          </cell>
          <cell r="M2029">
            <v>46141</v>
          </cell>
        </row>
        <row r="2030">
          <cell r="L2030">
            <v>9045</v>
          </cell>
          <cell r="M2030">
            <v>46142</v>
          </cell>
        </row>
        <row r="2031">
          <cell r="L2031">
            <v>12572</v>
          </cell>
          <cell r="M2031">
            <v>46142</v>
          </cell>
        </row>
        <row r="2032">
          <cell r="L2032">
            <v>12573</v>
          </cell>
          <cell r="M2032">
            <v>46142</v>
          </cell>
        </row>
        <row r="2033">
          <cell r="L2033">
            <v>12575</v>
          </cell>
          <cell r="M2033">
            <v>46142</v>
          </cell>
        </row>
        <row r="2034">
          <cell r="L2034">
            <v>12574</v>
          </cell>
          <cell r="M2034">
            <v>46142</v>
          </cell>
        </row>
        <row r="2035">
          <cell r="L2035">
            <v>9311</v>
          </cell>
          <cell r="M2035">
            <v>46142</v>
          </cell>
        </row>
        <row r="2036">
          <cell r="L2036">
            <v>12632</v>
          </cell>
          <cell r="M2036">
            <v>46142</v>
          </cell>
        </row>
        <row r="2037">
          <cell r="L2037">
            <v>12631</v>
          </cell>
          <cell r="M2037">
            <v>46142</v>
          </cell>
        </row>
        <row r="2038">
          <cell r="L2038">
            <v>12630</v>
          </cell>
          <cell r="M2038">
            <v>46142</v>
          </cell>
        </row>
        <row r="2039">
          <cell r="L2039">
            <v>11456</v>
          </cell>
          <cell r="M2039">
            <v>46142</v>
          </cell>
        </row>
        <row r="2040">
          <cell r="L2040">
            <v>12311</v>
          </cell>
          <cell r="M2040">
            <v>46142</v>
          </cell>
        </row>
        <row r="2041">
          <cell r="L2041">
            <v>1302</v>
          </cell>
          <cell r="M2041">
            <v>46142</v>
          </cell>
        </row>
        <row r="2042">
          <cell r="L2042">
            <v>8234</v>
          </cell>
          <cell r="M2042">
            <v>46142</v>
          </cell>
        </row>
        <row r="2043">
          <cell r="L2043">
            <v>9455</v>
          </cell>
          <cell r="M2043">
            <v>46142</v>
          </cell>
        </row>
        <row r="2044">
          <cell r="L2044">
            <v>1008</v>
          </cell>
          <cell r="M2044">
            <v>46142</v>
          </cell>
        </row>
        <row r="2045">
          <cell r="L2045">
            <v>11455</v>
          </cell>
          <cell r="M2045">
            <v>46142</v>
          </cell>
        </row>
        <row r="2046">
          <cell r="L2046">
            <v>11699</v>
          </cell>
          <cell r="M2046">
            <v>46142</v>
          </cell>
        </row>
        <row r="2047">
          <cell r="L2047">
            <v>7316</v>
          </cell>
          <cell r="M2047">
            <v>46142</v>
          </cell>
        </row>
        <row r="2048">
          <cell r="L2048">
            <v>9491</v>
          </cell>
          <cell r="M2048">
            <v>46142</v>
          </cell>
        </row>
        <row r="2049">
          <cell r="L2049">
            <v>9494</v>
          </cell>
          <cell r="M2049">
            <v>46142</v>
          </cell>
        </row>
        <row r="2050">
          <cell r="L2050">
            <v>1370</v>
          </cell>
          <cell r="M2050">
            <v>46142</v>
          </cell>
        </row>
        <row r="2051">
          <cell r="L2051">
            <v>9302</v>
          </cell>
          <cell r="M2051">
            <v>46142</v>
          </cell>
        </row>
        <row r="2052">
          <cell r="L2052">
            <v>9694</v>
          </cell>
          <cell r="M2052">
            <v>46142</v>
          </cell>
        </row>
        <row r="2053">
          <cell r="L2053">
            <v>12058</v>
          </cell>
          <cell r="M2053">
            <v>46142</v>
          </cell>
        </row>
        <row r="2054">
          <cell r="L2054">
            <v>12059</v>
          </cell>
          <cell r="M2054">
            <v>46142</v>
          </cell>
        </row>
        <row r="2055">
          <cell r="L2055">
            <v>5571</v>
          </cell>
          <cell r="M2055">
            <v>46142</v>
          </cell>
        </row>
        <row r="2056">
          <cell r="L2056">
            <v>5787</v>
          </cell>
          <cell r="M2056">
            <v>46142</v>
          </cell>
        </row>
        <row r="2057">
          <cell r="L2057">
            <v>12587</v>
          </cell>
          <cell r="M2057">
            <v>46142</v>
          </cell>
        </row>
        <row r="2058">
          <cell r="L2058">
            <v>9008</v>
          </cell>
          <cell r="M2058">
            <v>46142</v>
          </cell>
        </row>
        <row r="2059">
          <cell r="L2059">
            <v>9697</v>
          </cell>
          <cell r="M2059">
            <v>46142</v>
          </cell>
        </row>
        <row r="2060">
          <cell r="L2060">
            <v>12650</v>
          </cell>
          <cell r="M2060">
            <v>46142</v>
          </cell>
        </row>
        <row r="2061">
          <cell r="L2061">
            <v>12649</v>
          </cell>
          <cell r="M2061">
            <v>46142</v>
          </cell>
        </row>
        <row r="2062">
          <cell r="L2062">
            <v>4536</v>
          </cell>
          <cell r="M2062">
            <v>46142</v>
          </cell>
        </row>
        <row r="2063">
          <cell r="L2063">
            <v>7242</v>
          </cell>
          <cell r="M2063">
            <v>46142</v>
          </cell>
        </row>
        <row r="2064">
          <cell r="L2064">
            <v>9386</v>
          </cell>
          <cell r="M2064">
            <v>46142</v>
          </cell>
        </row>
        <row r="2065">
          <cell r="L2065">
            <v>9482</v>
          </cell>
          <cell r="M2065">
            <v>46142</v>
          </cell>
        </row>
        <row r="2066">
          <cell r="L2066">
            <v>9490</v>
          </cell>
          <cell r="M2066">
            <v>46142</v>
          </cell>
        </row>
        <row r="2067">
          <cell r="L2067">
            <v>11981</v>
          </cell>
          <cell r="M2067">
            <v>46142</v>
          </cell>
        </row>
        <row r="2068">
          <cell r="L2068">
            <v>12391</v>
          </cell>
          <cell r="M2068">
            <v>46142</v>
          </cell>
        </row>
        <row r="2069">
          <cell r="L2069">
            <v>490</v>
          </cell>
          <cell r="M2069">
            <v>46142</v>
          </cell>
        </row>
        <row r="2070">
          <cell r="L2070">
            <v>491</v>
          </cell>
          <cell r="M2070">
            <v>46142</v>
          </cell>
        </row>
        <row r="2071">
          <cell r="L2071">
            <v>651</v>
          </cell>
          <cell r="M2071">
            <v>46142</v>
          </cell>
        </row>
        <row r="2072">
          <cell r="L2072">
            <v>922</v>
          </cell>
          <cell r="M2072">
            <v>46142</v>
          </cell>
        </row>
        <row r="2073">
          <cell r="L2073">
            <v>1014</v>
          </cell>
          <cell r="M2073">
            <v>46142</v>
          </cell>
        </row>
        <row r="2074">
          <cell r="L2074">
            <v>1296</v>
          </cell>
          <cell r="M2074">
            <v>46142</v>
          </cell>
        </row>
        <row r="2075">
          <cell r="L2075">
            <v>1424</v>
          </cell>
          <cell r="M2075">
            <v>46142</v>
          </cell>
        </row>
        <row r="2076">
          <cell r="L2076">
            <v>1434</v>
          </cell>
          <cell r="M2076">
            <v>46142</v>
          </cell>
        </row>
        <row r="2077">
          <cell r="L2077">
            <v>7486</v>
          </cell>
          <cell r="M2077">
            <v>46142</v>
          </cell>
        </row>
        <row r="2078">
          <cell r="L2078">
            <v>7686</v>
          </cell>
          <cell r="M2078">
            <v>46142</v>
          </cell>
        </row>
        <row r="2079">
          <cell r="L2079">
            <v>8124</v>
          </cell>
          <cell r="M2079">
            <v>46142</v>
          </cell>
        </row>
        <row r="2080">
          <cell r="L2080">
            <v>8127</v>
          </cell>
          <cell r="M2080">
            <v>46142</v>
          </cell>
        </row>
        <row r="2081">
          <cell r="L2081">
            <v>8307</v>
          </cell>
          <cell r="M2081">
            <v>46142</v>
          </cell>
        </row>
        <row r="2082">
          <cell r="L2082">
            <v>8429</v>
          </cell>
          <cell r="M2082">
            <v>46142</v>
          </cell>
        </row>
        <row r="2083">
          <cell r="L2083">
            <v>8532</v>
          </cell>
          <cell r="M2083">
            <v>46142</v>
          </cell>
        </row>
        <row r="2084">
          <cell r="L2084">
            <v>8602</v>
          </cell>
          <cell r="M2084">
            <v>46142</v>
          </cell>
        </row>
        <row r="2085">
          <cell r="L2085">
            <v>8677</v>
          </cell>
          <cell r="M2085">
            <v>46142</v>
          </cell>
        </row>
        <row r="2086">
          <cell r="L2086">
            <v>8749</v>
          </cell>
          <cell r="M2086">
            <v>46142</v>
          </cell>
        </row>
        <row r="2087">
          <cell r="L2087">
            <v>8961</v>
          </cell>
          <cell r="M2087">
            <v>46142</v>
          </cell>
        </row>
        <row r="2088">
          <cell r="L2088">
            <v>8985</v>
          </cell>
          <cell r="M2088">
            <v>46142</v>
          </cell>
        </row>
        <row r="2089">
          <cell r="L2089">
            <v>9113</v>
          </cell>
          <cell r="M2089">
            <v>46142</v>
          </cell>
        </row>
        <row r="2090">
          <cell r="L2090">
            <v>10128</v>
          </cell>
          <cell r="M2090">
            <v>46142</v>
          </cell>
        </row>
        <row r="2091">
          <cell r="L2091">
            <v>10226</v>
          </cell>
          <cell r="M2091">
            <v>46142</v>
          </cell>
        </row>
        <row r="2092">
          <cell r="L2092">
            <v>11933</v>
          </cell>
          <cell r="M2092">
            <v>46142</v>
          </cell>
        </row>
        <row r="2093">
          <cell r="L2093">
            <v>12569</v>
          </cell>
          <cell r="M2093">
            <v>46142</v>
          </cell>
        </row>
        <row r="2094">
          <cell r="L2094">
            <v>12060</v>
          </cell>
          <cell r="M2094">
            <v>46142</v>
          </cell>
        </row>
        <row r="2095">
          <cell r="L2095">
            <v>1585</v>
          </cell>
          <cell r="M2095">
            <v>46142</v>
          </cell>
        </row>
        <row r="2096">
          <cell r="L2096">
            <v>3855</v>
          </cell>
          <cell r="M2096">
            <v>46142</v>
          </cell>
        </row>
        <row r="2097">
          <cell r="L2097">
            <v>3452</v>
          </cell>
          <cell r="M2097">
            <v>46142</v>
          </cell>
        </row>
        <row r="2098">
          <cell r="L2098">
            <v>6465</v>
          </cell>
          <cell r="M2098">
            <v>46142</v>
          </cell>
        </row>
        <row r="2099">
          <cell r="L2099">
            <v>9112</v>
          </cell>
          <cell r="M2099">
            <v>46142</v>
          </cell>
        </row>
        <row r="2100">
          <cell r="L2100">
            <v>9580</v>
          </cell>
          <cell r="M2100">
            <v>46142</v>
          </cell>
        </row>
        <row r="2101">
          <cell r="L2101">
            <v>5439</v>
          </cell>
          <cell r="M2101">
            <v>46142</v>
          </cell>
        </row>
        <row r="2102">
          <cell r="L2102">
            <v>954</v>
          </cell>
          <cell r="M2102">
            <v>46142</v>
          </cell>
        </row>
        <row r="2103">
          <cell r="L2103">
            <v>955</v>
          </cell>
          <cell r="M2103">
            <v>46142</v>
          </cell>
        </row>
        <row r="2104">
          <cell r="L2104">
            <v>9627</v>
          </cell>
          <cell r="M2104">
            <v>46142</v>
          </cell>
        </row>
        <row r="2105">
          <cell r="L2105">
            <v>9650</v>
          </cell>
          <cell r="M2105">
            <v>46142</v>
          </cell>
        </row>
        <row r="2106">
          <cell r="L2106">
            <v>2623</v>
          </cell>
          <cell r="M2106">
            <v>46142</v>
          </cell>
        </row>
        <row r="2107">
          <cell r="L2107">
            <v>1544</v>
          </cell>
          <cell r="M2107">
            <v>46142</v>
          </cell>
        </row>
        <row r="2108">
          <cell r="L2108">
            <v>1154</v>
          </cell>
          <cell r="M2108">
            <v>46142</v>
          </cell>
        </row>
        <row r="2109">
          <cell r="L2109">
            <v>1459</v>
          </cell>
          <cell r="M2109">
            <v>46142</v>
          </cell>
        </row>
        <row r="2110">
          <cell r="L2110">
            <v>9375</v>
          </cell>
          <cell r="M2110">
            <v>46142</v>
          </cell>
        </row>
        <row r="2111">
          <cell r="L2111">
            <v>9165</v>
          </cell>
          <cell r="M2111">
            <v>46142</v>
          </cell>
        </row>
        <row r="2112">
          <cell r="L2112">
            <v>8848</v>
          </cell>
          <cell r="M2112">
            <v>46142</v>
          </cell>
        </row>
        <row r="2113">
          <cell r="L2113">
            <v>8850</v>
          </cell>
          <cell r="M2113">
            <v>46142</v>
          </cell>
        </row>
        <row r="2114">
          <cell r="L2114">
            <v>8852</v>
          </cell>
          <cell r="M2114">
            <v>46142</v>
          </cell>
        </row>
        <row r="2115">
          <cell r="L2115">
            <v>8770</v>
          </cell>
          <cell r="M2115">
            <v>46142</v>
          </cell>
        </row>
        <row r="2116">
          <cell r="L2116">
            <v>9088</v>
          </cell>
          <cell r="M2116">
            <v>46142</v>
          </cell>
        </row>
        <row r="2117">
          <cell r="L2117">
            <v>9046</v>
          </cell>
          <cell r="M2117">
            <v>46142</v>
          </cell>
        </row>
        <row r="2118">
          <cell r="L2118">
            <v>9771</v>
          </cell>
          <cell r="M2118">
            <v>46142</v>
          </cell>
        </row>
        <row r="2119">
          <cell r="L2119">
            <v>9860</v>
          </cell>
          <cell r="M2119">
            <v>46142</v>
          </cell>
        </row>
        <row r="2120">
          <cell r="L2120">
            <v>10554</v>
          </cell>
          <cell r="M2120">
            <v>46142</v>
          </cell>
        </row>
        <row r="2121">
          <cell r="L2121">
            <v>11349</v>
          </cell>
          <cell r="M2121">
            <v>46142</v>
          </cell>
        </row>
        <row r="2122">
          <cell r="L2122">
            <v>11350</v>
          </cell>
          <cell r="M2122">
            <v>46142</v>
          </cell>
        </row>
        <row r="2123">
          <cell r="L2123">
            <v>4134</v>
          </cell>
          <cell r="M2123">
            <v>46142</v>
          </cell>
        </row>
        <row r="2124">
          <cell r="L2124">
            <v>6787</v>
          </cell>
          <cell r="M2124">
            <v>46142</v>
          </cell>
        </row>
        <row r="2125">
          <cell r="L2125">
            <v>12604</v>
          </cell>
          <cell r="M2125">
            <v>46142</v>
          </cell>
        </row>
        <row r="2126">
          <cell r="L2126">
            <v>12526</v>
          </cell>
          <cell r="M2126">
            <v>46142</v>
          </cell>
        </row>
        <row r="2127">
          <cell r="L2127">
            <v>12590</v>
          </cell>
          <cell r="M2127">
            <v>46142</v>
          </cell>
        </row>
        <row r="2128">
          <cell r="L2128">
            <v>12615</v>
          </cell>
          <cell r="M2128">
            <v>46142</v>
          </cell>
        </row>
        <row r="2129">
          <cell r="L2129">
            <v>12616</v>
          </cell>
          <cell r="M2129">
            <v>46142</v>
          </cell>
        </row>
        <row r="2130">
          <cell r="L2130">
            <v>12629</v>
          </cell>
          <cell r="M2130">
            <v>46142</v>
          </cell>
        </row>
        <row r="2131">
          <cell r="L2131">
            <v>12591</v>
          </cell>
          <cell r="M2131">
            <v>46142</v>
          </cell>
        </row>
        <row r="2132">
          <cell r="L2132">
            <v>12606</v>
          </cell>
          <cell r="M2132">
            <v>46142</v>
          </cell>
        </row>
        <row r="2133">
          <cell r="L2133">
            <v>347</v>
          </cell>
          <cell r="M2133">
            <v>46128</v>
          </cell>
        </row>
        <row r="2134">
          <cell r="L2134">
            <v>1119</v>
          </cell>
          <cell r="M2134">
            <v>46128</v>
          </cell>
        </row>
        <row r="2135">
          <cell r="L2135">
            <v>3684</v>
          </cell>
          <cell r="M2135">
            <v>46128</v>
          </cell>
        </row>
        <row r="2136">
          <cell r="L2136">
            <v>4350</v>
          </cell>
          <cell r="M2136">
            <v>46128</v>
          </cell>
        </row>
        <row r="2137">
          <cell r="L2137">
            <v>3686</v>
          </cell>
          <cell r="M2137">
            <v>46128</v>
          </cell>
        </row>
        <row r="2138">
          <cell r="L2138">
            <v>3687</v>
          </cell>
          <cell r="M2138">
            <v>46128</v>
          </cell>
        </row>
        <row r="2139">
          <cell r="L2139">
            <v>3766</v>
          </cell>
          <cell r="M2139">
            <v>46128</v>
          </cell>
        </row>
        <row r="2140">
          <cell r="L2140">
            <v>4091</v>
          </cell>
          <cell r="M2140">
            <v>46128</v>
          </cell>
        </row>
        <row r="2141">
          <cell r="L2141">
            <v>4094</v>
          </cell>
          <cell r="M2141">
            <v>46128</v>
          </cell>
        </row>
        <row r="2142">
          <cell r="L2142">
            <v>4817</v>
          </cell>
          <cell r="M2142">
            <v>46128</v>
          </cell>
        </row>
        <row r="2143">
          <cell r="L2143">
            <v>3837</v>
          </cell>
          <cell r="M2143">
            <v>46128</v>
          </cell>
        </row>
        <row r="2144">
          <cell r="L2144">
            <v>3799</v>
          </cell>
          <cell r="M2144">
            <v>46128</v>
          </cell>
        </row>
        <row r="2145">
          <cell r="L2145">
            <v>4497</v>
          </cell>
          <cell r="M2145">
            <v>46128</v>
          </cell>
        </row>
        <row r="2146">
          <cell r="L2146">
            <v>4106</v>
          </cell>
          <cell r="M2146">
            <v>46128</v>
          </cell>
        </row>
        <row r="2147">
          <cell r="L2147">
            <v>4236</v>
          </cell>
          <cell r="M2147">
            <v>46128</v>
          </cell>
        </row>
        <row r="2148">
          <cell r="L2148">
            <v>5672</v>
          </cell>
          <cell r="M2148">
            <v>46128</v>
          </cell>
        </row>
        <row r="2149">
          <cell r="L2149">
            <v>6681</v>
          </cell>
          <cell r="M2149">
            <v>46128</v>
          </cell>
        </row>
        <row r="2150">
          <cell r="L2150">
            <v>9551</v>
          </cell>
          <cell r="M2150">
            <v>46128</v>
          </cell>
        </row>
        <row r="2151">
          <cell r="L2151">
            <v>8353</v>
          </cell>
          <cell r="M2151">
            <v>46128</v>
          </cell>
        </row>
        <row r="2152">
          <cell r="L2152">
            <v>10544</v>
          </cell>
          <cell r="M2152">
            <v>46128</v>
          </cell>
        </row>
        <row r="2153">
          <cell r="L2153">
            <v>11937</v>
          </cell>
          <cell r="M2153">
            <v>46128</v>
          </cell>
        </row>
        <row r="2154">
          <cell r="L2154">
            <v>1144</v>
          </cell>
          <cell r="M2154">
            <v>46139</v>
          </cell>
        </row>
        <row r="2155">
          <cell r="L2155">
            <v>2553</v>
          </cell>
          <cell r="M2155">
            <v>46142</v>
          </cell>
        </row>
        <row r="2156">
          <cell r="L2156">
            <v>482</v>
          </cell>
          <cell r="M2156">
            <v>46142</v>
          </cell>
        </row>
        <row r="2157">
          <cell r="L2157">
            <v>575</v>
          </cell>
          <cell r="M2157">
            <v>46142</v>
          </cell>
        </row>
        <row r="2158">
          <cell r="L2158">
            <v>1024</v>
          </cell>
          <cell r="M2158">
            <v>46142</v>
          </cell>
        </row>
        <row r="2159">
          <cell r="L2159">
            <v>1051</v>
          </cell>
          <cell r="M2159">
            <v>46142</v>
          </cell>
        </row>
        <row r="2160">
          <cell r="L2160">
            <v>1120</v>
          </cell>
          <cell r="M2160">
            <v>46142</v>
          </cell>
        </row>
        <row r="2161">
          <cell r="L2161">
            <v>1121</v>
          </cell>
          <cell r="M2161">
            <v>46142</v>
          </cell>
        </row>
        <row r="2162">
          <cell r="L2162">
            <v>1155</v>
          </cell>
          <cell r="M2162">
            <v>46142</v>
          </cell>
        </row>
        <row r="2163">
          <cell r="L2163">
            <v>1448</v>
          </cell>
          <cell r="M2163">
            <v>46142</v>
          </cell>
        </row>
        <row r="2164">
          <cell r="L2164">
            <v>1498</v>
          </cell>
          <cell r="M2164">
            <v>46142</v>
          </cell>
        </row>
        <row r="2165">
          <cell r="L2165">
            <v>10786</v>
          </cell>
          <cell r="M2165">
            <v>46142</v>
          </cell>
        </row>
        <row r="2166">
          <cell r="L2166">
            <v>10787</v>
          </cell>
          <cell r="M2166">
            <v>46142</v>
          </cell>
        </row>
        <row r="2167">
          <cell r="L2167">
            <v>1513</v>
          </cell>
          <cell r="M2167">
            <v>46142</v>
          </cell>
        </row>
        <row r="2168">
          <cell r="L2168">
            <v>1634</v>
          </cell>
          <cell r="M2168">
            <v>46142</v>
          </cell>
        </row>
        <row r="2169">
          <cell r="L2169">
            <v>1698</v>
          </cell>
          <cell r="M2169">
            <v>46142</v>
          </cell>
        </row>
        <row r="2170">
          <cell r="L2170">
            <v>1705</v>
          </cell>
          <cell r="M2170">
            <v>46142</v>
          </cell>
        </row>
        <row r="2171">
          <cell r="L2171">
            <v>1707</v>
          </cell>
          <cell r="M2171">
            <v>46142</v>
          </cell>
        </row>
        <row r="2172">
          <cell r="L2172">
            <v>1708</v>
          </cell>
          <cell r="M2172">
            <v>46142</v>
          </cell>
        </row>
        <row r="2173">
          <cell r="L2173">
            <v>2850</v>
          </cell>
          <cell r="M2173">
            <v>46142</v>
          </cell>
        </row>
        <row r="2174">
          <cell r="L2174">
            <v>3645</v>
          </cell>
          <cell r="M2174">
            <v>46142</v>
          </cell>
        </row>
        <row r="2175">
          <cell r="L2175">
            <v>5077</v>
          </cell>
          <cell r="M2175">
            <v>46142</v>
          </cell>
        </row>
        <row r="2176">
          <cell r="L2176">
            <v>4219</v>
          </cell>
          <cell r="M2176">
            <v>46142</v>
          </cell>
        </row>
        <row r="2177">
          <cell r="L2177">
            <v>3657</v>
          </cell>
          <cell r="M2177">
            <v>46142</v>
          </cell>
        </row>
        <row r="2178">
          <cell r="L2178">
            <v>3713</v>
          </cell>
          <cell r="M2178">
            <v>46142</v>
          </cell>
        </row>
        <row r="2179">
          <cell r="L2179">
            <v>4534</v>
          </cell>
          <cell r="M2179">
            <v>46142</v>
          </cell>
        </row>
        <row r="2180">
          <cell r="L2180">
            <v>3555</v>
          </cell>
          <cell r="M2180">
            <v>46142</v>
          </cell>
        </row>
        <row r="2181">
          <cell r="L2181">
            <v>3845</v>
          </cell>
          <cell r="M2181">
            <v>46142</v>
          </cell>
        </row>
        <row r="2182">
          <cell r="L2182">
            <v>3846</v>
          </cell>
          <cell r="M2182">
            <v>46142</v>
          </cell>
        </row>
        <row r="2183">
          <cell r="L2183">
            <v>4166</v>
          </cell>
          <cell r="M2183">
            <v>46142</v>
          </cell>
        </row>
        <row r="2184">
          <cell r="L2184">
            <v>4148</v>
          </cell>
          <cell r="M2184">
            <v>46142</v>
          </cell>
        </row>
        <row r="2185">
          <cell r="L2185">
            <v>5008</v>
          </cell>
          <cell r="M2185">
            <v>46142</v>
          </cell>
        </row>
        <row r="2186">
          <cell r="L2186">
            <v>4184</v>
          </cell>
          <cell r="M2186">
            <v>46142</v>
          </cell>
        </row>
        <row r="2187">
          <cell r="L2187">
            <v>3837</v>
          </cell>
          <cell r="M2187">
            <v>46142</v>
          </cell>
        </row>
        <row r="2188">
          <cell r="L2188">
            <v>3799</v>
          </cell>
          <cell r="M2188">
            <v>46142</v>
          </cell>
        </row>
        <row r="2189">
          <cell r="L2189">
            <v>4497</v>
          </cell>
          <cell r="M2189">
            <v>46142</v>
          </cell>
        </row>
        <row r="2190">
          <cell r="L2190">
            <v>4106</v>
          </cell>
          <cell r="M2190">
            <v>46142</v>
          </cell>
        </row>
        <row r="2191">
          <cell r="L2191">
            <v>5121</v>
          </cell>
          <cell r="M2191">
            <v>46142</v>
          </cell>
        </row>
        <row r="2192">
          <cell r="L2192">
            <v>11840</v>
          </cell>
          <cell r="M2192">
            <v>46142</v>
          </cell>
        </row>
        <row r="2193">
          <cell r="L2193">
            <v>5834</v>
          </cell>
          <cell r="M2193">
            <v>46142</v>
          </cell>
        </row>
        <row r="2194">
          <cell r="L2194">
            <v>4505</v>
          </cell>
          <cell r="M2194">
            <v>46142</v>
          </cell>
        </row>
        <row r="2195">
          <cell r="L2195">
            <v>4209</v>
          </cell>
          <cell r="M2195">
            <v>46142</v>
          </cell>
        </row>
        <row r="2196">
          <cell r="L2196">
            <v>5336</v>
          </cell>
          <cell r="M2196">
            <v>46142</v>
          </cell>
        </row>
        <row r="2197">
          <cell r="L2197">
            <v>5813</v>
          </cell>
          <cell r="M2197">
            <v>46142</v>
          </cell>
        </row>
        <row r="2198">
          <cell r="L2198">
            <v>7643</v>
          </cell>
          <cell r="M2198">
            <v>46142</v>
          </cell>
        </row>
        <row r="2199">
          <cell r="L2199">
            <v>7104</v>
          </cell>
          <cell r="M2199">
            <v>46142</v>
          </cell>
        </row>
        <row r="2200">
          <cell r="L2200">
            <v>7688</v>
          </cell>
          <cell r="M2200">
            <v>46142</v>
          </cell>
        </row>
        <row r="2201">
          <cell r="L2201">
            <v>11043</v>
          </cell>
          <cell r="M2201">
            <v>46142</v>
          </cell>
        </row>
        <row r="2202">
          <cell r="L2202">
            <v>9551</v>
          </cell>
          <cell r="M2202">
            <v>46142</v>
          </cell>
        </row>
        <row r="2203">
          <cell r="L2203">
            <v>9821</v>
          </cell>
          <cell r="M2203">
            <v>46142</v>
          </cell>
        </row>
        <row r="2204">
          <cell r="L2204">
            <v>8671</v>
          </cell>
          <cell r="M2204">
            <v>46142</v>
          </cell>
        </row>
        <row r="2205">
          <cell r="L2205">
            <v>9932</v>
          </cell>
          <cell r="M2205">
            <v>46142</v>
          </cell>
        </row>
        <row r="2206">
          <cell r="L2206">
            <v>10544</v>
          </cell>
          <cell r="M2206">
            <v>46142</v>
          </cell>
        </row>
        <row r="2207">
          <cell r="L2207">
            <v>10008</v>
          </cell>
          <cell r="M2207">
            <v>46142</v>
          </cell>
        </row>
        <row r="2208">
          <cell r="L2208">
            <v>11830</v>
          </cell>
          <cell r="M2208">
            <v>46142</v>
          </cell>
        </row>
        <row r="2209">
          <cell r="L2209">
            <v>11823</v>
          </cell>
          <cell r="M2209">
            <v>46142</v>
          </cell>
        </row>
        <row r="2210">
          <cell r="L2210">
            <v>11936</v>
          </cell>
          <cell r="M2210">
            <v>46142</v>
          </cell>
        </row>
        <row r="2211">
          <cell r="L2211">
            <v>11937</v>
          </cell>
          <cell r="M2211">
            <v>46142</v>
          </cell>
        </row>
        <row r="2212">
          <cell r="L2212">
            <v>1141</v>
          </cell>
          <cell r="M2212">
            <v>46142</v>
          </cell>
        </row>
        <row r="2213">
          <cell r="L2213">
            <v>12088</v>
          </cell>
          <cell r="M2213">
            <v>46142</v>
          </cell>
        </row>
        <row r="2214">
          <cell r="L2214">
            <v>12023</v>
          </cell>
          <cell r="M2214">
            <v>46142</v>
          </cell>
        </row>
        <row r="2215">
          <cell r="L2215">
            <v>12298</v>
          </cell>
          <cell r="M2215">
            <v>46142</v>
          </cell>
        </row>
        <row r="2216">
          <cell r="L2216">
            <v>1727</v>
          </cell>
          <cell r="M2216">
            <v>46142</v>
          </cell>
        </row>
        <row r="2217">
          <cell r="L2217">
            <v>111</v>
          </cell>
          <cell r="M2217">
            <v>46142</v>
          </cell>
        </row>
        <row r="2218">
          <cell r="L2218">
            <v>839</v>
          </cell>
          <cell r="M2218">
            <v>46142</v>
          </cell>
        </row>
        <row r="2219">
          <cell r="L2219">
            <v>293</v>
          </cell>
          <cell r="M2219">
            <v>46142</v>
          </cell>
        </row>
        <row r="2220">
          <cell r="L2220">
            <v>2554</v>
          </cell>
          <cell r="M2220">
            <v>46142</v>
          </cell>
        </row>
        <row r="2221">
          <cell r="L2221">
            <v>432</v>
          </cell>
          <cell r="M2221">
            <v>46142</v>
          </cell>
        </row>
        <row r="2222">
          <cell r="L2222">
            <v>1146</v>
          </cell>
          <cell r="M2222">
            <v>46142</v>
          </cell>
        </row>
        <row r="2223">
          <cell r="L2223">
            <v>1150</v>
          </cell>
          <cell r="M2223">
            <v>46142</v>
          </cell>
        </row>
        <row r="2224">
          <cell r="L2224">
            <v>1152</v>
          </cell>
          <cell r="M2224">
            <v>46142</v>
          </cell>
        </row>
        <row r="2225">
          <cell r="L2225">
            <v>1191</v>
          </cell>
          <cell r="M2225">
            <v>46142</v>
          </cell>
        </row>
        <row r="2226">
          <cell r="L2226">
            <v>1368</v>
          </cell>
          <cell r="M2226">
            <v>46142</v>
          </cell>
        </row>
        <row r="2227">
          <cell r="L2227">
            <v>3385</v>
          </cell>
          <cell r="M2227">
            <v>46142</v>
          </cell>
        </row>
        <row r="2228">
          <cell r="L2228">
            <v>5441</v>
          </cell>
          <cell r="M2228">
            <v>46142</v>
          </cell>
        </row>
        <row r="2229">
          <cell r="L2229">
            <v>5283</v>
          </cell>
          <cell r="M2229">
            <v>46142</v>
          </cell>
        </row>
        <row r="2230">
          <cell r="L2230">
            <v>3575</v>
          </cell>
          <cell r="M2230">
            <v>46142</v>
          </cell>
        </row>
        <row r="2231">
          <cell r="L2231">
            <v>3031</v>
          </cell>
          <cell r="M2231">
            <v>46142</v>
          </cell>
        </row>
        <row r="2232">
          <cell r="L2232">
            <v>3534</v>
          </cell>
          <cell r="M2232">
            <v>46142</v>
          </cell>
        </row>
        <row r="2233">
          <cell r="L2233">
            <v>3535</v>
          </cell>
          <cell r="M2233">
            <v>46142</v>
          </cell>
        </row>
        <row r="2234">
          <cell r="L2234">
            <v>3536</v>
          </cell>
          <cell r="M2234">
            <v>46142</v>
          </cell>
        </row>
        <row r="2235">
          <cell r="L2235">
            <v>1406</v>
          </cell>
          <cell r="M2235">
            <v>46142</v>
          </cell>
        </row>
        <row r="2236">
          <cell r="L2236">
            <v>4491</v>
          </cell>
          <cell r="M2236">
            <v>46142</v>
          </cell>
        </row>
        <row r="2237">
          <cell r="L2237">
            <v>4537</v>
          </cell>
          <cell r="M2237">
            <v>46142</v>
          </cell>
        </row>
        <row r="2238">
          <cell r="L2238">
            <v>4120</v>
          </cell>
          <cell r="M2238">
            <v>46142</v>
          </cell>
        </row>
        <row r="2239">
          <cell r="L2239">
            <v>5012</v>
          </cell>
          <cell r="M2239">
            <v>46142</v>
          </cell>
        </row>
        <row r="2240">
          <cell r="L2240">
            <v>4812</v>
          </cell>
          <cell r="M2240">
            <v>46142</v>
          </cell>
        </row>
        <row r="2241">
          <cell r="L2241">
            <v>4325</v>
          </cell>
          <cell r="M2241">
            <v>46142</v>
          </cell>
        </row>
        <row r="2242">
          <cell r="L2242">
            <v>5060</v>
          </cell>
          <cell r="M2242">
            <v>46142</v>
          </cell>
        </row>
        <row r="2243">
          <cell r="L2243">
            <v>4691</v>
          </cell>
          <cell r="M2243">
            <v>46142</v>
          </cell>
        </row>
        <row r="2244">
          <cell r="L2244">
            <v>5096</v>
          </cell>
          <cell r="M2244">
            <v>46142</v>
          </cell>
        </row>
        <row r="2245">
          <cell r="L2245">
            <v>9135</v>
          </cell>
          <cell r="M2245">
            <v>46142</v>
          </cell>
        </row>
        <row r="2246">
          <cell r="L2246">
            <v>10813</v>
          </cell>
          <cell r="M2246">
            <v>46142</v>
          </cell>
        </row>
        <row r="2247">
          <cell r="L2247">
            <v>10858</v>
          </cell>
          <cell r="M2247">
            <v>46142</v>
          </cell>
        </row>
        <row r="2248">
          <cell r="L2248">
            <v>10859</v>
          </cell>
          <cell r="M2248">
            <v>46142</v>
          </cell>
        </row>
        <row r="2249">
          <cell r="L2249">
            <v>11033</v>
          </cell>
          <cell r="M2249">
            <v>46142</v>
          </cell>
        </row>
        <row r="2250">
          <cell r="L2250">
            <v>11093</v>
          </cell>
          <cell r="M2250">
            <v>46142</v>
          </cell>
        </row>
        <row r="2251">
          <cell r="L2251">
            <v>11104</v>
          </cell>
          <cell r="M2251">
            <v>46142</v>
          </cell>
        </row>
        <row r="2252">
          <cell r="L2252">
            <v>11223</v>
          </cell>
          <cell r="M2252">
            <v>46142</v>
          </cell>
        </row>
        <row r="2253">
          <cell r="L2253">
            <v>11346</v>
          </cell>
          <cell r="M2253">
            <v>46142</v>
          </cell>
        </row>
        <row r="2254">
          <cell r="L2254">
            <v>11398</v>
          </cell>
          <cell r="M2254">
            <v>46142</v>
          </cell>
        </row>
        <row r="2255">
          <cell r="L2255">
            <v>11465</v>
          </cell>
          <cell r="M2255">
            <v>46142</v>
          </cell>
        </row>
        <row r="2256">
          <cell r="L2256">
            <v>11668</v>
          </cell>
          <cell r="M2256">
            <v>46142</v>
          </cell>
        </row>
        <row r="2257">
          <cell r="L2257">
            <v>11777</v>
          </cell>
          <cell r="M2257">
            <v>46142</v>
          </cell>
        </row>
        <row r="2258">
          <cell r="L2258">
            <v>11794</v>
          </cell>
          <cell r="M2258">
            <v>46142</v>
          </cell>
        </row>
        <row r="2259">
          <cell r="L2259">
            <v>11808</v>
          </cell>
          <cell r="M2259">
            <v>46142</v>
          </cell>
        </row>
        <row r="2260">
          <cell r="L2260">
            <v>11824</v>
          </cell>
          <cell r="M2260">
            <v>46142</v>
          </cell>
        </row>
        <row r="2261">
          <cell r="L2261">
            <v>11982</v>
          </cell>
          <cell r="M2261">
            <v>46142</v>
          </cell>
        </row>
        <row r="2262">
          <cell r="L2262">
            <v>12079</v>
          </cell>
          <cell r="M2262">
            <v>46142</v>
          </cell>
        </row>
        <row r="2263">
          <cell r="L2263">
            <v>3379</v>
          </cell>
          <cell r="M2263">
            <v>46142</v>
          </cell>
        </row>
        <row r="2264">
          <cell r="L2264">
            <v>4311</v>
          </cell>
          <cell r="M2264">
            <v>46135</v>
          </cell>
        </row>
        <row r="2265">
          <cell r="L2265">
            <v>108</v>
          </cell>
          <cell r="M2265">
            <v>46136</v>
          </cell>
        </row>
        <row r="2266">
          <cell r="L2266">
            <v>4311</v>
          </cell>
          <cell r="M2266">
            <v>46136</v>
          </cell>
        </row>
        <row r="2267">
          <cell r="L2267">
            <v>10774</v>
          </cell>
          <cell r="M2267">
            <v>46141</v>
          </cell>
        </row>
        <row r="2268">
          <cell r="L2268">
            <v>11345</v>
          </cell>
          <cell r="M2268">
            <v>46141</v>
          </cell>
        </row>
        <row r="2269">
          <cell r="L2269">
            <v>11925</v>
          </cell>
          <cell r="M2269">
            <v>46141</v>
          </cell>
        </row>
        <row r="2270">
          <cell r="L2270">
            <v>12614</v>
          </cell>
          <cell r="M2270">
            <v>46142</v>
          </cell>
        </row>
        <row r="2271">
          <cell r="L2271">
            <v>1011</v>
          </cell>
          <cell r="M2271">
            <v>46147</v>
          </cell>
        </row>
        <row r="2272">
          <cell r="L2272">
            <v>12307</v>
          </cell>
          <cell r="M2272">
            <v>46147</v>
          </cell>
        </row>
        <row r="2273">
          <cell r="L2273">
            <v>278</v>
          </cell>
          <cell r="M2273">
            <v>46147</v>
          </cell>
        </row>
        <row r="2274">
          <cell r="L2274">
            <v>7194</v>
          </cell>
          <cell r="M2274">
            <v>46147</v>
          </cell>
        </row>
        <row r="2275">
          <cell r="L2275">
            <v>7251</v>
          </cell>
          <cell r="M2275">
            <v>46147</v>
          </cell>
        </row>
        <row r="2276">
          <cell r="L2276">
            <v>985</v>
          </cell>
          <cell r="M2276">
            <v>46147</v>
          </cell>
        </row>
        <row r="2277">
          <cell r="L2277">
            <v>1010</v>
          </cell>
          <cell r="M2277">
            <v>46147</v>
          </cell>
        </row>
        <row r="2278">
          <cell r="L2278">
            <v>11100</v>
          </cell>
          <cell r="M2278">
            <v>46147</v>
          </cell>
        </row>
        <row r="2279">
          <cell r="L2279">
            <v>11456</v>
          </cell>
          <cell r="M2279">
            <v>46147</v>
          </cell>
        </row>
        <row r="2280">
          <cell r="L2280">
            <v>11781</v>
          </cell>
          <cell r="M2280">
            <v>46147</v>
          </cell>
        </row>
        <row r="2281">
          <cell r="L2281">
            <v>12309</v>
          </cell>
          <cell r="M2281">
            <v>46147</v>
          </cell>
        </row>
        <row r="2282">
          <cell r="L2282">
            <v>12311</v>
          </cell>
          <cell r="M2282">
            <v>46147</v>
          </cell>
        </row>
        <row r="2283">
          <cell r="L2283">
            <v>12312</v>
          </cell>
          <cell r="M2283">
            <v>46147</v>
          </cell>
        </row>
        <row r="2284">
          <cell r="L2284">
            <v>12321</v>
          </cell>
          <cell r="M2284">
            <v>46147</v>
          </cell>
        </row>
        <row r="2285">
          <cell r="L2285">
            <v>542</v>
          </cell>
          <cell r="M2285">
            <v>46147</v>
          </cell>
        </row>
        <row r="2286">
          <cell r="L2286">
            <v>6912</v>
          </cell>
          <cell r="M2286">
            <v>46147</v>
          </cell>
        </row>
        <row r="2287">
          <cell r="L2287">
            <v>6914</v>
          </cell>
          <cell r="M2287">
            <v>46147</v>
          </cell>
        </row>
        <row r="2288">
          <cell r="L2288">
            <v>7247</v>
          </cell>
          <cell r="M2288">
            <v>46147</v>
          </cell>
        </row>
        <row r="2289">
          <cell r="L2289">
            <v>7249</v>
          </cell>
          <cell r="M2289">
            <v>46147</v>
          </cell>
        </row>
        <row r="2290">
          <cell r="L2290">
            <v>7315</v>
          </cell>
          <cell r="M2290">
            <v>46147</v>
          </cell>
        </row>
        <row r="2291">
          <cell r="L2291">
            <v>8234</v>
          </cell>
          <cell r="M2291">
            <v>46147</v>
          </cell>
        </row>
        <row r="2292">
          <cell r="L2292">
            <v>8392</v>
          </cell>
          <cell r="M2292">
            <v>46147</v>
          </cell>
        </row>
        <row r="2293">
          <cell r="L2293">
            <v>9455</v>
          </cell>
          <cell r="M2293">
            <v>46147</v>
          </cell>
        </row>
        <row r="2294">
          <cell r="L2294">
            <v>9686</v>
          </cell>
          <cell r="M2294">
            <v>46147</v>
          </cell>
        </row>
        <row r="2295">
          <cell r="L2295">
            <v>9814</v>
          </cell>
          <cell r="M2295">
            <v>46147</v>
          </cell>
        </row>
        <row r="2296">
          <cell r="L2296">
            <v>11455</v>
          </cell>
          <cell r="M2296">
            <v>46147</v>
          </cell>
        </row>
        <row r="2297">
          <cell r="L2297">
            <v>9258</v>
          </cell>
          <cell r="M2297">
            <v>46147</v>
          </cell>
        </row>
        <row r="2298">
          <cell r="L2298">
            <v>6872</v>
          </cell>
          <cell r="M2298">
            <v>46147</v>
          </cell>
        </row>
        <row r="2299">
          <cell r="L2299">
            <v>11655</v>
          </cell>
          <cell r="M2299">
            <v>46147</v>
          </cell>
        </row>
        <row r="2300">
          <cell r="L2300">
            <v>11921</v>
          </cell>
          <cell r="M2300">
            <v>46147</v>
          </cell>
        </row>
        <row r="2301">
          <cell r="L2301">
            <v>243</v>
          </cell>
          <cell r="M2301">
            <v>46147</v>
          </cell>
        </row>
        <row r="2302">
          <cell r="L2302">
            <v>3715</v>
          </cell>
          <cell r="M2302">
            <v>46147</v>
          </cell>
        </row>
        <row r="2303">
          <cell r="L2303">
            <v>5092</v>
          </cell>
          <cell r="M2303">
            <v>46147</v>
          </cell>
        </row>
        <row r="2304">
          <cell r="L2304">
            <v>625</v>
          </cell>
          <cell r="M2304">
            <v>46147</v>
          </cell>
        </row>
        <row r="2305">
          <cell r="L2305">
            <v>11981</v>
          </cell>
          <cell r="M2305">
            <v>46147</v>
          </cell>
        </row>
        <row r="2306">
          <cell r="L2306">
            <v>12005</v>
          </cell>
          <cell r="M2306">
            <v>46147</v>
          </cell>
        </row>
        <row r="2307">
          <cell r="L2307">
            <v>12060</v>
          </cell>
          <cell r="M2307">
            <v>46147</v>
          </cell>
        </row>
        <row r="2308">
          <cell r="L2308">
            <v>12085</v>
          </cell>
          <cell r="M2308">
            <v>46147</v>
          </cell>
        </row>
        <row r="2309">
          <cell r="L2309">
            <v>12086</v>
          </cell>
          <cell r="M2309">
            <v>46147</v>
          </cell>
        </row>
        <row r="2310">
          <cell r="L2310">
            <v>10937</v>
          </cell>
          <cell r="M2310">
            <v>46147</v>
          </cell>
        </row>
        <row r="2311">
          <cell r="L2311">
            <v>4328</v>
          </cell>
          <cell r="M2311">
            <v>46147</v>
          </cell>
        </row>
        <row r="2312">
          <cell r="L2312">
            <v>12246</v>
          </cell>
          <cell r="M2312">
            <v>46147</v>
          </cell>
        </row>
        <row r="2313">
          <cell r="L2313">
            <v>11553</v>
          </cell>
          <cell r="M2313">
            <v>46147</v>
          </cell>
        </row>
        <row r="2314">
          <cell r="L2314">
            <v>9938</v>
          </cell>
          <cell r="M2314">
            <v>46147</v>
          </cell>
        </row>
        <row r="2315">
          <cell r="L2315">
            <v>11552</v>
          </cell>
          <cell r="M2315">
            <v>46147</v>
          </cell>
        </row>
        <row r="2316">
          <cell r="L2316">
            <v>9516</v>
          </cell>
          <cell r="M2316">
            <v>46147</v>
          </cell>
        </row>
        <row r="2317">
          <cell r="L2317">
            <v>9650</v>
          </cell>
          <cell r="M2317">
            <v>46147</v>
          </cell>
        </row>
        <row r="2318">
          <cell r="L2318">
            <v>12368</v>
          </cell>
          <cell r="M2318">
            <v>46147</v>
          </cell>
        </row>
        <row r="2319">
          <cell r="L2319">
            <v>10813</v>
          </cell>
          <cell r="M2319">
            <v>46147</v>
          </cell>
        </row>
        <row r="2320">
          <cell r="L2320">
            <v>10859</v>
          </cell>
          <cell r="M2320">
            <v>46147</v>
          </cell>
        </row>
        <row r="2321">
          <cell r="L2321">
            <v>11093</v>
          </cell>
          <cell r="M2321">
            <v>46147</v>
          </cell>
        </row>
        <row r="2322">
          <cell r="L2322">
            <v>11104</v>
          </cell>
          <cell r="M2322">
            <v>46147</v>
          </cell>
        </row>
        <row r="2323">
          <cell r="L2323">
            <v>11223</v>
          </cell>
          <cell r="M2323">
            <v>46147</v>
          </cell>
        </row>
        <row r="2324">
          <cell r="L2324">
            <v>12558</v>
          </cell>
          <cell r="M2324">
            <v>46147</v>
          </cell>
        </row>
        <row r="2325">
          <cell r="L2325">
            <v>575</v>
          </cell>
          <cell r="M2325">
            <v>46148</v>
          </cell>
        </row>
        <row r="2326">
          <cell r="L2326">
            <v>1025</v>
          </cell>
          <cell r="M2326">
            <v>46148</v>
          </cell>
        </row>
        <row r="2327">
          <cell r="L2327">
            <v>1116</v>
          </cell>
          <cell r="M2327">
            <v>46148</v>
          </cell>
        </row>
        <row r="2328">
          <cell r="L2328">
            <v>1118</v>
          </cell>
          <cell r="M2328">
            <v>46148</v>
          </cell>
        </row>
        <row r="2329">
          <cell r="L2329">
            <v>1247</v>
          </cell>
          <cell r="M2329">
            <v>46148</v>
          </cell>
        </row>
        <row r="2330">
          <cell r="L2330">
            <v>10386</v>
          </cell>
          <cell r="M2330">
            <v>46148</v>
          </cell>
        </row>
        <row r="2331">
          <cell r="L2331">
            <v>9932</v>
          </cell>
          <cell r="M2331">
            <v>46148</v>
          </cell>
        </row>
        <row r="2332">
          <cell r="L2332">
            <v>8233</v>
          </cell>
          <cell r="M2332">
            <v>46148</v>
          </cell>
        </row>
        <row r="2333">
          <cell r="L2333">
            <v>6911</v>
          </cell>
          <cell r="M2333">
            <v>46148</v>
          </cell>
        </row>
        <row r="2334">
          <cell r="L2334">
            <v>7248</v>
          </cell>
          <cell r="M2334">
            <v>46148</v>
          </cell>
        </row>
        <row r="2335">
          <cell r="L2335">
            <v>7250</v>
          </cell>
          <cell r="M2335">
            <v>46148</v>
          </cell>
        </row>
        <row r="2336">
          <cell r="L2336">
            <v>4133</v>
          </cell>
          <cell r="M2336">
            <v>46148</v>
          </cell>
        </row>
        <row r="2337">
          <cell r="L2337">
            <v>11922</v>
          </cell>
          <cell r="M2337">
            <v>46148</v>
          </cell>
        </row>
        <row r="2338">
          <cell r="L2338">
            <v>11998</v>
          </cell>
          <cell r="M2338">
            <v>46148</v>
          </cell>
        </row>
        <row r="2339">
          <cell r="L2339">
            <v>12271</v>
          </cell>
          <cell r="M2339">
            <v>46148</v>
          </cell>
        </row>
        <row r="2340">
          <cell r="L2340">
            <v>8234</v>
          </cell>
          <cell r="M2340">
            <v>46148</v>
          </cell>
        </row>
        <row r="2341">
          <cell r="L2341">
            <v>624</v>
          </cell>
          <cell r="M2341">
            <v>46148</v>
          </cell>
        </row>
        <row r="2342">
          <cell r="L2342">
            <v>1520</v>
          </cell>
          <cell r="M2342">
            <v>46148</v>
          </cell>
        </row>
        <row r="2343">
          <cell r="L2343">
            <v>7194</v>
          </cell>
          <cell r="M2343">
            <v>46148</v>
          </cell>
        </row>
        <row r="2344">
          <cell r="L2344">
            <v>7247</v>
          </cell>
          <cell r="M2344">
            <v>46148</v>
          </cell>
        </row>
        <row r="2345">
          <cell r="L2345">
            <v>11890</v>
          </cell>
          <cell r="M2345">
            <v>46148</v>
          </cell>
        </row>
        <row r="2346">
          <cell r="L2346">
            <v>12305</v>
          </cell>
          <cell r="M2346">
            <v>46148</v>
          </cell>
        </row>
        <row r="2347">
          <cell r="L2347">
            <v>12388</v>
          </cell>
          <cell r="M2347">
            <v>46148</v>
          </cell>
        </row>
        <row r="2348">
          <cell r="L2348">
            <v>12386</v>
          </cell>
          <cell r="M2348">
            <v>46148</v>
          </cell>
        </row>
        <row r="2349">
          <cell r="L2349">
            <v>12461</v>
          </cell>
          <cell r="M2349">
            <v>46148</v>
          </cell>
        </row>
        <row r="2350">
          <cell r="L2350">
            <v>12489</v>
          </cell>
          <cell r="M2350">
            <v>46148</v>
          </cell>
        </row>
        <row r="2351">
          <cell r="L2351">
            <v>1022</v>
          </cell>
          <cell r="M2351">
            <v>46148</v>
          </cell>
        </row>
        <row r="2352">
          <cell r="L2352">
            <v>1051</v>
          </cell>
          <cell r="M2352">
            <v>46148</v>
          </cell>
        </row>
        <row r="2353">
          <cell r="L2353">
            <v>1119</v>
          </cell>
          <cell r="M2353">
            <v>46148</v>
          </cell>
        </row>
        <row r="2354">
          <cell r="L2354">
            <v>1536</v>
          </cell>
          <cell r="M2354">
            <v>46148</v>
          </cell>
        </row>
        <row r="2355">
          <cell r="L2355">
            <v>1584</v>
          </cell>
          <cell r="M2355">
            <v>46148</v>
          </cell>
        </row>
        <row r="2356">
          <cell r="L2356">
            <v>3920</v>
          </cell>
          <cell r="M2356">
            <v>46148</v>
          </cell>
        </row>
        <row r="2357">
          <cell r="L2357">
            <v>5008</v>
          </cell>
          <cell r="M2357">
            <v>46148</v>
          </cell>
        </row>
        <row r="2358">
          <cell r="L2358">
            <v>4184</v>
          </cell>
          <cell r="M2358">
            <v>46148</v>
          </cell>
        </row>
        <row r="2359">
          <cell r="L2359">
            <v>3686</v>
          </cell>
          <cell r="M2359">
            <v>46148</v>
          </cell>
        </row>
        <row r="2360">
          <cell r="L2360">
            <v>3766</v>
          </cell>
          <cell r="M2360">
            <v>46148</v>
          </cell>
        </row>
        <row r="2361">
          <cell r="L2361">
            <v>12424</v>
          </cell>
          <cell r="M2361">
            <v>46148</v>
          </cell>
        </row>
        <row r="2362">
          <cell r="L2362">
            <v>12414</v>
          </cell>
          <cell r="M2362">
            <v>46148</v>
          </cell>
        </row>
        <row r="2363">
          <cell r="L2363">
            <v>5611</v>
          </cell>
          <cell r="M2363">
            <v>46148</v>
          </cell>
        </row>
        <row r="2364">
          <cell r="L2364">
            <v>6872</v>
          </cell>
          <cell r="M2364">
            <v>46148</v>
          </cell>
        </row>
        <row r="2365">
          <cell r="L2365">
            <v>7318</v>
          </cell>
          <cell r="M2365">
            <v>46148</v>
          </cell>
        </row>
        <row r="2366">
          <cell r="L2366">
            <v>1044</v>
          </cell>
          <cell r="M2366">
            <v>46148</v>
          </cell>
        </row>
        <row r="2367">
          <cell r="L2367">
            <v>1008</v>
          </cell>
          <cell r="M2367">
            <v>46148</v>
          </cell>
        </row>
        <row r="2368">
          <cell r="L2368">
            <v>4675</v>
          </cell>
          <cell r="M2368">
            <v>46148</v>
          </cell>
        </row>
        <row r="2369">
          <cell r="L2369">
            <v>4669</v>
          </cell>
          <cell r="M2369">
            <v>46148</v>
          </cell>
        </row>
        <row r="2370">
          <cell r="L2370">
            <v>6907</v>
          </cell>
          <cell r="M2370">
            <v>46148</v>
          </cell>
        </row>
        <row r="2371">
          <cell r="L2371">
            <v>1520</v>
          </cell>
          <cell r="M2371">
            <v>46148</v>
          </cell>
        </row>
        <row r="2372">
          <cell r="L2372">
            <v>3926</v>
          </cell>
          <cell r="M2372">
            <v>46148</v>
          </cell>
        </row>
        <row r="2373">
          <cell r="L2373">
            <v>7964</v>
          </cell>
          <cell r="M2373">
            <v>46148</v>
          </cell>
        </row>
        <row r="2374">
          <cell r="L2374">
            <v>10785</v>
          </cell>
          <cell r="M2374">
            <v>46148</v>
          </cell>
        </row>
        <row r="2375">
          <cell r="L2375">
            <v>7119</v>
          </cell>
          <cell r="M2375">
            <v>46148</v>
          </cell>
        </row>
        <row r="2376">
          <cell r="L2376">
            <v>1292</v>
          </cell>
          <cell r="M2376">
            <v>46148</v>
          </cell>
        </row>
        <row r="2377">
          <cell r="L2377">
            <v>1116</v>
          </cell>
          <cell r="M2377">
            <v>46148</v>
          </cell>
        </row>
        <row r="2378">
          <cell r="L2378">
            <v>4607</v>
          </cell>
          <cell r="M2378">
            <v>46148</v>
          </cell>
        </row>
        <row r="2379">
          <cell r="L2379">
            <v>12250</v>
          </cell>
          <cell r="M2379">
            <v>46148</v>
          </cell>
        </row>
        <row r="2380">
          <cell r="L2380">
            <v>12251</v>
          </cell>
          <cell r="M2380">
            <v>46148</v>
          </cell>
        </row>
        <row r="2381">
          <cell r="L2381">
            <v>1049</v>
          </cell>
          <cell r="M2381">
            <v>46148</v>
          </cell>
        </row>
        <row r="2382">
          <cell r="L2382">
            <v>1714</v>
          </cell>
          <cell r="M2382">
            <v>46148</v>
          </cell>
        </row>
        <row r="2383">
          <cell r="L2383">
            <v>10787</v>
          </cell>
          <cell r="M2383">
            <v>46148</v>
          </cell>
        </row>
        <row r="2384">
          <cell r="L2384">
            <v>10786</v>
          </cell>
          <cell r="M2384">
            <v>46148</v>
          </cell>
        </row>
        <row r="2385">
          <cell r="L2385">
            <v>3766</v>
          </cell>
          <cell r="M2385">
            <v>46148</v>
          </cell>
        </row>
        <row r="2386">
          <cell r="L2386">
            <v>5834</v>
          </cell>
          <cell r="M2386">
            <v>46148</v>
          </cell>
        </row>
        <row r="2387">
          <cell r="L2387">
            <v>10009</v>
          </cell>
          <cell r="M2387">
            <v>46148</v>
          </cell>
        </row>
        <row r="2388">
          <cell r="L2388">
            <v>453</v>
          </cell>
          <cell r="M2388">
            <v>46148</v>
          </cell>
        </row>
        <row r="2389">
          <cell r="L2389">
            <v>1199</v>
          </cell>
          <cell r="M2389">
            <v>46148</v>
          </cell>
        </row>
        <row r="2390">
          <cell r="L2390">
            <v>1390</v>
          </cell>
          <cell r="M2390">
            <v>46148</v>
          </cell>
        </row>
        <row r="2391">
          <cell r="L2391">
            <v>3023</v>
          </cell>
          <cell r="M2391">
            <v>46148</v>
          </cell>
        </row>
        <row r="2392">
          <cell r="L2392">
            <v>10988</v>
          </cell>
          <cell r="M2392">
            <v>46148</v>
          </cell>
        </row>
        <row r="2393">
          <cell r="L2393">
            <v>1407</v>
          </cell>
          <cell r="M2393">
            <v>46148</v>
          </cell>
        </row>
        <row r="2394">
          <cell r="L2394">
            <v>292</v>
          </cell>
          <cell r="M2394">
            <v>46148</v>
          </cell>
        </row>
        <row r="2395">
          <cell r="L2395">
            <v>2462</v>
          </cell>
          <cell r="M2395">
            <v>46148</v>
          </cell>
        </row>
        <row r="2396">
          <cell r="L2396">
            <v>3511</v>
          </cell>
          <cell r="M2396">
            <v>46148</v>
          </cell>
        </row>
        <row r="2397">
          <cell r="L2397">
            <v>3262</v>
          </cell>
          <cell r="M2397">
            <v>46148</v>
          </cell>
        </row>
        <row r="2398">
          <cell r="L2398">
            <v>4543</v>
          </cell>
          <cell r="M2398">
            <v>46148</v>
          </cell>
        </row>
        <row r="2399">
          <cell r="L2399">
            <v>4692</v>
          </cell>
          <cell r="M2399">
            <v>46148</v>
          </cell>
        </row>
        <row r="2400">
          <cell r="L2400">
            <v>3535</v>
          </cell>
          <cell r="M2400">
            <v>46148</v>
          </cell>
        </row>
        <row r="2401">
          <cell r="L2401">
            <v>1405</v>
          </cell>
          <cell r="M2401">
            <v>46148</v>
          </cell>
        </row>
        <row r="2402">
          <cell r="L2402">
            <v>2851</v>
          </cell>
          <cell r="M2402">
            <v>46148</v>
          </cell>
        </row>
        <row r="2403">
          <cell r="L2403">
            <v>12002</v>
          </cell>
          <cell r="M2403">
            <v>46148</v>
          </cell>
        </row>
        <row r="2404">
          <cell r="L2404">
            <v>10061</v>
          </cell>
          <cell r="M2404">
            <v>46148</v>
          </cell>
        </row>
        <row r="2405">
          <cell r="L2405">
            <v>12258</v>
          </cell>
          <cell r="M2405">
            <v>46148</v>
          </cell>
        </row>
        <row r="2406">
          <cell r="L2406">
            <v>545</v>
          </cell>
          <cell r="M2406">
            <v>46148</v>
          </cell>
        </row>
        <row r="2407">
          <cell r="L2407">
            <v>1310</v>
          </cell>
          <cell r="M2407">
            <v>46148</v>
          </cell>
        </row>
        <row r="2408">
          <cell r="L2408">
            <v>12139</v>
          </cell>
          <cell r="M2408">
            <v>46148</v>
          </cell>
        </row>
        <row r="2409">
          <cell r="L2409">
            <v>8685</v>
          </cell>
          <cell r="M2409">
            <v>46148</v>
          </cell>
        </row>
        <row r="2410">
          <cell r="L2410">
            <v>9066</v>
          </cell>
          <cell r="M2410">
            <v>46148</v>
          </cell>
        </row>
        <row r="2411">
          <cell r="L2411">
            <v>9307</v>
          </cell>
          <cell r="M2411">
            <v>46148</v>
          </cell>
        </row>
        <row r="2412">
          <cell r="L2412">
            <v>5079</v>
          </cell>
          <cell r="M2412">
            <v>46148</v>
          </cell>
        </row>
        <row r="2413">
          <cell r="L2413">
            <v>6990</v>
          </cell>
          <cell r="M2413">
            <v>46148</v>
          </cell>
        </row>
        <row r="2414">
          <cell r="L2414">
            <v>7486</v>
          </cell>
          <cell r="M2414">
            <v>46148</v>
          </cell>
        </row>
        <row r="2415">
          <cell r="L2415">
            <v>8201</v>
          </cell>
          <cell r="M2415">
            <v>46148</v>
          </cell>
        </row>
        <row r="2416">
          <cell r="L2416">
            <v>6903</v>
          </cell>
          <cell r="M2416">
            <v>46148</v>
          </cell>
        </row>
        <row r="2417">
          <cell r="L2417">
            <v>12210</v>
          </cell>
          <cell r="M2417">
            <v>46148</v>
          </cell>
        </row>
        <row r="2418">
          <cell r="L2418">
            <v>12290</v>
          </cell>
          <cell r="M2418">
            <v>46148</v>
          </cell>
        </row>
        <row r="2419">
          <cell r="L2419">
            <v>12651</v>
          </cell>
          <cell r="M2419">
            <v>46148</v>
          </cell>
        </row>
        <row r="2420">
          <cell r="L2420">
            <v>12650</v>
          </cell>
          <cell r="M2420">
            <v>46148</v>
          </cell>
        </row>
        <row r="2421">
          <cell r="L2421">
            <v>12649</v>
          </cell>
          <cell r="M2421">
            <v>46148</v>
          </cell>
        </row>
        <row r="2422">
          <cell r="L2422">
            <v>12569</v>
          </cell>
          <cell r="M2422">
            <v>46148</v>
          </cell>
        </row>
        <row r="2423">
          <cell r="L2423">
            <v>994</v>
          </cell>
          <cell r="M2423">
            <v>46148</v>
          </cell>
        </row>
        <row r="2424">
          <cell r="L2424">
            <v>1201</v>
          </cell>
          <cell r="M2424">
            <v>46148</v>
          </cell>
        </row>
        <row r="2425">
          <cell r="L2425">
            <v>626</v>
          </cell>
          <cell r="M2425">
            <v>46148</v>
          </cell>
        </row>
        <row r="2426">
          <cell r="L2426">
            <v>635</v>
          </cell>
          <cell r="M2426">
            <v>46148</v>
          </cell>
        </row>
        <row r="2427">
          <cell r="L2427">
            <v>8212</v>
          </cell>
          <cell r="M2427">
            <v>46148</v>
          </cell>
        </row>
        <row r="2428">
          <cell r="L2428">
            <v>8988</v>
          </cell>
          <cell r="M2428">
            <v>46148</v>
          </cell>
        </row>
        <row r="2429">
          <cell r="L2429">
            <v>9501</v>
          </cell>
          <cell r="M2429">
            <v>46148</v>
          </cell>
        </row>
        <row r="2430">
          <cell r="L2430">
            <v>10464</v>
          </cell>
          <cell r="M2430">
            <v>46148</v>
          </cell>
        </row>
        <row r="2431">
          <cell r="L2431">
            <v>1447</v>
          </cell>
          <cell r="M2431">
            <v>46148</v>
          </cell>
        </row>
        <row r="2432">
          <cell r="L2432">
            <v>12252</v>
          </cell>
          <cell r="M2432">
            <v>46148</v>
          </cell>
        </row>
        <row r="2433">
          <cell r="L2433">
            <v>12071</v>
          </cell>
          <cell r="M2433">
            <v>46148</v>
          </cell>
        </row>
        <row r="2434">
          <cell r="L2434">
            <v>12248</v>
          </cell>
          <cell r="M2434">
            <v>46148</v>
          </cell>
        </row>
        <row r="2435">
          <cell r="L2435">
            <v>12205</v>
          </cell>
          <cell r="M2435">
            <v>46148</v>
          </cell>
        </row>
        <row r="2436">
          <cell r="L2436">
            <v>12206</v>
          </cell>
          <cell r="M2436">
            <v>46148</v>
          </cell>
        </row>
        <row r="2437">
          <cell r="L2437">
            <v>12396</v>
          </cell>
          <cell r="M2437">
            <v>46148</v>
          </cell>
        </row>
        <row r="2438">
          <cell r="L2438">
            <v>12540</v>
          </cell>
          <cell r="M2438">
            <v>46148</v>
          </cell>
        </row>
        <row r="2439">
          <cell r="L2439">
            <v>12541</v>
          </cell>
          <cell r="M2439">
            <v>46148</v>
          </cell>
        </row>
        <row r="2440">
          <cell r="L2440">
            <v>12542</v>
          </cell>
          <cell r="M2440">
            <v>46148</v>
          </cell>
        </row>
        <row r="2441">
          <cell r="L2441">
            <v>12543</v>
          </cell>
          <cell r="M2441">
            <v>46148</v>
          </cell>
        </row>
        <row r="2442">
          <cell r="L2442">
            <v>12572</v>
          </cell>
          <cell r="M2442">
            <v>46148</v>
          </cell>
        </row>
        <row r="2443">
          <cell r="L2443">
            <v>12573</v>
          </cell>
          <cell r="M2443">
            <v>46148</v>
          </cell>
        </row>
        <row r="2444">
          <cell r="L2444">
            <v>12303</v>
          </cell>
          <cell r="M2444">
            <v>46149</v>
          </cell>
        </row>
        <row r="2445">
          <cell r="L2445">
            <v>623</v>
          </cell>
          <cell r="M2445">
            <v>46149</v>
          </cell>
        </row>
        <row r="2446">
          <cell r="L2446">
            <v>7189</v>
          </cell>
          <cell r="M2446">
            <v>46149</v>
          </cell>
        </row>
        <row r="2447">
          <cell r="L2447">
            <v>8233</v>
          </cell>
          <cell r="M2447">
            <v>46149</v>
          </cell>
        </row>
        <row r="2448">
          <cell r="L2448">
            <v>11192</v>
          </cell>
          <cell r="M2448">
            <v>46149</v>
          </cell>
        </row>
        <row r="2449">
          <cell r="L2449">
            <v>8126</v>
          </cell>
          <cell r="M2449">
            <v>46149</v>
          </cell>
        </row>
        <row r="2450">
          <cell r="L2450">
            <v>12422</v>
          </cell>
          <cell r="M2450">
            <v>46149</v>
          </cell>
        </row>
        <row r="2451">
          <cell r="L2451">
            <v>6915</v>
          </cell>
          <cell r="M2451">
            <v>46149</v>
          </cell>
        </row>
        <row r="2452">
          <cell r="L2452">
            <v>7319</v>
          </cell>
          <cell r="M2452">
            <v>46149</v>
          </cell>
        </row>
        <row r="2453">
          <cell r="L2453">
            <v>6912</v>
          </cell>
          <cell r="M2453">
            <v>46149</v>
          </cell>
        </row>
        <row r="2454">
          <cell r="L2454">
            <v>6914</v>
          </cell>
          <cell r="M2454">
            <v>46149</v>
          </cell>
        </row>
        <row r="2455">
          <cell r="L2455">
            <v>11290</v>
          </cell>
          <cell r="M2455">
            <v>46149</v>
          </cell>
        </row>
        <row r="2456">
          <cell r="L2456">
            <v>11826</v>
          </cell>
          <cell r="M2456">
            <v>46149</v>
          </cell>
        </row>
        <row r="2457">
          <cell r="L2457">
            <v>11926</v>
          </cell>
          <cell r="M2457">
            <v>46149</v>
          </cell>
        </row>
        <row r="2458">
          <cell r="L2458">
            <v>5362</v>
          </cell>
          <cell r="M2458">
            <v>46149</v>
          </cell>
        </row>
        <row r="2459">
          <cell r="L2459">
            <v>5363</v>
          </cell>
          <cell r="M2459">
            <v>46149</v>
          </cell>
        </row>
        <row r="2460">
          <cell r="L2460">
            <v>11852</v>
          </cell>
          <cell r="M2460">
            <v>46149</v>
          </cell>
        </row>
        <row r="2461">
          <cell r="L2461">
            <v>11733</v>
          </cell>
          <cell r="M2461">
            <v>46149</v>
          </cell>
        </row>
        <row r="2462">
          <cell r="L2462">
            <v>11793</v>
          </cell>
          <cell r="M2462">
            <v>46149</v>
          </cell>
        </row>
        <row r="2463">
          <cell r="L2463">
            <v>8196</v>
          </cell>
          <cell r="M2463">
            <v>46149</v>
          </cell>
        </row>
        <row r="2464">
          <cell r="L2464">
            <v>11137</v>
          </cell>
          <cell r="M2464">
            <v>46149</v>
          </cell>
        </row>
        <row r="2465">
          <cell r="L2465">
            <v>4678</v>
          </cell>
          <cell r="M2465">
            <v>46149</v>
          </cell>
        </row>
        <row r="2466">
          <cell r="L2466">
            <v>3510</v>
          </cell>
          <cell r="M2466">
            <v>46149</v>
          </cell>
        </row>
        <row r="2467">
          <cell r="L2467">
            <v>3714</v>
          </cell>
          <cell r="M2467">
            <v>46149</v>
          </cell>
        </row>
        <row r="2468">
          <cell r="L2468">
            <v>4219</v>
          </cell>
          <cell r="M2468">
            <v>46149</v>
          </cell>
        </row>
        <row r="2469">
          <cell r="L2469">
            <v>3685</v>
          </cell>
          <cell r="M2469">
            <v>46149</v>
          </cell>
        </row>
        <row r="2470">
          <cell r="L2470">
            <v>3625</v>
          </cell>
          <cell r="M2470">
            <v>46149</v>
          </cell>
        </row>
        <row r="2471">
          <cell r="L2471">
            <v>3757</v>
          </cell>
          <cell r="M2471">
            <v>46149</v>
          </cell>
        </row>
        <row r="2472">
          <cell r="L2472">
            <v>3118</v>
          </cell>
          <cell r="M2472">
            <v>46149</v>
          </cell>
        </row>
        <row r="2473">
          <cell r="L2473">
            <v>1716</v>
          </cell>
          <cell r="M2473">
            <v>46149</v>
          </cell>
        </row>
        <row r="2474">
          <cell r="L2474">
            <v>1712</v>
          </cell>
          <cell r="M2474">
            <v>46149</v>
          </cell>
        </row>
        <row r="2475">
          <cell r="L2475">
            <v>1634</v>
          </cell>
          <cell r="M2475">
            <v>46149</v>
          </cell>
        </row>
        <row r="2476">
          <cell r="L2476">
            <v>1586</v>
          </cell>
          <cell r="M2476">
            <v>46149</v>
          </cell>
        </row>
        <row r="2477">
          <cell r="L2477">
            <v>2993</v>
          </cell>
          <cell r="M2477">
            <v>46149</v>
          </cell>
        </row>
        <row r="2478">
          <cell r="L2478">
            <v>7316</v>
          </cell>
          <cell r="M2478">
            <v>46149</v>
          </cell>
        </row>
        <row r="2479">
          <cell r="L2479">
            <v>8087</v>
          </cell>
          <cell r="M2479">
            <v>46149</v>
          </cell>
        </row>
        <row r="2480">
          <cell r="L2480">
            <v>8684</v>
          </cell>
          <cell r="M2480">
            <v>46149</v>
          </cell>
        </row>
        <row r="2481">
          <cell r="L2481">
            <v>8687</v>
          </cell>
          <cell r="M2481">
            <v>46149</v>
          </cell>
        </row>
        <row r="2482">
          <cell r="L2482">
            <v>1135</v>
          </cell>
          <cell r="M2482">
            <v>46149</v>
          </cell>
        </row>
        <row r="2483">
          <cell r="L2483">
            <v>1462</v>
          </cell>
          <cell r="M2483">
            <v>46149</v>
          </cell>
        </row>
        <row r="2484">
          <cell r="L2484">
            <v>1689</v>
          </cell>
          <cell r="M2484">
            <v>46149</v>
          </cell>
        </row>
        <row r="2485">
          <cell r="L2485">
            <v>3855</v>
          </cell>
          <cell r="M2485">
            <v>46149</v>
          </cell>
        </row>
        <row r="2486">
          <cell r="L2486">
            <v>3833</v>
          </cell>
          <cell r="M2486">
            <v>46149</v>
          </cell>
        </row>
        <row r="2487">
          <cell r="L2487">
            <v>3599</v>
          </cell>
          <cell r="M2487">
            <v>46149</v>
          </cell>
        </row>
        <row r="2488">
          <cell r="L2488">
            <v>4536</v>
          </cell>
          <cell r="M2488">
            <v>46149</v>
          </cell>
        </row>
        <row r="2489">
          <cell r="L2489">
            <v>4272</v>
          </cell>
          <cell r="M2489">
            <v>46149</v>
          </cell>
        </row>
        <row r="2490">
          <cell r="L2490">
            <v>8354</v>
          </cell>
          <cell r="M2490">
            <v>46149</v>
          </cell>
        </row>
        <row r="2491">
          <cell r="L2491">
            <v>12023</v>
          </cell>
          <cell r="M2491">
            <v>46149</v>
          </cell>
        </row>
        <row r="2492">
          <cell r="L2492">
            <v>12165</v>
          </cell>
          <cell r="M2492">
            <v>46149</v>
          </cell>
        </row>
        <row r="2493">
          <cell r="L2493">
            <v>12299</v>
          </cell>
          <cell r="M2493">
            <v>46149</v>
          </cell>
        </row>
        <row r="2494">
          <cell r="L2494">
            <v>12298</v>
          </cell>
          <cell r="M2494">
            <v>46149</v>
          </cell>
        </row>
        <row r="2495">
          <cell r="L2495">
            <v>1203</v>
          </cell>
          <cell r="M2495">
            <v>46149</v>
          </cell>
        </row>
        <row r="2496">
          <cell r="L2496">
            <v>11103</v>
          </cell>
          <cell r="M2496">
            <v>46149</v>
          </cell>
        </row>
        <row r="2497">
          <cell r="L2497">
            <v>11104</v>
          </cell>
          <cell r="M2497">
            <v>46149</v>
          </cell>
        </row>
        <row r="2498">
          <cell r="L2498">
            <v>371</v>
          </cell>
          <cell r="M2498">
            <v>46149</v>
          </cell>
        </row>
        <row r="2499">
          <cell r="L2499">
            <v>586</v>
          </cell>
          <cell r="M2499">
            <v>46149</v>
          </cell>
        </row>
        <row r="2500">
          <cell r="L2500">
            <v>453</v>
          </cell>
          <cell r="M2500">
            <v>46149</v>
          </cell>
        </row>
        <row r="2501">
          <cell r="L2501">
            <v>1032</v>
          </cell>
          <cell r="M2501">
            <v>46150</v>
          </cell>
        </row>
        <row r="2502">
          <cell r="L2502">
            <v>576</v>
          </cell>
          <cell r="M2502">
            <v>46150</v>
          </cell>
        </row>
        <row r="2503">
          <cell r="L2503">
            <v>10653</v>
          </cell>
          <cell r="M2503">
            <v>46150</v>
          </cell>
        </row>
        <row r="2504">
          <cell r="L2504">
            <v>9806</v>
          </cell>
          <cell r="M2504">
            <v>46150</v>
          </cell>
        </row>
        <row r="2505">
          <cell r="L2505">
            <v>12312</v>
          </cell>
          <cell r="M2505">
            <v>46150</v>
          </cell>
        </row>
        <row r="2506">
          <cell r="L2506">
            <v>5611</v>
          </cell>
          <cell r="M2506">
            <v>46150</v>
          </cell>
        </row>
        <row r="2507">
          <cell r="L2507">
            <v>6912</v>
          </cell>
          <cell r="M2507">
            <v>46150</v>
          </cell>
        </row>
        <row r="2508">
          <cell r="L2508">
            <v>8234</v>
          </cell>
          <cell r="M2508">
            <v>46150</v>
          </cell>
        </row>
        <row r="2509">
          <cell r="L2509">
            <v>11876</v>
          </cell>
          <cell r="M2509">
            <v>46150</v>
          </cell>
        </row>
        <row r="2510">
          <cell r="L2510">
            <v>278</v>
          </cell>
          <cell r="M2510">
            <v>46150</v>
          </cell>
        </row>
        <row r="2511">
          <cell r="L2511">
            <v>8462</v>
          </cell>
          <cell r="M2511">
            <v>46150</v>
          </cell>
        </row>
        <row r="2512">
          <cell r="L2512">
            <v>1011</v>
          </cell>
          <cell r="M2512">
            <v>46150</v>
          </cell>
        </row>
        <row r="2513">
          <cell r="L2513">
            <v>6914</v>
          </cell>
          <cell r="M2513">
            <v>46150</v>
          </cell>
        </row>
        <row r="2514">
          <cell r="L2514">
            <v>11852</v>
          </cell>
          <cell r="M2514">
            <v>46150</v>
          </cell>
        </row>
        <row r="2515">
          <cell r="L2515">
            <v>11922</v>
          </cell>
          <cell r="M2515">
            <v>46150</v>
          </cell>
        </row>
        <row r="2516">
          <cell r="L2516">
            <v>12307</v>
          </cell>
          <cell r="M2516">
            <v>46150</v>
          </cell>
        </row>
        <row r="2517">
          <cell r="L2517">
            <v>657</v>
          </cell>
          <cell r="M2517">
            <v>46150</v>
          </cell>
        </row>
        <row r="2518">
          <cell r="L2518">
            <v>1050</v>
          </cell>
          <cell r="M2518">
            <v>46150</v>
          </cell>
        </row>
        <row r="2519">
          <cell r="L2519">
            <v>5493</v>
          </cell>
          <cell r="M2519">
            <v>46150</v>
          </cell>
        </row>
        <row r="2520">
          <cell r="L2520">
            <v>8359</v>
          </cell>
          <cell r="M2520">
            <v>46150</v>
          </cell>
        </row>
        <row r="2521">
          <cell r="L2521">
            <v>490</v>
          </cell>
          <cell r="M2521">
            <v>46150</v>
          </cell>
        </row>
        <row r="2522">
          <cell r="L2522">
            <v>1310</v>
          </cell>
          <cell r="M2522">
            <v>46150</v>
          </cell>
        </row>
        <row r="2523">
          <cell r="L2523">
            <v>8677</v>
          </cell>
          <cell r="M2523">
            <v>46150</v>
          </cell>
        </row>
        <row r="2524">
          <cell r="L2524">
            <v>8602</v>
          </cell>
          <cell r="M2524">
            <v>46150</v>
          </cell>
        </row>
        <row r="2525">
          <cell r="L2525">
            <v>11091</v>
          </cell>
          <cell r="M2525">
            <v>46150</v>
          </cell>
        </row>
        <row r="2526">
          <cell r="L2526">
            <v>11446</v>
          </cell>
          <cell r="M2526">
            <v>46150</v>
          </cell>
        </row>
        <row r="2527">
          <cell r="L2527">
            <v>12006</v>
          </cell>
          <cell r="M2527">
            <v>46150</v>
          </cell>
        </row>
        <row r="2528">
          <cell r="L2528">
            <v>651</v>
          </cell>
          <cell r="M2528">
            <v>46150</v>
          </cell>
        </row>
        <row r="2529">
          <cell r="L2529">
            <v>6267</v>
          </cell>
          <cell r="M2529">
            <v>46150</v>
          </cell>
        </row>
        <row r="2530">
          <cell r="L2530">
            <v>4272</v>
          </cell>
          <cell r="M2530">
            <v>46150</v>
          </cell>
        </row>
        <row r="2531">
          <cell r="L2531">
            <v>5618</v>
          </cell>
          <cell r="M2531">
            <v>46150</v>
          </cell>
        </row>
        <row r="2532">
          <cell r="L2532">
            <v>7686</v>
          </cell>
          <cell r="M2532">
            <v>46150</v>
          </cell>
        </row>
        <row r="2533">
          <cell r="L2533">
            <v>7486</v>
          </cell>
          <cell r="M2533">
            <v>46150</v>
          </cell>
        </row>
        <row r="2534">
          <cell r="L2534">
            <v>8124</v>
          </cell>
          <cell r="M2534">
            <v>46150</v>
          </cell>
        </row>
        <row r="2535">
          <cell r="L2535">
            <v>12441</v>
          </cell>
          <cell r="M2535">
            <v>46150</v>
          </cell>
        </row>
        <row r="2536">
          <cell r="L2536">
            <v>1447</v>
          </cell>
          <cell r="M2536">
            <v>46150</v>
          </cell>
        </row>
        <row r="2537">
          <cell r="L2537">
            <v>9561</v>
          </cell>
          <cell r="M2537">
            <v>46150</v>
          </cell>
        </row>
        <row r="2538">
          <cell r="L2538">
            <v>585</v>
          </cell>
          <cell r="M2538">
            <v>46150</v>
          </cell>
        </row>
        <row r="2539">
          <cell r="L2539">
            <v>2834</v>
          </cell>
          <cell r="M2539">
            <v>46150</v>
          </cell>
        </row>
        <row r="2540">
          <cell r="L2540">
            <v>3231</v>
          </cell>
          <cell r="M2540">
            <v>46150</v>
          </cell>
        </row>
        <row r="2541">
          <cell r="L2541">
            <v>1406</v>
          </cell>
          <cell r="M2541">
            <v>46150</v>
          </cell>
        </row>
        <row r="2542">
          <cell r="L2542">
            <v>11230</v>
          </cell>
          <cell r="M2542">
            <v>46150</v>
          </cell>
        </row>
        <row r="2543">
          <cell r="L2543">
            <v>10639</v>
          </cell>
          <cell r="M2543">
            <v>46150</v>
          </cell>
        </row>
        <row r="2544">
          <cell r="L2544">
            <v>2637</v>
          </cell>
          <cell r="M2544">
            <v>46150</v>
          </cell>
        </row>
        <row r="2545">
          <cell r="L2545">
            <v>3249</v>
          </cell>
          <cell r="M2545">
            <v>46150</v>
          </cell>
        </row>
        <row r="2546">
          <cell r="L2546">
            <v>1045</v>
          </cell>
          <cell r="M2546">
            <v>46150</v>
          </cell>
        </row>
        <row r="2547">
          <cell r="L2547">
            <v>10639</v>
          </cell>
          <cell r="M2547">
            <v>46150</v>
          </cell>
        </row>
        <row r="2548">
          <cell r="L2548">
            <v>1199</v>
          </cell>
          <cell r="M2548">
            <v>46150</v>
          </cell>
        </row>
        <row r="2549">
          <cell r="L2549">
            <v>1379</v>
          </cell>
          <cell r="M2549">
            <v>46150</v>
          </cell>
        </row>
        <row r="2550">
          <cell r="L2550">
            <v>2388</v>
          </cell>
          <cell r="M2550">
            <v>46150</v>
          </cell>
        </row>
        <row r="2551">
          <cell r="L2551">
            <v>2462</v>
          </cell>
          <cell r="M2551">
            <v>46150</v>
          </cell>
        </row>
        <row r="2552">
          <cell r="L2552">
            <v>292</v>
          </cell>
          <cell r="M2552">
            <v>46150</v>
          </cell>
        </row>
        <row r="2553">
          <cell r="L2553">
            <v>3043</v>
          </cell>
          <cell r="M2553">
            <v>46150</v>
          </cell>
        </row>
        <row r="2554">
          <cell r="L2554">
            <v>5589</v>
          </cell>
          <cell r="M2554">
            <v>46150</v>
          </cell>
        </row>
        <row r="2555">
          <cell r="L2555">
            <v>5590</v>
          </cell>
          <cell r="M2555">
            <v>46150</v>
          </cell>
        </row>
        <row r="2556">
          <cell r="L2556">
            <v>569</v>
          </cell>
          <cell r="M2556">
            <v>46150</v>
          </cell>
        </row>
        <row r="2557">
          <cell r="L2557">
            <v>4120</v>
          </cell>
          <cell r="M2557">
            <v>46150</v>
          </cell>
        </row>
        <row r="2558">
          <cell r="L2558">
            <v>12292</v>
          </cell>
          <cell r="M2558">
            <v>46150</v>
          </cell>
        </row>
        <row r="2559">
          <cell r="L2559">
            <v>10133</v>
          </cell>
          <cell r="M2559">
            <v>46150</v>
          </cell>
        </row>
        <row r="2560">
          <cell r="L2560">
            <v>2732</v>
          </cell>
          <cell r="M2560">
            <v>46150</v>
          </cell>
        </row>
        <row r="2561">
          <cell r="L2561">
            <v>11911</v>
          </cell>
          <cell r="M2561">
            <v>46150</v>
          </cell>
        </row>
        <row r="2562">
          <cell r="L2562">
            <v>638</v>
          </cell>
          <cell r="M2562">
            <v>46150</v>
          </cell>
        </row>
        <row r="2563">
          <cell r="L2563">
            <v>1154</v>
          </cell>
          <cell r="M2563">
            <v>46150</v>
          </cell>
        </row>
        <row r="2564">
          <cell r="L2564">
            <v>12483</v>
          </cell>
          <cell r="M2564">
            <v>46150</v>
          </cell>
        </row>
        <row r="2565">
          <cell r="L2565">
            <v>9650</v>
          </cell>
          <cell r="M2565">
            <v>46150</v>
          </cell>
        </row>
        <row r="2566">
          <cell r="L2566">
            <v>7194</v>
          </cell>
          <cell r="M2566">
            <v>46151</v>
          </cell>
        </row>
        <row r="2567">
          <cell r="L2567">
            <v>9731</v>
          </cell>
          <cell r="M2567">
            <v>46151</v>
          </cell>
        </row>
        <row r="2568">
          <cell r="L2568">
            <v>3715</v>
          </cell>
          <cell r="M2568">
            <v>46151</v>
          </cell>
        </row>
        <row r="2569">
          <cell r="L2569">
            <v>7318</v>
          </cell>
          <cell r="M2569">
            <v>46151</v>
          </cell>
        </row>
        <row r="2570">
          <cell r="L2570">
            <v>9156</v>
          </cell>
          <cell r="M2570">
            <v>46151</v>
          </cell>
        </row>
        <row r="2571">
          <cell r="L2571">
            <v>3584</v>
          </cell>
          <cell r="M2571">
            <v>46151</v>
          </cell>
        </row>
        <row r="2572">
          <cell r="L2572">
            <v>9358</v>
          </cell>
          <cell r="M2572">
            <v>46151</v>
          </cell>
        </row>
        <row r="2573">
          <cell r="L2573">
            <v>11876</v>
          </cell>
          <cell r="M2573">
            <v>46151</v>
          </cell>
        </row>
        <row r="2574">
          <cell r="L2574">
            <v>12318</v>
          </cell>
          <cell r="M2574">
            <v>46151</v>
          </cell>
        </row>
        <row r="2575">
          <cell r="L2575">
            <v>9895</v>
          </cell>
          <cell r="M2575">
            <v>46151</v>
          </cell>
        </row>
        <row r="2576">
          <cell r="L2576">
            <v>11348</v>
          </cell>
          <cell r="M2576">
            <v>46151</v>
          </cell>
        </row>
        <row r="2577">
          <cell r="L2577">
            <v>11554</v>
          </cell>
          <cell r="M2577">
            <v>46151</v>
          </cell>
        </row>
        <row r="2578">
          <cell r="L2578">
            <v>12541</v>
          </cell>
          <cell r="M2578">
            <v>46151</v>
          </cell>
        </row>
        <row r="2579">
          <cell r="L2579">
            <v>11848</v>
          </cell>
          <cell r="M2579">
            <v>46151</v>
          </cell>
        </row>
        <row r="2580">
          <cell r="L2580">
            <v>12542</v>
          </cell>
          <cell r="M2580">
            <v>46151</v>
          </cell>
        </row>
        <row r="2581">
          <cell r="L2581">
            <v>8766</v>
          </cell>
          <cell r="M2581">
            <v>46151</v>
          </cell>
        </row>
        <row r="2582">
          <cell r="L2582">
            <v>12540</v>
          </cell>
          <cell r="M2582">
            <v>46151</v>
          </cell>
        </row>
        <row r="2583">
          <cell r="L2583">
            <v>12741</v>
          </cell>
          <cell r="M2583">
            <v>46151</v>
          </cell>
        </row>
        <row r="2584">
          <cell r="L2584">
            <v>12740</v>
          </cell>
          <cell r="M2584">
            <v>46151</v>
          </cell>
        </row>
        <row r="2585">
          <cell r="L2585">
            <v>6681</v>
          </cell>
          <cell r="M2585">
            <v>46151</v>
          </cell>
        </row>
        <row r="2586">
          <cell r="L2586">
            <v>5834</v>
          </cell>
          <cell r="M2586">
            <v>46151</v>
          </cell>
        </row>
        <row r="2587">
          <cell r="L2587">
            <v>3646</v>
          </cell>
          <cell r="M2587">
            <v>46151</v>
          </cell>
        </row>
        <row r="2588">
          <cell r="L2588">
            <v>3920</v>
          </cell>
          <cell r="M2588">
            <v>46151</v>
          </cell>
        </row>
        <row r="2589">
          <cell r="L2589">
            <v>2993</v>
          </cell>
          <cell r="M2589">
            <v>46151</v>
          </cell>
        </row>
        <row r="2590">
          <cell r="L2590">
            <v>10787</v>
          </cell>
          <cell r="M2590">
            <v>46151</v>
          </cell>
        </row>
        <row r="2591">
          <cell r="L2591">
            <v>1032</v>
          </cell>
          <cell r="M2591">
            <v>46151</v>
          </cell>
        </row>
        <row r="2592">
          <cell r="L2592">
            <v>11990</v>
          </cell>
          <cell r="M2592">
            <v>46151</v>
          </cell>
        </row>
        <row r="2593">
          <cell r="L2593">
            <v>8759</v>
          </cell>
          <cell r="M2593">
            <v>46151</v>
          </cell>
        </row>
        <row r="2594">
          <cell r="L2594">
            <v>4311</v>
          </cell>
          <cell r="M2594">
            <v>46151</v>
          </cell>
        </row>
        <row r="2595">
          <cell r="L2595">
            <v>11380</v>
          </cell>
          <cell r="M2595">
            <v>46151</v>
          </cell>
        </row>
        <row r="2596">
          <cell r="L2596">
            <v>12246</v>
          </cell>
          <cell r="M2596">
            <v>46151</v>
          </cell>
        </row>
        <row r="2597">
          <cell r="L2597">
            <v>9901</v>
          </cell>
          <cell r="M2597">
            <v>46151</v>
          </cell>
        </row>
        <row r="2598">
          <cell r="L2598">
            <v>9650</v>
          </cell>
          <cell r="M2598">
            <v>46151</v>
          </cell>
        </row>
        <row r="2599">
          <cell r="L2599">
            <v>9650</v>
          </cell>
          <cell r="M2599">
            <v>46151</v>
          </cell>
        </row>
        <row r="2600">
          <cell r="L2600">
            <v>9517</v>
          </cell>
          <cell r="M2600">
            <v>46151</v>
          </cell>
        </row>
        <row r="2601">
          <cell r="L2601">
            <v>1437</v>
          </cell>
          <cell r="M2601">
            <v>46151</v>
          </cell>
        </row>
        <row r="2602">
          <cell r="L2602">
            <v>8851</v>
          </cell>
          <cell r="M2602">
            <v>46151</v>
          </cell>
        </row>
        <row r="2603">
          <cell r="L2603">
            <v>1154</v>
          </cell>
          <cell r="M2603">
            <v>46151</v>
          </cell>
        </row>
        <row r="2604">
          <cell r="L2604">
            <v>1154</v>
          </cell>
          <cell r="M2604">
            <v>46151</v>
          </cell>
        </row>
        <row r="2605">
          <cell r="L2605">
            <v>9649</v>
          </cell>
          <cell r="M2605">
            <v>46151</v>
          </cell>
        </row>
        <row r="2606">
          <cell r="L2606">
            <v>638</v>
          </cell>
          <cell r="M2606">
            <v>46151</v>
          </cell>
        </row>
        <row r="2607">
          <cell r="L2607">
            <v>565</v>
          </cell>
          <cell r="M2607">
            <v>46151</v>
          </cell>
        </row>
        <row r="2608">
          <cell r="L2608">
            <v>5835</v>
          </cell>
          <cell r="M2608">
            <v>46151</v>
          </cell>
        </row>
        <row r="2609">
          <cell r="L2609">
            <v>11911</v>
          </cell>
          <cell r="M2609">
            <v>46151</v>
          </cell>
        </row>
        <row r="2610">
          <cell r="L2610">
            <v>9284</v>
          </cell>
          <cell r="M2610">
            <v>46151</v>
          </cell>
        </row>
        <row r="2611">
          <cell r="L2611">
            <v>9698</v>
          </cell>
          <cell r="M2611">
            <v>46151</v>
          </cell>
        </row>
        <row r="2612">
          <cell r="L2612">
            <v>5447</v>
          </cell>
          <cell r="M2612">
            <v>46151</v>
          </cell>
        </row>
        <row r="2613">
          <cell r="L2613">
            <v>9446</v>
          </cell>
          <cell r="M2613">
            <v>46151</v>
          </cell>
        </row>
        <row r="2614">
          <cell r="L2614">
            <v>1188</v>
          </cell>
          <cell r="M2614">
            <v>46151</v>
          </cell>
        </row>
        <row r="2615">
          <cell r="L2615">
            <v>1370</v>
          </cell>
          <cell r="M2615">
            <v>46151</v>
          </cell>
        </row>
        <row r="2616">
          <cell r="L2616">
            <v>8754</v>
          </cell>
          <cell r="M2616">
            <v>46151</v>
          </cell>
        </row>
        <row r="2617">
          <cell r="L2617">
            <v>9697</v>
          </cell>
          <cell r="M2617">
            <v>46151</v>
          </cell>
        </row>
        <row r="2618">
          <cell r="L2618">
            <v>9696</v>
          </cell>
          <cell r="M2618">
            <v>46151</v>
          </cell>
        </row>
        <row r="2619">
          <cell r="L2619">
            <v>9645</v>
          </cell>
          <cell r="M2619">
            <v>46151</v>
          </cell>
        </row>
        <row r="2620">
          <cell r="L2620">
            <v>8988</v>
          </cell>
          <cell r="M2620">
            <v>46151</v>
          </cell>
        </row>
        <row r="2621">
          <cell r="L2621">
            <v>9305</v>
          </cell>
          <cell r="M2621">
            <v>46151</v>
          </cell>
        </row>
        <row r="2622">
          <cell r="L2622">
            <v>8990</v>
          </cell>
          <cell r="M2622">
            <v>46151</v>
          </cell>
        </row>
        <row r="2623">
          <cell r="L2623">
            <v>4261</v>
          </cell>
          <cell r="M2623">
            <v>46151</v>
          </cell>
        </row>
        <row r="2624">
          <cell r="L2624">
            <v>8087</v>
          </cell>
          <cell r="M2624">
            <v>46151</v>
          </cell>
        </row>
        <row r="2625">
          <cell r="L2625">
            <v>9037</v>
          </cell>
          <cell r="M2625">
            <v>46151</v>
          </cell>
        </row>
        <row r="2626">
          <cell r="L2626">
            <v>9364</v>
          </cell>
          <cell r="M2626">
            <v>46151</v>
          </cell>
        </row>
        <row r="2627">
          <cell r="L2627">
            <v>9439</v>
          </cell>
          <cell r="M2627">
            <v>46151</v>
          </cell>
        </row>
        <row r="2628">
          <cell r="L2628">
            <v>12732</v>
          </cell>
          <cell r="M2628">
            <v>46151</v>
          </cell>
        </row>
        <row r="2629">
          <cell r="L2629">
            <v>12021</v>
          </cell>
          <cell r="M2629">
            <v>46151</v>
          </cell>
        </row>
        <row r="2630">
          <cell r="L2630">
            <v>12387</v>
          </cell>
          <cell r="M2630">
            <v>46151</v>
          </cell>
        </row>
        <row r="2631">
          <cell r="L2631">
            <v>7194</v>
          </cell>
          <cell r="M2631">
            <v>46151</v>
          </cell>
        </row>
        <row r="2632">
          <cell r="L2632">
            <v>985</v>
          </cell>
          <cell r="M2632">
            <v>46151</v>
          </cell>
        </row>
        <row r="2633">
          <cell r="L2633">
            <v>11330</v>
          </cell>
          <cell r="M2633">
            <v>46151</v>
          </cell>
        </row>
        <row r="2634">
          <cell r="L2634">
            <v>2893</v>
          </cell>
          <cell r="M2634">
            <v>46151</v>
          </cell>
        </row>
        <row r="2635">
          <cell r="L2635">
            <v>7247</v>
          </cell>
          <cell r="M2635">
            <v>46151</v>
          </cell>
        </row>
        <row r="2636">
          <cell r="L2636">
            <v>7314</v>
          </cell>
          <cell r="M2636">
            <v>46151</v>
          </cell>
        </row>
        <row r="2637">
          <cell r="L2637">
            <v>12005</v>
          </cell>
          <cell r="M2637">
            <v>46151</v>
          </cell>
        </row>
        <row r="2638">
          <cell r="L2638">
            <v>6531</v>
          </cell>
          <cell r="M2638">
            <v>46151</v>
          </cell>
        </row>
        <row r="2639">
          <cell r="L2639">
            <v>12243</v>
          </cell>
          <cell r="M2639">
            <v>46151</v>
          </cell>
        </row>
        <row r="2640">
          <cell r="L2640">
            <v>8366</v>
          </cell>
          <cell r="M2640">
            <v>46151</v>
          </cell>
        </row>
        <row r="2641">
          <cell r="L2641">
            <v>11091</v>
          </cell>
          <cell r="M2641">
            <v>46151</v>
          </cell>
        </row>
        <row r="2642">
          <cell r="L2642">
            <v>1160</v>
          </cell>
          <cell r="M2642">
            <v>46151</v>
          </cell>
        </row>
        <row r="2643">
          <cell r="L2643">
            <v>12244</v>
          </cell>
          <cell r="M2643">
            <v>46151</v>
          </cell>
        </row>
        <row r="2644">
          <cell r="L2644">
            <v>11866</v>
          </cell>
          <cell r="M2644">
            <v>46151</v>
          </cell>
        </row>
        <row r="2645">
          <cell r="L2645">
            <v>11102</v>
          </cell>
          <cell r="M2645">
            <v>46151</v>
          </cell>
        </row>
        <row r="2646">
          <cell r="L2646">
            <v>8350</v>
          </cell>
          <cell r="M2646">
            <v>46151</v>
          </cell>
        </row>
        <row r="2647">
          <cell r="L2647">
            <v>8373</v>
          </cell>
          <cell r="M2647">
            <v>46151</v>
          </cell>
        </row>
        <row r="2648">
          <cell r="L2648">
            <v>3238</v>
          </cell>
          <cell r="M2648">
            <v>46151</v>
          </cell>
        </row>
        <row r="2649">
          <cell r="L2649">
            <v>3103</v>
          </cell>
          <cell r="M2649">
            <v>46151</v>
          </cell>
        </row>
        <row r="2650">
          <cell r="L2650">
            <v>10133</v>
          </cell>
          <cell r="M2650">
            <v>46151</v>
          </cell>
        </row>
        <row r="2651">
          <cell r="L2651">
            <v>10127</v>
          </cell>
          <cell r="M2651">
            <v>46151</v>
          </cell>
        </row>
        <row r="2652">
          <cell r="L2652">
            <v>10138</v>
          </cell>
          <cell r="M2652">
            <v>46151</v>
          </cell>
        </row>
        <row r="2653">
          <cell r="L2653">
            <v>11650</v>
          </cell>
          <cell r="M2653">
            <v>46151</v>
          </cell>
        </row>
        <row r="2654">
          <cell r="L2654">
            <v>11603</v>
          </cell>
          <cell r="M2654">
            <v>46151</v>
          </cell>
        </row>
        <row r="2655">
          <cell r="L2655">
            <v>11745</v>
          </cell>
          <cell r="M2655">
            <v>46151</v>
          </cell>
        </row>
        <row r="2656">
          <cell r="L2656">
            <v>11757</v>
          </cell>
          <cell r="M2656">
            <v>46151</v>
          </cell>
        </row>
        <row r="2657">
          <cell r="L2657">
            <v>11758</v>
          </cell>
          <cell r="M2657">
            <v>46151</v>
          </cell>
        </row>
        <row r="2658">
          <cell r="L2658">
            <v>11815</v>
          </cell>
          <cell r="M2658">
            <v>46151</v>
          </cell>
        </row>
        <row r="2659">
          <cell r="L2659">
            <v>11312</v>
          </cell>
          <cell r="M2659">
            <v>46151</v>
          </cell>
        </row>
        <row r="2660">
          <cell r="L2660">
            <v>12104</v>
          </cell>
          <cell r="M2660">
            <v>46151</v>
          </cell>
        </row>
        <row r="2661">
          <cell r="L2661">
            <v>12105</v>
          </cell>
          <cell r="M2661">
            <v>46151</v>
          </cell>
        </row>
        <row r="2662">
          <cell r="L2662">
            <v>12106</v>
          </cell>
          <cell r="M2662">
            <v>46151</v>
          </cell>
        </row>
        <row r="2663">
          <cell r="L2663">
            <v>3183</v>
          </cell>
          <cell r="M2663">
            <v>46151</v>
          </cell>
        </row>
        <row r="2664">
          <cell r="L2664">
            <v>4323</v>
          </cell>
          <cell r="M2664">
            <v>46151</v>
          </cell>
        </row>
        <row r="2665">
          <cell r="L2665">
            <v>12320</v>
          </cell>
          <cell r="M2665">
            <v>46151</v>
          </cell>
        </row>
        <row r="2666">
          <cell r="L2666">
            <v>12586</v>
          </cell>
          <cell r="M2666">
            <v>46151</v>
          </cell>
        </row>
        <row r="2667">
          <cell r="L2667">
            <v>1031</v>
          </cell>
          <cell r="M2667">
            <v>46151</v>
          </cell>
        </row>
        <row r="2668">
          <cell r="L2668">
            <v>10091</v>
          </cell>
          <cell r="M2668">
            <v>46151</v>
          </cell>
        </row>
        <row r="2669">
          <cell r="L2669">
            <v>10639</v>
          </cell>
          <cell r="M2669">
            <v>46151</v>
          </cell>
        </row>
        <row r="2670">
          <cell r="L2670">
            <v>2462</v>
          </cell>
          <cell r="M2670">
            <v>46151</v>
          </cell>
        </row>
        <row r="2671">
          <cell r="L2671">
            <v>12532</v>
          </cell>
          <cell r="M2671">
            <v>46151</v>
          </cell>
        </row>
        <row r="2672">
          <cell r="L2672">
            <v>12713</v>
          </cell>
          <cell r="M2672">
            <v>46151</v>
          </cell>
        </row>
        <row r="2673">
          <cell r="L2673">
            <v>11043</v>
          </cell>
          <cell r="M2673">
            <v>46151</v>
          </cell>
        </row>
        <row r="2674">
          <cell r="L2674">
            <v>1120</v>
          </cell>
          <cell r="M2674">
            <v>46151</v>
          </cell>
        </row>
        <row r="2675">
          <cell r="L2675">
            <v>12658</v>
          </cell>
          <cell r="M2675">
            <v>46151</v>
          </cell>
        </row>
        <row r="2676">
          <cell r="L2676">
            <v>12743</v>
          </cell>
          <cell r="M2676">
            <v>46151</v>
          </cell>
        </row>
        <row r="2677">
          <cell r="L2677">
            <v>12742</v>
          </cell>
          <cell r="M2677">
            <v>46151</v>
          </cell>
        </row>
        <row r="2678">
          <cell r="L2678">
            <v>4646</v>
          </cell>
          <cell r="M2678">
            <v>46153</v>
          </cell>
        </row>
        <row r="2679">
          <cell r="L2679">
            <v>1119</v>
          </cell>
          <cell r="M2679">
            <v>46153</v>
          </cell>
        </row>
        <row r="2680">
          <cell r="L2680">
            <v>1497</v>
          </cell>
          <cell r="M2680">
            <v>46153</v>
          </cell>
        </row>
        <row r="2681">
          <cell r="L2681">
            <v>9725</v>
          </cell>
          <cell r="M2681">
            <v>46153</v>
          </cell>
        </row>
        <row r="2682">
          <cell r="L2682">
            <v>264</v>
          </cell>
          <cell r="M2682">
            <v>46153</v>
          </cell>
        </row>
        <row r="2683">
          <cell r="L2683">
            <v>290</v>
          </cell>
          <cell r="M2683">
            <v>46153</v>
          </cell>
        </row>
        <row r="2684">
          <cell r="L2684">
            <v>1694</v>
          </cell>
          <cell r="M2684">
            <v>46153</v>
          </cell>
        </row>
        <row r="2685">
          <cell r="L2685">
            <v>2485</v>
          </cell>
          <cell r="M2685">
            <v>46153</v>
          </cell>
        </row>
        <row r="2686">
          <cell r="L2686">
            <v>5987</v>
          </cell>
          <cell r="M2686">
            <v>46153</v>
          </cell>
        </row>
        <row r="2687">
          <cell r="L2687">
            <v>1494</v>
          </cell>
          <cell r="M2687">
            <v>46153</v>
          </cell>
        </row>
        <row r="2688">
          <cell r="L2688">
            <v>5064</v>
          </cell>
          <cell r="M2688">
            <v>46153</v>
          </cell>
        </row>
        <row r="2689">
          <cell r="L2689">
            <v>4658</v>
          </cell>
          <cell r="M2689">
            <v>46153</v>
          </cell>
        </row>
        <row r="2690">
          <cell r="L2690">
            <v>5869</v>
          </cell>
          <cell r="M2690">
            <v>46153</v>
          </cell>
        </row>
        <row r="2691">
          <cell r="L2691">
            <v>5567</v>
          </cell>
          <cell r="M2691">
            <v>46153</v>
          </cell>
        </row>
        <row r="2692">
          <cell r="L2692">
            <v>5581</v>
          </cell>
          <cell r="M2692">
            <v>46153</v>
          </cell>
        </row>
        <row r="2693">
          <cell r="L2693">
            <v>7288</v>
          </cell>
          <cell r="M2693">
            <v>46153</v>
          </cell>
        </row>
        <row r="2694">
          <cell r="L2694">
            <v>8461</v>
          </cell>
          <cell r="M2694">
            <v>46153</v>
          </cell>
        </row>
        <row r="2695">
          <cell r="L2695">
            <v>1487</v>
          </cell>
          <cell r="M2695">
            <v>46153</v>
          </cell>
        </row>
        <row r="2696">
          <cell r="L2696">
            <v>1302</v>
          </cell>
          <cell r="M2696">
            <v>46153</v>
          </cell>
        </row>
        <row r="2697">
          <cell r="L2697">
            <v>4073</v>
          </cell>
          <cell r="M2697">
            <v>46153</v>
          </cell>
        </row>
        <row r="2698">
          <cell r="L2698">
            <v>5708</v>
          </cell>
          <cell r="M2698">
            <v>46153</v>
          </cell>
        </row>
        <row r="2699">
          <cell r="L2699">
            <v>4663</v>
          </cell>
          <cell r="M2699">
            <v>46153</v>
          </cell>
        </row>
        <row r="2700">
          <cell r="L2700">
            <v>4756</v>
          </cell>
          <cell r="M2700">
            <v>46153</v>
          </cell>
        </row>
        <row r="2701">
          <cell r="L2701">
            <v>5598</v>
          </cell>
          <cell r="M2701">
            <v>46153</v>
          </cell>
        </row>
        <row r="2702">
          <cell r="L2702">
            <v>4105</v>
          </cell>
          <cell r="M2702">
            <v>46153</v>
          </cell>
        </row>
        <row r="2703">
          <cell r="L2703">
            <v>4411</v>
          </cell>
          <cell r="M2703">
            <v>46153</v>
          </cell>
        </row>
        <row r="2704">
          <cell r="L2704">
            <v>6058</v>
          </cell>
          <cell r="M2704">
            <v>46153</v>
          </cell>
        </row>
        <row r="2705">
          <cell r="L2705">
            <v>8984</v>
          </cell>
          <cell r="M2705">
            <v>46153</v>
          </cell>
        </row>
        <row r="2706">
          <cell r="L2706">
            <v>9894</v>
          </cell>
          <cell r="M2706">
            <v>46153</v>
          </cell>
        </row>
        <row r="2707">
          <cell r="L2707">
            <v>9732</v>
          </cell>
          <cell r="M2707">
            <v>46153</v>
          </cell>
        </row>
        <row r="2708">
          <cell r="L2708">
            <v>11100</v>
          </cell>
          <cell r="M2708">
            <v>46153</v>
          </cell>
        </row>
        <row r="2709">
          <cell r="L2709">
            <v>11699</v>
          </cell>
          <cell r="M2709">
            <v>46153</v>
          </cell>
        </row>
        <row r="2710">
          <cell r="L2710">
            <v>11922</v>
          </cell>
          <cell r="M2710">
            <v>46153</v>
          </cell>
        </row>
        <row r="2711">
          <cell r="L2711">
            <v>12021</v>
          </cell>
          <cell r="M2711">
            <v>46153</v>
          </cell>
        </row>
        <row r="2712">
          <cell r="L2712">
            <v>12321</v>
          </cell>
          <cell r="M2712">
            <v>46153</v>
          </cell>
        </row>
        <row r="2713">
          <cell r="L2713">
            <v>2585</v>
          </cell>
          <cell r="M2713">
            <v>46153</v>
          </cell>
        </row>
        <row r="2714">
          <cell r="L2714">
            <v>7249</v>
          </cell>
          <cell r="M2714">
            <v>46153</v>
          </cell>
        </row>
        <row r="2715">
          <cell r="L2715">
            <v>8234</v>
          </cell>
          <cell r="M2715">
            <v>46153</v>
          </cell>
        </row>
        <row r="2716">
          <cell r="L2716">
            <v>3926</v>
          </cell>
          <cell r="M2716">
            <v>46153</v>
          </cell>
        </row>
        <row r="2717">
          <cell r="L2717">
            <v>1008</v>
          </cell>
          <cell r="M2717">
            <v>46153</v>
          </cell>
        </row>
        <row r="2718">
          <cell r="L2718">
            <v>11781</v>
          </cell>
          <cell r="M2718">
            <v>46153</v>
          </cell>
        </row>
        <row r="2719">
          <cell r="L2719">
            <v>6913</v>
          </cell>
          <cell r="M2719">
            <v>46153</v>
          </cell>
        </row>
        <row r="2720">
          <cell r="L2720">
            <v>7316</v>
          </cell>
          <cell r="M2720">
            <v>46153</v>
          </cell>
        </row>
        <row r="2721">
          <cell r="L2721">
            <v>12612</v>
          </cell>
          <cell r="M2721">
            <v>46153</v>
          </cell>
        </row>
        <row r="2722">
          <cell r="L2722">
            <v>12587</v>
          </cell>
          <cell r="M2722">
            <v>46153</v>
          </cell>
        </row>
        <row r="2723">
          <cell r="L2723">
            <v>9695</v>
          </cell>
          <cell r="M2723">
            <v>46153</v>
          </cell>
        </row>
        <row r="2724">
          <cell r="L2724">
            <v>5787</v>
          </cell>
          <cell r="M2724">
            <v>46153</v>
          </cell>
        </row>
        <row r="2725">
          <cell r="L2725">
            <v>12059</v>
          </cell>
          <cell r="M2725">
            <v>46153</v>
          </cell>
        </row>
        <row r="2726">
          <cell r="L2726">
            <v>9694</v>
          </cell>
          <cell r="M2726">
            <v>46153</v>
          </cell>
        </row>
        <row r="2727">
          <cell r="L2727">
            <v>9008</v>
          </cell>
          <cell r="M2727">
            <v>46153</v>
          </cell>
        </row>
        <row r="2728">
          <cell r="L2728">
            <v>7894</v>
          </cell>
          <cell r="M2728">
            <v>46153</v>
          </cell>
        </row>
        <row r="2729">
          <cell r="L2729">
            <v>5310</v>
          </cell>
          <cell r="M2729">
            <v>46153</v>
          </cell>
        </row>
        <row r="2730">
          <cell r="L2730">
            <v>9696</v>
          </cell>
          <cell r="M2730">
            <v>46153</v>
          </cell>
        </row>
        <row r="2731">
          <cell r="L2731">
            <v>4056</v>
          </cell>
          <cell r="M2731">
            <v>46153</v>
          </cell>
        </row>
        <row r="2732">
          <cell r="L2732">
            <v>4181</v>
          </cell>
          <cell r="M2732">
            <v>46153</v>
          </cell>
        </row>
        <row r="2733">
          <cell r="L2733">
            <v>12650</v>
          </cell>
          <cell r="M2733">
            <v>46153</v>
          </cell>
        </row>
        <row r="2734">
          <cell r="L2734">
            <v>12649</v>
          </cell>
          <cell r="M2734">
            <v>46153</v>
          </cell>
        </row>
        <row r="2735">
          <cell r="L2735">
            <v>12569</v>
          </cell>
          <cell r="M2735">
            <v>46153</v>
          </cell>
        </row>
        <row r="2736">
          <cell r="L2736">
            <v>12651</v>
          </cell>
          <cell r="M2736">
            <v>46153</v>
          </cell>
        </row>
        <row r="2737">
          <cell r="L2737">
            <v>12473</v>
          </cell>
          <cell r="M2737">
            <v>46153</v>
          </cell>
        </row>
        <row r="2738">
          <cell r="L2738">
            <v>12244</v>
          </cell>
          <cell r="M2738">
            <v>46153</v>
          </cell>
        </row>
        <row r="2739">
          <cell r="L2739">
            <v>12243</v>
          </cell>
          <cell r="M2739">
            <v>46153</v>
          </cell>
        </row>
        <row r="2740">
          <cell r="L2740">
            <v>12332</v>
          </cell>
          <cell r="M2740">
            <v>46153</v>
          </cell>
        </row>
        <row r="2741">
          <cell r="L2741">
            <v>12441</v>
          </cell>
          <cell r="M2741">
            <v>46153</v>
          </cell>
        </row>
        <row r="2742">
          <cell r="L2742">
            <v>12480</v>
          </cell>
          <cell r="M2742">
            <v>46153</v>
          </cell>
        </row>
        <row r="2743">
          <cell r="L2743">
            <v>4272</v>
          </cell>
          <cell r="M2743">
            <v>46153</v>
          </cell>
        </row>
        <row r="2744">
          <cell r="L2744">
            <v>12596</v>
          </cell>
          <cell r="M2744">
            <v>46154</v>
          </cell>
        </row>
        <row r="2745">
          <cell r="L2745">
            <v>12589</v>
          </cell>
          <cell r="M2745">
            <v>46154</v>
          </cell>
        </row>
        <row r="2746">
          <cell r="L2746">
            <v>12464</v>
          </cell>
          <cell r="M2746">
            <v>46154</v>
          </cell>
        </row>
        <row r="2747">
          <cell r="L2747">
            <v>12304</v>
          </cell>
          <cell r="M2747">
            <v>46154</v>
          </cell>
        </row>
        <row r="2748">
          <cell r="L2748">
            <v>12310</v>
          </cell>
          <cell r="M2748">
            <v>46154</v>
          </cell>
        </row>
        <row r="2749">
          <cell r="L2749">
            <v>12306</v>
          </cell>
          <cell r="M2749">
            <v>46154</v>
          </cell>
        </row>
        <row r="2750">
          <cell r="L2750">
            <v>12308</v>
          </cell>
          <cell r="M2750">
            <v>46154</v>
          </cell>
        </row>
        <row r="2751">
          <cell r="L2751">
            <v>12387</v>
          </cell>
          <cell r="M2751">
            <v>46154</v>
          </cell>
        </row>
        <row r="2752">
          <cell r="L2752">
            <v>12424</v>
          </cell>
          <cell r="M2752">
            <v>46154</v>
          </cell>
        </row>
        <row r="2753">
          <cell r="L2753">
            <v>12414</v>
          </cell>
          <cell r="M2753">
            <v>46154</v>
          </cell>
        </row>
        <row r="2754">
          <cell r="L2754">
            <v>12396</v>
          </cell>
          <cell r="M2754">
            <v>46154</v>
          </cell>
        </row>
        <row r="2755">
          <cell r="L2755">
            <v>12540</v>
          </cell>
          <cell r="M2755">
            <v>46154</v>
          </cell>
        </row>
        <row r="2756">
          <cell r="L2756">
            <v>11937</v>
          </cell>
          <cell r="M2756">
            <v>46154</v>
          </cell>
        </row>
        <row r="2757">
          <cell r="L2757">
            <v>10009</v>
          </cell>
          <cell r="M2757">
            <v>46154</v>
          </cell>
        </row>
        <row r="2758">
          <cell r="L2758">
            <v>10008</v>
          </cell>
          <cell r="M2758">
            <v>46154</v>
          </cell>
        </row>
        <row r="2759">
          <cell r="L2759">
            <v>9776</v>
          </cell>
          <cell r="M2759">
            <v>46154</v>
          </cell>
        </row>
        <row r="2760">
          <cell r="L2760">
            <v>9553</v>
          </cell>
          <cell r="M2760">
            <v>46154</v>
          </cell>
        </row>
        <row r="2761">
          <cell r="L2761">
            <v>9806</v>
          </cell>
          <cell r="M2761">
            <v>46154</v>
          </cell>
        </row>
        <row r="2762">
          <cell r="L2762">
            <v>8671</v>
          </cell>
          <cell r="M2762">
            <v>46154</v>
          </cell>
        </row>
        <row r="2763">
          <cell r="L2763">
            <v>11043</v>
          </cell>
          <cell r="M2763">
            <v>46154</v>
          </cell>
        </row>
        <row r="2764">
          <cell r="L2764">
            <v>7688</v>
          </cell>
          <cell r="M2764">
            <v>46154</v>
          </cell>
        </row>
        <row r="2765">
          <cell r="L2765">
            <v>7119</v>
          </cell>
          <cell r="M2765">
            <v>46154</v>
          </cell>
        </row>
        <row r="2766">
          <cell r="L2766">
            <v>5843</v>
          </cell>
          <cell r="M2766">
            <v>46154</v>
          </cell>
        </row>
        <row r="2767">
          <cell r="L2767">
            <v>5672</v>
          </cell>
          <cell r="M2767">
            <v>46154</v>
          </cell>
        </row>
        <row r="2768">
          <cell r="L2768">
            <v>5671</v>
          </cell>
          <cell r="M2768">
            <v>46154</v>
          </cell>
        </row>
        <row r="2769">
          <cell r="L2769">
            <v>11839</v>
          </cell>
          <cell r="M2769">
            <v>46154</v>
          </cell>
        </row>
        <row r="2770">
          <cell r="L2770">
            <v>5121</v>
          </cell>
          <cell r="M2770">
            <v>46154</v>
          </cell>
        </row>
        <row r="2771">
          <cell r="L2771">
            <v>4350</v>
          </cell>
          <cell r="M2771">
            <v>46154</v>
          </cell>
        </row>
        <row r="2772">
          <cell r="L2772">
            <v>1748</v>
          </cell>
          <cell r="M2772">
            <v>46154</v>
          </cell>
        </row>
        <row r="2773">
          <cell r="L2773">
            <v>1697</v>
          </cell>
          <cell r="M2773">
            <v>46154</v>
          </cell>
        </row>
        <row r="2774">
          <cell r="L2774">
            <v>1643</v>
          </cell>
          <cell r="M2774">
            <v>46154</v>
          </cell>
        </row>
        <row r="2775">
          <cell r="L2775">
            <v>1588</v>
          </cell>
          <cell r="M2775">
            <v>46154</v>
          </cell>
        </row>
        <row r="2776">
          <cell r="L2776">
            <v>1536</v>
          </cell>
          <cell r="M2776">
            <v>46154</v>
          </cell>
        </row>
        <row r="2777">
          <cell r="L2777">
            <v>10785</v>
          </cell>
          <cell r="M2777">
            <v>46154</v>
          </cell>
        </row>
        <row r="2778">
          <cell r="L2778">
            <v>1144</v>
          </cell>
          <cell r="M2778">
            <v>46154</v>
          </cell>
        </row>
        <row r="2779">
          <cell r="L2779">
            <v>1140</v>
          </cell>
          <cell r="M2779">
            <v>46154</v>
          </cell>
        </row>
        <row r="2780">
          <cell r="L2780">
            <v>1022</v>
          </cell>
          <cell r="M2780">
            <v>46154</v>
          </cell>
        </row>
        <row r="2781">
          <cell r="L2781">
            <v>1712</v>
          </cell>
          <cell r="M2781">
            <v>46154</v>
          </cell>
        </row>
        <row r="2782">
          <cell r="L2782">
            <v>12632</v>
          </cell>
          <cell r="M2782">
            <v>46154</v>
          </cell>
        </row>
        <row r="2783">
          <cell r="L2783">
            <v>12631</v>
          </cell>
          <cell r="M2783">
            <v>46154</v>
          </cell>
        </row>
        <row r="2784">
          <cell r="L2784">
            <v>12630</v>
          </cell>
          <cell r="M2784">
            <v>46154</v>
          </cell>
        </row>
        <row r="2785">
          <cell r="L2785">
            <v>12309</v>
          </cell>
          <cell r="M2785">
            <v>46154</v>
          </cell>
        </row>
        <row r="2786">
          <cell r="L2786">
            <v>9686</v>
          </cell>
          <cell r="M2786">
            <v>46154</v>
          </cell>
        </row>
        <row r="2787">
          <cell r="L2787">
            <v>11330</v>
          </cell>
          <cell r="M2787">
            <v>46154</v>
          </cell>
        </row>
        <row r="2788">
          <cell r="L2788">
            <v>2893</v>
          </cell>
          <cell r="M2788">
            <v>46154</v>
          </cell>
        </row>
        <row r="2789">
          <cell r="L2789">
            <v>5611</v>
          </cell>
          <cell r="M2789">
            <v>46154</v>
          </cell>
        </row>
        <row r="2790">
          <cell r="L2790">
            <v>6906</v>
          </cell>
          <cell r="M2790">
            <v>46154</v>
          </cell>
        </row>
        <row r="2791">
          <cell r="L2791">
            <v>7314</v>
          </cell>
          <cell r="M2791">
            <v>46154</v>
          </cell>
        </row>
        <row r="2792">
          <cell r="L2792">
            <v>9894</v>
          </cell>
          <cell r="M2792">
            <v>46154</v>
          </cell>
        </row>
        <row r="2793">
          <cell r="L2793">
            <v>1134</v>
          </cell>
          <cell r="M2793">
            <v>46154</v>
          </cell>
        </row>
        <row r="2794">
          <cell r="L2794">
            <v>1161</v>
          </cell>
          <cell r="M2794">
            <v>46154</v>
          </cell>
        </row>
        <row r="2795">
          <cell r="L2795">
            <v>12011</v>
          </cell>
          <cell r="M2795">
            <v>46154</v>
          </cell>
        </row>
        <row r="2796">
          <cell r="L2796">
            <v>3599</v>
          </cell>
          <cell r="M2796">
            <v>46154</v>
          </cell>
        </row>
        <row r="2797">
          <cell r="L2797">
            <v>5079</v>
          </cell>
          <cell r="M2797">
            <v>46154</v>
          </cell>
        </row>
        <row r="2798">
          <cell r="L2798">
            <v>5509</v>
          </cell>
          <cell r="M2798">
            <v>46154</v>
          </cell>
        </row>
        <row r="2799">
          <cell r="L2799">
            <v>7242</v>
          </cell>
          <cell r="M2799">
            <v>46154</v>
          </cell>
        </row>
        <row r="2800">
          <cell r="L2800">
            <v>8338</v>
          </cell>
          <cell r="M2800">
            <v>46154</v>
          </cell>
        </row>
        <row r="2801">
          <cell r="L2801">
            <v>972</v>
          </cell>
          <cell r="M2801">
            <v>46154</v>
          </cell>
        </row>
        <row r="2802">
          <cell r="L2802">
            <v>4056</v>
          </cell>
          <cell r="M2802">
            <v>46154</v>
          </cell>
        </row>
        <row r="2803">
          <cell r="L2803">
            <v>349</v>
          </cell>
          <cell r="M2803">
            <v>46154</v>
          </cell>
        </row>
        <row r="2804">
          <cell r="L2804">
            <v>487</v>
          </cell>
          <cell r="M2804">
            <v>46154</v>
          </cell>
        </row>
        <row r="2805">
          <cell r="L2805">
            <v>5441</v>
          </cell>
          <cell r="M2805">
            <v>46154</v>
          </cell>
        </row>
        <row r="2806">
          <cell r="L2806">
            <v>3708</v>
          </cell>
          <cell r="M2806">
            <v>46154</v>
          </cell>
        </row>
        <row r="2807">
          <cell r="L2807">
            <v>10062</v>
          </cell>
          <cell r="M2807">
            <v>46154</v>
          </cell>
        </row>
        <row r="2808">
          <cell r="L2808">
            <v>372</v>
          </cell>
          <cell r="M2808">
            <v>46154</v>
          </cell>
        </row>
        <row r="2809">
          <cell r="L2809">
            <v>5051</v>
          </cell>
          <cell r="M2809">
            <v>46154</v>
          </cell>
        </row>
        <row r="2810">
          <cell r="L2810">
            <v>6763</v>
          </cell>
          <cell r="M2810">
            <v>46154</v>
          </cell>
        </row>
        <row r="2811">
          <cell r="L2811">
            <v>12542</v>
          </cell>
          <cell r="M2811">
            <v>46154</v>
          </cell>
        </row>
        <row r="2812">
          <cell r="L2812">
            <v>12575</v>
          </cell>
          <cell r="M2812">
            <v>46154</v>
          </cell>
        </row>
        <row r="2813">
          <cell r="L2813">
            <v>12574</v>
          </cell>
          <cell r="M2813">
            <v>46154</v>
          </cell>
        </row>
        <row r="2814">
          <cell r="L2814">
            <v>6787</v>
          </cell>
          <cell r="M2814">
            <v>46154</v>
          </cell>
        </row>
        <row r="2815">
          <cell r="L2815">
            <v>11925</v>
          </cell>
          <cell r="M2815">
            <v>46154</v>
          </cell>
        </row>
        <row r="2816">
          <cell r="L2816">
            <v>11904</v>
          </cell>
          <cell r="M2816">
            <v>46154</v>
          </cell>
        </row>
        <row r="2817">
          <cell r="L2817">
            <v>5660</v>
          </cell>
          <cell r="M2817">
            <v>46154</v>
          </cell>
        </row>
        <row r="2818">
          <cell r="L2818">
            <v>5841</v>
          </cell>
          <cell r="M2818">
            <v>46154</v>
          </cell>
        </row>
        <row r="2819">
          <cell r="L2819">
            <v>656</v>
          </cell>
          <cell r="M2819">
            <v>46154</v>
          </cell>
        </row>
        <row r="2820">
          <cell r="L2820">
            <v>9723</v>
          </cell>
          <cell r="M2820">
            <v>46154</v>
          </cell>
        </row>
        <row r="2821">
          <cell r="L2821">
            <v>955</v>
          </cell>
          <cell r="M2821">
            <v>46154</v>
          </cell>
        </row>
        <row r="2822">
          <cell r="L2822">
            <v>12205</v>
          </cell>
          <cell r="M2822">
            <v>46154</v>
          </cell>
        </row>
        <row r="2823">
          <cell r="L2823">
            <v>6033</v>
          </cell>
          <cell r="M2823">
            <v>46154</v>
          </cell>
        </row>
        <row r="2824">
          <cell r="L2824">
            <v>652</v>
          </cell>
          <cell r="M2824">
            <v>46154</v>
          </cell>
        </row>
        <row r="2825">
          <cell r="L2825">
            <v>653</v>
          </cell>
          <cell r="M2825">
            <v>46154</v>
          </cell>
        </row>
        <row r="2826">
          <cell r="L2826">
            <v>654</v>
          </cell>
          <cell r="M2826">
            <v>46154</v>
          </cell>
        </row>
        <row r="2827">
          <cell r="L2827">
            <v>655</v>
          </cell>
          <cell r="M2827">
            <v>46154</v>
          </cell>
        </row>
        <row r="2828">
          <cell r="L2828">
            <v>8550</v>
          </cell>
          <cell r="M2828">
            <v>46154</v>
          </cell>
        </row>
        <row r="2829">
          <cell r="L2829">
            <v>8551</v>
          </cell>
          <cell r="M2829">
            <v>46154</v>
          </cell>
        </row>
        <row r="2830">
          <cell r="L2830">
            <v>8728</v>
          </cell>
          <cell r="M2830">
            <v>46154</v>
          </cell>
        </row>
        <row r="2831">
          <cell r="L2831">
            <v>8810</v>
          </cell>
          <cell r="M2831">
            <v>46154</v>
          </cell>
        </row>
        <row r="2832">
          <cell r="L2832">
            <v>9311</v>
          </cell>
          <cell r="M2832">
            <v>46154</v>
          </cell>
        </row>
        <row r="2833">
          <cell r="L2833">
            <v>954</v>
          </cell>
          <cell r="M2833">
            <v>46154</v>
          </cell>
        </row>
        <row r="2834">
          <cell r="L2834">
            <v>9904</v>
          </cell>
          <cell r="M2834">
            <v>46154</v>
          </cell>
        </row>
        <row r="2835">
          <cell r="L2835">
            <v>12629</v>
          </cell>
          <cell r="M2835">
            <v>46154</v>
          </cell>
        </row>
        <row r="2836">
          <cell r="L2836">
            <v>12616</v>
          </cell>
          <cell r="M2836">
            <v>46154</v>
          </cell>
        </row>
        <row r="2837">
          <cell r="L2837">
            <v>12615</v>
          </cell>
          <cell r="M2837">
            <v>46154</v>
          </cell>
        </row>
        <row r="2838">
          <cell r="L2838">
            <v>12606</v>
          </cell>
          <cell r="M2838">
            <v>46154</v>
          </cell>
        </row>
        <row r="2839">
          <cell r="L2839">
            <v>12591</v>
          </cell>
          <cell r="M2839">
            <v>46154</v>
          </cell>
        </row>
        <row r="2840">
          <cell r="L2840">
            <v>12526</v>
          </cell>
          <cell r="M2840">
            <v>46154</v>
          </cell>
        </row>
        <row r="2841">
          <cell r="L2841">
            <v>9814</v>
          </cell>
          <cell r="M2841">
            <v>46154</v>
          </cell>
        </row>
        <row r="2842">
          <cell r="L2842">
            <v>4658</v>
          </cell>
          <cell r="M2842">
            <v>46154</v>
          </cell>
        </row>
        <row r="2843">
          <cell r="L2843">
            <v>11655</v>
          </cell>
          <cell r="M2843">
            <v>46154</v>
          </cell>
        </row>
        <row r="2844">
          <cell r="L2844">
            <v>11856</v>
          </cell>
          <cell r="M2844">
            <v>46154</v>
          </cell>
        </row>
        <row r="2845">
          <cell r="L2845">
            <v>7964</v>
          </cell>
          <cell r="M2845">
            <v>46154</v>
          </cell>
        </row>
        <row r="2846">
          <cell r="L2846">
            <v>11736</v>
          </cell>
          <cell r="M2846">
            <v>46154</v>
          </cell>
        </row>
        <row r="2847">
          <cell r="L2847">
            <v>7252</v>
          </cell>
          <cell r="M2847">
            <v>46154</v>
          </cell>
        </row>
        <row r="2848">
          <cell r="L2848">
            <v>11455</v>
          </cell>
          <cell r="M2848">
            <v>46154</v>
          </cell>
        </row>
        <row r="2849">
          <cell r="L2849">
            <v>8393</v>
          </cell>
          <cell r="M2849">
            <v>46154</v>
          </cell>
        </row>
        <row r="2850">
          <cell r="L2850">
            <v>11600</v>
          </cell>
          <cell r="M2850">
            <v>46154</v>
          </cell>
        </row>
        <row r="2851">
          <cell r="L2851">
            <v>11601</v>
          </cell>
          <cell r="M2851">
            <v>46154</v>
          </cell>
        </row>
        <row r="2852">
          <cell r="L2852">
            <v>11998</v>
          </cell>
          <cell r="M2852">
            <v>46154</v>
          </cell>
        </row>
        <row r="2853">
          <cell r="L2853">
            <v>5363</v>
          </cell>
          <cell r="M2853">
            <v>46154</v>
          </cell>
        </row>
        <row r="2854">
          <cell r="L2854">
            <v>6909</v>
          </cell>
          <cell r="M2854">
            <v>46154</v>
          </cell>
        </row>
        <row r="2855">
          <cell r="L2855">
            <v>6912</v>
          </cell>
          <cell r="M2855">
            <v>46154</v>
          </cell>
        </row>
        <row r="2856">
          <cell r="L2856">
            <v>8125</v>
          </cell>
          <cell r="M2856">
            <v>46154</v>
          </cell>
        </row>
        <row r="2857">
          <cell r="L2857">
            <v>9685</v>
          </cell>
          <cell r="M2857">
            <v>46154</v>
          </cell>
        </row>
        <row r="2858">
          <cell r="L2858">
            <v>6914</v>
          </cell>
          <cell r="M2858">
            <v>46154</v>
          </cell>
        </row>
        <row r="2859">
          <cell r="L2859">
            <v>5581</v>
          </cell>
          <cell r="M2859">
            <v>46154</v>
          </cell>
        </row>
        <row r="2860">
          <cell r="L2860">
            <v>1011</v>
          </cell>
          <cell r="M2860">
            <v>46154</v>
          </cell>
        </row>
        <row r="2861">
          <cell r="L2861">
            <v>4663</v>
          </cell>
          <cell r="M2861">
            <v>46154</v>
          </cell>
        </row>
        <row r="2862">
          <cell r="L2862">
            <v>12595</v>
          </cell>
          <cell r="M2862">
            <v>46154</v>
          </cell>
        </row>
        <row r="2863">
          <cell r="L2863">
            <v>12588</v>
          </cell>
          <cell r="M2863">
            <v>46154</v>
          </cell>
        </row>
        <row r="2864">
          <cell r="L2864">
            <v>12597</v>
          </cell>
          <cell r="M2864">
            <v>46154</v>
          </cell>
        </row>
        <row r="2865">
          <cell r="L2865">
            <v>12598</v>
          </cell>
          <cell r="M2865">
            <v>46154</v>
          </cell>
        </row>
        <row r="2866">
          <cell r="L2866">
            <v>9233</v>
          </cell>
          <cell r="M2866">
            <v>46155</v>
          </cell>
        </row>
        <row r="2867">
          <cell r="L2867">
            <v>11925</v>
          </cell>
          <cell r="M2867">
            <v>46154</v>
          </cell>
        </row>
        <row r="2868">
          <cell r="L2868">
            <v>12246</v>
          </cell>
          <cell r="M2868">
            <v>46154</v>
          </cell>
        </row>
        <row r="2869">
          <cell r="L2869">
            <v>11848</v>
          </cell>
          <cell r="M2869">
            <v>46154</v>
          </cell>
        </row>
        <row r="2870">
          <cell r="L2870">
            <v>8766</v>
          </cell>
          <cell r="M2870">
            <v>46154</v>
          </cell>
        </row>
        <row r="2871">
          <cell r="L2871">
            <v>9650</v>
          </cell>
          <cell r="M2871">
            <v>46154</v>
          </cell>
        </row>
        <row r="2872">
          <cell r="L2872">
            <v>8437</v>
          </cell>
          <cell r="M2872">
            <v>46154</v>
          </cell>
        </row>
        <row r="2873">
          <cell r="L2873">
            <v>8845</v>
          </cell>
          <cell r="M2873">
            <v>46154</v>
          </cell>
        </row>
        <row r="2874">
          <cell r="L2874">
            <v>11348</v>
          </cell>
          <cell r="M2874">
            <v>46154</v>
          </cell>
        </row>
        <row r="2875">
          <cell r="L2875">
            <v>8783</v>
          </cell>
          <cell r="M2875">
            <v>46155</v>
          </cell>
        </row>
        <row r="2876">
          <cell r="L2876">
            <v>11904</v>
          </cell>
          <cell r="M2876">
            <v>46154</v>
          </cell>
        </row>
        <row r="2877">
          <cell r="L2877">
            <v>10171</v>
          </cell>
          <cell r="M2877">
            <v>46155</v>
          </cell>
        </row>
        <row r="2878">
          <cell r="L2878">
            <v>12272</v>
          </cell>
          <cell r="M2878">
            <v>46155</v>
          </cell>
        </row>
        <row r="2879">
          <cell r="L2879">
            <v>12484</v>
          </cell>
          <cell r="M2879">
            <v>46155</v>
          </cell>
        </row>
        <row r="2880">
          <cell r="L2880">
            <v>11929</v>
          </cell>
          <cell r="M2880">
            <v>46155</v>
          </cell>
        </row>
        <row r="2881">
          <cell r="L2881">
            <v>11890</v>
          </cell>
          <cell r="M2881">
            <v>46155</v>
          </cell>
        </row>
        <row r="2882">
          <cell r="L2882">
            <v>12311</v>
          </cell>
          <cell r="M2882">
            <v>46155</v>
          </cell>
        </row>
        <row r="2883">
          <cell r="L2883">
            <v>12312</v>
          </cell>
          <cell r="M2883">
            <v>46155</v>
          </cell>
        </row>
        <row r="2884">
          <cell r="L2884">
            <v>12388</v>
          </cell>
          <cell r="M2884">
            <v>46155</v>
          </cell>
        </row>
        <row r="2885">
          <cell r="L2885">
            <v>12386</v>
          </cell>
          <cell r="M2885">
            <v>46155</v>
          </cell>
        </row>
        <row r="2886">
          <cell r="L2886">
            <v>12461</v>
          </cell>
          <cell r="M2886">
            <v>46155</v>
          </cell>
        </row>
        <row r="2887">
          <cell r="L2887">
            <v>12489</v>
          </cell>
          <cell r="M2887">
            <v>46155</v>
          </cell>
        </row>
        <row r="2888">
          <cell r="L2888">
            <v>11781</v>
          </cell>
          <cell r="M2888">
            <v>46155</v>
          </cell>
        </row>
        <row r="2889">
          <cell r="L2889">
            <v>278</v>
          </cell>
          <cell r="M2889">
            <v>46155</v>
          </cell>
        </row>
        <row r="2890">
          <cell r="L2890">
            <v>7189</v>
          </cell>
          <cell r="M2890">
            <v>46155</v>
          </cell>
        </row>
        <row r="2891">
          <cell r="L2891">
            <v>624</v>
          </cell>
          <cell r="M2891">
            <v>46155</v>
          </cell>
        </row>
        <row r="2892">
          <cell r="L2892">
            <v>11876</v>
          </cell>
          <cell r="M2892">
            <v>46155</v>
          </cell>
        </row>
        <row r="2893">
          <cell r="L2893">
            <v>12303</v>
          </cell>
          <cell r="M2893">
            <v>46155</v>
          </cell>
        </row>
        <row r="2894">
          <cell r="L2894">
            <v>8126</v>
          </cell>
          <cell r="M2894">
            <v>46155</v>
          </cell>
        </row>
        <row r="2895">
          <cell r="L2895">
            <v>12422</v>
          </cell>
          <cell r="M2895">
            <v>46155</v>
          </cell>
        </row>
        <row r="2896">
          <cell r="L2896">
            <v>6915</v>
          </cell>
          <cell r="M2896">
            <v>46155</v>
          </cell>
        </row>
        <row r="2897">
          <cell r="L2897">
            <v>11290</v>
          </cell>
          <cell r="M2897">
            <v>46155</v>
          </cell>
        </row>
        <row r="2898">
          <cell r="L2898">
            <v>11926</v>
          </cell>
          <cell r="M2898">
            <v>46155</v>
          </cell>
        </row>
        <row r="2899">
          <cell r="L2899">
            <v>11852</v>
          </cell>
          <cell r="M2899">
            <v>46155</v>
          </cell>
        </row>
        <row r="2900">
          <cell r="L2900">
            <v>11733</v>
          </cell>
          <cell r="M2900">
            <v>46155</v>
          </cell>
        </row>
        <row r="2901">
          <cell r="L2901">
            <v>9814</v>
          </cell>
          <cell r="M2901">
            <v>46155</v>
          </cell>
        </row>
        <row r="2902">
          <cell r="L2902">
            <v>8196</v>
          </cell>
          <cell r="M2902">
            <v>46155</v>
          </cell>
        </row>
        <row r="2903">
          <cell r="L2903">
            <v>11137</v>
          </cell>
          <cell r="M2903">
            <v>46155</v>
          </cell>
        </row>
        <row r="2904">
          <cell r="L2904">
            <v>11856</v>
          </cell>
          <cell r="M2904">
            <v>46155</v>
          </cell>
        </row>
        <row r="2905">
          <cell r="L2905">
            <v>7247</v>
          </cell>
          <cell r="M2905">
            <v>46155</v>
          </cell>
        </row>
        <row r="2906">
          <cell r="L2906">
            <v>11270</v>
          </cell>
          <cell r="M2906">
            <v>46155</v>
          </cell>
        </row>
        <row r="2907">
          <cell r="L2907">
            <v>9258</v>
          </cell>
          <cell r="M2907">
            <v>46155</v>
          </cell>
        </row>
        <row r="2908">
          <cell r="L2908">
            <v>1167</v>
          </cell>
          <cell r="M2908">
            <v>46155</v>
          </cell>
        </row>
        <row r="2909">
          <cell r="L2909">
            <v>8680</v>
          </cell>
          <cell r="M2909">
            <v>46155</v>
          </cell>
        </row>
        <row r="2910">
          <cell r="L2910">
            <v>9172</v>
          </cell>
          <cell r="M2910">
            <v>46155</v>
          </cell>
        </row>
        <row r="2911">
          <cell r="L2911">
            <v>8681</v>
          </cell>
          <cell r="M2911">
            <v>46155</v>
          </cell>
        </row>
        <row r="2912">
          <cell r="L2912">
            <v>9560</v>
          </cell>
          <cell r="M2912">
            <v>46155</v>
          </cell>
        </row>
        <row r="2913">
          <cell r="L2913">
            <v>9439</v>
          </cell>
          <cell r="M2913">
            <v>46155</v>
          </cell>
        </row>
        <row r="2914">
          <cell r="L2914">
            <v>8542</v>
          </cell>
          <cell r="M2914">
            <v>46155</v>
          </cell>
        </row>
        <row r="2915">
          <cell r="L2915">
            <v>8605</v>
          </cell>
          <cell r="M2915">
            <v>46155</v>
          </cell>
        </row>
        <row r="2916">
          <cell r="L2916">
            <v>8944</v>
          </cell>
          <cell r="M2916">
            <v>46155</v>
          </cell>
        </row>
        <row r="2917">
          <cell r="L2917">
            <v>9540</v>
          </cell>
          <cell r="M2917">
            <v>46155</v>
          </cell>
        </row>
        <row r="2918">
          <cell r="L2918">
            <v>9389</v>
          </cell>
          <cell r="M2918">
            <v>46155</v>
          </cell>
        </row>
        <row r="2919">
          <cell r="L2919">
            <v>8083</v>
          </cell>
          <cell r="M2919">
            <v>46155</v>
          </cell>
        </row>
        <row r="2920">
          <cell r="L2920">
            <v>3651</v>
          </cell>
          <cell r="M2920">
            <v>46155</v>
          </cell>
        </row>
        <row r="2921">
          <cell r="L2921">
            <v>409</v>
          </cell>
          <cell r="M2921">
            <v>46155</v>
          </cell>
        </row>
        <row r="2922">
          <cell r="L2922">
            <v>1050</v>
          </cell>
          <cell r="M2922">
            <v>46155</v>
          </cell>
        </row>
        <row r="2923">
          <cell r="L2923">
            <v>8483</v>
          </cell>
          <cell r="M2923">
            <v>46155</v>
          </cell>
        </row>
        <row r="2924">
          <cell r="L2924">
            <v>8986</v>
          </cell>
          <cell r="M2924">
            <v>46155</v>
          </cell>
        </row>
        <row r="2925">
          <cell r="L2925">
            <v>5509</v>
          </cell>
          <cell r="M2925">
            <v>46155</v>
          </cell>
        </row>
        <row r="2926">
          <cell r="L2926">
            <v>6991</v>
          </cell>
          <cell r="M2926">
            <v>46155</v>
          </cell>
        </row>
        <row r="2927">
          <cell r="L2927">
            <v>4657</v>
          </cell>
          <cell r="M2927">
            <v>46155</v>
          </cell>
        </row>
        <row r="2928">
          <cell r="L2928">
            <v>489</v>
          </cell>
          <cell r="M2928">
            <v>46155</v>
          </cell>
        </row>
        <row r="2929">
          <cell r="L2929">
            <v>545</v>
          </cell>
          <cell r="M2929">
            <v>46155</v>
          </cell>
        </row>
        <row r="2930">
          <cell r="L2930">
            <v>634</v>
          </cell>
          <cell r="M2930">
            <v>46155</v>
          </cell>
        </row>
        <row r="2931">
          <cell r="L2931">
            <v>972</v>
          </cell>
          <cell r="M2931">
            <v>46155</v>
          </cell>
        </row>
        <row r="2932">
          <cell r="L2932">
            <v>1310</v>
          </cell>
          <cell r="M2932">
            <v>46155</v>
          </cell>
        </row>
        <row r="2933">
          <cell r="L2933">
            <v>3626</v>
          </cell>
          <cell r="M2933">
            <v>46155</v>
          </cell>
        </row>
        <row r="2934">
          <cell r="L2934">
            <v>3900</v>
          </cell>
          <cell r="M2934">
            <v>46155</v>
          </cell>
        </row>
        <row r="2935">
          <cell r="L2935">
            <v>5618</v>
          </cell>
          <cell r="M2935">
            <v>46155</v>
          </cell>
        </row>
        <row r="2936">
          <cell r="L2936">
            <v>12006</v>
          </cell>
          <cell r="M2936">
            <v>46155</v>
          </cell>
        </row>
        <row r="2937">
          <cell r="L2937">
            <v>4181</v>
          </cell>
          <cell r="M2937">
            <v>46155</v>
          </cell>
        </row>
        <row r="2938">
          <cell r="L2938">
            <v>922</v>
          </cell>
          <cell r="M2938">
            <v>46155</v>
          </cell>
        </row>
        <row r="2939">
          <cell r="L2939">
            <v>12069</v>
          </cell>
          <cell r="M2939">
            <v>46155</v>
          </cell>
        </row>
        <row r="2940">
          <cell r="L2940">
            <v>12614</v>
          </cell>
          <cell r="M2940">
            <v>46155</v>
          </cell>
        </row>
        <row r="2941">
          <cell r="L2941">
            <v>1538</v>
          </cell>
          <cell r="M2941">
            <v>46155</v>
          </cell>
        </row>
        <row r="2942">
          <cell r="L2942">
            <v>2518</v>
          </cell>
          <cell r="M2942">
            <v>46155</v>
          </cell>
        </row>
        <row r="2943">
          <cell r="L2943">
            <v>11464</v>
          </cell>
          <cell r="M2943">
            <v>46155</v>
          </cell>
        </row>
        <row r="2944">
          <cell r="L2944">
            <v>11758</v>
          </cell>
          <cell r="M2944">
            <v>46155</v>
          </cell>
        </row>
        <row r="2945">
          <cell r="L2945">
            <v>2732</v>
          </cell>
          <cell r="M2945">
            <v>46155</v>
          </cell>
        </row>
        <row r="2946">
          <cell r="L2946">
            <v>5208</v>
          </cell>
          <cell r="M2946">
            <v>46155</v>
          </cell>
        </row>
        <row r="2947">
          <cell r="L2947">
            <v>11674</v>
          </cell>
          <cell r="M2947">
            <v>46155</v>
          </cell>
        </row>
        <row r="2948">
          <cell r="L2948">
            <v>4328</v>
          </cell>
          <cell r="M2948">
            <v>46155</v>
          </cell>
        </row>
        <row r="2949">
          <cell r="L2949">
            <v>8780</v>
          </cell>
          <cell r="M2949">
            <v>46155</v>
          </cell>
        </row>
        <row r="2950">
          <cell r="L2950">
            <v>9049</v>
          </cell>
          <cell r="M2950">
            <v>46155</v>
          </cell>
        </row>
        <row r="2951">
          <cell r="L2951">
            <v>9287</v>
          </cell>
          <cell r="M2951">
            <v>46155</v>
          </cell>
        </row>
        <row r="2952">
          <cell r="L2952">
            <v>9514</v>
          </cell>
          <cell r="M2952">
            <v>46155</v>
          </cell>
        </row>
        <row r="2953">
          <cell r="L2953">
            <v>9516</v>
          </cell>
          <cell r="M2953">
            <v>46155</v>
          </cell>
        </row>
        <row r="2954">
          <cell r="L2954">
            <v>9517</v>
          </cell>
          <cell r="M2954">
            <v>46155</v>
          </cell>
        </row>
        <row r="2955">
          <cell r="L2955">
            <v>9860</v>
          </cell>
          <cell r="M2955">
            <v>46155</v>
          </cell>
        </row>
        <row r="2956">
          <cell r="L2956">
            <v>9912</v>
          </cell>
          <cell r="M2956">
            <v>46155</v>
          </cell>
        </row>
        <row r="2957">
          <cell r="L2957">
            <v>12368</v>
          </cell>
          <cell r="M2957">
            <v>46155</v>
          </cell>
        </row>
        <row r="2958">
          <cell r="L2958">
            <v>11911</v>
          </cell>
          <cell r="M2958">
            <v>46156</v>
          </cell>
        </row>
        <row r="2959">
          <cell r="L2959">
            <v>8772</v>
          </cell>
          <cell r="M2959">
            <v>46156</v>
          </cell>
        </row>
        <row r="2960">
          <cell r="L2960">
            <v>4056</v>
          </cell>
          <cell r="M2960">
            <v>46156</v>
          </cell>
        </row>
        <row r="2961">
          <cell r="L2961">
            <v>357</v>
          </cell>
          <cell r="M2961">
            <v>46156</v>
          </cell>
        </row>
        <row r="2962">
          <cell r="L2962">
            <v>9115</v>
          </cell>
          <cell r="M2962">
            <v>46156</v>
          </cell>
        </row>
        <row r="2963">
          <cell r="L2963">
            <v>8366</v>
          </cell>
          <cell r="M2963">
            <v>46156</v>
          </cell>
        </row>
        <row r="2964">
          <cell r="L2964">
            <v>6465</v>
          </cell>
          <cell r="M2964">
            <v>46156</v>
          </cell>
        </row>
        <row r="2965">
          <cell r="L2965">
            <v>6267</v>
          </cell>
          <cell r="M2965">
            <v>46156</v>
          </cell>
        </row>
        <row r="2966">
          <cell r="L2966">
            <v>9490</v>
          </cell>
          <cell r="M2966">
            <v>46156</v>
          </cell>
        </row>
        <row r="2967">
          <cell r="L2967">
            <v>5007</v>
          </cell>
          <cell r="M2967">
            <v>46156</v>
          </cell>
        </row>
        <row r="2968">
          <cell r="L2968">
            <v>9061</v>
          </cell>
          <cell r="M2968">
            <v>46156</v>
          </cell>
        </row>
        <row r="2969">
          <cell r="L2969">
            <v>9035</v>
          </cell>
          <cell r="M2969">
            <v>46156</v>
          </cell>
        </row>
        <row r="2970">
          <cell r="L2970">
            <v>8254</v>
          </cell>
          <cell r="M2970">
            <v>46156</v>
          </cell>
        </row>
        <row r="2971">
          <cell r="L2971">
            <v>11911</v>
          </cell>
          <cell r="M2971">
            <v>46156</v>
          </cell>
        </row>
        <row r="2972">
          <cell r="L2972">
            <v>8772</v>
          </cell>
          <cell r="M2972">
            <v>46156</v>
          </cell>
        </row>
        <row r="2973">
          <cell r="L2973">
            <v>8620</v>
          </cell>
          <cell r="M2973">
            <v>46156</v>
          </cell>
        </row>
        <row r="2974">
          <cell r="L2974">
            <v>955</v>
          </cell>
          <cell r="M2974">
            <v>46156</v>
          </cell>
        </row>
        <row r="2975">
          <cell r="L2975">
            <v>12205</v>
          </cell>
          <cell r="M2975">
            <v>46156</v>
          </cell>
        </row>
        <row r="2976">
          <cell r="L2976">
            <v>565</v>
          </cell>
          <cell r="M2976">
            <v>46156</v>
          </cell>
        </row>
        <row r="2977">
          <cell r="L2977">
            <v>108</v>
          </cell>
          <cell r="M2977">
            <v>46156</v>
          </cell>
        </row>
        <row r="2978">
          <cell r="L2978">
            <v>1437</v>
          </cell>
          <cell r="M2978">
            <v>46156</v>
          </cell>
        </row>
        <row r="2979">
          <cell r="L2979">
            <v>655</v>
          </cell>
          <cell r="M2979">
            <v>46156</v>
          </cell>
        </row>
        <row r="2980">
          <cell r="L2980">
            <v>565</v>
          </cell>
          <cell r="M2980">
            <v>46156</v>
          </cell>
        </row>
        <row r="2981">
          <cell r="L2981">
            <v>954</v>
          </cell>
          <cell r="M2981">
            <v>46156</v>
          </cell>
        </row>
        <row r="2982">
          <cell r="L2982">
            <v>1459</v>
          </cell>
          <cell r="M2982">
            <v>46156</v>
          </cell>
        </row>
        <row r="2983">
          <cell r="L2983">
            <v>6787</v>
          </cell>
          <cell r="M2983">
            <v>46156</v>
          </cell>
        </row>
        <row r="2984">
          <cell r="L2984">
            <v>9697</v>
          </cell>
          <cell r="M2984">
            <v>46156</v>
          </cell>
        </row>
        <row r="2985">
          <cell r="L2985">
            <v>9302</v>
          </cell>
          <cell r="M2985">
            <v>46156</v>
          </cell>
        </row>
        <row r="2986">
          <cell r="L2986">
            <v>9445</v>
          </cell>
          <cell r="M2986">
            <v>46156</v>
          </cell>
        </row>
        <row r="2987">
          <cell r="L2987">
            <v>1370</v>
          </cell>
          <cell r="M2987">
            <v>46156</v>
          </cell>
        </row>
        <row r="2988">
          <cell r="L2988">
            <v>9316</v>
          </cell>
          <cell r="M2988">
            <v>46156</v>
          </cell>
        </row>
        <row r="2989">
          <cell r="L2989">
            <v>8684</v>
          </cell>
          <cell r="M2989">
            <v>46156</v>
          </cell>
        </row>
        <row r="2990">
          <cell r="L2990">
            <v>1125</v>
          </cell>
          <cell r="M2990">
            <v>46156</v>
          </cell>
        </row>
        <row r="2991">
          <cell r="L2991">
            <v>1249</v>
          </cell>
          <cell r="M2991">
            <v>46156</v>
          </cell>
        </row>
        <row r="2992">
          <cell r="L2992">
            <v>5310</v>
          </cell>
          <cell r="M2992">
            <v>46156</v>
          </cell>
        </row>
        <row r="2993">
          <cell r="L2993">
            <v>9439</v>
          </cell>
          <cell r="M2993">
            <v>46156</v>
          </cell>
        </row>
        <row r="2994">
          <cell r="L2994">
            <v>8609</v>
          </cell>
          <cell r="M2994">
            <v>46156</v>
          </cell>
        </row>
        <row r="2995">
          <cell r="L2995">
            <v>9584</v>
          </cell>
          <cell r="M2995">
            <v>46156</v>
          </cell>
        </row>
        <row r="2996">
          <cell r="L2996">
            <v>8678</v>
          </cell>
          <cell r="M2996">
            <v>46156</v>
          </cell>
        </row>
        <row r="2997">
          <cell r="L2997">
            <v>9698</v>
          </cell>
          <cell r="M2997">
            <v>46156</v>
          </cell>
        </row>
        <row r="2998">
          <cell r="L2998">
            <v>9116</v>
          </cell>
          <cell r="M2998">
            <v>46156</v>
          </cell>
        </row>
        <row r="2999">
          <cell r="L2999">
            <v>8364</v>
          </cell>
          <cell r="M2999">
            <v>46156</v>
          </cell>
        </row>
        <row r="3000">
          <cell r="L3000">
            <v>8082</v>
          </cell>
          <cell r="M3000">
            <v>46156</v>
          </cell>
        </row>
        <row r="3001">
          <cell r="L3001">
            <v>8687</v>
          </cell>
          <cell r="M3001">
            <v>46156</v>
          </cell>
        </row>
        <row r="3002">
          <cell r="L3002">
            <v>9173</v>
          </cell>
          <cell r="M3002">
            <v>46156</v>
          </cell>
        </row>
        <row r="3003">
          <cell r="L3003">
            <v>9359</v>
          </cell>
          <cell r="M3003">
            <v>46156</v>
          </cell>
        </row>
        <row r="3004">
          <cell r="L3004">
            <v>9557</v>
          </cell>
          <cell r="M3004">
            <v>46156</v>
          </cell>
        </row>
        <row r="3005">
          <cell r="L3005">
            <v>8752</v>
          </cell>
          <cell r="M3005">
            <v>46156</v>
          </cell>
        </row>
        <row r="3006">
          <cell r="L3006">
            <v>8842</v>
          </cell>
          <cell r="M3006">
            <v>46156</v>
          </cell>
        </row>
        <row r="3007">
          <cell r="L3007">
            <v>7964</v>
          </cell>
          <cell r="M3007">
            <v>46157</v>
          </cell>
        </row>
        <row r="3008">
          <cell r="L3008">
            <v>9683</v>
          </cell>
          <cell r="M3008">
            <v>46157</v>
          </cell>
        </row>
        <row r="3009">
          <cell r="L3009">
            <v>6907</v>
          </cell>
          <cell r="M3009">
            <v>46157</v>
          </cell>
        </row>
        <row r="3010">
          <cell r="L3010">
            <v>6910</v>
          </cell>
          <cell r="M3010">
            <v>46157</v>
          </cell>
        </row>
        <row r="3011">
          <cell r="L3011">
            <v>542</v>
          </cell>
          <cell r="M3011">
            <v>46157</v>
          </cell>
        </row>
        <row r="3012">
          <cell r="L3012">
            <v>5363</v>
          </cell>
          <cell r="M3012">
            <v>46157</v>
          </cell>
        </row>
        <row r="3013">
          <cell r="L3013">
            <v>11456</v>
          </cell>
          <cell r="M3013">
            <v>46157</v>
          </cell>
        </row>
        <row r="3014">
          <cell r="L3014">
            <v>9375</v>
          </cell>
          <cell r="M3014">
            <v>46157</v>
          </cell>
        </row>
        <row r="3015">
          <cell r="L3015">
            <v>8603</v>
          </cell>
          <cell r="M3015">
            <v>46157</v>
          </cell>
        </row>
        <row r="3016">
          <cell r="L3016">
            <v>8606</v>
          </cell>
          <cell r="M3016">
            <v>46157</v>
          </cell>
        </row>
        <row r="3017">
          <cell r="L3017">
            <v>9539</v>
          </cell>
          <cell r="M3017">
            <v>46157</v>
          </cell>
        </row>
        <row r="3018">
          <cell r="L3018">
            <v>12058</v>
          </cell>
          <cell r="M3018">
            <v>46157</v>
          </cell>
        </row>
        <row r="3019">
          <cell r="L3019">
            <v>12227</v>
          </cell>
          <cell r="M3019">
            <v>46157</v>
          </cell>
        </row>
        <row r="3020">
          <cell r="L3020">
            <v>12612</v>
          </cell>
          <cell r="M3020">
            <v>46157</v>
          </cell>
        </row>
        <row r="3021">
          <cell r="L3021">
            <v>12732</v>
          </cell>
          <cell r="M3021">
            <v>46157</v>
          </cell>
        </row>
        <row r="3022">
          <cell r="L3022">
            <v>4411</v>
          </cell>
          <cell r="M3022">
            <v>46157</v>
          </cell>
        </row>
        <row r="3023">
          <cell r="L3023">
            <v>7247</v>
          </cell>
          <cell r="M3023">
            <v>46157</v>
          </cell>
        </row>
        <row r="3024">
          <cell r="L3024">
            <v>8392</v>
          </cell>
          <cell r="M3024">
            <v>46157</v>
          </cell>
        </row>
        <row r="3025">
          <cell r="L3025">
            <v>1437</v>
          </cell>
          <cell r="M3025">
            <v>46157</v>
          </cell>
        </row>
        <row r="3026">
          <cell r="L3026">
            <v>9650</v>
          </cell>
          <cell r="M3026">
            <v>46157</v>
          </cell>
        </row>
        <row r="3027">
          <cell r="L3027">
            <v>566</v>
          </cell>
          <cell r="M3027">
            <v>46157</v>
          </cell>
        </row>
        <row r="3028">
          <cell r="L3028">
            <v>4311</v>
          </cell>
          <cell r="M3028">
            <v>46157</v>
          </cell>
        </row>
        <row r="3029">
          <cell r="L3029">
            <v>1154</v>
          </cell>
          <cell r="M3029">
            <v>46157</v>
          </cell>
        </row>
        <row r="3030">
          <cell r="L3030">
            <v>259</v>
          </cell>
          <cell r="M3030">
            <v>46157</v>
          </cell>
        </row>
        <row r="3031">
          <cell r="L3031">
            <v>11848</v>
          </cell>
          <cell r="M3031">
            <v>46157</v>
          </cell>
        </row>
        <row r="3032">
          <cell r="L3032">
            <v>9650</v>
          </cell>
          <cell r="M3032">
            <v>46157</v>
          </cell>
        </row>
        <row r="3033">
          <cell r="L3033">
            <v>9650</v>
          </cell>
          <cell r="M3033">
            <v>46157</v>
          </cell>
        </row>
        <row r="3034">
          <cell r="L3034">
            <v>9517</v>
          </cell>
          <cell r="M3034">
            <v>46157</v>
          </cell>
        </row>
        <row r="3035">
          <cell r="L3035">
            <v>636</v>
          </cell>
          <cell r="M3035">
            <v>46157</v>
          </cell>
        </row>
        <row r="3036">
          <cell r="L3036">
            <v>1717</v>
          </cell>
          <cell r="M3036">
            <v>46157</v>
          </cell>
        </row>
        <row r="3037">
          <cell r="L3037">
            <v>8373</v>
          </cell>
          <cell r="M3037">
            <v>46157</v>
          </cell>
        </row>
        <row r="3038">
          <cell r="L3038">
            <v>11989</v>
          </cell>
          <cell r="M3038">
            <v>46157</v>
          </cell>
        </row>
        <row r="3039">
          <cell r="L3039">
            <v>1753</v>
          </cell>
          <cell r="M3039">
            <v>46157</v>
          </cell>
        </row>
        <row r="3040">
          <cell r="L3040">
            <v>12061</v>
          </cell>
          <cell r="M3040">
            <v>46157</v>
          </cell>
        </row>
        <row r="3041">
          <cell r="L3041">
            <v>12474</v>
          </cell>
          <cell r="M3041">
            <v>46157</v>
          </cell>
        </row>
        <row r="3042">
          <cell r="L3042">
            <v>1290</v>
          </cell>
          <cell r="M3042">
            <v>46157</v>
          </cell>
        </row>
        <row r="3043">
          <cell r="L3043">
            <v>3731</v>
          </cell>
          <cell r="M3043">
            <v>46157</v>
          </cell>
        </row>
        <row r="3044">
          <cell r="L3044">
            <v>434</v>
          </cell>
          <cell r="M3044">
            <v>46157</v>
          </cell>
        </row>
        <row r="3045">
          <cell r="L3045">
            <v>5728</v>
          </cell>
          <cell r="M3045">
            <v>46157</v>
          </cell>
        </row>
        <row r="3046">
          <cell r="L3046">
            <v>7440</v>
          </cell>
          <cell r="M3046">
            <v>46157</v>
          </cell>
        </row>
        <row r="3047">
          <cell r="L3047">
            <v>651</v>
          </cell>
          <cell r="M3047">
            <v>46157</v>
          </cell>
        </row>
        <row r="3048">
          <cell r="L3048">
            <v>1775</v>
          </cell>
          <cell r="M3048">
            <v>46157</v>
          </cell>
        </row>
        <row r="3049">
          <cell r="L3049">
            <v>994</v>
          </cell>
          <cell r="M3049">
            <v>46157</v>
          </cell>
        </row>
        <row r="3050">
          <cell r="L3050">
            <v>5007</v>
          </cell>
          <cell r="M3050">
            <v>46157</v>
          </cell>
        </row>
        <row r="3051">
          <cell r="L3051">
            <v>3855</v>
          </cell>
          <cell r="M3051">
            <v>46157</v>
          </cell>
        </row>
        <row r="3052">
          <cell r="L3052">
            <v>1201</v>
          </cell>
          <cell r="M3052">
            <v>46157</v>
          </cell>
        </row>
        <row r="3053">
          <cell r="L3053">
            <v>3517</v>
          </cell>
          <cell r="M3053">
            <v>46157</v>
          </cell>
        </row>
        <row r="3054">
          <cell r="L3054">
            <v>4536</v>
          </cell>
          <cell r="M3054">
            <v>46157</v>
          </cell>
        </row>
        <row r="3055">
          <cell r="L3055">
            <v>3599</v>
          </cell>
          <cell r="M3055">
            <v>46157</v>
          </cell>
        </row>
        <row r="3056">
          <cell r="L3056">
            <v>1462</v>
          </cell>
          <cell r="M3056">
            <v>46157</v>
          </cell>
        </row>
        <row r="3057">
          <cell r="L3057">
            <v>12244</v>
          </cell>
          <cell r="M3057">
            <v>46157</v>
          </cell>
        </row>
        <row r="3058">
          <cell r="L3058">
            <v>1160</v>
          </cell>
          <cell r="M3058">
            <v>46157</v>
          </cell>
        </row>
        <row r="3059">
          <cell r="L3059">
            <v>12005</v>
          </cell>
          <cell r="M3059">
            <v>46157</v>
          </cell>
        </row>
        <row r="3060">
          <cell r="L3060">
            <v>12244</v>
          </cell>
          <cell r="M3060">
            <v>46157</v>
          </cell>
        </row>
        <row r="3061">
          <cell r="L3061">
            <v>11102</v>
          </cell>
          <cell r="M3061">
            <v>46157</v>
          </cell>
        </row>
        <row r="3062">
          <cell r="L3062">
            <v>4613</v>
          </cell>
          <cell r="M3062">
            <v>46157</v>
          </cell>
        </row>
        <row r="3063">
          <cell r="L3063">
            <v>1657</v>
          </cell>
          <cell r="M3063">
            <v>46157</v>
          </cell>
        </row>
        <row r="3064">
          <cell r="L3064">
            <v>9045</v>
          </cell>
          <cell r="M3064">
            <v>46157</v>
          </cell>
        </row>
        <row r="3065">
          <cell r="L3065">
            <v>6787</v>
          </cell>
          <cell r="M3065">
            <v>46157</v>
          </cell>
        </row>
        <row r="3066">
          <cell r="L3066">
            <v>11380</v>
          </cell>
          <cell r="M3066">
            <v>46157</v>
          </cell>
        </row>
        <row r="3067">
          <cell r="L3067">
            <v>12318</v>
          </cell>
          <cell r="M3067">
            <v>46157</v>
          </cell>
        </row>
        <row r="3068">
          <cell r="L3068">
            <v>12484</v>
          </cell>
          <cell r="M3068">
            <v>46157</v>
          </cell>
        </row>
        <row r="3069">
          <cell r="L3069">
            <v>12483</v>
          </cell>
          <cell r="M3069">
            <v>46157</v>
          </cell>
        </row>
        <row r="3070">
          <cell r="L3070">
            <v>8759</v>
          </cell>
          <cell r="M3070">
            <v>46157</v>
          </cell>
        </row>
        <row r="3071">
          <cell r="L3071">
            <v>12252</v>
          </cell>
          <cell r="M3071">
            <v>46157</v>
          </cell>
        </row>
        <row r="3072">
          <cell r="L3072">
            <v>2637</v>
          </cell>
          <cell r="M3072">
            <v>46157</v>
          </cell>
        </row>
        <row r="3073">
          <cell r="L3073">
            <v>585</v>
          </cell>
          <cell r="M3073">
            <v>46157</v>
          </cell>
        </row>
        <row r="3074">
          <cell r="L3074">
            <v>1372</v>
          </cell>
          <cell r="M3074">
            <v>46157</v>
          </cell>
        </row>
        <row r="3075">
          <cell r="L3075">
            <v>4691</v>
          </cell>
          <cell r="M3075">
            <v>46157</v>
          </cell>
        </row>
        <row r="3076">
          <cell r="L3076">
            <v>2388</v>
          </cell>
          <cell r="M3076">
            <v>46157</v>
          </cell>
        </row>
        <row r="3077">
          <cell r="L3077">
            <v>12833</v>
          </cell>
          <cell r="M3077">
            <v>46157</v>
          </cell>
        </row>
        <row r="3078">
          <cell r="L3078">
            <v>2732</v>
          </cell>
          <cell r="M3078">
            <v>46160</v>
          </cell>
        </row>
        <row r="3079">
          <cell r="L3079">
            <v>1031</v>
          </cell>
          <cell r="M3079">
            <v>46160</v>
          </cell>
        </row>
        <row r="3080">
          <cell r="L3080">
            <v>6763</v>
          </cell>
          <cell r="M3080">
            <v>46160</v>
          </cell>
        </row>
        <row r="3081">
          <cell r="L3081">
            <v>292</v>
          </cell>
          <cell r="M3081">
            <v>46160</v>
          </cell>
        </row>
        <row r="3082">
          <cell r="L3082">
            <v>453</v>
          </cell>
          <cell r="M3082">
            <v>46160</v>
          </cell>
        </row>
        <row r="3083">
          <cell r="L3083">
            <v>1390</v>
          </cell>
          <cell r="M3083">
            <v>46160</v>
          </cell>
        </row>
        <row r="3084">
          <cell r="L3084">
            <v>4324</v>
          </cell>
          <cell r="M3084">
            <v>46160</v>
          </cell>
        </row>
        <row r="3085">
          <cell r="L3085">
            <v>4691</v>
          </cell>
          <cell r="M3085">
            <v>46160</v>
          </cell>
        </row>
        <row r="3086">
          <cell r="L3086">
            <v>10089</v>
          </cell>
          <cell r="M3086">
            <v>46160</v>
          </cell>
        </row>
        <row r="3087">
          <cell r="L3087">
            <v>1051</v>
          </cell>
          <cell r="M3087">
            <v>46160</v>
          </cell>
        </row>
        <row r="3088">
          <cell r="L3088">
            <v>1513</v>
          </cell>
          <cell r="M3088">
            <v>46160</v>
          </cell>
        </row>
        <row r="3089">
          <cell r="L3089">
            <v>2993</v>
          </cell>
          <cell r="M3089">
            <v>46160</v>
          </cell>
        </row>
        <row r="3090">
          <cell r="L3090">
            <v>1634</v>
          </cell>
          <cell r="M3090">
            <v>46160</v>
          </cell>
        </row>
        <row r="3091">
          <cell r="L3091">
            <v>1708</v>
          </cell>
          <cell r="M3091">
            <v>46160</v>
          </cell>
        </row>
        <row r="3092">
          <cell r="L3092">
            <v>1714</v>
          </cell>
          <cell r="M3092">
            <v>46160</v>
          </cell>
        </row>
        <row r="3093">
          <cell r="L3093">
            <v>9821</v>
          </cell>
          <cell r="M3093">
            <v>46160</v>
          </cell>
        </row>
        <row r="3094">
          <cell r="L3094">
            <v>9174</v>
          </cell>
          <cell r="M3094">
            <v>46160</v>
          </cell>
        </row>
        <row r="3095">
          <cell r="L3095">
            <v>9776</v>
          </cell>
          <cell r="M3095">
            <v>46160</v>
          </cell>
        </row>
        <row r="3096">
          <cell r="L3096">
            <v>10785</v>
          </cell>
          <cell r="M3096">
            <v>46160</v>
          </cell>
        </row>
        <row r="3097">
          <cell r="L3097">
            <v>7119</v>
          </cell>
          <cell r="M3097">
            <v>46160</v>
          </cell>
        </row>
        <row r="3098">
          <cell r="L3098">
            <v>3684</v>
          </cell>
          <cell r="M3098">
            <v>46160</v>
          </cell>
        </row>
        <row r="3099">
          <cell r="L3099">
            <v>1714</v>
          </cell>
          <cell r="M3099">
            <v>46160</v>
          </cell>
        </row>
        <row r="3100">
          <cell r="L3100">
            <v>5077</v>
          </cell>
          <cell r="M3100">
            <v>46160</v>
          </cell>
        </row>
        <row r="3101">
          <cell r="L3101">
            <v>4607</v>
          </cell>
          <cell r="M3101">
            <v>46160</v>
          </cell>
        </row>
        <row r="3102">
          <cell r="L3102">
            <v>3555</v>
          </cell>
          <cell r="M3102">
            <v>46160</v>
          </cell>
        </row>
        <row r="3103">
          <cell r="L3103">
            <v>12250</v>
          </cell>
          <cell r="M3103">
            <v>46160</v>
          </cell>
        </row>
        <row r="3104">
          <cell r="L3104">
            <v>12251</v>
          </cell>
          <cell r="M3104">
            <v>46160</v>
          </cell>
        </row>
        <row r="3105">
          <cell r="L3105">
            <v>3685</v>
          </cell>
          <cell r="M3105">
            <v>46160</v>
          </cell>
        </row>
        <row r="3106">
          <cell r="L3106">
            <v>3625</v>
          </cell>
          <cell r="M3106">
            <v>46160</v>
          </cell>
        </row>
        <row r="3107">
          <cell r="L3107">
            <v>1032</v>
          </cell>
          <cell r="M3107">
            <v>46160</v>
          </cell>
        </row>
        <row r="3108">
          <cell r="L3108">
            <v>10787</v>
          </cell>
          <cell r="M3108">
            <v>46160</v>
          </cell>
        </row>
        <row r="3109">
          <cell r="L3109">
            <v>12251</v>
          </cell>
          <cell r="M3109">
            <v>46160</v>
          </cell>
        </row>
        <row r="3110">
          <cell r="L3110">
            <v>5834</v>
          </cell>
          <cell r="M3110">
            <v>46160</v>
          </cell>
        </row>
        <row r="3111">
          <cell r="L3111">
            <v>10386</v>
          </cell>
          <cell r="M3111">
            <v>46160</v>
          </cell>
        </row>
        <row r="3112">
          <cell r="L3112">
            <v>9932</v>
          </cell>
          <cell r="M3112">
            <v>46160</v>
          </cell>
        </row>
        <row r="3113">
          <cell r="L3113">
            <v>10009</v>
          </cell>
          <cell r="M3113">
            <v>46160</v>
          </cell>
        </row>
        <row r="3114">
          <cell r="L3114">
            <v>12251</v>
          </cell>
          <cell r="M3114">
            <v>46160</v>
          </cell>
        </row>
        <row r="3115">
          <cell r="L3115">
            <v>12250</v>
          </cell>
          <cell r="M3115">
            <v>46160</v>
          </cell>
        </row>
        <row r="3116">
          <cell r="L3116">
            <v>12240</v>
          </cell>
          <cell r="M3116">
            <v>46160</v>
          </cell>
        </row>
        <row r="3117">
          <cell r="L3117">
            <v>12590</v>
          </cell>
          <cell r="M3117">
            <v>46160</v>
          </cell>
        </row>
        <row r="3118">
          <cell r="L3118">
            <v>12606</v>
          </cell>
          <cell r="M3118">
            <v>46160</v>
          </cell>
        </row>
        <row r="3119">
          <cell r="L3119">
            <v>12540</v>
          </cell>
          <cell r="M3119">
            <v>46160</v>
          </cell>
        </row>
        <row r="3120">
          <cell r="L3120">
            <v>12542</v>
          </cell>
          <cell r="M3120">
            <v>46160</v>
          </cell>
        </row>
        <row r="3121">
          <cell r="L3121">
            <v>12574</v>
          </cell>
          <cell r="M3121">
            <v>46160</v>
          </cell>
        </row>
        <row r="3122">
          <cell r="L3122">
            <v>12741</v>
          </cell>
          <cell r="M3122">
            <v>46160</v>
          </cell>
        </row>
        <row r="3123">
          <cell r="L3123">
            <v>12740</v>
          </cell>
          <cell r="M3123">
            <v>46160</v>
          </cell>
        </row>
        <row r="3124">
          <cell r="L3124">
            <v>8083</v>
          </cell>
          <cell r="M3124">
            <v>46160</v>
          </cell>
        </row>
        <row r="3125">
          <cell r="L3125">
            <v>8612</v>
          </cell>
          <cell r="M3125">
            <v>46160</v>
          </cell>
        </row>
        <row r="3126">
          <cell r="L3126">
            <v>8944</v>
          </cell>
          <cell r="M3126">
            <v>46160</v>
          </cell>
        </row>
        <row r="3127">
          <cell r="L3127">
            <v>9647</v>
          </cell>
          <cell r="M3127">
            <v>46160</v>
          </cell>
        </row>
        <row r="3128">
          <cell r="L3128">
            <v>9694</v>
          </cell>
          <cell r="M3128">
            <v>46160</v>
          </cell>
        </row>
        <row r="3129">
          <cell r="L3129">
            <v>395</v>
          </cell>
          <cell r="M3129">
            <v>46160</v>
          </cell>
        </row>
        <row r="3130">
          <cell r="L3130">
            <v>635</v>
          </cell>
          <cell r="M3130">
            <v>46160</v>
          </cell>
        </row>
        <row r="3131">
          <cell r="L3131">
            <v>8089</v>
          </cell>
          <cell r="M3131">
            <v>46160</v>
          </cell>
        </row>
        <row r="3132">
          <cell r="L3132">
            <v>8485</v>
          </cell>
          <cell r="M3132">
            <v>46160</v>
          </cell>
        </row>
        <row r="3133">
          <cell r="L3133">
            <v>9117</v>
          </cell>
          <cell r="M3133">
            <v>46160</v>
          </cell>
        </row>
        <row r="3134">
          <cell r="L3134">
            <v>9160</v>
          </cell>
          <cell r="M3134">
            <v>46160</v>
          </cell>
        </row>
        <row r="3135">
          <cell r="L3135">
            <v>9171</v>
          </cell>
          <cell r="M3135">
            <v>46160</v>
          </cell>
        </row>
        <row r="3136">
          <cell r="L3136">
            <v>9303</v>
          </cell>
          <cell r="M3136">
            <v>46160</v>
          </cell>
        </row>
        <row r="3137">
          <cell r="L3137">
            <v>626</v>
          </cell>
          <cell r="M3137">
            <v>46160</v>
          </cell>
        </row>
        <row r="3138">
          <cell r="L3138">
            <v>1251</v>
          </cell>
          <cell r="M3138">
            <v>46160</v>
          </cell>
        </row>
        <row r="3139">
          <cell r="L3139">
            <v>5571</v>
          </cell>
          <cell r="M3139">
            <v>46160</v>
          </cell>
        </row>
        <row r="3140">
          <cell r="L3140">
            <v>8841</v>
          </cell>
          <cell r="M3140">
            <v>46160</v>
          </cell>
        </row>
        <row r="3141">
          <cell r="L3141">
            <v>8607</v>
          </cell>
          <cell r="M3141">
            <v>46160</v>
          </cell>
        </row>
        <row r="3142">
          <cell r="L3142">
            <v>9733</v>
          </cell>
          <cell r="M3142">
            <v>46160</v>
          </cell>
        </row>
        <row r="3143">
          <cell r="L3143">
            <v>1310</v>
          </cell>
          <cell r="M3143">
            <v>46160</v>
          </cell>
        </row>
        <row r="3144">
          <cell r="L3144">
            <v>5539</v>
          </cell>
          <cell r="M3144">
            <v>46160</v>
          </cell>
        </row>
        <row r="3145">
          <cell r="L3145">
            <v>7042</v>
          </cell>
          <cell r="M3145">
            <v>46160</v>
          </cell>
        </row>
        <row r="3146">
          <cell r="L3146">
            <v>11091</v>
          </cell>
          <cell r="M3146">
            <v>46160</v>
          </cell>
        </row>
        <row r="3147">
          <cell r="L3147">
            <v>6903</v>
          </cell>
          <cell r="M3147">
            <v>46160</v>
          </cell>
        </row>
        <row r="3148">
          <cell r="L3148">
            <v>4547</v>
          </cell>
          <cell r="M3148">
            <v>46160</v>
          </cell>
        </row>
        <row r="3149">
          <cell r="L3149">
            <v>5493</v>
          </cell>
          <cell r="M3149">
            <v>46160</v>
          </cell>
        </row>
        <row r="3150">
          <cell r="L3150">
            <v>8879</v>
          </cell>
          <cell r="M3150">
            <v>46160</v>
          </cell>
        </row>
        <row r="3151">
          <cell r="L3151">
            <v>922</v>
          </cell>
          <cell r="M3151">
            <v>46160</v>
          </cell>
        </row>
        <row r="3152">
          <cell r="L3152">
            <v>634</v>
          </cell>
          <cell r="M3152">
            <v>46160</v>
          </cell>
        </row>
        <row r="3153">
          <cell r="L3153">
            <v>1307</v>
          </cell>
          <cell r="M3153">
            <v>46160</v>
          </cell>
        </row>
        <row r="3154">
          <cell r="L3154">
            <v>3651</v>
          </cell>
          <cell r="M3154">
            <v>46160</v>
          </cell>
        </row>
        <row r="3155">
          <cell r="L3155">
            <v>5619</v>
          </cell>
          <cell r="M3155">
            <v>46160</v>
          </cell>
        </row>
        <row r="3156">
          <cell r="L3156">
            <v>7242</v>
          </cell>
          <cell r="M3156">
            <v>46160</v>
          </cell>
        </row>
        <row r="3157">
          <cell r="L3157">
            <v>5509</v>
          </cell>
          <cell r="M3157">
            <v>46160</v>
          </cell>
        </row>
        <row r="3158">
          <cell r="L3158">
            <v>357</v>
          </cell>
          <cell r="M3158">
            <v>46160</v>
          </cell>
        </row>
        <row r="3159">
          <cell r="L3159">
            <v>6465</v>
          </cell>
          <cell r="M3159">
            <v>46160</v>
          </cell>
        </row>
        <row r="3160">
          <cell r="L3160">
            <v>7486</v>
          </cell>
          <cell r="M3160">
            <v>46160</v>
          </cell>
        </row>
        <row r="3161">
          <cell r="L3161">
            <v>12650</v>
          </cell>
          <cell r="M3161">
            <v>46160</v>
          </cell>
        </row>
        <row r="3162">
          <cell r="L3162">
            <v>12649</v>
          </cell>
          <cell r="M3162">
            <v>46160</v>
          </cell>
        </row>
        <row r="3163">
          <cell r="L3163">
            <v>12569</v>
          </cell>
          <cell r="M3163">
            <v>46160</v>
          </cell>
        </row>
        <row r="3164">
          <cell r="L3164">
            <v>12658</v>
          </cell>
          <cell r="M3164">
            <v>46160</v>
          </cell>
        </row>
        <row r="3165">
          <cell r="L3165">
            <v>12743</v>
          </cell>
          <cell r="M3165">
            <v>46160</v>
          </cell>
        </row>
        <row r="3166">
          <cell r="L3166">
            <v>12742</v>
          </cell>
          <cell r="M3166">
            <v>46160</v>
          </cell>
        </row>
        <row r="3167">
          <cell r="L3167">
            <v>8532</v>
          </cell>
          <cell r="M3167">
            <v>46160</v>
          </cell>
        </row>
        <row r="3168">
          <cell r="L3168">
            <v>12005</v>
          </cell>
          <cell r="M3168">
            <v>46160</v>
          </cell>
        </row>
        <row r="3169">
          <cell r="L3169">
            <v>12006</v>
          </cell>
          <cell r="M3169">
            <v>46160</v>
          </cell>
        </row>
        <row r="3170">
          <cell r="L3170">
            <v>12011</v>
          </cell>
          <cell r="M3170">
            <v>46160</v>
          </cell>
        </row>
        <row r="3171">
          <cell r="L3171">
            <v>12060</v>
          </cell>
          <cell r="M3171">
            <v>46160</v>
          </cell>
        </row>
        <row r="3172">
          <cell r="L3172">
            <v>12833</v>
          </cell>
          <cell r="M3172">
            <v>46160</v>
          </cell>
        </row>
        <row r="3173">
          <cell r="L3173">
            <v>586</v>
          </cell>
          <cell r="M3173">
            <v>46160</v>
          </cell>
        </row>
        <row r="3174">
          <cell r="L3174">
            <v>10091</v>
          </cell>
          <cell r="M3174">
            <v>46160</v>
          </cell>
        </row>
        <row r="3175">
          <cell r="L3175">
            <v>3511</v>
          </cell>
          <cell r="M3175">
            <v>46160</v>
          </cell>
        </row>
        <row r="3176">
          <cell r="L3176">
            <v>2462</v>
          </cell>
          <cell r="M3176">
            <v>46160</v>
          </cell>
        </row>
        <row r="3177">
          <cell r="L3177">
            <v>2713</v>
          </cell>
          <cell r="M3177">
            <v>46160</v>
          </cell>
        </row>
        <row r="3178">
          <cell r="L3178">
            <v>5283</v>
          </cell>
          <cell r="M3178">
            <v>46160</v>
          </cell>
        </row>
        <row r="3179">
          <cell r="L3179">
            <v>3262</v>
          </cell>
          <cell r="M3179">
            <v>46160</v>
          </cell>
        </row>
        <row r="3180">
          <cell r="L3180">
            <v>2834</v>
          </cell>
          <cell r="M3180">
            <v>46160</v>
          </cell>
        </row>
        <row r="3181">
          <cell r="L3181">
            <v>839</v>
          </cell>
          <cell r="M3181">
            <v>46160</v>
          </cell>
        </row>
        <row r="3182">
          <cell r="L3182">
            <v>3043</v>
          </cell>
          <cell r="M3182">
            <v>46160</v>
          </cell>
        </row>
        <row r="3183">
          <cell r="L3183">
            <v>2547</v>
          </cell>
          <cell r="M3183">
            <v>46160</v>
          </cell>
        </row>
        <row r="3184">
          <cell r="L3184">
            <v>365</v>
          </cell>
          <cell r="M3184">
            <v>46160</v>
          </cell>
        </row>
        <row r="3185">
          <cell r="L3185">
            <v>2712</v>
          </cell>
          <cell r="M3185">
            <v>46160</v>
          </cell>
        </row>
        <row r="3186">
          <cell r="L3186">
            <v>11465</v>
          </cell>
          <cell r="M3186">
            <v>46160</v>
          </cell>
        </row>
        <row r="3187">
          <cell r="L3187">
            <v>11808</v>
          </cell>
          <cell r="M3187">
            <v>46160</v>
          </cell>
        </row>
        <row r="3188">
          <cell r="L3188">
            <v>11290</v>
          </cell>
          <cell r="M3188">
            <v>46160</v>
          </cell>
        </row>
        <row r="3189">
          <cell r="L3189">
            <v>12424</v>
          </cell>
          <cell r="M3189">
            <v>46160</v>
          </cell>
        </row>
        <row r="3190">
          <cell r="L3190">
            <v>11852</v>
          </cell>
          <cell r="M3190">
            <v>46160</v>
          </cell>
        </row>
        <row r="3191">
          <cell r="L3191">
            <v>3118</v>
          </cell>
          <cell r="M3191">
            <v>46160</v>
          </cell>
        </row>
        <row r="3192">
          <cell r="L3192">
            <v>3096</v>
          </cell>
          <cell r="M3192">
            <v>46160</v>
          </cell>
        </row>
        <row r="3193">
          <cell r="L3193">
            <v>11823</v>
          </cell>
          <cell r="M3193">
            <v>46160</v>
          </cell>
        </row>
        <row r="3194">
          <cell r="L3194">
            <v>11830</v>
          </cell>
          <cell r="M3194">
            <v>46160</v>
          </cell>
        </row>
        <row r="3195">
          <cell r="L3195">
            <v>9553</v>
          </cell>
          <cell r="M3195">
            <v>46160</v>
          </cell>
        </row>
        <row r="3196">
          <cell r="L3196">
            <v>9725</v>
          </cell>
          <cell r="M3196">
            <v>46160</v>
          </cell>
        </row>
        <row r="3197">
          <cell r="L3197">
            <v>11348</v>
          </cell>
          <cell r="M3197">
            <v>46160</v>
          </cell>
        </row>
        <row r="3198">
          <cell r="L3198">
            <v>11990</v>
          </cell>
          <cell r="M3198">
            <v>46160</v>
          </cell>
        </row>
        <row r="3199">
          <cell r="L3199">
            <v>12540</v>
          </cell>
          <cell r="M3199">
            <v>46160</v>
          </cell>
        </row>
        <row r="3200">
          <cell r="L3200">
            <v>12542</v>
          </cell>
          <cell r="M3200">
            <v>46160</v>
          </cell>
        </row>
        <row r="3201">
          <cell r="L3201">
            <v>12574</v>
          </cell>
          <cell r="M3201">
            <v>46160</v>
          </cell>
        </row>
        <row r="3202">
          <cell r="L3202">
            <v>12741</v>
          </cell>
          <cell r="M3202">
            <v>46160</v>
          </cell>
        </row>
        <row r="3203">
          <cell r="L3203">
            <v>12740</v>
          </cell>
          <cell r="M3203">
            <v>46160</v>
          </cell>
        </row>
        <row r="3204">
          <cell r="L3204">
            <v>9649</v>
          </cell>
          <cell r="M3204">
            <v>46160</v>
          </cell>
        </row>
        <row r="3205">
          <cell r="L3205">
            <v>9650</v>
          </cell>
          <cell r="M3205">
            <v>46160</v>
          </cell>
        </row>
        <row r="3206">
          <cell r="L3206">
            <v>8850</v>
          </cell>
          <cell r="M3206">
            <v>46160</v>
          </cell>
        </row>
        <row r="3207">
          <cell r="L3207">
            <v>9515</v>
          </cell>
          <cell r="M3207">
            <v>46160</v>
          </cell>
        </row>
        <row r="3208">
          <cell r="L3208">
            <v>9121</v>
          </cell>
          <cell r="M3208">
            <v>46160</v>
          </cell>
        </row>
        <row r="3209">
          <cell r="L3209">
            <v>9045</v>
          </cell>
          <cell r="M3209">
            <v>46160</v>
          </cell>
        </row>
        <row r="3210">
          <cell r="L3210">
            <v>9901</v>
          </cell>
          <cell r="M3210">
            <v>46160</v>
          </cell>
        </row>
        <row r="3211">
          <cell r="L3211">
            <v>8845</v>
          </cell>
          <cell r="M3211">
            <v>46160</v>
          </cell>
        </row>
        <row r="3212">
          <cell r="L3212">
            <v>9513</v>
          </cell>
          <cell r="M3212">
            <v>46160</v>
          </cell>
        </row>
        <row r="3213">
          <cell r="L3213">
            <v>9514</v>
          </cell>
          <cell r="M3213">
            <v>46160</v>
          </cell>
        </row>
        <row r="3214">
          <cell r="L3214">
            <v>8767</v>
          </cell>
          <cell r="M3214">
            <v>46160</v>
          </cell>
        </row>
        <row r="3215">
          <cell r="L3215">
            <v>9517</v>
          </cell>
          <cell r="M3215">
            <v>46160</v>
          </cell>
        </row>
        <row r="3216">
          <cell r="L3216">
            <v>9912</v>
          </cell>
          <cell r="M3216">
            <v>46160</v>
          </cell>
        </row>
        <row r="3217">
          <cell r="L3217">
            <v>9938</v>
          </cell>
          <cell r="M3217">
            <v>46160</v>
          </cell>
        </row>
        <row r="3218">
          <cell r="L3218">
            <v>9123</v>
          </cell>
          <cell r="M3218">
            <v>46160</v>
          </cell>
        </row>
        <row r="3219">
          <cell r="L3219">
            <v>9812</v>
          </cell>
          <cell r="M3219">
            <v>46160</v>
          </cell>
        </row>
        <row r="3220">
          <cell r="L3220">
            <v>9088</v>
          </cell>
          <cell r="M3220">
            <v>46160</v>
          </cell>
        </row>
        <row r="3221">
          <cell r="L3221">
            <v>9046</v>
          </cell>
          <cell r="M3221">
            <v>46160</v>
          </cell>
        </row>
        <row r="3222">
          <cell r="L3222">
            <v>9049</v>
          </cell>
          <cell r="M3222">
            <v>46160</v>
          </cell>
        </row>
        <row r="3223">
          <cell r="L3223">
            <v>8550</v>
          </cell>
          <cell r="M3223">
            <v>46160</v>
          </cell>
        </row>
        <row r="3224">
          <cell r="L3224">
            <v>9904</v>
          </cell>
          <cell r="M3224">
            <v>46160</v>
          </cell>
        </row>
        <row r="3225">
          <cell r="L3225">
            <v>8780</v>
          </cell>
          <cell r="M3225">
            <v>46160</v>
          </cell>
        </row>
        <row r="3226">
          <cell r="L3226">
            <v>8699</v>
          </cell>
          <cell r="M3226">
            <v>46160</v>
          </cell>
        </row>
        <row r="3227">
          <cell r="L3227">
            <v>9817</v>
          </cell>
          <cell r="M3227">
            <v>46161</v>
          </cell>
        </row>
        <row r="3228">
          <cell r="L3228">
            <v>11076</v>
          </cell>
          <cell r="M3228">
            <v>46161</v>
          </cell>
        </row>
        <row r="3229">
          <cell r="L3229">
            <v>9174</v>
          </cell>
          <cell r="M3229">
            <v>46161</v>
          </cell>
        </row>
        <row r="3230">
          <cell r="L3230">
            <v>6681</v>
          </cell>
          <cell r="M3230">
            <v>46161</v>
          </cell>
        </row>
        <row r="3231">
          <cell r="L3231">
            <v>7643</v>
          </cell>
          <cell r="M3231">
            <v>46161</v>
          </cell>
        </row>
        <row r="3232">
          <cell r="L3232">
            <v>4535</v>
          </cell>
          <cell r="M3232">
            <v>46161</v>
          </cell>
        </row>
        <row r="3233">
          <cell r="L3233">
            <v>4208</v>
          </cell>
          <cell r="M3233">
            <v>46161</v>
          </cell>
        </row>
        <row r="3234">
          <cell r="L3234">
            <v>5834</v>
          </cell>
          <cell r="M3234">
            <v>46161</v>
          </cell>
        </row>
        <row r="3235">
          <cell r="L3235">
            <v>4612</v>
          </cell>
          <cell r="M3235">
            <v>46161</v>
          </cell>
        </row>
        <row r="3236">
          <cell r="L3236">
            <v>4611</v>
          </cell>
          <cell r="M3236">
            <v>46161</v>
          </cell>
        </row>
        <row r="3237">
          <cell r="L3237">
            <v>5538</v>
          </cell>
          <cell r="M3237">
            <v>46161</v>
          </cell>
        </row>
        <row r="3238">
          <cell r="L3238">
            <v>3876</v>
          </cell>
          <cell r="M3238">
            <v>46161</v>
          </cell>
        </row>
        <row r="3239">
          <cell r="L3239">
            <v>3785</v>
          </cell>
          <cell r="M3239">
            <v>46161</v>
          </cell>
        </row>
        <row r="3240">
          <cell r="L3240">
            <v>3555</v>
          </cell>
          <cell r="M3240">
            <v>46161</v>
          </cell>
        </row>
        <row r="3241">
          <cell r="L3241">
            <v>4088</v>
          </cell>
          <cell r="M3241">
            <v>46161</v>
          </cell>
        </row>
        <row r="3242">
          <cell r="L3242">
            <v>3714</v>
          </cell>
          <cell r="M3242">
            <v>46161</v>
          </cell>
        </row>
        <row r="3243">
          <cell r="L3243">
            <v>3713</v>
          </cell>
          <cell r="M3243">
            <v>46161</v>
          </cell>
        </row>
        <row r="3244">
          <cell r="L3244">
            <v>3760</v>
          </cell>
          <cell r="M3244">
            <v>46161</v>
          </cell>
        </row>
        <row r="3245">
          <cell r="L3245">
            <v>3509</v>
          </cell>
          <cell r="M3245">
            <v>46161</v>
          </cell>
        </row>
        <row r="3246">
          <cell r="L3246">
            <v>4219</v>
          </cell>
          <cell r="M3246">
            <v>46161</v>
          </cell>
        </row>
        <row r="3247">
          <cell r="L3247">
            <v>9901</v>
          </cell>
          <cell r="M3247">
            <v>46161</v>
          </cell>
        </row>
        <row r="3248">
          <cell r="L3248">
            <v>9895</v>
          </cell>
          <cell r="M3248">
            <v>46161</v>
          </cell>
        </row>
        <row r="3249">
          <cell r="L3249">
            <v>7636</v>
          </cell>
          <cell r="M3249">
            <v>46161</v>
          </cell>
        </row>
        <row r="3250">
          <cell r="L3250">
            <v>3684</v>
          </cell>
          <cell r="M3250">
            <v>46161</v>
          </cell>
        </row>
        <row r="3251">
          <cell r="L3251">
            <v>1141</v>
          </cell>
          <cell r="M3251">
            <v>46161</v>
          </cell>
        </row>
        <row r="3252">
          <cell r="L3252">
            <v>8679</v>
          </cell>
          <cell r="M3252">
            <v>46161</v>
          </cell>
        </row>
        <row r="3253">
          <cell r="L3253">
            <v>8993</v>
          </cell>
          <cell r="M3253">
            <v>46161</v>
          </cell>
        </row>
        <row r="3254">
          <cell r="L3254">
            <v>8426</v>
          </cell>
          <cell r="M3254">
            <v>46161</v>
          </cell>
        </row>
        <row r="3255">
          <cell r="L3255">
            <v>9606</v>
          </cell>
          <cell r="M3255">
            <v>46161</v>
          </cell>
        </row>
        <row r="3256">
          <cell r="L3256">
            <v>693</v>
          </cell>
          <cell r="M3256">
            <v>46161</v>
          </cell>
        </row>
        <row r="3257">
          <cell r="L3257">
            <v>10298</v>
          </cell>
          <cell r="M3257">
            <v>46161</v>
          </cell>
        </row>
        <row r="3258">
          <cell r="L3258">
            <v>12701</v>
          </cell>
          <cell r="M3258">
            <v>46161</v>
          </cell>
        </row>
        <row r="3259">
          <cell r="L3259">
            <v>12700</v>
          </cell>
          <cell r="M3259">
            <v>46161</v>
          </cell>
        </row>
        <row r="3260">
          <cell r="L3260">
            <v>12139</v>
          </cell>
          <cell r="M3260">
            <v>46161</v>
          </cell>
        </row>
        <row r="3261">
          <cell r="L3261">
            <v>491</v>
          </cell>
          <cell r="M3261">
            <v>46161</v>
          </cell>
        </row>
        <row r="3262">
          <cell r="L3262">
            <v>1161</v>
          </cell>
          <cell r="M3262">
            <v>46161</v>
          </cell>
        </row>
        <row r="3263">
          <cell r="L3263">
            <v>12006</v>
          </cell>
          <cell r="M3263">
            <v>46161</v>
          </cell>
        </row>
        <row r="3264">
          <cell r="L3264">
            <v>12086</v>
          </cell>
          <cell r="M3264">
            <v>46161</v>
          </cell>
        </row>
        <row r="3265">
          <cell r="L3265">
            <v>1424</v>
          </cell>
          <cell r="M3265">
            <v>46161</v>
          </cell>
        </row>
        <row r="3266">
          <cell r="L3266">
            <v>1462</v>
          </cell>
          <cell r="M3266">
            <v>46161</v>
          </cell>
        </row>
        <row r="3267">
          <cell r="L3267">
            <v>1655</v>
          </cell>
          <cell r="M3267">
            <v>46161</v>
          </cell>
        </row>
        <row r="3268">
          <cell r="L3268">
            <v>322</v>
          </cell>
          <cell r="M3268">
            <v>46161</v>
          </cell>
        </row>
        <row r="3269">
          <cell r="L3269">
            <v>3599</v>
          </cell>
          <cell r="M3269">
            <v>46161</v>
          </cell>
        </row>
        <row r="3270">
          <cell r="L3270">
            <v>4056</v>
          </cell>
          <cell r="M3270">
            <v>46161</v>
          </cell>
        </row>
        <row r="3271">
          <cell r="L3271">
            <v>4181</v>
          </cell>
          <cell r="M3271">
            <v>46161</v>
          </cell>
        </row>
        <row r="3272">
          <cell r="L3272">
            <v>6531</v>
          </cell>
          <cell r="M3272">
            <v>46161</v>
          </cell>
        </row>
        <row r="3273">
          <cell r="L3273">
            <v>6991</v>
          </cell>
          <cell r="M3273">
            <v>46161</v>
          </cell>
        </row>
        <row r="3274">
          <cell r="L3274">
            <v>7965</v>
          </cell>
          <cell r="M3274">
            <v>46161</v>
          </cell>
        </row>
        <row r="3275">
          <cell r="L3275">
            <v>8088</v>
          </cell>
          <cell r="M3275">
            <v>46161</v>
          </cell>
        </row>
        <row r="3276">
          <cell r="L3276">
            <v>8201</v>
          </cell>
          <cell r="M3276">
            <v>46161</v>
          </cell>
        </row>
        <row r="3277">
          <cell r="L3277">
            <v>8307</v>
          </cell>
          <cell r="M3277">
            <v>46161</v>
          </cell>
        </row>
        <row r="3278">
          <cell r="L3278">
            <v>8354</v>
          </cell>
          <cell r="M3278">
            <v>46161</v>
          </cell>
        </row>
        <row r="3279">
          <cell r="L3279">
            <v>971</v>
          </cell>
          <cell r="M3279">
            <v>46161</v>
          </cell>
        </row>
        <row r="3280">
          <cell r="L3280">
            <v>5079</v>
          </cell>
          <cell r="M3280">
            <v>46161</v>
          </cell>
        </row>
        <row r="3281">
          <cell r="L3281">
            <v>12779</v>
          </cell>
          <cell r="M3281">
            <v>46161</v>
          </cell>
        </row>
        <row r="3282">
          <cell r="L3282">
            <v>1126</v>
          </cell>
          <cell r="M3282">
            <v>46161</v>
          </cell>
        </row>
        <row r="3283">
          <cell r="L3283">
            <v>11809</v>
          </cell>
          <cell r="M3283">
            <v>46161</v>
          </cell>
        </row>
        <row r="3284">
          <cell r="L3284">
            <v>11815</v>
          </cell>
          <cell r="M3284">
            <v>46161</v>
          </cell>
        </row>
        <row r="3285">
          <cell r="L3285">
            <v>1199</v>
          </cell>
          <cell r="M3285">
            <v>46161</v>
          </cell>
        </row>
        <row r="3286">
          <cell r="L3286">
            <v>371</v>
          </cell>
          <cell r="M3286">
            <v>46161</v>
          </cell>
        </row>
        <row r="3287">
          <cell r="L3287">
            <v>6454</v>
          </cell>
          <cell r="M3287">
            <v>46161</v>
          </cell>
        </row>
        <row r="3288">
          <cell r="L3288">
            <v>12252</v>
          </cell>
          <cell r="M3288">
            <v>46161</v>
          </cell>
        </row>
        <row r="3289">
          <cell r="L3289">
            <v>12248</v>
          </cell>
          <cell r="M3289">
            <v>46161</v>
          </cell>
        </row>
        <row r="3290">
          <cell r="L3290">
            <v>12205</v>
          </cell>
          <cell r="M3290">
            <v>46161</v>
          </cell>
        </row>
        <row r="3291">
          <cell r="L3291">
            <v>12206</v>
          </cell>
          <cell r="M3291">
            <v>46161</v>
          </cell>
        </row>
        <row r="3292">
          <cell r="L3292">
            <v>11925</v>
          </cell>
          <cell r="M3292">
            <v>46161</v>
          </cell>
        </row>
        <row r="3293">
          <cell r="L3293">
            <v>9901</v>
          </cell>
          <cell r="M3293">
            <v>46161</v>
          </cell>
        </row>
        <row r="3294">
          <cell r="L3294">
            <v>9895</v>
          </cell>
          <cell r="M3294">
            <v>46161</v>
          </cell>
        </row>
        <row r="3295">
          <cell r="L3295">
            <v>1320</v>
          </cell>
          <cell r="M3295">
            <v>46162</v>
          </cell>
        </row>
        <row r="3296">
          <cell r="L3296">
            <v>1437</v>
          </cell>
          <cell r="M3296">
            <v>46162</v>
          </cell>
        </row>
        <row r="3297">
          <cell r="L3297">
            <v>10386</v>
          </cell>
          <cell r="M3297">
            <v>46162</v>
          </cell>
        </row>
        <row r="3298">
          <cell r="L3298">
            <v>6725</v>
          </cell>
          <cell r="M3298">
            <v>46162</v>
          </cell>
        </row>
        <row r="3299">
          <cell r="L3299">
            <v>1032</v>
          </cell>
          <cell r="M3299">
            <v>46162</v>
          </cell>
        </row>
        <row r="3300">
          <cell r="L3300">
            <v>1536</v>
          </cell>
          <cell r="M3300">
            <v>46162</v>
          </cell>
        </row>
        <row r="3301">
          <cell r="L3301">
            <v>7689</v>
          </cell>
          <cell r="M3301">
            <v>46162</v>
          </cell>
        </row>
        <row r="3302">
          <cell r="L3302">
            <v>11830</v>
          </cell>
          <cell r="M3302">
            <v>46162</v>
          </cell>
        </row>
        <row r="3303">
          <cell r="L3303">
            <v>1049</v>
          </cell>
          <cell r="M3303">
            <v>46162</v>
          </cell>
        </row>
        <row r="3304">
          <cell r="L3304">
            <v>1247</v>
          </cell>
          <cell r="M3304">
            <v>46162</v>
          </cell>
        </row>
        <row r="3305">
          <cell r="L3305">
            <v>3646</v>
          </cell>
          <cell r="M3305">
            <v>46162</v>
          </cell>
        </row>
        <row r="3306">
          <cell r="L3306">
            <v>9776</v>
          </cell>
          <cell r="M3306">
            <v>46162</v>
          </cell>
        </row>
        <row r="3307">
          <cell r="L3307">
            <v>1497</v>
          </cell>
          <cell r="M3307">
            <v>46162</v>
          </cell>
        </row>
        <row r="3308">
          <cell r="L3308">
            <v>9725</v>
          </cell>
          <cell r="M3308">
            <v>46162</v>
          </cell>
        </row>
        <row r="3309">
          <cell r="L3309">
            <v>9817</v>
          </cell>
          <cell r="M3309">
            <v>46162</v>
          </cell>
        </row>
        <row r="3310">
          <cell r="L3310">
            <v>3118</v>
          </cell>
          <cell r="M3310">
            <v>46162</v>
          </cell>
        </row>
        <row r="3311">
          <cell r="L3311">
            <v>1032</v>
          </cell>
          <cell r="M3311">
            <v>46162</v>
          </cell>
        </row>
        <row r="3312">
          <cell r="L3312">
            <v>9776</v>
          </cell>
          <cell r="M3312">
            <v>46162</v>
          </cell>
        </row>
        <row r="3313">
          <cell r="L3313">
            <v>575</v>
          </cell>
          <cell r="M3313">
            <v>46162</v>
          </cell>
        </row>
        <row r="3314">
          <cell r="L3314">
            <v>4612</v>
          </cell>
          <cell r="M3314">
            <v>46162</v>
          </cell>
        </row>
        <row r="3315">
          <cell r="L3315">
            <v>9806</v>
          </cell>
          <cell r="M3315">
            <v>46162</v>
          </cell>
        </row>
        <row r="3316">
          <cell r="L3316">
            <v>12686</v>
          </cell>
          <cell r="M3316">
            <v>46162</v>
          </cell>
        </row>
        <row r="3317">
          <cell r="L3317">
            <v>12687</v>
          </cell>
          <cell r="M3317">
            <v>46162</v>
          </cell>
        </row>
        <row r="3318">
          <cell r="L3318">
            <v>12519</v>
          </cell>
          <cell r="M3318">
            <v>46162</v>
          </cell>
        </row>
        <row r="3319">
          <cell r="L3319">
            <v>4134</v>
          </cell>
          <cell r="M3319">
            <v>46162</v>
          </cell>
        </row>
        <row r="3320">
          <cell r="L3320">
            <v>12686</v>
          </cell>
          <cell r="M3320">
            <v>46162</v>
          </cell>
        </row>
        <row r="3321">
          <cell r="L3321">
            <v>12687</v>
          </cell>
          <cell r="M3321">
            <v>46162</v>
          </cell>
        </row>
        <row r="3322">
          <cell r="L3322">
            <v>12519</v>
          </cell>
          <cell r="M3322">
            <v>46162</v>
          </cell>
        </row>
        <row r="3323">
          <cell r="L3323">
            <v>12781</v>
          </cell>
          <cell r="M3323">
            <v>46162</v>
          </cell>
        </row>
        <row r="3324">
          <cell r="L3324">
            <v>12778</v>
          </cell>
          <cell r="M3324">
            <v>46162</v>
          </cell>
        </row>
        <row r="3325">
          <cell r="L3325">
            <v>12602</v>
          </cell>
          <cell r="M3325">
            <v>46162</v>
          </cell>
        </row>
        <row r="3326">
          <cell r="L3326">
            <v>11102</v>
          </cell>
          <cell r="M3326">
            <v>46162</v>
          </cell>
        </row>
        <row r="3327">
          <cell r="L3327">
            <v>12243</v>
          </cell>
          <cell r="M3327">
            <v>46162</v>
          </cell>
        </row>
        <row r="3328">
          <cell r="L3328">
            <v>12085</v>
          </cell>
          <cell r="M3328">
            <v>46162</v>
          </cell>
        </row>
        <row r="3329">
          <cell r="L3329">
            <v>12086</v>
          </cell>
          <cell r="M3329">
            <v>46162</v>
          </cell>
        </row>
        <row r="3330">
          <cell r="L3330">
            <v>12258</v>
          </cell>
          <cell r="M3330">
            <v>46162</v>
          </cell>
        </row>
        <row r="3331">
          <cell r="L3331">
            <v>12210</v>
          </cell>
          <cell r="M3331">
            <v>46162</v>
          </cell>
        </row>
        <row r="3332">
          <cell r="L3332">
            <v>12441</v>
          </cell>
          <cell r="M3332">
            <v>46162</v>
          </cell>
        </row>
        <row r="3333">
          <cell r="L3333">
            <v>12290</v>
          </cell>
          <cell r="M3333">
            <v>46162</v>
          </cell>
        </row>
        <row r="3334">
          <cell r="L3334">
            <v>12213</v>
          </cell>
          <cell r="M3334">
            <v>46162</v>
          </cell>
        </row>
        <row r="3335">
          <cell r="L3335">
            <v>12651</v>
          </cell>
          <cell r="M3335">
            <v>46162</v>
          </cell>
        </row>
        <row r="3336">
          <cell r="L3336">
            <v>8685</v>
          </cell>
          <cell r="M3336">
            <v>46162</v>
          </cell>
        </row>
        <row r="3337">
          <cell r="L3337">
            <v>12715</v>
          </cell>
          <cell r="M3337">
            <v>46162</v>
          </cell>
        </row>
        <row r="3338">
          <cell r="L3338">
            <v>12762</v>
          </cell>
          <cell r="M3338">
            <v>46162</v>
          </cell>
        </row>
        <row r="3339">
          <cell r="L3339">
            <v>1027</v>
          </cell>
          <cell r="M3339">
            <v>46162</v>
          </cell>
        </row>
        <row r="3340">
          <cell r="L3340">
            <v>12225</v>
          </cell>
          <cell r="M3340">
            <v>46162</v>
          </cell>
        </row>
        <row r="3341">
          <cell r="L3341">
            <v>8679</v>
          </cell>
          <cell r="M3341">
            <v>46162</v>
          </cell>
        </row>
        <row r="3342">
          <cell r="L3342">
            <v>9306</v>
          </cell>
          <cell r="M3342">
            <v>46162</v>
          </cell>
        </row>
        <row r="3343">
          <cell r="L3343">
            <v>10546</v>
          </cell>
          <cell r="M3343">
            <v>46162</v>
          </cell>
        </row>
        <row r="3344">
          <cell r="L3344">
            <v>635</v>
          </cell>
          <cell r="M3344">
            <v>46162</v>
          </cell>
        </row>
        <row r="3345">
          <cell r="L3345">
            <v>1251</v>
          </cell>
          <cell r="M3345">
            <v>46162</v>
          </cell>
        </row>
        <row r="3346">
          <cell r="L3346">
            <v>9694</v>
          </cell>
          <cell r="M3346">
            <v>46162</v>
          </cell>
        </row>
        <row r="3347">
          <cell r="L3347">
            <v>10464</v>
          </cell>
          <cell r="M3347">
            <v>46162</v>
          </cell>
        </row>
        <row r="3348">
          <cell r="L3348">
            <v>3023</v>
          </cell>
          <cell r="M3348">
            <v>46162</v>
          </cell>
        </row>
        <row r="3349">
          <cell r="L3349">
            <v>11512</v>
          </cell>
          <cell r="M3349">
            <v>46162</v>
          </cell>
        </row>
        <row r="3350">
          <cell r="L3350">
            <v>12779</v>
          </cell>
          <cell r="M3350">
            <v>46162</v>
          </cell>
        </row>
        <row r="3351">
          <cell r="L3351">
            <v>292</v>
          </cell>
          <cell r="M3351">
            <v>46162</v>
          </cell>
        </row>
        <row r="3352">
          <cell r="L3352">
            <v>293</v>
          </cell>
          <cell r="M3352">
            <v>46162</v>
          </cell>
        </row>
        <row r="3353">
          <cell r="L3353">
            <v>337</v>
          </cell>
          <cell r="M3353">
            <v>46162</v>
          </cell>
        </row>
        <row r="3354">
          <cell r="L3354">
            <v>483</v>
          </cell>
          <cell r="M3354">
            <v>46162</v>
          </cell>
        </row>
        <row r="3355">
          <cell r="L3355">
            <v>12786</v>
          </cell>
          <cell r="M3355">
            <v>46162</v>
          </cell>
        </row>
        <row r="3356">
          <cell r="L3356">
            <v>12840</v>
          </cell>
          <cell r="M3356">
            <v>46162</v>
          </cell>
        </row>
        <row r="3357">
          <cell r="L3357">
            <v>12741</v>
          </cell>
          <cell r="M3357">
            <v>46163</v>
          </cell>
        </row>
        <row r="3358">
          <cell r="L3358">
            <v>12740</v>
          </cell>
          <cell r="M3358">
            <v>46163</v>
          </cell>
        </row>
        <row r="3359">
          <cell r="L3359">
            <v>357</v>
          </cell>
          <cell r="M3359">
            <v>46163</v>
          </cell>
        </row>
        <row r="3360">
          <cell r="L3360">
            <v>12839</v>
          </cell>
          <cell r="M3360">
            <v>46163</v>
          </cell>
        </row>
        <row r="3361">
          <cell r="L3361">
            <v>1161</v>
          </cell>
          <cell r="M3361">
            <v>46163</v>
          </cell>
        </row>
        <row r="3362">
          <cell r="L3362">
            <v>1191</v>
          </cell>
          <cell r="M3362">
            <v>46163</v>
          </cell>
        </row>
        <row r="3363">
          <cell r="L3363">
            <v>2834</v>
          </cell>
          <cell r="M3363">
            <v>46163</v>
          </cell>
        </row>
        <row r="3364">
          <cell r="L3364">
            <v>11490</v>
          </cell>
          <cell r="M3364">
            <v>46163</v>
          </cell>
        </row>
        <row r="3365">
          <cell r="L3365">
            <v>12088</v>
          </cell>
          <cell r="M3365">
            <v>46163</v>
          </cell>
        </row>
        <row r="3366">
          <cell r="L3366">
            <v>12089</v>
          </cell>
          <cell r="M3366">
            <v>46163</v>
          </cell>
        </row>
        <row r="3367">
          <cell r="L3367">
            <v>12023</v>
          </cell>
          <cell r="M3367">
            <v>46163</v>
          </cell>
        </row>
        <row r="3368">
          <cell r="L3368">
            <v>12165</v>
          </cell>
          <cell r="M3368">
            <v>46163</v>
          </cell>
        </row>
        <row r="3369">
          <cell r="L3369">
            <v>12298</v>
          </cell>
          <cell r="M3369">
            <v>46163</v>
          </cell>
        </row>
        <row r="3370">
          <cell r="L3370">
            <v>12299</v>
          </cell>
          <cell r="M3370">
            <v>46163</v>
          </cell>
        </row>
        <row r="3371">
          <cell r="L3371">
            <v>12586</v>
          </cell>
          <cell r="M3371">
            <v>46163</v>
          </cell>
        </row>
        <row r="3372">
          <cell r="L3372">
            <v>12069</v>
          </cell>
          <cell r="M3372">
            <v>46163</v>
          </cell>
        </row>
        <row r="3373">
          <cell r="L3373">
            <v>4543</v>
          </cell>
          <cell r="M3373">
            <v>46163</v>
          </cell>
        </row>
        <row r="3374">
          <cell r="L3374">
            <v>1045</v>
          </cell>
          <cell r="M3374">
            <v>46163</v>
          </cell>
        </row>
        <row r="3375">
          <cell r="L3375">
            <v>12761</v>
          </cell>
          <cell r="M3375">
            <v>46163</v>
          </cell>
        </row>
        <row r="3376">
          <cell r="L3376">
            <v>12795</v>
          </cell>
          <cell r="M3376">
            <v>46163</v>
          </cell>
        </row>
        <row r="3377">
          <cell r="L3377">
            <v>12726</v>
          </cell>
          <cell r="M3377">
            <v>46163</v>
          </cell>
        </row>
        <row r="3378">
          <cell r="L3378">
            <v>5787</v>
          </cell>
          <cell r="M3378">
            <v>46163</v>
          </cell>
        </row>
        <row r="3379">
          <cell r="L3379">
            <v>1370</v>
          </cell>
          <cell r="M3379">
            <v>46163</v>
          </cell>
        </row>
        <row r="3380">
          <cell r="L3380">
            <v>9696</v>
          </cell>
          <cell r="M3380">
            <v>46163</v>
          </cell>
        </row>
        <row r="3381">
          <cell r="L3381">
            <v>12892</v>
          </cell>
          <cell r="M3381">
            <v>46163</v>
          </cell>
        </row>
        <row r="3382">
          <cell r="L3382">
            <v>12714</v>
          </cell>
          <cell r="M3382">
            <v>46163</v>
          </cell>
        </row>
        <row r="3383">
          <cell r="L3383">
            <v>8684</v>
          </cell>
          <cell r="M3383">
            <v>46163</v>
          </cell>
        </row>
        <row r="3384">
          <cell r="L3384">
            <v>9008</v>
          </cell>
          <cell r="M3384">
            <v>46163</v>
          </cell>
        </row>
        <row r="3385">
          <cell r="L3385">
            <v>9695</v>
          </cell>
          <cell r="M3385">
            <v>46163</v>
          </cell>
        </row>
        <row r="3386">
          <cell r="L3386">
            <v>5631</v>
          </cell>
          <cell r="M3386">
            <v>46163</v>
          </cell>
        </row>
        <row r="3387">
          <cell r="L3387">
            <v>5630</v>
          </cell>
          <cell r="M3387">
            <v>46164</v>
          </cell>
        </row>
        <row r="3388">
          <cell r="L3388">
            <v>656</v>
          </cell>
          <cell r="M3388">
            <v>46164</v>
          </cell>
        </row>
        <row r="3389">
          <cell r="L3389">
            <v>11683</v>
          </cell>
          <cell r="M3389">
            <v>46164</v>
          </cell>
        </row>
        <row r="3390">
          <cell r="L3390">
            <v>11682</v>
          </cell>
          <cell r="M3390">
            <v>46164</v>
          </cell>
        </row>
        <row r="3391">
          <cell r="L3391">
            <v>11681</v>
          </cell>
          <cell r="M3391">
            <v>46164</v>
          </cell>
        </row>
        <row r="3392">
          <cell r="L3392">
            <v>12396</v>
          </cell>
          <cell r="M3392">
            <v>46164</v>
          </cell>
        </row>
        <row r="3393">
          <cell r="L3393">
            <v>12708</v>
          </cell>
          <cell r="M3393">
            <v>46164</v>
          </cell>
        </row>
        <row r="3394">
          <cell r="L3394">
            <v>12527</v>
          </cell>
          <cell r="M3394">
            <v>46164</v>
          </cell>
        </row>
        <row r="3395">
          <cell r="L3395">
            <v>12587</v>
          </cell>
          <cell r="M3395">
            <v>46164</v>
          </cell>
        </row>
        <row r="3396">
          <cell r="L3396">
            <v>1125</v>
          </cell>
          <cell r="M3396">
            <v>46164</v>
          </cell>
        </row>
        <row r="3397">
          <cell r="L3397">
            <v>1447</v>
          </cell>
          <cell r="M3397">
            <v>46164</v>
          </cell>
        </row>
        <row r="3398">
          <cell r="L3398">
            <v>9388</v>
          </cell>
          <cell r="M3398">
            <v>46164</v>
          </cell>
        </row>
        <row r="3399">
          <cell r="L3399">
            <v>9390</v>
          </cell>
          <cell r="M3399">
            <v>46164</v>
          </cell>
        </row>
        <row r="3400">
          <cell r="L3400">
            <v>9359</v>
          </cell>
          <cell r="M3400">
            <v>46164</v>
          </cell>
        </row>
        <row r="3401">
          <cell r="L3401">
            <v>8678</v>
          </cell>
          <cell r="M3401">
            <v>46164</v>
          </cell>
        </row>
        <row r="3402">
          <cell r="L3402">
            <v>8686</v>
          </cell>
          <cell r="M3402">
            <v>46164</v>
          </cell>
        </row>
        <row r="3403">
          <cell r="L3403">
            <v>12058</v>
          </cell>
          <cell r="M3403">
            <v>46164</v>
          </cell>
        </row>
        <row r="3404">
          <cell r="L3404">
            <v>9645</v>
          </cell>
          <cell r="M3404">
            <v>46164</v>
          </cell>
        </row>
        <row r="3405">
          <cell r="L3405">
            <v>9561</v>
          </cell>
          <cell r="M3405">
            <v>46164</v>
          </cell>
        </row>
        <row r="3406">
          <cell r="L3406">
            <v>9284</v>
          </cell>
          <cell r="M3406">
            <v>46164</v>
          </cell>
        </row>
        <row r="3407">
          <cell r="L3407">
            <v>9697</v>
          </cell>
          <cell r="M3407">
            <v>46164</v>
          </cell>
        </row>
        <row r="3408">
          <cell r="L3408">
            <v>8754</v>
          </cell>
          <cell r="M3408">
            <v>46164</v>
          </cell>
        </row>
        <row r="3409">
          <cell r="L3409">
            <v>7894</v>
          </cell>
          <cell r="M3409">
            <v>46164</v>
          </cell>
        </row>
        <row r="3410">
          <cell r="L3410">
            <v>9446</v>
          </cell>
          <cell r="M3410">
            <v>46164</v>
          </cell>
        </row>
        <row r="3411">
          <cell r="L3411">
            <v>8936</v>
          </cell>
          <cell r="M3411">
            <v>46164</v>
          </cell>
        </row>
        <row r="3412">
          <cell r="L3412">
            <v>8686</v>
          </cell>
          <cell r="M3412">
            <v>46164</v>
          </cell>
        </row>
        <row r="3413">
          <cell r="L3413">
            <v>1434</v>
          </cell>
          <cell r="M3413">
            <v>46164</v>
          </cell>
        </row>
        <row r="3414">
          <cell r="L3414">
            <v>1657</v>
          </cell>
          <cell r="M3414">
            <v>46164</v>
          </cell>
        </row>
        <row r="3415">
          <cell r="L3415">
            <v>4272</v>
          </cell>
          <cell r="M3415">
            <v>46164</v>
          </cell>
        </row>
        <row r="3416">
          <cell r="L3416">
            <v>4483</v>
          </cell>
          <cell r="M3416">
            <v>46164</v>
          </cell>
        </row>
        <row r="3417">
          <cell r="L3417">
            <v>545</v>
          </cell>
          <cell r="M3417">
            <v>46164</v>
          </cell>
        </row>
        <row r="3418">
          <cell r="L3418">
            <v>9233</v>
          </cell>
          <cell r="M3418">
            <v>46164</v>
          </cell>
        </row>
        <row r="3419">
          <cell r="L3419">
            <v>954</v>
          </cell>
          <cell r="M3419">
            <v>46164</v>
          </cell>
        </row>
        <row r="3420">
          <cell r="L3420">
            <v>11553</v>
          </cell>
          <cell r="M3420">
            <v>46164</v>
          </cell>
        </row>
        <row r="3421">
          <cell r="L3421">
            <v>11554</v>
          </cell>
          <cell r="M3421">
            <v>46164</v>
          </cell>
        </row>
        <row r="3422">
          <cell r="L3422">
            <v>11911</v>
          </cell>
          <cell r="M3422">
            <v>46164</v>
          </cell>
        </row>
        <row r="3423">
          <cell r="L3423">
            <v>8677</v>
          </cell>
          <cell r="M3423">
            <v>46165</v>
          </cell>
        </row>
        <row r="3424">
          <cell r="L3424">
            <v>8532</v>
          </cell>
          <cell r="M3424">
            <v>46165</v>
          </cell>
        </row>
        <row r="3425">
          <cell r="L3425">
            <v>12258</v>
          </cell>
          <cell r="M3425">
            <v>46165</v>
          </cell>
        </row>
        <row r="3426">
          <cell r="L3426">
            <v>6903</v>
          </cell>
          <cell r="M3426">
            <v>46165</v>
          </cell>
        </row>
        <row r="3427">
          <cell r="L3427">
            <v>651</v>
          </cell>
          <cell r="M3427">
            <v>46165</v>
          </cell>
        </row>
        <row r="3428">
          <cell r="L3428">
            <v>7242</v>
          </cell>
          <cell r="M3428">
            <v>46165</v>
          </cell>
        </row>
        <row r="3429">
          <cell r="L3429">
            <v>1134</v>
          </cell>
          <cell r="M3429">
            <v>46165</v>
          </cell>
        </row>
        <row r="3430">
          <cell r="L3430">
            <v>3517</v>
          </cell>
          <cell r="M3430">
            <v>46165</v>
          </cell>
        </row>
        <row r="3431">
          <cell r="L3431">
            <v>545</v>
          </cell>
          <cell r="M3431">
            <v>46165</v>
          </cell>
        </row>
        <row r="3432">
          <cell r="L3432">
            <v>8354</v>
          </cell>
          <cell r="M3432">
            <v>46165</v>
          </cell>
        </row>
        <row r="3433">
          <cell r="L3433">
            <v>545</v>
          </cell>
          <cell r="M3433">
            <v>46165</v>
          </cell>
        </row>
        <row r="3434">
          <cell r="L3434">
            <v>1134</v>
          </cell>
          <cell r="M3434">
            <v>46165</v>
          </cell>
        </row>
        <row r="3435">
          <cell r="L3435">
            <v>3855</v>
          </cell>
          <cell r="M3435">
            <v>46165</v>
          </cell>
        </row>
        <row r="3436">
          <cell r="L3436">
            <v>3599</v>
          </cell>
          <cell r="M3436">
            <v>46165</v>
          </cell>
        </row>
        <row r="3437">
          <cell r="L3437">
            <v>1462</v>
          </cell>
          <cell r="M3437">
            <v>46165</v>
          </cell>
        </row>
        <row r="3438">
          <cell r="L3438">
            <v>1160</v>
          </cell>
          <cell r="M3438">
            <v>46165</v>
          </cell>
        </row>
        <row r="3439">
          <cell r="L3439">
            <v>4657</v>
          </cell>
          <cell r="M3439">
            <v>46165</v>
          </cell>
        </row>
        <row r="3440">
          <cell r="L3440">
            <v>12005</v>
          </cell>
          <cell r="M3440">
            <v>46165</v>
          </cell>
        </row>
        <row r="3441">
          <cell r="L3441">
            <v>12210</v>
          </cell>
          <cell r="M3441">
            <v>46165</v>
          </cell>
        </row>
        <row r="3442">
          <cell r="L3442">
            <v>12291</v>
          </cell>
          <cell r="M3442">
            <v>46165</v>
          </cell>
        </row>
        <row r="3443">
          <cell r="L3443">
            <v>8373</v>
          </cell>
          <cell r="M3443">
            <v>46165</v>
          </cell>
        </row>
        <row r="3444">
          <cell r="L3444">
            <v>3599</v>
          </cell>
          <cell r="M3444">
            <v>46165</v>
          </cell>
        </row>
        <row r="3445">
          <cell r="L3445">
            <v>655</v>
          </cell>
          <cell r="M3445">
            <v>46165</v>
          </cell>
        </row>
        <row r="3446">
          <cell r="L3446">
            <v>565</v>
          </cell>
          <cell r="M3446">
            <v>46165</v>
          </cell>
        </row>
        <row r="3447">
          <cell r="L3447">
            <v>5835</v>
          </cell>
          <cell r="M3447">
            <v>46165</v>
          </cell>
        </row>
        <row r="3448">
          <cell r="L3448">
            <v>12272</v>
          </cell>
          <cell r="M3448">
            <v>46165</v>
          </cell>
        </row>
        <row r="3449">
          <cell r="L3449">
            <v>5660</v>
          </cell>
          <cell r="M3449">
            <v>46165</v>
          </cell>
        </row>
        <row r="3450">
          <cell r="L3450">
            <v>8618</v>
          </cell>
          <cell r="M3450">
            <v>46165</v>
          </cell>
        </row>
        <row r="3451">
          <cell r="L3451">
            <v>9287</v>
          </cell>
          <cell r="M3451">
            <v>46165</v>
          </cell>
        </row>
        <row r="3452">
          <cell r="L3452">
            <v>9391</v>
          </cell>
          <cell r="M3452">
            <v>46165</v>
          </cell>
        </row>
        <row r="3453">
          <cell r="L3453">
            <v>9649</v>
          </cell>
          <cell r="M3453">
            <v>46165</v>
          </cell>
        </row>
        <row r="3454">
          <cell r="L3454">
            <v>9805</v>
          </cell>
          <cell r="M3454">
            <v>46165</v>
          </cell>
        </row>
        <row r="3455">
          <cell r="L3455">
            <v>10653</v>
          </cell>
          <cell r="M3455">
            <v>46165</v>
          </cell>
        </row>
        <row r="3456">
          <cell r="L3456">
            <v>10937</v>
          </cell>
          <cell r="M3456">
            <v>46165</v>
          </cell>
        </row>
        <row r="3457">
          <cell r="L3457">
            <v>11348</v>
          </cell>
          <cell r="M3457">
            <v>46165</v>
          </cell>
        </row>
        <row r="3458">
          <cell r="L3458">
            <v>11848</v>
          </cell>
          <cell r="M3458">
            <v>46165</v>
          </cell>
        </row>
        <row r="3459">
          <cell r="L3459">
            <v>108</v>
          </cell>
          <cell r="M3459">
            <v>46165</v>
          </cell>
        </row>
        <row r="3460">
          <cell r="L3460">
            <v>1459</v>
          </cell>
          <cell r="M3460">
            <v>46165</v>
          </cell>
        </row>
        <row r="3461">
          <cell r="L3461">
            <v>9088</v>
          </cell>
          <cell r="M3461">
            <v>46165</v>
          </cell>
        </row>
        <row r="3462">
          <cell r="L3462">
            <v>2547</v>
          </cell>
          <cell r="M3462">
            <v>46165</v>
          </cell>
        </row>
        <row r="3463">
          <cell r="L3463">
            <v>423</v>
          </cell>
          <cell r="M3463">
            <v>46165</v>
          </cell>
        </row>
        <row r="3464">
          <cell r="L3464">
            <v>1734</v>
          </cell>
          <cell r="M3464">
            <v>46165</v>
          </cell>
        </row>
        <row r="3465">
          <cell r="L3465">
            <v>483</v>
          </cell>
          <cell r="M3465">
            <v>46165</v>
          </cell>
        </row>
        <row r="3466">
          <cell r="L3466">
            <v>1191</v>
          </cell>
          <cell r="M3466">
            <v>46165</v>
          </cell>
        </row>
        <row r="3467">
          <cell r="L3467">
            <v>3759</v>
          </cell>
          <cell r="M3467">
            <v>46165</v>
          </cell>
        </row>
        <row r="3468">
          <cell r="L3468">
            <v>3023</v>
          </cell>
          <cell r="M3468">
            <v>46165</v>
          </cell>
        </row>
        <row r="3469">
          <cell r="L3469">
            <v>3512</v>
          </cell>
          <cell r="M3469">
            <v>46165</v>
          </cell>
        </row>
        <row r="3470">
          <cell r="L3470">
            <v>10090</v>
          </cell>
          <cell r="M3470">
            <v>46165</v>
          </cell>
        </row>
        <row r="3471">
          <cell r="L3471">
            <v>10091</v>
          </cell>
          <cell r="M3471">
            <v>46165</v>
          </cell>
        </row>
        <row r="3472">
          <cell r="L3472">
            <v>12073</v>
          </cell>
          <cell r="M3472">
            <v>46165</v>
          </cell>
        </row>
        <row r="3473">
          <cell r="L3473">
            <v>6763</v>
          </cell>
          <cell r="M3473">
            <v>46165</v>
          </cell>
        </row>
        <row r="3474">
          <cell r="L3474">
            <v>11230</v>
          </cell>
          <cell r="M3474">
            <v>46165</v>
          </cell>
        </row>
        <row r="3475">
          <cell r="L3475">
            <v>11230</v>
          </cell>
          <cell r="M3475">
            <v>46165</v>
          </cell>
        </row>
        <row r="3476">
          <cell r="L3476">
            <v>3512</v>
          </cell>
          <cell r="M3476">
            <v>46165</v>
          </cell>
        </row>
        <row r="3477">
          <cell r="L3477">
            <v>3512</v>
          </cell>
          <cell r="M3477">
            <v>46165</v>
          </cell>
        </row>
        <row r="3478">
          <cell r="L3478">
            <v>3512</v>
          </cell>
          <cell r="M3478">
            <v>46165</v>
          </cell>
        </row>
        <row r="3479">
          <cell r="L3479">
            <v>1407</v>
          </cell>
          <cell r="M3479">
            <v>46165</v>
          </cell>
        </row>
        <row r="3480">
          <cell r="L3480">
            <v>1407</v>
          </cell>
          <cell r="M3480">
            <v>46165</v>
          </cell>
        </row>
        <row r="3481">
          <cell r="L3481">
            <v>1407</v>
          </cell>
          <cell r="M3481">
            <v>46165</v>
          </cell>
        </row>
        <row r="3482">
          <cell r="L3482">
            <v>565</v>
          </cell>
          <cell r="M3482">
            <v>46167</v>
          </cell>
        </row>
        <row r="3483">
          <cell r="L3483">
            <v>954</v>
          </cell>
          <cell r="M3483">
            <v>46167</v>
          </cell>
        </row>
        <row r="3484">
          <cell r="L3484">
            <v>1437</v>
          </cell>
          <cell r="M3484">
            <v>46167</v>
          </cell>
        </row>
        <row r="3485">
          <cell r="L3485">
            <v>11848</v>
          </cell>
          <cell r="M3485">
            <v>46167</v>
          </cell>
        </row>
        <row r="3486">
          <cell r="L3486">
            <v>9499</v>
          </cell>
          <cell r="M3486">
            <v>46167</v>
          </cell>
        </row>
        <row r="3487">
          <cell r="L3487">
            <v>9500</v>
          </cell>
          <cell r="M3487">
            <v>46167</v>
          </cell>
        </row>
        <row r="3488">
          <cell r="L3488">
            <v>11405</v>
          </cell>
          <cell r="M3488">
            <v>46167</v>
          </cell>
        </row>
        <row r="3489">
          <cell r="L3489">
            <v>11406</v>
          </cell>
          <cell r="M3489">
            <v>46167</v>
          </cell>
        </row>
        <row r="3490">
          <cell r="L3490">
            <v>8681</v>
          </cell>
          <cell r="M3490">
            <v>46167</v>
          </cell>
        </row>
        <row r="3491">
          <cell r="L3491">
            <v>9303</v>
          </cell>
          <cell r="M3491">
            <v>46167</v>
          </cell>
        </row>
        <row r="3492">
          <cell r="L3492">
            <v>9494</v>
          </cell>
          <cell r="M3492">
            <v>46167</v>
          </cell>
        </row>
        <row r="3493">
          <cell r="L3493">
            <v>9647</v>
          </cell>
          <cell r="M3493">
            <v>46167</v>
          </cell>
        </row>
        <row r="3494">
          <cell r="L3494">
            <v>6162</v>
          </cell>
          <cell r="M3494">
            <v>46167</v>
          </cell>
        </row>
        <row r="3495">
          <cell r="L3495">
            <v>8542</v>
          </cell>
          <cell r="M3495">
            <v>46167</v>
          </cell>
        </row>
        <row r="3496">
          <cell r="L3496">
            <v>9359</v>
          </cell>
          <cell r="M3496">
            <v>46167</v>
          </cell>
        </row>
        <row r="3497">
          <cell r="L3497">
            <v>7893</v>
          </cell>
          <cell r="M3497">
            <v>46167</v>
          </cell>
        </row>
        <row r="3498">
          <cell r="L3498">
            <v>8363</v>
          </cell>
          <cell r="M3498">
            <v>46167</v>
          </cell>
        </row>
        <row r="3499">
          <cell r="L3499">
            <v>8840</v>
          </cell>
          <cell r="M3499">
            <v>46167</v>
          </cell>
        </row>
        <row r="3500">
          <cell r="L3500">
            <v>8608</v>
          </cell>
          <cell r="M3500">
            <v>46167</v>
          </cell>
        </row>
        <row r="3501">
          <cell r="L3501">
            <v>9360</v>
          </cell>
          <cell r="M3501">
            <v>46167</v>
          </cell>
        </row>
        <row r="3502">
          <cell r="L3502">
            <v>9361</v>
          </cell>
          <cell r="M3502">
            <v>46167</v>
          </cell>
        </row>
        <row r="3503">
          <cell r="L3503">
            <v>10090</v>
          </cell>
          <cell r="M3503">
            <v>46167</v>
          </cell>
        </row>
        <row r="3504">
          <cell r="L3504">
            <v>11464</v>
          </cell>
          <cell r="M3504">
            <v>46167</v>
          </cell>
        </row>
        <row r="3505">
          <cell r="L3505">
            <v>1150</v>
          </cell>
          <cell r="M3505">
            <v>46167</v>
          </cell>
        </row>
        <row r="3506">
          <cell r="L3506">
            <v>11794</v>
          </cell>
          <cell r="M3506">
            <v>46167</v>
          </cell>
        </row>
        <row r="3507">
          <cell r="L3507">
            <v>11824</v>
          </cell>
          <cell r="M3507">
            <v>46167</v>
          </cell>
        </row>
        <row r="3508">
          <cell r="L3508">
            <v>12334</v>
          </cell>
          <cell r="M3508">
            <v>46167</v>
          </cell>
        </row>
        <row r="3509">
          <cell r="L3509">
            <v>1368</v>
          </cell>
          <cell r="M3509">
            <v>46167</v>
          </cell>
        </row>
        <row r="3510">
          <cell r="L3510">
            <v>228</v>
          </cell>
          <cell r="M3510">
            <v>46167</v>
          </cell>
        </row>
        <row r="3511">
          <cell r="L3511">
            <v>260</v>
          </cell>
          <cell r="M3511">
            <v>46167</v>
          </cell>
        </row>
        <row r="3512">
          <cell r="L3512">
            <v>350</v>
          </cell>
          <cell r="M3512">
            <v>46167</v>
          </cell>
        </row>
        <row r="3513">
          <cell r="L3513">
            <v>365</v>
          </cell>
          <cell r="M3513">
            <v>46167</v>
          </cell>
        </row>
        <row r="3514">
          <cell r="L3514">
            <v>4812</v>
          </cell>
          <cell r="M3514">
            <v>46167</v>
          </cell>
        </row>
        <row r="3515">
          <cell r="L3515">
            <v>5051</v>
          </cell>
          <cell r="M3515">
            <v>46167</v>
          </cell>
        </row>
        <row r="3516">
          <cell r="L3516">
            <v>11346</v>
          </cell>
          <cell r="M3516">
            <v>46167</v>
          </cell>
        </row>
        <row r="3517">
          <cell r="L3517">
            <v>6910</v>
          </cell>
          <cell r="M3517">
            <v>46167</v>
          </cell>
        </row>
        <row r="3518">
          <cell r="L3518">
            <v>6914</v>
          </cell>
          <cell r="M3518">
            <v>46167</v>
          </cell>
        </row>
        <row r="3519">
          <cell r="L3519">
            <v>7288</v>
          </cell>
          <cell r="M3519">
            <v>46167</v>
          </cell>
        </row>
        <row r="3520">
          <cell r="L3520">
            <v>8233</v>
          </cell>
          <cell r="M3520">
            <v>46167</v>
          </cell>
        </row>
        <row r="3521">
          <cell r="L3521">
            <v>10133</v>
          </cell>
          <cell r="M3521">
            <v>46167</v>
          </cell>
        </row>
        <row r="3522">
          <cell r="L3522">
            <v>10133</v>
          </cell>
          <cell r="M3522">
            <v>46167</v>
          </cell>
        </row>
        <row r="3523">
          <cell r="L3523">
            <v>11490</v>
          </cell>
          <cell r="M3523">
            <v>46167</v>
          </cell>
        </row>
        <row r="3524">
          <cell r="L3524">
            <v>11490</v>
          </cell>
          <cell r="M3524">
            <v>46167</v>
          </cell>
        </row>
        <row r="3525">
          <cell r="L3525">
            <v>2554</v>
          </cell>
          <cell r="M3525">
            <v>46167</v>
          </cell>
        </row>
        <row r="3526">
          <cell r="L3526">
            <v>1372</v>
          </cell>
          <cell r="M3526">
            <v>46167</v>
          </cell>
        </row>
        <row r="3527">
          <cell r="L3527">
            <v>6454</v>
          </cell>
          <cell r="M3527">
            <v>46167</v>
          </cell>
        </row>
        <row r="3528">
          <cell r="L3528">
            <v>6454</v>
          </cell>
          <cell r="M3528">
            <v>46167</v>
          </cell>
        </row>
        <row r="3529">
          <cell r="L3529">
            <v>11512</v>
          </cell>
          <cell r="M3529">
            <v>46167</v>
          </cell>
        </row>
        <row r="3530">
          <cell r="L3530">
            <v>11033</v>
          </cell>
          <cell r="M3530">
            <v>46167</v>
          </cell>
        </row>
        <row r="3531">
          <cell r="L3531">
            <v>11033</v>
          </cell>
          <cell r="M3531">
            <v>46167</v>
          </cell>
        </row>
        <row r="3532">
          <cell r="L3532">
            <v>11033</v>
          </cell>
          <cell r="M3532">
            <v>46167</v>
          </cell>
        </row>
        <row r="3533">
          <cell r="L3533">
            <v>3023</v>
          </cell>
          <cell r="M3533">
            <v>46167</v>
          </cell>
        </row>
        <row r="3534">
          <cell r="L3534">
            <v>3023</v>
          </cell>
          <cell r="M3534">
            <v>46167</v>
          </cell>
        </row>
        <row r="3535">
          <cell r="L3535">
            <v>3023</v>
          </cell>
          <cell r="M3535">
            <v>46167</v>
          </cell>
        </row>
        <row r="3536">
          <cell r="L3536">
            <v>3023</v>
          </cell>
          <cell r="M3536">
            <v>46167</v>
          </cell>
        </row>
        <row r="3537">
          <cell r="L3537">
            <v>3024</v>
          </cell>
          <cell r="M3537">
            <v>46167</v>
          </cell>
        </row>
        <row r="3538">
          <cell r="L3538">
            <v>3024</v>
          </cell>
          <cell r="M3538">
            <v>46167</v>
          </cell>
        </row>
        <row r="3539">
          <cell r="L3539">
            <v>3575</v>
          </cell>
          <cell r="M3539">
            <v>46167</v>
          </cell>
        </row>
        <row r="3540">
          <cell r="L3540">
            <v>3575</v>
          </cell>
          <cell r="M3540">
            <v>46167</v>
          </cell>
        </row>
        <row r="3541">
          <cell r="L3541">
            <v>3575</v>
          </cell>
          <cell r="M3541">
            <v>46167</v>
          </cell>
        </row>
        <row r="3542">
          <cell r="L3542">
            <v>3575</v>
          </cell>
          <cell r="M3542">
            <v>46167</v>
          </cell>
        </row>
        <row r="3543">
          <cell r="L3543">
            <v>3103</v>
          </cell>
          <cell r="M3543">
            <v>46167</v>
          </cell>
        </row>
        <row r="3544">
          <cell r="L3544">
            <v>3103</v>
          </cell>
          <cell r="M3544">
            <v>46167</v>
          </cell>
        </row>
        <row r="3545">
          <cell r="L3545">
            <v>3238</v>
          </cell>
          <cell r="M3545">
            <v>46167</v>
          </cell>
        </row>
        <row r="3546">
          <cell r="L3546">
            <v>3238</v>
          </cell>
          <cell r="M3546">
            <v>46167</v>
          </cell>
        </row>
        <row r="3547">
          <cell r="L3547">
            <v>3238</v>
          </cell>
          <cell r="M3547">
            <v>46167</v>
          </cell>
        </row>
        <row r="3548">
          <cell r="L3548">
            <v>3796</v>
          </cell>
          <cell r="M3548">
            <v>46167</v>
          </cell>
        </row>
        <row r="3549">
          <cell r="L3549">
            <v>3796</v>
          </cell>
          <cell r="M3549">
            <v>46167</v>
          </cell>
        </row>
        <row r="3550">
          <cell r="L3550">
            <v>3796</v>
          </cell>
          <cell r="M3550">
            <v>46167</v>
          </cell>
        </row>
        <row r="3551">
          <cell r="L3551">
            <v>2851</v>
          </cell>
          <cell r="M3551">
            <v>46167</v>
          </cell>
        </row>
        <row r="3552">
          <cell r="L3552">
            <v>2851</v>
          </cell>
          <cell r="M3552">
            <v>46167</v>
          </cell>
        </row>
        <row r="3553">
          <cell r="L3553">
            <v>2851</v>
          </cell>
          <cell r="M3553">
            <v>46167</v>
          </cell>
        </row>
        <row r="3554">
          <cell r="L3554">
            <v>2851</v>
          </cell>
          <cell r="M3554">
            <v>46167</v>
          </cell>
        </row>
        <row r="3555">
          <cell r="L3555">
            <v>3104</v>
          </cell>
          <cell r="M3555">
            <v>46167</v>
          </cell>
        </row>
        <row r="3556">
          <cell r="L3556">
            <v>3104</v>
          </cell>
          <cell r="M3556">
            <v>46167</v>
          </cell>
        </row>
        <row r="3557">
          <cell r="L3557">
            <v>4325</v>
          </cell>
          <cell r="M3557">
            <v>46167</v>
          </cell>
        </row>
        <row r="3558">
          <cell r="L3558">
            <v>11704</v>
          </cell>
          <cell r="M3558">
            <v>46167</v>
          </cell>
        </row>
        <row r="3559">
          <cell r="L3559">
            <v>11704</v>
          </cell>
          <cell r="M3559">
            <v>46167</v>
          </cell>
        </row>
        <row r="3560">
          <cell r="L3560">
            <v>11890</v>
          </cell>
          <cell r="M3560">
            <v>46167</v>
          </cell>
        </row>
        <row r="3561">
          <cell r="L3561">
            <v>5708</v>
          </cell>
          <cell r="M3561">
            <v>46167</v>
          </cell>
        </row>
        <row r="3562">
          <cell r="L3562">
            <v>5708</v>
          </cell>
          <cell r="M3562">
            <v>46167</v>
          </cell>
        </row>
        <row r="3563">
          <cell r="L3563">
            <v>5598</v>
          </cell>
          <cell r="M3563">
            <v>46167</v>
          </cell>
        </row>
        <row r="3564">
          <cell r="L3564">
            <v>5598</v>
          </cell>
          <cell r="M3564">
            <v>46167</v>
          </cell>
        </row>
        <row r="3565">
          <cell r="L3565">
            <v>11922</v>
          </cell>
          <cell r="M3565">
            <v>46167</v>
          </cell>
        </row>
        <row r="3566">
          <cell r="L3566">
            <v>11922</v>
          </cell>
          <cell r="M3566">
            <v>46167</v>
          </cell>
        </row>
        <row r="3567">
          <cell r="L3567">
            <v>6912</v>
          </cell>
          <cell r="M3567">
            <v>46167</v>
          </cell>
        </row>
        <row r="3568">
          <cell r="L3568">
            <v>6912</v>
          </cell>
          <cell r="M3568">
            <v>46167</v>
          </cell>
        </row>
        <row r="3569">
          <cell r="L3569">
            <v>6913</v>
          </cell>
          <cell r="M3569">
            <v>46167</v>
          </cell>
        </row>
        <row r="3570">
          <cell r="L3570">
            <v>6913</v>
          </cell>
          <cell r="M3570">
            <v>46167</v>
          </cell>
        </row>
        <row r="3571">
          <cell r="L3571">
            <v>6915</v>
          </cell>
          <cell r="M3571">
            <v>46167</v>
          </cell>
        </row>
        <row r="3572">
          <cell r="L3572">
            <v>6915</v>
          </cell>
          <cell r="M3572">
            <v>46167</v>
          </cell>
        </row>
        <row r="3573">
          <cell r="L3573">
            <v>7189</v>
          </cell>
          <cell r="M3573">
            <v>46167</v>
          </cell>
        </row>
        <row r="3574">
          <cell r="L3574">
            <v>7189</v>
          </cell>
          <cell r="M3574">
            <v>46167</v>
          </cell>
        </row>
        <row r="3575">
          <cell r="L3575">
            <v>7251</v>
          </cell>
          <cell r="M3575">
            <v>46167</v>
          </cell>
        </row>
        <row r="3576">
          <cell r="L3576">
            <v>7251</v>
          </cell>
          <cell r="M3576">
            <v>46167</v>
          </cell>
        </row>
        <row r="3577">
          <cell r="L3577">
            <v>7251</v>
          </cell>
          <cell r="M3577">
            <v>46167</v>
          </cell>
        </row>
        <row r="3578">
          <cell r="L3578">
            <v>7252</v>
          </cell>
          <cell r="M3578">
            <v>46167</v>
          </cell>
        </row>
        <row r="3579">
          <cell r="L3579">
            <v>7252</v>
          </cell>
          <cell r="M3579">
            <v>46167</v>
          </cell>
        </row>
        <row r="3580">
          <cell r="L3580">
            <v>7252</v>
          </cell>
          <cell r="M3580">
            <v>46167</v>
          </cell>
        </row>
        <row r="3581">
          <cell r="L3581">
            <v>8392</v>
          </cell>
          <cell r="M3581">
            <v>46167</v>
          </cell>
        </row>
        <row r="3582">
          <cell r="L3582">
            <v>7288</v>
          </cell>
          <cell r="M3582">
            <v>46167</v>
          </cell>
        </row>
        <row r="3583">
          <cell r="L3583">
            <v>8461</v>
          </cell>
          <cell r="M3583">
            <v>46167</v>
          </cell>
        </row>
        <row r="3584">
          <cell r="L3584">
            <v>3926</v>
          </cell>
          <cell r="M3584">
            <v>46167</v>
          </cell>
        </row>
        <row r="3585">
          <cell r="L3585">
            <v>5092</v>
          </cell>
          <cell r="M3585">
            <v>46167</v>
          </cell>
        </row>
        <row r="3586">
          <cell r="L3586">
            <v>9683</v>
          </cell>
          <cell r="M3586">
            <v>46167</v>
          </cell>
        </row>
        <row r="3587">
          <cell r="L3587">
            <v>6914</v>
          </cell>
          <cell r="M3587">
            <v>46167</v>
          </cell>
        </row>
        <row r="3588">
          <cell r="L3588">
            <v>12307</v>
          </cell>
          <cell r="M3588">
            <v>46167</v>
          </cell>
        </row>
        <row r="3589">
          <cell r="L3589">
            <v>575</v>
          </cell>
          <cell r="M3589">
            <v>46167</v>
          </cell>
        </row>
        <row r="3590">
          <cell r="L3590">
            <v>1120</v>
          </cell>
          <cell r="M3590">
            <v>46167</v>
          </cell>
        </row>
        <row r="3591">
          <cell r="L3591">
            <v>1449</v>
          </cell>
          <cell r="M3591">
            <v>46167</v>
          </cell>
        </row>
        <row r="3592">
          <cell r="L3592">
            <v>11840</v>
          </cell>
          <cell r="M3592">
            <v>46167</v>
          </cell>
        </row>
        <row r="3593">
          <cell r="L3593">
            <v>11076</v>
          </cell>
          <cell r="M3593">
            <v>46167</v>
          </cell>
        </row>
        <row r="3594">
          <cell r="L3594">
            <v>11751</v>
          </cell>
          <cell r="M3594">
            <v>46167</v>
          </cell>
        </row>
        <row r="3595">
          <cell r="L3595">
            <v>12061</v>
          </cell>
          <cell r="M3595">
            <v>46167</v>
          </cell>
        </row>
        <row r="3596">
          <cell r="L3596">
            <v>3731</v>
          </cell>
          <cell r="M3596">
            <v>46167</v>
          </cell>
        </row>
        <row r="3597">
          <cell r="L3597">
            <v>3751</v>
          </cell>
          <cell r="M3597">
            <v>46167</v>
          </cell>
        </row>
        <row r="3598">
          <cell r="L3598">
            <v>5539</v>
          </cell>
          <cell r="M3598">
            <v>46167</v>
          </cell>
        </row>
        <row r="3599">
          <cell r="L3599">
            <v>7440</v>
          </cell>
          <cell r="M3599">
            <v>46167</v>
          </cell>
        </row>
        <row r="3600">
          <cell r="L3600">
            <v>12715</v>
          </cell>
          <cell r="M3600">
            <v>46167</v>
          </cell>
        </row>
        <row r="3601">
          <cell r="L3601">
            <v>12762</v>
          </cell>
          <cell r="M3601">
            <v>46167</v>
          </cell>
        </row>
        <row r="3602">
          <cell r="L3602">
            <v>12839</v>
          </cell>
          <cell r="M3602">
            <v>46167</v>
          </cell>
        </row>
        <row r="3603">
          <cell r="L3603">
            <v>6531</v>
          </cell>
          <cell r="M3603">
            <v>46167</v>
          </cell>
        </row>
        <row r="3604">
          <cell r="L3604">
            <v>6532</v>
          </cell>
          <cell r="M3604">
            <v>46167</v>
          </cell>
        </row>
        <row r="3605">
          <cell r="L3605">
            <v>12742</v>
          </cell>
          <cell r="M3605">
            <v>46167</v>
          </cell>
        </row>
        <row r="3606">
          <cell r="L3606">
            <v>11091</v>
          </cell>
          <cell r="M3606">
            <v>46167</v>
          </cell>
        </row>
        <row r="3607">
          <cell r="L3607">
            <v>11446</v>
          </cell>
          <cell r="M3607">
            <v>46167</v>
          </cell>
        </row>
        <row r="3608">
          <cell r="L3608">
            <v>1161</v>
          </cell>
          <cell r="M3608">
            <v>46167</v>
          </cell>
        </row>
        <row r="3609">
          <cell r="L3609">
            <v>11867</v>
          </cell>
          <cell r="M3609">
            <v>46167</v>
          </cell>
        </row>
        <row r="3610">
          <cell r="L3610">
            <v>12005</v>
          </cell>
          <cell r="M3610">
            <v>46167</v>
          </cell>
        </row>
        <row r="3611">
          <cell r="L3611">
            <v>1310</v>
          </cell>
          <cell r="M3611">
            <v>46167</v>
          </cell>
        </row>
        <row r="3612">
          <cell r="L3612">
            <v>1424</v>
          </cell>
          <cell r="M3612">
            <v>46167</v>
          </cell>
        </row>
        <row r="3613">
          <cell r="L3613">
            <v>1462</v>
          </cell>
          <cell r="M3613">
            <v>46167</v>
          </cell>
        </row>
        <row r="3614">
          <cell r="L3614">
            <v>1585</v>
          </cell>
          <cell r="M3614">
            <v>46167</v>
          </cell>
        </row>
        <row r="3615">
          <cell r="L3615">
            <v>1775</v>
          </cell>
          <cell r="M3615">
            <v>46167</v>
          </cell>
        </row>
        <row r="3616">
          <cell r="L3616">
            <v>322</v>
          </cell>
          <cell r="M3616">
            <v>46167</v>
          </cell>
        </row>
        <row r="3617">
          <cell r="L3617">
            <v>3376</v>
          </cell>
          <cell r="M3617">
            <v>46167</v>
          </cell>
        </row>
        <row r="3618">
          <cell r="L3618">
            <v>3516</v>
          </cell>
          <cell r="M3618">
            <v>46167</v>
          </cell>
        </row>
        <row r="3619">
          <cell r="L3619">
            <v>259</v>
          </cell>
          <cell r="M3619">
            <v>46167</v>
          </cell>
        </row>
        <row r="3620">
          <cell r="L3620">
            <v>4311</v>
          </cell>
          <cell r="M3620">
            <v>46167</v>
          </cell>
        </row>
        <row r="3621">
          <cell r="L3621">
            <v>12629</v>
          </cell>
          <cell r="M3621">
            <v>46168</v>
          </cell>
        </row>
        <row r="3622">
          <cell r="L3622">
            <v>12616</v>
          </cell>
          <cell r="M3622">
            <v>46168</v>
          </cell>
        </row>
        <row r="3623">
          <cell r="L3623">
            <v>12615</v>
          </cell>
          <cell r="M3623">
            <v>46168</v>
          </cell>
        </row>
        <row r="3624">
          <cell r="L3624">
            <v>12687</v>
          </cell>
          <cell r="M3624">
            <v>46168</v>
          </cell>
        </row>
        <row r="3625">
          <cell r="L3625">
            <v>12686</v>
          </cell>
          <cell r="M3625">
            <v>46168</v>
          </cell>
        </row>
        <row r="3626">
          <cell r="L3626">
            <v>12778</v>
          </cell>
          <cell r="M3626">
            <v>46168</v>
          </cell>
        </row>
        <row r="3627">
          <cell r="L3627">
            <v>12781</v>
          </cell>
          <cell r="M3627">
            <v>46168</v>
          </cell>
        </row>
        <row r="3628">
          <cell r="L3628">
            <v>12519</v>
          </cell>
          <cell r="M3628">
            <v>46168</v>
          </cell>
        </row>
        <row r="3629">
          <cell r="L3629">
            <v>12606</v>
          </cell>
          <cell r="M3629">
            <v>46168</v>
          </cell>
        </row>
        <row r="3630">
          <cell r="L3630">
            <v>12591</v>
          </cell>
          <cell r="M3630">
            <v>46168</v>
          </cell>
        </row>
        <row r="3631">
          <cell r="L3631">
            <v>12598</v>
          </cell>
          <cell r="M3631">
            <v>46168</v>
          </cell>
        </row>
        <row r="3632">
          <cell r="L3632">
            <v>12590</v>
          </cell>
          <cell r="M3632">
            <v>46168</v>
          </cell>
        </row>
        <row r="3633">
          <cell r="L3633">
            <v>12597</v>
          </cell>
          <cell r="M3633">
            <v>46168</v>
          </cell>
        </row>
        <row r="3634">
          <cell r="L3634">
            <v>12526</v>
          </cell>
          <cell r="M3634">
            <v>46168</v>
          </cell>
        </row>
        <row r="3635">
          <cell r="L3635">
            <v>12604</v>
          </cell>
          <cell r="M3635">
            <v>46168</v>
          </cell>
        </row>
        <row r="3636">
          <cell r="L3636">
            <v>12602</v>
          </cell>
          <cell r="M3636">
            <v>46168</v>
          </cell>
        </row>
        <row r="3637">
          <cell r="L3637">
            <v>12588</v>
          </cell>
          <cell r="M3637">
            <v>46168</v>
          </cell>
        </row>
        <row r="3638">
          <cell r="L3638">
            <v>12595</v>
          </cell>
          <cell r="M3638">
            <v>46168</v>
          </cell>
        </row>
        <row r="3639">
          <cell r="L3639">
            <v>3118</v>
          </cell>
          <cell r="M3639">
            <v>46168</v>
          </cell>
        </row>
        <row r="3640">
          <cell r="L3640">
            <v>12251</v>
          </cell>
          <cell r="M3640">
            <v>46168</v>
          </cell>
        </row>
        <row r="3641">
          <cell r="L3641">
            <v>12240</v>
          </cell>
          <cell r="M3641">
            <v>46168</v>
          </cell>
        </row>
        <row r="3642">
          <cell r="L3642">
            <v>11830</v>
          </cell>
          <cell r="M3642">
            <v>46168</v>
          </cell>
        </row>
        <row r="3643">
          <cell r="L3643">
            <v>9725</v>
          </cell>
          <cell r="M3643">
            <v>46168</v>
          </cell>
        </row>
        <row r="3644">
          <cell r="L3644">
            <v>9817</v>
          </cell>
          <cell r="M3644">
            <v>46168</v>
          </cell>
        </row>
        <row r="3645">
          <cell r="L3645">
            <v>9806</v>
          </cell>
          <cell r="M3645">
            <v>46168</v>
          </cell>
        </row>
        <row r="3646">
          <cell r="L3646">
            <v>7119</v>
          </cell>
          <cell r="M3646">
            <v>46168</v>
          </cell>
        </row>
        <row r="3647">
          <cell r="L3647">
            <v>6725</v>
          </cell>
          <cell r="M3647">
            <v>46168</v>
          </cell>
        </row>
        <row r="3648">
          <cell r="L3648">
            <v>4646</v>
          </cell>
          <cell r="M3648">
            <v>46168</v>
          </cell>
        </row>
        <row r="3649">
          <cell r="L3649">
            <v>4612</v>
          </cell>
          <cell r="M3649">
            <v>46168</v>
          </cell>
        </row>
        <row r="3650">
          <cell r="L3650">
            <v>3555</v>
          </cell>
          <cell r="M3650">
            <v>46168</v>
          </cell>
        </row>
        <row r="3651">
          <cell r="L3651">
            <v>3646</v>
          </cell>
          <cell r="M3651">
            <v>46168</v>
          </cell>
        </row>
        <row r="3652">
          <cell r="L3652">
            <v>1708</v>
          </cell>
          <cell r="M3652">
            <v>46168</v>
          </cell>
        </row>
        <row r="3653">
          <cell r="L3653">
            <v>1536</v>
          </cell>
          <cell r="M3653">
            <v>46168</v>
          </cell>
        </row>
        <row r="3654">
          <cell r="L3654">
            <v>1497</v>
          </cell>
          <cell r="M3654">
            <v>46168</v>
          </cell>
        </row>
        <row r="3655">
          <cell r="L3655">
            <v>1116</v>
          </cell>
          <cell r="M3655">
            <v>46168</v>
          </cell>
        </row>
        <row r="3656">
          <cell r="L3656">
            <v>1049</v>
          </cell>
          <cell r="M3656">
            <v>46168</v>
          </cell>
        </row>
        <row r="3657">
          <cell r="L3657">
            <v>1032</v>
          </cell>
          <cell r="M3657">
            <v>46168</v>
          </cell>
        </row>
        <row r="3658">
          <cell r="L3658">
            <v>575</v>
          </cell>
          <cell r="M3658">
            <v>46168</v>
          </cell>
        </row>
        <row r="3659">
          <cell r="L3659">
            <v>10008</v>
          </cell>
          <cell r="M3659">
            <v>46168</v>
          </cell>
        </row>
        <row r="3660">
          <cell r="L3660">
            <v>9650</v>
          </cell>
          <cell r="M3660">
            <v>46168</v>
          </cell>
        </row>
        <row r="3661">
          <cell r="L3661">
            <v>9901</v>
          </cell>
          <cell r="M3661">
            <v>46168</v>
          </cell>
        </row>
        <row r="3662">
          <cell r="L3662">
            <v>9514</v>
          </cell>
          <cell r="M3662">
            <v>46168</v>
          </cell>
        </row>
        <row r="3663">
          <cell r="L3663">
            <v>8766</v>
          </cell>
          <cell r="M3663">
            <v>46168</v>
          </cell>
        </row>
        <row r="3664">
          <cell r="L3664">
            <v>8849</v>
          </cell>
          <cell r="M3664">
            <v>46168</v>
          </cell>
        </row>
        <row r="3665">
          <cell r="L3665">
            <v>8851</v>
          </cell>
          <cell r="M3665">
            <v>46168</v>
          </cell>
        </row>
        <row r="3666">
          <cell r="L3666">
            <v>9123</v>
          </cell>
          <cell r="M3666">
            <v>46168</v>
          </cell>
        </row>
        <row r="3667">
          <cell r="L3667">
            <v>9812</v>
          </cell>
          <cell r="M3667">
            <v>46168</v>
          </cell>
        </row>
        <row r="3668">
          <cell r="L3668">
            <v>9282</v>
          </cell>
          <cell r="M3668">
            <v>46168</v>
          </cell>
        </row>
        <row r="3669">
          <cell r="L3669">
            <v>8999</v>
          </cell>
          <cell r="M3669">
            <v>46168</v>
          </cell>
        </row>
        <row r="3670">
          <cell r="L3670">
            <v>9771</v>
          </cell>
          <cell r="M3670">
            <v>46168</v>
          </cell>
        </row>
        <row r="3671">
          <cell r="L3671">
            <v>8550</v>
          </cell>
          <cell r="M3671">
            <v>46168</v>
          </cell>
        </row>
        <row r="3672">
          <cell r="L3672">
            <v>9626</v>
          </cell>
          <cell r="M3672">
            <v>46168</v>
          </cell>
        </row>
        <row r="3673">
          <cell r="L3673">
            <v>9904</v>
          </cell>
          <cell r="M3673">
            <v>46168</v>
          </cell>
        </row>
        <row r="3674">
          <cell r="L3674">
            <v>8728</v>
          </cell>
          <cell r="M3674">
            <v>46168</v>
          </cell>
        </row>
        <row r="3675">
          <cell r="L3675">
            <v>9627</v>
          </cell>
          <cell r="M3675">
            <v>46168</v>
          </cell>
        </row>
        <row r="3676">
          <cell r="L3676">
            <v>3599</v>
          </cell>
          <cell r="M3676">
            <v>46168</v>
          </cell>
        </row>
        <row r="3677">
          <cell r="L3677">
            <v>3901</v>
          </cell>
          <cell r="M3677">
            <v>46168</v>
          </cell>
        </row>
        <row r="3678">
          <cell r="L3678">
            <v>409</v>
          </cell>
          <cell r="M3678">
            <v>46168</v>
          </cell>
        </row>
        <row r="3679">
          <cell r="L3679">
            <v>424</v>
          </cell>
          <cell r="M3679">
            <v>46168</v>
          </cell>
        </row>
        <row r="3680">
          <cell r="L3680">
            <v>5509</v>
          </cell>
          <cell r="M3680">
            <v>46168</v>
          </cell>
        </row>
        <row r="3681">
          <cell r="L3681">
            <v>5618</v>
          </cell>
          <cell r="M3681">
            <v>46168</v>
          </cell>
        </row>
        <row r="3682">
          <cell r="L3682">
            <v>5619</v>
          </cell>
          <cell r="M3682">
            <v>46168</v>
          </cell>
        </row>
        <row r="3683">
          <cell r="L3683">
            <v>5958</v>
          </cell>
          <cell r="M3683">
            <v>46168</v>
          </cell>
        </row>
        <row r="3684">
          <cell r="L3684">
            <v>6465</v>
          </cell>
          <cell r="M3684">
            <v>46168</v>
          </cell>
        </row>
        <row r="3685">
          <cell r="L3685">
            <v>6559</v>
          </cell>
          <cell r="M3685">
            <v>46168</v>
          </cell>
        </row>
        <row r="3686">
          <cell r="L3686">
            <v>7103</v>
          </cell>
          <cell r="M3686">
            <v>46168</v>
          </cell>
        </row>
        <row r="3687">
          <cell r="L3687">
            <v>7443</v>
          </cell>
          <cell r="M3687">
            <v>46168</v>
          </cell>
        </row>
        <row r="3688">
          <cell r="L3688">
            <v>8088</v>
          </cell>
          <cell r="M3688">
            <v>46168</v>
          </cell>
        </row>
        <row r="3689">
          <cell r="L3689">
            <v>8124</v>
          </cell>
          <cell r="M3689">
            <v>46168</v>
          </cell>
        </row>
        <row r="3690">
          <cell r="L3690">
            <v>8201</v>
          </cell>
          <cell r="M3690">
            <v>46168</v>
          </cell>
        </row>
        <row r="3691">
          <cell r="L3691">
            <v>8307</v>
          </cell>
          <cell r="M3691">
            <v>46168</v>
          </cell>
        </row>
        <row r="3692">
          <cell r="L3692">
            <v>8338</v>
          </cell>
          <cell r="M3692">
            <v>46168</v>
          </cell>
        </row>
        <row r="3693">
          <cell r="L3693">
            <v>8532</v>
          </cell>
          <cell r="M3693">
            <v>46168</v>
          </cell>
        </row>
        <row r="3694">
          <cell r="L3694">
            <v>8677</v>
          </cell>
          <cell r="M3694">
            <v>46168</v>
          </cell>
        </row>
        <row r="3695">
          <cell r="L3695">
            <v>9112</v>
          </cell>
          <cell r="M3695">
            <v>46168</v>
          </cell>
        </row>
        <row r="3696">
          <cell r="L3696">
            <v>971</v>
          </cell>
          <cell r="M3696">
            <v>46168</v>
          </cell>
        </row>
        <row r="3697">
          <cell r="L3697">
            <v>12480</v>
          </cell>
          <cell r="M3697">
            <v>46168</v>
          </cell>
        </row>
        <row r="3698">
          <cell r="L3698">
            <v>12473</v>
          </cell>
          <cell r="M3698">
            <v>46168</v>
          </cell>
        </row>
        <row r="3699">
          <cell r="L3699">
            <v>12396</v>
          </cell>
          <cell r="M3699">
            <v>46169</v>
          </cell>
        </row>
        <row r="3700">
          <cell r="L3700">
            <v>12541</v>
          </cell>
          <cell r="M3700">
            <v>46169</v>
          </cell>
        </row>
        <row r="3701">
          <cell r="L3701">
            <v>12542</v>
          </cell>
          <cell r="M3701">
            <v>46169</v>
          </cell>
        </row>
        <row r="3702">
          <cell r="L3702">
            <v>12543</v>
          </cell>
          <cell r="M3702">
            <v>46169</v>
          </cell>
        </row>
        <row r="3703">
          <cell r="L3703">
            <v>12572</v>
          </cell>
          <cell r="M3703">
            <v>46169</v>
          </cell>
        </row>
        <row r="3704">
          <cell r="L3704">
            <v>12573</v>
          </cell>
          <cell r="M3704">
            <v>46169</v>
          </cell>
        </row>
        <row r="3705">
          <cell r="L3705">
            <v>12575</v>
          </cell>
          <cell r="M3705">
            <v>46169</v>
          </cell>
        </row>
        <row r="3706">
          <cell r="L3706">
            <v>12741</v>
          </cell>
          <cell r="M3706">
            <v>46169</v>
          </cell>
        </row>
        <row r="3707">
          <cell r="L3707">
            <v>12740</v>
          </cell>
          <cell r="M3707">
            <v>46169</v>
          </cell>
        </row>
        <row r="3708">
          <cell r="L3708">
            <v>12246</v>
          </cell>
          <cell r="M3708">
            <v>46169</v>
          </cell>
        </row>
        <row r="3709">
          <cell r="L3709">
            <v>12544</v>
          </cell>
          <cell r="M3709">
            <v>46169</v>
          </cell>
        </row>
        <row r="3710">
          <cell r="L3710">
            <v>12569</v>
          </cell>
          <cell r="M3710">
            <v>46169</v>
          </cell>
        </row>
        <row r="3711">
          <cell r="L3711">
            <v>5439</v>
          </cell>
          <cell r="M3711">
            <v>46169</v>
          </cell>
        </row>
        <row r="3712">
          <cell r="L3712">
            <v>5310</v>
          </cell>
          <cell r="M3712">
            <v>46169</v>
          </cell>
        </row>
        <row r="3713">
          <cell r="L3713">
            <v>259</v>
          </cell>
          <cell r="M3713">
            <v>46169</v>
          </cell>
        </row>
        <row r="3714">
          <cell r="L3714">
            <v>4794</v>
          </cell>
          <cell r="M3714">
            <v>46169</v>
          </cell>
        </row>
        <row r="3715">
          <cell r="L3715">
            <v>4267</v>
          </cell>
          <cell r="M3715">
            <v>46169</v>
          </cell>
        </row>
        <row r="3716">
          <cell r="L3716">
            <v>3683</v>
          </cell>
          <cell r="M3716">
            <v>46169</v>
          </cell>
        </row>
        <row r="3717">
          <cell r="L3717">
            <v>2850</v>
          </cell>
          <cell r="M3717">
            <v>46169</v>
          </cell>
        </row>
        <row r="3718">
          <cell r="L3718">
            <v>1710</v>
          </cell>
          <cell r="M3718">
            <v>46169</v>
          </cell>
        </row>
        <row r="3719">
          <cell r="L3719">
            <v>1705</v>
          </cell>
          <cell r="M3719">
            <v>46169</v>
          </cell>
        </row>
        <row r="3720">
          <cell r="L3720">
            <v>1699</v>
          </cell>
          <cell r="M3720">
            <v>46169</v>
          </cell>
        </row>
        <row r="3721">
          <cell r="L3721">
            <v>1698</v>
          </cell>
          <cell r="M3721">
            <v>46169</v>
          </cell>
        </row>
        <row r="3722">
          <cell r="L3722">
            <v>1696</v>
          </cell>
          <cell r="M3722">
            <v>46169</v>
          </cell>
        </row>
        <row r="3723">
          <cell r="L3723">
            <v>1691</v>
          </cell>
          <cell r="M3723">
            <v>46169</v>
          </cell>
        </row>
        <row r="3724">
          <cell r="L3724">
            <v>1690</v>
          </cell>
          <cell r="M3724">
            <v>46169</v>
          </cell>
        </row>
        <row r="3725">
          <cell r="L3725">
            <v>1587</v>
          </cell>
          <cell r="M3725">
            <v>46169</v>
          </cell>
        </row>
        <row r="3726">
          <cell r="L3726">
            <v>1498</v>
          </cell>
          <cell r="M3726">
            <v>46169</v>
          </cell>
        </row>
        <row r="3727">
          <cell r="L3727">
            <v>1448</v>
          </cell>
          <cell r="M3727">
            <v>46169</v>
          </cell>
        </row>
        <row r="3728">
          <cell r="L3728">
            <v>1155</v>
          </cell>
          <cell r="M3728">
            <v>46169</v>
          </cell>
        </row>
        <row r="3729">
          <cell r="L3729">
            <v>1122</v>
          </cell>
          <cell r="M3729">
            <v>46169</v>
          </cell>
        </row>
        <row r="3730">
          <cell r="L3730">
            <v>1121</v>
          </cell>
          <cell r="M3730">
            <v>46169</v>
          </cell>
        </row>
        <row r="3731">
          <cell r="L3731">
            <v>1024</v>
          </cell>
          <cell r="M3731">
            <v>46169</v>
          </cell>
        </row>
        <row r="3732">
          <cell r="L3732">
            <v>574</v>
          </cell>
          <cell r="M3732">
            <v>46169</v>
          </cell>
        </row>
        <row r="3733">
          <cell r="L3733">
            <v>482</v>
          </cell>
          <cell r="M3733">
            <v>46169</v>
          </cell>
        </row>
        <row r="3734">
          <cell r="L3734">
            <v>347</v>
          </cell>
          <cell r="M3734">
            <v>46169</v>
          </cell>
        </row>
        <row r="3735">
          <cell r="L3735">
            <v>289</v>
          </cell>
          <cell r="M3735">
            <v>46169</v>
          </cell>
        </row>
        <row r="3736">
          <cell r="L3736">
            <v>5670</v>
          </cell>
          <cell r="M3736">
            <v>46169</v>
          </cell>
        </row>
        <row r="3737">
          <cell r="L3737">
            <v>263</v>
          </cell>
          <cell r="M3737">
            <v>46169</v>
          </cell>
        </row>
        <row r="3738">
          <cell r="L3738">
            <v>2553</v>
          </cell>
          <cell r="M3738">
            <v>46169</v>
          </cell>
        </row>
        <row r="3739">
          <cell r="L3739">
            <v>262</v>
          </cell>
          <cell r="M3739">
            <v>46169</v>
          </cell>
        </row>
        <row r="3740">
          <cell r="L3740">
            <v>12165</v>
          </cell>
          <cell r="M3740">
            <v>46169</v>
          </cell>
        </row>
        <row r="3741">
          <cell r="L3741">
            <v>12299</v>
          </cell>
          <cell r="M3741">
            <v>46169</v>
          </cell>
        </row>
        <row r="3742">
          <cell r="L3742">
            <v>12558</v>
          </cell>
          <cell r="M3742">
            <v>46169</v>
          </cell>
        </row>
        <row r="3743">
          <cell r="L3743">
            <v>12586</v>
          </cell>
          <cell r="M3743">
            <v>46169</v>
          </cell>
        </row>
        <row r="3744">
          <cell r="L3744">
            <v>12532</v>
          </cell>
          <cell r="M3744">
            <v>46169</v>
          </cell>
        </row>
        <row r="3745">
          <cell r="L3745">
            <v>12713</v>
          </cell>
          <cell r="M3745">
            <v>46169</v>
          </cell>
        </row>
        <row r="3746">
          <cell r="L3746">
            <v>12270</v>
          </cell>
          <cell r="M3746">
            <v>46169</v>
          </cell>
        </row>
        <row r="3747">
          <cell r="L3747">
            <v>5708</v>
          </cell>
          <cell r="M3747">
            <v>46169</v>
          </cell>
        </row>
        <row r="3748">
          <cell r="L3748">
            <v>12771</v>
          </cell>
          <cell r="M3748">
            <v>46169</v>
          </cell>
        </row>
        <row r="3749">
          <cell r="L3749">
            <v>1372</v>
          </cell>
          <cell r="M3749">
            <v>46169</v>
          </cell>
        </row>
        <row r="3750">
          <cell r="L3750">
            <v>2462</v>
          </cell>
          <cell r="M3750">
            <v>46169</v>
          </cell>
        </row>
        <row r="3751">
          <cell r="L3751">
            <v>1369</v>
          </cell>
          <cell r="M3751">
            <v>46169</v>
          </cell>
        </row>
        <row r="3752">
          <cell r="L3752">
            <v>1407</v>
          </cell>
          <cell r="M3752">
            <v>46169</v>
          </cell>
        </row>
        <row r="3753">
          <cell r="L3753">
            <v>5092</v>
          </cell>
          <cell r="M3753">
            <v>46170</v>
          </cell>
        </row>
        <row r="3754">
          <cell r="L3754">
            <v>11290</v>
          </cell>
          <cell r="M3754">
            <v>46170</v>
          </cell>
        </row>
        <row r="3755">
          <cell r="L3755">
            <v>11826</v>
          </cell>
          <cell r="M3755">
            <v>46170</v>
          </cell>
        </row>
        <row r="3756">
          <cell r="L3756">
            <v>11852</v>
          </cell>
          <cell r="M3756">
            <v>46170</v>
          </cell>
        </row>
        <row r="3757">
          <cell r="L3757">
            <v>11926</v>
          </cell>
          <cell r="M3757">
            <v>46170</v>
          </cell>
        </row>
        <row r="3758">
          <cell r="L3758">
            <v>2485</v>
          </cell>
          <cell r="M3758">
            <v>46170</v>
          </cell>
        </row>
        <row r="3759">
          <cell r="L3759">
            <v>4073</v>
          </cell>
          <cell r="M3759">
            <v>46170</v>
          </cell>
        </row>
        <row r="3760">
          <cell r="L3760">
            <v>12309</v>
          </cell>
          <cell r="M3760">
            <v>46170</v>
          </cell>
        </row>
        <row r="3761">
          <cell r="L3761">
            <v>12311</v>
          </cell>
          <cell r="M3761">
            <v>46170</v>
          </cell>
        </row>
        <row r="3762">
          <cell r="L3762">
            <v>12312</v>
          </cell>
          <cell r="M3762">
            <v>46170</v>
          </cell>
        </row>
        <row r="3763">
          <cell r="L3763">
            <v>12321</v>
          </cell>
          <cell r="M3763">
            <v>46170</v>
          </cell>
        </row>
        <row r="3764">
          <cell r="L3764">
            <v>12307</v>
          </cell>
          <cell r="M3764">
            <v>46170</v>
          </cell>
        </row>
        <row r="3765">
          <cell r="L3765">
            <v>12308</v>
          </cell>
          <cell r="M3765">
            <v>46170</v>
          </cell>
        </row>
        <row r="3766">
          <cell r="L3766">
            <v>12387</v>
          </cell>
          <cell r="M3766">
            <v>46170</v>
          </cell>
        </row>
        <row r="3767">
          <cell r="L3767">
            <v>12388</v>
          </cell>
          <cell r="M3767">
            <v>46170</v>
          </cell>
        </row>
        <row r="3768">
          <cell r="L3768">
            <v>12386</v>
          </cell>
          <cell r="M3768">
            <v>46170</v>
          </cell>
        </row>
        <row r="3769">
          <cell r="L3769">
            <v>12464</v>
          </cell>
          <cell r="M3769">
            <v>46170</v>
          </cell>
        </row>
        <row r="3770">
          <cell r="L3770">
            <v>12632</v>
          </cell>
          <cell r="M3770">
            <v>46170</v>
          </cell>
        </row>
        <row r="3771">
          <cell r="L3771">
            <v>12631</v>
          </cell>
          <cell r="M3771">
            <v>46170</v>
          </cell>
        </row>
        <row r="3772">
          <cell r="L3772">
            <v>12630</v>
          </cell>
          <cell r="M3772">
            <v>46170</v>
          </cell>
        </row>
        <row r="3773">
          <cell r="L3773">
            <v>12596</v>
          </cell>
          <cell r="M3773">
            <v>46170</v>
          </cell>
        </row>
        <row r="3774">
          <cell r="L3774">
            <v>12589</v>
          </cell>
          <cell r="M3774">
            <v>46170</v>
          </cell>
        </row>
        <row r="3775">
          <cell r="L3775">
            <v>12424</v>
          </cell>
          <cell r="M3775">
            <v>46170</v>
          </cell>
        </row>
        <row r="3776">
          <cell r="L3776">
            <v>6913</v>
          </cell>
          <cell r="M3776">
            <v>46170</v>
          </cell>
        </row>
        <row r="3777">
          <cell r="L3777">
            <v>10553</v>
          </cell>
          <cell r="M3777">
            <v>46170</v>
          </cell>
        </row>
        <row r="3778">
          <cell r="L3778">
            <v>11704</v>
          </cell>
          <cell r="M3778">
            <v>46170</v>
          </cell>
        </row>
        <row r="3779">
          <cell r="L3779">
            <v>5363</v>
          </cell>
          <cell r="M3779">
            <v>46170</v>
          </cell>
        </row>
        <row r="3780">
          <cell r="L3780">
            <v>8462</v>
          </cell>
          <cell r="M3780">
            <v>46170</v>
          </cell>
        </row>
        <row r="3781">
          <cell r="L3781">
            <v>11736</v>
          </cell>
          <cell r="M3781">
            <v>46170</v>
          </cell>
        </row>
        <row r="3782">
          <cell r="L3782">
            <v>11781</v>
          </cell>
          <cell r="M3782">
            <v>46170</v>
          </cell>
        </row>
        <row r="3783">
          <cell r="L3783">
            <v>278</v>
          </cell>
          <cell r="M3783">
            <v>46170</v>
          </cell>
        </row>
        <row r="3784">
          <cell r="L3784">
            <v>8233</v>
          </cell>
          <cell r="M3784">
            <v>46170</v>
          </cell>
        </row>
        <row r="3785">
          <cell r="L3785">
            <v>624</v>
          </cell>
          <cell r="M3785">
            <v>46170</v>
          </cell>
        </row>
        <row r="3786">
          <cell r="L3786">
            <v>11192</v>
          </cell>
          <cell r="M3786">
            <v>46170</v>
          </cell>
        </row>
        <row r="3787">
          <cell r="L3787">
            <v>11876</v>
          </cell>
          <cell r="M3787">
            <v>46170</v>
          </cell>
        </row>
        <row r="3788">
          <cell r="L3788">
            <v>12303</v>
          </cell>
          <cell r="M3788">
            <v>46170</v>
          </cell>
        </row>
        <row r="3789">
          <cell r="L3789">
            <v>12021</v>
          </cell>
          <cell r="M3789">
            <v>46170</v>
          </cell>
        </row>
        <row r="3790">
          <cell r="L3790">
            <v>8126</v>
          </cell>
          <cell r="M3790">
            <v>46170</v>
          </cell>
        </row>
        <row r="3791">
          <cell r="L3791">
            <v>12414</v>
          </cell>
          <cell r="M3791">
            <v>46170</v>
          </cell>
        </row>
        <row r="3792">
          <cell r="L3792">
            <v>12422</v>
          </cell>
          <cell r="M3792">
            <v>46170</v>
          </cell>
        </row>
        <row r="3793">
          <cell r="L3793">
            <v>6915</v>
          </cell>
          <cell r="M3793">
            <v>46170</v>
          </cell>
        </row>
        <row r="3794">
          <cell r="L3794">
            <v>7319</v>
          </cell>
          <cell r="M3794">
            <v>46170</v>
          </cell>
        </row>
        <row r="3795">
          <cell r="L3795">
            <v>7252</v>
          </cell>
          <cell r="M3795">
            <v>46170</v>
          </cell>
        </row>
        <row r="3796">
          <cell r="L3796">
            <v>8196</v>
          </cell>
          <cell r="M3796">
            <v>46170</v>
          </cell>
        </row>
        <row r="3797">
          <cell r="L3797">
            <v>9731</v>
          </cell>
          <cell r="M3797">
            <v>46170</v>
          </cell>
        </row>
        <row r="3798">
          <cell r="L3798">
            <v>11733</v>
          </cell>
          <cell r="M3798">
            <v>46170</v>
          </cell>
        </row>
        <row r="3799">
          <cell r="L3799">
            <v>11288</v>
          </cell>
          <cell r="M3799">
            <v>46170</v>
          </cell>
        </row>
        <row r="3800">
          <cell r="L3800">
            <v>8461</v>
          </cell>
          <cell r="M3800">
            <v>46170</v>
          </cell>
        </row>
        <row r="3801">
          <cell r="L3801">
            <v>9683</v>
          </cell>
          <cell r="M3801">
            <v>46170</v>
          </cell>
        </row>
        <row r="3802">
          <cell r="L3802">
            <v>11100</v>
          </cell>
          <cell r="M3802">
            <v>46170</v>
          </cell>
        </row>
        <row r="3803">
          <cell r="L3803">
            <v>2585</v>
          </cell>
          <cell r="M3803">
            <v>46170</v>
          </cell>
        </row>
        <row r="3804">
          <cell r="L3804">
            <v>7250</v>
          </cell>
          <cell r="M3804">
            <v>46170</v>
          </cell>
        </row>
        <row r="3805">
          <cell r="L3805">
            <v>9686</v>
          </cell>
          <cell r="M3805">
            <v>46170</v>
          </cell>
        </row>
        <row r="3806">
          <cell r="L3806">
            <v>623</v>
          </cell>
          <cell r="M3806">
            <v>46170</v>
          </cell>
        </row>
        <row r="3807">
          <cell r="L3807">
            <v>6912</v>
          </cell>
          <cell r="M3807">
            <v>46170</v>
          </cell>
        </row>
        <row r="3808">
          <cell r="L3808">
            <v>6914</v>
          </cell>
          <cell r="M3808">
            <v>46170</v>
          </cell>
        </row>
        <row r="3809">
          <cell r="L3809">
            <v>7316</v>
          </cell>
          <cell r="M3809">
            <v>46170</v>
          </cell>
        </row>
        <row r="3810">
          <cell r="L3810">
            <v>7964</v>
          </cell>
          <cell r="M3810">
            <v>46170</v>
          </cell>
        </row>
        <row r="3811">
          <cell r="L3811">
            <v>7317</v>
          </cell>
          <cell r="M3811">
            <v>46170</v>
          </cell>
        </row>
        <row r="3812">
          <cell r="L3812">
            <v>1008</v>
          </cell>
          <cell r="M3812">
            <v>46170</v>
          </cell>
        </row>
        <row r="3813">
          <cell r="L3813">
            <v>290</v>
          </cell>
          <cell r="M3813">
            <v>46170</v>
          </cell>
        </row>
        <row r="3814">
          <cell r="L3814">
            <v>4411</v>
          </cell>
          <cell r="M3814">
            <v>46170</v>
          </cell>
        </row>
        <row r="3815">
          <cell r="L3815">
            <v>5611</v>
          </cell>
          <cell r="M3815">
            <v>46170</v>
          </cell>
        </row>
        <row r="3816">
          <cell r="L3816">
            <v>7194</v>
          </cell>
          <cell r="M3816">
            <v>46170</v>
          </cell>
        </row>
        <row r="3817">
          <cell r="L3817">
            <v>7249</v>
          </cell>
          <cell r="M3817">
            <v>46170</v>
          </cell>
        </row>
        <row r="3818">
          <cell r="L3818">
            <v>8125</v>
          </cell>
          <cell r="M3818">
            <v>46170</v>
          </cell>
        </row>
        <row r="3819">
          <cell r="L3819">
            <v>8234</v>
          </cell>
          <cell r="M3819">
            <v>46170</v>
          </cell>
        </row>
        <row r="3820">
          <cell r="L3820">
            <v>8392</v>
          </cell>
          <cell r="M3820">
            <v>46170</v>
          </cell>
        </row>
        <row r="3821">
          <cell r="L3821">
            <v>9814</v>
          </cell>
          <cell r="M3821">
            <v>46170</v>
          </cell>
        </row>
        <row r="3822">
          <cell r="L3822">
            <v>9894</v>
          </cell>
          <cell r="M3822">
            <v>46170</v>
          </cell>
        </row>
        <row r="3823">
          <cell r="L3823">
            <v>11455</v>
          </cell>
          <cell r="M3823">
            <v>46170</v>
          </cell>
        </row>
        <row r="3824">
          <cell r="L3824">
            <v>7314</v>
          </cell>
          <cell r="M3824">
            <v>46170</v>
          </cell>
        </row>
        <row r="3825">
          <cell r="L3825">
            <v>2893</v>
          </cell>
          <cell r="M3825">
            <v>46170</v>
          </cell>
        </row>
        <row r="3826">
          <cell r="L3826">
            <v>11290</v>
          </cell>
          <cell r="M3826">
            <v>46170</v>
          </cell>
        </row>
        <row r="3827">
          <cell r="L3827">
            <v>11330</v>
          </cell>
          <cell r="M3827">
            <v>46170</v>
          </cell>
        </row>
        <row r="3828">
          <cell r="L3828">
            <v>6872</v>
          </cell>
          <cell r="M3828">
            <v>46170</v>
          </cell>
        </row>
        <row r="3829">
          <cell r="L3829">
            <v>7247</v>
          </cell>
          <cell r="M3829">
            <v>46170</v>
          </cell>
        </row>
        <row r="3830">
          <cell r="L3830">
            <v>7964</v>
          </cell>
          <cell r="M3830">
            <v>46170</v>
          </cell>
        </row>
        <row r="3831">
          <cell r="L3831">
            <v>635</v>
          </cell>
          <cell r="M3831">
            <v>46170</v>
          </cell>
        </row>
        <row r="3832">
          <cell r="L3832">
            <v>9560</v>
          </cell>
          <cell r="M3832">
            <v>46170</v>
          </cell>
        </row>
        <row r="3833">
          <cell r="L3833">
            <v>7173</v>
          </cell>
          <cell r="M3833">
            <v>46170</v>
          </cell>
        </row>
        <row r="3834">
          <cell r="L3834">
            <v>8611</v>
          </cell>
          <cell r="M3834">
            <v>46170</v>
          </cell>
        </row>
        <row r="3835">
          <cell r="L3835">
            <v>9362</v>
          </cell>
          <cell r="M3835">
            <v>46170</v>
          </cell>
        </row>
        <row r="3836">
          <cell r="L3836">
            <v>9159</v>
          </cell>
          <cell r="M3836">
            <v>46170</v>
          </cell>
        </row>
        <row r="3837">
          <cell r="L3837">
            <v>8541</v>
          </cell>
          <cell r="M3837">
            <v>46170</v>
          </cell>
        </row>
        <row r="3838">
          <cell r="L3838">
            <v>12605</v>
          </cell>
          <cell r="M3838">
            <v>46170</v>
          </cell>
        </row>
        <row r="3839">
          <cell r="L3839">
            <v>12813</v>
          </cell>
          <cell r="M3839">
            <v>46170</v>
          </cell>
        </row>
        <row r="3840">
          <cell r="L3840">
            <v>12725</v>
          </cell>
          <cell r="M3840">
            <v>46170</v>
          </cell>
        </row>
        <row r="3841">
          <cell r="L3841">
            <v>1655</v>
          </cell>
          <cell r="M3841">
            <v>46170</v>
          </cell>
        </row>
        <row r="3842">
          <cell r="L3842">
            <v>1689</v>
          </cell>
          <cell r="M3842">
            <v>46170</v>
          </cell>
        </row>
        <row r="3843">
          <cell r="L3843">
            <v>5439</v>
          </cell>
          <cell r="M3843">
            <v>46170</v>
          </cell>
        </row>
        <row r="3844">
          <cell r="L3844">
            <v>12086</v>
          </cell>
          <cell r="M3844">
            <v>46170</v>
          </cell>
        </row>
        <row r="3845">
          <cell r="L3845">
            <v>4311</v>
          </cell>
          <cell r="M3845">
            <v>46170</v>
          </cell>
        </row>
        <row r="3846">
          <cell r="L3846">
            <v>4311</v>
          </cell>
          <cell r="M3846">
            <v>46170</v>
          </cell>
        </row>
        <row r="3847">
          <cell r="L3847">
            <v>12252</v>
          </cell>
          <cell r="M3847">
            <v>46170</v>
          </cell>
        </row>
        <row r="3848">
          <cell r="L3848">
            <v>4134</v>
          </cell>
          <cell r="M3848">
            <v>46170</v>
          </cell>
        </row>
        <row r="3849">
          <cell r="L3849">
            <v>565</v>
          </cell>
          <cell r="M3849">
            <v>46170</v>
          </cell>
        </row>
        <row r="3850">
          <cell r="L3850">
            <v>9233</v>
          </cell>
          <cell r="M3850">
            <v>46170</v>
          </cell>
        </row>
        <row r="3851">
          <cell r="L3851">
            <v>954</v>
          </cell>
          <cell r="M3851">
            <v>46170</v>
          </cell>
        </row>
        <row r="3852">
          <cell r="L3852">
            <v>12835</v>
          </cell>
          <cell r="M3852">
            <v>46170</v>
          </cell>
        </row>
        <row r="3853">
          <cell r="L3853">
            <v>8053</v>
          </cell>
          <cell r="M3853">
            <v>46170</v>
          </cell>
        </row>
        <row r="3854">
          <cell r="L3854">
            <v>11230</v>
          </cell>
          <cell r="M3854">
            <v>46170</v>
          </cell>
        </row>
        <row r="3855">
          <cell r="L3855">
            <v>3024</v>
          </cell>
          <cell r="M3855">
            <v>46170</v>
          </cell>
        </row>
        <row r="3856">
          <cell r="L3856">
            <v>3575</v>
          </cell>
          <cell r="M3856">
            <v>46170</v>
          </cell>
        </row>
        <row r="3857">
          <cell r="L3857">
            <v>11312</v>
          </cell>
          <cell r="M3857">
            <v>46170</v>
          </cell>
        </row>
        <row r="3858">
          <cell r="L3858">
            <v>3796</v>
          </cell>
          <cell r="M3858">
            <v>46170</v>
          </cell>
        </row>
        <row r="3859">
          <cell r="L3859">
            <v>6763</v>
          </cell>
          <cell r="M3859">
            <v>46170</v>
          </cell>
        </row>
        <row r="3860">
          <cell r="L3860">
            <v>9953</v>
          </cell>
          <cell r="M3860">
            <v>46170</v>
          </cell>
        </row>
        <row r="3861">
          <cell r="L3861">
            <v>11033</v>
          </cell>
          <cell r="M3861">
            <v>46170</v>
          </cell>
        </row>
        <row r="3862">
          <cell r="L3862">
            <v>7893</v>
          </cell>
          <cell r="M3862">
            <v>46171</v>
          </cell>
        </row>
        <row r="3863">
          <cell r="L3863">
            <v>9577</v>
          </cell>
          <cell r="M3863">
            <v>46171</v>
          </cell>
        </row>
        <row r="3864">
          <cell r="L3864">
            <v>1446</v>
          </cell>
          <cell r="M3864">
            <v>46171</v>
          </cell>
        </row>
        <row r="3865">
          <cell r="L3865">
            <v>4282</v>
          </cell>
          <cell r="M3865">
            <v>46171</v>
          </cell>
        </row>
        <row r="3866">
          <cell r="L3866">
            <v>9363</v>
          </cell>
          <cell r="M3866">
            <v>46171</v>
          </cell>
        </row>
        <row r="3867">
          <cell r="L3867">
            <v>9803</v>
          </cell>
          <cell r="M3867">
            <v>46171</v>
          </cell>
        </row>
        <row r="3868">
          <cell r="L3868">
            <v>8844</v>
          </cell>
          <cell r="M3868">
            <v>46171</v>
          </cell>
        </row>
        <row r="3869">
          <cell r="L3869">
            <v>9064</v>
          </cell>
          <cell r="M3869">
            <v>46171</v>
          </cell>
        </row>
        <row r="3870">
          <cell r="L3870">
            <v>9065</v>
          </cell>
          <cell r="M3870">
            <v>46171</v>
          </cell>
        </row>
        <row r="3871">
          <cell r="L3871">
            <v>8543</v>
          </cell>
          <cell r="M3871">
            <v>46171</v>
          </cell>
        </row>
        <row r="3872">
          <cell r="L3872">
            <v>8374</v>
          </cell>
          <cell r="M3872">
            <v>46171</v>
          </cell>
        </row>
        <row r="3873">
          <cell r="L3873">
            <v>11064</v>
          </cell>
          <cell r="M3873">
            <v>46171</v>
          </cell>
        </row>
        <row r="3874">
          <cell r="L3874">
            <v>9174</v>
          </cell>
          <cell r="M3874">
            <v>46171</v>
          </cell>
        </row>
        <row r="3875">
          <cell r="L3875">
            <v>574</v>
          </cell>
          <cell r="M3875">
            <v>46171</v>
          </cell>
        </row>
        <row r="3876">
          <cell r="L3876">
            <v>576</v>
          </cell>
          <cell r="M3876">
            <v>46171</v>
          </cell>
        </row>
        <row r="3877">
          <cell r="L3877">
            <v>3625</v>
          </cell>
          <cell r="M3877">
            <v>46171</v>
          </cell>
        </row>
        <row r="3878">
          <cell r="L3878">
            <v>3685</v>
          </cell>
          <cell r="M3878">
            <v>46171</v>
          </cell>
        </row>
        <row r="3879">
          <cell r="L3879">
            <v>5077</v>
          </cell>
          <cell r="M3879">
            <v>46171</v>
          </cell>
        </row>
        <row r="3880">
          <cell r="L3880">
            <v>9776</v>
          </cell>
          <cell r="M3880">
            <v>46171</v>
          </cell>
        </row>
        <row r="3881">
          <cell r="L3881">
            <v>10009</v>
          </cell>
          <cell r="M3881">
            <v>46171</v>
          </cell>
        </row>
        <row r="3882">
          <cell r="L3882">
            <v>4611</v>
          </cell>
          <cell r="M3882">
            <v>46171</v>
          </cell>
        </row>
        <row r="3883">
          <cell r="L3883">
            <v>11938</v>
          </cell>
          <cell r="M3883">
            <v>46171</v>
          </cell>
        </row>
        <row r="3884">
          <cell r="L3884">
            <v>11936</v>
          </cell>
          <cell r="M3884">
            <v>46171</v>
          </cell>
        </row>
        <row r="3885">
          <cell r="L3885">
            <v>12087</v>
          </cell>
          <cell r="M3885">
            <v>46171</v>
          </cell>
        </row>
        <row r="3886">
          <cell r="L3886">
            <v>10544</v>
          </cell>
          <cell r="M3886">
            <v>46171</v>
          </cell>
        </row>
        <row r="3887">
          <cell r="L3887">
            <v>8353</v>
          </cell>
          <cell r="M3887">
            <v>46171</v>
          </cell>
        </row>
        <row r="3888">
          <cell r="L3888">
            <v>9551</v>
          </cell>
          <cell r="M3888">
            <v>46171</v>
          </cell>
        </row>
        <row r="3889">
          <cell r="L3889">
            <v>7104</v>
          </cell>
          <cell r="M3889">
            <v>46171</v>
          </cell>
        </row>
        <row r="3890">
          <cell r="L3890">
            <v>5813</v>
          </cell>
          <cell r="M3890">
            <v>46171</v>
          </cell>
        </row>
        <row r="3891">
          <cell r="L3891">
            <v>5336</v>
          </cell>
          <cell r="M3891">
            <v>46171</v>
          </cell>
        </row>
        <row r="3892">
          <cell r="L3892">
            <v>4209</v>
          </cell>
          <cell r="M3892">
            <v>46171</v>
          </cell>
        </row>
        <row r="3893">
          <cell r="L3893">
            <v>4236</v>
          </cell>
          <cell r="M3893">
            <v>46171</v>
          </cell>
        </row>
        <row r="3894">
          <cell r="L3894">
            <v>4435</v>
          </cell>
          <cell r="M3894">
            <v>46171</v>
          </cell>
        </row>
        <row r="3895">
          <cell r="L3895">
            <v>4106</v>
          </cell>
          <cell r="M3895">
            <v>46171</v>
          </cell>
        </row>
        <row r="3896">
          <cell r="L3896">
            <v>4497</v>
          </cell>
          <cell r="M3896">
            <v>46171</v>
          </cell>
        </row>
        <row r="3897">
          <cell r="L3897">
            <v>4103</v>
          </cell>
          <cell r="M3897">
            <v>46171</v>
          </cell>
        </row>
        <row r="3898">
          <cell r="L3898">
            <v>3799</v>
          </cell>
          <cell r="M3898">
            <v>46171</v>
          </cell>
        </row>
        <row r="3899">
          <cell r="L3899">
            <v>3924</v>
          </cell>
          <cell r="M3899">
            <v>46171</v>
          </cell>
        </row>
        <row r="3900">
          <cell r="L3900">
            <v>3837</v>
          </cell>
          <cell r="M3900">
            <v>46171</v>
          </cell>
        </row>
        <row r="3901">
          <cell r="L3901">
            <v>4817</v>
          </cell>
          <cell r="M3901">
            <v>46171</v>
          </cell>
        </row>
        <row r="3902">
          <cell r="L3902">
            <v>4482</v>
          </cell>
          <cell r="M3902">
            <v>46171</v>
          </cell>
        </row>
        <row r="3903">
          <cell r="L3903">
            <v>4721</v>
          </cell>
          <cell r="M3903">
            <v>46171</v>
          </cell>
        </row>
        <row r="3904">
          <cell r="L3904">
            <v>4148</v>
          </cell>
          <cell r="M3904">
            <v>46171</v>
          </cell>
        </row>
        <row r="3905">
          <cell r="L3905">
            <v>4094</v>
          </cell>
          <cell r="M3905">
            <v>46171</v>
          </cell>
        </row>
        <row r="3906">
          <cell r="L3906">
            <v>4166</v>
          </cell>
          <cell r="M3906">
            <v>46171</v>
          </cell>
        </row>
        <row r="3907">
          <cell r="L3907">
            <v>3846</v>
          </cell>
          <cell r="M3907">
            <v>46171</v>
          </cell>
        </row>
        <row r="3908">
          <cell r="L3908">
            <v>3834</v>
          </cell>
          <cell r="M3908">
            <v>46171</v>
          </cell>
        </row>
        <row r="3909">
          <cell r="L3909">
            <v>4534</v>
          </cell>
          <cell r="M3909">
            <v>46171</v>
          </cell>
        </row>
        <row r="3910">
          <cell r="L3910">
            <v>3687</v>
          </cell>
          <cell r="M3910">
            <v>46171</v>
          </cell>
        </row>
        <row r="3911">
          <cell r="L3911">
            <v>3608</v>
          </cell>
          <cell r="M3911">
            <v>46171</v>
          </cell>
        </row>
        <row r="3912">
          <cell r="L3912">
            <v>3533</v>
          </cell>
          <cell r="M3912">
            <v>46171</v>
          </cell>
        </row>
        <row r="3913">
          <cell r="L3913">
            <v>5078</v>
          </cell>
          <cell r="M3913">
            <v>46171</v>
          </cell>
        </row>
        <row r="3914">
          <cell r="L3914">
            <v>4326</v>
          </cell>
          <cell r="M3914">
            <v>46171</v>
          </cell>
        </row>
        <row r="3915">
          <cell r="L3915">
            <v>1707</v>
          </cell>
          <cell r="M3915">
            <v>46171</v>
          </cell>
        </row>
        <row r="3916">
          <cell r="L3916">
            <v>2623</v>
          </cell>
          <cell r="M3916">
            <v>46171</v>
          </cell>
        </row>
        <row r="3917">
          <cell r="L3917">
            <v>1178</v>
          </cell>
          <cell r="M3917">
            <v>46171</v>
          </cell>
        </row>
        <row r="3918">
          <cell r="L3918">
            <v>11554</v>
          </cell>
          <cell r="M3918">
            <v>46171</v>
          </cell>
        </row>
        <row r="3919">
          <cell r="L3919">
            <v>11554</v>
          </cell>
          <cell r="M3919">
            <v>46171</v>
          </cell>
        </row>
        <row r="3920">
          <cell r="L3920">
            <v>1544</v>
          </cell>
          <cell r="M3920">
            <v>46171</v>
          </cell>
        </row>
        <row r="3921">
          <cell r="L3921">
            <v>5620</v>
          </cell>
          <cell r="M3921">
            <v>46171</v>
          </cell>
        </row>
        <row r="3922">
          <cell r="L3922">
            <v>6821</v>
          </cell>
          <cell r="M3922">
            <v>46171</v>
          </cell>
        </row>
        <row r="3923">
          <cell r="L3923">
            <v>8525</v>
          </cell>
          <cell r="M3923">
            <v>46171</v>
          </cell>
        </row>
        <row r="3924">
          <cell r="L3924">
            <v>9228</v>
          </cell>
          <cell r="M3924">
            <v>46171</v>
          </cell>
        </row>
        <row r="3925">
          <cell r="L3925">
            <v>8900</v>
          </cell>
          <cell r="M3925">
            <v>46171</v>
          </cell>
        </row>
        <row r="3926">
          <cell r="L3926">
            <v>3776</v>
          </cell>
          <cell r="M3926">
            <v>46171</v>
          </cell>
        </row>
        <row r="3927">
          <cell r="L3927">
            <v>8757</v>
          </cell>
          <cell r="M3927">
            <v>46171</v>
          </cell>
        </row>
        <row r="3928">
          <cell r="L3928">
            <v>9165</v>
          </cell>
          <cell r="M3928">
            <v>46171</v>
          </cell>
        </row>
        <row r="3929">
          <cell r="L3929">
            <v>8116</v>
          </cell>
          <cell r="M3929">
            <v>46171</v>
          </cell>
        </row>
        <row r="3930">
          <cell r="L3930">
            <v>8847</v>
          </cell>
          <cell r="M3930">
            <v>46171</v>
          </cell>
        </row>
        <row r="3931">
          <cell r="L3931">
            <v>8848</v>
          </cell>
          <cell r="M3931">
            <v>46171</v>
          </cell>
        </row>
        <row r="3932">
          <cell r="L3932">
            <v>8769</v>
          </cell>
          <cell r="M3932">
            <v>46171</v>
          </cell>
        </row>
        <row r="3933">
          <cell r="L3933">
            <v>654</v>
          </cell>
          <cell r="M3933">
            <v>46171</v>
          </cell>
        </row>
        <row r="3934">
          <cell r="L3934">
            <v>565</v>
          </cell>
          <cell r="M3934">
            <v>46171</v>
          </cell>
        </row>
        <row r="3935">
          <cell r="L3935">
            <v>9649</v>
          </cell>
          <cell r="M3935">
            <v>46171</v>
          </cell>
        </row>
        <row r="3936">
          <cell r="L3936">
            <v>12272</v>
          </cell>
          <cell r="M3936">
            <v>46171</v>
          </cell>
        </row>
        <row r="3937">
          <cell r="L3937">
            <v>6787</v>
          </cell>
          <cell r="M3937">
            <v>46171</v>
          </cell>
        </row>
        <row r="3938">
          <cell r="L3938">
            <v>8697</v>
          </cell>
          <cell r="M3938">
            <v>46171</v>
          </cell>
        </row>
        <row r="3939">
          <cell r="L3939">
            <v>8852</v>
          </cell>
          <cell r="M3939">
            <v>46171</v>
          </cell>
        </row>
        <row r="3940">
          <cell r="L3940">
            <v>8616</v>
          </cell>
          <cell r="M3940">
            <v>46171</v>
          </cell>
        </row>
        <row r="3941">
          <cell r="L3941">
            <v>8617</v>
          </cell>
          <cell r="M3941">
            <v>46171</v>
          </cell>
        </row>
        <row r="3942">
          <cell r="L3942">
            <v>8770</v>
          </cell>
          <cell r="M3942">
            <v>46171</v>
          </cell>
        </row>
        <row r="3943">
          <cell r="L3943">
            <v>9089</v>
          </cell>
          <cell r="M3943">
            <v>46171</v>
          </cell>
        </row>
        <row r="3944">
          <cell r="L3944">
            <v>8622</v>
          </cell>
          <cell r="M3944">
            <v>46171</v>
          </cell>
        </row>
        <row r="3945">
          <cell r="L3945">
            <v>10349</v>
          </cell>
          <cell r="M3945">
            <v>46171</v>
          </cell>
        </row>
        <row r="3946">
          <cell r="L3946">
            <v>9981</v>
          </cell>
          <cell r="M3946">
            <v>46171</v>
          </cell>
        </row>
        <row r="3947">
          <cell r="L3947">
            <v>8781</v>
          </cell>
          <cell r="M3947">
            <v>46171</v>
          </cell>
        </row>
        <row r="3948">
          <cell r="L3948">
            <v>10172</v>
          </cell>
          <cell r="M3948">
            <v>46171</v>
          </cell>
        </row>
        <row r="3949">
          <cell r="L3949">
            <v>10518</v>
          </cell>
          <cell r="M3949">
            <v>46171</v>
          </cell>
        </row>
        <row r="3950">
          <cell r="L3950">
            <v>10554</v>
          </cell>
          <cell r="M3950">
            <v>46171</v>
          </cell>
        </row>
        <row r="3951">
          <cell r="L3951">
            <v>10774</v>
          </cell>
          <cell r="M3951">
            <v>46171</v>
          </cell>
        </row>
        <row r="3952">
          <cell r="L3952">
            <v>11240</v>
          </cell>
          <cell r="M3952">
            <v>46171</v>
          </cell>
        </row>
        <row r="3953">
          <cell r="L3953">
            <v>11262</v>
          </cell>
          <cell r="M3953">
            <v>46171</v>
          </cell>
        </row>
        <row r="3954">
          <cell r="L3954">
            <v>11345</v>
          </cell>
          <cell r="M3954">
            <v>46171</v>
          </cell>
        </row>
        <row r="3955">
          <cell r="L3955">
            <v>11349</v>
          </cell>
          <cell r="M3955">
            <v>46171</v>
          </cell>
        </row>
        <row r="3956">
          <cell r="L3956">
            <v>11350</v>
          </cell>
          <cell r="M3956">
            <v>46171</v>
          </cell>
        </row>
        <row r="3957">
          <cell r="L3957">
            <v>11510</v>
          </cell>
          <cell r="M3957">
            <v>46171</v>
          </cell>
        </row>
        <row r="3958">
          <cell r="L3958">
            <v>11756</v>
          </cell>
          <cell r="M3958">
            <v>46171</v>
          </cell>
        </row>
        <row r="3959">
          <cell r="L3959">
            <v>11778</v>
          </cell>
          <cell r="M3959">
            <v>46171</v>
          </cell>
        </row>
        <row r="3960">
          <cell r="L3960">
            <v>11780</v>
          </cell>
          <cell r="M3960">
            <v>46171</v>
          </cell>
        </row>
        <row r="3961">
          <cell r="L3961">
            <v>11792</v>
          </cell>
          <cell r="M3961">
            <v>46171</v>
          </cell>
        </row>
        <row r="3962">
          <cell r="L3962">
            <v>11875</v>
          </cell>
          <cell r="M3962">
            <v>46171</v>
          </cell>
        </row>
        <row r="3963">
          <cell r="L3963">
            <v>11991</v>
          </cell>
          <cell r="M3963">
            <v>46171</v>
          </cell>
        </row>
        <row r="3964">
          <cell r="L3964">
            <v>12072</v>
          </cell>
          <cell r="M3964">
            <v>46171</v>
          </cell>
        </row>
        <row r="3965">
          <cell r="L3965">
            <v>12247</v>
          </cell>
          <cell r="M3965">
            <v>46171</v>
          </cell>
        </row>
        <row r="3966">
          <cell r="L3966">
            <v>12359</v>
          </cell>
          <cell r="M3966">
            <v>46171</v>
          </cell>
        </row>
        <row r="3967">
          <cell r="L3967">
            <v>12426</v>
          </cell>
          <cell r="M3967">
            <v>46171</v>
          </cell>
        </row>
        <row r="3968">
          <cell r="L3968">
            <v>8422</v>
          </cell>
          <cell r="M3968">
            <v>46171</v>
          </cell>
        </row>
        <row r="3969">
          <cell r="L3969">
            <v>6873</v>
          </cell>
          <cell r="M3969">
            <v>46171</v>
          </cell>
        </row>
        <row r="3970">
          <cell r="L3970">
            <v>7250</v>
          </cell>
          <cell r="M3970">
            <v>46171</v>
          </cell>
        </row>
        <row r="3971">
          <cell r="L3971">
            <v>7349</v>
          </cell>
          <cell r="M3971">
            <v>46171</v>
          </cell>
        </row>
        <row r="3972">
          <cell r="L3972">
            <v>7193</v>
          </cell>
          <cell r="M3972">
            <v>46171</v>
          </cell>
        </row>
        <row r="3973">
          <cell r="L3973">
            <v>7422</v>
          </cell>
          <cell r="M3973">
            <v>46171</v>
          </cell>
        </row>
        <row r="3974">
          <cell r="L3974">
            <v>7195</v>
          </cell>
          <cell r="M3974">
            <v>46171</v>
          </cell>
        </row>
        <row r="3975">
          <cell r="L3975">
            <v>7196</v>
          </cell>
          <cell r="M3975">
            <v>46171</v>
          </cell>
        </row>
        <row r="3976">
          <cell r="L3976">
            <v>11270</v>
          </cell>
          <cell r="M3976">
            <v>46171</v>
          </cell>
        </row>
        <row r="3977">
          <cell r="L3977">
            <v>11922</v>
          </cell>
          <cell r="M3977">
            <v>46171</v>
          </cell>
        </row>
        <row r="3978">
          <cell r="L3978">
            <v>7250</v>
          </cell>
          <cell r="M3978">
            <v>46171</v>
          </cell>
        </row>
        <row r="3979">
          <cell r="L3979">
            <v>7318</v>
          </cell>
          <cell r="M3979">
            <v>46171</v>
          </cell>
        </row>
        <row r="3980">
          <cell r="L3980">
            <v>6912</v>
          </cell>
          <cell r="M3980">
            <v>46171</v>
          </cell>
        </row>
        <row r="3981">
          <cell r="L3981">
            <v>12310</v>
          </cell>
          <cell r="M3981">
            <v>46171</v>
          </cell>
        </row>
        <row r="3982">
          <cell r="L3982">
            <v>12271</v>
          </cell>
          <cell r="M3982">
            <v>46171</v>
          </cell>
        </row>
        <row r="3983">
          <cell r="L3983">
            <v>12306</v>
          </cell>
          <cell r="M3983">
            <v>46171</v>
          </cell>
        </row>
        <row r="3984">
          <cell r="L3984">
            <v>12461</v>
          </cell>
          <cell r="M3984">
            <v>46171</v>
          </cell>
        </row>
        <row r="3985">
          <cell r="L3985">
            <v>12489</v>
          </cell>
          <cell r="M3985">
            <v>46171</v>
          </cell>
        </row>
        <row r="3986">
          <cell r="L3986">
            <v>2763</v>
          </cell>
          <cell r="M3986">
            <v>46171</v>
          </cell>
        </row>
        <row r="3987">
          <cell r="L3987">
            <v>2798</v>
          </cell>
          <cell r="M3987">
            <v>46171</v>
          </cell>
        </row>
        <row r="3988">
          <cell r="L3988">
            <v>2772</v>
          </cell>
          <cell r="M3988">
            <v>46171</v>
          </cell>
        </row>
        <row r="3989">
          <cell r="L3989">
            <v>8181</v>
          </cell>
          <cell r="M3989">
            <v>46171</v>
          </cell>
        </row>
        <row r="3990">
          <cell r="L3990">
            <v>11002</v>
          </cell>
          <cell r="M3990">
            <v>46171</v>
          </cell>
        </row>
        <row r="3991">
          <cell r="L3991">
            <v>11003</v>
          </cell>
          <cell r="M3991">
            <v>46171</v>
          </cell>
        </row>
        <row r="3992">
          <cell r="L3992">
            <v>11101</v>
          </cell>
          <cell r="M3992">
            <v>46171</v>
          </cell>
        </row>
        <row r="3993">
          <cell r="L3993">
            <v>11219</v>
          </cell>
          <cell r="M3993">
            <v>46171</v>
          </cell>
        </row>
        <row r="3994">
          <cell r="L3994">
            <v>11233</v>
          </cell>
          <cell r="M3994">
            <v>46171</v>
          </cell>
        </row>
        <row r="3995">
          <cell r="L3995">
            <v>11244</v>
          </cell>
          <cell r="M3995">
            <v>46171</v>
          </cell>
        </row>
        <row r="3996">
          <cell r="L3996">
            <v>11245</v>
          </cell>
          <cell r="M3996">
            <v>46171</v>
          </cell>
        </row>
        <row r="3997">
          <cell r="L3997">
            <v>11246</v>
          </cell>
          <cell r="M3997">
            <v>46171</v>
          </cell>
        </row>
        <row r="3998">
          <cell r="L3998">
            <v>11546</v>
          </cell>
          <cell r="M3998">
            <v>46171</v>
          </cell>
        </row>
        <row r="3999">
          <cell r="L3999">
            <v>11742</v>
          </cell>
          <cell r="M3999">
            <v>46171</v>
          </cell>
        </row>
        <row r="4000">
          <cell r="L4000">
            <v>11833</v>
          </cell>
          <cell r="M4000">
            <v>46171</v>
          </cell>
        </row>
        <row r="4001">
          <cell r="L4001">
            <v>11855</v>
          </cell>
          <cell r="M4001">
            <v>46171</v>
          </cell>
        </row>
        <row r="4002">
          <cell r="L4002">
            <v>11857</v>
          </cell>
          <cell r="M4002">
            <v>46171</v>
          </cell>
        </row>
        <row r="4003">
          <cell r="L4003">
            <v>11874</v>
          </cell>
          <cell r="M4003">
            <v>46171</v>
          </cell>
        </row>
        <row r="4004">
          <cell r="L4004">
            <v>11923</v>
          </cell>
          <cell r="M4004">
            <v>46171</v>
          </cell>
        </row>
        <row r="4005">
          <cell r="L4005">
            <v>11927</v>
          </cell>
          <cell r="M4005">
            <v>46171</v>
          </cell>
        </row>
        <row r="4006">
          <cell r="L4006">
            <v>11928</v>
          </cell>
          <cell r="M4006">
            <v>46171</v>
          </cell>
        </row>
        <row r="4007">
          <cell r="L4007">
            <v>12143</v>
          </cell>
          <cell r="M4007">
            <v>46171</v>
          </cell>
        </row>
        <row r="4008">
          <cell r="L4008">
            <v>12270</v>
          </cell>
          <cell r="M4008">
            <v>46171</v>
          </cell>
        </row>
        <row r="4009">
          <cell r="L4009">
            <v>12429</v>
          </cell>
          <cell r="M4009">
            <v>46171</v>
          </cell>
        </row>
        <row r="4010">
          <cell r="L4010">
            <v>293</v>
          </cell>
          <cell r="M4010">
            <v>46171</v>
          </cell>
        </row>
        <row r="4011">
          <cell r="L4011">
            <v>1150</v>
          </cell>
          <cell r="M4011">
            <v>46171</v>
          </cell>
        </row>
        <row r="4012">
          <cell r="L4012">
            <v>1372</v>
          </cell>
          <cell r="M4012">
            <v>46171</v>
          </cell>
        </row>
        <row r="4013">
          <cell r="L4013">
            <v>5919</v>
          </cell>
          <cell r="M4013">
            <v>46171</v>
          </cell>
        </row>
        <row r="4014">
          <cell r="L4014">
            <v>292</v>
          </cell>
          <cell r="M4014">
            <v>46171</v>
          </cell>
        </row>
        <row r="4015">
          <cell r="L4015">
            <v>336</v>
          </cell>
          <cell r="M4015">
            <v>46171</v>
          </cell>
        </row>
        <row r="4016">
          <cell r="L4016">
            <v>372</v>
          </cell>
          <cell r="M4016">
            <v>46171</v>
          </cell>
        </row>
        <row r="4017">
          <cell r="L4017">
            <v>569</v>
          </cell>
          <cell r="M4017">
            <v>46171</v>
          </cell>
        </row>
        <row r="4018">
          <cell r="L4018">
            <v>1146</v>
          </cell>
          <cell r="M4018">
            <v>46171</v>
          </cell>
        </row>
        <row r="4019">
          <cell r="L4019">
            <v>1390</v>
          </cell>
          <cell r="M4019">
            <v>46171</v>
          </cell>
        </row>
        <row r="4020">
          <cell r="L4020">
            <v>3023</v>
          </cell>
          <cell r="M4020">
            <v>46171</v>
          </cell>
        </row>
        <row r="4021">
          <cell r="L4021">
            <v>5208</v>
          </cell>
          <cell r="M4021">
            <v>46171</v>
          </cell>
        </row>
        <row r="4022">
          <cell r="L4022">
            <v>1406</v>
          </cell>
          <cell r="M4022">
            <v>46171</v>
          </cell>
        </row>
        <row r="4023">
          <cell r="L4023">
            <v>10988</v>
          </cell>
          <cell r="M4023">
            <v>46171</v>
          </cell>
        </row>
        <row r="4024">
          <cell r="L4024">
            <v>12074</v>
          </cell>
          <cell r="M4024">
            <v>46171</v>
          </cell>
        </row>
        <row r="4025">
          <cell r="L4025">
            <v>12586</v>
          </cell>
          <cell r="M4025">
            <v>46171</v>
          </cell>
        </row>
        <row r="4026">
          <cell r="L4026">
            <v>1700</v>
          </cell>
          <cell r="M4026">
            <v>46171</v>
          </cell>
        </row>
        <row r="4027">
          <cell r="L4027">
            <v>3645</v>
          </cell>
          <cell r="M4027">
            <v>46171</v>
          </cell>
        </row>
        <row r="4028">
          <cell r="L4028">
            <v>3657</v>
          </cell>
          <cell r="M4028">
            <v>46171</v>
          </cell>
        </row>
        <row r="4029">
          <cell r="L4029">
            <v>3845</v>
          </cell>
          <cell r="M4029">
            <v>46171</v>
          </cell>
        </row>
        <row r="4030">
          <cell r="L4030">
            <v>4505</v>
          </cell>
          <cell r="M4030">
            <v>46171</v>
          </cell>
        </row>
        <row r="4031">
          <cell r="L4031">
            <v>338</v>
          </cell>
          <cell r="M4031">
            <v>46171</v>
          </cell>
        </row>
        <row r="4032">
          <cell r="L4032">
            <v>3102</v>
          </cell>
          <cell r="M4032">
            <v>46171</v>
          </cell>
        </row>
        <row r="4033">
          <cell r="L4033">
            <v>359</v>
          </cell>
          <cell r="M4033">
            <v>46171</v>
          </cell>
        </row>
        <row r="4034">
          <cell r="L4034">
            <v>3187</v>
          </cell>
          <cell r="M4034">
            <v>46171</v>
          </cell>
        </row>
        <row r="4035">
          <cell r="L4035">
            <v>425</v>
          </cell>
          <cell r="M4035">
            <v>46171</v>
          </cell>
        </row>
        <row r="4036">
          <cell r="L4036">
            <v>3597</v>
          </cell>
          <cell r="M4036">
            <v>46171</v>
          </cell>
        </row>
        <row r="4037">
          <cell r="L4037">
            <v>3013</v>
          </cell>
          <cell r="M4037">
            <v>46171</v>
          </cell>
        </row>
        <row r="4038">
          <cell r="L4038">
            <v>1727</v>
          </cell>
          <cell r="M4038">
            <v>46171</v>
          </cell>
        </row>
        <row r="4039">
          <cell r="L4039">
            <v>111</v>
          </cell>
          <cell r="M4039">
            <v>46171</v>
          </cell>
        </row>
        <row r="4040">
          <cell r="L4040">
            <v>840</v>
          </cell>
          <cell r="M4040">
            <v>46171</v>
          </cell>
        </row>
        <row r="4041">
          <cell r="L4041">
            <v>1473</v>
          </cell>
          <cell r="M4041">
            <v>46171</v>
          </cell>
        </row>
        <row r="4042">
          <cell r="L4042">
            <v>5212</v>
          </cell>
          <cell r="M4042">
            <v>46171</v>
          </cell>
        </row>
        <row r="4043">
          <cell r="L4043">
            <v>6762</v>
          </cell>
          <cell r="M4043">
            <v>46171</v>
          </cell>
        </row>
        <row r="4044">
          <cell r="L4044">
            <v>2638</v>
          </cell>
          <cell r="M4044">
            <v>46171</v>
          </cell>
        </row>
        <row r="4045">
          <cell r="L4045">
            <v>419</v>
          </cell>
          <cell r="M4045">
            <v>46171</v>
          </cell>
        </row>
        <row r="4046">
          <cell r="L4046">
            <v>421</v>
          </cell>
          <cell r="M4046">
            <v>46171</v>
          </cell>
        </row>
        <row r="4047">
          <cell r="L4047">
            <v>432</v>
          </cell>
          <cell r="M4047">
            <v>46171</v>
          </cell>
        </row>
        <row r="4048">
          <cell r="L4048">
            <v>589</v>
          </cell>
          <cell r="M4048">
            <v>46171</v>
          </cell>
        </row>
        <row r="4049">
          <cell r="L4049">
            <v>1152</v>
          </cell>
          <cell r="M4049">
            <v>46171</v>
          </cell>
        </row>
        <row r="4050">
          <cell r="L4050">
            <v>2752</v>
          </cell>
          <cell r="M4050">
            <v>46171</v>
          </cell>
        </row>
        <row r="4051">
          <cell r="L4051">
            <v>1768</v>
          </cell>
          <cell r="M4051">
            <v>46171</v>
          </cell>
        </row>
        <row r="4052">
          <cell r="L4052">
            <v>3385</v>
          </cell>
          <cell r="M4052">
            <v>46171</v>
          </cell>
        </row>
        <row r="4053">
          <cell r="L4053">
            <v>3031</v>
          </cell>
          <cell r="M4053">
            <v>46171</v>
          </cell>
        </row>
        <row r="4054">
          <cell r="L4054">
            <v>3536</v>
          </cell>
          <cell r="M4054">
            <v>46171</v>
          </cell>
        </row>
        <row r="4055">
          <cell r="L4055">
            <v>4491</v>
          </cell>
          <cell r="M4055">
            <v>46171</v>
          </cell>
        </row>
        <row r="4056">
          <cell r="L4056">
            <v>4537</v>
          </cell>
          <cell r="M4056">
            <v>46171</v>
          </cell>
        </row>
        <row r="4057">
          <cell r="L4057">
            <v>5012</v>
          </cell>
          <cell r="M4057">
            <v>46171</v>
          </cell>
        </row>
        <row r="4058">
          <cell r="L4058">
            <v>5122</v>
          </cell>
          <cell r="M4058">
            <v>46171</v>
          </cell>
        </row>
        <row r="4059">
          <cell r="L4059">
            <v>4671</v>
          </cell>
          <cell r="M4059">
            <v>46171</v>
          </cell>
        </row>
        <row r="4060">
          <cell r="L4060">
            <v>5061</v>
          </cell>
          <cell r="M4060">
            <v>46172</v>
          </cell>
        </row>
        <row r="4061">
          <cell r="L4061">
            <v>5096</v>
          </cell>
          <cell r="M4061">
            <v>46172</v>
          </cell>
        </row>
        <row r="4062">
          <cell r="L4062">
            <v>5125</v>
          </cell>
          <cell r="M4062">
            <v>46172</v>
          </cell>
        </row>
        <row r="4063">
          <cell r="L4063">
            <v>9135</v>
          </cell>
          <cell r="M4063">
            <v>46172</v>
          </cell>
        </row>
        <row r="4064">
          <cell r="L4064">
            <v>10059</v>
          </cell>
          <cell r="M4064">
            <v>46172</v>
          </cell>
        </row>
        <row r="4065">
          <cell r="L4065">
            <v>10060</v>
          </cell>
          <cell r="M4065">
            <v>46172</v>
          </cell>
        </row>
        <row r="4066">
          <cell r="L4066">
            <v>11327</v>
          </cell>
          <cell r="M4066">
            <v>46172</v>
          </cell>
        </row>
        <row r="4067">
          <cell r="L4067">
            <v>11398</v>
          </cell>
          <cell r="M4067">
            <v>46172</v>
          </cell>
        </row>
        <row r="4068">
          <cell r="L4068">
            <v>11513</v>
          </cell>
          <cell r="M4068">
            <v>46172</v>
          </cell>
        </row>
        <row r="4069">
          <cell r="L4069">
            <v>11528</v>
          </cell>
          <cell r="M4069">
            <v>46172</v>
          </cell>
        </row>
        <row r="4070">
          <cell r="L4070">
            <v>11547</v>
          </cell>
          <cell r="M4070">
            <v>46172</v>
          </cell>
        </row>
        <row r="4071">
          <cell r="L4071">
            <v>11668</v>
          </cell>
          <cell r="M4071">
            <v>46172</v>
          </cell>
        </row>
        <row r="4072">
          <cell r="L4072">
            <v>11777</v>
          </cell>
          <cell r="M4072">
            <v>46172</v>
          </cell>
        </row>
        <row r="4073">
          <cell r="L4073">
            <v>11814</v>
          </cell>
          <cell r="M4073">
            <v>46172</v>
          </cell>
        </row>
        <row r="4074">
          <cell r="L4074">
            <v>11982</v>
          </cell>
          <cell r="M4074">
            <v>46172</v>
          </cell>
        </row>
        <row r="4075">
          <cell r="L4075">
            <v>12079</v>
          </cell>
          <cell r="M4075">
            <v>46172</v>
          </cell>
        </row>
        <row r="4076">
          <cell r="L4076">
            <v>12075</v>
          </cell>
          <cell r="M4076">
            <v>46172</v>
          </cell>
        </row>
        <row r="4077">
          <cell r="L4077">
            <v>12333</v>
          </cell>
          <cell r="M4077">
            <v>46172</v>
          </cell>
        </row>
      </sheetData>
      <sheetData sheetId="6">
        <row r="1">
          <cell r="A1" t="str">
            <v>编码</v>
          </cell>
        </row>
        <row r="1">
          <cell r="C1" t="str">
            <v>26.5月</v>
          </cell>
          <cell r="D1" t="str">
            <v>分类</v>
          </cell>
        </row>
        <row r="1">
          <cell r="I1" t="str">
            <v>产品类型：原开品/拓展品</v>
          </cell>
          <cell r="J1" t="str">
            <v>销售编号-公式</v>
          </cell>
        </row>
        <row r="1">
          <cell r="L1" t="str">
            <v>实际上架日期</v>
          </cell>
          <cell r="M1" t="str">
            <v>首出单日期</v>
          </cell>
        </row>
        <row r="2">
          <cell r="A2">
            <v>243</v>
          </cell>
        </row>
        <row r="2">
          <cell r="C2" t="str">
            <v>俞东旭</v>
          </cell>
          <cell r="D2" t="str">
            <v>车身外扩件</v>
          </cell>
        </row>
        <row r="2">
          <cell r="I2">
            <v>45827</v>
          </cell>
          <cell r="J2">
            <v>5818</v>
          </cell>
        </row>
        <row r="2">
          <cell r="L2">
            <v>45292</v>
          </cell>
          <cell r="M2">
            <v>45340</v>
          </cell>
        </row>
        <row r="3">
          <cell r="A3">
            <v>545</v>
          </cell>
        </row>
        <row r="3">
          <cell r="C3" t="str">
            <v>张潇</v>
          </cell>
          <cell r="D3" t="str">
            <v>挡泥板</v>
          </cell>
        </row>
        <row r="3">
          <cell r="I3">
            <v>0</v>
          </cell>
          <cell r="J3">
            <v>5841</v>
          </cell>
        </row>
        <row r="3">
          <cell r="L3">
            <v>45292</v>
          </cell>
          <cell r="M3">
            <v>45298</v>
          </cell>
        </row>
        <row r="4">
          <cell r="A4">
            <v>278</v>
          </cell>
        </row>
        <row r="4">
          <cell r="C4" t="str">
            <v>俞东旭</v>
          </cell>
          <cell r="D4" t="str">
            <v>车门系统</v>
          </cell>
        </row>
        <row r="4">
          <cell r="I4">
            <v>0</v>
          </cell>
          <cell r="J4">
            <v>5851</v>
          </cell>
        </row>
        <row r="4">
          <cell r="L4">
            <v>45292</v>
          </cell>
          <cell r="M4">
            <v>45307</v>
          </cell>
        </row>
        <row r="5">
          <cell r="A5">
            <v>290</v>
          </cell>
        </row>
        <row r="5">
          <cell r="C5" t="str">
            <v>俞东旭</v>
          </cell>
          <cell r="D5" t="str">
            <v>车身外扩件</v>
          </cell>
        </row>
        <row r="5">
          <cell r="I5">
            <v>0</v>
          </cell>
          <cell r="J5">
            <v>5853</v>
          </cell>
        </row>
        <row r="5">
          <cell r="L5">
            <v>45292</v>
          </cell>
          <cell r="M5">
            <v>45315</v>
          </cell>
        </row>
        <row r="6">
          <cell r="A6">
            <v>3023</v>
          </cell>
        </row>
        <row r="6">
          <cell r="C6" t="str">
            <v>朱培源</v>
          </cell>
          <cell r="D6" t="str">
            <v>软顶</v>
          </cell>
        </row>
        <row r="6">
          <cell r="I6">
            <v>0</v>
          </cell>
          <cell r="J6">
            <v>5869</v>
          </cell>
        </row>
        <row r="6">
          <cell r="L6">
            <v>45292</v>
          </cell>
          <cell r="M6">
            <v>45295</v>
          </cell>
        </row>
        <row r="7">
          <cell r="A7">
            <v>347</v>
          </cell>
        </row>
        <row r="7">
          <cell r="C7" t="str">
            <v>王偲涵</v>
          </cell>
          <cell r="D7" t="str">
            <v>车身外扩件</v>
          </cell>
        </row>
        <row r="7">
          <cell r="I7">
            <v>0</v>
          </cell>
          <cell r="J7">
            <v>5987</v>
          </cell>
        </row>
        <row r="7">
          <cell r="L7">
            <v>45292</v>
          </cell>
          <cell r="M7">
            <v>45299</v>
          </cell>
        </row>
        <row r="8">
          <cell r="A8">
            <v>569</v>
          </cell>
        </row>
        <row r="8">
          <cell r="C8" t="str">
            <v>朱培源</v>
          </cell>
          <cell r="D8" t="str">
            <v>挡泥板</v>
          </cell>
        </row>
        <row r="8">
          <cell r="I8">
            <v>0</v>
          </cell>
          <cell r="J8">
            <v>5874</v>
          </cell>
        </row>
        <row r="8">
          <cell r="L8">
            <v>45293</v>
          </cell>
          <cell r="M8">
            <v>45304</v>
          </cell>
        </row>
        <row r="9">
          <cell r="A9">
            <v>585</v>
          </cell>
        </row>
        <row r="9">
          <cell r="C9" t="str">
            <v>朱培源</v>
          </cell>
          <cell r="D9" t="str">
            <v>挡泥板</v>
          </cell>
        </row>
        <row r="9">
          <cell r="I9">
            <v>0</v>
          </cell>
          <cell r="J9">
            <v>5844</v>
          </cell>
        </row>
        <row r="9">
          <cell r="L9">
            <v>45293</v>
          </cell>
          <cell r="M9">
            <v>45337</v>
          </cell>
        </row>
        <row r="10">
          <cell r="A10">
            <v>3262</v>
          </cell>
        </row>
        <row r="10">
          <cell r="C10" t="str">
            <v>朱培源</v>
          </cell>
          <cell r="D10" t="str">
            <v>软顶</v>
          </cell>
        </row>
        <row r="10">
          <cell r="I10">
            <v>0</v>
          </cell>
          <cell r="J10">
            <v>5674</v>
          </cell>
        </row>
        <row r="10">
          <cell r="L10">
            <v>45295</v>
          </cell>
          <cell r="M10">
            <v>45311</v>
          </cell>
        </row>
        <row r="11">
          <cell r="A11">
            <v>586</v>
          </cell>
        </row>
        <row r="11">
          <cell r="C11" t="str">
            <v>朱培源</v>
          </cell>
          <cell r="D11" t="str">
            <v>挡泥板</v>
          </cell>
        </row>
        <row r="11">
          <cell r="I11">
            <v>0</v>
          </cell>
          <cell r="J11">
            <v>5843</v>
          </cell>
        </row>
        <row r="11">
          <cell r="L11">
            <v>45295</v>
          </cell>
          <cell r="M11">
            <v>45308</v>
          </cell>
        </row>
        <row r="12">
          <cell r="A12">
            <v>1161</v>
          </cell>
        </row>
        <row r="12">
          <cell r="C12" t="str">
            <v>张潇</v>
          </cell>
          <cell r="D12" t="str">
            <v>挡泥板</v>
          </cell>
        </row>
        <row r="12">
          <cell r="I12">
            <v>0</v>
          </cell>
          <cell r="J12">
            <v>5980</v>
          </cell>
        </row>
        <row r="12">
          <cell r="L12">
            <v>45297</v>
          </cell>
          <cell r="M12">
            <v>45307</v>
          </cell>
        </row>
        <row r="13">
          <cell r="A13">
            <v>4323</v>
          </cell>
        </row>
        <row r="13">
          <cell r="C13" t="str">
            <v>朱培源</v>
          </cell>
          <cell r="D13" t="str">
            <v>软顶</v>
          </cell>
        </row>
        <row r="13">
          <cell r="I13">
            <v>0</v>
          </cell>
          <cell r="J13">
            <v>5981</v>
          </cell>
        </row>
        <row r="13">
          <cell r="L13">
            <v>45297</v>
          </cell>
          <cell r="M13">
            <v>45298</v>
          </cell>
        </row>
        <row r="14">
          <cell r="A14">
            <v>425</v>
          </cell>
        </row>
        <row r="14">
          <cell r="C14" t="str">
            <v>朱培源</v>
          </cell>
          <cell r="D14" t="str">
            <v>挡泥板</v>
          </cell>
        </row>
        <row r="14">
          <cell r="I14">
            <v>0</v>
          </cell>
          <cell r="J14">
            <v>5789</v>
          </cell>
        </row>
        <row r="14">
          <cell r="L14">
            <v>45298</v>
          </cell>
          <cell r="M14">
            <v>45305</v>
          </cell>
        </row>
        <row r="15">
          <cell r="A15">
            <v>419</v>
          </cell>
        </row>
        <row r="15">
          <cell r="C15" t="str">
            <v>朱培源</v>
          </cell>
          <cell r="D15" t="str">
            <v>机盖及附件</v>
          </cell>
        </row>
        <row r="15">
          <cell r="I15">
            <v>0</v>
          </cell>
          <cell r="J15">
            <v>5790</v>
          </cell>
        </row>
        <row r="15">
          <cell r="L15">
            <v>45298</v>
          </cell>
          <cell r="M15">
            <v>45299</v>
          </cell>
        </row>
        <row r="16">
          <cell r="A16">
            <v>656</v>
          </cell>
        </row>
        <row r="16">
          <cell r="C16" t="str">
            <v>胡煜星</v>
          </cell>
          <cell r="D16" t="str">
            <v>车门系统</v>
          </cell>
        </row>
        <row r="16">
          <cell r="I16">
            <v>0</v>
          </cell>
          <cell r="J16">
            <v>5840</v>
          </cell>
        </row>
        <row r="16">
          <cell r="L16">
            <v>45297</v>
          </cell>
          <cell r="M16">
            <v>45301</v>
          </cell>
        </row>
        <row r="17">
          <cell r="A17">
            <v>488</v>
          </cell>
        </row>
        <row r="17">
          <cell r="C17" t="str">
            <v>张潇</v>
          </cell>
          <cell r="D17" t="str">
            <v>其他</v>
          </cell>
        </row>
        <row r="17">
          <cell r="I17">
            <v>0</v>
          </cell>
          <cell r="J17">
            <v>5852</v>
          </cell>
        </row>
        <row r="17">
          <cell r="L17">
            <v>45298</v>
          </cell>
          <cell r="M17">
            <v>45306</v>
          </cell>
        </row>
        <row r="18">
          <cell r="A18">
            <v>10089</v>
          </cell>
        </row>
        <row r="18">
          <cell r="C18" t="str">
            <v>朱培源</v>
          </cell>
          <cell r="D18" t="str">
            <v>软顶</v>
          </cell>
        </row>
        <row r="18">
          <cell r="I18">
            <v>0</v>
          </cell>
          <cell r="J18">
            <v>5977</v>
          </cell>
        </row>
        <row r="18">
          <cell r="L18">
            <v>45297</v>
          </cell>
          <cell r="M18">
            <v>45314</v>
          </cell>
        </row>
        <row r="19">
          <cell r="A19">
            <v>1406</v>
          </cell>
        </row>
        <row r="19">
          <cell r="C19" t="str">
            <v>朱培源</v>
          </cell>
          <cell r="D19" t="str">
            <v>软顶</v>
          </cell>
        </row>
        <row r="19">
          <cell r="I19">
            <v>0</v>
          </cell>
          <cell r="J19">
            <v>5878</v>
          </cell>
        </row>
        <row r="19">
          <cell r="L19">
            <v>45298</v>
          </cell>
          <cell r="M19">
            <v>45303</v>
          </cell>
        </row>
        <row r="20">
          <cell r="A20">
            <v>5573</v>
          </cell>
        </row>
        <row r="20">
          <cell r="C20" t="str">
            <v>张潇</v>
          </cell>
          <cell r="D20" t="str">
            <v>挡泥板</v>
          </cell>
        </row>
        <row r="20">
          <cell r="I20">
            <v>0</v>
          </cell>
          <cell r="J20">
            <v>4105</v>
          </cell>
        </row>
        <row r="20">
          <cell r="L20">
            <v>0</v>
          </cell>
        </row>
        <row r="21">
          <cell r="A21">
            <v>4261</v>
          </cell>
        </row>
        <row r="21">
          <cell r="C21" t="str">
            <v>章鹏</v>
          </cell>
          <cell r="D21" t="str">
            <v>其他</v>
          </cell>
        </row>
        <row r="21">
          <cell r="I21">
            <v>0</v>
          </cell>
          <cell r="J21">
            <v>4549</v>
          </cell>
        </row>
        <row r="21">
          <cell r="L21">
            <v>0</v>
          </cell>
        </row>
        <row r="22">
          <cell r="A22">
            <v>2462</v>
          </cell>
        </row>
        <row r="22">
          <cell r="C22" t="str">
            <v>朱培源</v>
          </cell>
          <cell r="D22" t="str">
            <v>软顶</v>
          </cell>
        </row>
        <row r="22">
          <cell r="I22">
            <v>0</v>
          </cell>
          <cell r="J22">
            <v>5447</v>
          </cell>
        </row>
        <row r="22">
          <cell r="L22">
            <v>0</v>
          </cell>
        </row>
        <row r="23">
          <cell r="A23">
            <v>3238</v>
          </cell>
        </row>
        <row r="23">
          <cell r="C23" t="str">
            <v>朱培源</v>
          </cell>
          <cell r="D23" t="str">
            <v>软顶</v>
          </cell>
        </row>
        <row r="23">
          <cell r="I23">
            <v>0</v>
          </cell>
          <cell r="J23">
            <v>5879</v>
          </cell>
        </row>
        <row r="23">
          <cell r="L23">
            <v>45301</v>
          </cell>
          <cell r="M23">
            <v>45335</v>
          </cell>
        </row>
        <row r="24">
          <cell r="A24">
            <v>483</v>
          </cell>
        </row>
        <row r="24">
          <cell r="C24" t="str">
            <v>朱培源</v>
          </cell>
          <cell r="D24" t="str">
            <v>挡泥板</v>
          </cell>
        </row>
        <row r="24">
          <cell r="I24">
            <v>0</v>
          </cell>
          <cell r="J24">
            <v>6041</v>
          </cell>
        </row>
        <row r="24">
          <cell r="L24">
            <v>45302</v>
          </cell>
          <cell r="M24">
            <v>45311</v>
          </cell>
        </row>
        <row r="25">
          <cell r="A25">
            <v>395</v>
          </cell>
        </row>
        <row r="25">
          <cell r="C25" t="str">
            <v>章鹏</v>
          </cell>
          <cell r="D25" t="str">
            <v>其他</v>
          </cell>
        </row>
        <row r="25">
          <cell r="I25">
            <v>0</v>
          </cell>
          <cell r="J25">
            <v>6050</v>
          </cell>
        </row>
        <row r="25">
          <cell r="L25">
            <v>45307</v>
          </cell>
          <cell r="M25">
            <v>45310</v>
          </cell>
        </row>
        <row r="26">
          <cell r="A26">
            <v>453</v>
          </cell>
        </row>
        <row r="26">
          <cell r="C26" t="str">
            <v>朱培源</v>
          </cell>
          <cell r="D26" t="str">
            <v>挡泥板</v>
          </cell>
        </row>
        <row r="26">
          <cell r="I26">
            <v>0</v>
          </cell>
          <cell r="J26">
            <v>6040</v>
          </cell>
        </row>
        <row r="26">
          <cell r="L26">
            <v>45308</v>
          </cell>
          <cell r="M26">
            <v>45308</v>
          </cell>
        </row>
        <row r="27">
          <cell r="A27">
            <v>423</v>
          </cell>
        </row>
        <row r="27">
          <cell r="C27" t="str">
            <v>朱培源</v>
          </cell>
          <cell r="D27" t="str">
            <v>挡泥板</v>
          </cell>
        </row>
        <row r="27">
          <cell r="I27">
            <v>0</v>
          </cell>
          <cell r="J27">
            <v>6058</v>
          </cell>
        </row>
        <row r="27">
          <cell r="L27">
            <v>45307</v>
          </cell>
          <cell r="M27">
            <v>45311</v>
          </cell>
        </row>
        <row r="28">
          <cell r="A28">
            <v>1140</v>
          </cell>
        </row>
        <row r="28">
          <cell r="C28" t="str">
            <v>王偲涵</v>
          </cell>
          <cell r="D28" t="str">
            <v>雨刮罩</v>
          </cell>
        </row>
        <row r="28">
          <cell r="I28">
            <v>0</v>
          </cell>
          <cell r="J28">
            <v>5510</v>
          </cell>
        </row>
        <row r="28">
          <cell r="L28">
            <v>0</v>
          </cell>
        </row>
        <row r="29">
          <cell r="A29">
            <v>1144</v>
          </cell>
        </row>
        <row r="29">
          <cell r="C29" t="str">
            <v>王偲涵</v>
          </cell>
          <cell r="D29" t="str">
            <v>车身外扩件</v>
          </cell>
        </row>
        <row r="29">
          <cell r="I29">
            <v>0</v>
          </cell>
          <cell r="J29">
            <v>5620</v>
          </cell>
        </row>
        <row r="29">
          <cell r="L29">
            <v>0</v>
          </cell>
        </row>
        <row r="30">
          <cell r="A30">
            <v>1145</v>
          </cell>
        </row>
        <row r="30">
          <cell r="C30" t="str">
            <v>转二部</v>
          </cell>
          <cell r="D30" t="str">
            <v>车身外扩件</v>
          </cell>
        </row>
        <row r="30">
          <cell r="I30">
            <v>0</v>
          </cell>
          <cell r="J30">
            <v>5589</v>
          </cell>
        </row>
        <row r="30">
          <cell r="L30">
            <v>0</v>
          </cell>
        </row>
        <row r="31">
          <cell r="A31">
            <v>972</v>
          </cell>
        </row>
        <row r="31">
          <cell r="C31" t="str">
            <v>张潇</v>
          </cell>
          <cell r="D31" t="str">
            <v>其他</v>
          </cell>
        </row>
        <row r="31">
          <cell r="I31">
            <v>0</v>
          </cell>
          <cell r="J31">
            <v>6014</v>
          </cell>
        </row>
        <row r="31">
          <cell r="L31">
            <v>45313</v>
          </cell>
          <cell r="M31">
            <v>45320</v>
          </cell>
        </row>
        <row r="32">
          <cell r="A32">
            <v>487</v>
          </cell>
        </row>
        <row r="32">
          <cell r="C32" t="str">
            <v>朱培源</v>
          </cell>
          <cell r="D32" t="str">
            <v>挡泥板</v>
          </cell>
        </row>
        <row r="32">
          <cell r="I32">
            <v>0</v>
          </cell>
          <cell r="J32">
            <v>6015</v>
          </cell>
        </row>
        <row r="32">
          <cell r="L32">
            <v>45313</v>
          </cell>
          <cell r="M32">
            <v>45343</v>
          </cell>
        </row>
        <row r="33">
          <cell r="A33">
            <v>8532</v>
          </cell>
        </row>
        <row r="33">
          <cell r="C33" t="str">
            <v>张潇</v>
          </cell>
          <cell r="D33" t="str">
            <v>挡泥板</v>
          </cell>
        </row>
        <row r="33">
          <cell r="I33">
            <v>0</v>
          </cell>
          <cell r="J33">
            <v>6016</v>
          </cell>
        </row>
        <row r="33">
          <cell r="L33">
            <v>45313</v>
          </cell>
          <cell r="M33">
            <v>45314</v>
          </cell>
        </row>
        <row r="34">
          <cell r="A34">
            <v>4692</v>
          </cell>
        </row>
        <row r="34">
          <cell r="C34" t="str">
            <v>朱培源</v>
          </cell>
          <cell r="D34" t="str">
            <v>软顶</v>
          </cell>
        </row>
        <row r="34">
          <cell r="I34">
            <v>0</v>
          </cell>
          <cell r="J34">
            <v>5993</v>
          </cell>
        </row>
        <row r="34">
          <cell r="L34">
            <v>45315</v>
          </cell>
          <cell r="M34">
            <v>45320</v>
          </cell>
        </row>
        <row r="35">
          <cell r="A35">
            <v>1125</v>
          </cell>
        </row>
        <row r="35">
          <cell r="C35" t="str">
            <v>章鹏</v>
          </cell>
          <cell r="D35" t="str">
            <v>挡泥板</v>
          </cell>
        </row>
        <row r="35">
          <cell r="I35">
            <v>0</v>
          </cell>
          <cell r="J35">
            <v>6033</v>
          </cell>
        </row>
        <row r="35">
          <cell r="L35">
            <v>45315</v>
          </cell>
          <cell r="M35">
            <v>45339</v>
          </cell>
        </row>
        <row r="36">
          <cell r="A36">
            <v>1030</v>
          </cell>
        </row>
        <row r="36">
          <cell r="C36" t="str">
            <v>张潇</v>
          </cell>
          <cell r="D36" t="str">
            <v>挡泥板</v>
          </cell>
        </row>
        <row r="36">
          <cell r="I36">
            <v>0</v>
          </cell>
          <cell r="J36">
            <v>6027</v>
          </cell>
        </row>
        <row r="36">
          <cell r="L36">
            <v>45316</v>
          </cell>
          <cell r="M36">
            <v>45318</v>
          </cell>
        </row>
        <row r="37">
          <cell r="A37">
            <v>1545</v>
          </cell>
        </row>
        <row r="37">
          <cell r="C37" t="str">
            <v>转二部</v>
          </cell>
          <cell r="D37" t="str">
            <v>车门系统</v>
          </cell>
        </row>
        <row r="37">
          <cell r="I37">
            <v>0</v>
          </cell>
          <cell r="J37">
            <v>6031</v>
          </cell>
        </row>
        <row r="37">
          <cell r="L37">
            <v>45315</v>
          </cell>
          <cell r="M37">
            <v>45320</v>
          </cell>
        </row>
        <row r="38">
          <cell r="A38">
            <v>1587</v>
          </cell>
        </row>
        <row r="38">
          <cell r="C38" t="str">
            <v>王偲涵</v>
          </cell>
          <cell r="D38" t="str">
            <v>雨刮罩</v>
          </cell>
        </row>
        <row r="38">
          <cell r="I38">
            <v>0</v>
          </cell>
          <cell r="J38">
            <v>5958</v>
          </cell>
        </row>
        <row r="38">
          <cell r="L38">
            <v>45315</v>
          </cell>
          <cell r="M38">
            <v>45320</v>
          </cell>
        </row>
        <row r="39">
          <cell r="A39">
            <v>3511</v>
          </cell>
        </row>
        <row r="39">
          <cell r="C39" t="str">
            <v>朱培源</v>
          </cell>
          <cell r="D39" t="str">
            <v>软顶</v>
          </cell>
        </row>
        <row r="39">
          <cell r="I39">
            <v>0</v>
          </cell>
          <cell r="J39">
            <v>6032</v>
          </cell>
        </row>
        <row r="39">
          <cell r="L39">
            <v>45315</v>
          </cell>
          <cell r="M39">
            <v>45317</v>
          </cell>
        </row>
        <row r="40">
          <cell r="A40">
            <v>1690</v>
          </cell>
        </row>
        <row r="40">
          <cell r="C40" t="str">
            <v>王偲涵</v>
          </cell>
          <cell r="D40" t="str">
            <v>车身外扩件</v>
          </cell>
        </row>
        <row r="40">
          <cell r="I40">
            <v>0</v>
          </cell>
          <cell r="J40">
            <v>6034</v>
          </cell>
        </row>
        <row r="40">
          <cell r="L40">
            <v>45315</v>
          </cell>
          <cell r="M40">
            <v>45386</v>
          </cell>
        </row>
        <row r="41">
          <cell r="A41">
            <v>1694</v>
          </cell>
        </row>
        <row r="41">
          <cell r="C41" t="str">
            <v>俞东旭</v>
          </cell>
          <cell r="D41" t="str">
            <v>车身外扩件</v>
          </cell>
        </row>
        <row r="41">
          <cell r="I41">
            <v>0</v>
          </cell>
          <cell r="J41">
            <v>6128</v>
          </cell>
        </row>
        <row r="41">
          <cell r="L41">
            <v>45315</v>
          </cell>
          <cell r="M41">
            <v>45322</v>
          </cell>
        </row>
        <row r="42">
          <cell r="A42">
            <v>1696</v>
          </cell>
        </row>
        <row r="42">
          <cell r="C42" t="str">
            <v>王偲涵</v>
          </cell>
          <cell r="D42" t="str">
            <v>车身外扩件</v>
          </cell>
        </row>
        <row r="42">
          <cell r="I42">
            <v>0</v>
          </cell>
          <cell r="J42">
            <v>6136</v>
          </cell>
        </row>
        <row r="42">
          <cell r="L42">
            <v>45321</v>
          </cell>
          <cell r="M42">
            <v>45349</v>
          </cell>
        </row>
        <row r="43">
          <cell r="A43">
            <v>1705</v>
          </cell>
        </row>
        <row r="43">
          <cell r="C43" t="str">
            <v>王偲涵</v>
          </cell>
          <cell r="D43" t="str">
            <v>车身外扩件</v>
          </cell>
        </row>
        <row r="43">
          <cell r="I43">
            <v>0</v>
          </cell>
          <cell r="J43">
            <v>6137</v>
          </cell>
        </row>
        <row r="43">
          <cell r="L43">
            <v>45321</v>
          </cell>
          <cell r="M43">
            <v>45321</v>
          </cell>
        </row>
        <row r="44">
          <cell r="A44">
            <v>1706</v>
          </cell>
        </row>
        <row r="44">
          <cell r="C44" t="str">
            <v>转二部</v>
          </cell>
          <cell r="D44" t="str">
            <v>车身外扩件</v>
          </cell>
        </row>
        <row r="44">
          <cell r="I44">
            <v>0</v>
          </cell>
          <cell r="J44">
            <v>6162</v>
          </cell>
        </row>
        <row r="44">
          <cell r="L44">
            <v>45322</v>
          </cell>
          <cell r="M44">
            <v>45328</v>
          </cell>
        </row>
        <row r="45">
          <cell r="A45">
            <v>1715</v>
          </cell>
        </row>
        <row r="45">
          <cell r="C45" t="str">
            <v>王偲涵</v>
          </cell>
          <cell r="D45" t="str">
            <v>车身外扩件</v>
          </cell>
        </row>
        <row r="45">
          <cell r="I45">
            <v>0</v>
          </cell>
          <cell r="J45">
            <v>6165</v>
          </cell>
        </row>
        <row r="45">
          <cell r="L45">
            <v>45322</v>
          </cell>
          <cell r="M45">
            <v>45327</v>
          </cell>
        </row>
        <row r="46">
          <cell r="A46">
            <v>1249</v>
          </cell>
        </row>
        <row r="46">
          <cell r="C46" t="str">
            <v>章鹏</v>
          </cell>
          <cell r="D46" t="str">
            <v>挡泥板</v>
          </cell>
        </row>
        <row r="46">
          <cell r="I46">
            <v>0</v>
          </cell>
          <cell r="J46">
            <v>6168</v>
          </cell>
        </row>
        <row r="46">
          <cell r="L46">
            <v>45322</v>
          </cell>
          <cell r="M46">
            <v>45338</v>
          </cell>
        </row>
        <row r="47">
          <cell r="A47">
            <v>1748</v>
          </cell>
        </row>
        <row r="47">
          <cell r="C47" t="str">
            <v>王偲涵</v>
          </cell>
          <cell r="D47" t="str">
            <v>车身外扩件</v>
          </cell>
        </row>
        <row r="47">
          <cell r="I47">
            <v>0</v>
          </cell>
          <cell r="J47">
            <v>6169</v>
          </cell>
        </row>
        <row r="47">
          <cell r="L47">
            <v>45322</v>
          </cell>
          <cell r="M47">
            <v>45399</v>
          </cell>
        </row>
        <row r="48">
          <cell r="A48">
            <v>1045</v>
          </cell>
        </row>
        <row r="48">
          <cell r="C48" t="str">
            <v>朱培源</v>
          </cell>
          <cell r="D48" t="str">
            <v>挡泥板</v>
          </cell>
        </row>
        <row r="48">
          <cell r="I48">
            <v>0</v>
          </cell>
          <cell r="J48">
            <v>6170</v>
          </cell>
        </row>
        <row r="48">
          <cell r="L48">
            <v>45322</v>
          </cell>
          <cell r="M48">
            <v>45322</v>
          </cell>
        </row>
        <row r="49">
          <cell r="A49">
            <v>108</v>
          </cell>
        </row>
        <row r="49">
          <cell r="C49" t="str">
            <v>胡煜星</v>
          </cell>
          <cell r="D49" t="str">
            <v>车门系统</v>
          </cell>
        </row>
        <row r="49">
          <cell r="I49">
            <v>0</v>
          </cell>
          <cell r="J49">
            <v>6171</v>
          </cell>
        </row>
        <row r="49">
          <cell r="L49">
            <v>45322</v>
          </cell>
          <cell r="M49">
            <v>45345</v>
          </cell>
        </row>
        <row r="50">
          <cell r="A50">
            <v>109</v>
          </cell>
        </row>
        <row r="50">
          <cell r="C50" t="str">
            <v>胡煜星</v>
          </cell>
          <cell r="D50" t="str">
            <v>车门系统</v>
          </cell>
        </row>
        <row r="50">
          <cell r="I50">
            <v>0</v>
          </cell>
          <cell r="J50">
            <v>6172</v>
          </cell>
        </row>
        <row r="50">
          <cell r="L50">
            <v>45322</v>
          </cell>
          <cell r="M50">
            <v>45323</v>
          </cell>
        </row>
        <row r="51">
          <cell r="A51">
            <v>2623</v>
          </cell>
        </row>
        <row r="51">
          <cell r="C51" t="str">
            <v>胡煜星</v>
          </cell>
          <cell r="D51" t="str">
            <v>车门系统</v>
          </cell>
        </row>
        <row r="51">
          <cell r="I51">
            <v>0</v>
          </cell>
          <cell r="J51">
            <v>6173</v>
          </cell>
        </row>
        <row r="51">
          <cell r="L51">
            <v>45323</v>
          </cell>
          <cell r="M51">
            <v>45328</v>
          </cell>
        </row>
        <row r="52">
          <cell r="A52">
            <v>1026</v>
          </cell>
        </row>
        <row r="52">
          <cell r="C52" t="str">
            <v>王偲涵</v>
          </cell>
          <cell r="D52" t="str">
            <v>饰条</v>
          </cell>
        </row>
        <row r="52">
          <cell r="I52">
            <v>0</v>
          </cell>
          <cell r="J52">
            <v>4817</v>
          </cell>
        </row>
        <row r="52">
          <cell r="L52">
            <v>0</v>
          </cell>
        </row>
        <row r="53">
          <cell r="A53">
            <v>2485</v>
          </cell>
        </row>
        <row r="53">
          <cell r="C53" t="str">
            <v>俞东旭</v>
          </cell>
          <cell r="D53" t="str">
            <v>车门系统</v>
          </cell>
        </row>
        <row r="53">
          <cell r="I53">
            <v>0</v>
          </cell>
          <cell r="J53">
            <v>4679</v>
          </cell>
        </row>
        <row r="53">
          <cell r="L53">
            <v>0</v>
          </cell>
        </row>
        <row r="54">
          <cell r="A54">
            <v>1025</v>
          </cell>
        </row>
        <row r="54">
          <cell r="C54" t="str">
            <v>王偲涵</v>
          </cell>
          <cell r="D54" t="str">
            <v>饰条</v>
          </cell>
        </row>
        <row r="54">
          <cell r="I54">
            <v>0</v>
          </cell>
          <cell r="J54">
            <v>5119</v>
          </cell>
        </row>
        <row r="54">
          <cell r="L54">
            <v>0</v>
          </cell>
        </row>
        <row r="55">
          <cell r="A55">
            <v>1024</v>
          </cell>
        </row>
        <row r="55">
          <cell r="C55" t="str">
            <v>王偲涵</v>
          </cell>
          <cell r="D55" t="str">
            <v>饰条</v>
          </cell>
        </row>
        <row r="55">
          <cell r="I55">
            <v>0</v>
          </cell>
          <cell r="J55">
            <v>5834</v>
          </cell>
        </row>
        <row r="55">
          <cell r="L55">
            <v>45328</v>
          </cell>
          <cell r="M55">
            <v>45341</v>
          </cell>
        </row>
        <row r="56">
          <cell r="A56">
            <v>1027</v>
          </cell>
        </row>
        <row r="56">
          <cell r="C56" t="str">
            <v>章鹏</v>
          </cell>
          <cell r="D56" t="str">
            <v>其他</v>
          </cell>
        </row>
        <row r="56">
          <cell r="I56">
            <v>0</v>
          </cell>
          <cell r="J56">
            <v>6187</v>
          </cell>
        </row>
        <row r="56">
          <cell r="L56">
            <v>45334</v>
          </cell>
          <cell r="M56">
            <v>45343</v>
          </cell>
        </row>
        <row r="57">
          <cell r="A57">
            <v>547</v>
          </cell>
        </row>
        <row r="57">
          <cell r="C57" t="str">
            <v>胡煜星</v>
          </cell>
          <cell r="D57" t="str">
            <v>车门系统</v>
          </cell>
        </row>
        <row r="57">
          <cell r="I57">
            <v>0</v>
          </cell>
          <cell r="J57">
            <v>6188</v>
          </cell>
        </row>
        <row r="57">
          <cell r="L57">
            <v>45334</v>
          </cell>
          <cell r="M57">
            <v>45341</v>
          </cell>
        </row>
        <row r="58">
          <cell r="A58">
            <v>1126</v>
          </cell>
        </row>
        <row r="58">
          <cell r="C58" t="str">
            <v>朱培源</v>
          </cell>
          <cell r="D58" t="str">
            <v>机盖及附件</v>
          </cell>
        </row>
        <row r="58">
          <cell r="I58">
            <v>0</v>
          </cell>
          <cell r="J58">
            <v>6189</v>
          </cell>
        </row>
        <row r="58">
          <cell r="L58">
            <v>45335</v>
          </cell>
          <cell r="M58">
            <v>45338</v>
          </cell>
        </row>
        <row r="59">
          <cell r="A59">
            <v>8089</v>
          </cell>
        </row>
        <row r="59">
          <cell r="C59" t="str">
            <v>章鹏</v>
          </cell>
          <cell r="D59" t="str">
            <v>挡泥板</v>
          </cell>
        </row>
        <row r="59">
          <cell r="I59">
            <v>0</v>
          </cell>
          <cell r="J59">
            <v>6190</v>
          </cell>
        </row>
        <row r="59">
          <cell r="L59">
            <v>45334</v>
          </cell>
          <cell r="M59">
            <v>45339</v>
          </cell>
        </row>
        <row r="60">
          <cell r="A60">
            <v>1134</v>
          </cell>
        </row>
        <row r="60">
          <cell r="C60" t="str">
            <v>张潇</v>
          </cell>
          <cell r="D60" t="str">
            <v>饰条</v>
          </cell>
        </row>
        <row r="60">
          <cell r="I60">
            <v>0</v>
          </cell>
          <cell r="J60">
            <v>6221</v>
          </cell>
        </row>
        <row r="60">
          <cell r="L60">
            <v>45336</v>
          </cell>
          <cell r="M60">
            <v>45366</v>
          </cell>
        </row>
        <row r="61">
          <cell r="A61">
            <v>1044</v>
          </cell>
        </row>
        <row r="61">
          <cell r="C61" t="str">
            <v>俞东旭</v>
          </cell>
          <cell r="D61" t="str">
            <v>挡泥板</v>
          </cell>
        </row>
        <row r="61">
          <cell r="I61">
            <v>0</v>
          </cell>
          <cell r="J61">
            <v>6222</v>
          </cell>
        </row>
        <row r="61">
          <cell r="L61">
            <v>45337</v>
          </cell>
          <cell r="M61">
            <v>45342</v>
          </cell>
        </row>
        <row r="62">
          <cell r="A62">
            <v>1251</v>
          </cell>
        </row>
        <row r="62">
          <cell r="C62" t="str">
            <v>章鹏</v>
          </cell>
          <cell r="D62" t="str">
            <v>挡泥板</v>
          </cell>
        </row>
        <row r="62">
          <cell r="I62">
            <v>0</v>
          </cell>
          <cell r="J62">
            <v>6223</v>
          </cell>
        </row>
        <row r="62">
          <cell r="L62">
            <v>45335</v>
          </cell>
          <cell r="M62">
            <v>45341</v>
          </cell>
        </row>
        <row r="63">
          <cell r="A63">
            <v>1199</v>
          </cell>
        </row>
        <row r="63">
          <cell r="C63" t="str">
            <v>朱培源</v>
          </cell>
          <cell r="D63" t="str">
            <v>饰条</v>
          </cell>
        </row>
        <row r="63">
          <cell r="I63">
            <v>0</v>
          </cell>
          <cell r="J63">
            <v>6224</v>
          </cell>
        </row>
        <row r="63">
          <cell r="L63">
            <v>45335</v>
          </cell>
          <cell r="M63">
            <v>45335</v>
          </cell>
        </row>
        <row r="64">
          <cell r="A64">
            <v>1203</v>
          </cell>
        </row>
        <row r="64">
          <cell r="C64" t="str">
            <v>朱培源</v>
          </cell>
          <cell r="D64" t="str">
            <v>饰条</v>
          </cell>
        </row>
        <row r="64">
          <cell r="I64">
            <v>0</v>
          </cell>
          <cell r="J64">
            <v>6246</v>
          </cell>
        </row>
        <row r="64">
          <cell r="L64">
            <v>45336</v>
          </cell>
          <cell r="M64">
            <v>45338</v>
          </cell>
        </row>
        <row r="65">
          <cell r="A65">
            <v>1135</v>
          </cell>
        </row>
        <row r="65">
          <cell r="C65" t="str">
            <v>张潇</v>
          </cell>
          <cell r="D65" t="str">
            <v>饰条</v>
          </cell>
        </row>
        <row r="65">
          <cell r="I65">
            <v>0</v>
          </cell>
          <cell r="J65">
            <v>6247</v>
          </cell>
        </row>
        <row r="65">
          <cell r="L65">
            <v>45336</v>
          </cell>
          <cell r="M65">
            <v>45337</v>
          </cell>
        </row>
        <row r="66">
          <cell r="A66">
            <v>10090</v>
          </cell>
        </row>
        <row r="66">
          <cell r="C66" t="str">
            <v>朱培源</v>
          </cell>
          <cell r="D66" t="str">
            <v>软顶</v>
          </cell>
        </row>
        <row r="66">
          <cell r="I66">
            <v>0</v>
          </cell>
          <cell r="J66">
            <v>6249</v>
          </cell>
        </row>
        <row r="66">
          <cell r="L66">
            <v>45336</v>
          </cell>
          <cell r="M66">
            <v>45341</v>
          </cell>
        </row>
        <row r="67">
          <cell r="A67">
            <v>1178</v>
          </cell>
        </row>
        <row r="67">
          <cell r="C67" t="str">
            <v>胡煜星</v>
          </cell>
          <cell r="D67" t="str">
            <v>车门系统</v>
          </cell>
        </row>
        <row r="67">
          <cell r="I67">
            <v>0</v>
          </cell>
          <cell r="J67">
            <v>5501</v>
          </cell>
        </row>
        <row r="67">
          <cell r="L67">
            <v>0</v>
          </cell>
        </row>
        <row r="68">
          <cell r="A68">
            <v>1390</v>
          </cell>
        </row>
        <row r="68">
          <cell r="C68" t="str">
            <v>朱培源</v>
          </cell>
          <cell r="D68" t="str">
            <v>饰条</v>
          </cell>
        </row>
        <row r="68">
          <cell r="I68">
            <v>0</v>
          </cell>
          <cell r="J68">
            <v>5641</v>
          </cell>
        </row>
        <row r="68">
          <cell r="L68">
            <v>45230</v>
          </cell>
        </row>
        <row r="69">
          <cell r="A69">
            <v>1188</v>
          </cell>
        </row>
        <row r="69">
          <cell r="C69" t="str">
            <v>章鹏</v>
          </cell>
          <cell r="D69" t="str">
            <v>挡泥板</v>
          </cell>
        </row>
        <row r="69">
          <cell r="I69">
            <v>0</v>
          </cell>
          <cell r="J69">
            <v>6200</v>
          </cell>
        </row>
        <row r="69">
          <cell r="L69">
            <v>45339</v>
          </cell>
          <cell r="M69">
            <v>45349</v>
          </cell>
        </row>
        <row r="70">
          <cell r="A70">
            <v>1235</v>
          </cell>
        </row>
        <row r="70">
          <cell r="C70" t="str">
            <v>王偲涵</v>
          </cell>
          <cell r="D70" t="str">
            <v>雨刮罩</v>
          </cell>
        </row>
        <row r="70">
          <cell r="I70">
            <v>0</v>
          </cell>
          <cell r="J70">
            <v>6201</v>
          </cell>
        </row>
        <row r="70">
          <cell r="L70">
            <v>45339</v>
          </cell>
          <cell r="M70">
            <v>45345</v>
          </cell>
        </row>
        <row r="71">
          <cell r="A71">
            <v>1657</v>
          </cell>
        </row>
        <row r="71">
          <cell r="C71" t="str">
            <v>张潇</v>
          </cell>
          <cell r="D71" t="str">
            <v>挡泥板</v>
          </cell>
        </row>
        <row r="71">
          <cell r="I71">
            <v>0</v>
          </cell>
          <cell r="J71">
            <v>6202</v>
          </cell>
        </row>
        <row r="71">
          <cell r="L71">
            <v>45338</v>
          </cell>
          <cell r="M71">
            <v>45345</v>
          </cell>
        </row>
        <row r="72">
          <cell r="A72">
            <v>1159</v>
          </cell>
        </row>
        <row r="72">
          <cell r="C72" t="str">
            <v>张潇</v>
          </cell>
          <cell r="D72" t="str">
            <v>挡泥板</v>
          </cell>
        </row>
        <row r="72">
          <cell r="I72">
            <v>0</v>
          </cell>
          <cell r="J72">
            <v>6204</v>
          </cell>
        </row>
        <row r="72">
          <cell r="L72">
            <v>45338</v>
          </cell>
          <cell r="M72">
            <v>45340</v>
          </cell>
        </row>
        <row r="73">
          <cell r="A73">
            <v>5987</v>
          </cell>
        </row>
        <row r="73">
          <cell r="C73" t="str">
            <v>俞东旭</v>
          </cell>
          <cell r="D73" t="str">
            <v>其他</v>
          </cell>
        </row>
        <row r="73">
          <cell r="I73">
            <v>0</v>
          </cell>
          <cell r="J73">
            <v>6203</v>
          </cell>
        </row>
        <row r="73">
          <cell r="L73">
            <v>45338</v>
          </cell>
          <cell r="M73">
            <v>45338</v>
          </cell>
        </row>
        <row r="74">
          <cell r="A74">
            <v>1494</v>
          </cell>
        </row>
        <row r="74">
          <cell r="C74" t="str">
            <v>俞东旭</v>
          </cell>
          <cell r="D74" t="str">
            <v>车身外扩件</v>
          </cell>
        </row>
        <row r="74">
          <cell r="I74">
            <v>0</v>
          </cell>
          <cell r="J74">
            <v>6226</v>
          </cell>
        </row>
        <row r="74">
          <cell r="L74">
            <v>45341</v>
          </cell>
          <cell r="M74">
            <v>45346</v>
          </cell>
        </row>
        <row r="75">
          <cell r="A75">
            <v>1544</v>
          </cell>
        </row>
        <row r="75">
          <cell r="C75" t="str">
            <v>胡煜星</v>
          </cell>
          <cell r="D75" t="str">
            <v>车门系统</v>
          </cell>
        </row>
        <row r="75">
          <cell r="I75">
            <v>0</v>
          </cell>
          <cell r="J75">
            <v>6303</v>
          </cell>
        </row>
        <row r="75">
          <cell r="L75">
            <v>45344</v>
          </cell>
          <cell r="M75">
            <v>45346</v>
          </cell>
        </row>
        <row r="76">
          <cell r="A76">
            <v>1117</v>
          </cell>
        </row>
        <row r="76">
          <cell r="C76" t="str">
            <v>王偲涵</v>
          </cell>
          <cell r="D76" t="str">
            <v>饰条</v>
          </cell>
        </row>
        <row r="76">
          <cell r="I76">
            <v>0</v>
          </cell>
          <cell r="J76">
            <v>6304</v>
          </cell>
        </row>
        <row r="76">
          <cell r="L76">
            <v>45344</v>
          </cell>
          <cell r="M76">
            <v>45347</v>
          </cell>
        </row>
        <row r="77">
          <cell r="A77">
            <v>2834</v>
          </cell>
        </row>
        <row r="77">
          <cell r="C77" t="str">
            <v>朱培源</v>
          </cell>
          <cell r="D77" t="str">
            <v>软顶</v>
          </cell>
        </row>
        <row r="77">
          <cell r="I77">
            <v>0</v>
          </cell>
          <cell r="J77">
            <v>5502</v>
          </cell>
        </row>
        <row r="77">
          <cell r="L77">
            <v>0</v>
          </cell>
        </row>
        <row r="78">
          <cell r="A78">
            <v>3731</v>
          </cell>
        </row>
        <row r="78">
          <cell r="C78" t="str">
            <v>张潇</v>
          </cell>
          <cell r="D78" t="str">
            <v>饰条</v>
          </cell>
        </row>
        <row r="78">
          <cell r="I78">
            <v>0</v>
          </cell>
          <cell r="J78">
            <v>5787</v>
          </cell>
        </row>
        <row r="78">
          <cell r="L78">
            <v>45364</v>
          </cell>
          <cell r="M78">
            <v>45369</v>
          </cell>
        </row>
        <row r="79">
          <cell r="A79">
            <v>5064</v>
          </cell>
        </row>
        <row r="79">
          <cell r="C79" t="str">
            <v>俞东旭</v>
          </cell>
          <cell r="D79" t="str">
            <v>车身外扩件</v>
          </cell>
        </row>
        <row r="79">
          <cell r="I79">
            <v>0</v>
          </cell>
          <cell r="J79">
            <v>5788</v>
          </cell>
        </row>
        <row r="79">
          <cell r="L79">
            <v>45364</v>
          </cell>
          <cell r="M79">
            <v>45369</v>
          </cell>
        </row>
        <row r="80">
          <cell r="A80">
            <v>4328</v>
          </cell>
        </row>
        <row r="80">
          <cell r="C80" t="str">
            <v>胡煜星</v>
          </cell>
          <cell r="D80" t="str">
            <v>车身外扩件</v>
          </cell>
        </row>
        <row r="80">
          <cell r="I80">
            <v>0</v>
          </cell>
          <cell r="J80">
            <v>5792</v>
          </cell>
        </row>
        <row r="80">
          <cell r="L80">
            <v>45364</v>
          </cell>
          <cell r="M80">
            <v>45403</v>
          </cell>
        </row>
        <row r="81">
          <cell r="A81">
            <v>1191</v>
          </cell>
        </row>
        <row r="81">
          <cell r="C81" t="str">
            <v>朱培源</v>
          </cell>
          <cell r="D81" t="str">
            <v>机盖及附件</v>
          </cell>
        </row>
        <row r="81">
          <cell r="I81">
            <v>0</v>
          </cell>
          <cell r="J81">
            <v>5889</v>
          </cell>
        </row>
        <row r="81">
          <cell r="L81">
            <v>45364</v>
          </cell>
          <cell r="M81">
            <v>45364</v>
          </cell>
        </row>
        <row r="82">
          <cell r="A82">
            <v>4658</v>
          </cell>
        </row>
        <row r="82">
          <cell r="C82" t="str">
            <v>俞东旭</v>
          </cell>
          <cell r="D82" t="str">
            <v>挡泥板</v>
          </cell>
        </row>
        <row r="82">
          <cell r="I82">
            <v>0</v>
          </cell>
          <cell r="J82">
            <v>5812</v>
          </cell>
        </row>
        <row r="82">
          <cell r="L82">
            <v>45364</v>
          </cell>
          <cell r="M82">
            <v>45376</v>
          </cell>
        </row>
        <row r="83">
          <cell r="A83">
            <v>2851</v>
          </cell>
        </row>
        <row r="83">
          <cell r="C83" t="str">
            <v>朱培源</v>
          </cell>
          <cell r="D83" t="str">
            <v>软顶</v>
          </cell>
        </row>
        <row r="83">
          <cell r="I83">
            <v>0</v>
          </cell>
          <cell r="J83">
            <v>5817</v>
          </cell>
        </row>
        <row r="83">
          <cell r="L83">
            <v>45365</v>
          </cell>
          <cell r="M83">
            <v>45403</v>
          </cell>
        </row>
        <row r="84">
          <cell r="A84">
            <v>4311</v>
          </cell>
        </row>
        <row r="84">
          <cell r="C84" t="str">
            <v>胡煜星</v>
          </cell>
          <cell r="D84" t="str">
            <v>车门系统</v>
          </cell>
        </row>
        <row r="84">
          <cell r="I84">
            <v>0</v>
          </cell>
          <cell r="J84">
            <v>5813</v>
          </cell>
        </row>
        <row r="84">
          <cell r="L84">
            <v>45365</v>
          </cell>
          <cell r="M84">
            <v>45487</v>
          </cell>
        </row>
        <row r="85">
          <cell r="A85">
            <v>1310</v>
          </cell>
        </row>
        <row r="85">
          <cell r="C85" t="str">
            <v>张潇</v>
          </cell>
          <cell r="D85" t="str">
            <v>牌照板支架</v>
          </cell>
        </row>
        <row r="85">
          <cell r="I85">
            <v>0</v>
          </cell>
          <cell r="J85">
            <v>5835</v>
          </cell>
        </row>
        <row r="85">
          <cell r="L85">
            <v>45364</v>
          </cell>
          <cell r="M85">
            <v>45366</v>
          </cell>
        </row>
        <row r="86">
          <cell r="A86">
            <v>1031</v>
          </cell>
        </row>
        <row r="86">
          <cell r="C86" t="str">
            <v>朱培源</v>
          </cell>
          <cell r="D86" t="str">
            <v>软顶</v>
          </cell>
        </row>
        <row r="86">
          <cell r="I86">
            <v>0</v>
          </cell>
          <cell r="J86">
            <v>5836</v>
          </cell>
        </row>
        <row r="86">
          <cell r="L86">
            <v>45364</v>
          </cell>
          <cell r="M86">
            <v>45369</v>
          </cell>
        </row>
        <row r="87">
          <cell r="A87">
            <v>971</v>
          </cell>
        </row>
        <row r="87">
          <cell r="C87" t="str">
            <v>张潇</v>
          </cell>
          <cell r="D87" t="str">
            <v>其他</v>
          </cell>
        </row>
        <row r="87">
          <cell r="I87" t="e">
            <v>#N/A</v>
          </cell>
          <cell r="J87">
            <v>5379</v>
          </cell>
        </row>
        <row r="87">
          <cell r="L87" t="e">
            <v>#N/A</v>
          </cell>
          <cell r="M87">
            <v>45394</v>
          </cell>
        </row>
        <row r="88">
          <cell r="A88">
            <v>5869</v>
          </cell>
        </row>
        <row r="88">
          <cell r="C88" t="str">
            <v>俞东旭</v>
          </cell>
          <cell r="D88" t="str">
            <v>其他</v>
          </cell>
        </row>
        <row r="88">
          <cell r="I88">
            <v>0</v>
          </cell>
          <cell r="J88">
            <v>6365</v>
          </cell>
        </row>
        <row r="88">
          <cell r="L88">
            <v>45369</v>
          </cell>
          <cell r="M88">
            <v>45370</v>
          </cell>
        </row>
        <row r="89">
          <cell r="A89">
            <v>5660</v>
          </cell>
        </row>
        <row r="89">
          <cell r="C89" t="str">
            <v>胡煜星</v>
          </cell>
          <cell r="D89" t="str">
            <v>车门系统</v>
          </cell>
        </row>
        <row r="89">
          <cell r="I89">
            <v>0</v>
          </cell>
          <cell r="J89">
            <v>6361</v>
          </cell>
        </row>
        <row r="89">
          <cell r="L89">
            <v>45369</v>
          </cell>
          <cell r="M89">
            <v>45370</v>
          </cell>
        </row>
        <row r="90">
          <cell r="A90">
            <v>5567</v>
          </cell>
        </row>
        <row r="90">
          <cell r="C90" t="str">
            <v>俞东旭</v>
          </cell>
          <cell r="D90" t="str">
            <v>车门系统</v>
          </cell>
        </row>
        <row r="90">
          <cell r="I90">
            <v>0</v>
          </cell>
          <cell r="J90">
            <v>6352</v>
          </cell>
        </row>
        <row r="90">
          <cell r="L90" t="str">
            <v>重复AP-377不上架</v>
          </cell>
        </row>
        <row r="91">
          <cell r="A91">
            <v>1372</v>
          </cell>
        </row>
        <row r="91">
          <cell r="C91" t="str">
            <v>朱培源</v>
          </cell>
          <cell r="D91" t="str">
            <v>饰条</v>
          </cell>
        </row>
        <row r="91">
          <cell r="I91">
            <v>0</v>
          </cell>
          <cell r="J91">
            <v>6379</v>
          </cell>
        </row>
        <row r="91">
          <cell r="L91">
            <v>45378</v>
          </cell>
          <cell r="M91">
            <v>45379</v>
          </cell>
        </row>
        <row r="92">
          <cell r="A92">
            <v>5581</v>
          </cell>
        </row>
        <row r="92">
          <cell r="C92" t="str">
            <v>俞东旭</v>
          </cell>
          <cell r="D92" t="str">
            <v>挡泥板</v>
          </cell>
        </row>
        <row r="92">
          <cell r="I92">
            <v>0</v>
          </cell>
          <cell r="J92">
            <v>6380</v>
          </cell>
        </row>
        <row r="92">
          <cell r="L92">
            <v>45377</v>
          </cell>
          <cell r="M92">
            <v>45378</v>
          </cell>
        </row>
        <row r="93">
          <cell r="A93">
            <v>1116</v>
          </cell>
        </row>
        <row r="93">
          <cell r="C93" t="str">
            <v>王偲涵</v>
          </cell>
          <cell r="D93" t="str">
            <v>饰条</v>
          </cell>
        </row>
        <row r="93">
          <cell r="I93">
            <v>0</v>
          </cell>
          <cell r="J93">
            <v>6381</v>
          </cell>
        </row>
        <row r="93">
          <cell r="L93">
            <v>45377</v>
          </cell>
          <cell r="M93">
            <v>45383</v>
          </cell>
        </row>
        <row r="94">
          <cell r="A94">
            <v>1118</v>
          </cell>
        </row>
        <row r="94">
          <cell r="C94" t="str">
            <v>王偲涵</v>
          </cell>
          <cell r="D94" t="str">
            <v>饰条</v>
          </cell>
        </row>
        <row r="94">
          <cell r="I94">
            <v>0</v>
          </cell>
          <cell r="J94">
            <v>6383</v>
          </cell>
        </row>
        <row r="94">
          <cell r="L94">
            <v>45378</v>
          </cell>
          <cell r="M94">
            <v>45382</v>
          </cell>
        </row>
        <row r="95">
          <cell r="A95">
            <v>7288</v>
          </cell>
        </row>
        <row r="95">
          <cell r="C95" t="str">
            <v>俞东旭</v>
          </cell>
          <cell r="D95" t="str">
            <v>车身外扩件</v>
          </cell>
        </row>
        <row r="95">
          <cell r="I95">
            <v>0</v>
          </cell>
          <cell r="J95">
            <v>6429</v>
          </cell>
        </row>
        <row r="95">
          <cell r="L95">
            <v>45377</v>
          </cell>
          <cell r="M95">
            <v>45385</v>
          </cell>
        </row>
        <row r="96">
          <cell r="A96">
            <v>8461</v>
          </cell>
        </row>
        <row r="96">
          <cell r="C96" t="str">
            <v>俞东旭</v>
          </cell>
          <cell r="D96" t="str">
            <v>挡泥板</v>
          </cell>
        </row>
        <row r="96">
          <cell r="I96">
            <v>0</v>
          </cell>
          <cell r="J96">
            <v>6430</v>
          </cell>
        </row>
        <row r="96">
          <cell r="L96">
            <v>45377</v>
          </cell>
          <cell r="M96">
            <v>45383</v>
          </cell>
        </row>
        <row r="97">
          <cell r="A97">
            <v>8462</v>
          </cell>
        </row>
        <row r="97">
          <cell r="C97" t="str">
            <v>俞东旭</v>
          </cell>
          <cell r="D97" t="str">
            <v>挡泥板</v>
          </cell>
        </row>
        <row r="97">
          <cell r="I97">
            <v>0</v>
          </cell>
          <cell r="J97">
            <v>6431</v>
          </cell>
        </row>
        <row r="97">
          <cell r="L97">
            <v>45377</v>
          </cell>
          <cell r="M97">
            <v>45384</v>
          </cell>
        </row>
        <row r="98">
          <cell r="A98">
            <v>1167</v>
          </cell>
        </row>
        <row r="98">
          <cell r="C98" t="str">
            <v>章鹏</v>
          </cell>
          <cell r="D98" t="str">
            <v>其他</v>
          </cell>
        </row>
        <row r="98">
          <cell r="I98">
            <v>0</v>
          </cell>
          <cell r="J98">
            <v>6432</v>
          </cell>
        </row>
        <row r="98">
          <cell r="L98">
            <v>45377</v>
          </cell>
          <cell r="M98">
            <v>45379</v>
          </cell>
        </row>
        <row r="99">
          <cell r="A99">
            <v>7609</v>
          </cell>
        </row>
        <row r="99">
          <cell r="C99" t="str">
            <v>俞东旭</v>
          </cell>
          <cell r="D99" t="str">
            <v>挡泥板</v>
          </cell>
        </row>
        <row r="99">
          <cell r="I99">
            <v>0</v>
          </cell>
          <cell r="J99">
            <v>6433</v>
          </cell>
        </row>
        <row r="99">
          <cell r="L99">
            <v>45377</v>
          </cell>
          <cell r="M99">
            <v>45378</v>
          </cell>
        </row>
        <row r="100">
          <cell r="A100">
            <v>2388</v>
          </cell>
        </row>
        <row r="100">
          <cell r="C100" t="str">
            <v>朱培源</v>
          </cell>
          <cell r="D100" t="str">
            <v>饰条</v>
          </cell>
        </row>
        <row r="100">
          <cell r="I100">
            <v>0</v>
          </cell>
          <cell r="J100">
            <v>6434</v>
          </cell>
        </row>
        <row r="100">
          <cell r="L100">
            <v>45377</v>
          </cell>
          <cell r="M100">
            <v>45390</v>
          </cell>
        </row>
        <row r="101">
          <cell r="A101">
            <v>3575</v>
          </cell>
        </row>
        <row r="101">
          <cell r="C101" t="str">
            <v>朱培源</v>
          </cell>
          <cell r="D101" t="str">
            <v>软顶</v>
          </cell>
        </row>
        <row r="101">
          <cell r="I101">
            <v>0</v>
          </cell>
          <cell r="J101">
            <v>6446</v>
          </cell>
        </row>
        <row r="101">
          <cell r="L101">
            <v>45377</v>
          </cell>
          <cell r="M101">
            <v>45380</v>
          </cell>
        </row>
        <row r="102">
          <cell r="A102">
            <v>4691</v>
          </cell>
        </row>
        <row r="102">
          <cell r="C102" t="str">
            <v>朱培源</v>
          </cell>
          <cell r="D102" t="str">
            <v>软顶</v>
          </cell>
        </row>
        <row r="102">
          <cell r="I102">
            <v>0</v>
          </cell>
          <cell r="J102">
            <v>6451</v>
          </cell>
        </row>
        <row r="102">
          <cell r="L102">
            <v>45377</v>
          </cell>
          <cell r="M102">
            <v>45393</v>
          </cell>
        </row>
        <row r="103">
          <cell r="A103">
            <v>1655</v>
          </cell>
        </row>
        <row r="103">
          <cell r="C103" t="str">
            <v>张潇</v>
          </cell>
          <cell r="D103" t="str">
            <v>挡泥板</v>
          </cell>
        </row>
        <row r="103">
          <cell r="I103">
            <v>0</v>
          </cell>
          <cell r="J103">
            <v>6420</v>
          </cell>
        </row>
        <row r="103">
          <cell r="L103">
            <v>45379</v>
          </cell>
          <cell r="M103">
            <v>45382</v>
          </cell>
        </row>
        <row r="104">
          <cell r="A104">
            <v>8463</v>
          </cell>
        </row>
        <row r="104">
          <cell r="C104" t="str">
            <v>张潇</v>
          </cell>
          <cell r="D104" t="str">
            <v>挡泥板</v>
          </cell>
        </row>
        <row r="104">
          <cell r="I104">
            <v>0</v>
          </cell>
          <cell r="J104">
            <v>6422</v>
          </cell>
        </row>
        <row r="104">
          <cell r="L104">
            <v>45383</v>
          </cell>
          <cell r="M104">
            <v>45389</v>
          </cell>
        </row>
        <row r="105">
          <cell r="A105">
            <v>1379</v>
          </cell>
        </row>
        <row r="105">
          <cell r="C105" t="str">
            <v>朱培源</v>
          </cell>
          <cell r="D105" t="str">
            <v>机盖及附件</v>
          </cell>
        </row>
        <row r="105">
          <cell r="I105">
            <v>0</v>
          </cell>
          <cell r="J105">
            <v>6642</v>
          </cell>
        </row>
        <row r="105">
          <cell r="L105">
            <v>45383</v>
          </cell>
          <cell r="M105">
            <v>45441</v>
          </cell>
        </row>
        <row r="106">
          <cell r="A106">
            <v>1538</v>
          </cell>
        </row>
        <row r="106">
          <cell r="C106" t="str">
            <v>朱培源</v>
          </cell>
          <cell r="D106" t="str">
            <v>饰条</v>
          </cell>
        </row>
        <row r="106">
          <cell r="I106">
            <v>0</v>
          </cell>
          <cell r="J106">
            <v>6382</v>
          </cell>
        </row>
        <row r="106">
          <cell r="L106">
            <v>45380</v>
          </cell>
          <cell r="M106">
            <v>45390</v>
          </cell>
        </row>
        <row r="107">
          <cell r="A107">
            <v>8541</v>
          </cell>
        </row>
        <row r="107">
          <cell r="C107" t="str">
            <v>章鹏</v>
          </cell>
          <cell r="D107" t="str">
            <v>挡泥板</v>
          </cell>
        </row>
        <row r="107">
          <cell r="I107">
            <v>0</v>
          </cell>
          <cell r="J107">
            <v>6452</v>
          </cell>
        </row>
        <row r="107">
          <cell r="L107">
            <v>45380</v>
          </cell>
          <cell r="M107">
            <v>45389</v>
          </cell>
        </row>
        <row r="108">
          <cell r="A108">
            <v>1407</v>
          </cell>
        </row>
        <row r="108">
          <cell r="C108" t="str">
            <v>朱培源</v>
          </cell>
          <cell r="D108" t="str">
            <v>软顶</v>
          </cell>
        </row>
        <row r="108">
          <cell r="I108">
            <v>0</v>
          </cell>
          <cell r="J108">
            <v>6453</v>
          </cell>
        </row>
        <row r="108">
          <cell r="L108">
            <v>45380</v>
          </cell>
          <cell r="M108">
            <v>45397</v>
          </cell>
        </row>
        <row r="109">
          <cell r="A109">
            <v>9777</v>
          </cell>
        </row>
        <row r="109">
          <cell r="C109" t="str">
            <v>胡煜星</v>
          </cell>
          <cell r="D109" t="str">
            <v>玻璃</v>
          </cell>
        </row>
        <row r="109">
          <cell r="I109">
            <v>0</v>
          </cell>
          <cell r="J109">
            <v>6454</v>
          </cell>
        </row>
        <row r="109">
          <cell r="L109">
            <v>45380</v>
          </cell>
          <cell r="M109">
            <v>45389</v>
          </cell>
        </row>
        <row r="110">
          <cell r="A110">
            <v>9305</v>
          </cell>
        </row>
        <row r="110">
          <cell r="C110" t="str">
            <v>章鹏</v>
          </cell>
          <cell r="D110" t="str">
            <v>挡泥板</v>
          </cell>
        </row>
        <row r="110">
          <cell r="I110">
            <v>0</v>
          </cell>
          <cell r="J110">
            <v>6465</v>
          </cell>
        </row>
        <row r="110">
          <cell r="L110">
            <v>45380</v>
          </cell>
          <cell r="M110">
            <v>45398</v>
          </cell>
        </row>
        <row r="111">
          <cell r="A111">
            <v>259</v>
          </cell>
        </row>
        <row r="111">
          <cell r="C111" t="str">
            <v>胡煜星</v>
          </cell>
          <cell r="D111" t="str">
            <v>车门系统</v>
          </cell>
        </row>
        <row r="111">
          <cell r="I111">
            <v>0</v>
          </cell>
          <cell r="J111">
            <v>6475</v>
          </cell>
        </row>
        <row r="111">
          <cell r="L111">
            <v>45383</v>
          </cell>
          <cell r="M111">
            <v>45383</v>
          </cell>
        </row>
        <row r="112">
          <cell r="A112">
            <v>262</v>
          </cell>
        </row>
        <row r="112">
          <cell r="C112" t="str">
            <v>王偲涵</v>
          </cell>
          <cell r="D112" t="str">
            <v>车身外扩件</v>
          </cell>
        </row>
        <row r="112">
          <cell r="I112">
            <v>0</v>
          </cell>
          <cell r="J112">
            <v>6471</v>
          </cell>
        </row>
        <row r="112">
          <cell r="L112">
            <v>45390</v>
          </cell>
          <cell r="M112">
            <v>45401</v>
          </cell>
        </row>
        <row r="113">
          <cell r="A113">
            <v>2553</v>
          </cell>
        </row>
        <row r="113">
          <cell r="C113" t="str">
            <v>王偲涵</v>
          </cell>
          <cell r="D113" t="str">
            <v>车身外扩件</v>
          </cell>
        </row>
        <row r="113">
          <cell r="I113">
            <v>0</v>
          </cell>
          <cell r="J113">
            <v>6529</v>
          </cell>
        </row>
        <row r="113">
          <cell r="L113">
            <v>45399</v>
          </cell>
          <cell r="M113">
            <v>45418</v>
          </cell>
        </row>
        <row r="114">
          <cell r="A114">
            <v>263</v>
          </cell>
        </row>
        <row r="114">
          <cell r="C114" t="str">
            <v>王偲涵</v>
          </cell>
          <cell r="D114" t="str">
            <v>车身外扩件</v>
          </cell>
        </row>
        <row r="114">
          <cell r="I114">
            <v>0</v>
          </cell>
          <cell r="J114">
            <v>6530</v>
          </cell>
        </row>
        <row r="114">
          <cell r="L114">
            <v>45399</v>
          </cell>
          <cell r="M114">
            <v>45416</v>
          </cell>
        </row>
        <row r="115">
          <cell r="A115">
            <v>264</v>
          </cell>
        </row>
        <row r="115">
          <cell r="C115" t="str">
            <v>王偲涵</v>
          </cell>
          <cell r="D115" t="str">
            <v>车身外扩件</v>
          </cell>
        </row>
        <row r="115">
          <cell r="I115">
            <v>0</v>
          </cell>
          <cell r="J115">
            <v>6531</v>
          </cell>
        </row>
        <row r="115">
          <cell r="L115">
            <v>45399</v>
          </cell>
          <cell r="M115">
            <v>45403</v>
          </cell>
        </row>
        <row r="116">
          <cell r="A116">
            <v>5670</v>
          </cell>
        </row>
        <row r="116">
          <cell r="C116" t="str">
            <v>王偲涵</v>
          </cell>
          <cell r="D116" t="str">
            <v>车身外扩件</v>
          </cell>
        </row>
        <row r="116">
          <cell r="I116">
            <v>0</v>
          </cell>
          <cell r="J116">
            <v>6532</v>
          </cell>
        </row>
        <row r="116">
          <cell r="L116">
            <v>45399</v>
          </cell>
          <cell r="M116">
            <v>45405</v>
          </cell>
        </row>
        <row r="117">
          <cell r="A117">
            <v>2585</v>
          </cell>
        </row>
        <row r="117">
          <cell r="C117" t="str">
            <v>俞东旭</v>
          </cell>
          <cell r="D117" t="str">
            <v>车门系统</v>
          </cell>
        </row>
        <row r="117">
          <cell r="I117">
            <v>0</v>
          </cell>
          <cell r="J117">
            <v>6748</v>
          </cell>
        </row>
        <row r="117">
          <cell r="L117">
            <v>45399</v>
          </cell>
          <cell r="M117">
            <v>45415</v>
          </cell>
        </row>
        <row r="118">
          <cell r="A118">
            <v>289</v>
          </cell>
        </row>
        <row r="118">
          <cell r="C118" t="str">
            <v>王偲涵</v>
          </cell>
          <cell r="D118" t="str">
            <v>车身外扩件</v>
          </cell>
        </row>
        <row r="118">
          <cell r="I118">
            <v>0</v>
          </cell>
          <cell r="J118">
            <v>6518</v>
          </cell>
        </row>
        <row r="118">
          <cell r="L118">
            <v>45403</v>
          </cell>
          <cell r="M118">
            <v>45407</v>
          </cell>
        </row>
        <row r="119">
          <cell r="A119">
            <v>7042</v>
          </cell>
        </row>
        <row r="119">
          <cell r="C119" t="str">
            <v>张潇</v>
          </cell>
          <cell r="D119" t="str">
            <v>饰条</v>
          </cell>
        </row>
        <row r="119">
          <cell r="I119">
            <v>0</v>
          </cell>
          <cell r="J119">
            <v>6527</v>
          </cell>
        </row>
        <row r="119">
          <cell r="L119">
            <v>45403</v>
          </cell>
          <cell r="M119">
            <v>45407</v>
          </cell>
        </row>
        <row r="120">
          <cell r="A120">
            <v>693</v>
          </cell>
        </row>
        <row r="120">
          <cell r="C120" t="str">
            <v>章鹏</v>
          </cell>
          <cell r="D120" t="str">
            <v>挡泥板</v>
          </cell>
        </row>
        <row r="120">
          <cell r="I120">
            <v>0</v>
          </cell>
          <cell r="J120">
            <v>6525</v>
          </cell>
        </row>
        <row r="120">
          <cell r="L120">
            <v>45403</v>
          </cell>
          <cell r="M120">
            <v>45404</v>
          </cell>
        </row>
        <row r="121">
          <cell r="A121">
            <v>8606</v>
          </cell>
        </row>
        <row r="121">
          <cell r="C121" t="str">
            <v>章鹏</v>
          </cell>
          <cell r="D121" t="str">
            <v>挡泥板</v>
          </cell>
        </row>
        <row r="121">
          <cell r="I121">
            <v>0</v>
          </cell>
          <cell r="J121">
            <v>6548</v>
          </cell>
        </row>
        <row r="121">
          <cell r="L121">
            <v>45412</v>
          </cell>
          <cell r="M121">
            <v>45437</v>
          </cell>
        </row>
        <row r="122">
          <cell r="A122">
            <v>1405</v>
          </cell>
        </row>
        <row r="122">
          <cell r="C122" t="str">
            <v>朱培源</v>
          </cell>
          <cell r="D122" t="str">
            <v>软顶</v>
          </cell>
        </row>
        <row r="122">
          <cell r="I122">
            <v>0</v>
          </cell>
          <cell r="J122">
            <v>6537</v>
          </cell>
        </row>
        <row r="122">
          <cell r="L122">
            <v>45411</v>
          </cell>
          <cell r="M122">
            <v>45412</v>
          </cell>
        </row>
        <row r="123">
          <cell r="A123">
            <v>1768</v>
          </cell>
        </row>
        <row r="123">
          <cell r="C123" t="str">
            <v>朱培源</v>
          </cell>
          <cell r="D123" t="str">
            <v>机盖及附件</v>
          </cell>
        </row>
        <row r="123">
          <cell r="I123">
            <v>0</v>
          </cell>
          <cell r="J123">
            <v>6538</v>
          </cell>
        </row>
        <row r="123">
          <cell r="L123">
            <v>45411</v>
          </cell>
          <cell r="M123">
            <v>45414</v>
          </cell>
        </row>
        <row r="124">
          <cell r="A124">
            <v>228</v>
          </cell>
        </row>
        <row r="124">
          <cell r="C124" t="str">
            <v>朱培源</v>
          </cell>
          <cell r="D124" t="str">
            <v>机盖及附件</v>
          </cell>
        </row>
        <row r="124">
          <cell r="I124">
            <v>0</v>
          </cell>
          <cell r="J124">
            <v>6539</v>
          </cell>
        </row>
        <row r="124">
          <cell r="L124">
            <v>45412</v>
          </cell>
          <cell r="M124">
            <v>45432</v>
          </cell>
        </row>
        <row r="125">
          <cell r="A125">
            <v>1487</v>
          </cell>
        </row>
        <row r="125">
          <cell r="C125" t="str">
            <v>俞东旭</v>
          </cell>
          <cell r="D125" t="str">
            <v>挡泥板</v>
          </cell>
        </row>
        <row r="125">
          <cell r="I125">
            <v>0</v>
          </cell>
          <cell r="J125">
            <v>6568</v>
          </cell>
        </row>
        <row r="125">
          <cell r="L125">
            <v>45411</v>
          </cell>
          <cell r="M125">
            <v>45419</v>
          </cell>
        </row>
        <row r="126">
          <cell r="A126">
            <v>338</v>
          </cell>
        </row>
        <row r="126">
          <cell r="C126" t="str">
            <v>朱培源</v>
          </cell>
          <cell r="D126" t="str">
            <v>饰条</v>
          </cell>
        </row>
        <row r="126">
          <cell r="I126">
            <v>0</v>
          </cell>
          <cell r="J126">
            <v>6515</v>
          </cell>
        </row>
        <row r="126">
          <cell r="L126">
            <v>45411</v>
          </cell>
          <cell r="M126">
            <v>45434</v>
          </cell>
        </row>
        <row r="127">
          <cell r="A127">
            <v>336</v>
          </cell>
        </row>
        <row r="127">
          <cell r="C127" t="str">
            <v>朱培源</v>
          </cell>
          <cell r="D127" t="str">
            <v>饰条</v>
          </cell>
        </row>
        <row r="127">
          <cell r="I127">
            <v>0</v>
          </cell>
          <cell r="J127">
            <v>6499</v>
          </cell>
        </row>
        <row r="127">
          <cell r="L127">
            <v>45417</v>
          </cell>
          <cell r="M127">
            <v>45420</v>
          </cell>
        </row>
        <row r="128">
          <cell r="A128">
            <v>327</v>
          </cell>
        </row>
        <row r="128">
          <cell r="C128" t="str">
            <v>朱培源</v>
          </cell>
          <cell r="D128" t="str">
            <v>饰条</v>
          </cell>
        </row>
        <row r="128">
          <cell r="I128">
            <v>0</v>
          </cell>
          <cell r="J128">
            <v>6577</v>
          </cell>
        </row>
        <row r="128">
          <cell r="L128">
            <v>45417</v>
          </cell>
          <cell r="M128">
            <v>45426</v>
          </cell>
        </row>
        <row r="129">
          <cell r="A129">
            <v>337</v>
          </cell>
        </row>
        <row r="129">
          <cell r="C129" t="str">
            <v>朱培源</v>
          </cell>
          <cell r="D129" t="str">
            <v>饰条</v>
          </cell>
        </row>
        <row r="129">
          <cell r="I129">
            <v>0</v>
          </cell>
          <cell r="J129">
            <v>6556</v>
          </cell>
        </row>
        <row r="129">
          <cell r="L129">
            <v>45417</v>
          </cell>
          <cell r="M129">
            <v>45422</v>
          </cell>
        </row>
        <row r="130">
          <cell r="A130">
            <v>293</v>
          </cell>
        </row>
        <row r="130">
          <cell r="C130" t="str">
            <v>朱培源</v>
          </cell>
          <cell r="D130" t="str">
            <v>机盖及附件</v>
          </cell>
        </row>
        <row r="130">
          <cell r="I130">
            <v>0</v>
          </cell>
          <cell r="J130">
            <v>6559</v>
          </cell>
        </row>
        <row r="130">
          <cell r="L130">
            <v>45417</v>
          </cell>
          <cell r="M130">
            <v>45422</v>
          </cell>
        </row>
        <row r="131">
          <cell r="A131">
            <v>5590</v>
          </cell>
        </row>
        <row r="131">
          <cell r="C131" t="str">
            <v>朱培源</v>
          </cell>
          <cell r="D131" t="str">
            <v>挡泥板</v>
          </cell>
        </row>
        <row r="131">
          <cell r="I131">
            <v>0</v>
          </cell>
          <cell r="J131">
            <v>5610</v>
          </cell>
        </row>
        <row r="131">
          <cell r="L131">
            <v>0</v>
          </cell>
        </row>
        <row r="132">
          <cell r="A132">
            <v>292</v>
          </cell>
        </row>
        <row r="132">
          <cell r="C132" t="str">
            <v>朱培源</v>
          </cell>
          <cell r="D132" t="str">
            <v>机盖及附件</v>
          </cell>
        </row>
        <row r="132">
          <cell r="I132">
            <v>0</v>
          </cell>
          <cell r="J132">
            <v>6554</v>
          </cell>
        </row>
        <row r="132">
          <cell r="L132">
            <v>45420</v>
          </cell>
          <cell r="M132">
            <v>45421</v>
          </cell>
        </row>
        <row r="133">
          <cell r="A133">
            <v>1734</v>
          </cell>
        </row>
        <row r="133">
          <cell r="C133" t="str">
            <v>朱培源</v>
          </cell>
          <cell r="D133" t="str">
            <v>软顶</v>
          </cell>
        </row>
        <row r="133">
          <cell r="I133">
            <v>0</v>
          </cell>
          <cell r="J133">
            <v>6558</v>
          </cell>
        </row>
        <row r="133">
          <cell r="L133">
            <v>45419</v>
          </cell>
          <cell r="M133">
            <v>45426</v>
          </cell>
        </row>
        <row r="134">
          <cell r="A134">
            <v>428</v>
          </cell>
        </row>
        <row r="134">
          <cell r="C134" t="str">
            <v>胡煜星</v>
          </cell>
          <cell r="D134" t="str">
            <v>车门系统</v>
          </cell>
        </row>
        <row r="134">
          <cell r="I134">
            <v>0</v>
          </cell>
          <cell r="J134">
            <v>6560</v>
          </cell>
        </row>
        <row r="134">
          <cell r="L134">
            <v>45419</v>
          </cell>
          <cell r="M134">
            <v>45422</v>
          </cell>
        </row>
        <row r="135">
          <cell r="A135">
            <v>371</v>
          </cell>
        </row>
        <row r="135">
          <cell r="C135" t="str">
            <v>朱培源</v>
          </cell>
          <cell r="D135" t="str">
            <v>机盖及附件</v>
          </cell>
        </row>
        <row r="135">
          <cell r="I135">
            <v>0</v>
          </cell>
          <cell r="J135">
            <v>6616</v>
          </cell>
        </row>
        <row r="135">
          <cell r="L135">
            <v>45426</v>
          </cell>
          <cell r="M135">
            <v>45434</v>
          </cell>
        </row>
        <row r="136">
          <cell r="A136">
            <v>372</v>
          </cell>
        </row>
        <row r="136">
          <cell r="C136" t="str">
            <v>朱培源</v>
          </cell>
          <cell r="D136" t="str">
            <v>机盖及附件</v>
          </cell>
        </row>
        <row r="136">
          <cell r="I136">
            <v>0</v>
          </cell>
          <cell r="J136">
            <v>6604</v>
          </cell>
        </row>
        <row r="136">
          <cell r="L136">
            <v>45426</v>
          </cell>
          <cell r="M136">
            <v>45436</v>
          </cell>
        </row>
        <row r="137">
          <cell r="A137">
            <v>623</v>
          </cell>
        </row>
        <row r="137">
          <cell r="C137" t="str">
            <v>俞东旭</v>
          </cell>
          <cell r="D137" t="str">
            <v>车门系统</v>
          </cell>
        </row>
        <row r="137">
          <cell r="I137">
            <v>0</v>
          </cell>
          <cell r="J137">
            <v>6632</v>
          </cell>
        </row>
        <row r="137">
          <cell r="L137">
            <v>45429</v>
          </cell>
          <cell r="M137">
            <v>45434</v>
          </cell>
        </row>
        <row r="138">
          <cell r="A138">
            <v>624</v>
          </cell>
        </row>
        <row r="138">
          <cell r="C138" t="str">
            <v>俞东旭</v>
          </cell>
          <cell r="D138" t="str">
            <v>车门系统</v>
          </cell>
        </row>
        <row r="138">
          <cell r="I138">
            <v>0</v>
          </cell>
          <cell r="J138">
            <v>6634</v>
          </cell>
        </row>
        <row r="138">
          <cell r="L138">
            <v>45429</v>
          </cell>
          <cell r="M138">
            <v>45435</v>
          </cell>
        </row>
        <row r="139">
          <cell r="A139">
            <v>625</v>
          </cell>
        </row>
        <row r="139">
          <cell r="C139" t="str">
            <v>俞东旭</v>
          </cell>
          <cell r="D139" t="str">
            <v>车门系统</v>
          </cell>
        </row>
        <row r="139">
          <cell r="I139">
            <v>0</v>
          </cell>
          <cell r="J139">
            <v>6636</v>
          </cell>
        </row>
        <row r="139">
          <cell r="L139">
            <v>45429</v>
          </cell>
          <cell r="M139">
            <v>45434</v>
          </cell>
        </row>
        <row r="140">
          <cell r="A140">
            <v>482</v>
          </cell>
        </row>
        <row r="140">
          <cell r="C140" t="str">
            <v>王偲涵</v>
          </cell>
          <cell r="D140" t="str">
            <v>车身外扩件</v>
          </cell>
        </row>
        <row r="140">
          <cell r="I140">
            <v>0</v>
          </cell>
          <cell r="J140">
            <v>6633</v>
          </cell>
        </row>
        <row r="140">
          <cell r="L140">
            <v>45430</v>
          </cell>
          <cell r="M140">
            <v>45433</v>
          </cell>
        </row>
        <row r="141">
          <cell r="A141">
            <v>5919</v>
          </cell>
        </row>
        <row r="141">
          <cell r="C141" t="str">
            <v>朱培源</v>
          </cell>
          <cell r="D141" t="str">
            <v>软顶</v>
          </cell>
        </row>
        <row r="141">
          <cell r="I141">
            <v>0</v>
          </cell>
          <cell r="J141">
            <v>6635</v>
          </cell>
        </row>
        <row r="141">
          <cell r="L141">
            <v>45429</v>
          </cell>
          <cell r="M141">
            <v>45433</v>
          </cell>
        </row>
        <row r="142">
          <cell r="A142">
            <v>349</v>
          </cell>
        </row>
        <row r="142">
          <cell r="C142" t="str">
            <v>朱培源</v>
          </cell>
          <cell r="D142" t="str">
            <v>机盖及附件</v>
          </cell>
        </row>
        <row r="142">
          <cell r="I142">
            <v>0</v>
          </cell>
          <cell r="J142">
            <v>6615</v>
          </cell>
        </row>
        <row r="142">
          <cell r="L142">
            <v>45429</v>
          </cell>
          <cell r="M142">
            <v>45430</v>
          </cell>
        </row>
        <row r="143">
          <cell r="A143">
            <v>350</v>
          </cell>
        </row>
        <row r="143">
          <cell r="C143" t="str">
            <v>朱培源</v>
          </cell>
          <cell r="D143" t="str">
            <v>机盖及附件</v>
          </cell>
        </row>
        <row r="143">
          <cell r="I143">
            <v>0</v>
          </cell>
          <cell r="J143">
            <v>6618</v>
          </cell>
        </row>
        <row r="143">
          <cell r="L143">
            <v>45429</v>
          </cell>
          <cell r="M143">
            <v>45458</v>
          </cell>
        </row>
        <row r="144">
          <cell r="A144">
            <v>111</v>
          </cell>
        </row>
        <row r="144">
          <cell r="C144" t="str">
            <v>朱培源</v>
          </cell>
          <cell r="D144" t="str">
            <v>软顶</v>
          </cell>
        </row>
        <row r="144">
          <cell r="I144">
            <v>0</v>
          </cell>
          <cell r="J144">
            <v>6795</v>
          </cell>
        </row>
        <row r="144">
          <cell r="L144">
            <v>45429</v>
          </cell>
          <cell r="M144">
            <v>45443</v>
          </cell>
        </row>
        <row r="145">
          <cell r="A145">
            <v>365</v>
          </cell>
        </row>
        <row r="145">
          <cell r="C145" t="str">
            <v>朱培源</v>
          </cell>
          <cell r="D145" t="str">
            <v>机盖及附件</v>
          </cell>
        </row>
        <row r="145">
          <cell r="I145">
            <v>0</v>
          </cell>
          <cell r="J145">
            <v>6561</v>
          </cell>
        </row>
        <row r="145">
          <cell r="L145">
            <v>45429</v>
          </cell>
          <cell r="M145">
            <v>45439</v>
          </cell>
        </row>
        <row r="146">
          <cell r="A146">
            <v>10133</v>
          </cell>
        </row>
        <row r="146">
          <cell r="C146" t="str">
            <v>朱培源</v>
          </cell>
          <cell r="D146" t="str">
            <v>挡泥板</v>
          </cell>
        </row>
        <row r="146">
          <cell r="I146">
            <v>0</v>
          </cell>
          <cell r="J146">
            <v>6696</v>
          </cell>
        </row>
        <row r="146">
          <cell r="L146">
            <v>45440</v>
          </cell>
          <cell r="M146">
            <v>45447</v>
          </cell>
        </row>
        <row r="147">
          <cell r="A147">
            <v>3751</v>
          </cell>
        </row>
        <row r="147">
          <cell r="C147" t="str">
            <v>张潇</v>
          </cell>
          <cell r="D147" t="str">
            <v>挡泥板</v>
          </cell>
        </row>
        <row r="147">
          <cell r="I147">
            <v>0</v>
          </cell>
          <cell r="J147">
            <v>6619</v>
          </cell>
        </row>
        <row r="147">
          <cell r="L147">
            <v>0</v>
          </cell>
        </row>
        <row r="148">
          <cell r="A148">
            <v>2518</v>
          </cell>
        </row>
        <row r="148">
          <cell r="C148" t="str">
            <v>朱培源</v>
          </cell>
          <cell r="D148" t="str">
            <v>饰条</v>
          </cell>
        </row>
        <row r="148">
          <cell r="I148">
            <v>0</v>
          </cell>
          <cell r="J148">
            <v>6600</v>
          </cell>
        </row>
        <row r="148">
          <cell r="L148">
            <v>45447</v>
          </cell>
          <cell r="M148">
            <v>45447</v>
          </cell>
        </row>
        <row r="149">
          <cell r="A149">
            <v>5362</v>
          </cell>
        </row>
        <row r="149">
          <cell r="C149" t="str">
            <v>俞东旭</v>
          </cell>
          <cell r="D149" t="str">
            <v>其他</v>
          </cell>
        </row>
        <row r="149">
          <cell r="I149">
            <v>0</v>
          </cell>
          <cell r="J149">
            <v>5717</v>
          </cell>
        </row>
        <row r="149">
          <cell r="L149">
            <v>0</v>
          </cell>
        </row>
        <row r="150">
          <cell r="A150">
            <v>638</v>
          </cell>
        </row>
        <row r="150">
          <cell r="C150" t="str">
            <v>胡煜星</v>
          </cell>
          <cell r="D150" t="str">
            <v>车门系统</v>
          </cell>
        </row>
        <row r="150">
          <cell r="I150">
            <v>0</v>
          </cell>
          <cell r="J150">
            <v>5718</v>
          </cell>
        </row>
        <row r="150">
          <cell r="L150">
            <v>0</v>
          </cell>
        </row>
        <row r="151">
          <cell r="A151">
            <v>2554</v>
          </cell>
        </row>
        <row r="151">
          <cell r="C151" t="str">
            <v>朱培源</v>
          </cell>
          <cell r="D151" t="str">
            <v>机盖及附件</v>
          </cell>
        </row>
        <row r="151">
          <cell r="I151">
            <v>0</v>
          </cell>
          <cell r="J151">
            <v>4680</v>
          </cell>
        </row>
        <row r="151">
          <cell r="L151">
            <v>0</v>
          </cell>
        </row>
        <row r="152">
          <cell r="A152">
            <v>652</v>
          </cell>
        </row>
        <row r="152">
          <cell r="C152" t="str">
            <v>胡煜星</v>
          </cell>
          <cell r="D152" t="str">
            <v>车门系统</v>
          </cell>
        </row>
        <row r="152">
          <cell r="I152">
            <v>0</v>
          </cell>
          <cell r="J152">
            <v>4219</v>
          </cell>
        </row>
        <row r="152">
          <cell r="L152">
            <v>0</v>
          </cell>
        </row>
        <row r="153">
          <cell r="A153">
            <v>653</v>
          </cell>
        </row>
        <row r="153">
          <cell r="C153" t="str">
            <v>胡煜星</v>
          </cell>
          <cell r="D153" t="str">
            <v>车门系统</v>
          </cell>
        </row>
        <row r="153">
          <cell r="I153">
            <v>0</v>
          </cell>
          <cell r="J153">
            <v>6701</v>
          </cell>
        </row>
        <row r="153">
          <cell r="L153">
            <v>45454</v>
          </cell>
          <cell r="M153">
            <v>45456</v>
          </cell>
        </row>
        <row r="154">
          <cell r="A154">
            <v>654</v>
          </cell>
        </row>
        <row r="154">
          <cell r="C154" t="str">
            <v>胡煜星</v>
          </cell>
          <cell r="D154" t="str">
            <v>车门系统</v>
          </cell>
        </row>
        <row r="154">
          <cell r="I154">
            <v>0</v>
          </cell>
          <cell r="J154">
            <v>6599</v>
          </cell>
        </row>
        <row r="154">
          <cell r="L154">
            <v>45454</v>
          </cell>
          <cell r="M154">
            <v>45464</v>
          </cell>
        </row>
        <row r="155">
          <cell r="A155">
            <v>655</v>
          </cell>
        </row>
        <row r="155">
          <cell r="C155" t="str">
            <v>胡煜星</v>
          </cell>
          <cell r="D155" t="str">
            <v>车门系统</v>
          </cell>
        </row>
        <row r="155">
          <cell r="I155">
            <v>0</v>
          </cell>
          <cell r="J155">
            <v>6598</v>
          </cell>
        </row>
        <row r="155">
          <cell r="L155">
            <v>45454</v>
          </cell>
          <cell r="M155">
            <v>45462</v>
          </cell>
        </row>
        <row r="156">
          <cell r="A156">
            <v>565</v>
          </cell>
        </row>
        <row r="156">
          <cell r="C156" t="str">
            <v>胡煜星</v>
          </cell>
          <cell r="D156" t="str">
            <v>车门系统</v>
          </cell>
        </row>
        <row r="156">
          <cell r="I156">
            <v>0</v>
          </cell>
          <cell r="J156">
            <v>6557</v>
          </cell>
        </row>
        <row r="156">
          <cell r="L156">
            <v>45455</v>
          </cell>
          <cell r="M156">
            <v>45458</v>
          </cell>
        </row>
        <row r="157">
          <cell r="A157">
            <v>566</v>
          </cell>
        </row>
        <row r="157">
          <cell r="C157" t="str">
            <v>胡煜星</v>
          </cell>
          <cell r="D157" t="str">
            <v>车门系统</v>
          </cell>
        </row>
        <row r="157">
          <cell r="I157">
            <v>0</v>
          </cell>
          <cell r="J157">
            <v>6681</v>
          </cell>
        </row>
        <row r="157">
          <cell r="L157">
            <v>45454</v>
          </cell>
          <cell r="M157">
            <v>45456</v>
          </cell>
        </row>
        <row r="158">
          <cell r="A158">
            <v>2638</v>
          </cell>
        </row>
        <row r="158">
          <cell r="C158" t="str">
            <v>朱培源</v>
          </cell>
          <cell r="D158" t="str">
            <v>机盖及附件</v>
          </cell>
        </row>
        <row r="158">
          <cell r="I158">
            <v>0</v>
          </cell>
          <cell r="J158">
            <v>6685</v>
          </cell>
        </row>
        <row r="158">
          <cell r="L158">
            <v>45454</v>
          </cell>
          <cell r="M158">
            <v>45479</v>
          </cell>
        </row>
        <row r="159">
          <cell r="A159">
            <v>574</v>
          </cell>
        </row>
        <row r="159">
          <cell r="C159" t="str">
            <v>王偲涵</v>
          </cell>
          <cell r="D159" t="str">
            <v>雨刮罩</v>
          </cell>
        </row>
        <row r="159">
          <cell r="I159">
            <v>0</v>
          </cell>
          <cell r="J159">
            <v>6686</v>
          </cell>
        </row>
        <row r="159">
          <cell r="L159">
            <v>45454</v>
          </cell>
          <cell r="M159">
            <v>45491</v>
          </cell>
        </row>
        <row r="160">
          <cell r="A160">
            <v>575</v>
          </cell>
        </row>
        <row r="160">
          <cell r="C160" t="str">
            <v>王偲涵</v>
          </cell>
          <cell r="D160" t="str">
            <v>雨刮罩</v>
          </cell>
        </row>
        <row r="160">
          <cell r="I160">
            <v>0</v>
          </cell>
          <cell r="J160">
            <v>6630</v>
          </cell>
        </row>
        <row r="160">
          <cell r="L160">
            <v>45455</v>
          </cell>
          <cell r="M160">
            <v>45462</v>
          </cell>
        </row>
        <row r="161">
          <cell r="A161">
            <v>576</v>
          </cell>
        </row>
        <row r="161">
          <cell r="C161" t="str">
            <v>王偲涵</v>
          </cell>
          <cell r="D161" t="str">
            <v>雨刮罩</v>
          </cell>
        </row>
        <row r="161">
          <cell r="I161">
            <v>0</v>
          </cell>
          <cell r="J161">
            <v>6670</v>
          </cell>
        </row>
        <row r="161">
          <cell r="L161">
            <v>45455</v>
          </cell>
          <cell r="M161">
            <v>45458</v>
          </cell>
        </row>
        <row r="162">
          <cell r="A162">
            <v>2637</v>
          </cell>
        </row>
        <row r="162">
          <cell r="C162" t="str">
            <v>朱培源</v>
          </cell>
          <cell r="D162" t="str">
            <v>机盖及附件</v>
          </cell>
        </row>
        <row r="162">
          <cell r="I162">
            <v>0</v>
          </cell>
          <cell r="J162">
            <v>6730</v>
          </cell>
        </row>
        <row r="162">
          <cell r="L162">
            <v>45457</v>
          </cell>
          <cell r="M162">
            <v>45464</v>
          </cell>
        </row>
        <row r="163">
          <cell r="A163">
            <v>2712</v>
          </cell>
        </row>
        <row r="163">
          <cell r="C163" t="str">
            <v>朱培源</v>
          </cell>
          <cell r="D163" t="str">
            <v>软顶</v>
          </cell>
        </row>
        <row r="163">
          <cell r="I163">
            <v>0</v>
          </cell>
          <cell r="J163">
            <v>6906</v>
          </cell>
        </row>
        <row r="163">
          <cell r="L163">
            <v>45457</v>
          </cell>
          <cell r="M163">
            <v>45460</v>
          </cell>
        </row>
        <row r="164">
          <cell r="A164">
            <v>4678</v>
          </cell>
        </row>
        <row r="164">
          <cell r="C164" t="str">
            <v>王偲涵</v>
          </cell>
          <cell r="D164" t="str">
            <v>饰条</v>
          </cell>
        </row>
        <row r="164">
          <cell r="I164">
            <v>0</v>
          </cell>
          <cell r="J164">
            <v>6907</v>
          </cell>
        </row>
        <row r="164">
          <cell r="L164">
            <v>45457</v>
          </cell>
          <cell r="M164">
            <v>45460</v>
          </cell>
        </row>
        <row r="165">
          <cell r="A165">
            <v>596</v>
          </cell>
        </row>
        <row r="165">
          <cell r="C165" t="str">
            <v>胡煜星</v>
          </cell>
          <cell r="D165" t="str">
            <v>车门系统</v>
          </cell>
        </row>
        <row r="165">
          <cell r="I165">
            <v>0</v>
          </cell>
          <cell r="J165">
            <v>6872</v>
          </cell>
        </row>
        <row r="165">
          <cell r="L165">
            <v>45457</v>
          </cell>
          <cell r="M165">
            <v>45470</v>
          </cell>
        </row>
        <row r="166">
          <cell r="A166">
            <v>2732</v>
          </cell>
        </row>
        <row r="166">
          <cell r="C166" t="str">
            <v>朱培源</v>
          </cell>
          <cell r="D166" t="str">
            <v>软顶</v>
          </cell>
        </row>
        <row r="166">
          <cell r="I166">
            <v>0</v>
          </cell>
          <cell r="J166">
            <v>6873</v>
          </cell>
        </row>
        <row r="166">
          <cell r="L166">
            <v>45457</v>
          </cell>
          <cell r="M166">
            <v>45458</v>
          </cell>
        </row>
        <row r="167">
          <cell r="A167">
            <v>2752</v>
          </cell>
        </row>
        <row r="167">
          <cell r="C167" t="str">
            <v>朱培源</v>
          </cell>
          <cell r="D167" t="str">
            <v>机盖及附件</v>
          </cell>
        </row>
        <row r="167">
          <cell r="I167">
            <v>0</v>
          </cell>
          <cell r="J167">
            <v>6908</v>
          </cell>
        </row>
        <row r="167">
          <cell r="L167">
            <v>45457</v>
          </cell>
          <cell r="M167">
            <v>45471</v>
          </cell>
        </row>
        <row r="168">
          <cell r="A168">
            <v>945</v>
          </cell>
        </row>
        <row r="168">
          <cell r="C168" t="str">
            <v>胡煜星</v>
          </cell>
          <cell r="D168" t="str">
            <v>车门系统</v>
          </cell>
        </row>
        <row r="168">
          <cell r="I168">
            <v>0</v>
          </cell>
          <cell r="J168">
            <v>6909</v>
          </cell>
        </row>
        <row r="168">
          <cell r="L168">
            <v>45457</v>
          </cell>
          <cell r="M168">
            <v>45469</v>
          </cell>
        </row>
        <row r="169">
          <cell r="A169">
            <v>954</v>
          </cell>
        </row>
        <row r="169">
          <cell r="C169" t="str">
            <v>胡煜星</v>
          </cell>
          <cell r="D169" t="str">
            <v>车门系统</v>
          </cell>
        </row>
        <row r="169">
          <cell r="I169">
            <v>0</v>
          </cell>
          <cell r="J169">
            <v>6910</v>
          </cell>
        </row>
        <row r="169">
          <cell r="L169">
            <v>45457</v>
          </cell>
          <cell r="M169">
            <v>45464</v>
          </cell>
        </row>
        <row r="170">
          <cell r="A170">
            <v>955</v>
          </cell>
        </row>
        <row r="170">
          <cell r="C170" t="str">
            <v>胡煜星</v>
          </cell>
          <cell r="D170" t="str">
            <v>车门系统</v>
          </cell>
        </row>
        <row r="170">
          <cell r="I170">
            <v>0</v>
          </cell>
          <cell r="J170">
            <v>6911</v>
          </cell>
        </row>
        <row r="170">
          <cell r="L170">
            <v>45457</v>
          </cell>
          <cell r="M170">
            <v>45471</v>
          </cell>
        </row>
        <row r="171">
          <cell r="A171">
            <v>1727</v>
          </cell>
        </row>
        <row r="171">
          <cell r="C171" t="str">
            <v>朱培源</v>
          </cell>
          <cell r="D171" t="str">
            <v>机盖及附件</v>
          </cell>
        </row>
        <row r="171">
          <cell r="I171">
            <v>0</v>
          </cell>
          <cell r="J171">
            <v>6912</v>
          </cell>
        </row>
        <row r="171">
          <cell r="L171">
            <v>45457</v>
          </cell>
          <cell r="M171">
            <v>45460</v>
          </cell>
        </row>
        <row r="172">
          <cell r="A172">
            <v>8233</v>
          </cell>
        </row>
        <row r="172">
          <cell r="C172" t="str">
            <v>俞东旭</v>
          </cell>
          <cell r="D172" t="str">
            <v>挡泥板</v>
          </cell>
        </row>
        <row r="172">
          <cell r="I172">
            <v>0</v>
          </cell>
          <cell r="J172">
            <v>6913</v>
          </cell>
        </row>
        <row r="172">
          <cell r="L172">
            <v>45457</v>
          </cell>
          <cell r="M172">
            <v>45461</v>
          </cell>
        </row>
        <row r="173">
          <cell r="A173">
            <v>985</v>
          </cell>
        </row>
        <row r="173">
          <cell r="C173" t="str">
            <v>俞东旭</v>
          </cell>
          <cell r="D173" t="str">
            <v>车身外扩件</v>
          </cell>
        </row>
        <row r="173">
          <cell r="I173">
            <v>0</v>
          </cell>
          <cell r="J173">
            <v>6914</v>
          </cell>
        </row>
        <row r="173">
          <cell r="L173">
            <v>45457</v>
          </cell>
          <cell r="M173">
            <v>45460</v>
          </cell>
        </row>
        <row r="174">
          <cell r="A174">
            <v>1008</v>
          </cell>
        </row>
        <row r="174">
          <cell r="C174" t="str">
            <v>俞东旭</v>
          </cell>
          <cell r="D174" t="str">
            <v>车身外扩件</v>
          </cell>
        </row>
        <row r="174">
          <cell r="I174">
            <v>0</v>
          </cell>
          <cell r="J174">
            <v>6915</v>
          </cell>
        </row>
        <row r="174">
          <cell r="L174">
            <v>45457</v>
          </cell>
          <cell r="M174">
            <v>45460</v>
          </cell>
        </row>
        <row r="175">
          <cell r="A175">
            <v>1010</v>
          </cell>
        </row>
        <row r="175">
          <cell r="C175" t="str">
            <v>俞东旭</v>
          </cell>
          <cell r="D175" t="str">
            <v>车身外扩件</v>
          </cell>
        </row>
        <row r="175">
          <cell r="I175">
            <v>0</v>
          </cell>
          <cell r="J175">
            <v>6517</v>
          </cell>
        </row>
        <row r="175">
          <cell r="L175">
            <v>45462</v>
          </cell>
          <cell r="M175">
            <v>45463</v>
          </cell>
        </row>
        <row r="176">
          <cell r="A176">
            <v>1011</v>
          </cell>
        </row>
        <row r="176">
          <cell r="C176" t="str">
            <v>俞东旭</v>
          </cell>
          <cell r="D176" t="str">
            <v>车身外扩件</v>
          </cell>
        </row>
        <row r="176">
          <cell r="I176">
            <v>0</v>
          </cell>
          <cell r="J176">
            <v>5630</v>
          </cell>
        </row>
        <row r="176">
          <cell r="L176">
            <v>0</v>
          </cell>
        </row>
        <row r="177">
          <cell r="A177">
            <v>1022</v>
          </cell>
        </row>
        <row r="177">
          <cell r="C177" t="str">
            <v>王偲涵</v>
          </cell>
          <cell r="D177" t="str">
            <v>雨刮罩</v>
          </cell>
        </row>
        <row r="177">
          <cell r="I177">
            <v>0</v>
          </cell>
          <cell r="J177">
            <v>4799</v>
          </cell>
        </row>
        <row r="177">
          <cell r="L177">
            <v>0</v>
          </cell>
        </row>
        <row r="178">
          <cell r="A178">
            <v>8842</v>
          </cell>
        </row>
        <row r="178">
          <cell r="C178" t="str">
            <v>章鹏</v>
          </cell>
          <cell r="D178" t="str">
            <v>挡泥板</v>
          </cell>
        </row>
        <row r="178">
          <cell r="I178">
            <v>0</v>
          </cell>
          <cell r="J178">
            <v>6729</v>
          </cell>
        </row>
        <row r="178">
          <cell r="L178">
            <v>45464</v>
          </cell>
          <cell r="M178">
            <v>45477</v>
          </cell>
        </row>
        <row r="179">
          <cell r="A179">
            <v>3013</v>
          </cell>
        </row>
        <row r="179">
          <cell r="C179" t="str">
            <v>朱培源</v>
          </cell>
          <cell r="D179" t="str">
            <v>软顶</v>
          </cell>
        </row>
        <row r="179">
          <cell r="I179">
            <v>0</v>
          </cell>
          <cell r="J179">
            <v>6773</v>
          </cell>
        </row>
        <row r="179">
          <cell r="L179">
            <v>45466</v>
          </cell>
          <cell r="M179">
            <v>45475</v>
          </cell>
        </row>
        <row r="180">
          <cell r="A180">
            <v>3024</v>
          </cell>
        </row>
        <row r="180">
          <cell r="C180" t="str">
            <v>朱培源</v>
          </cell>
          <cell r="D180" t="str">
            <v>软顶</v>
          </cell>
        </row>
        <row r="180">
          <cell r="I180">
            <v>0</v>
          </cell>
          <cell r="J180">
            <v>6775</v>
          </cell>
        </row>
        <row r="180">
          <cell r="L180">
            <v>45466</v>
          </cell>
          <cell r="M180">
            <v>45476</v>
          </cell>
        </row>
        <row r="181">
          <cell r="A181">
            <v>1032</v>
          </cell>
        </row>
        <row r="181">
          <cell r="C181" t="str">
            <v>王偲涵</v>
          </cell>
          <cell r="D181" t="str">
            <v>雨刮罩</v>
          </cell>
        </row>
        <row r="181">
          <cell r="I181">
            <v>0</v>
          </cell>
          <cell r="J181">
            <v>6787</v>
          </cell>
        </row>
        <row r="181">
          <cell r="L181">
            <v>45466</v>
          </cell>
          <cell r="M181">
            <v>45470</v>
          </cell>
        </row>
        <row r="182">
          <cell r="A182">
            <v>1049</v>
          </cell>
        </row>
        <row r="182">
          <cell r="C182" t="str">
            <v>王偲涵</v>
          </cell>
          <cell r="D182" t="str">
            <v>雨刮罩</v>
          </cell>
        </row>
        <row r="182">
          <cell r="I182">
            <v>0</v>
          </cell>
          <cell r="J182">
            <v>6764</v>
          </cell>
        </row>
        <row r="182">
          <cell r="L182">
            <v>45469</v>
          </cell>
          <cell r="M182">
            <v>45509</v>
          </cell>
        </row>
        <row r="183">
          <cell r="A183">
            <v>1051</v>
          </cell>
        </row>
        <row r="183">
          <cell r="C183" t="str">
            <v>王偲涵</v>
          </cell>
          <cell r="D183" t="str">
            <v>雨刮罩</v>
          </cell>
        </row>
        <row r="183">
          <cell r="I183">
            <v>0</v>
          </cell>
          <cell r="J183">
            <v>5094</v>
          </cell>
        </row>
        <row r="183">
          <cell r="L183">
            <v>45469</v>
          </cell>
          <cell r="M183">
            <v>45473</v>
          </cell>
        </row>
        <row r="184">
          <cell r="A184">
            <v>5363</v>
          </cell>
        </row>
        <row r="184">
          <cell r="C184" t="str">
            <v>俞东旭</v>
          </cell>
          <cell r="D184" t="str">
            <v>其他</v>
          </cell>
        </row>
        <row r="184">
          <cell r="I184">
            <v>0</v>
          </cell>
          <cell r="J184">
            <v>6823</v>
          </cell>
        </row>
        <row r="184">
          <cell r="L184">
            <v>45469</v>
          </cell>
          <cell r="M184">
            <v>45580</v>
          </cell>
        </row>
        <row r="185">
          <cell r="A185">
            <v>3043</v>
          </cell>
        </row>
        <row r="185">
          <cell r="C185" t="str">
            <v>朱培源</v>
          </cell>
          <cell r="D185" t="str">
            <v>软顶</v>
          </cell>
        </row>
        <row r="185">
          <cell r="I185">
            <v>0</v>
          </cell>
          <cell r="J185">
            <v>6824</v>
          </cell>
        </row>
        <row r="185">
          <cell r="L185">
            <v>45469</v>
          </cell>
          <cell r="M185">
            <v>45557</v>
          </cell>
        </row>
        <row r="186">
          <cell r="A186">
            <v>3031</v>
          </cell>
        </row>
        <row r="186">
          <cell r="C186" t="str">
            <v>朱培源</v>
          </cell>
          <cell r="D186" t="str">
            <v>软顶</v>
          </cell>
        </row>
        <row r="186">
          <cell r="I186">
            <v>0</v>
          </cell>
          <cell r="J186">
            <v>6825</v>
          </cell>
        </row>
        <row r="186">
          <cell r="L186">
            <v>45469</v>
          </cell>
          <cell r="M186">
            <v>45714</v>
          </cell>
        </row>
        <row r="187">
          <cell r="A187">
            <v>1119</v>
          </cell>
        </row>
        <row r="187">
          <cell r="C187" t="str">
            <v>王偲涵</v>
          </cell>
          <cell r="D187" t="str">
            <v>车身外扩件</v>
          </cell>
        </row>
        <row r="187">
          <cell r="I187">
            <v>0</v>
          </cell>
          <cell r="J187">
            <v>6826</v>
          </cell>
        </row>
        <row r="187">
          <cell r="L187">
            <v>45469</v>
          </cell>
          <cell r="M187">
            <v>45518</v>
          </cell>
        </row>
        <row r="188">
          <cell r="A188">
            <v>1120</v>
          </cell>
        </row>
        <row r="188">
          <cell r="C188" t="str">
            <v>王偲涵</v>
          </cell>
          <cell r="D188" t="str">
            <v>车身外扩件</v>
          </cell>
        </row>
        <row r="188">
          <cell r="I188">
            <v>0</v>
          </cell>
          <cell r="J188">
            <v>6905</v>
          </cell>
        </row>
        <row r="188">
          <cell r="L188">
            <v>45469</v>
          </cell>
          <cell r="M188">
            <v>45475</v>
          </cell>
        </row>
        <row r="189">
          <cell r="A189">
            <v>1121</v>
          </cell>
        </row>
        <row r="189">
          <cell r="C189" t="str">
            <v>王偲涵</v>
          </cell>
          <cell r="D189" t="str">
            <v>车身外扩件</v>
          </cell>
        </row>
        <row r="189">
          <cell r="I189">
            <v>0</v>
          </cell>
          <cell r="J189">
            <v>6762</v>
          </cell>
        </row>
        <row r="189">
          <cell r="L189">
            <v>45469</v>
          </cell>
          <cell r="M189">
            <v>45472</v>
          </cell>
        </row>
        <row r="190">
          <cell r="A190">
            <v>1122</v>
          </cell>
        </row>
        <row r="190">
          <cell r="C190" t="str">
            <v>王偲涵</v>
          </cell>
          <cell r="D190" t="str">
            <v>车身外扩件</v>
          </cell>
        </row>
        <row r="190">
          <cell r="I190">
            <v>0</v>
          </cell>
          <cell r="J190">
            <v>6763</v>
          </cell>
        </row>
        <row r="190">
          <cell r="L190">
            <v>45469</v>
          </cell>
          <cell r="M190">
            <v>45490</v>
          </cell>
        </row>
        <row r="191">
          <cell r="A191">
            <v>1462</v>
          </cell>
        </row>
        <row r="191">
          <cell r="C191" t="str">
            <v>张潇</v>
          </cell>
          <cell r="D191" t="str">
            <v>其他</v>
          </cell>
        </row>
        <row r="191">
          <cell r="I191">
            <v>0</v>
          </cell>
          <cell r="J191">
            <v>6903</v>
          </cell>
        </row>
        <row r="191">
          <cell r="L191">
            <v>45470</v>
          </cell>
          <cell r="M191">
            <v>45472</v>
          </cell>
        </row>
        <row r="192">
          <cell r="A192">
            <v>7894</v>
          </cell>
        </row>
        <row r="192">
          <cell r="C192" t="str">
            <v>章鹏</v>
          </cell>
          <cell r="D192" t="str">
            <v>其他</v>
          </cell>
        </row>
        <row r="192">
          <cell r="I192">
            <v>0</v>
          </cell>
          <cell r="J192">
            <v>6821</v>
          </cell>
        </row>
        <row r="192">
          <cell r="L192">
            <v>45475</v>
          </cell>
          <cell r="M192">
            <v>45493</v>
          </cell>
        </row>
        <row r="193">
          <cell r="A193">
            <v>3103</v>
          </cell>
        </row>
        <row r="193">
          <cell r="C193" t="str">
            <v>朱培源</v>
          </cell>
          <cell r="D193" t="str">
            <v>软顶</v>
          </cell>
        </row>
        <row r="193">
          <cell r="I193">
            <v>0</v>
          </cell>
          <cell r="J193">
            <v>6865</v>
          </cell>
        </row>
        <row r="193">
          <cell r="L193">
            <v>45475</v>
          </cell>
          <cell r="M193">
            <v>45480</v>
          </cell>
        </row>
        <row r="194">
          <cell r="A194">
            <v>3104</v>
          </cell>
        </row>
        <row r="194">
          <cell r="C194" t="str">
            <v>朱培源</v>
          </cell>
          <cell r="D194" t="str">
            <v>软顶</v>
          </cell>
        </row>
        <row r="194">
          <cell r="I194">
            <v>0</v>
          </cell>
          <cell r="J194">
            <v>6629</v>
          </cell>
        </row>
        <row r="194">
          <cell r="L194">
            <v>0</v>
          </cell>
        </row>
        <row r="195">
          <cell r="A195">
            <v>1141</v>
          </cell>
        </row>
        <row r="195">
          <cell r="C195" t="str">
            <v>王偲涵</v>
          </cell>
          <cell r="D195" t="str">
            <v>车身外扩件</v>
          </cell>
        </row>
        <row r="195">
          <cell r="I195">
            <v>0</v>
          </cell>
          <cell r="J195">
            <v>4692</v>
          </cell>
        </row>
        <row r="195">
          <cell r="L195">
            <v>0</v>
          </cell>
        </row>
        <row r="196">
          <cell r="A196">
            <v>9135</v>
          </cell>
        </row>
        <row r="196">
          <cell r="C196" t="str">
            <v>朱培源</v>
          </cell>
          <cell r="D196" t="str">
            <v>挡泥板</v>
          </cell>
        </row>
        <row r="196">
          <cell r="I196">
            <v>0</v>
          </cell>
          <cell r="J196">
            <v>6625</v>
          </cell>
        </row>
        <row r="196">
          <cell r="L196">
            <v>0</v>
          </cell>
        </row>
        <row r="197">
          <cell r="A197">
            <v>1150</v>
          </cell>
        </row>
        <row r="197">
          <cell r="C197" t="str">
            <v>朱培源</v>
          </cell>
          <cell r="D197" t="str">
            <v>车门系统</v>
          </cell>
        </row>
        <row r="197">
          <cell r="I197">
            <v>0</v>
          </cell>
          <cell r="J197">
            <v>3548</v>
          </cell>
        </row>
        <row r="197">
          <cell r="L197">
            <v>0</v>
          </cell>
        </row>
        <row r="198">
          <cell r="A198">
            <v>1154</v>
          </cell>
        </row>
        <row r="198">
          <cell r="C198" t="str">
            <v>胡煜星</v>
          </cell>
          <cell r="D198" t="str">
            <v>车门系统</v>
          </cell>
        </row>
        <row r="198">
          <cell r="I198">
            <v>0</v>
          </cell>
          <cell r="J198">
            <v>5207</v>
          </cell>
        </row>
        <row r="198">
          <cell r="L198">
            <v>0</v>
          </cell>
        </row>
        <row r="199">
          <cell r="A199">
            <v>1155</v>
          </cell>
        </row>
        <row r="199">
          <cell r="C199" t="str">
            <v>王偲涵</v>
          </cell>
          <cell r="D199" t="str">
            <v>车身外扩件</v>
          </cell>
        </row>
        <row r="199">
          <cell r="I199">
            <v>0</v>
          </cell>
          <cell r="J199">
            <v>6725</v>
          </cell>
        </row>
        <row r="199">
          <cell r="L199">
            <v>45481</v>
          </cell>
          <cell r="M199">
            <v>45481</v>
          </cell>
        </row>
        <row r="200">
          <cell r="A200">
            <v>3242</v>
          </cell>
        </row>
        <row r="200">
          <cell r="C200" t="str">
            <v>俞东旭</v>
          </cell>
          <cell r="D200" t="str">
            <v>其他</v>
          </cell>
        </row>
        <row r="200">
          <cell r="I200">
            <v>0</v>
          </cell>
          <cell r="J200">
            <v>6822</v>
          </cell>
        </row>
        <row r="200">
          <cell r="L200">
            <v>45481</v>
          </cell>
          <cell r="M200">
            <v>45491</v>
          </cell>
        </row>
        <row r="201">
          <cell r="A201">
            <v>5589</v>
          </cell>
        </row>
        <row r="201">
          <cell r="C201" t="str">
            <v>朱培源</v>
          </cell>
          <cell r="D201" t="str">
            <v>挡泥板</v>
          </cell>
        </row>
        <row r="201">
          <cell r="I201">
            <v>0</v>
          </cell>
          <cell r="J201">
            <v>6867</v>
          </cell>
        </row>
        <row r="201">
          <cell r="L201">
            <v>45487</v>
          </cell>
          <cell r="M201">
            <v>45491</v>
          </cell>
        </row>
        <row r="202">
          <cell r="A202">
            <v>3187</v>
          </cell>
        </row>
        <row r="202">
          <cell r="C202" t="str">
            <v>朱培源</v>
          </cell>
          <cell r="D202" t="str">
            <v>机盖及附件</v>
          </cell>
        </row>
        <row r="202">
          <cell r="I202">
            <v>0</v>
          </cell>
          <cell r="J202">
            <v>6868</v>
          </cell>
        </row>
        <row r="202">
          <cell r="L202">
            <v>45487</v>
          </cell>
          <cell r="M202">
            <v>45491</v>
          </cell>
        </row>
        <row r="203">
          <cell r="A203">
            <v>1201</v>
          </cell>
        </row>
        <row r="203">
          <cell r="C203" t="str">
            <v>张潇</v>
          </cell>
          <cell r="D203" t="str">
            <v>车身外扩件</v>
          </cell>
        </row>
        <row r="203">
          <cell r="I203">
            <v>0</v>
          </cell>
          <cell r="J203">
            <v>6874</v>
          </cell>
        </row>
        <row r="203">
          <cell r="L203">
            <v>45487</v>
          </cell>
          <cell r="M203">
            <v>45488</v>
          </cell>
        </row>
        <row r="204">
          <cell r="A204">
            <v>1247</v>
          </cell>
        </row>
        <row r="204">
          <cell r="C204" t="str">
            <v>王偲涵</v>
          </cell>
          <cell r="D204" t="str">
            <v>车身外扩件</v>
          </cell>
        </row>
        <row r="204">
          <cell r="I204">
            <v>0</v>
          </cell>
          <cell r="J204">
            <v>6875</v>
          </cell>
        </row>
        <row r="204">
          <cell r="L204">
            <v>45487</v>
          </cell>
          <cell r="M204">
            <v>45492</v>
          </cell>
        </row>
        <row r="205">
          <cell r="A205">
            <v>3249</v>
          </cell>
        </row>
        <row r="205">
          <cell r="C205" t="str">
            <v>朱培源</v>
          </cell>
          <cell r="D205" t="str">
            <v>软顶</v>
          </cell>
        </row>
        <row r="205">
          <cell r="I205">
            <v>0</v>
          </cell>
          <cell r="J205">
            <v>7027</v>
          </cell>
        </row>
        <row r="205">
          <cell r="L205">
            <v>45495</v>
          </cell>
          <cell r="M205">
            <v>45501</v>
          </cell>
        </row>
        <row r="206">
          <cell r="A206">
            <v>10091</v>
          </cell>
        </row>
        <row r="206">
          <cell r="C206" t="str">
            <v>朱培源</v>
          </cell>
          <cell r="D206" t="str">
            <v>软顶</v>
          </cell>
        </row>
        <row r="206">
          <cell r="I206">
            <v>0</v>
          </cell>
          <cell r="J206">
            <v>7028</v>
          </cell>
        </row>
        <row r="206">
          <cell r="L206">
            <v>45495</v>
          </cell>
          <cell r="M206">
            <v>45524</v>
          </cell>
        </row>
        <row r="207">
          <cell r="A207">
            <v>1292</v>
          </cell>
        </row>
        <row r="207">
          <cell r="C207" t="str">
            <v>王偲涵</v>
          </cell>
          <cell r="D207" t="str">
            <v>车身外扩件</v>
          </cell>
        </row>
        <row r="207">
          <cell r="I207">
            <v>0</v>
          </cell>
          <cell r="J207">
            <v>6976</v>
          </cell>
        </row>
        <row r="207">
          <cell r="L207">
            <v>45496</v>
          </cell>
          <cell r="M207">
            <v>45507</v>
          </cell>
        </row>
        <row r="208">
          <cell r="A208">
            <v>1302</v>
          </cell>
        </row>
        <row r="208">
          <cell r="C208" t="str">
            <v>俞东旭</v>
          </cell>
          <cell r="D208" t="str">
            <v>车门系统</v>
          </cell>
        </row>
        <row r="208">
          <cell r="I208">
            <v>0</v>
          </cell>
          <cell r="J208">
            <v>4691</v>
          </cell>
        </row>
        <row r="208">
          <cell r="L208">
            <v>0</v>
          </cell>
        </row>
        <row r="209">
          <cell r="A209">
            <v>635</v>
          </cell>
        </row>
        <row r="209">
          <cell r="C209" t="str">
            <v>章鹏</v>
          </cell>
          <cell r="D209" t="str">
            <v>其他</v>
          </cell>
        </row>
        <row r="209">
          <cell r="I209">
            <v>0</v>
          </cell>
          <cell r="J209">
            <v>6991</v>
          </cell>
        </row>
        <row r="209">
          <cell r="L209">
            <v>45498</v>
          </cell>
          <cell r="M209">
            <v>45502</v>
          </cell>
        </row>
        <row r="210">
          <cell r="A210">
            <v>1320</v>
          </cell>
        </row>
        <row r="210">
          <cell r="C210" t="str">
            <v>胡煜星</v>
          </cell>
          <cell r="D210" t="str">
            <v>车门系统</v>
          </cell>
        </row>
        <row r="210">
          <cell r="I210">
            <v>0</v>
          </cell>
          <cell r="J210">
            <v>6977</v>
          </cell>
        </row>
        <row r="210">
          <cell r="L210">
            <v>45499</v>
          </cell>
          <cell r="M210">
            <v>45501</v>
          </cell>
        </row>
        <row r="211">
          <cell r="A211">
            <v>3385</v>
          </cell>
        </row>
        <row r="211">
          <cell r="C211" t="str">
            <v>朱培源</v>
          </cell>
          <cell r="D211" t="str">
            <v>挡泥板</v>
          </cell>
        </row>
        <row r="211">
          <cell r="I211">
            <v>0</v>
          </cell>
          <cell r="J211">
            <v>7026</v>
          </cell>
        </row>
        <row r="211">
          <cell r="L211">
            <v>45498</v>
          </cell>
          <cell r="M211">
            <v>45511</v>
          </cell>
        </row>
        <row r="212">
          <cell r="A212">
            <v>9482</v>
          </cell>
        </row>
        <row r="212">
          <cell r="C212" t="str">
            <v>张潇</v>
          </cell>
          <cell r="D212" t="str">
            <v>车门系统</v>
          </cell>
        </row>
        <row r="212">
          <cell r="I212">
            <v>0</v>
          </cell>
          <cell r="J212">
            <v>7086</v>
          </cell>
        </row>
        <row r="212">
          <cell r="L212">
            <v>45498</v>
          </cell>
          <cell r="M212">
            <v>45502</v>
          </cell>
        </row>
        <row r="213">
          <cell r="A213">
            <v>8936</v>
          </cell>
        </row>
        <row r="213">
          <cell r="C213" t="str">
            <v>章鹏</v>
          </cell>
          <cell r="D213" t="str">
            <v>挡泥板</v>
          </cell>
        </row>
        <row r="213">
          <cell r="I213">
            <v>0</v>
          </cell>
          <cell r="J213">
            <v>6975</v>
          </cell>
        </row>
        <row r="213">
          <cell r="L213">
            <v>45500</v>
          </cell>
          <cell r="M213">
            <v>45501</v>
          </cell>
        </row>
        <row r="214">
          <cell r="A214">
            <v>3512</v>
          </cell>
        </row>
        <row r="214">
          <cell r="C214" t="str">
            <v>朱培源</v>
          </cell>
          <cell r="D214" t="str">
            <v>软顶</v>
          </cell>
        </row>
        <row r="214">
          <cell r="I214">
            <v>0</v>
          </cell>
          <cell r="J214">
            <v>6990</v>
          </cell>
        </row>
        <row r="214">
          <cell r="L214">
            <v>45501</v>
          </cell>
          <cell r="M214">
            <v>45516</v>
          </cell>
        </row>
        <row r="215">
          <cell r="A215">
            <v>3534</v>
          </cell>
        </row>
        <row r="215">
          <cell r="C215" t="str">
            <v>朱培源</v>
          </cell>
          <cell r="D215" t="str">
            <v>软顶</v>
          </cell>
        </row>
        <row r="215">
          <cell r="I215">
            <v>0</v>
          </cell>
          <cell r="J215">
            <v>7118</v>
          </cell>
        </row>
        <row r="215">
          <cell r="L215">
            <v>45503</v>
          </cell>
          <cell r="M215">
            <v>45505</v>
          </cell>
        </row>
        <row r="216">
          <cell r="A216">
            <v>3535</v>
          </cell>
        </row>
        <row r="216">
          <cell r="C216" t="str">
            <v>朱培源</v>
          </cell>
          <cell r="D216" t="str">
            <v>软顶</v>
          </cell>
        </row>
        <row r="216">
          <cell r="I216">
            <v>0</v>
          </cell>
          <cell r="J216">
            <v>6869</v>
          </cell>
        </row>
        <row r="216">
          <cell r="L216">
            <v>45503</v>
          </cell>
          <cell r="M216">
            <v>45505</v>
          </cell>
        </row>
        <row r="217">
          <cell r="A217">
            <v>3536</v>
          </cell>
        </row>
        <row r="217">
          <cell r="C217" t="str">
            <v>朱培源</v>
          </cell>
          <cell r="D217" t="str">
            <v>软顶</v>
          </cell>
        </row>
        <row r="217">
          <cell r="I217">
            <v>0</v>
          </cell>
          <cell r="J217">
            <v>7103</v>
          </cell>
        </row>
        <row r="217">
          <cell r="L217">
            <v>45506</v>
          </cell>
          <cell r="M217">
            <v>45517</v>
          </cell>
        </row>
        <row r="218">
          <cell r="A218">
            <v>8608</v>
          </cell>
        </row>
        <row r="218">
          <cell r="C218" t="str">
            <v>章鹏</v>
          </cell>
          <cell r="D218" t="str">
            <v>挡泥板</v>
          </cell>
        </row>
        <row r="218">
          <cell r="I218">
            <v>0</v>
          </cell>
          <cell r="J218">
            <v>7104</v>
          </cell>
        </row>
        <row r="218">
          <cell r="L218">
            <v>45506</v>
          </cell>
          <cell r="M218">
            <v>45521</v>
          </cell>
        </row>
        <row r="219">
          <cell r="A219">
            <v>1152</v>
          </cell>
        </row>
        <row r="219">
          <cell r="C219" t="str">
            <v>朱培源</v>
          </cell>
          <cell r="D219" t="str">
            <v>挡泥板</v>
          </cell>
        </row>
        <row r="219">
          <cell r="I219">
            <v>0</v>
          </cell>
          <cell r="J219">
            <v>6992</v>
          </cell>
        </row>
        <row r="219">
          <cell r="L219">
            <v>0</v>
          </cell>
        </row>
        <row r="220">
          <cell r="A220">
            <v>1448</v>
          </cell>
        </row>
        <row r="220">
          <cell r="C220" t="str">
            <v>王偲涵</v>
          </cell>
          <cell r="D220" t="str">
            <v>车身外扩件</v>
          </cell>
        </row>
        <row r="220">
          <cell r="I220">
            <v>0</v>
          </cell>
          <cell r="J220">
            <v>5609</v>
          </cell>
        </row>
        <row r="220">
          <cell r="L220">
            <v>0</v>
          </cell>
        </row>
        <row r="221">
          <cell r="A221">
            <v>1449</v>
          </cell>
        </row>
        <row r="221">
          <cell r="C221" t="str">
            <v>王偲涵</v>
          </cell>
          <cell r="D221" t="str">
            <v>车身外扩件</v>
          </cell>
        </row>
        <row r="221">
          <cell r="I221">
            <v>0</v>
          </cell>
          <cell r="J221">
            <v>4664</v>
          </cell>
        </row>
        <row r="221">
          <cell r="L221">
            <v>0</v>
          </cell>
        </row>
        <row r="222">
          <cell r="A222">
            <v>1459</v>
          </cell>
        </row>
        <row r="222">
          <cell r="C222" t="str">
            <v>胡煜星</v>
          </cell>
          <cell r="D222" t="str">
            <v>车门系统</v>
          </cell>
        </row>
        <row r="222">
          <cell r="I222">
            <v>0</v>
          </cell>
          <cell r="J222">
            <v>7091</v>
          </cell>
        </row>
        <row r="222">
          <cell r="L222">
            <v>45511</v>
          </cell>
          <cell r="M222">
            <v>45513</v>
          </cell>
        </row>
        <row r="223">
          <cell r="A223">
            <v>3708</v>
          </cell>
        </row>
        <row r="223">
          <cell r="C223" t="str">
            <v>朱培源</v>
          </cell>
          <cell r="D223" t="str">
            <v>软顶</v>
          </cell>
        </row>
        <row r="223">
          <cell r="I223">
            <v>0</v>
          </cell>
          <cell r="J223">
            <v>7141</v>
          </cell>
        </row>
        <row r="223">
          <cell r="L223">
            <v>45511</v>
          </cell>
          <cell r="M223">
            <v>45529</v>
          </cell>
        </row>
        <row r="224">
          <cell r="A224">
            <v>1497</v>
          </cell>
        </row>
        <row r="224">
          <cell r="C224" t="str">
            <v>王偲涵</v>
          </cell>
          <cell r="D224" t="str">
            <v>车身外扩件</v>
          </cell>
        </row>
        <row r="224">
          <cell r="I224">
            <v>0</v>
          </cell>
          <cell r="J224">
            <v>7189</v>
          </cell>
        </row>
        <row r="224">
          <cell r="L224">
            <v>45511</v>
          </cell>
          <cell r="M224">
            <v>45516</v>
          </cell>
        </row>
        <row r="225">
          <cell r="A225">
            <v>1498</v>
          </cell>
        </row>
        <row r="225">
          <cell r="C225" t="str">
            <v>王偲涵</v>
          </cell>
          <cell r="D225" t="str">
            <v>车身外扩件</v>
          </cell>
        </row>
        <row r="225">
          <cell r="I225">
            <v>0</v>
          </cell>
          <cell r="J225">
            <v>7190</v>
          </cell>
        </row>
        <row r="225">
          <cell r="L225">
            <v>45511</v>
          </cell>
          <cell r="M225">
            <v>45511</v>
          </cell>
        </row>
        <row r="226">
          <cell r="A226">
            <v>1513</v>
          </cell>
        </row>
        <row r="226">
          <cell r="C226" t="str">
            <v>王偲涵</v>
          </cell>
          <cell r="D226" t="str">
            <v>车身外扩件</v>
          </cell>
        </row>
        <row r="226">
          <cell r="I226">
            <v>0</v>
          </cell>
          <cell r="J226">
            <v>7191</v>
          </cell>
        </row>
        <row r="226">
          <cell r="L226">
            <v>45511</v>
          </cell>
          <cell r="M226">
            <v>45519</v>
          </cell>
        </row>
        <row r="227">
          <cell r="A227">
            <v>1520</v>
          </cell>
        </row>
        <row r="227">
          <cell r="C227" t="str">
            <v>俞东旭</v>
          </cell>
          <cell r="D227" t="str">
            <v>车身外扩件</v>
          </cell>
        </row>
        <row r="227">
          <cell r="I227">
            <v>0</v>
          </cell>
          <cell r="J227">
            <v>7192</v>
          </cell>
        </row>
        <row r="227">
          <cell r="L227">
            <v>45511</v>
          </cell>
          <cell r="M227">
            <v>45554</v>
          </cell>
        </row>
        <row r="228">
          <cell r="A228">
            <v>1536</v>
          </cell>
        </row>
        <row r="228">
          <cell r="C228" t="str">
            <v>王偲涵</v>
          </cell>
          <cell r="D228" t="str">
            <v>雨刮罩</v>
          </cell>
        </row>
        <row r="228">
          <cell r="I228">
            <v>0</v>
          </cell>
          <cell r="J228">
            <v>7193</v>
          </cell>
        </row>
        <row r="228">
          <cell r="L228">
            <v>45511</v>
          </cell>
          <cell r="M228">
            <v>45516</v>
          </cell>
        </row>
        <row r="229">
          <cell r="A229">
            <v>840</v>
          </cell>
        </row>
        <row r="229">
          <cell r="C229" t="str">
            <v>朱培源</v>
          </cell>
          <cell r="D229" t="str">
            <v>机盖及附件</v>
          </cell>
        </row>
        <row r="229">
          <cell r="I229">
            <v>0</v>
          </cell>
          <cell r="J229">
            <v>7194</v>
          </cell>
        </row>
        <row r="229">
          <cell r="L229">
            <v>45511</v>
          </cell>
          <cell r="M229">
            <v>45511</v>
          </cell>
        </row>
        <row r="230">
          <cell r="A230">
            <v>1584</v>
          </cell>
        </row>
        <row r="230">
          <cell r="C230" t="str">
            <v>王偲涵</v>
          </cell>
          <cell r="D230" t="str">
            <v>雨刮罩</v>
          </cell>
        </row>
        <row r="230">
          <cell r="I230">
            <v>0</v>
          </cell>
          <cell r="J230">
            <v>7195</v>
          </cell>
        </row>
        <row r="230">
          <cell r="L230">
            <v>45511</v>
          </cell>
          <cell r="M230">
            <v>45524</v>
          </cell>
        </row>
        <row r="231">
          <cell r="A231">
            <v>2993</v>
          </cell>
        </row>
        <row r="231">
          <cell r="C231" t="str">
            <v>王偲涵</v>
          </cell>
          <cell r="D231" t="str">
            <v>雨刮罩</v>
          </cell>
        </row>
        <row r="231">
          <cell r="I231">
            <v>0</v>
          </cell>
          <cell r="J231">
            <v>7196</v>
          </cell>
        </row>
        <row r="231">
          <cell r="L231">
            <v>45511</v>
          </cell>
          <cell r="M231">
            <v>45532</v>
          </cell>
        </row>
        <row r="232">
          <cell r="A232">
            <v>1586</v>
          </cell>
        </row>
        <row r="232">
          <cell r="C232" t="str">
            <v>王偲涵</v>
          </cell>
          <cell r="D232" t="str">
            <v>雨刮罩</v>
          </cell>
        </row>
        <row r="232">
          <cell r="I232">
            <v>0</v>
          </cell>
          <cell r="J232">
            <v>7134</v>
          </cell>
        </row>
        <row r="232">
          <cell r="L232">
            <v>45516</v>
          </cell>
          <cell r="M232">
            <v>45523</v>
          </cell>
        </row>
        <row r="233">
          <cell r="A233">
            <v>1588</v>
          </cell>
        </row>
        <row r="233">
          <cell r="C233" t="str">
            <v>王偲涵</v>
          </cell>
          <cell r="D233" t="str">
            <v>雨刮罩</v>
          </cell>
        </row>
        <row r="233">
          <cell r="I233">
            <v>0</v>
          </cell>
          <cell r="J233">
            <v>7095</v>
          </cell>
        </row>
        <row r="233">
          <cell r="L233">
            <v>45516</v>
          </cell>
          <cell r="M233">
            <v>45526</v>
          </cell>
        </row>
        <row r="234">
          <cell r="A234">
            <v>1634</v>
          </cell>
        </row>
        <row r="234">
          <cell r="C234" t="str">
            <v>王偲涵</v>
          </cell>
          <cell r="D234" t="str">
            <v>车身外扩件</v>
          </cell>
        </row>
        <row r="234">
          <cell r="I234">
            <v>0</v>
          </cell>
          <cell r="J234">
            <v>7096</v>
          </cell>
        </row>
        <row r="234">
          <cell r="L234">
            <v>45516</v>
          </cell>
          <cell r="M234">
            <v>45530</v>
          </cell>
        </row>
        <row r="235">
          <cell r="A235">
            <v>1643</v>
          </cell>
        </row>
        <row r="235">
          <cell r="C235" t="str">
            <v>王偲涵</v>
          </cell>
          <cell r="D235" t="str">
            <v>车身外扩件</v>
          </cell>
        </row>
        <row r="235">
          <cell r="I235">
            <v>0</v>
          </cell>
          <cell r="J235">
            <v>7140</v>
          </cell>
        </row>
        <row r="235">
          <cell r="L235">
            <v>45520</v>
          </cell>
          <cell r="M235">
            <v>45528</v>
          </cell>
        </row>
        <row r="236">
          <cell r="A236">
            <v>1691</v>
          </cell>
        </row>
        <row r="236">
          <cell r="C236" t="str">
            <v>王偲涵</v>
          </cell>
          <cell r="D236" t="str">
            <v>车身外扩件</v>
          </cell>
        </row>
        <row r="236">
          <cell r="I236">
            <v>0</v>
          </cell>
          <cell r="J236">
            <v>7242</v>
          </cell>
        </row>
        <row r="236">
          <cell r="L236">
            <v>45524</v>
          </cell>
          <cell r="M236">
            <v>45528</v>
          </cell>
        </row>
        <row r="237">
          <cell r="A237">
            <v>1697</v>
          </cell>
        </row>
        <row r="237">
          <cell r="C237" t="str">
            <v>王偲涵</v>
          </cell>
          <cell r="D237" t="str">
            <v>车身外扩件</v>
          </cell>
        </row>
        <row r="237">
          <cell r="I237">
            <v>0</v>
          </cell>
          <cell r="J237">
            <v>7314</v>
          </cell>
        </row>
        <row r="237">
          <cell r="L237">
            <v>45524</v>
          </cell>
          <cell r="M237">
            <v>45528</v>
          </cell>
        </row>
        <row r="238">
          <cell r="A238">
            <v>1698</v>
          </cell>
        </row>
        <row r="238">
          <cell r="C238" t="str">
            <v>王偲涵</v>
          </cell>
          <cell r="D238" t="str">
            <v>车身外扩件</v>
          </cell>
        </row>
        <row r="238">
          <cell r="I238">
            <v>0</v>
          </cell>
          <cell r="J238">
            <v>7315</v>
          </cell>
        </row>
        <row r="238">
          <cell r="L238">
            <v>45524</v>
          </cell>
          <cell r="M238">
            <v>45530</v>
          </cell>
        </row>
        <row r="239">
          <cell r="A239">
            <v>1699</v>
          </cell>
        </row>
        <row r="239">
          <cell r="C239" t="str">
            <v>王偲涵</v>
          </cell>
          <cell r="D239" t="str">
            <v>车身外扩件</v>
          </cell>
        </row>
        <row r="239">
          <cell r="I239">
            <v>0</v>
          </cell>
          <cell r="J239">
            <v>7247</v>
          </cell>
        </row>
        <row r="239">
          <cell r="L239">
            <v>45524</v>
          </cell>
          <cell r="M239">
            <v>45529</v>
          </cell>
        </row>
        <row r="240">
          <cell r="A240">
            <v>1700</v>
          </cell>
        </row>
        <row r="240">
          <cell r="C240" t="str">
            <v>王偲涵</v>
          </cell>
          <cell r="D240" t="str">
            <v>车身外扩件</v>
          </cell>
        </row>
        <row r="240">
          <cell r="I240">
            <v>0</v>
          </cell>
          <cell r="J240">
            <v>7248</v>
          </cell>
        </row>
        <row r="240">
          <cell r="L240">
            <v>45524</v>
          </cell>
          <cell r="M240">
            <v>45527</v>
          </cell>
        </row>
        <row r="241">
          <cell r="A241">
            <v>1707</v>
          </cell>
        </row>
        <row r="241">
          <cell r="C241" t="str">
            <v>王偲涵</v>
          </cell>
          <cell r="D241" t="str">
            <v>车身外扩件</v>
          </cell>
        </row>
        <row r="241">
          <cell r="I241">
            <v>0</v>
          </cell>
          <cell r="J241">
            <v>7316</v>
          </cell>
        </row>
        <row r="241">
          <cell r="L241">
            <v>45524</v>
          </cell>
          <cell r="M241">
            <v>45527</v>
          </cell>
        </row>
        <row r="242">
          <cell r="A242">
            <v>1708</v>
          </cell>
        </row>
        <row r="242">
          <cell r="C242" t="str">
            <v>王偲涵</v>
          </cell>
          <cell r="D242" t="str">
            <v>车身外扩件</v>
          </cell>
        </row>
        <row r="242">
          <cell r="I242">
            <v>0</v>
          </cell>
          <cell r="J242">
            <v>7317</v>
          </cell>
        </row>
        <row r="242">
          <cell r="L242">
            <v>45524</v>
          </cell>
          <cell r="M242">
            <v>45527</v>
          </cell>
        </row>
        <row r="243">
          <cell r="A243">
            <v>1710</v>
          </cell>
        </row>
        <row r="243">
          <cell r="C243" t="str">
            <v>王偲涵</v>
          </cell>
          <cell r="D243" t="str">
            <v>车身外扩件</v>
          </cell>
        </row>
        <row r="243">
          <cell r="I243">
            <v>0</v>
          </cell>
          <cell r="J243">
            <v>7249</v>
          </cell>
        </row>
        <row r="243">
          <cell r="L243">
            <v>45524</v>
          </cell>
          <cell r="M243">
            <v>45531</v>
          </cell>
        </row>
        <row r="244">
          <cell r="A244">
            <v>1712</v>
          </cell>
        </row>
        <row r="244">
          <cell r="C244" t="str">
            <v>王偲涵</v>
          </cell>
          <cell r="D244" t="str">
            <v>车身外扩件</v>
          </cell>
        </row>
        <row r="244">
          <cell r="I244">
            <v>0</v>
          </cell>
          <cell r="J244">
            <v>7250</v>
          </cell>
        </row>
        <row r="244">
          <cell r="L244">
            <v>45524</v>
          </cell>
          <cell r="M244">
            <v>45530</v>
          </cell>
        </row>
        <row r="245">
          <cell r="A245">
            <v>1714</v>
          </cell>
        </row>
        <row r="245">
          <cell r="C245" t="str">
            <v>王偲涵</v>
          </cell>
          <cell r="D245" t="str">
            <v>车身外扩件</v>
          </cell>
        </row>
        <row r="245">
          <cell r="I245">
            <v>0</v>
          </cell>
          <cell r="J245">
            <v>7318</v>
          </cell>
        </row>
        <row r="245">
          <cell r="L245">
            <v>45525</v>
          </cell>
          <cell r="M245">
            <v>45530</v>
          </cell>
        </row>
        <row r="246">
          <cell r="A246">
            <v>1716</v>
          </cell>
        </row>
        <row r="246">
          <cell r="C246" t="str">
            <v>王偲涵</v>
          </cell>
          <cell r="D246" t="str">
            <v>车身外扩件</v>
          </cell>
        </row>
        <row r="246">
          <cell r="I246">
            <v>0</v>
          </cell>
          <cell r="J246">
            <v>7319</v>
          </cell>
        </row>
        <row r="246">
          <cell r="L246">
            <v>45525</v>
          </cell>
          <cell r="M246">
            <v>45525</v>
          </cell>
        </row>
        <row r="247">
          <cell r="A247">
            <v>3284</v>
          </cell>
        </row>
        <row r="247">
          <cell r="C247" t="str">
            <v>胡煜星</v>
          </cell>
          <cell r="D247" t="str">
            <v>车门系统</v>
          </cell>
        </row>
        <row r="247">
          <cell r="I247">
            <v>0</v>
          </cell>
          <cell r="J247">
            <v>7348</v>
          </cell>
        </row>
        <row r="247">
          <cell r="L247">
            <v>45525</v>
          </cell>
          <cell r="M247">
            <v>45527</v>
          </cell>
        </row>
        <row r="248">
          <cell r="A248">
            <v>3341</v>
          </cell>
        </row>
        <row r="248">
          <cell r="C248" t="str">
            <v>胡煜星</v>
          </cell>
          <cell r="D248" t="str">
            <v>车门系统</v>
          </cell>
        </row>
        <row r="248">
          <cell r="I248">
            <v>0</v>
          </cell>
          <cell r="J248">
            <v>7349</v>
          </cell>
        </row>
        <row r="248">
          <cell r="L248">
            <v>45525</v>
          </cell>
          <cell r="M248">
            <v>45531</v>
          </cell>
        </row>
        <row r="249">
          <cell r="A249">
            <v>2850</v>
          </cell>
        </row>
        <row r="249">
          <cell r="C249" t="str">
            <v>王偲涵</v>
          </cell>
          <cell r="D249" t="str">
            <v>车身外扩件</v>
          </cell>
        </row>
        <row r="249">
          <cell r="I249">
            <v>0</v>
          </cell>
          <cell r="J249">
            <v>7251</v>
          </cell>
        </row>
        <row r="249">
          <cell r="L249">
            <v>45524</v>
          </cell>
          <cell r="M249">
            <v>45527</v>
          </cell>
        </row>
        <row r="250">
          <cell r="A250">
            <v>8087</v>
          </cell>
        </row>
        <row r="250">
          <cell r="C250" t="str">
            <v>章鹏</v>
          </cell>
          <cell r="D250" t="str">
            <v>挡泥板</v>
          </cell>
        </row>
        <row r="250">
          <cell r="I250">
            <v>0</v>
          </cell>
          <cell r="J250">
            <v>7252</v>
          </cell>
        </row>
        <row r="250">
          <cell r="L250">
            <v>45524</v>
          </cell>
          <cell r="M250">
            <v>45527</v>
          </cell>
        </row>
        <row r="251">
          <cell r="A251">
            <v>3096</v>
          </cell>
        </row>
        <row r="251">
          <cell r="C251" t="str">
            <v>王偲涵</v>
          </cell>
          <cell r="D251" t="str">
            <v>雨刮罩</v>
          </cell>
        </row>
        <row r="251">
          <cell r="I251">
            <v>0</v>
          </cell>
          <cell r="J251">
            <v>7288</v>
          </cell>
        </row>
        <row r="251">
          <cell r="L251">
            <v>45524</v>
          </cell>
          <cell r="M251">
            <v>45525</v>
          </cell>
        </row>
        <row r="252">
          <cell r="A252">
            <v>3118</v>
          </cell>
        </row>
        <row r="252">
          <cell r="C252" t="str">
            <v>王偲涵</v>
          </cell>
          <cell r="D252" t="str">
            <v>雨刮罩</v>
          </cell>
        </row>
        <row r="252">
          <cell r="I252">
            <v>0</v>
          </cell>
          <cell r="J252">
            <v>7243</v>
          </cell>
        </row>
        <row r="252">
          <cell r="L252">
            <v>45524</v>
          </cell>
          <cell r="M252">
            <v>45529</v>
          </cell>
        </row>
        <row r="253">
          <cell r="A253">
            <v>3650</v>
          </cell>
        </row>
        <row r="253">
          <cell r="C253" t="str">
            <v>王偲涵</v>
          </cell>
          <cell r="D253" t="str">
            <v>车身外扩件</v>
          </cell>
        </row>
        <row r="253">
          <cell r="I253">
            <v>0</v>
          </cell>
          <cell r="J253">
            <v>7233</v>
          </cell>
        </row>
        <row r="253">
          <cell r="L253">
            <v>45527</v>
          </cell>
          <cell r="M253">
            <v>45561</v>
          </cell>
        </row>
        <row r="254">
          <cell r="A254">
            <v>3681</v>
          </cell>
        </row>
        <row r="254">
          <cell r="C254" t="str">
            <v>王偲涵</v>
          </cell>
          <cell r="D254" t="str">
            <v>车身外扩件</v>
          </cell>
        </row>
        <row r="254">
          <cell r="I254">
            <v>0</v>
          </cell>
          <cell r="J254">
            <v>7300</v>
          </cell>
        </row>
        <row r="254">
          <cell r="L254">
            <v>45527</v>
          </cell>
          <cell r="M254">
            <v>45537</v>
          </cell>
        </row>
        <row r="255">
          <cell r="A255">
            <v>3757</v>
          </cell>
        </row>
        <row r="255">
          <cell r="C255" t="str">
            <v>王偲涵</v>
          </cell>
          <cell r="D255" t="str">
            <v>车身外扩件</v>
          </cell>
        </row>
        <row r="255">
          <cell r="I255">
            <v>0</v>
          </cell>
          <cell r="J255">
            <v>7180</v>
          </cell>
        </row>
        <row r="255">
          <cell r="L255">
            <v>45527</v>
          </cell>
          <cell r="M255">
            <v>45534</v>
          </cell>
        </row>
        <row r="256">
          <cell r="A256">
            <v>3584</v>
          </cell>
        </row>
        <row r="256">
          <cell r="C256" t="str">
            <v>俞东旭</v>
          </cell>
          <cell r="D256" t="str">
            <v>车身外扩件</v>
          </cell>
        </row>
        <row r="256">
          <cell r="I256">
            <v>0</v>
          </cell>
          <cell r="J256">
            <v>7181</v>
          </cell>
        </row>
        <row r="256">
          <cell r="L256">
            <v>45527</v>
          </cell>
          <cell r="M256">
            <v>45544</v>
          </cell>
        </row>
        <row r="257">
          <cell r="A257">
            <v>3625</v>
          </cell>
        </row>
        <row r="257">
          <cell r="C257" t="str">
            <v>王偲涵</v>
          </cell>
          <cell r="D257" t="str">
            <v>车身外扩件</v>
          </cell>
        </row>
        <row r="257">
          <cell r="I257">
            <v>0</v>
          </cell>
          <cell r="J257">
            <v>7173</v>
          </cell>
        </row>
        <row r="257">
          <cell r="L257">
            <v>45527</v>
          </cell>
          <cell r="M257">
            <v>45535</v>
          </cell>
        </row>
        <row r="258">
          <cell r="A258">
            <v>3645</v>
          </cell>
        </row>
        <row r="258">
          <cell r="C258" t="str">
            <v>王偲涵</v>
          </cell>
          <cell r="D258" t="str">
            <v>车身外扩件</v>
          </cell>
        </row>
        <row r="258">
          <cell r="I258">
            <v>0</v>
          </cell>
          <cell r="J258">
            <v>7302</v>
          </cell>
        </row>
        <row r="258">
          <cell r="L258">
            <v>45527</v>
          </cell>
          <cell r="M258">
            <v>45534</v>
          </cell>
        </row>
        <row r="259">
          <cell r="A259">
            <v>3683</v>
          </cell>
        </row>
        <row r="259">
          <cell r="C259" t="str">
            <v>王偲涵</v>
          </cell>
          <cell r="D259" t="str">
            <v>车身外扩件</v>
          </cell>
        </row>
        <row r="259">
          <cell r="I259">
            <v>0</v>
          </cell>
          <cell r="J259">
            <v>7230</v>
          </cell>
        </row>
        <row r="259">
          <cell r="L259">
            <v>45528</v>
          </cell>
          <cell r="M259">
            <v>45531</v>
          </cell>
        </row>
        <row r="260">
          <cell r="A260">
            <v>3684</v>
          </cell>
        </row>
        <row r="260">
          <cell r="C260" t="str">
            <v>王偲涵</v>
          </cell>
          <cell r="D260" t="str">
            <v>车身外扩件</v>
          </cell>
        </row>
        <row r="260">
          <cell r="I260">
            <v>0</v>
          </cell>
          <cell r="J260">
            <v>7232</v>
          </cell>
        </row>
        <row r="260">
          <cell r="L260">
            <v>45528</v>
          </cell>
          <cell r="M260">
            <v>45533</v>
          </cell>
        </row>
        <row r="261">
          <cell r="A261">
            <v>3685</v>
          </cell>
        </row>
        <row r="261">
          <cell r="C261" t="str">
            <v>王偲涵</v>
          </cell>
          <cell r="D261" t="str">
            <v>车身外扩件</v>
          </cell>
        </row>
        <row r="261">
          <cell r="I261">
            <v>0</v>
          </cell>
          <cell r="J261">
            <v>7234</v>
          </cell>
        </row>
        <row r="261">
          <cell r="L261">
            <v>45528</v>
          </cell>
          <cell r="M261">
            <v>45533</v>
          </cell>
        </row>
        <row r="262">
          <cell r="A262">
            <v>1434</v>
          </cell>
        </row>
        <row r="262">
          <cell r="C262" t="str">
            <v>张潇</v>
          </cell>
          <cell r="D262" t="str">
            <v>挡泥板</v>
          </cell>
        </row>
        <row r="262">
          <cell r="I262">
            <v>0</v>
          </cell>
          <cell r="J262">
            <v>7244</v>
          </cell>
        </row>
        <row r="262">
          <cell r="L262">
            <v>45528</v>
          </cell>
          <cell r="M262">
            <v>45540</v>
          </cell>
        </row>
        <row r="263">
          <cell r="A263">
            <v>3796</v>
          </cell>
        </row>
        <row r="263">
          <cell r="C263" t="str">
            <v>朱培源</v>
          </cell>
          <cell r="D263" t="str">
            <v>软顶</v>
          </cell>
        </row>
        <row r="263">
          <cell r="I263">
            <v>0</v>
          </cell>
          <cell r="J263">
            <v>7245</v>
          </cell>
        </row>
        <row r="263">
          <cell r="L263">
            <v>45528</v>
          </cell>
          <cell r="M263">
            <v>45535</v>
          </cell>
        </row>
        <row r="264">
          <cell r="A264">
            <v>4073</v>
          </cell>
        </row>
        <row r="264">
          <cell r="C264" t="str">
            <v>俞东旭</v>
          </cell>
          <cell r="D264" t="str">
            <v>其他</v>
          </cell>
        </row>
        <row r="264">
          <cell r="I264">
            <v>0</v>
          </cell>
          <cell r="J264">
            <v>7301</v>
          </cell>
        </row>
        <row r="264">
          <cell r="L264">
            <v>45528</v>
          </cell>
          <cell r="M264">
            <v>45531</v>
          </cell>
        </row>
        <row r="265">
          <cell r="A265">
            <v>4120</v>
          </cell>
        </row>
        <row r="265">
          <cell r="C265" t="str">
            <v>朱培源</v>
          </cell>
          <cell r="D265" t="str">
            <v>软顶</v>
          </cell>
        </row>
        <row r="265">
          <cell r="I265">
            <v>0</v>
          </cell>
          <cell r="J265">
            <v>7347</v>
          </cell>
        </row>
        <row r="265">
          <cell r="L265">
            <v>45533</v>
          </cell>
          <cell r="M265">
            <v>45561</v>
          </cell>
        </row>
        <row r="266">
          <cell r="A266">
            <v>4350</v>
          </cell>
        </row>
        <row r="266">
          <cell r="C266" t="str">
            <v>王偲涵</v>
          </cell>
          <cell r="D266" t="str">
            <v>车身外扩件</v>
          </cell>
        </row>
        <row r="266">
          <cell r="I266">
            <v>0</v>
          </cell>
          <cell r="J266">
            <v>7399</v>
          </cell>
        </row>
        <row r="266">
          <cell r="L266">
            <v>45533</v>
          </cell>
          <cell r="M266">
            <v>45553</v>
          </cell>
        </row>
        <row r="267">
          <cell r="A267">
            <v>4491</v>
          </cell>
        </row>
        <row r="267">
          <cell r="C267" t="str">
            <v>朱培源</v>
          </cell>
          <cell r="D267" t="str">
            <v>软顶</v>
          </cell>
        </row>
        <row r="267">
          <cell r="I267">
            <v>0</v>
          </cell>
          <cell r="J267">
            <v>7467</v>
          </cell>
        </row>
        <row r="267">
          <cell r="L267">
            <v>45533</v>
          </cell>
          <cell r="M267">
            <v>45557</v>
          </cell>
        </row>
        <row r="268">
          <cell r="A268">
            <v>4543</v>
          </cell>
        </row>
        <row r="268">
          <cell r="C268" t="str">
            <v>朱培源</v>
          </cell>
          <cell r="D268" t="str">
            <v>软顶</v>
          </cell>
        </row>
        <row r="268">
          <cell r="I268">
            <v>0</v>
          </cell>
          <cell r="J268">
            <v>7345</v>
          </cell>
        </row>
        <row r="268">
          <cell r="L268">
            <v>45537</v>
          </cell>
          <cell r="M268">
            <v>45541</v>
          </cell>
        </row>
        <row r="269">
          <cell r="A269">
            <v>4537</v>
          </cell>
        </row>
        <row r="269">
          <cell r="C269" t="str">
            <v>朱培源</v>
          </cell>
          <cell r="D269" t="str">
            <v>软顶</v>
          </cell>
        </row>
        <row r="269">
          <cell r="I269">
            <v>0</v>
          </cell>
          <cell r="J269">
            <v>7290</v>
          </cell>
        </row>
        <row r="269">
          <cell r="L269">
            <v>45537</v>
          </cell>
          <cell r="M269">
            <v>45539</v>
          </cell>
        </row>
        <row r="270">
          <cell r="A270">
            <v>5708</v>
          </cell>
        </row>
        <row r="270">
          <cell r="C270" t="str">
            <v>俞东旭</v>
          </cell>
          <cell r="D270" t="str">
            <v>车门系统</v>
          </cell>
        </row>
        <row r="270">
          <cell r="I270" t="e">
            <v>#N/A</v>
          </cell>
          <cell r="J270">
            <v>3714</v>
          </cell>
        </row>
        <row r="270">
          <cell r="L270" t="e">
            <v>#N/A</v>
          </cell>
        </row>
        <row r="271">
          <cell r="A271">
            <v>4267</v>
          </cell>
        </row>
        <row r="271">
          <cell r="C271" t="str">
            <v>王偲涵</v>
          </cell>
          <cell r="D271" t="str">
            <v>车身外扩件</v>
          </cell>
        </row>
        <row r="271">
          <cell r="I271">
            <v>0</v>
          </cell>
          <cell r="J271">
            <v>7231</v>
          </cell>
        </row>
        <row r="271">
          <cell r="L271">
            <v>45547</v>
          </cell>
          <cell r="M271">
            <v>45579</v>
          </cell>
        </row>
        <row r="272">
          <cell r="A272">
            <v>4663</v>
          </cell>
        </row>
        <row r="272">
          <cell r="C272" t="str">
            <v>俞东旭</v>
          </cell>
          <cell r="D272" t="str">
            <v>车身外扩件</v>
          </cell>
        </row>
        <row r="272">
          <cell r="I272">
            <v>0</v>
          </cell>
          <cell r="J272">
            <v>7448</v>
          </cell>
        </row>
        <row r="272">
          <cell r="L272">
            <v>45547</v>
          </cell>
          <cell r="M272">
            <v>45559</v>
          </cell>
        </row>
        <row r="273">
          <cell r="A273">
            <v>4219</v>
          </cell>
        </row>
        <row r="273">
          <cell r="C273" t="str">
            <v>王偲涵</v>
          </cell>
          <cell r="D273" t="str">
            <v>车身外扩件</v>
          </cell>
        </row>
        <row r="273">
          <cell r="I273">
            <v>0</v>
          </cell>
          <cell r="J273">
            <v>7449</v>
          </cell>
        </row>
        <row r="273">
          <cell r="L273">
            <v>45547</v>
          </cell>
          <cell r="M273">
            <v>45665</v>
          </cell>
        </row>
        <row r="274">
          <cell r="A274">
            <v>4794</v>
          </cell>
        </row>
        <row r="274">
          <cell r="C274" t="str">
            <v>王偲涵</v>
          </cell>
          <cell r="D274" t="str">
            <v>车身外扩件</v>
          </cell>
        </row>
        <row r="274">
          <cell r="I274">
            <v>0</v>
          </cell>
          <cell r="J274">
            <v>7450</v>
          </cell>
        </row>
        <row r="274">
          <cell r="L274">
            <v>45547</v>
          </cell>
          <cell r="M274">
            <v>45561</v>
          </cell>
        </row>
        <row r="275">
          <cell r="A275">
            <v>4756</v>
          </cell>
        </row>
        <row r="275">
          <cell r="C275" t="str">
            <v>俞东旭</v>
          </cell>
          <cell r="D275" t="str">
            <v>车身外扩件</v>
          </cell>
        </row>
        <row r="275">
          <cell r="I275">
            <v>0</v>
          </cell>
          <cell r="J275">
            <v>7419</v>
          </cell>
        </row>
        <row r="275">
          <cell r="L275">
            <v>45547</v>
          </cell>
          <cell r="M275">
            <v>45558</v>
          </cell>
        </row>
        <row r="276">
          <cell r="A276">
            <v>3657</v>
          </cell>
        </row>
        <row r="276">
          <cell r="C276" t="str">
            <v>王偲涵</v>
          </cell>
          <cell r="D276" t="str">
            <v>车身外扩件</v>
          </cell>
        </row>
        <row r="276">
          <cell r="I276">
            <v>0</v>
          </cell>
          <cell r="J276">
            <v>7420</v>
          </cell>
        </row>
        <row r="276">
          <cell r="L276">
            <v>45547</v>
          </cell>
          <cell r="M276">
            <v>45555</v>
          </cell>
        </row>
        <row r="277">
          <cell r="A277">
            <v>3920</v>
          </cell>
        </row>
        <row r="277">
          <cell r="C277" t="str">
            <v>王偲涵</v>
          </cell>
          <cell r="D277" t="str">
            <v>车身外扩件</v>
          </cell>
        </row>
        <row r="277">
          <cell r="I277">
            <v>0</v>
          </cell>
          <cell r="J277">
            <v>7421</v>
          </cell>
        </row>
        <row r="277">
          <cell r="L277">
            <v>45547</v>
          </cell>
          <cell r="M277">
            <v>45595</v>
          </cell>
        </row>
        <row r="278">
          <cell r="A278">
            <v>3533</v>
          </cell>
        </row>
        <row r="278">
          <cell r="C278" t="str">
            <v>王偲涵</v>
          </cell>
          <cell r="D278" t="str">
            <v>车身外扩件</v>
          </cell>
        </row>
        <row r="278">
          <cell r="I278">
            <v>0</v>
          </cell>
          <cell r="J278">
            <v>7422</v>
          </cell>
        </row>
        <row r="278">
          <cell r="L278">
            <v>45547</v>
          </cell>
          <cell r="M278">
            <v>45582</v>
          </cell>
        </row>
        <row r="279">
          <cell r="A279">
            <v>3608</v>
          </cell>
        </row>
        <row r="279">
          <cell r="C279" t="str">
            <v>王偲涵</v>
          </cell>
          <cell r="D279" t="str">
            <v>车身外扩件</v>
          </cell>
        </row>
        <row r="279">
          <cell r="I279">
            <v>0</v>
          </cell>
          <cell r="J279">
            <v>7293</v>
          </cell>
        </row>
        <row r="279">
          <cell r="L279">
            <v>45548</v>
          </cell>
          <cell r="M279">
            <v>45558</v>
          </cell>
        </row>
        <row r="280">
          <cell r="A280">
            <v>3509</v>
          </cell>
        </row>
        <row r="280">
          <cell r="C280" t="str">
            <v>王偲涵</v>
          </cell>
          <cell r="D280" t="str">
            <v>车身外扩件</v>
          </cell>
        </row>
        <row r="280">
          <cell r="I280">
            <v>0</v>
          </cell>
          <cell r="J280">
            <v>7294</v>
          </cell>
        </row>
        <row r="280">
          <cell r="L280">
            <v>45548</v>
          </cell>
          <cell r="M280">
            <v>45551</v>
          </cell>
        </row>
        <row r="281">
          <cell r="A281">
            <v>3686</v>
          </cell>
        </row>
        <row r="281">
          <cell r="C281" t="str">
            <v>王偲涵</v>
          </cell>
          <cell r="D281" t="str">
            <v>车身外扩件</v>
          </cell>
        </row>
        <row r="281">
          <cell r="I281">
            <v>0</v>
          </cell>
          <cell r="J281">
            <v>7295</v>
          </cell>
        </row>
        <row r="281">
          <cell r="L281">
            <v>45548</v>
          </cell>
          <cell r="M281">
            <v>45557</v>
          </cell>
        </row>
        <row r="282">
          <cell r="A282">
            <v>3687</v>
          </cell>
        </row>
        <row r="282">
          <cell r="C282" t="str">
            <v>王偲涵</v>
          </cell>
          <cell r="D282" t="str">
            <v>车身外扩件</v>
          </cell>
        </row>
        <row r="282">
          <cell r="I282">
            <v>0</v>
          </cell>
          <cell r="J282">
            <v>7410</v>
          </cell>
        </row>
        <row r="282">
          <cell r="L282">
            <v>0</v>
          </cell>
        </row>
        <row r="283">
          <cell r="A283">
            <v>3760</v>
          </cell>
        </row>
        <row r="283">
          <cell r="C283" t="str">
            <v>王偲涵</v>
          </cell>
          <cell r="D283" t="str">
            <v>车身外扩件</v>
          </cell>
        </row>
        <row r="283">
          <cell r="I283">
            <v>0</v>
          </cell>
          <cell r="J283">
            <v>7405</v>
          </cell>
        </row>
        <row r="283">
          <cell r="L283">
            <v>45553</v>
          </cell>
          <cell r="M283">
            <v>45554</v>
          </cell>
        </row>
        <row r="284">
          <cell r="A284">
            <v>3646</v>
          </cell>
        </row>
        <row r="284">
          <cell r="C284" t="str">
            <v>王偲涵</v>
          </cell>
          <cell r="D284" t="str">
            <v>车身外扩件</v>
          </cell>
        </row>
        <row r="284">
          <cell r="I284">
            <v>0</v>
          </cell>
          <cell r="J284">
            <v>7381</v>
          </cell>
        </row>
        <row r="284">
          <cell r="L284">
            <v>45553</v>
          </cell>
          <cell r="M284">
            <v>45581</v>
          </cell>
        </row>
        <row r="285">
          <cell r="A285">
            <v>3713</v>
          </cell>
        </row>
        <row r="285">
          <cell r="C285" t="str">
            <v>王偲涵</v>
          </cell>
          <cell r="D285" t="str">
            <v>车身外扩件</v>
          </cell>
        </row>
        <row r="285">
          <cell r="I285">
            <v>0</v>
          </cell>
          <cell r="J285">
            <v>7446</v>
          </cell>
        </row>
        <row r="285">
          <cell r="L285">
            <v>45554</v>
          </cell>
          <cell r="M285">
            <v>45557</v>
          </cell>
        </row>
        <row r="286">
          <cell r="A286">
            <v>3714</v>
          </cell>
        </row>
        <row r="286">
          <cell r="C286" t="str">
            <v>王偲涵</v>
          </cell>
          <cell r="D286" t="str">
            <v>车身外扩件</v>
          </cell>
        </row>
        <row r="286">
          <cell r="I286">
            <v>0</v>
          </cell>
          <cell r="J286">
            <v>7105</v>
          </cell>
        </row>
        <row r="286">
          <cell r="L286">
            <v>45554</v>
          </cell>
          <cell r="M286">
            <v>45566</v>
          </cell>
        </row>
        <row r="287">
          <cell r="A287">
            <v>4534</v>
          </cell>
        </row>
        <row r="287">
          <cell r="C287" t="str">
            <v>王偲涵</v>
          </cell>
          <cell r="D287" t="str">
            <v>车身外扩件</v>
          </cell>
        </row>
        <row r="287">
          <cell r="I287">
            <v>0</v>
          </cell>
          <cell r="J287">
            <v>7447</v>
          </cell>
        </row>
        <row r="287">
          <cell r="L287">
            <v>45554</v>
          </cell>
          <cell r="M287">
            <v>45554</v>
          </cell>
        </row>
        <row r="288">
          <cell r="A288">
            <v>3766</v>
          </cell>
        </row>
        <row r="288">
          <cell r="C288" t="str">
            <v>王偲涵</v>
          </cell>
          <cell r="D288" t="str">
            <v>车身外扩件</v>
          </cell>
        </row>
        <row r="288">
          <cell r="I288">
            <v>0</v>
          </cell>
          <cell r="J288">
            <v>7540</v>
          </cell>
        </row>
        <row r="288">
          <cell r="L288">
            <v>45555</v>
          </cell>
          <cell r="M288">
            <v>45558</v>
          </cell>
        </row>
        <row r="289">
          <cell r="A289">
            <v>4088</v>
          </cell>
        </row>
        <row r="289">
          <cell r="C289" t="str">
            <v>王偲涵</v>
          </cell>
          <cell r="D289" t="str">
            <v>车身外扩件</v>
          </cell>
        </row>
        <row r="289">
          <cell r="I289">
            <v>0</v>
          </cell>
          <cell r="J289">
            <v>7486</v>
          </cell>
        </row>
        <row r="289">
          <cell r="L289">
            <v>45555</v>
          </cell>
          <cell r="M289">
            <v>45557</v>
          </cell>
        </row>
        <row r="290">
          <cell r="A290">
            <v>3834</v>
          </cell>
        </row>
        <row r="290">
          <cell r="C290" t="str">
            <v>王偲涵</v>
          </cell>
          <cell r="D290" t="str">
            <v>车身外扩件</v>
          </cell>
        </row>
        <row r="290">
          <cell r="I290">
            <v>0</v>
          </cell>
          <cell r="J290">
            <v>7487</v>
          </cell>
        </row>
        <row r="290">
          <cell r="L290">
            <v>45555</v>
          </cell>
          <cell r="M290">
            <v>45555</v>
          </cell>
        </row>
        <row r="291">
          <cell r="A291">
            <v>3555</v>
          </cell>
        </row>
        <row r="291">
          <cell r="C291" t="str">
            <v>王偲涵</v>
          </cell>
          <cell r="D291" t="str">
            <v>车身外扩件</v>
          </cell>
        </row>
        <row r="291">
          <cell r="I291">
            <v>0</v>
          </cell>
          <cell r="J291">
            <v>7488</v>
          </cell>
        </row>
        <row r="291">
          <cell r="L291">
            <v>45555</v>
          </cell>
          <cell r="M291">
            <v>45556</v>
          </cell>
        </row>
        <row r="292">
          <cell r="A292">
            <v>3510</v>
          </cell>
        </row>
        <row r="292">
          <cell r="C292" t="str">
            <v>王偲涵</v>
          </cell>
          <cell r="D292" t="str">
            <v>车身外扩件</v>
          </cell>
        </row>
        <row r="292">
          <cell r="I292">
            <v>0</v>
          </cell>
          <cell r="J292">
            <v>7543</v>
          </cell>
        </row>
        <row r="292">
          <cell r="L292">
            <v>45555</v>
          </cell>
          <cell r="M292">
            <v>45556</v>
          </cell>
        </row>
        <row r="293">
          <cell r="A293">
            <v>3845</v>
          </cell>
        </row>
        <row r="293">
          <cell r="C293" t="str">
            <v>王偲涵</v>
          </cell>
          <cell r="D293" t="str">
            <v>车身外扩件</v>
          </cell>
        </row>
        <row r="293">
          <cell r="I293">
            <v>0</v>
          </cell>
          <cell r="J293">
            <v>7451</v>
          </cell>
        </row>
        <row r="293">
          <cell r="L293">
            <v>45554</v>
          </cell>
          <cell r="M293">
            <v>45560</v>
          </cell>
        </row>
        <row r="294">
          <cell r="A294">
            <v>4675</v>
          </cell>
        </row>
        <row r="294">
          <cell r="C294" t="str">
            <v>俞东旭</v>
          </cell>
          <cell r="D294" t="str">
            <v>车身外扩件</v>
          </cell>
        </row>
        <row r="294">
          <cell r="I294">
            <v>0</v>
          </cell>
          <cell r="J294">
            <v>7609</v>
          </cell>
        </row>
        <row r="294">
          <cell r="L294">
            <v>45561</v>
          </cell>
          <cell r="M294">
            <v>45561</v>
          </cell>
        </row>
        <row r="295">
          <cell r="A295">
            <v>3846</v>
          </cell>
        </row>
        <row r="295">
          <cell r="C295" t="str">
            <v>王偲涵</v>
          </cell>
          <cell r="D295" t="str">
            <v>车身外扩件</v>
          </cell>
        </row>
        <row r="295">
          <cell r="I295">
            <v>0</v>
          </cell>
          <cell r="J295">
            <v>7601</v>
          </cell>
        </row>
        <row r="295">
          <cell r="L295">
            <v>45561</v>
          </cell>
          <cell r="M295">
            <v>45566</v>
          </cell>
        </row>
        <row r="296">
          <cell r="A296">
            <v>4166</v>
          </cell>
        </row>
        <row r="296">
          <cell r="C296" t="str">
            <v>王偲涵</v>
          </cell>
          <cell r="D296" t="str">
            <v>车身外扩件</v>
          </cell>
        </row>
        <row r="296">
          <cell r="I296">
            <v>0</v>
          </cell>
          <cell r="J296">
            <v>7600</v>
          </cell>
        </row>
        <row r="296">
          <cell r="L296">
            <v>45561</v>
          </cell>
          <cell r="M296">
            <v>45564</v>
          </cell>
        </row>
        <row r="297">
          <cell r="A297">
            <v>3630</v>
          </cell>
        </row>
        <row r="297">
          <cell r="C297" t="str">
            <v>转二部</v>
          </cell>
          <cell r="D297" t="str">
            <v>车身外扩件</v>
          </cell>
        </row>
        <row r="297">
          <cell r="I297" t="str">
            <v>原开品</v>
          </cell>
          <cell r="J297">
            <v>7386</v>
          </cell>
        </row>
        <row r="297">
          <cell r="L297">
            <v>45572</v>
          </cell>
          <cell r="M297">
            <v>45589</v>
          </cell>
        </row>
        <row r="298">
          <cell r="A298">
            <v>4091</v>
          </cell>
        </row>
        <row r="298">
          <cell r="C298" t="str">
            <v>王偲涵</v>
          </cell>
          <cell r="D298" t="str">
            <v>车身外扩件</v>
          </cell>
        </row>
        <row r="298">
          <cell r="I298" t="str">
            <v>原开品</v>
          </cell>
          <cell r="J298">
            <v>7387</v>
          </cell>
        </row>
        <row r="298">
          <cell r="L298">
            <v>45572</v>
          </cell>
          <cell r="M298">
            <v>45585</v>
          </cell>
        </row>
        <row r="299">
          <cell r="A299">
            <v>3785</v>
          </cell>
        </row>
        <row r="299">
          <cell r="C299" t="str">
            <v>王偲涵</v>
          </cell>
          <cell r="D299" t="str">
            <v>车身外扩件</v>
          </cell>
        </row>
        <row r="299">
          <cell r="I299" t="str">
            <v>原开品</v>
          </cell>
          <cell r="J299">
            <v>7389</v>
          </cell>
        </row>
        <row r="299">
          <cell r="L299">
            <v>45572</v>
          </cell>
          <cell r="M299">
            <v>45595</v>
          </cell>
        </row>
        <row r="300">
          <cell r="A300">
            <v>3652</v>
          </cell>
        </row>
        <row r="300">
          <cell r="C300" t="str">
            <v>转二部</v>
          </cell>
          <cell r="D300" t="str">
            <v>车身外扩件</v>
          </cell>
        </row>
        <row r="300">
          <cell r="I300" t="str">
            <v>原开品</v>
          </cell>
          <cell r="J300">
            <v>7539</v>
          </cell>
        </row>
        <row r="300">
          <cell r="L300">
            <v>45572</v>
          </cell>
          <cell r="M300">
            <v>45591</v>
          </cell>
        </row>
        <row r="301">
          <cell r="A301">
            <v>4094</v>
          </cell>
        </row>
        <row r="301">
          <cell r="C301" t="str">
            <v>王偲涵</v>
          </cell>
          <cell r="D301" t="str">
            <v>车身外扩件</v>
          </cell>
        </row>
        <row r="301">
          <cell r="I301" t="str">
            <v>原开品</v>
          </cell>
          <cell r="J301">
            <v>7482</v>
          </cell>
        </row>
        <row r="301">
          <cell r="L301">
            <v>45572</v>
          </cell>
          <cell r="M301">
            <v>45574</v>
          </cell>
        </row>
        <row r="302">
          <cell r="A302">
            <v>4148</v>
          </cell>
        </row>
        <row r="302">
          <cell r="C302" t="str">
            <v>王偲涵</v>
          </cell>
          <cell r="D302" t="str">
            <v>车身外扩件</v>
          </cell>
        </row>
        <row r="302">
          <cell r="I302" t="str">
            <v>原开品</v>
          </cell>
          <cell r="J302">
            <v>7541</v>
          </cell>
        </row>
        <row r="302">
          <cell r="L302">
            <v>45572</v>
          </cell>
          <cell r="M302">
            <v>45631</v>
          </cell>
        </row>
        <row r="303">
          <cell r="A303">
            <v>3715</v>
          </cell>
        </row>
        <row r="303">
          <cell r="C303" t="str">
            <v>俞东旭</v>
          </cell>
          <cell r="D303" t="str">
            <v>车身外扩件</v>
          </cell>
        </row>
        <row r="303">
          <cell r="I303" t="str">
            <v>原开品</v>
          </cell>
          <cell r="J303">
            <v>7484</v>
          </cell>
        </row>
        <row r="303">
          <cell r="L303">
            <v>45572</v>
          </cell>
          <cell r="M303">
            <v>45587</v>
          </cell>
        </row>
        <row r="304">
          <cell r="A304">
            <v>5598</v>
          </cell>
        </row>
        <row r="304">
          <cell r="C304" t="str">
            <v>俞东旭</v>
          </cell>
          <cell r="D304" t="str">
            <v>车身外扩件</v>
          </cell>
        </row>
        <row r="304">
          <cell r="I304">
            <v>0</v>
          </cell>
          <cell r="J304">
            <v>7042</v>
          </cell>
        </row>
        <row r="304">
          <cell r="L304">
            <v>0</v>
          </cell>
        </row>
        <row r="305">
          <cell r="A305">
            <v>3876</v>
          </cell>
        </row>
        <row r="305">
          <cell r="C305" t="str">
            <v>王偲涵</v>
          </cell>
          <cell r="D305" t="str">
            <v>车身外扩件</v>
          </cell>
        </row>
        <row r="305">
          <cell r="I305">
            <v>0</v>
          </cell>
          <cell r="J305">
            <v>5619</v>
          </cell>
        </row>
        <row r="305">
          <cell r="L305">
            <v>0</v>
          </cell>
        </row>
        <row r="306">
          <cell r="A306">
            <v>4351</v>
          </cell>
        </row>
        <row r="306">
          <cell r="C306" t="str">
            <v>转二部</v>
          </cell>
          <cell r="D306" t="str">
            <v>车身外扩件</v>
          </cell>
        </row>
        <row r="306">
          <cell r="I306">
            <v>0</v>
          </cell>
          <cell r="J306">
            <v>3549</v>
          </cell>
        </row>
        <row r="306">
          <cell r="L306">
            <v>0</v>
          </cell>
        </row>
        <row r="307">
          <cell r="A307">
            <v>4054</v>
          </cell>
        </row>
        <row r="307">
          <cell r="C307" t="str">
            <v>转二部</v>
          </cell>
          <cell r="D307" t="str">
            <v>车身外扩件</v>
          </cell>
        </row>
        <row r="307">
          <cell r="I307">
            <v>0</v>
          </cell>
          <cell r="J307">
            <v>4181</v>
          </cell>
        </row>
        <row r="307">
          <cell r="L307">
            <v>0</v>
          </cell>
        </row>
        <row r="308">
          <cell r="A308">
            <v>5008</v>
          </cell>
        </row>
        <row r="308">
          <cell r="C308" t="str">
            <v>王偲涵</v>
          </cell>
          <cell r="D308" t="str">
            <v>车身外扩件</v>
          </cell>
        </row>
        <row r="308">
          <cell r="I308">
            <v>0</v>
          </cell>
          <cell r="J308">
            <v>7445</v>
          </cell>
        </row>
        <row r="308">
          <cell r="L308">
            <v>0</v>
          </cell>
        </row>
        <row r="309">
          <cell r="A309">
            <v>4184</v>
          </cell>
        </row>
        <row r="309">
          <cell r="C309" t="str">
            <v>王偲涵</v>
          </cell>
          <cell r="D309" t="str">
            <v>车身外扩件</v>
          </cell>
        </row>
        <row r="309">
          <cell r="I309" t="str">
            <v>原开品</v>
          </cell>
          <cell r="J309">
            <v>7599</v>
          </cell>
        </row>
        <row r="309">
          <cell r="L309">
            <v>45575</v>
          </cell>
          <cell r="M309">
            <v>45576</v>
          </cell>
        </row>
        <row r="310">
          <cell r="A310">
            <v>4721</v>
          </cell>
        </row>
        <row r="310">
          <cell r="C310" t="str">
            <v>王偲涵</v>
          </cell>
          <cell r="D310" t="str">
            <v>车身外扩件</v>
          </cell>
        </row>
        <row r="310">
          <cell r="I310" t="str">
            <v>原开品</v>
          </cell>
          <cell r="J310">
            <v>7388</v>
          </cell>
        </row>
        <row r="310">
          <cell r="L310">
            <v>45575</v>
          </cell>
          <cell r="M310">
            <v>45587</v>
          </cell>
        </row>
        <row r="311">
          <cell r="A311">
            <v>4482</v>
          </cell>
        </row>
        <row r="311">
          <cell r="C311" t="str">
            <v>王偲涵</v>
          </cell>
          <cell r="D311" t="str">
            <v>车身外扩件</v>
          </cell>
        </row>
        <row r="311">
          <cell r="I311" t="str">
            <v>原开品</v>
          </cell>
          <cell r="J311">
            <v>7483</v>
          </cell>
        </row>
        <row r="311">
          <cell r="L311">
            <v>45574</v>
          </cell>
          <cell r="M311">
            <v>45584</v>
          </cell>
        </row>
        <row r="312">
          <cell r="A312">
            <v>4817</v>
          </cell>
        </row>
        <row r="312">
          <cell r="C312" t="str">
            <v>王偲涵</v>
          </cell>
          <cell r="D312" t="str">
            <v>车身外扩件</v>
          </cell>
        </row>
        <row r="312">
          <cell r="I312" t="str">
            <v>原开品</v>
          </cell>
          <cell r="J312">
            <v>7536</v>
          </cell>
        </row>
        <row r="312">
          <cell r="L312">
            <v>45574</v>
          </cell>
          <cell r="M312">
            <v>45594</v>
          </cell>
        </row>
        <row r="313">
          <cell r="A313">
            <v>3837</v>
          </cell>
        </row>
        <row r="313">
          <cell r="C313" t="str">
            <v>王偲涵</v>
          </cell>
          <cell r="D313" t="str">
            <v>车身外扩件</v>
          </cell>
        </row>
        <row r="313">
          <cell r="I313" t="str">
            <v>原开品</v>
          </cell>
          <cell r="J313">
            <v>7620</v>
          </cell>
        </row>
        <row r="313">
          <cell r="L313">
            <v>45574</v>
          </cell>
          <cell r="M313">
            <v>45581</v>
          </cell>
        </row>
        <row r="314">
          <cell r="A314">
            <v>3924</v>
          </cell>
        </row>
        <row r="314">
          <cell r="C314" t="str">
            <v>王偲涵</v>
          </cell>
          <cell r="D314" t="str">
            <v>车身外扩件</v>
          </cell>
        </row>
        <row r="314">
          <cell r="I314" t="str">
            <v>原开品</v>
          </cell>
          <cell r="J314">
            <v>7644</v>
          </cell>
        </row>
        <row r="314">
          <cell r="L314">
            <v>45574</v>
          </cell>
          <cell r="M314">
            <v>45636</v>
          </cell>
        </row>
        <row r="315">
          <cell r="A315">
            <v>3799</v>
          </cell>
        </row>
        <row r="315">
          <cell r="C315" t="str">
            <v>王偲涵</v>
          </cell>
          <cell r="D315" t="str">
            <v>车身外扩件</v>
          </cell>
        </row>
        <row r="315">
          <cell r="I315" t="str">
            <v>原开品</v>
          </cell>
          <cell r="J315">
            <v>7645</v>
          </cell>
        </row>
        <row r="315">
          <cell r="L315">
            <v>45574</v>
          </cell>
          <cell r="M315">
            <v>45609</v>
          </cell>
        </row>
        <row r="316">
          <cell r="A316">
            <v>4103</v>
          </cell>
        </row>
        <row r="316">
          <cell r="C316" t="str">
            <v>王偲涵</v>
          </cell>
          <cell r="D316" t="str">
            <v>车身外扩件</v>
          </cell>
        </row>
        <row r="316">
          <cell r="I316" t="str">
            <v>原开品</v>
          </cell>
          <cell r="J316">
            <v>7586</v>
          </cell>
        </row>
        <row r="316">
          <cell r="L316">
            <v>45574</v>
          </cell>
          <cell r="M316">
            <v>45593</v>
          </cell>
        </row>
        <row r="317">
          <cell r="A317">
            <v>4105</v>
          </cell>
        </row>
        <row r="317">
          <cell r="C317" t="str">
            <v>俞东旭</v>
          </cell>
          <cell r="D317" t="str">
            <v>车身外扩件</v>
          </cell>
        </row>
        <row r="317">
          <cell r="I317" t="str">
            <v>原开品</v>
          </cell>
          <cell r="J317">
            <v>7670</v>
          </cell>
        </row>
        <row r="317">
          <cell r="L317">
            <v>45574</v>
          </cell>
          <cell r="M317">
            <v>45589</v>
          </cell>
        </row>
        <row r="318">
          <cell r="A318">
            <v>4072</v>
          </cell>
        </row>
        <row r="318">
          <cell r="C318" t="str">
            <v>俞东旭</v>
          </cell>
          <cell r="D318" t="str">
            <v>车身外扩件</v>
          </cell>
        </row>
        <row r="318">
          <cell r="I318" t="str">
            <v>原开品</v>
          </cell>
          <cell r="J318">
            <v>7674</v>
          </cell>
        </row>
        <row r="318">
          <cell r="L318">
            <v>45574</v>
          </cell>
          <cell r="M318">
            <v>45584</v>
          </cell>
        </row>
        <row r="319">
          <cell r="A319">
            <v>3926</v>
          </cell>
        </row>
        <row r="319">
          <cell r="C319" t="str">
            <v>俞东旭</v>
          </cell>
          <cell r="D319" t="str">
            <v>车身外扩件</v>
          </cell>
        </row>
        <row r="319">
          <cell r="I319" t="str">
            <v>原开品</v>
          </cell>
          <cell r="J319">
            <v>7675</v>
          </cell>
        </row>
        <row r="319">
          <cell r="L319">
            <v>45574</v>
          </cell>
          <cell r="M319">
            <v>45576</v>
          </cell>
        </row>
        <row r="320">
          <cell r="A320">
            <v>4497</v>
          </cell>
        </row>
        <row r="320">
          <cell r="C320" t="str">
            <v>王偲涵</v>
          </cell>
          <cell r="D320" t="str">
            <v>车身外扩件</v>
          </cell>
        </row>
        <row r="320">
          <cell r="I320" t="str">
            <v>原开品</v>
          </cell>
          <cell r="J320">
            <v>7676</v>
          </cell>
        </row>
        <row r="320">
          <cell r="L320">
            <v>45574</v>
          </cell>
          <cell r="M320">
            <v>45581</v>
          </cell>
        </row>
        <row r="321">
          <cell r="A321">
            <v>4106</v>
          </cell>
        </row>
        <row r="321">
          <cell r="C321" t="str">
            <v>王偲涵</v>
          </cell>
          <cell r="D321" t="str">
            <v>车身外扩件</v>
          </cell>
        </row>
        <row r="321">
          <cell r="I321" t="str">
            <v>原开品</v>
          </cell>
          <cell r="J321">
            <v>8233</v>
          </cell>
        </row>
        <row r="321">
          <cell r="L321">
            <v>45574</v>
          </cell>
          <cell r="M321">
            <v>45577</v>
          </cell>
        </row>
        <row r="322">
          <cell r="A322">
            <v>5538</v>
          </cell>
        </row>
        <row r="322">
          <cell r="C322" t="str">
            <v>王偲涵</v>
          </cell>
          <cell r="D322" t="str">
            <v>雨刮罩</v>
          </cell>
        </row>
        <row r="322">
          <cell r="I322" t="str">
            <v>原开品</v>
          </cell>
          <cell r="J322">
            <v>8234</v>
          </cell>
        </row>
        <row r="322">
          <cell r="L322">
            <v>45574</v>
          </cell>
          <cell r="M322">
            <v>45578</v>
          </cell>
        </row>
        <row r="323">
          <cell r="A323">
            <v>4765</v>
          </cell>
        </row>
        <row r="323">
          <cell r="C323" t="str">
            <v>张潇</v>
          </cell>
          <cell r="D323" t="str">
            <v>车身外扩件</v>
          </cell>
        </row>
        <row r="323">
          <cell r="I323" t="str">
            <v>原开品</v>
          </cell>
          <cell r="J323">
            <v>7666</v>
          </cell>
        </row>
        <row r="323">
          <cell r="L323">
            <v>45575</v>
          </cell>
          <cell r="M323">
            <v>45584</v>
          </cell>
        </row>
        <row r="324">
          <cell r="A324">
            <v>4671</v>
          </cell>
        </row>
        <row r="324">
          <cell r="C324" t="str">
            <v>朱培源</v>
          </cell>
          <cell r="D324" t="str">
            <v>软顶</v>
          </cell>
        </row>
        <row r="324">
          <cell r="I324" t="str">
            <v>原开品</v>
          </cell>
          <cell r="J324">
            <v>7636</v>
          </cell>
        </row>
        <row r="324">
          <cell r="L324">
            <v>45575</v>
          </cell>
          <cell r="M324">
            <v>45588</v>
          </cell>
        </row>
        <row r="325">
          <cell r="A325">
            <v>5060</v>
          </cell>
        </row>
        <row r="325">
          <cell r="C325" t="str">
            <v>朱培源</v>
          </cell>
          <cell r="D325" t="str">
            <v>软顶</v>
          </cell>
        </row>
        <row r="325">
          <cell r="I325" t="str">
            <v>原开品</v>
          </cell>
          <cell r="J325">
            <v>7686</v>
          </cell>
        </row>
        <row r="325">
          <cell r="L325">
            <v>45580</v>
          </cell>
          <cell r="M325">
            <v>45592</v>
          </cell>
        </row>
        <row r="326">
          <cell r="A326">
            <v>4647</v>
          </cell>
        </row>
        <row r="326">
          <cell r="C326" t="str">
            <v>朱培源</v>
          </cell>
          <cell r="D326" t="str">
            <v>软顶</v>
          </cell>
        </row>
        <row r="326">
          <cell r="I326" t="str">
            <v>原开品</v>
          </cell>
          <cell r="J326">
            <v>7643</v>
          </cell>
        </row>
        <row r="326">
          <cell r="L326">
            <v>45580</v>
          </cell>
          <cell r="M326">
            <v>45583</v>
          </cell>
        </row>
        <row r="327">
          <cell r="A327">
            <v>3750</v>
          </cell>
        </row>
        <row r="327">
          <cell r="C327" t="str">
            <v>张潇</v>
          </cell>
          <cell r="D327" t="str">
            <v>挡泥板</v>
          </cell>
        </row>
        <row r="327">
          <cell r="I327" t="str">
            <v>拓展品</v>
          </cell>
          <cell r="J327">
            <v>7646</v>
          </cell>
        </row>
        <row r="327">
          <cell r="L327">
            <v>45580</v>
          </cell>
          <cell r="M327">
            <v>45595</v>
          </cell>
        </row>
        <row r="328">
          <cell r="A328">
            <v>359</v>
          </cell>
        </row>
        <row r="328">
          <cell r="C328" t="str">
            <v>朱培源</v>
          </cell>
          <cell r="D328" t="str">
            <v>机盖及附件</v>
          </cell>
        </row>
        <row r="328">
          <cell r="I328" t="str">
            <v>拓展品</v>
          </cell>
          <cell r="J328">
            <v>7647</v>
          </cell>
        </row>
        <row r="328">
          <cell r="L328">
            <v>45580</v>
          </cell>
          <cell r="M328">
            <v>45588</v>
          </cell>
        </row>
        <row r="329">
          <cell r="A329">
            <v>10138</v>
          </cell>
        </row>
        <row r="329">
          <cell r="C329" t="str">
            <v>朱培源</v>
          </cell>
          <cell r="D329" t="str">
            <v>挡泥板</v>
          </cell>
        </row>
        <row r="329">
          <cell r="I329" t="str">
            <v>原开品</v>
          </cell>
          <cell r="J329">
            <v>7685</v>
          </cell>
        </row>
        <row r="329">
          <cell r="L329">
            <v>45580</v>
          </cell>
          <cell r="M329">
            <v>45595</v>
          </cell>
        </row>
        <row r="330">
          <cell r="A330">
            <v>4812</v>
          </cell>
        </row>
        <row r="330">
          <cell r="C330" t="str">
            <v>朱培源</v>
          </cell>
          <cell r="D330" t="str">
            <v>软顶</v>
          </cell>
        </row>
        <row r="330">
          <cell r="I330" t="str">
            <v>拓展品</v>
          </cell>
          <cell r="J330">
            <v>7688</v>
          </cell>
        </row>
        <row r="330">
          <cell r="L330">
            <v>45580</v>
          </cell>
          <cell r="M330">
            <v>45589</v>
          </cell>
        </row>
        <row r="331">
          <cell r="A331">
            <v>4325</v>
          </cell>
        </row>
        <row r="331">
          <cell r="C331" t="str">
            <v>朱培源</v>
          </cell>
          <cell r="D331" t="str">
            <v>软顶</v>
          </cell>
        </row>
        <row r="331">
          <cell r="I331" t="str">
            <v>拓展品</v>
          </cell>
          <cell r="J331">
            <v>7689</v>
          </cell>
        </row>
        <row r="331">
          <cell r="L331">
            <v>45580</v>
          </cell>
          <cell r="M331">
            <v>45606</v>
          </cell>
        </row>
        <row r="332">
          <cell r="A332">
            <v>5208</v>
          </cell>
        </row>
        <row r="332">
          <cell r="C332" t="str">
            <v>朱培源</v>
          </cell>
          <cell r="D332" t="str">
            <v>软顶</v>
          </cell>
        </row>
        <row r="332">
          <cell r="I332">
            <v>0</v>
          </cell>
          <cell r="J332">
            <v>7588</v>
          </cell>
        </row>
        <row r="332">
          <cell r="L332">
            <v>0</v>
          </cell>
        </row>
        <row r="333">
          <cell r="A333">
            <v>5051</v>
          </cell>
        </row>
        <row r="333">
          <cell r="C333" t="str">
            <v>朱培源</v>
          </cell>
          <cell r="D333" t="str">
            <v>机盖及附件</v>
          </cell>
        </row>
        <row r="333">
          <cell r="I333" t="str">
            <v>原开品</v>
          </cell>
          <cell r="J333">
            <v>7687</v>
          </cell>
        </row>
        <row r="333">
          <cell r="L333">
            <v>0</v>
          </cell>
        </row>
        <row r="334">
          <cell r="A334">
            <v>8843</v>
          </cell>
        </row>
        <row r="334">
          <cell r="C334" t="str">
            <v>章鹏</v>
          </cell>
          <cell r="D334" t="str">
            <v>挡泥板</v>
          </cell>
        </row>
        <row r="334">
          <cell r="I334" t="str">
            <v>拓展品</v>
          </cell>
          <cell r="J334">
            <v>7664</v>
          </cell>
        </row>
        <row r="334">
          <cell r="L334">
            <v>0</v>
          </cell>
        </row>
        <row r="335">
          <cell r="A335">
            <v>4208</v>
          </cell>
        </row>
        <row r="335">
          <cell r="C335" t="str">
            <v>王偲涵</v>
          </cell>
          <cell r="D335" t="str">
            <v>车身外扩件</v>
          </cell>
        </row>
        <row r="335">
          <cell r="I335" t="str">
            <v>原开品</v>
          </cell>
          <cell r="J335">
            <v>7697</v>
          </cell>
        </row>
        <row r="335">
          <cell r="L335">
            <v>45594</v>
          </cell>
          <cell r="M335">
            <v>45597</v>
          </cell>
        </row>
        <row r="336">
          <cell r="A336">
            <v>4236</v>
          </cell>
        </row>
        <row r="336">
          <cell r="C336" t="str">
            <v>王偲涵</v>
          </cell>
          <cell r="D336" t="str">
            <v>车身外扩件</v>
          </cell>
        </row>
        <row r="336">
          <cell r="I336" t="str">
            <v>原开品</v>
          </cell>
          <cell r="J336">
            <v>7698</v>
          </cell>
        </row>
        <row r="336">
          <cell r="L336">
            <v>45594</v>
          </cell>
          <cell r="M336">
            <v>45597</v>
          </cell>
        </row>
        <row r="337">
          <cell r="A337">
            <v>4535</v>
          </cell>
        </row>
        <row r="337">
          <cell r="C337" t="str">
            <v>王偲涵</v>
          </cell>
          <cell r="D337" t="str">
            <v>车身外扩件</v>
          </cell>
        </row>
        <row r="337">
          <cell r="I337" t="str">
            <v>拓展品</v>
          </cell>
          <cell r="J337">
            <v>7823</v>
          </cell>
        </row>
        <row r="337">
          <cell r="L337">
            <v>45594</v>
          </cell>
          <cell r="M337">
            <v>45601</v>
          </cell>
        </row>
        <row r="338">
          <cell r="A338">
            <v>4505</v>
          </cell>
        </row>
        <row r="338">
          <cell r="C338" t="str">
            <v>王偲涵</v>
          </cell>
          <cell r="D338" t="str">
            <v>车身外扩件</v>
          </cell>
        </row>
        <row r="338">
          <cell r="I338" t="str">
            <v>拓展品</v>
          </cell>
          <cell r="J338">
            <v>7824</v>
          </cell>
        </row>
        <row r="338">
          <cell r="L338">
            <v>45594</v>
          </cell>
          <cell r="M338">
            <v>45608</v>
          </cell>
        </row>
        <row r="339">
          <cell r="A339">
            <v>4646</v>
          </cell>
        </row>
        <row r="339">
          <cell r="C339" t="str">
            <v>王偲涵</v>
          </cell>
          <cell r="D339" t="str">
            <v>车身外扩件</v>
          </cell>
        </row>
        <row r="339">
          <cell r="I339" t="str">
            <v>原开品</v>
          </cell>
          <cell r="J339">
            <v>7822</v>
          </cell>
        </row>
        <row r="339">
          <cell r="L339">
            <v>45595</v>
          </cell>
          <cell r="M339">
            <v>45603</v>
          </cell>
        </row>
        <row r="340">
          <cell r="A340">
            <v>4411</v>
          </cell>
        </row>
        <row r="340">
          <cell r="C340" t="str">
            <v>俞东旭</v>
          </cell>
          <cell r="D340" t="str">
            <v>车身外扩件</v>
          </cell>
        </row>
        <row r="340">
          <cell r="I340" t="str">
            <v>拓展品</v>
          </cell>
          <cell r="J340">
            <v>7833</v>
          </cell>
        </row>
        <row r="340">
          <cell r="L340">
            <v>45595</v>
          </cell>
          <cell r="M340">
            <v>45642</v>
          </cell>
        </row>
        <row r="341">
          <cell r="A341">
            <v>4412</v>
          </cell>
        </row>
        <row r="341">
          <cell r="C341" t="str">
            <v>转二部</v>
          </cell>
          <cell r="D341" t="str">
            <v>车身外扩件</v>
          </cell>
        </row>
        <row r="341">
          <cell r="I341" t="str">
            <v>原开品</v>
          </cell>
          <cell r="J341">
            <v>7918</v>
          </cell>
        </row>
        <row r="341">
          <cell r="L341">
            <v>45597</v>
          </cell>
          <cell r="M341">
            <v>45608</v>
          </cell>
        </row>
        <row r="342">
          <cell r="A342">
            <v>4209</v>
          </cell>
        </row>
        <row r="342">
          <cell r="C342" t="str">
            <v>王偲涵</v>
          </cell>
          <cell r="D342" t="str">
            <v>车身外扩件</v>
          </cell>
        </row>
        <row r="342">
          <cell r="I342" t="str">
            <v>原开品</v>
          </cell>
          <cell r="J342">
            <v>7915</v>
          </cell>
        </row>
        <row r="342">
          <cell r="L342">
            <v>45597</v>
          </cell>
          <cell r="M342">
            <v>45602</v>
          </cell>
        </row>
        <row r="343">
          <cell r="A343">
            <v>4669</v>
          </cell>
        </row>
        <row r="343">
          <cell r="C343" t="str">
            <v>俞东旭</v>
          </cell>
          <cell r="D343" t="str">
            <v>车身外扩件</v>
          </cell>
        </row>
        <row r="343">
          <cell r="I343">
            <v>0</v>
          </cell>
          <cell r="J343">
            <v>5514</v>
          </cell>
        </row>
        <row r="343">
          <cell r="L343">
            <v>0</v>
          </cell>
        </row>
        <row r="344">
          <cell r="A344">
            <v>8543</v>
          </cell>
        </row>
        <row r="344">
          <cell r="C344" t="str">
            <v>章鹏</v>
          </cell>
          <cell r="D344" t="str">
            <v>挡泥板</v>
          </cell>
        </row>
        <row r="344">
          <cell r="I344">
            <v>0</v>
          </cell>
          <cell r="J344">
            <v>7443</v>
          </cell>
        </row>
        <row r="344">
          <cell r="L344">
            <v>0</v>
          </cell>
        </row>
        <row r="345">
          <cell r="A345">
            <v>4280</v>
          </cell>
        </row>
        <row r="345">
          <cell r="C345" t="str">
            <v>转二部</v>
          </cell>
          <cell r="D345" t="str">
            <v>车身外扩件</v>
          </cell>
        </row>
        <row r="345">
          <cell r="I345" t="str">
            <v>原开品</v>
          </cell>
          <cell r="J345">
            <v>7913</v>
          </cell>
        </row>
        <row r="345">
          <cell r="L345">
            <v>45601</v>
          </cell>
          <cell r="M345">
            <v>45604</v>
          </cell>
        </row>
        <row r="346">
          <cell r="A346">
            <v>4607</v>
          </cell>
        </row>
        <row r="346">
          <cell r="C346" t="str">
            <v>王偲涵</v>
          </cell>
          <cell r="D346" t="str">
            <v>饰条</v>
          </cell>
        </row>
        <row r="346">
          <cell r="I346" t="str">
            <v>原开品</v>
          </cell>
          <cell r="J346">
            <v>7893</v>
          </cell>
        </row>
        <row r="346">
          <cell r="L346">
            <v>45600</v>
          </cell>
          <cell r="M346">
            <v>45604</v>
          </cell>
        </row>
        <row r="347">
          <cell r="A347">
            <v>4611</v>
          </cell>
        </row>
        <row r="347">
          <cell r="C347" t="str">
            <v>王偲涵</v>
          </cell>
          <cell r="D347" t="str">
            <v>饰条</v>
          </cell>
        </row>
        <row r="347">
          <cell r="I347" t="str">
            <v>原开品</v>
          </cell>
          <cell r="J347">
            <v>7894</v>
          </cell>
        </row>
        <row r="347">
          <cell r="L347">
            <v>45600</v>
          </cell>
          <cell r="M347">
            <v>45604</v>
          </cell>
        </row>
        <row r="348">
          <cell r="A348">
            <v>4612</v>
          </cell>
        </row>
        <row r="348">
          <cell r="C348" t="str">
            <v>王偲涵</v>
          </cell>
          <cell r="D348" t="str">
            <v>饰条</v>
          </cell>
        </row>
        <row r="348">
          <cell r="I348" t="str">
            <v>原开品</v>
          </cell>
          <cell r="J348">
            <v>7919</v>
          </cell>
        </row>
        <row r="348">
          <cell r="L348">
            <v>45600</v>
          </cell>
          <cell r="M348">
            <v>45608</v>
          </cell>
        </row>
        <row r="349">
          <cell r="A349">
            <v>5671</v>
          </cell>
        </row>
        <row r="349">
          <cell r="C349" t="str">
            <v>王偲涵</v>
          </cell>
          <cell r="D349" t="str">
            <v>车身外扩件</v>
          </cell>
        </row>
        <row r="349">
          <cell r="I349" t="str">
            <v>原开品</v>
          </cell>
          <cell r="J349">
            <v>7920</v>
          </cell>
        </row>
        <row r="349">
          <cell r="L349">
            <v>45600</v>
          </cell>
          <cell r="M349">
            <v>45610</v>
          </cell>
        </row>
        <row r="350">
          <cell r="A350">
            <v>5672</v>
          </cell>
        </row>
        <row r="350">
          <cell r="C350" t="str">
            <v>王偲涵</v>
          </cell>
          <cell r="D350" t="str">
            <v>车身外扩件</v>
          </cell>
        </row>
        <row r="350">
          <cell r="I350" t="str">
            <v>原开品</v>
          </cell>
          <cell r="J350">
            <v>7891</v>
          </cell>
        </row>
        <row r="350">
          <cell r="L350">
            <v>45600</v>
          </cell>
          <cell r="M350">
            <v>45601</v>
          </cell>
        </row>
        <row r="351">
          <cell r="A351">
            <v>5061</v>
          </cell>
        </row>
        <row r="351">
          <cell r="C351" t="str">
            <v>朱培源</v>
          </cell>
          <cell r="D351" t="str">
            <v>软顶</v>
          </cell>
        </row>
        <row r="351">
          <cell r="I351">
            <v>0</v>
          </cell>
          <cell r="J351">
            <v>4106</v>
          </cell>
        </row>
        <row r="351">
          <cell r="L351">
            <v>0</v>
          </cell>
        </row>
        <row r="352">
          <cell r="A352">
            <v>5834</v>
          </cell>
        </row>
        <row r="352">
          <cell r="C352" t="str">
            <v>王偲涵</v>
          </cell>
          <cell r="D352" t="str">
            <v>饰条</v>
          </cell>
        </row>
        <row r="352">
          <cell r="I352" t="str">
            <v>拓展品</v>
          </cell>
          <cell r="J352">
            <v>7825</v>
          </cell>
        </row>
        <row r="352">
          <cell r="L352">
            <v>45604</v>
          </cell>
          <cell r="M352">
            <v>45631</v>
          </cell>
        </row>
        <row r="353">
          <cell r="A353">
            <v>5835</v>
          </cell>
        </row>
        <row r="353">
          <cell r="C353" t="str">
            <v>胡煜星</v>
          </cell>
          <cell r="D353" t="str">
            <v>车门系统</v>
          </cell>
        </row>
        <row r="353">
          <cell r="I353" t="str">
            <v>拓展品</v>
          </cell>
          <cell r="J353">
            <v>7826</v>
          </cell>
        </row>
        <row r="353">
          <cell r="L353">
            <v>45603</v>
          </cell>
          <cell r="M353">
            <v>46036</v>
          </cell>
        </row>
        <row r="354">
          <cell r="A354">
            <v>4610</v>
          </cell>
        </row>
        <row r="354">
          <cell r="C354" t="str">
            <v>王偲涵</v>
          </cell>
          <cell r="D354" t="str">
            <v>饰条</v>
          </cell>
        </row>
        <row r="354">
          <cell r="I354" t="str">
            <v>原开品</v>
          </cell>
          <cell r="J354">
            <v>7922</v>
          </cell>
        </row>
        <row r="354">
          <cell r="L354">
            <v>45603</v>
          </cell>
          <cell r="M354">
            <v>45608</v>
          </cell>
        </row>
        <row r="355">
          <cell r="A355">
            <v>6031</v>
          </cell>
        </row>
        <row r="355">
          <cell r="C355" t="str">
            <v>胡煜星</v>
          </cell>
          <cell r="D355" t="str">
            <v>车门系统</v>
          </cell>
        </row>
        <row r="355">
          <cell r="I355" t="str">
            <v>拓展品</v>
          </cell>
          <cell r="J355">
            <v>7733</v>
          </cell>
        </row>
        <row r="355">
          <cell r="L355">
            <v>45603</v>
          </cell>
          <cell r="M355">
            <v>45627</v>
          </cell>
        </row>
        <row r="356">
          <cell r="A356">
            <v>6033</v>
          </cell>
        </row>
        <row r="356">
          <cell r="C356" t="str">
            <v>胡煜星</v>
          </cell>
          <cell r="D356" t="str">
            <v>车门系统</v>
          </cell>
        </row>
        <row r="356">
          <cell r="I356" t="str">
            <v>原开品</v>
          </cell>
          <cell r="J356">
            <v>7731</v>
          </cell>
        </row>
        <row r="356">
          <cell r="L356">
            <v>45603</v>
          </cell>
          <cell r="M356">
            <v>45606</v>
          </cell>
        </row>
        <row r="357">
          <cell r="A357">
            <v>5627</v>
          </cell>
        </row>
        <row r="357">
          <cell r="C357" t="str">
            <v>俞东旭</v>
          </cell>
          <cell r="D357" t="str">
            <v>车门系统</v>
          </cell>
        </row>
        <row r="357">
          <cell r="I357" t="str">
            <v>拓展品</v>
          </cell>
          <cell r="J357">
            <v>7734</v>
          </cell>
        </row>
        <row r="357">
          <cell r="L357">
            <v>45603</v>
          </cell>
          <cell r="M357">
            <v>45607</v>
          </cell>
        </row>
        <row r="358">
          <cell r="A358">
            <v>5283</v>
          </cell>
        </row>
        <row r="358">
          <cell r="C358" t="str">
            <v>朱培源</v>
          </cell>
          <cell r="D358" t="str">
            <v>挡泥板</v>
          </cell>
        </row>
        <row r="358">
          <cell r="I358" t="str">
            <v>拓展品</v>
          </cell>
          <cell r="J358">
            <v>7929</v>
          </cell>
        </row>
        <row r="358">
          <cell r="L358">
            <v>45603</v>
          </cell>
          <cell r="M358">
            <v>45616</v>
          </cell>
        </row>
        <row r="359">
          <cell r="A359">
            <v>5620</v>
          </cell>
        </row>
        <row r="359">
          <cell r="C359" t="str">
            <v>胡煜星</v>
          </cell>
          <cell r="D359" t="str">
            <v>车门系统</v>
          </cell>
        </row>
        <row r="359">
          <cell r="I359" t="str">
            <v>原开品</v>
          </cell>
          <cell r="J359">
            <v>7737</v>
          </cell>
        </row>
        <row r="359">
          <cell r="L359">
            <v>45608</v>
          </cell>
          <cell r="M359">
            <v>45616</v>
          </cell>
        </row>
        <row r="360">
          <cell r="A360">
            <v>5841</v>
          </cell>
        </row>
        <row r="360">
          <cell r="C360" t="str">
            <v>胡煜星</v>
          </cell>
          <cell r="D360" t="str">
            <v>车门系统</v>
          </cell>
        </row>
        <row r="360">
          <cell r="I360" t="str">
            <v>原开品</v>
          </cell>
          <cell r="J360">
            <v>7959</v>
          </cell>
        </row>
        <row r="360">
          <cell r="L360">
            <v>45608</v>
          </cell>
          <cell r="M360">
            <v>45613</v>
          </cell>
        </row>
        <row r="361">
          <cell r="A361">
            <v>5630</v>
          </cell>
        </row>
        <row r="361">
          <cell r="C361" t="str">
            <v>胡煜星</v>
          </cell>
          <cell r="D361" t="str">
            <v>车门系统</v>
          </cell>
        </row>
        <row r="361">
          <cell r="I361" t="str">
            <v>原开品</v>
          </cell>
          <cell r="J361">
            <v>7964</v>
          </cell>
        </row>
        <row r="361">
          <cell r="L361">
            <v>45608</v>
          </cell>
          <cell r="M361">
            <v>45628</v>
          </cell>
        </row>
        <row r="362">
          <cell r="A362">
            <v>5455</v>
          </cell>
        </row>
        <row r="362">
          <cell r="C362" t="str">
            <v>胡煜星</v>
          </cell>
          <cell r="D362" t="str">
            <v>车门系统</v>
          </cell>
        </row>
        <row r="362">
          <cell r="I362" t="str">
            <v>原开品</v>
          </cell>
          <cell r="J362">
            <v>7965</v>
          </cell>
        </row>
        <row r="362">
          <cell r="L362">
            <v>45608</v>
          </cell>
          <cell r="M362">
            <v>45610</v>
          </cell>
        </row>
        <row r="363">
          <cell r="A363">
            <v>5647</v>
          </cell>
        </row>
        <row r="363">
          <cell r="C363" t="str">
            <v>胡煜星</v>
          </cell>
          <cell r="D363" t="str">
            <v>车门系统</v>
          </cell>
        </row>
        <row r="363">
          <cell r="I363" t="str">
            <v>原开品</v>
          </cell>
          <cell r="J363">
            <v>7739</v>
          </cell>
        </row>
        <row r="363">
          <cell r="L363">
            <v>0</v>
          </cell>
        </row>
        <row r="364">
          <cell r="A364">
            <v>5092</v>
          </cell>
        </row>
        <row r="364">
          <cell r="C364" t="str">
            <v>俞东旭</v>
          </cell>
          <cell r="D364" t="str">
            <v>车身外扩件</v>
          </cell>
        </row>
        <row r="364">
          <cell r="I364" t="str">
            <v>拓展品</v>
          </cell>
          <cell r="J364">
            <v>7740</v>
          </cell>
        </row>
        <row r="364">
          <cell r="L364">
            <v>0</v>
          </cell>
        </row>
        <row r="365">
          <cell r="A365">
            <v>4282</v>
          </cell>
        </row>
        <row r="365">
          <cell r="C365" t="str">
            <v>章鹏</v>
          </cell>
          <cell r="D365" t="str">
            <v>其他</v>
          </cell>
        </row>
        <row r="365">
          <cell r="I365" t="str">
            <v>原开品</v>
          </cell>
          <cell r="J365">
            <v>7735</v>
          </cell>
        </row>
        <row r="365">
          <cell r="L365">
            <v>45611</v>
          </cell>
          <cell r="M365">
            <v>45616</v>
          </cell>
        </row>
        <row r="366">
          <cell r="A366">
            <v>5336</v>
          </cell>
        </row>
        <row r="366">
          <cell r="C366" t="str">
            <v>王偲涵</v>
          </cell>
          <cell r="D366" t="str">
            <v>车身外扩件</v>
          </cell>
        </row>
        <row r="366">
          <cell r="I366" t="str">
            <v>原开品</v>
          </cell>
          <cell r="J366">
            <v>7681</v>
          </cell>
        </row>
        <row r="366">
          <cell r="L366">
            <v>45611</v>
          </cell>
          <cell r="M366">
            <v>45624</v>
          </cell>
        </row>
        <row r="367">
          <cell r="A367">
            <v>5843</v>
          </cell>
        </row>
        <row r="367">
          <cell r="C367" t="str">
            <v>王偲涵</v>
          </cell>
          <cell r="D367" t="str">
            <v>车身外扩件</v>
          </cell>
        </row>
        <row r="367">
          <cell r="I367" t="str">
            <v>原开品</v>
          </cell>
          <cell r="J367">
            <v>7798</v>
          </cell>
        </row>
        <row r="367">
          <cell r="L367">
            <v>45611</v>
          </cell>
          <cell r="M367">
            <v>45616</v>
          </cell>
        </row>
        <row r="368">
          <cell r="A368">
            <v>5813</v>
          </cell>
        </row>
        <row r="368">
          <cell r="C368" t="str">
            <v>王偲涵</v>
          </cell>
          <cell r="D368" t="str">
            <v>车身外扩件</v>
          </cell>
        </row>
        <row r="368">
          <cell r="I368">
            <v>0</v>
          </cell>
          <cell r="J368">
            <v>7119</v>
          </cell>
        </row>
        <row r="368">
          <cell r="L368">
            <v>0</v>
          </cell>
        </row>
        <row r="369">
          <cell r="A369">
            <v>5122</v>
          </cell>
        </row>
        <row r="369">
          <cell r="C369" t="str">
            <v>朱培源</v>
          </cell>
          <cell r="D369" t="str">
            <v>软顶</v>
          </cell>
        </row>
        <row r="369">
          <cell r="I369">
            <v>0</v>
          </cell>
          <cell r="J369">
            <v>7120</v>
          </cell>
        </row>
        <row r="369">
          <cell r="L369">
            <v>0</v>
          </cell>
        </row>
        <row r="370">
          <cell r="A370">
            <v>3597</v>
          </cell>
        </row>
        <row r="370">
          <cell r="C370" t="str">
            <v>朱培源</v>
          </cell>
          <cell r="D370" t="str">
            <v>软顶</v>
          </cell>
        </row>
        <row r="370">
          <cell r="I370" t="str">
            <v>拓展品</v>
          </cell>
          <cell r="J370">
            <v>7561</v>
          </cell>
        </row>
        <row r="370">
          <cell r="L370">
            <v>45614</v>
          </cell>
          <cell r="M370">
            <v>45647</v>
          </cell>
        </row>
        <row r="371">
          <cell r="A371">
            <v>9577</v>
          </cell>
        </row>
        <row r="371">
          <cell r="C371" t="str">
            <v>章鹏</v>
          </cell>
          <cell r="D371" t="str">
            <v>其他</v>
          </cell>
        </row>
        <row r="371">
          <cell r="I371" t="str">
            <v>原开品</v>
          </cell>
          <cell r="J371">
            <v>8047</v>
          </cell>
        </row>
        <row r="371">
          <cell r="L371">
            <v>45617</v>
          </cell>
          <cell r="M371">
            <v>45655</v>
          </cell>
        </row>
        <row r="372">
          <cell r="A372">
            <v>6821</v>
          </cell>
        </row>
        <row r="372">
          <cell r="C372" t="str">
            <v>胡煜星</v>
          </cell>
          <cell r="D372" t="str">
            <v>车门系统</v>
          </cell>
        </row>
        <row r="372">
          <cell r="I372" t="str">
            <v>原开品</v>
          </cell>
          <cell r="J372">
            <v>8062</v>
          </cell>
        </row>
        <row r="372">
          <cell r="L372">
            <v>45617</v>
          </cell>
          <cell r="M372">
            <v>45672</v>
          </cell>
        </row>
        <row r="373">
          <cell r="A373">
            <v>7636</v>
          </cell>
        </row>
        <row r="373">
          <cell r="C373" t="str">
            <v>王偲涵</v>
          </cell>
          <cell r="D373" t="str">
            <v>雨刮罩</v>
          </cell>
        </row>
        <row r="373">
          <cell r="I373" t="str">
            <v>拓展品</v>
          </cell>
          <cell r="J373">
            <v>7562</v>
          </cell>
        </row>
        <row r="373">
          <cell r="L373">
            <v>0</v>
          </cell>
        </row>
        <row r="374">
          <cell r="A374">
            <v>6725</v>
          </cell>
        </row>
        <row r="374">
          <cell r="C374" t="str">
            <v>王偲涵</v>
          </cell>
          <cell r="D374" t="str">
            <v>雨刮罩</v>
          </cell>
        </row>
        <row r="374">
          <cell r="I374" t="str">
            <v>拓展品</v>
          </cell>
          <cell r="J374">
            <v>7563</v>
          </cell>
        </row>
        <row r="374">
          <cell r="L374">
            <v>0</v>
          </cell>
        </row>
        <row r="375">
          <cell r="A375">
            <v>9390</v>
          </cell>
        </row>
        <row r="375">
          <cell r="C375" t="str">
            <v>章鹏</v>
          </cell>
          <cell r="D375" t="str">
            <v>挡泥板</v>
          </cell>
        </row>
        <row r="375">
          <cell r="I375" t="str">
            <v>原开品</v>
          </cell>
          <cell r="J375">
            <v>7993</v>
          </cell>
        </row>
        <row r="375">
          <cell r="L375">
            <v>45621</v>
          </cell>
          <cell r="M375">
            <v>45644</v>
          </cell>
        </row>
        <row r="376">
          <cell r="A376">
            <v>5310</v>
          </cell>
        </row>
        <row r="376">
          <cell r="C376" t="str">
            <v>章鹏</v>
          </cell>
          <cell r="D376" t="str">
            <v>其他</v>
          </cell>
        </row>
        <row r="376">
          <cell r="I376" t="str">
            <v>拓展品</v>
          </cell>
          <cell r="J376">
            <v>7910</v>
          </cell>
        </row>
        <row r="376">
          <cell r="L376">
            <v>45621</v>
          </cell>
          <cell r="M376">
            <v>45626</v>
          </cell>
        </row>
        <row r="377">
          <cell r="A377">
            <v>9456</v>
          </cell>
        </row>
        <row r="377">
          <cell r="C377" t="str">
            <v>章鹏</v>
          </cell>
          <cell r="D377" t="str">
            <v>挡泥板</v>
          </cell>
        </row>
        <row r="377">
          <cell r="I377" t="str">
            <v>原开品</v>
          </cell>
          <cell r="J377">
            <v>7996</v>
          </cell>
        </row>
        <row r="377">
          <cell r="L377">
            <v>45621</v>
          </cell>
          <cell r="M377">
            <v>45641</v>
          </cell>
        </row>
        <row r="378">
          <cell r="A378">
            <v>6058</v>
          </cell>
        </row>
        <row r="378">
          <cell r="C378" t="str">
            <v>俞东旭</v>
          </cell>
          <cell r="D378" t="str">
            <v>车门系统</v>
          </cell>
        </row>
        <row r="378">
          <cell r="I378" t="str">
            <v>原开品</v>
          </cell>
          <cell r="J378">
            <v>7928</v>
          </cell>
        </row>
        <row r="378">
          <cell r="L378">
            <v>45621</v>
          </cell>
          <cell r="M378">
            <v>45630</v>
          </cell>
        </row>
        <row r="379">
          <cell r="A379">
            <v>5096</v>
          </cell>
        </row>
        <row r="379">
          <cell r="C379" t="str">
            <v>朱培源</v>
          </cell>
          <cell r="D379" t="str">
            <v>软顶</v>
          </cell>
        </row>
        <row r="379">
          <cell r="I379" t="str">
            <v>原开品</v>
          </cell>
          <cell r="J379">
            <v>8053</v>
          </cell>
        </row>
        <row r="379">
          <cell r="L379">
            <v>45621</v>
          </cell>
          <cell r="M379">
            <v>45628</v>
          </cell>
        </row>
        <row r="380">
          <cell r="A380">
            <v>7104</v>
          </cell>
        </row>
        <row r="380">
          <cell r="C380" t="str">
            <v>王偲涵</v>
          </cell>
          <cell r="D380" t="str">
            <v>车身外扩件</v>
          </cell>
        </row>
        <row r="380">
          <cell r="I380" t="str">
            <v>原开品</v>
          </cell>
          <cell r="J380">
            <v>8054</v>
          </cell>
        </row>
        <row r="380">
          <cell r="L380">
            <v>45621</v>
          </cell>
          <cell r="M380">
            <v>45630</v>
          </cell>
        </row>
        <row r="381">
          <cell r="A381">
            <v>6681</v>
          </cell>
        </row>
        <row r="381">
          <cell r="C381" t="str">
            <v>王偲涵</v>
          </cell>
          <cell r="D381" t="str">
            <v>雨刮罩</v>
          </cell>
        </row>
        <row r="381">
          <cell r="I381" t="str">
            <v>拓展品</v>
          </cell>
          <cell r="J381">
            <v>7998</v>
          </cell>
        </row>
        <row r="381">
          <cell r="L381">
            <v>45621</v>
          </cell>
          <cell r="M381">
            <v>45664</v>
          </cell>
        </row>
        <row r="382">
          <cell r="A382">
            <v>9551</v>
          </cell>
        </row>
        <row r="382">
          <cell r="C382" t="str">
            <v>王偲涵</v>
          </cell>
          <cell r="D382" t="str">
            <v>雨刮罩</v>
          </cell>
        </row>
        <row r="382">
          <cell r="I382" t="str">
            <v>原开品</v>
          </cell>
          <cell r="J382">
            <v>7997</v>
          </cell>
        </row>
        <row r="382">
          <cell r="L382">
            <v>45621</v>
          </cell>
          <cell r="M382">
            <v>45628</v>
          </cell>
        </row>
        <row r="383">
          <cell r="A383">
            <v>9296</v>
          </cell>
        </row>
        <row r="383">
          <cell r="C383" t="str">
            <v>王偲涵</v>
          </cell>
          <cell r="D383" t="str">
            <v>雨刮罩</v>
          </cell>
        </row>
        <row r="383">
          <cell r="I383" t="str">
            <v>拓展品</v>
          </cell>
          <cell r="J383">
            <v>8111</v>
          </cell>
        </row>
        <row r="383">
          <cell r="L383">
            <v>45624</v>
          </cell>
          <cell r="M383">
            <v>45631</v>
          </cell>
        </row>
        <row r="384">
          <cell r="A384">
            <v>9821</v>
          </cell>
        </row>
        <row r="384">
          <cell r="C384" t="str">
            <v>王偲涵</v>
          </cell>
          <cell r="D384" t="str">
            <v>雨刮罩</v>
          </cell>
        </row>
        <row r="384">
          <cell r="I384" t="str">
            <v>拓展品</v>
          </cell>
          <cell r="J384">
            <v>8105</v>
          </cell>
        </row>
        <row r="384">
          <cell r="L384">
            <v>45624</v>
          </cell>
          <cell r="M384">
            <v>45639</v>
          </cell>
        </row>
        <row r="385">
          <cell r="A385">
            <v>9174</v>
          </cell>
        </row>
        <row r="385">
          <cell r="C385" t="str">
            <v>王偲涵</v>
          </cell>
          <cell r="D385" t="str">
            <v>雨刮罩</v>
          </cell>
        </row>
        <row r="385">
          <cell r="I385" t="str">
            <v>拓展品</v>
          </cell>
          <cell r="J385">
            <v>8056</v>
          </cell>
        </row>
        <row r="385">
          <cell r="L385">
            <v>45624</v>
          </cell>
          <cell r="M385">
            <v>45637</v>
          </cell>
        </row>
        <row r="386">
          <cell r="A386">
            <v>8353</v>
          </cell>
        </row>
        <row r="386">
          <cell r="C386" t="str">
            <v>王偲涵</v>
          </cell>
          <cell r="D386" t="str">
            <v>雨刮罩</v>
          </cell>
        </row>
        <row r="386">
          <cell r="I386" t="str">
            <v>原开品</v>
          </cell>
          <cell r="J386">
            <v>8055</v>
          </cell>
        </row>
        <row r="386">
          <cell r="L386">
            <v>45624</v>
          </cell>
          <cell r="M386">
            <v>45767</v>
          </cell>
        </row>
        <row r="387">
          <cell r="A387">
            <v>8671</v>
          </cell>
        </row>
        <row r="387">
          <cell r="C387" t="str">
            <v>王偲涵</v>
          </cell>
          <cell r="D387" t="str">
            <v>雨刮罩</v>
          </cell>
        </row>
        <row r="387">
          <cell r="I387" t="str">
            <v>拓展品</v>
          </cell>
          <cell r="J387">
            <v>8057</v>
          </cell>
        </row>
        <row r="387">
          <cell r="L387">
            <v>45624</v>
          </cell>
          <cell r="M387">
            <v>46129</v>
          </cell>
        </row>
        <row r="388">
          <cell r="A388">
            <v>9932</v>
          </cell>
        </row>
        <row r="388">
          <cell r="C388" t="str">
            <v>王偲涵</v>
          </cell>
          <cell r="D388" t="str">
            <v>雨刮罩</v>
          </cell>
        </row>
        <row r="388">
          <cell r="I388" t="str">
            <v>拓展品</v>
          </cell>
          <cell r="J388">
            <v>8102</v>
          </cell>
        </row>
        <row r="388">
          <cell r="L388">
            <v>45624</v>
          </cell>
          <cell r="M388">
            <v>45654</v>
          </cell>
        </row>
        <row r="389">
          <cell r="A389">
            <v>9806</v>
          </cell>
        </row>
        <row r="389">
          <cell r="C389" t="str">
            <v>王偲涵</v>
          </cell>
          <cell r="D389" t="str">
            <v>雨刮罩</v>
          </cell>
        </row>
        <row r="389">
          <cell r="I389" t="str">
            <v>原开品</v>
          </cell>
          <cell r="J389">
            <v>8108</v>
          </cell>
        </row>
        <row r="389">
          <cell r="L389">
            <v>45624</v>
          </cell>
          <cell r="M389">
            <v>45625</v>
          </cell>
        </row>
        <row r="390">
          <cell r="A390">
            <v>9817</v>
          </cell>
        </row>
        <row r="390">
          <cell r="C390" t="str">
            <v>王偲涵</v>
          </cell>
          <cell r="D390" t="str">
            <v>雨刮罩</v>
          </cell>
        </row>
        <row r="390">
          <cell r="I390" t="str">
            <v>拓展品</v>
          </cell>
          <cell r="J390">
            <v>7741</v>
          </cell>
        </row>
        <row r="390">
          <cell r="L390">
            <v>0</v>
          </cell>
        </row>
        <row r="391">
          <cell r="A391">
            <v>9725</v>
          </cell>
        </row>
        <row r="391">
          <cell r="C391" t="str">
            <v>王偲涵</v>
          </cell>
          <cell r="D391" t="str">
            <v>雨刮罩</v>
          </cell>
        </row>
        <row r="391">
          <cell r="I391" t="e">
            <v>#N/A</v>
          </cell>
          <cell r="J391">
            <v>4263</v>
          </cell>
        </row>
        <row r="391">
          <cell r="L391" t="e">
            <v>#N/A</v>
          </cell>
        </row>
        <row r="392">
          <cell r="A392">
            <v>9156</v>
          </cell>
        </row>
        <row r="392">
          <cell r="C392" t="str">
            <v>俞东旭</v>
          </cell>
          <cell r="D392" t="str">
            <v>车身外扩件</v>
          </cell>
        </row>
        <row r="392">
          <cell r="I392">
            <v>0</v>
          </cell>
          <cell r="J392">
            <v>7441</v>
          </cell>
        </row>
        <row r="392">
          <cell r="L392">
            <v>0</v>
          </cell>
        </row>
        <row r="393">
          <cell r="A393">
            <v>9358</v>
          </cell>
        </row>
        <row r="393">
          <cell r="C393" t="str">
            <v>俞东旭</v>
          </cell>
          <cell r="D393" t="str">
            <v>车身外扩件</v>
          </cell>
        </row>
        <row r="393">
          <cell r="I393">
            <v>0</v>
          </cell>
          <cell r="J393">
            <v>6980</v>
          </cell>
        </row>
        <row r="393">
          <cell r="L393">
            <v>0</v>
          </cell>
        </row>
        <row r="394">
          <cell r="A394">
            <v>9552</v>
          </cell>
        </row>
        <row r="394">
          <cell r="C394" t="str">
            <v>转二部</v>
          </cell>
          <cell r="D394" t="str">
            <v>车身外扩件</v>
          </cell>
        </row>
        <row r="394">
          <cell r="I394" t="str">
            <v>拓展品</v>
          </cell>
          <cell r="J394">
            <v>8169</v>
          </cell>
        </row>
        <row r="394">
          <cell r="L394">
            <v>45636</v>
          </cell>
          <cell r="M394">
            <v>45647</v>
          </cell>
        </row>
        <row r="395">
          <cell r="A395">
            <v>9258</v>
          </cell>
        </row>
        <row r="395">
          <cell r="C395" t="str">
            <v>俞东旭</v>
          </cell>
          <cell r="D395" t="str">
            <v>车身外扩件</v>
          </cell>
        </row>
        <row r="395">
          <cell r="I395" t="str">
            <v>拓展品</v>
          </cell>
          <cell r="J395">
            <v>8090</v>
          </cell>
        </row>
        <row r="395">
          <cell r="L395">
            <v>45636</v>
          </cell>
          <cell r="M395">
            <v>45646</v>
          </cell>
        </row>
        <row r="396">
          <cell r="A396">
            <v>8525</v>
          </cell>
        </row>
        <row r="396">
          <cell r="C396" t="str">
            <v>胡煜星</v>
          </cell>
          <cell r="D396" t="str">
            <v>车门系统</v>
          </cell>
        </row>
        <row r="396">
          <cell r="I396" t="str">
            <v>原开品</v>
          </cell>
          <cell r="J396">
            <v>8084</v>
          </cell>
        </row>
        <row r="396">
          <cell r="L396">
            <v>45636</v>
          </cell>
          <cell r="M396">
            <v>45640</v>
          </cell>
        </row>
        <row r="397">
          <cell r="A397">
            <v>8526</v>
          </cell>
        </row>
        <row r="397">
          <cell r="C397" t="str">
            <v>胡煜星</v>
          </cell>
          <cell r="D397" t="str">
            <v>车门系统</v>
          </cell>
        </row>
        <row r="397">
          <cell r="I397" t="str">
            <v>原开品</v>
          </cell>
          <cell r="J397">
            <v>8085</v>
          </cell>
        </row>
        <row r="397">
          <cell r="L397">
            <v>45636</v>
          </cell>
          <cell r="M397">
            <v>45641</v>
          </cell>
        </row>
        <row r="398">
          <cell r="A398">
            <v>9553</v>
          </cell>
        </row>
        <row r="398">
          <cell r="C398" t="str">
            <v>王偲涵</v>
          </cell>
          <cell r="D398" t="str">
            <v>雨刮罩</v>
          </cell>
        </row>
        <row r="398">
          <cell r="I398" t="str">
            <v>原开品</v>
          </cell>
          <cell r="J398">
            <v>8083</v>
          </cell>
        </row>
        <row r="398">
          <cell r="L398">
            <v>45636</v>
          </cell>
          <cell r="M398">
            <v>45642</v>
          </cell>
        </row>
        <row r="399">
          <cell r="A399">
            <v>9776</v>
          </cell>
        </row>
        <row r="399">
          <cell r="C399" t="str">
            <v>王偲涵</v>
          </cell>
          <cell r="D399" t="str">
            <v>雨刮罩</v>
          </cell>
        </row>
        <row r="399">
          <cell r="I399" t="str">
            <v>拓展品</v>
          </cell>
          <cell r="J399">
            <v>8087</v>
          </cell>
        </row>
        <row r="399">
          <cell r="L399">
            <v>45637</v>
          </cell>
          <cell r="M399">
            <v>45644</v>
          </cell>
        </row>
        <row r="400">
          <cell r="A400">
            <v>9227</v>
          </cell>
        </row>
        <row r="400">
          <cell r="C400" t="str">
            <v>胡煜星</v>
          </cell>
          <cell r="D400" t="str">
            <v>车门系统</v>
          </cell>
        </row>
        <row r="400">
          <cell r="I400" t="str">
            <v>拓展品</v>
          </cell>
          <cell r="J400">
            <v>8086</v>
          </cell>
        </row>
        <row r="400">
          <cell r="L400">
            <v>45637</v>
          </cell>
          <cell r="M400">
            <v>45637</v>
          </cell>
        </row>
        <row r="401">
          <cell r="A401">
            <v>9233</v>
          </cell>
        </row>
        <row r="401">
          <cell r="C401" t="str">
            <v>胡煜星</v>
          </cell>
          <cell r="D401" t="str">
            <v>车门系统</v>
          </cell>
        </row>
        <row r="401">
          <cell r="I401" t="str">
            <v>拓展品</v>
          </cell>
          <cell r="J401">
            <v>8089</v>
          </cell>
        </row>
        <row r="401">
          <cell r="L401">
            <v>45636</v>
          </cell>
          <cell r="M401">
            <v>45642</v>
          </cell>
        </row>
        <row r="402">
          <cell r="A402">
            <v>9234</v>
          </cell>
        </row>
        <row r="402">
          <cell r="C402" t="str">
            <v>胡煜星</v>
          </cell>
          <cell r="D402" t="str">
            <v>车门系统</v>
          </cell>
        </row>
        <row r="402">
          <cell r="I402" t="str">
            <v>原开品</v>
          </cell>
          <cell r="J402">
            <v>8333</v>
          </cell>
        </row>
        <row r="402">
          <cell r="L402">
            <v>45638</v>
          </cell>
          <cell r="M402">
            <v>45641</v>
          </cell>
        </row>
        <row r="403">
          <cell r="A403">
            <v>9228</v>
          </cell>
        </row>
        <row r="403">
          <cell r="C403" t="str">
            <v>胡煜星</v>
          </cell>
          <cell r="D403" t="str">
            <v>车门系统</v>
          </cell>
        </row>
        <row r="403">
          <cell r="I403" t="str">
            <v>原开品</v>
          </cell>
          <cell r="J403">
            <v>8307</v>
          </cell>
        </row>
        <row r="403">
          <cell r="L403">
            <v>45638</v>
          </cell>
          <cell r="M403">
            <v>45641</v>
          </cell>
        </row>
        <row r="404">
          <cell r="A404">
            <v>8903</v>
          </cell>
        </row>
        <row r="404">
          <cell r="C404" t="str">
            <v>转二部</v>
          </cell>
          <cell r="D404" t="str">
            <v>车门系统</v>
          </cell>
        </row>
        <row r="404">
          <cell r="I404" t="str">
            <v>拓展品</v>
          </cell>
          <cell r="J404">
            <v>8308</v>
          </cell>
        </row>
        <row r="404">
          <cell r="L404">
            <v>45638</v>
          </cell>
          <cell r="M404">
            <v>45662</v>
          </cell>
        </row>
        <row r="405">
          <cell r="A405">
            <v>8899</v>
          </cell>
        </row>
        <row r="405">
          <cell r="C405" t="str">
            <v>胡煜星</v>
          </cell>
          <cell r="D405" t="str">
            <v>车门系统</v>
          </cell>
        </row>
        <row r="405">
          <cell r="I405" t="str">
            <v>拓展品</v>
          </cell>
          <cell r="J405">
            <v>8309</v>
          </cell>
        </row>
        <row r="405">
          <cell r="L405">
            <v>45638</v>
          </cell>
          <cell r="M405">
            <v>45681</v>
          </cell>
        </row>
        <row r="406">
          <cell r="A406">
            <v>8906</v>
          </cell>
        </row>
        <row r="406">
          <cell r="C406" t="str">
            <v>胡煜星</v>
          </cell>
          <cell r="D406" t="str">
            <v>车门系统</v>
          </cell>
        </row>
        <row r="406">
          <cell r="I406" t="str">
            <v>拓展品</v>
          </cell>
          <cell r="J406">
            <v>8212</v>
          </cell>
        </row>
        <row r="406">
          <cell r="L406">
            <v>45638</v>
          </cell>
          <cell r="M406">
            <v>45649</v>
          </cell>
        </row>
        <row r="407">
          <cell r="A407">
            <v>9723</v>
          </cell>
        </row>
        <row r="407">
          <cell r="C407" t="str">
            <v>胡煜星</v>
          </cell>
          <cell r="D407" t="str">
            <v>车门系统</v>
          </cell>
        </row>
        <row r="407">
          <cell r="I407" t="str">
            <v>拓展品</v>
          </cell>
          <cell r="J407">
            <v>8210</v>
          </cell>
        </row>
        <row r="407">
          <cell r="L407">
            <v>45638</v>
          </cell>
          <cell r="M407">
            <v>45641</v>
          </cell>
        </row>
        <row r="408">
          <cell r="A408">
            <v>8914</v>
          </cell>
        </row>
        <row r="408">
          <cell r="C408" t="str">
            <v>转二部</v>
          </cell>
          <cell r="D408" t="str">
            <v>车门系统</v>
          </cell>
        </row>
        <row r="408">
          <cell r="I408" t="str">
            <v>拓展品</v>
          </cell>
          <cell r="J408">
            <v>8213</v>
          </cell>
        </row>
        <row r="408">
          <cell r="L408">
            <v>45638</v>
          </cell>
          <cell r="M408">
            <v>45644</v>
          </cell>
        </row>
        <row r="409">
          <cell r="A409">
            <v>8908</v>
          </cell>
        </row>
        <row r="409">
          <cell r="C409" t="str">
            <v>胡煜星</v>
          </cell>
          <cell r="D409" t="str">
            <v>车门系统</v>
          </cell>
        </row>
        <row r="409">
          <cell r="I409" t="str">
            <v>拓展品</v>
          </cell>
          <cell r="J409">
            <v>8201</v>
          </cell>
        </row>
        <row r="409">
          <cell r="L409">
            <v>45638</v>
          </cell>
          <cell r="M409">
            <v>45652</v>
          </cell>
        </row>
        <row r="410">
          <cell r="A410">
            <v>8675</v>
          </cell>
        </row>
        <row r="410">
          <cell r="C410" t="str">
            <v>胡煜星</v>
          </cell>
          <cell r="D410" t="str">
            <v>车门系统</v>
          </cell>
        </row>
        <row r="410">
          <cell r="I410" t="str">
            <v>原开品</v>
          </cell>
          <cell r="J410">
            <v>8197</v>
          </cell>
        </row>
        <row r="410">
          <cell r="L410">
            <v>45638</v>
          </cell>
          <cell r="M410">
            <v>45648</v>
          </cell>
        </row>
        <row r="411">
          <cell r="A411">
            <v>8984</v>
          </cell>
        </row>
        <row r="411">
          <cell r="C411" t="str">
            <v>俞东旭</v>
          </cell>
          <cell r="D411" t="str">
            <v>车身外扩件</v>
          </cell>
        </row>
        <row r="411">
          <cell r="I411" t="str">
            <v>原开品</v>
          </cell>
          <cell r="J411">
            <v>8198</v>
          </cell>
        </row>
        <row r="411">
          <cell r="L411">
            <v>45638</v>
          </cell>
          <cell r="M411">
            <v>45665</v>
          </cell>
        </row>
        <row r="412">
          <cell r="A412">
            <v>9894</v>
          </cell>
        </row>
        <row r="412">
          <cell r="C412" t="str">
            <v>俞东旭</v>
          </cell>
          <cell r="D412" t="str">
            <v>车身外扩件</v>
          </cell>
        </row>
        <row r="412">
          <cell r="I412" t="str">
            <v>原开品</v>
          </cell>
          <cell r="J412">
            <v>8275</v>
          </cell>
        </row>
        <row r="412">
          <cell r="L412">
            <v>45638</v>
          </cell>
          <cell r="M412">
            <v>45680</v>
          </cell>
        </row>
        <row r="413">
          <cell r="A413">
            <v>9814</v>
          </cell>
        </row>
        <row r="413">
          <cell r="C413" t="str">
            <v>俞东旭</v>
          </cell>
          <cell r="D413" t="str">
            <v>车身外扩件</v>
          </cell>
        </row>
        <row r="413">
          <cell r="I413" t="str">
            <v>原开品</v>
          </cell>
          <cell r="J413">
            <v>8276</v>
          </cell>
        </row>
        <row r="413">
          <cell r="L413">
            <v>45638</v>
          </cell>
          <cell r="M413">
            <v>45645</v>
          </cell>
        </row>
        <row r="414">
          <cell r="A414">
            <v>9455</v>
          </cell>
        </row>
        <row r="414">
          <cell r="C414" t="str">
            <v>俞东旭</v>
          </cell>
          <cell r="D414" t="str">
            <v>车身外扩件</v>
          </cell>
        </row>
        <row r="414">
          <cell r="I414" t="str">
            <v>拓展品</v>
          </cell>
          <cell r="J414">
            <v>8278</v>
          </cell>
        </row>
        <row r="414">
          <cell r="L414">
            <v>45638</v>
          </cell>
          <cell r="M414">
            <v>45640</v>
          </cell>
        </row>
        <row r="415">
          <cell r="A415">
            <v>9581</v>
          </cell>
        </row>
        <row r="415">
          <cell r="C415" t="str">
            <v>转二部</v>
          </cell>
          <cell r="D415" t="str">
            <v>车身外扩件</v>
          </cell>
        </row>
        <row r="415">
          <cell r="I415" t="str">
            <v>拓展品</v>
          </cell>
          <cell r="J415">
            <v>8171</v>
          </cell>
        </row>
        <row r="415">
          <cell r="L415">
            <v>45638</v>
          </cell>
          <cell r="M415">
            <v>45691</v>
          </cell>
        </row>
        <row r="416">
          <cell r="A416">
            <v>9731</v>
          </cell>
        </row>
        <row r="416">
          <cell r="C416" t="str">
            <v>俞东旭</v>
          </cell>
          <cell r="D416" t="str">
            <v>车身外扩件</v>
          </cell>
        </row>
        <row r="416">
          <cell r="I416" t="str">
            <v>拓展品</v>
          </cell>
          <cell r="J416">
            <v>8341</v>
          </cell>
        </row>
        <row r="416">
          <cell r="L416">
            <v>45639</v>
          </cell>
        </row>
        <row r="417">
          <cell r="A417">
            <v>9732</v>
          </cell>
        </row>
        <row r="417">
          <cell r="C417" t="str">
            <v>俞东旭</v>
          </cell>
          <cell r="D417" t="str">
            <v>车身外扩件</v>
          </cell>
        </row>
        <row r="417">
          <cell r="I417" t="str">
            <v>原开品</v>
          </cell>
          <cell r="J417">
            <v>8340</v>
          </cell>
        </row>
        <row r="417">
          <cell r="L417">
            <v>45638</v>
          </cell>
          <cell r="M417">
            <v>45805</v>
          </cell>
        </row>
        <row r="418">
          <cell r="A418">
            <v>7964</v>
          </cell>
        </row>
        <row r="418">
          <cell r="C418" t="str">
            <v>俞东旭</v>
          </cell>
          <cell r="D418" t="str">
            <v>车身外扩件</v>
          </cell>
        </row>
        <row r="418">
          <cell r="I418" t="str">
            <v>拓展品</v>
          </cell>
          <cell r="J418">
            <v>8211</v>
          </cell>
        </row>
        <row r="418">
          <cell r="L418">
            <v>45638</v>
          </cell>
          <cell r="M418">
            <v>45645</v>
          </cell>
        </row>
        <row r="419">
          <cell r="A419">
            <v>8422</v>
          </cell>
        </row>
        <row r="419">
          <cell r="C419" t="str">
            <v>俞东旭</v>
          </cell>
          <cell r="D419" t="str">
            <v>车身外扩件</v>
          </cell>
        </row>
        <row r="419">
          <cell r="I419" t="str">
            <v>原开品</v>
          </cell>
          <cell r="J419">
            <v>8207</v>
          </cell>
        </row>
        <row r="419">
          <cell r="L419">
            <v>45638</v>
          </cell>
          <cell r="M419">
            <v>45640</v>
          </cell>
        </row>
        <row r="420">
          <cell r="A420">
            <v>9683</v>
          </cell>
        </row>
        <row r="420">
          <cell r="C420" t="str">
            <v>俞东旭</v>
          </cell>
          <cell r="D420" t="str">
            <v>车门系统</v>
          </cell>
        </row>
        <row r="420">
          <cell r="I420" t="str">
            <v>原开品</v>
          </cell>
          <cell r="J420">
            <v>8206</v>
          </cell>
        </row>
        <row r="420">
          <cell r="L420">
            <v>45638</v>
          </cell>
          <cell r="M420">
            <v>45657</v>
          </cell>
        </row>
        <row r="421">
          <cell r="A421">
            <v>9375</v>
          </cell>
        </row>
        <row r="421">
          <cell r="C421" t="str">
            <v>胡煜星</v>
          </cell>
          <cell r="D421" t="str">
            <v>车门系统</v>
          </cell>
        </row>
        <row r="421">
          <cell r="I421" t="str">
            <v>原开品</v>
          </cell>
          <cell r="J421">
            <v>8209</v>
          </cell>
        </row>
        <row r="421">
          <cell r="L421">
            <v>45638</v>
          </cell>
          <cell r="M421">
            <v>45642</v>
          </cell>
        </row>
        <row r="422">
          <cell r="A422">
            <v>9685</v>
          </cell>
        </row>
        <row r="422">
          <cell r="C422" t="str">
            <v>俞东旭</v>
          </cell>
          <cell r="D422" t="str">
            <v>车门系统</v>
          </cell>
        </row>
        <row r="422">
          <cell r="I422" t="str">
            <v>原开品</v>
          </cell>
          <cell r="J422">
            <v>8208</v>
          </cell>
        </row>
        <row r="422">
          <cell r="L422">
            <v>45638</v>
          </cell>
          <cell r="M422">
            <v>45644</v>
          </cell>
        </row>
        <row r="423">
          <cell r="A423">
            <v>9686</v>
          </cell>
        </row>
        <row r="423">
          <cell r="C423" t="str">
            <v>俞东旭</v>
          </cell>
          <cell r="D423" t="str">
            <v>车门系统</v>
          </cell>
        </row>
        <row r="423">
          <cell r="I423" t="str">
            <v>原开品</v>
          </cell>
          <cell r="J423">
            <v>8124</v>
          </cell>
        </row>
        <row r="423">
          <cell r="L423">
            <v>45639</v>
          </cell>
          <cell r="M423">
            <v>45643</v>
          </cell>
        </row>
        <row r="424">
          <cell r="A424">
            <v>5078</v>
          </cell>
        </row>
        <row r="424">
          <cell r="C424" t="str">
            <v>王偲涵</v>
          </cell>
          <cell r="D424" t="str">
            <v>饰条</v>
          </cell>
        </row>
        <row r="424">
          <cell r="I424" t="str">
            <v>原开品</v>
          </cell>
          <cell r="J424">
            <v>8196</v>
          </cell>
        </row>
        <row r="424">
          <cell r="L424">
            <v>45639</v>
          </cell>
          <cell r="M424">
            <v>45645</v>
          </cell>
        </row>
        <row r="425">
          <cell r="A425">
            <v>5077</v>
          </cell>
        </row>
        <row r="425">
          <cell r="C425" t="str">
            <v>王偲涵</v>
          </cell>
          <cell r="D425" t="str">
            <v>饰条</v>
          </cell>
        </row>
        <row r="425">
          <cell r="I425" t="str">
            <v>原开品</v>
          </cell>
          <cell r="J425">
            <v>8205</v>
          </cell>
        </row>
        <row r="425">
          <cell r="L425">
            <v>45639</v>
          </cell>
          <cell r="M425">
            <v>45659</v>
          </cell>
        </row>
        <row r="426">
          <cell r="A426">
            <v>9359</v>
          </cell>
        </row>
        <row r="426">
          <cell r="C426" t="str">
            <v>章鹏</v>
          </cell>
          <cell r="D426" t="str">
            <v>挡泥板</v>
          </cell>
        </row>
        <row r="426">
          <cell r="I426" t="str">
            <v>原开品</v>
          </cell>
          <cell r="J426">
            <v>8294</v>
          </cell>
        </row>
        <row r="426">
          <cell r="L426">
            <v>45643</v>
          </cell>
          <cell r="M426">
            <v>45651</v>
          </cell>
        </row>
        <row r="427">
          <cell r="A427">
            <v>5121</v>
          </cell>
        </row>
        <row r="427">
          <cell r="C427" t="str">
            <v>王偲涵</v>
          </cell>
          <cell r="D427" t="str">
            <v>饰条</v>
          </cell>
        </row>
        <row r="427">
          <cell r="I427" t="str">
            <v>拓展品</v>
          </cell>
          <cell r="J427">
            <v>8299</v>
          </cell>
        </row>
        <row r="427">
          <cell r="L427">
            <v>45643</v>
          </cell>
          <cell r="M427">
            <v>45658</v>
          </cell>
        </row>
        <row r="428">
          <cell r="A428">
            <v>5125</v>
          </cell>
        </row>
        <row r="428">
          <cell r="C428" t="str">
            <v>朱培源</v>
          </cell>
          <cell r="D428" t="str">
            <v>软顶</v>
          </cell>
        </row>
        <row r="428">
          <cell r="I428" t="str">
            <v>原开品</v>
          </cell>
          <cell r="J428">
            <v>8126</v>
          </cell>
        </row>
        <row r="428">
          <cell r="L428">
            <v>45643</v>
          </cell>
          <cell r="M428">
            <v>45666</v>
          </cell>
        </row>
        <row r="429">
          <cell r="A429">
            <v>5447</v>
          </cell>
        </row>
        <row r="429">
          <cell r="C429" t="str">
            <v>章鹏</v>
          </cell>
          <cell r="D429" t="str">
            <v>其他</v>
          </cell>
        </row>
        <row r="429">
          <cell r="I429" t="str">
            <v>原开品</v>
          </cell>
          <cell r="J429">
            <v>8393</v>
          </cell>
        </row>
        <row r="429">
          <cell r="L429">
            <v>45643</v>
          </cell>
          <cell r="M429">
            <v>45665</v>
          </cell>
        </row>
        <row r="430">
          <cell r="A430">
            <v>4326</v>
          </cell>
        </row>
        <row r="430">
          <cell r="C430" t="str">
            <v>王偲涵</v>
          </cell>
          <cell r="D430" t="str">
            <v>饰条</v>
          </cell>
        </row>
        <row r="430">
          <cell r="I430" t="str">
            <v>原开品</v>
          </cell>
          <cell r="J430">
            <v>8338</v>
          </cell>
        </row>
        <row r="430">
          <cell r="L430">
            <v>45643</v>
          </cell>
          <cell r="M430">
            <v>45668</v>
          </cell>
        </row>
        <row r="431">
          <cell r="A431">
            <v>5539</v>
          </cell>
        </row>
        <row r="431">
          <cell r="C431" t="str">
            <v>张潇</v>
          </cell>
          <cell r="D431" t="str">
            <v>其他</v>
          </cell>
        </row>
        <row r="431">
          <cell r="I431" t="str">
            <v>原开品</v>
          </cell>
          <cell r="J431">
            <v>8127</v>
          </cell>
        </row>
        <row r="431">
          <cell r="L431">
            <v>45643</v>
          </cell>
          <cell r="M431">
            <v>45671</v>
          </cell>
        </row>
        <row r="432">
          <cell r="A432">
            <v>9306</v>
          </cell>
        </row>
        <row r="432">
          <cell r="C432" t="str">
            <v>章鹏</v>
          </cell>
          <cell r="D432" t="str">
            <v>挡泥板</v>
          </cell>
        </row>
        <row r="432">
          <cell r="I432" t="str">
            <v>拓展品</v>
          </cell>
          <cell r="J432">
            <v>7560</v>
          </cell>
        </row>
        <row r="432">
          <cell r="L432">
            <v>45644</v>
          </cell>
          <cell r="M432">
            <v>45644</v>
          </cell>
        </row>
        <row r="433">
          <cell r="A433">
            <v>4324</v>
          </cell>
        </row>
        <row r="433">
          <cell r="C433" t="str">
            <v>朱培源</v>
          </cell>
          <cell r="D433" t="str">
            <v>软顶</v>
          </cell>
        </row>
        <row r="433">
          <cell r="I433" t="str">
            <v>拓展品</v>
          </cell>
          <cell r="J433">
            <v>7559</v>
          </cell>
        </row>
        <row r="433">
          <cell r="L433">
            <v>45650</v>
          </cell>
          <cell r="M433">
            <v>45654</v>
          </cell>
        </row>
        <row r="434">
          <cell r="A434">
            <v>5571</v>
          </cell>
        </row>
        <row r="434">
          <cell r="C434" t="str">
            <v>章鹏</v>
          </cell>
          <cell r="D434" t="str">
            <v>其他</v>
          </cell>
        </row>
        <row r="434">
          <cell r="I434" t="str">
            <v>原开品</v>
          </cell>
          <cell r="J434">
            <v>8359</v>
          </cell>
        </row>
        <row r="434">
          <cell r="L434">
            <v>45650</v>
          </cell>
          <cell r="M434">
            <v>45651</v>
          </cell>
        </row>
        <row r="435">
          <cell r="A435">
            <v>1369</v>
          </cell>
        </row>
        <row r="435">
          <cell r="C435" t="str">
            <v>朱培源</v>
          </cell>
          <cell r="D435" t="str">
            <v>饰条</v>
          </cell>
        </row>
        <row r="435">
          <cell r="I435" t="str">
            <v>拓展品</v>
          </cell>
          <cell r="J435">
            <v>8365</v>
          </cell>
        </row>
        <row r="435">
          <cell r="L435">
            <v>45650</v>
          </cell>
          <cell r="M435">
            <v>45652</v>
          </cell>
        </row>
        <row r="436">
          <cell r="A436">
            <v>3102</v>
          </cell>
        </row>
        <row r="436">
          <cell r="C436" t="str">
            <v>朱培源</v>
          </cell>
          <cell r="D436" t="str">
            <v>机盖及附件</v>
          </cell>
        </row>
        <row r="436">
          <cell r="I436" t="str">
            <v>原开品</v>
          </cell>
          <cell r="J436">
            <v>8361</v>
          </cell>
        </row>
        <row r="436">
          <cell r="L436">
            <v>45650</v>
          </cell>
          <cell r="M436">
            <v>45654</v>
          </cell>
        </row>
        <row r="437">
          <cell r="A437">
            <v>5012</v>
          </cell>
        </row>
        <row r="437">
          <cell r="C437" t="str">
            <v>朱培源</v>
          </cell>
          <cell r="D437" t="str">
            <v>软顶</v>
          </cell>
        </row>
        <row r="437">
          <cell r="I437" t="str">
            <v>原开品</v>
          </cell>
          <cell r="J437">
            <v>8369</v>
          </cell>
        </row>
        <row r="437">
          <cell r="L437">
            <v>45649</v>
          </cell>
          <cell r="M437">
            <v>45655</v>
          </cell>
        </row>
        <row r="438">
          <cell r="A438">
            <v>2476</v>
          </cell>
        </row>
        <row r="438">
          <cell r="C438" t="str">
            <v>转二部</v>
          </cell>
          <cell r="D438" t="str">
            <v>软顶</v>
          </cell>
        </row>
        <row r="438">
          <cell r="I438" t="str">
            <v>原开品</v>
          </cell>
          <cell r="J438">
            <v>8350</v>
          </cell>
        </row>
        <row r="438">
          <cell r="L438">
            <v>45650</v>
          </cell>
          <cell r="M438">
            <v>45652</v>
          </cell>
        </row>
        <row r="439">
          <cell r="A439">
            <v>5728</v>
          </cell>
        </row>
        <row r="439">
          <cell r="C439" t="str">
            <v>张潇</v>
          </cell>
          <cell r="D439" t="str">
            <v>饰条</v>
          </cell>
        </row>
        <row r="439">
          <cell r="I439" t="str">
            <v>拓展品</v>
          </cell>
          <cell r="J439">
            <v>8277</v>
          </cell>
        </row>
        <row r="439">
          <cell r="L439">
            <v>45650</v>
          </cell>
          <cell r="M439">
            <v>45656</v>
          </cell>
        </row>
        <row r="440">
          <cell r="A440">
            <v>10127</v>
          </cell>
        </row>
        <row r="440">
          <cell r="C440" t="str">
            <v>朱培源</v>
          </cell>
          <cell r="D440" t="str">
            <v>挡泥板</v>
          </cell>
        </row>
        <row r="440">
          <cell r="I440" t="str">
            <v>原开品</v>
          </cell>
          <cell r="J440">
            <v>8429</v>
          </cell>
        </row>
        <row r="440">
          <cell r="L440">
            <v>45650</v>
          </cell>
          <cell r="M440">
            <v>45655</v>
          </cell>
        </row>
        <row r="441">
          <cell r="A441">
            <v>6162</v>
          </cell>
        </row>
        <row r="441">
          <cell r="C441" t="str">
            <v>章鹏</v>
          </cell>
          <cell r="D441" t="str">
            <v>其他</v>
          </cell>
        </row>
        <row r="441">
          <cell r="I441" t="str">
            <v>拓展品</v>
          </cell>
          <cell r="J441">
            <v>8279</v>
          </cell>
        </row>
        <row r="441">
          <cell r="L441">
            <v>45650</v>
          </cell>
          <cell r="M441">
            <v>45681</v>
          </cell>
        </row>
        <row r="442">
          <cell r="A442">
            <v>489</v>
          </cell>
        </row>
        <row r="442">
          <cell r="C442" t="str">
            <v>张潇</v>
          </cell>
          <cell r="D442" t="str">
            <v>其他</v>
          </cell>
        </row>
        <row r="442">
          <cell r="I442" t="str">
            <v>拓展品</v>
          </cell>
          <cell r="J442">
            <v>8280</v>
          </cell>
        </row>
        <row r="442">
          <cell r="L442">
            <v>45650</v>
          </cell>
          <cell r="M442">
            <v>45676</v>
          </cell>
        </row>
        <row r="443">
          <cell r="A443">
            <v>1368</v>
          </cell>
        </row>
        <row r="443">
          <cell r="C443" t="str">
            <v>朱培源</v>
          </cell>
          <cell r="D443" t="str">
            <v>饰条</v>
          </cell>
        </row>
        <row r="443">
          <cell r="I443" t="str">
            <v>原开品</v>
          </cell>
          <cell r="J443">
            <v>8454</v>
          </cell>
        </row>
        <row r="443">
          <cell r="L443">
            <v>45649</v>
          </cell>
          <cell r="M443">
            <v>45656</v>
          </cell>
        </row>
        <row r="444">
          <cell r="A444">
            <v>6304</v>
          </cell>
        </row>
        <row r="444">
          <cell r="C444" t="str">
            <v>转二部</v>
          </cell>
          <cell r="D444" t="str">
            <v>饰条</v>
          </cell>
        </row>
        <row r="444">
          <cell r="I444" t="str">
            <v>原开品</v>
          </cell>
          <cell r="J444">
            <v>8455</v>
          </cell>
        </row>
        <row r="444">
          <cell r="L444">
            <v>45649</v>
          </cell>
          <cell r="M444">
            <v>45661</v>
          </cell>
        </row>
        <row r="445">
          <cell r="A445">
            <v>5787</v>
          </cell>
        </row>
        <row r="445">
          <cell r="C445" t="str">
            <v>章鹏</v>
          </cell>
          <cell r="D445" t="str">
            <v>挡泥板</v>
          </cell>
        </row>
        <row r="445">
          <cell r="I445" t="str">
            <v>拓展品</v>
          </cell>
          <cell r="J445">
            <v>8254</v>
          </cell>
        </row>
        <row r="445">
          <cell r="L445">
            <v>45649</v>
          </cell>
          <cell r="M445">
            <v>45653</v>
          </cell>
        </row>
        <row r="446">
          <cell r="A446">
            <v>5788</v>
          </cell>
        </row>
        <row r="446">
          <cell r="C446" t="str">
            <v>章鹏</v>
          </cell>
          <cell r="D446" t="str">
            <v>挡泥板</v>
          </cell>
        </row>
        <row r="446">
          <cell r="I446" t="str">
            <v>原开品</v>
          </cell>
          <cell r="J446">
            <v>8358</v>
          </cell>
        </row>
        <row r="446">
          <cell r="L446">
            <v>45649</v>
          </cell>
          <cell r="M446">
            <v>45652</v>
          </cell>
        </row>
        <row r="447">
          <cell r="A447">
            <v>6454</v>
          </cell>
        </row>
        <row r="447">
          <cell r="C447" t="str">
            <v>朱培源</v>
          </cell>
          <cell r="D447" t="str">
            <v>饰条</v>
          </cell>
        </row>
        <row r="447">
          <cell r="I447" t="str">
            <v>原开品</v>
          </cell>
          <cell r="J447">
            <v>8388</v>
          </cell>
        </row>
        <row r="447">
          <cell r="L447">
            <v>45649</v>
          </cell>
          <cell r="M447">
            <v>45650</v>
          </cell>
        </row>
        <row r="448">
          <cell r="A448">
            <v>8234</v>
          </cell>
        </row>
        <row r="448">
          <cell r="C448" t="str">
            <v>俞东旭</v>
          </cell>
          <cell r="D448" t="str">
            <v>挡泥板</v>
          </cell>
        </row>
        <row r="448">
          <cell r="I448" t="str">
            <v>原开品</v>
          </cell>
          <cell r="J448">
            <v>8125</v>
          </cell>
        </row>
        <row r="448">
          <cell r="L448">
            <v>45649</v>
          </cell>
          <cell r="M448">
            <v>45664</v>
          </cell>
        </row>
        <row r="449">
          <cell r="A449">
            <v>626</v>
          </cell>
        </row>
        <row r="449">
          <cell r="C449" t="str">
            <v>章鹏</v>
          </cell>
          <cell r="D449" t="str">
            <v>其他</v>
          </cell>
        </row>
        <row r="449">
          <cell r="I449" t="str">
            <v>原开品</v>
          </cell>
          <cell r="J449">
            <v>8392</v>
          </cell>
        </row>
        <row r="449">
          <cell r="L449">
            <v>45649</v>
          </cell>
          <cell r="M449">
            <v>45653</v>
          </cell>
        </row>
        <row r="450">
          <cell r="A450">
            <v>10298</v>
          </cell>
        </row>
        <row r="450">
          <cell r="C450" t="str">
            <v>章鹏</v>
          </cell>
          <cell r="D450" t="str">
            <v>挡泥板</v>
          </cell>
        </row>
        <row r="450">
          <cell r="I450" t="str">
            <v>拓展品</v>
          </cell>
          <cell r="J450">
            <v>8088</v>
          </cell>
        </row>
        <row r="450">
          <cell r="L450">
            <v>45650</v>
          </cell>
          <cell r="M450">
            <v>45651</v>
          </cell>
        </row>
        <row r="451">
          <cell r="A451">
            <v>8844</v>
          </cell>
        </row>
        <row r="451">
          <cell r="C451" t="str">
            <v>章鹏</v>
          </cell>
          <cell r="D451" t="str">
            <v>挡泥板</v>
          </cell>
        </row>
        <row r="451">
          <cell r="I451" t="str">
            <v>拓展品</v>
          </cell>
          <cell r="J451">
            <v>8366</v>
          </cell>
        </row>
        <row r="451">
          <cell r="L451">
            <v>45650</v>
          </cell>
          <cell r="M451">
            <v>45659</v>
          </cell>
        </row>
        <row r="452">
          <cell r="A452">
            <v>4665</v>
          </cell>
        </row>
        <row r="452">
          <cell r="C452" t="str">
            <v>王偲涵</v>
          </cell>
          <cell r="D452" t="str">
            <v>饰条</v>
          </cell>
        </row>
        <row r="452">
          <cell r="I452" t="str">
            <v>拓展品</v>
          </cell>
          <cell r="J452">
            <v>8417</v>
          </cell>
        </row>
        <row r="452">
          <cell r="L452">
            <v>45652</v>
          </cell>
          <cell r="M452">
            <v>45683</v>
          </cell>
        </row>
        <row r="453">
          <cell r="A453">
            <v>7173</v>
          </cell>
        </row>
        <row r="453">
          <cell r="C453" t="str">
            <v>章鹏</v>
          </cell>
          <cell r="D453" t="str">
            <v>其他</v>
          </cell>
        </row>
        <row r="453">
          <cell r="I453" t="str">
            <v>拓展品</v>
          </cell>
          <cell r="J453">
            <v>8479</v>
          </cell>
        </row>
        <row r="453">
          <cell r="L453">
            <v>45652</v>
          </cell>
          <cell r="M453">
            <v>45658</v>
          </cell>
        </row>
        <row r="454">
          <cell r="A454">
            <v>589</v>
          </cell>
        </row>
        <row r="454">
          <cell r="C454" t="str">
            <v>朱培源</v>
          </cell>
          <cell r="D454" t="str">
            <v>挡泥板</v>
          </cell>
        </row>
        <row r="454">
          <cell r="I454" t="str">
            <v>原开品</v>
          </cell>
          <cell r="J454">
            <v>8354</v>
          </cell>
        </row>
        <row r="454">
          <cell r="L454">
            <v>45652</v>
          </cell>
          <cell r="M454">
            <v>45655</v>
          </cell>
        </row>
        <row r="455">
          <cell r="A455">
            <v>10546</v>
          </cell>
        </row>
        <row r="455">
          <cell r="C455" t="str">
            <v>章鹏</v>
          </cell>
          <cell r="D455" t="str">
            <v>挡泥板</v>
          </cell>
        </row>
        <row r="455">
          <cell r="I455" t="str">
            <v>拓展品</v>
          </cell>
          <cell r="J455">
            <v>8355</v>
          </cell>
        </row>
        <row r="455">
          <cell r="L455">
            <v>45652</v>
          </cell>
          <cell r="M455">
            <v>45662</v>
          </cell>
        </row>
        <row r="456">
          <cell r="A456">
            <v>7643</v>
          </cell>
        </row>
        <row r="456">
          <cell r="C456" t="str">
            <v>王偲涵</v>
          </cell>
          <cell r="D456" t="str">
            <v>饰条</v>
          </cell>
        </row>
        <row r="456">
          <cell r="I456" t="str">
            <v>原开品</v>
          </cell>
          <cell r="J456">
            <v>8360</v>
          </cell>
        </row>
        <row r="456">
          <cell r="L456">
            <v>45652</v>
          </cell>
          <cell r="M456">
            <v>45657</v>
          </cell>
        </row>
        <row r="457">
          <cell r="A457">
            <v>7688</v>
          </cell>
        </row>
        <row r="457">
          <cell r="C457" t="str">
            <v>王偲涵</v>
          </cell>
          <cell r="D457" t="str">
            <v>饰条</v>
          </cell>
        </row>
        <row r="457">
          <cell r="I457" t="str">
            <v>拓展品</v>
          </cell>
          <cell r="J457">
            <v>8427</v>
          </cell>
        </row>
        <row r="457">
          <cell r="L457">
            <v>45652</v>
          </cell>
          <cell r="M457">
            <v>45657</v>
          </cell>
        </row>
        <row r="458">
          <cell r="A458">
            <v>7689</v>
          </cell>
        </row>
        <row r="458">
          <cell r="C458" t="str">
            <v>王偲涵</v>
          </cell>
          <cell r="D458" t="str">
            <v>饰条</v>
          </cell>
        </row>
        <row r="458">
          <cell r="I458" t="str">
            <v>拓展品</v>
          </cell>
          <cell r="J458">
            <v>8428</v>
          </cell>
        </row>
        <row r="458">
          <cell r="L458">
            <v>45652</v>
          </cell>
          <cell r="M458">
            <v>45657</v>
          </cell>
        </row>
        <row r="459">
          <cell r="A459">
            <v>7893</v>
          </cell>
        </row>
        <row r="459">
          <cell r="C459" t="str">
            <v>章鹏</v>
          </cell>
          <cell r="D459" t="str">
            <v>其他</v>
          </cell>
        </row>
        <row r="459">
          <cell r="I459" t="str">
            <v>拓展品</v>
          </cell>
          <cell r="J459">
            <v>8373</v>
          </cell>
        </row>
        <row r="459">
          <cell r="L459">
            <v>45652</v>
          </cell>
          <cell r="M459">
            <v>45718</v>
          </cell>
        </row>
        <row r="460">
          <cell r="A460">
            <v>9362</v>
          </cell>
        </row>
        <row r="460">
          <cell r="C460" t="str">
            <v>章鹏</v>
          </cell>
          <cell r="D460" t="str">
            <v>挡泥板</v>
          </cell>
        </row>
        <row r="460">
          <cell r="I460" t="str">
            <v>原开品</v>
          </cell>
          <cell r="J460">
            <v>8370</v>
          </cell>
        </row>
        <row r="460">
          <cell r="L460">
            <v>45652</v>
          </cell>
          <cell r="M460">
            <v>45662</v>
          </cell>
        </row>
        <row r="461">
          <cell r="A461">
            <v>9733</v>
          </cell>
        </row>
        <row r="461">
          <cell r="C461" t="str">
            <v>章鹏</v>
          </cell>
          <cell r="D461" t="str">
            <v>挡泥板</v>
          </cell>
        </row>
        <row r="461">
          <cell r="I461" t="str">
            <v>拓展品</v>
          </cell>
          <cell r="J461">
            <v>8483</v>
          </cell>
        </row>
        <row r="461">
          <cell r="L461">
            <v>45652</v>
          </cell>
          <cell r="M461">
            <v>45660</v>
          </cell>
        </row>
        <row r="462">
          <cell r="A462">
            <v>10920</v>
          </cell>
        </row>
        <row r="462">
          <cell r="C462" t="str">
            <v>朱培源</v>
          </cell>
          <cell r="D462" t="str">
            <v>挡泥板</v>
          </cell>
        </row>
        <row r="462">
          <cell r="I462" t="str">
            <v>拓展品</v>
          </cell>
          <cell r="J462">
            <v>8374</v>
          </cell>
        </row>
        <row r="462">
          <cell r="L462">
            <v>45652</v>
          </cell>
          <cell r="M462">
            <v>45668</v>
          </cell>
        </row>
        <row r="463">
          <cell r="A463">
            <v>490</v>
          </cell>
        </row>
        <row r="463">
          <cell r="C463" t="str">
            <v>张潇</v>
          </cell>
          <cell r="D463" t="str">
            <v>其他</v>
          </cell>
        </row>
        <row r="463">
          <cell r="I463" t="str">
            <v>原开品</v>
          </cell>
          <cell r="J463">
            <v>8372</v>
          </cell>
        </row>
        <row r="463">
          <cell r="L463">
            <v>45652</v>
          </cell>
          <cell r="M463">
            <v>45653</v>
          </cell>
        </row>
        <row r="464">
          <cell r="A464">
            <v>8212</v>
          </cell>
        </row>
        <row r="464">
          <cell r="C464" t="str">
            <v>章鹏</v>
          </cell>
          <cell r="D464" t="str">
            <v>挡泥板</v>
          </cell>
        </row>
        <row r="464">
          <cell r="I464" t="str">
            <v>原开品</v>
          </cell>
          <cell r="J464">
            <v>8371</v>
          </cell>
        </row>
        <row r="464">
          <cell r="L464">
            <v>45652</v>
          </cell>
          <cell r="M464">
            <v>45652</v>
          </cell>
        </row>
        <row r="465">
          <cell r="A465">
            <v>8254</v>
          </cell>
        </row>
        <row r="465">
          <cell r="C465" t="str">
            <v>张潇</v>
          </cell>
          <cell r="D465" t="str">
            <v>牌照板支架</v>
          </cell>
        </row>
        <row r="465">
          <cell r="I465" t="str">
            <v>拓展品</v>
          </cell>
          <cell r="J465">
            <v>8260</v>
          </cell>
        </row>
        <row r="465">
          <cell r="L465">
            <v>45653</v>
          </cell>
          <cell r="M465">
            <v>45775</v>
          </cell>
        </row>
        <row r="466">
          <cell r="A466">
            <v>8374</v>
          </cell>
        </row>
        <row r="466">
          <cell r="C466" t="str">
            <v>章鹏</v>
          </cell>
          <cell r="D466" t="str">
            <v>挡泥板</v>
          </cell>
        </row>
        <row r="466">
          <cell r="I466" t="str">
            <v>拓展品</v>
          </cell>
          <cell r="J466">
            <v>8352</v>
          </cell>
        </row>
        <row r="466">
          <cell r="L466">
            <v>45653</v>
          </cell>
          <cell r="M466">
            <v>45733</v>
          </cell>
        </row>
        <row r="467">
          <cell r="A467">
            <v>8423</v>
          </cell>
        </row>
        <row r="467">
          <cell r="C467" t="str">
            <v>章鹏</v>
          </cell>
          <cell r="D467" t="str">
            <v>挡泥板</v>
          </cell>
        </row>
        <row r="467">
          <cell r="I467" t="str">
            <v>原开品</v>
          </cell>
          <cell r="J467">
            <v>8456</v>
          </cell>
        </row>
        <row r="467">
          <cell r="L467">
            <v>45653</v>
          </cell>
          <cell r="M467">
            <v>45656</v>
          </cell>
        </row>
        <row r="468">
          <cell r="A468">
            <v>10059</v>
          </cell>
        </row>
        <row r="468">
          <cell r="C468" t="str">
            <v>朱培源</v>
          </cell>
          <cell r="D468" t="str">
            <v>机盖及附件</v>
          </cell>
        </row>
        <row r="468">
          <cell r="I468" t="e">
            <v>#N/A</v>
          </cell>
          <cell r="J468">
            <v>8462</v>
          </cell>
        </row>
        <row r="468">
          <cell r="L468" t="e">
            <v>#N/A</v>
          </cell>
          <cell r="M468">
            <v>45665</v>
          </cell>
        </row>
        <row r="469">
          <cell r="A469">
            <v>8602</v>
          </cell>
        </row>
        <row r="469">
          <cell r="C469" t="str">
            <v>张潇</v>
          </cell>
          <cell r="D469" t="str">
            <v>牌照板支架</v>
          </cell>
        </row>
        <row r="469">
          <cell r="I469" t="e">
            <v>#N/A</v>
          </cell>
          <cell r="J469">
            <v>8463</v>
          </cell>
        </row>
        <row r="469">
          <cell r="L469" t="e">
            <v>#N/A</v>
          </cell>
          <cell r="M469">
            <v>45665</v>
          </cell>
        </row>
        <row r="470">
          <cell r="A470">
            <v>8533</v>
          </cell>
        </row>
        <row r="470">
          <cell r="C470" t="str">
            <v>张潇</v>
          </cell>
          <cell r="D470" t="str">
            <v>牌照板支架</v>
          </cell>
        </row>
        <row r="470">
          <cell r="I470" t="e">
            <v>#N/A</v>
          </cell>
          <cell r="J470">
            <v>8464</v>
          </cell>
        </row>
        <row r="470">
          <cell r="L470" t="e">
            <v>#N/A</v>
          </cell>
          <cell r="M470">
            <v>45665</v>
          </cell>
        </row>
        <row r="471">
          <cell r="A471">
            <v>1146</v>
          </cell>
        </row>
        <row r="471">
          <cell r="C471" t="str">
            <v>朱培源</v>
          </cell>
          <cell r="D471" t="str">
            <v>饰条</v>
          </cell>
        </row>
        <row r="471">
          <cell r="I471" t="e">
            <v>#N/A</v>
          </cell>
          <cell r="J471">
            <v>8525</v>
          </cell>
        </row>
        <row r="471">
          <cell r="L471" t="e">
            <v>#N/A</v>
          </cell>
          <cell r="M471">
            <v>45676</v>
          </cell>
        </row>
        <row r="472">
          <cell r="A472">
            <v>8363</v>
          </cell>
        </row>
        <row r="472">
          <cell r="C472" t="str">
            <v>章鹏</v>
          </cell>
          <cell r="D472" t="str">
            <v>挡泥板</v>
          </cell>
        </row>
        <row r="472">
          <cell r="I472" t="e">
            <v>#N/A</v>
          </cell>
          <cell r="J472">
            <v>8526</v>
          </cell>
        </row>
        <row r="472">
          <cell r="L472" t="e">
            <v>#N/A</v>
          </cell>
          <cell r="M472">
            <v>45666</v>
          </cell>
        </row>
        <row r="473">
          <cell r="A473">
            <v>8426</v>
          </cell>
        </row>
        <row r="473">
          <cell r="C473" t="str">
            <v>章鹏</v>
          </cell>
          <cell r="D473" t="str">
            <v>挡泥板</v>
          </cell>
        </row>
        <row r="473">
          <cell r="I473" t="e">
            <v>#N/A</v>
          </cell>
          <cell r="J473">
            <v>8527</v>
          </cell>
        </row>
        <row r="473">
          <cell r="L473" t="e">
            <v>#N/A</v>
          </cell>
          <cell r="M473">
            <v>45672</v>
          </cell>
        </row>
        <row r="474">
          <cell r="A474">
            <v>8677</v>
          </cell>
        </row>
        <row r="474">
          <cell r="C474" t="str">
            <v>张潇</v>
          </cell>
          <cell r="D474" t="str">
            <v>牌照板支架</v>
          </cell>
        </row>
        <row r="474">
          <cell r="I474" t="e">
            <v>#N/A</v>
          </cell>
          <cell r="J474">
            <v>8420</v>
          </cell>
        </row>
        <row r="474">
          <cell r="L474" t="e">
            <v>#N/A</v>
          </cell>
          <cell r="M474">
            <v>45666</v>
          </cell>
        </row>
        <row r="475">
          <cell r="A475">
            <v>8752</v>
          </cell>
        </row>
        <row r="475">
          <cell r="C475" t="str">
            <v>章鹏</v>
          </cell>
          <cell r="D475" t="str">
            <v>挡泥板</v>
          </cell>
        </row>
        <row r="475">
          <cell r="I475" t="e">
            <v>#N/A</v>
          </cell>
          <cell r="J475">
            <v>8423</v>
          </cell>
        </row>
        <row r="475">
          <cell r="L475" t="e">
            <v>#N/A</v>
          </cell>
          <cell r="M475">
            <v>45679</v>
          </cell>
        </row>
        <row r="476">
          <cell r="A476">
            <v>3452</v>
          </cell>
        </row>
        <row r="476">
          <cell r="C476" t="str">
            <v>张潇</v>
          </cell>
          <cell r="D476" t="str">
            <v>饰条</v>
          </cell>
        </row>
        <row r="476">
          <cell r="I476" t="e">
            <v>#N/A</v>
          </cell>
          <cell r="J476">
            <v>8424</v>
          </cell>
        </row>
        <row r="476">
          <cell r="L476" t="e">
            <v>#N/A</v>
          </cell>
          <cell r="M476">
            <v>45668</v>
          </cell>
        </row>
        <row r="477">
          <cell r="A477">
            <v>3231</v>
          </cell>
        </row>
        <row r="477">
          <cell r="C477" t="str">
            <v>朱培源</v>
          </cell>
          <cell r="D477" t="str">
            <v>软顶</v>
          </cell>
        </row>
        <row r="477">
          <cell r="I477" t="e">
            <v>#N/A</v>
          </cell>
          <cell r="J477">
            <v>8425</v>
          </cell>
        </row>
        <row r="477">
          <cell r="L477" t="e">
            <v>#N/A</v>
          </cell>
          <cell r="M477">
            <v>45674</v>
          </cell>
        </row>
        <row r="478">
          <cell r="A478">
            <v>8083</v>
          </cell>
        </row>
        <row r="478">
          <cell r="C478" t="str">
            <v>章鹏</v>
          </cell>
          <cell r="D478" t="str">
            <v>挡泥板</v>
          </cell>
        </row>
        <row r="478">
          <cell r="I478" t="e">
            <v>#N/A</v>
          </cell>
          <cell r="J478">
            <v>8052</v>
          </cell>
        </row>
        <row r="478">
          <cell r="L478" t="e">
            <v>#N/A</v>
          </cell>
          <cell r="M478">
            <v>45670</v>
          </cell>
        </row>
        <row r="479">
          <cell r="A479">
            <v>8542</v>
          </cell>
        </row>
        <row r="479">
          <cell r="C479" t="str">
            <v>章鹏</v>
          </cell>
          <cell r="D479" t="str">
            <v>挡泥板</v>
          </cell>
        </row>
        <row r="479">
          <cell r="I479" t="e">
            <v>#N/A</v>
          </cell>
          <cell r="J479">
            <v>8484</v>
          </cell>
        </row>
        <row r="479">
          <cell r="L479" t="e">
            <v>#N/A</v>
          </cell>
          <cell r="M479">
            <v>45673</v>
          </cell>
        </row>
        <row r="480">
          <cell r="A480">
            <v>4435</v>
          </cell>
        </row>
        <row r="480">
          <cell r="C480" t="str">
            <v>王偲涵</v>
          </cell>
          <cell r="D480" t="str">
            <v>饰条</v>
          </cell>
        </row>
        <row r="480">
          <cell r="I480" t="e">
            <v>#N/A</v>
          </cell>
          <cell r="J480">
            <v>8485</v>
          </cell>
        </row>
        <row r="480">
          <cell r="L480" t="e">
            <v>#N/A</v>
          </cell>
          <cell r="M480">
            <v>45671</v>
          </cell>
        </row>
        <row r="481">
          <cell r="A481">
            <v>421</v>
          </cell>
        </row>
        <row r="481">
          <cell r="C481" t="str">
            <v>朱培源</v>
          </cell>
          <cell r="D481" t="str">
            <v>挡泥板</v>
          </cell>
        </row>
        <row r="481">
          <cell r="I481" t="e">
            <v>#N/A</v>
          </cell>
          <cell r="J481">
            <v>8357</v>
          </cell>
        </row>
        <row r="481">
          <cell r="L481" t="e">
            <v>#N/A</v>
          </cell>
          <cell r="M481">
            <v>45664</v>
          </cell>
        </row>
        <row r="482">
          <cell r="A482">
            <v>10060</v>
          </cell>
        </row>
        <row r="482">
          <cell r="C482" t="str">
            <v>朱培源</v>
          </cell>
          <cell r="D482" t="str">
            <v>机盖及附件</v>
          </cell>
        </row>
        <row r="482">
          <cell r="I482" t="e">
            <v>#N/A</v>
          </cell>
          <cell r="J482">
            <v>8353</v>
          </cell>
        </row>
        <row r="482">
          <cell r="L482" t="e">
            <v>#N/A</v>
          </cell>
          <cell r="M482">
            <v>45694</v>
          </cell>
        </row>
        <row r="483">
          <cell r="A483">
            <v>8603</v>
          </cell>
        </row>
        <row r="483">
          <cell r="C483" t="str">
            <v>章鹏</v>
          </cell>
          <cell r="D483" t="str">
            <v>挡泥板</v>
          </cell>
        </row>
        <row r="483">
          <cell r="I483" t="e">
            <v>#N/A</v>
          </cell>
          <cell r="J483">
            <v>8356</v>
          </cell>
        </row>
        <row r="483">
          <cell r="L483" t="e">
            <v>#N/A</v>
          </cell>
          <cell r="M483">
            <v>45689</v>
          </cell>
        </row>
        <row r="484">
          <cell r="A484">
            <v>8611</v>
          </cell>
        </row>
        <row r="484">
          <cell r="C484" t="str">
            <v>章鹏</v>
          </cell>
          <cell r="D484" t="str">
            <v>挡泥板</v>
          </cell>
        </row>
        <row r="484">
          <cell r="I484" t="e">
            <v>#N/A</v>
          </cell>
          <cell r="J484">
            <v>8602</v>
          </cell>
        </row>
        <row r="484">
          <cell r="L484" t="e">
            <v>#N/A</v>
          </cell>
          <cell r="M484">
            <v>45664</v>
          </cell>
        </row>
        <row r="485">
          <cell r="A485">
            <v>8612</v>
          </cell>
        </row>
        <row r="485">
          <cell r="C485" t="str">
            <v>章鹏</v>
          </cell>
          <cell r="D485" t="str">
            <v>挡泥板</v>
          </cell>
        </row>
        <row r="485">
          <cell r="I485" t="e">
            <v>#N/A</v>
          </cell>
          <cell r="J485">
            <v>8533</v>
          </cell>
        </row>
        <row r="485">
          <cell r="L485" t="e">
            <v>#N/A</v>
          </cell>
          <cell r="M485">
            <v>45673</v>
          </cell>
        </row>
        <row r="486">
          <cell r="A486">
            <v>9284</v>
          </cell>
        </row>
        <row r="486">
          <cell r="C486" t="str">
            <v>章鹏</v>
          </cell>
          <cell r="D486" t="str">
            <v>挡泥板</v>
          </cell>
        </row>
        <row r="486">
          <cell r="I486" t="e">
            <v>#N/A</v>
          </cell>
          <cell r="J486">
            <v>8516</v>
          </cell>
        </row>
        <row r="486">
          <cell r="L486" t="e">
            <v>#N/A</v>
          </cell>
          <cell r="M486">
            <v>45668</v>
          </cell>
        </row>
        <row r="487">
          <cell r="A487">
            <v>8678</v>
          </cell>
        </row>
        <row r="487">
          <cell r="C487" t="str">
            <v>章鹏</v>
          </cell>
          <cell r="D487" t="str">
            <v>挡泥板</v>
          </cell>
        </row>
        <row r="487">
          <cell r="I487" t="e">
            <v>#N/A</v>
          </cell>
          <cell r="J487">
            <v>8517</v>
          </cell>
        </row>
        <row r="487">
          <cell r="L487" t="e">
            <v>#N/A</v>
          </cell>
          <cell r="M487">
            <v>45668</v>
          </cell>
        </row>
        <row r="488">
          <cell r="A488">
            <v>8679</v>
          </cell>
        </row>
        <row r="488">
          <cell r="C488" t="str">
            <v>章鹏</v>
          </cell>
          <cell r="D488" t="str">
            <v>挡泥板</v>
          </cell>
        </row>
        <row r="488">
          <cell r="I488" t="e">
            <v>#N/A</v>
          </cell>
          <cell r="J488">
            <v>8461</v>
          </cell>
        </row>
        <row r="488">
          <cell r="L488" t="e">
            <v>#N/A</v>
          </cell>
          <cell r="M488">
            <v>45665</v>
          </cell>
        </row>
        <row r="489">
          <cell r="A489">
            <v>8680</v>
          </cell>
        </row>
        <row r="489">
          <cell r="C489" t="str">
            <v>章鹏</v>
          </cell>
          <cell r="D489" t="str">
            <v>挡泥板</v>
          </cell>
        </row>
        <row r="489">
          <cell r="I489" t="e">
            <v>#N/A</v>
          </cell>
          <cell r="J489">
            <v>8170</v>
          </cell>
        </row>
        <row r="489">
          <cell r="L489" t="e">
            <v>#N/A</v>
          </cell>
          <cell r="M489">
            <v>45675</v>
          </cell>
        </row>
        <row r="490">
          <cell r="A490">
            <v>8681</v>
          </cell>
        </row>
        <row r="490">
          <cell r="C490" t="str">
            <v>章鹏</v>
          </cell>
          <cell r="D490" t="str">
            <v>挡泥板</v>
          </cell>
        </row>
        <row r="490">
          <cell r="I490" t="e">
            <v>#N/A</v>
          </cell>
          <cell r="J490">
            <v>8426</v>
          </cell>
        </row>
        <row r="490">
          <cell r="L490" t="e">
            <v>#N/A</v>
          </cell>
          <cell r="M490">
            <v>45671</v>
          </cell>
        </row>
        <row r="491">
          <cell r="A491">
            <v>8686</v>
          </cell>
        </row>
        <row r="491">
          <cell r="C491" t="str">
            <v>章鹏</v>
          </cell>
          <cell r="D491" t="str">
            <v>挡泥板</v>
          </cell>
        </row>
        <row r="491">
          <cell r="I491" t="e">
            <v>#N/A</v>
          </cell>
          <cell r="J491">
            <v>8418</v>
          </cell>
        </row>
        <row r="491">
          <cell r="L491" t="e">
            <v>#N/A</v>
          </cell>
          <cell r="M491">
            <v>45673</v>
          </cell>
        </row>
        <row r="492">
          <cell r="A492">
            <v>8687</v>
          </cell>
        </row>
        <row r="492">
          <cell r="C492" t="str">
            <v>章鹏</v>
          </cell>
          <cell r="D492" t="str">
            <v>挡泥板</v>
          </cell>
        </row>
        <row r="492">
          <cell r="I492" t="e">
            <v>#N/A</v>
          </cell>
          <cell r="J492">
            <v>8437</v>
          </cell>
        </row>
        <row r="492">
          <cell r="L492" t="e">
            <v>#N/A</v>
          </cell>
          <cell r="M492">
            <v>45672</v>
          </cell>
        </row>
        <row r="493">
          <cell r="A493">
            <v>8605</v>
          </cell>
        </row>
        <row r="493">
          <cell r="C493" t="str">
            <v>章鹏</v>
          </cell>
          <cell r="D493" t="str">
            <v>挡泥板</v>
          </cell>
        </row>
        <row r="493">
          <cell r="I493" t="e">
            <v>#N/A</v>
          </cell>
          <cell r="J493">
            <v>8552</v>
          </cell>
        </row>
        <row r="493">
          <cell r="L493" t="e">
            <v>#N/A</v>
          </cell>
          <cell r="M493">
            <v>45671</v>
          </cell>
        </row>
        <row r="494">
          <cell r="A494">
            <v>8609</v>
          </cell>
        </row>
        <row r="494">
          <cell r="C494" t="str">
            <v>章鹏</v>
          </cell>
          <cell r="D494" t="str">
            <v>挡泥板</v>
          </cell>
        </row>
        <row r="494">
          <cell r="I494" t="e">
            <v>#N/A</v>
          </cell>
          <cell r="J494">
            <v>8553</v>
          </cell>
        </row>
        <row r="494">
          <cell r="L494" t="e">
            <v>#N/A</v>
          </cell>
          <cell r="M494">
            <v>45672</v>
          </cell>
        </row>
        <row r="495">
          <cell r="A495">
            <v>8610</v>
          </cell>
        </row>
        <row r="495">
          <cell r="C495" t="str">
            <v>章鹏</v>
          </cell>
          <cell r="D495" t="str">
            <v>挡泥板</v>
          </cell>
        </row>
        <row r="495">
          <cell r="I495" t="e">
            <v>#N/A</v>
          </cell>
          <cell r="J495">
            <v>8550</v>
          </cell>
        </row>
        <row r="495">
          <cell r="L495">
            <v>45673</v>
          </cell>
          <cell r="M495">
            <v>45674</v>
          </cell>
        </row>
        <row r="496">
          <cell r="A496">
            <v>8684</v>
          </cell>
        </row>
        <row r="496">
          <cell r="C496" t="str">
            <v>章鹏</v>
          </cell>
          <cell r="D496" t="str">
            <v>挡泥板</v>
          </cell>
        </row>
        <row r="496">
          <cell r="I496" t="e">
            <v>#N/A</v>
          </cell>
          <cell r="J496">
            <v>8551</v>
          </cell>
        </row>
        <row r="496">
          <cell r="L496">
            <v>45673</v>
          </cell>
          <cell r="M496">
            <v>45680</v>
          </cell>
        </row>
        <row r="497">
          <cell r="A497">
            <v>10894</v>
          </cell>
        </row>
        <row r="497">
          <cell r="C497" t="str">
            <v>张潇</v>
          </cell>
          <cell r="D497" t="str">
            <v>牌照板支架</v>
          </cell>
        </row>
        <row r="497">
          <cell r="I497" t="e">
            <v>#N/A</v>
          </cell>
          <cell r="J497">
            <v>8520</v>
          </cell>
        </row>
        <row r="497">
          <cell r="L497" t="e">
            <v>#N/A</v>
          </cell>
          <cell r="M497">
            <v>45678</v>
          </cell>
        </row>
        <row r="498">
          <cell r="A498">
            <v>9388</v>
          </cell>
        </row>
        <row r="498">
          <cell r="C498" t="str">
            <v>章鹏</v>
          </cell>
          <cell r="D498" t="str">
            <v>挡泥板</v>
          </cell>
        </row>
        <row r="498">
          <cell r="I498" t="e">
            <v>#N/A</v>
          </cell>
          <cell r="J498">
            <v>8521</v>
          </cell>
        </row>
        <row r="498">
          <cell r="L498" t="e">
            <v>#N/A</v>
          </cell>
          <cell r="M498">
            <v>45684</v>
          </cell>
        </row>
        <row r="499">
          <cell r="A499">
            <v>9439</v>
          </cell>
        </row>
        <row r="499">
          <cell r="C499" t="str">
            <v>章鹏</v>
          </cell>
          <cell r="D499" t="str">
            <v>挡泥板</v>
          </cell>
        </row>
        <row r="499">
          <cell r="I499" t="e">
            <v>#N/A</v>
          </cell>
          <cell r="J499">
            <v>8419</v>
          </cell>
        </row>
        <row r="499">
          <cell r="L499" t="e">
            <v>#N/A</v>
          </cell>
          <cell r="M499">
            <v>45693</v>
          </cell>
        </row>
        <row r="500">
          <cell r="A500">
            <v>6288</v>
          </cell>
        </row>
        <row r="500">
          <cell r="C500" t="str">
            <v>张潇</v>
          </cell>
          <cell r="D500" t="str">
            <v>挡泥板</v>
          </cell>
        </row>
        <row r="500">
          <cell r="I500" t="e">
            <v>#N/A</v>
          </cell>
          <cell r="J500">
            <v>8422</v>
          </cell>
        </row>
        <row r="500">
          <cell r="L500" t="e">
            <v>#N/A</v>
          </cell>
          <cell r="M500">
            <v>45677</v>
          </cell>
        </row>
        <row r="501">
          <cell r="A501">
            <v>6762</v>
          </cell>
        </row>
        <row r="501">
          <cell r="C501" t="str">
            <v>朱培源</v>
          </cell>
          <cell r="D501" t="str">
            <v>挡泥板</v>
          </cell>
        </row>
        <row r="501">
          <cell r="I501" t="e">
            <v>#N/A</v>
          </cell>
          <cell r="J501">
            <v>8677</v>
          </cell>
        </row>
        <row r="501">
          <cell r="L501" t="e">
            <v>#N/A</v>
          </cell>
          <cell r="M501">
            <v>45684</v>
          </cell>
        </row>
        <row r="502">
          <cell r="A502">
            <v>9171</v>
          </cell>
        </row>
        <row r="502">
          <cell r="C502" t="str">
            <v>章鹏</v>
          </cell>
          <cell r="D502" t="str">
            <v>挡泥板</v>
          </cell>
        </row>
        <row r="502">
          <cell r="I502" t="e">
            <v>#N/A</v>
          </cell>
          <cell r="J502">
            <v>8364</v>
          </cell>
        </row>
        <row r="502">
          <cell r="L502" t="e">
            <v>#N/A</v>
          </cell>
          <cell r="M502">
            <v>45689</v>
          </cell>
        </row>
        <row r="503">
          <cell r="A503">
            <v>9117</v>
          </cell>
        </row>
        <row r="503">
          <cell r="C503" t="str">
            <v>章鹏</v>
          </cell>
          <cell r="D503" t="str">
            <v>挡泥板</v>
          </cell>
        </row>
        <row r="503">
          <cell r="I503" t="e">
            <v>#N/A</v>
          </cell>
          <cell r="J503">
            <v>8606</v>
          </cell>
        </row>
        <row r="503">
          <cell r="L503" t="e">
            <v>#N/A</v>
          </cell>
          <cell r="M503">
            <v>45677</v>
          </cell>
        </row>
        <row r="504">
          <cell r="A504">
            <v>9084</v>
          </cell>
        </row>
        <row r="504">
          <cell r="C504" t="str">
            <v>张潇</v>
          </cell>
          <cell r="D504" t="str">
            <v>牌照板支架</v>
          </cell>
        </row>
        <row r="504">
          <cell r="I504" t="e">
            <v>#N/A</v>
          </cell>
          <cell r="J504">
            <v>8614</v>
          </cell>
        </row>
        <row r="504">
          <cell r="L504" t="e">
            <v>#N/A</v>
          </cell>
          <cell r="M504">
            <v>45703</v>
          </cell>
        </row>
        <row r="505">
          <cell r="A505">
            <v>8988</v>
          </cell>
        </row>
        <row r="505">
          <cell r="C505" t="str">
            <v>章鹏</v>
          </cell>
          <cell r="D505" t="str">
            <v>挡泥板</v>
          </cell>
        </row>
        <row r="505">
          <cell r="I505" t="e">
            <v>#N/A</v>
          </cell>
          <cell r="J505">
            <v>8541</v>
          </cell>
        </row>
        <row r="505">
          <cell r="L505" t="e">
            <v>#N/A</v>
          </cell>
          <cell r="M505">
            <v>45673</v>
          </cell>
        </row>
        <row r="506">
          <cell r="A506">
            <v>8960</v>
          </cell>
        </row>
        <row r="506">
          <cell r="C506" t="str">
            <v>章鹏</v>
          </cell>
          <cell r="D506" t="str">
            <v>挡泥板</v>
          </cell>
        </row>
        <row r="506">
          <cell r="I506" t="e">
            <v>#N/A</v>
          </cell>
          <cell r="J506">
            <v>8542</v>
          </cell>
        </row>
        <row r="506">
          <cell r="L506" t="e">
            <v>#N/A</v>
          </cell>
          <cell r="M506">
            <v>45673</v>
          </cell>
        </row>
        <row r="507">
          <cell r="A507">
            <v>10464</v>
          </cell>
        </row>
        <row r="507">
          <cell r="C507" t="str">
            <v>章鹏</v>
          </cell>
          <cell r="D507" t="str">
            <v>其他</v>
          </cell>
        </row>
        <row r="507">
          <cell r="I507" t="e">
            <v>#N/A</v>
          </cell>
          <cell r="J507">
            <v>8543</v>
          </cell>
        </row>
        <row r="507">
          <cell r="L507" t="e">
            <v>#N/A</v>
          </cell>
          <cell r="M507">
            <v>45673</v>
          </cell>
        </row>
        <row r="508">
          <cell r="A508">
            <v>9064</v>
          </cell>
        </row>
        <row r="508">
          <cell r="C508" t="str">
            <v>章鹏</v>
          </cell>
          <cell r="D508" t="str">
            <v>挡泥板</v>
          </cell>
        </row>
        <row r="508">
          <cell r="I508" t="e">
            <v>#N/A</v>
          </cell>
          <cell r="J508">
            <v>8624</v>
          </cell>
        </row>
        <row r="508">
          <cell r="L508" t="e">
            <v>#N/A</v>
          </cell>
          <cell r="M508">
            <v>45680</v>
          </cell>
        </row>
        <row r="509">
          <cell r="A509">
            <v>9065</v>
          </cell>
        </row>
        <row r="509">
          <cell r="C509" t="str">
            <v>章鹏</v>
          </cell>
          <cell r="D509" t="str">
            <v>挡泥板</v>
          </cell>
        </row>
        <row r="509">
          <cell r="I509" t="e">
            <v>#N/A</v>
          </cell>
          <cell r="J509">
            <v>8625</v>
          </cell>
        </row>
        <row r="509">
          <cell r="L509" t="e">
            <v>#N/A</v>
          </cell>
          <cell r="M509">
            <v>45675</v>
          </cell>
        </row>
        <row r="510">
          <cell r="A510">
            <v>11064</v>
          </cell>
        </row>
        <row r="510">
          <cell r="C510" t="str">
            <v>章鹏</v>
          </cell>
          <cell r="D510" t="str">
            <v>其他</v>
          </cell>
        </row>
        <row r="510">
          <cell r="I510" t="e">
            <v>#N/A</v>
          </cell>
          <cell r="J510">
            <v>8618</v>
          </cell>
        </row>
        <row r="510">
          <cell r="L510" t="e">
            <v>#N/A</v>
          </cell>
          <cell r="M510">
            <v>45692</v>
          </cell>
        </row>
        <row r="511">
          <cell r="A511">
            <v>432</v>
          </cell>
        </row>
        <row r="511">
          <cell r="C511" t="str">
            <v>朱培源</v>
          </cell>
          <cell r="D511" t="str">
            <v>挡泥板</v>
          </cell>
        </row>
        <row r="511">
          <cell r="I511" t="e">
            <v>#N/A</v>
          </cell>
          <cell r="J511">
            <v>8674</v>
          </cell>
        </row>
        <row r="511">
          <cell r="L511" t="e">
            <v>#N/A</v>
          </cell>
          <cell r="M511">
            <v>45681</v>
          </cell>
        </row>
        <row r="512">
          <cell r="A512">
            <v>260</v>
          </cell>
        </row>
        <row r="512">
          <cell r="C512" t="str">
            <v>朱培源</v>
          </cell>
          <cell r="D512" t="str">
            <v>机盖及附件</v>
          </cell>
        </row>
        <row r="512">
          <cell r="I512" t="e">
            <v>#N/A</v>
          </cell>
          <cell r="J512">
            <v>8719</v>
          </cell>
        </row>
        <row r="512">
          <cell r="L512" t="e">
            <v>#N/A</v>
          </cell>
          <cell r="M512">
            <v>45708</v>
          </cell>
        </row>
        <row r="513">
          <cell r="A513">
            <v>10061</v>
          </cell>
        </row>
        <row r="513">
          <cell r="C513" t="str">
            <v>朱培源</v>
          </cell>
          <cell r="D513" t="str">
            <v>机盖及附件</v>
          </cell>
        </row>
        <row r="513">
          <cell r="I513" t="e">
            <v>#N/A</v>
          </cell>
          <cell r="J513">
            <v>8116</v>
          </cell>
        </row>
        <row r="513">
          <cell r="L513" t="e">
            <v>#N/A</v>
          </cell>
          <cell r="M513">
            <v>45686</v>
          </cell>
        </row>
        <row r="514">
          <cell r="A514">
            <v>10414</v>
          </cell>
        </row>
        <row r="514">
          <cell r="C514" t="str">
            <v>转二部</v>
          </cell>
          <cell r="D514" t="str">
            <v>其他</v>
          </cell>
        </row>
        <row r="514">
          <cell r="I514" t="e">
            <v>#N/A</v>
          </cell>
          <cell r="J514">
            <v>8696</v>
          </cell>
        </row>
        <row r="514">
          <cell r="L514" t="e">
            <v>#N/A</v>
          </cell>
          <cell r="M514">
            <v>45755</v>
          </cell>
        </row>
        <row r="515">
          <cell r="A515">
            <v>1370</v>
          </cell>
        </row>
        <row r="515">
          <cell r="C515" t="str">
            <v>章鹏</v>
          </cell>
          <cell r="D515" t="str">
            <v>其他</v>
          </cell>
        </row>
        <row r="515">
          <cell r="I515" t="e">
            <v>#N/A</v>
          </cell>
          <cell r="J515">
            <v>8697</v>
          </cell>
        </row>
        <row r="515">
          <cell r="L515" t="e">
            <v>#N/A</v>
          </cell>
          <cell r="M515">
            <v>45694</v>
          </cell>
        </row>
        <row r="516">
          <cell r="A516">
            <v>9391</v>
          </cell>
        </row>
        <row r="516">
          <cell r="C516" t="str">
            <v>胡煜星</v>
          </cell>
          <cell r="D516" t="str">
            <v>车门系统</v>
          </cell>
        </row>
        <row r="516">
          <cell r="I516" t="e">
            <v>#N/A</v>
          </cell>
          <cell r="J516">
            <v>8698</v>
          </cell>
        </row>
        <row r="516">
          <cell r="L516" t="e">
            <v>#N/A</v>
          </cell>
          <cell r="M516">
            <v>45689</v>
          </cell>
        </row>
        <row r="517">
          <cell r="A517">
            <v>9173</v>
          </cell>
        </row>
        <row r="517">
          <cell r="C517" t="str">
            <v>章鹏</v>
          </cell>
          <cell r="D517" t="str">
            <v>挡泥板</v>
          </cell>
        </row>
        <row r="517">
          <cell r="I517" t="e">
            <v>#N/A</v>
          </cell>
          <cell r="J517">
            <v>8699</v>
          </cell>
        </row>
        <row r="517">
          <cell r="L517" t="e">
            <v>#N/A</v>
          </cell>
          <cell r="M517">
            <v>45705</v>
          </cell>
        </row>
        <row r="518">
          <cell r="A518">
            <v>8900</v>
          </cell>
        </row>
        <row r="518">
          <cell r="C518" t="str">
            <v>胡煜星</v>
          </cell>
          <cell r="D518" t="str">
            <v>车门系统</v>
          </cell>
        </row>
        <row r="518">
          <cell r="I518" t="e">
            <v>#N/A</v>
          </cell>
          <cell r="J518">
            <v>4674</v>
          </cell>
        </row>
        <row r="518">
          <cell r="L518" t="e">
            <v>#N/A</v>
          </cell>
          <cell r="M518">
            <v>45772</v>
          </cell>
        </row>
        <row r="519">
          <cell r="A519">
            <v>9113</v>
          </cell>
        </row>
        <row r="519">
          <cell r="C519" t="str">
            <v>张潇</v>
          </cell>
          <cell r="D519" t="str">
            <v>牌照板支架</v>
          </cell>
        </row>
        <row r="519">
          <cell r="I519" t="e">
            <v>#N/A</v>
          </cell>
          <cell r="J519">
            <v>7409</v>
          </cell>
        </row>
        <row r="519">
          <cell r="L519" t="e">
            <v>#N/A</v>
          </cell>
          <cell r="M519">
            <v>46024</v>
          </cell>
        </row>
        <row r="520">
          <cell r="A520">
            <v>9114</v>
          </cell>
        </row>
        <row r="520">
          <cell r="C520" t="str">
            <v>张潇</v>
          </cell>
          <cell r="D520" t="str">
            <v>牌照板支架</v>
          </cell>
        </row>
        <row r="520">
          <cell r="I520" t="e">
            <v>#N/A</v>
          </cell>
          <cell r="J520">
            <v>8595</v>
          </cell>
        </row>
        <row r="520">
          <cell r="L520" t="e">
            <v>#N/A</v>
          </cell>
          <cell r="M520">
            <v>45694</v>
          </cell>
        </row>
        <row r="521">
          <cell r="A521">
            <v>9115</v>
          </cell>
        </row>
        <row r="521">
          <cell r="C521" t="str">
            <v>张潇</v>
          </cell>
          <cell r="D521" t="str">
            <v>牌照板支架</v>
          </cell>
        </row>
        <row r="521">
          <cell r="I521" t="e">
            <v>#N/A</v>
          </cell>
          <cell r="J521">
            <v>8363</v>
          </cell>
        </row>
        <row r="521">
          <cell r="L521" t="e">
            <v>#N/A</v>
          </cell>
          <cell r="M521">
            <v>45698</v>
          </cell>
        </row>
        <row r="522">
          <cell r="A522">
            <v>9112</v>
          </cell>
        </row>
        <row r="522">
          <cell r="C522" t="str">
            <v>张潇</v>
          </cell>
          <cell r="D522" t="str">
            <v>牌照板支架</v>
          </cell>
        </row>
        <row r="522">
          <cell r="I522" t="e">
            <v>#N/A</v>
          </cell>
          <cell r="J522">
            <v>8603</v>
          </cell>
        </row>
        <row r="522">
          <cell r="L522" t="e">
            <v>#N/A</v>
          </cell>
          <cell r="M522">
            <v>45693</v>
          </cell>
        </row>
        <row r="523">
          <cell r="A523">
            <v>9361</v>
          </cell>
        </row>
        <row r="523">
          <cell r="C523" t="str">
            <v>章鹏</v>
          </cell>
          <cell r="D523" t="str">
            <v>挡泥板</v>
          </cell>
        </row>
        <row r="523">
          <cell r="I523" t="e">
            <v>#N/A</v>
          </cell>
          <cell r="J523">
            <v>8607</v>
          </cell>
        </row>
        <row r="523">
          <cell r="L523" t="e">
            <v>#N/A</v>
          </cell>
          <cell r="M523">
            <v>45692</v>
          </cell>
        </row>
        <row r="524">
          <cell r="A524">
            <v>9116</v>
          </cell>
        </row>
        <row r="524">
          <cell r="C524" t="str">
            <v>章鹏</v>
          </cell>
          <cell r="D524" t="str">
            <v>挡泥板</v>
          </cell>
        </row>
        <row r="524">
          <cell r="I524" t="e">
            <v>#N/A</v>
          </cell>
          <cell r="J524">
            <v>8608</v>
          </cell>
        </row>
        <row r="524">
          <cell r="L524" t="e">
            <v>#N/A</v>
          </cell>
          <cell r="M524">
            <v>45689</v>
          </cell>
        </row>
        <row r="525">
          <cell r="A525">
            <v>9035</v>
          </cell>
        </row>
        <row r="525">
          <cell r="C525" t="str">
            <v>张潇</v>
          </cell>
          <cell r="D525" t="str">
            <v>牌照板支架</v>
          </cell>
        </row>
        <row r="525">
          <cell r="I525" t="e">
            <v>#N/A</v>
          </cell>
          <cell r="J525">
            <v>8611</v>
          </cell>
        </row>
        <row r="525">
          <cell r="L525" t="e">
            <v>#N/A</v>
          </cell>
          <cell r="M525">
            <v>45692</v>
          </cell>
        </row>
        <row r="526">
          <cell r="A526">
            <v>8986</v>
          </cell>
        </row>
        <row r="526">
          <cell r="C526" t="str">
            <v>张潇</v>
          </cell>
          <cell r="D526" t="str">
            <v>牌照板支架</v>
          </cell>
        </row>
        <row r="526">
          <cell r="I526" t="e">
            <v>#N/A</v>
          </cell>
          <cell r="J526">
            <v>8082</v>
          </cell>
        </row>
        <row r="526">
          <cell r="L526" t="e">
            <v>#N/A</v>
          </cell>
          <cell r="M526">
            <v>45688</v>
          </cell>
        </row>
        <row r="527">
          <cell r="A527">
            <v>9008</v>
          </cell>
        </row>
        <row r="527">
          <cell r="C527" t="str">
            <v>章鹏</v>
          </cell>
          <cell r="D527" t="str">
            <v>其他</v>
          </cell>
        </row>
        <row r="527">
          <cell r="I527" t="e">
            <v>#N/A</v>
          </cell>
          <cell r="J527">
            <v>8612</v>
          </cell>
        </row>
        <row r="527">
          <cell r="L527" t="e">
            <v>#N/A</v>
          </cell>
          <cell r="M527">
            <v>45692</v>
          </cell>
        </row>
        <row r="528">
          <cell r="A528">
            <v>5212</v>
          </cell>
        </row>
        <row r="528">
          <cell r="C528" t="str">
            <v>朱培源</v>
          </cell>
          <cell r="D528" t="str">
            <v>机盖及附件</v>
          </cell>
        </row>
        <row r="528">
          <cell r="I528" t="e">
            <v>#N/A</v>
          </cell>
          <cell r="J528">
            <v>8613</v>
          </cell>
        </row>
        <row r="528">
          <cell r="L528" t="e">
            <v>#N/A</v>
          </cell>
          <cell r="M528">
            <v>45699</v>
          </cell>
        </row>
        <row r="529">
          <cell r="A529">
            <v>1286</v>
          </cell>
        </row>
        <row r="529">
          <cell r="C529" t="str">
            <v>王偲涵</v>
          </cell>
          <cell r="D529" t="str">
            <v>饰条</v>
          </cell>
        </row>
        <row r="529">
          <cell r="I529" t="e">
            <v>#N/A</v>
          </cell>
          <cell r="J529">
            <v>8598</v>
          </cell>
        </row>
        <row r="529">
          <cell r="L529" t="e">
            <v>#N/A</v>
          </cell>
          <cell r="M529">
            <v>45892</v>
          </cell>
        </row>
        <row r="530">
          <cell r="A530">
            <v>839</v>
          </cell>
        </row>
        <row r="530">
          <cell r="C530" t="str">
            <v>朱培源</v>
          </cell>
          <cell r="D530" t="str">
            <v>机盖及附件</v>
          </cell>
        </row>
        <row r="530">
          <cell r="I530" t="e">
            <v>#N/A</v>
          </cell>
          <cell r="J530">
            <v>8597</v>
          </cell>
        </row>
        <row r="530">
          <cell r="L530" t="e">
            <v>#N/A</v>
          </cell>
          <cell r="M530">
            <v>45699</v>
          </cell>
        </row>
        <row r="531">
          <cell r="A531">
            <v>2547</v>
          </cell>
        </row>
        <row r="531">
          <cell r="C531" t="str">
            <v>朱培源</v>
          </cell>
          <cell r="D531" t="str">
            <v>机盖及附件</v>
          </cell>
        </row>
        <row r="531">
          <cell r="I531" t="e">
            <v>#N/A</v>
          </cell>
          <cell r="J531">
            <v>8619</v>
          </cell>
        </row>
        <row r="531">
          <cell r="L531" t="e">
            <v>#N/A</v>
          </cell>
          <cell r="M531">
            <v>45735</v>
          </cell>
        </row>
        <row r="532">
          <cell r="A532">
            <v>8840</v>
          </cell>
        </row>
        <row r="532">
          <cell r="C532" t="str">
            <v>章鹏</v>
          </cell>
          <cell r="D532" t="str">
            <v>挡泥板</v>
          </cell>
        </row>
        <row r="532">
          <cell r="I532" t="e">
            <v>#N/A</v>
          </cell>
          <cell r="J532">
            <v>8672</v>
          </cell>
        </row>
        <row r="532">
          <cell r="L532" t="e">
            <v>#N/A</v>
          </cell>
          <cell r="M532">
            <v>45717</v>
          </cell>
        </row>
        <row r="533">
          <cell r="A533">
            <v>9302</v>
          </cell>
        </row>
        <row r="533">
          <cell r="C533" t="str">
            <v>章鹏</v>
          </cell>
          <cell r="D533" t="str">
            <v>挡泥板</v>
          </cell>
        </row>
        <row r="533">
          <cell r="I533" t="e">
            <v>#N/A</v>
          </cell>
          <cell r="J533">
            <v>8532</v>
          </cell>
        </row>
        <row r="533">
          <cell r="L533" t="e">
            <v>#N/A</v>
          </cell>
          <cell r="M533">
            <v>45700</v>
          </cell>
        </row>
        <row r="534">
          <cell r="A534">
            <v>9304</v>
          </cell>
        </row>
        <row r="534">
          <cell r="C534" t="str">
            <v>章鹏</v>
          </cell>
          <cell r="D534" t="str">
            <v>挡泥板</v>
          </cell>
        </row>
        <row r="534">
          <cell r="I534" t="e">
            <v>#N/A</v>
          </cell>
          <cell r="J534">
            <v>7587</v>
          </cell>
        </row>
        <row r="534">
          <cell r="L534" t="e">
            <v>#N/A</v>
          </cell>
          <cell r="M534">
            <v>46008</v>
          </cell>
        </row>
        <row r="535">
          <cell r="A535">
            <v>10470</v>
          </cell>
        </row>
        <row r="535">
          <cell r="C535" t="str">
            <v>转二部</v>
          </cell>
          <cell r="D535" t="str">
            <v>机盖及附件</v>
          </cell>
        </row>
        <row r="535">
          <cell r="I535" t="e">
            <v>#N/A</v>
          </cell>
          <cell r="J535">
            <v>7665</v>
          </cell>
        </row>
        <row r="535">
          <cell r="L535" t="e">
            <v>#N/A</v>
          </cell>
        </row>
        <row r="536">
          <cell r="A536">
            <v>9558</v>
          </cell>
        </row>
        <row r="536">
          <cell r="C536" t="str">
            <v>章鹏</v>
          </cell>
          <cell r="D536" t="str">
            <v>挡泥板</v>
          </cell>
        </row>
        <row r="536">
          <cell r="I536" t="e">
            <v>#N/A</v>
          </cell>
          <cell r="J536">
            <v>8833</v>
          </cell>
        </row>
        <row r="536">
          <cell r="L536" t="e">
            <v>#N/A</v>
          </cell>
          <cell r="M536">
            <v>45715</v>
          </cell>
        </row>
        <row r="537">
          <cell r="A537">
            <v>8993</v>
          </cell>
        </row>
        <row r="537">
          <cell r="C537" t="str">
            <v>章鹏</v>
          </cell>
          <cell r="D537" t="str">
            <v>挡泥板</v>
          </cell>
        </row>
        <row r="537">
          <cell r="I537" t="e">
            <v>#N/A</v>
          </cell>
          <cell r="J537">
            <v>8616</v>
          </cell>
        </row>
        <row r="537">
          <cell r="L537" t="e">
            <v>#N/A</v>
          </cell>
          <cell r="M537">
            <v>45714</v>
          </cell>
        </row>
        <row r="538">
          <cell r="A538">
            <v>9160</v>
          </cell>
        </row>
        <row r="538">
          <cell r="C538" t="str">
            <v>章鹏</v>
          </cell>
          <cell r="D538" t="str">
            <v>挡泥板</v>
          </cell>
        </row>
        <row r="538">
          <cell r="I538" t="e">
            <v>#N/A</v>
          </cell>
          <cell r="J538">
            <v>8617</v>
          </cell>
        </row>
        <row r="538">
          <cell r="L538" t="e">
            <v>#N/A</v>
          </cell>
          <cell r="M538">
            <v>45702</v>
          </cell>
        </row>
        <row r="539">
          <cell r="A539">
            <v>9698</v>
          </cell>
        </row>
        <row r="539">
          <cell r="C539" t="str">
            <v>章鹏</v>
          </cell>
          <cell r="D539" t="str">
            <v>挡泥板</v>
          </cell>
        </row>
        <row r="539">
          <cell r="I539" t="e">
            <v>#N/A</v>
          </cell>
          <cell r="J539">
            <v>8770</v>
          </cell>
        </row>
        <row r="539">
          <cell r="L539" t="e">
            <v>#N/A</v>
          </cell>
          <cell r="M539">
            <v>45714</v>
          </cell>
        </row>
        <row r="540">
          <cell r="A540">
            <v>9389</v>
          </cell>
        </row>
        <row r="540">
          <cell r="C540" t="str">
            <v>章鹏</v>
          </cell>
          <cell r="D540" t="str">
            <v>挡泥板</v>
          </cell>
        </row>
        <row r="540">
          <cell r="I540" t="e">
            <v>#N/A</v>
          </cell>
          <cell r="J540">
            <v>8771</v>
          </cell>
        </row>
        <row r="540">
          <cell r="L540" t="e">
            <v>#N/A</v>
          </cell>
          <cell r="M540">
            <v>45710</v>
          </cell>
        </row>
        <row r="541">
          <cell r="A541">
            <v>5441</v>
          </cell>
        </row>
        <row r="541">
          <cell r="C541" t="str">
            <v>朱培源</v>
          </cell>
          <cell r="D541" t="str">
            <v>饰条</v>
          </cell>
        </row>
        <row r="541">
          <cell r="I541" t="e">
            <v>#N/A</v>
          </cell>
          <cell r="J541">
            <v>8773</v>
          </cell>
        </row>
        <row r="541">
          <cell r="L541" t="e">
            <v>#N/A</v>
          </cell>
          <cell r="M541">
            <v>45720</v>
          </cell>
        </row>
        <row r="542">
          <cell r="A542">
            <v>8082</v>
          </cell>
        </row>
        <row r="542">
          <cell r="C542" t="str">
            <v>章鹏</v>
          </cell>
          <cell r="D542" t="str">
            <v>挡泥板</v>
          </cell>
        </row>
        <row r="542">
          <cell r="I542" t="e">
            <v>#N/A</v>
          </cell>
          <cell r="J542">
            <v>8620</v>
          </cell>
        </row>
        <row r="542">
          <cell r="L542" t="e">
            <v>#N/A</v>
          </cell>
          <cell r="M542">
            <v>45698</v>
          </cell>
        </row>
        <row r="543">
          <cell r="A543">
            <v>9492</v>
          </cell>
        </row>
        <row r="543">
          <cell r="C543" t="str">
            <v>章鹏</v>
          </cell>
          <cell r="D543" t="str">
            <v>挡泥板</v>
          </cell>
        </row>
        <row r="543">
          <cell r="I543" t="e">
            <v>#N/A</v>
          </cell>
          <cell r="J543">
            <v>8621</v>
          </cell>
        </row>
        <row r="543">
          <cell r="L543" t="e">
            <v>#N/A</v>
          </cell>
          <cell r="M543">
            <v>45698</v>
          </cell>
        </row>
        <row r="544">
          <cell r="A544">
            <v>9316</v>
          </cell>
        </row>
        <row r="544">
          <cell r="C544" t="str">
            <v>章鹏</v>
          </cell>
          <cell r="D544" t="str">
            <v>挡泥板</v>
          </cell>
        </row>
        <row r="544">
          <cell r="I544" t="e">
            <v>#N/A</v>
          </cell>
          <cell r="J544">
            <v>8728</v>
          </cell>
        </row>
        <row r="544">
          <cell r="L544" t="e">
            <v>#N/A</v>
          </cell>
          <cell r="M544">
            <v>45754</v>
          </cell>
        </row>
        <row r="545">
          <cell r="A545">
            <v>9364</v>
          </cell>
        </row>
        <row r="545">
          <cell r="C545" t="str">
            <v>章鹏</v>
          </cell>
          <cell r="D545" t="str">
            <v>挡泥板</v>
          </cell>
        </row>
        <row r="545">
          <cell r="I545" t="e">
            <v>#N/A</v>
          </cell>
          <cell r="J545">
            <v>8810</v>
          </cell>
        </row>
        <row r="545">
          <cell r="L545" t="e">
            <v>#N/A</v>
          </cell>
          <cell r="M545">
            <v>45746</v>
          </cell>
        </row>
        <row r="546">
          <cell r="A546">
            <v>8985</v>
          </cell>
        </row>
        <row r="546">
          <cell r="C546" t="str">
            <v>张潇</v>
          </cell>
          <cell r="D546" t="str">
            <v>牌照板支架</v>
          </cell>
        </row>
        <row r="546">
          <cell r="I546" t="e">
            <v>#N/A</v>
          </cell>
          <cell r="J546">
            <v>8604</v>
          </cell>
        </row>
        <row r="546">
          <cell r="L546" t="e">
            <v>#N/A</v>
          </cell>
          <cell r="M546">
            <v>45707</v>
          </cell>
        </row>
        <row r="547">
          <cell r="A547">
            <v>9386</v>
          </cell>
        </row>
        <row r="547">
          <cell r="C547" t="str">
            <v>张潇</v>
          </cell>
          <cell r="D547" t="str">
            <v>牌照板支架</v>
          </cell>
        </row>
        <row r="547">
          <cell r="I547" t="e">
            <v>#N/A</v>
          </cell>
          <cell r="J547">
            <v>8605</v>
          </cell>
        </row>
        <row r="547">
          <cell r="L547" t="e">
            <v>#N/A</v>
          </cell>
          <cell r="M547">
            <v>45748</v>
          </cell>
        </row>
        <row r="548">
          <cell r="A548">
            <v>9387</v>
          </cell>
        </row>
        <row r="548">
          <cell r="C548" t="str">
            <v>张潇</v>
          </cell>
          <cell r="D548" t="str">
            <v>牌照板支架</v>
          </cell>
        </row>
        <row r="548">
          <cell r="I548" t="e">
            <v>#N/A</v>
          </cell>
          <cell r="J548">
            <v>8609</v>
          </cell>
        </row>
        <row r="548">
          <cell r="L548" t="e">
            <v>#N/A</v>
          </cell>
          <cell r="M548">
            <v>45700</v>
          </cell>
        </row>
        <row r="549">
          <cell r="A549">
            <v>8364</v>
          </cell>
        </row>
        <row r="549">
          <cell r="C549" t="str">
            <v>章鹏</v>
          </cell>
          <cell r="D549" t="str">
            <v>挡泥板</v>
          </cell>
        </row>
        <row r="549">
          <cell r="I549" t="e">
            <v>#N/A</v>
          </cell>
          <cell r="J549">
            <v>8610</v>
          </cell>
        </row>
        <row r="549">
          <cell r="L549" t="e">
            <v>#N/A</v>
          </cell>
          <cell r="M549">
            <v>45700</v>
          </cell>
        </row>
        <row r="550">
          <cell r="A550">
            <v>10906</v>
          </cell>
        </row>
        <row r="550">
          <cell r="C550" t="str">
            <v>转二部</v>
          </cell>
          <cell r="D550" t="str">
            <v>牌照板支架</v>
          </cell>
        </row>
        <row r="550">
          <cell r="I550" t="e">
            <v>#N/A</v>
          </cell>
          <cell r="J550">
            <v>8678</v>
          </cell>
        </row>
        <row r="550">
          <cell r="L550" t="e">
            <v>#N/A</v>
          </cell>
          <cell r="M550">
            <v>45706</v>
          </cell>
        </row>
        <row r="551">
          <cell r="A551">
            <v>10144</v>
          </cell>
        </row>
        <row r="551">
          <cell r="C551" t="str">
            <v>转二部</v>
          </cell>
          <cell r="D551" t="str">
            <v>牌照板支架</v>
          </cell>
        </row>
        <row r="551">
          <cell r="I551" t="e">
            <v>#N/A</v>
          </cell>
          <cell r="J551">
            <v>8679</v>
          </cell>
        </row>
        <row r="551">
          <cell r="L551" t="e">
            <v>#N/A</v>
          </cell>
          <cell r="M551">
            <v>45708</v>
          </cell>
        </row>
        <row r="552">
          <cell r="A552">
            <v>9559</v>
          </cell>
        </row>
        <row r="552">
          <cell r="C552" t="str">
            <v>转二部</v>
          </cell>
          <cell r="D552" t="str">
            <v>挡泥板</v>
          </cell>
        </row>
        <row r="552">
          <cell r="I552" t="e">
            <v>#N/A</v>
          </cell>
          <cell r="J552">
            <v>8680</v>
          </cell>
        </row>
        <row r="552">
          <cell r="L552" t="e">
            <v>#N/A</v>
          </cell>
          <cell r="M552">
            <v>45705</v>
          </cell>
        </row>
        <row r="553">
          <cell r="A553">
            <v>9445</v>
          </cell>
        </row>
        <row r="553">
          <cell r="C553" t="str">
            <v>章鹏</v>
          </cell>
          <cell r="D553" t="str">
            <v>挡泥板</v>
          </cell>
        </row>
        <row r="553">
          <cell r="I553" t="e">
            <v>#N/A</v>
          </cell>
          <cell r="J553">
            <v>8750</v>
          </cell>
        </row>
        <row r="553">
          <cell r="L553" t="e">
            <v>#N/A</v>
          </cell>
          <cell r="M553">
            <v>45748</v>
          </cell>
        </row>
        <row r="554">
          <cell r="A554">
            <v>8944</v>
          </cell>
        </row>
        <row r="554">
          <cell r="C554" t="str">
            <v>章鹏</v>
          </cell>
          <cell r="D554" t="str">
            <v>挡泥板</v>
          </cell>
        </row>
        <row r="554">
          <cell r="I554" t="e">
            <v>#N/A</v>
          </cell>
          <cell r="J554">
            <v>8751</v>
          </cell>
        </row>
        <row r="554">
          <cell r="L554" t="e">
            <v>#N/A</v>
          </cell>
          <cell r="M554">
            <v>45707</v>
          </cell>
        </row>
        <row r="555">
          <cell r="A555">
            <v>9481</v>
          </cell>
        </row>
        <row r="555">
          <cell r="C555" t="str">
            <v>张潇</v>
          </cell>
          <cell r="D555" t="str">
            <v>牌照板支架</v>
          </cell>
        </row>
        <row r="555">
          <cell r="I555" t="e">
            <v>#N/A</v>
          </cell>
          <cell r="J555">
            <v>8681</v>
          </cell>
        </row>
        <row r="555">
          <cell r="L555" t="e">
            <v>#N/A</v>
          </cell>
          <cell r="M555">
            <v>45704</v>
          </cell>
        </row>
        <row r="556">
          <cell r="A556">
            <v>3759</v>
          </cell>
        </row>
        <row r="556">
          <cell r="C556" t="str">
            <v>朱培源</v>
          </cell>
          <cell r="D556" t="str">
            <v>挡泥板</v>
          </cell>
        </row>
        <row r="556">
          <cell r="I556" t="e">
            <v>#N/A</v>
          </cell>
          <cell r="J556">
            <v>8682</v>
          </cell>
        </row>
        <row r="556">
          <cell r="L556" t="e">
            <v>#N/A</v>
          </cell>
          <cell r="M556">
            <v>45764</v>
          </cell>
        </row>
        <row r="557">
          <cell r="A557">
            <v>9490</v>
          </cell>
        </row>
        <row r="557">
          <cell r="C557" t="str">
            <v>张潇</v>
          </cell>
          <cell r="D557" t="str">
            <v>牌照板支架</v>
          </cell>
        </row>
        <row r="557">
          <cell r="I557" t="e">
            <v>#N/A</v>
          </cell>
          <cell r="J557">
            <v>8683</v>
          </cell>
        </row>
        <row r="557">
          <cell r="L557" t="e">
            <v>#N/A</v>
          </cell>
          <cell r="M557">
            <v>45706</v>
          </cell>
        </row>
        <row r="558">
          <cell r="A558">
            <v>3776</v>
          </cell>
        </row>
        <row r="558">
          <cell r="C558" t="str">
            <v>胡煜星</v>
          </cell>
          <cell r="D558" t="str">
            <v>车门系统</v>
          </cell>
        </row>
        <row r="558">
          <cell r="I558" t="e">
            <v>#N/A</v>
          </cell>
          <cell r="J558">
            <v>8685</v>
          </cell>
        </row>
        <row r="558">
          <cell r="L558" t="e">
            <v>#N/A</v>
          </cell>
          <cell r="M558">
            <v>45700</v>
          </cell>
        </row>
        <row r="559">
          <cell r="A559">
            <v>9446</v>
          </cell>
        </row>
        <row r="559">
          <cell r="C559" t="str">
            <v>章鹏</v>
          </cell>
          <cell r="D559" t="str">
            <v>挡泥板</v>
          </cell>
        </row>
        <row r="559">
          <cell r="I559" t="e">
            <v>#N/A</v>
          </cell>
          <cell r="J559">
            <v>8686</v>
          </cell>
        </row>
        <row r="559">
          <cell r="L559" t="e">
            <v>#N/A</v>
          </cell>
          <cell r="M559">
            <v>45703</v>
          </cell>
        </row>
        <row r="560">
          <cell r="A560">
            <v>9172</v>
          </cell>
        </row>
        <row r="560">
          <cell r="C560" t="str">
            <v>章鹏</v>
          </cell>
          <cell r="D560" t="str">
            <v>挡泥板</v>
          </cell>
        </row>
        <row r="560">
          <cell r="I560" t="e">
            <v>#N/A</v>
          </cell>
          <cell r="J560">
            <v>8687</v>
          </cell>
        </row>
        <row r="560">
          <cell r="L560" t="e">
            <v>#N/A</v>
          </cell>
          <cell r="M560">
            <v>45700</v>
          </cell>
        </row>
        <row r="561">
          <cell r="A561">
            <v>9068</v>
          </cell>
        </row>
        <row r="561">
          <cell r="C561" t="str">
            <v>章鹏</v>
          </cell>
          <cell r="D561" t="str">
            <v>挡泥板</v>
          </cell>
        </row>
        <row r="561">
          <cell r="I561" t="e">
            <v>#N/A</v>
          </cell>
          <cell r="J561">
            <v>8688</v>
          </cell>
        </row>
        <row r="561">
          <cell r="L561" t="e">
            <v>#N/A</v>
          </cell>
          <cell r="M561">
            <v>45741</v>
          </cell>
        </row>
        <row r="562">
          <cell r="A562">
            <v>9499</v>
          </cell>
        </row>
        <row r="562">
          <cell r="C562" t="str">
            <v>章鹏</v>
          </cell>
          <cell r="D562" t="str">
            <v>挡泥板</v>
          </cell>
        </row>
        <row r="562">
          <cell r="I562" t="e">
            <v>#N/A</v>
          </cell>
          <cell r="J562">
            <v>8689</v>
          </cell>
        </row>
        <row r="562">
          <cell r="L562" t="e">
            <v>#N/A</v>
          </cell>
          <cell r="M562">
            <v>45718</v>
          </cell>
        </row>
        <row r="563">
          <cell r="A563">
            <v>9500</v>
          </cell>
        </row>
        <row r="563">
          <cell r="C563" t="str">
            <v>章鹏</v>
          </cell>
          <cell r="D563" t="str">
            <v>挡泥板</v>
          </cell>
        </row>
        <row r="563">
          <cell r="I563" t="e">
            <v>#N/A</v>
          </cell>
          <cell r="J563">
            <v>8690</v>
          </cell>
        </row>
        <row r="563">
          <cell r="L563" t="e">
            <v>#N/A</v>
          </cell>
          <cell r="M563">
            <v>45701</v>
          </cell>
        </row>
        <row r="564">
          <cell r="A564">
            <v>9501</v>
          </cell>
        </row>
        <row r="564">
          <cell r="C564" t="str">
            <v>章鹏</v>
          </cell>
          <cell r="D564" t="str">
            <v>挡泥板</v>
          </cell>
        </row>
        <row r="564">
          <cell r="I564" t="e">
            <v>#N/A</v>
          </cell>
          <cell r="J564">
            <v>8755</v>
          </cell>
        </row>
        <row r="564">
          <cell r="L564" t="e">
            <v>#N/A</v>
          </cell>
          <cell r="M564">
            <v>45717</v>
          </cell>
        </row>
        <row r="565">
          <cell r="A565">
            <v>1473</v>
          </cell>
        </row>
        <row r="565">
          <cell r="C565" t="str">
            <v>朱培源</v>
          </cell>
          <cell r="D565" t="str">
            <v>机盖及附件</v>
          </cell>
        </row>
        <row r="565">
          <cell r="I565" t="e">
            <v>#N/A</v>
          </cell>
          <cell r="J565">
            <v>8756</v>
          </cell>
        </row>
        <row r="565">
          <cell r="L565" t="e">
            <v>#N/A</v>
          </cell>
          <cell r="M565">
            <v>45713</v>
          </cell>
        </row>
        <row r="566">
          <cell r="A566">
            <v>8841</v>
          </cell>
        </row>
        <row r="566">
          <cell r="C566" t="str">
            <v>章鹏</v>
          </cell>
          <cell r="D566" t="str">
            <v>挡泥板</v>
          </cell>
        </row>
        <row r="566">
          <cell r="I566" t="e">
            <v>#N/A</v>
          </cell>
          <cell r="J566">
            <v>8622</v>
          </cell>
        </row>
        <row r="566">
          <cell r="L566">
            <v>45699</v>
          </cell>
          <cell r="M566">
            <v>45699</v>
          </cell>
        </row>
        <row r="567">
          <cell r="A567">
            <v>9540</v>
          </cell>
        </row>
        <row r="567">
          <cell r="C567" t="str">
            <v>章鹏</v>
          </cell>
          <cell r="D567" t="str">
            <v>挡泥板</v>
          </cell>
        </row>
        <row r="567">
          <cell r="I567" t="e">
            <v>#N/A</v>
          </cell>
          <cell r="J567">
            <v>8623</v>
          </cell>
        </row>
        <row r="567">
          <cell r="L567">
            <v>45699</v>
          </cell>
          <cell r="M567">
            <v>45709</v>
          </cell>
        </row>
        <row r="568">
          <cell r="A568">
            <v>9495</v>
          </cell>
        </row>
        <row r="568">
          <cell r="C568" t="str">
            <v>章鹏</v>
          </cell>
          <cell r="D568" t="str">
            <v>挡泥板</v>
          </cell>
        </row>
        <row r="568">
          <cell r="I568" t="e">
            <v>#N/A</v>
          </cell>
          <cell r="J568">
            <v>8932</v>
          </cell>
        </row>
        <row r="568">
          <cell r="L568">
            <v>45700</v>
          </cell>
          <cell r="M568">
            <v>45703</v>
          </cell>
        </row>
        <row r="569">
          <cell r="A569">
            <v>9584</v>
          </cell>
        </row>
        <row r="569">
          <cell r="C569" t="str">
            <v>章鹏</v>
          </cell>
          <cell r="D569" t="str">
            <v>挡泥板</v>
          </cell>
        </row>
        <row r="569">
          <cell r="I569" t="e">
            <v>#N/A</v>
          </cell>
          <cell r="J569">
            <v>8675</v>
          </cell>
        </row>
        <row r="569">
          <cell r="L569">
            <v>45699</v>
          </cell>
          <cell r="M569">
            <v>45716</v>
          </cell>
        </row>
        <row r="570">
          <cell r="A570">
            <v>9605</v>
          </cell>
        </row>
        <row r="570">
          <cell r="C570" t="str">
            <v>章鹏</v>
          </cell>
          <cell r="D570" t="str">
            <v>挡泥板</v>
          </cell>
        </row>
        <row r="570">
          <cell r="I570" t="e">
            <v>#N/A</v>
          </cell>
          <cell r="J570">
            <v>8749</v>
          </cell>
        </row>
        <row r="570">
          <cell r="L570">
            <v>45699</v>
          </cell>
          <cell r="M570">
            <v>45702</v>
          </cell>
        </row>
        <row r="571">
          <cell r="A571">
            <v>9606</v>
          </cell>
        </row>
        <row r="571">
          <cell r="C571" t="str">
            <v>章鹏</v>
          </cell>
          <cell r="D571" t="str">
            <v>挡泥板</v>
          </cell>
        </row>
        <row r="571">
          <cell r="I571" t="e">
            <v>#N/A</v>
          </cell>
          <cell r="J571">
            <v>8665</v>
          </cell>
        </row>
        <row r="571">
          <cell r="L571">
            <v>45704</v>
          </cell>
          <cell r="M571">
            <v>45714</v>
          </cell>
        </row>
        <row r="572">
          <cell r="A572">
            <v>9645</v>
          </cell>
        </row>
        <row r="572">
          <cell r="C572" t="str">
            <v>章鹏</v>
          </cell>
          <cell r="D572" t="str">
            <v>挡泥板</v>
          </cell>
        </row>
        <row r="572">
          <cell r="I572" t="e">
            <v>#N/A</v>
          </cell>
          <cell r="J572">
            <v>8671</v>
          </cell>
        </row>
        <row r="572">
          <cell r="L572">
            <v>45704</v>
          </cell>
          <cell r="M572">
            <v>45712</v>
          </cell>
        </row>
        <row r="573">
          <cell r="A573">
            <v>9159</v>
          </cell>
        </row>
        <row r="573">
          <cell r="C573" t="str">
            <v>章鹏</v>
          </cell>
          <cell r="D573" t="str">
            <v>挡泥板</v>
          </cell>
        </row>
        <row r="573">
          <cell r="I573" t="e">
            <v>#N/A</v>
          </cell>
          <cell r="J573">
            <v>8684</v>
          </cell>
        </row>
        <row r="573">
          <cell r="L573">
            <v>45705</v>
          </cell>
          <cell r="M573">
            <v>45705</v>
          </cell>
        </row>
        <row r="574">
          <cell r="A574">
            <v>5611</v>
          </cell>
        </row>
        <row r="574">
          <cell r="C574" t="str">
            <v>俞东旭</v>
          </cell>
          <cell r="D574" t="str">
            <v>车门系统</v>
          </cell>
        </row>
        <row r="574">
          <cell r="I574" t="e">
            <v>#N/A</v>
          </cell>
          <cell r="J574">
            <v>8594</v>
          </cell>
        </row>
        <row r="574">
          <cell r="L574">
            <v>45706</v>
          </cell>
          <cell r="M574">
            <v>45710</v>
          </cell>
        </row>
        <row r="575">
          <cell r="A575">
            <v>6906</v>
          </cell>
        </row>
        <row r="575">
          <cell r="C575" t="str">
            <v>俞东旭</v>
          </cell>
          <cell r="D575" t="str">
            <v>挡泥板</v>
          </cell>
        </row>
        <row r="575">
          <cell r="I575" t="e">
            <v>#N/A</v>
          </cell>
          <cell r="J575">
            <v>8843</v>
          </cell>
        </row>
        <row r="575">
          <cell r="L575">
            <v>45706</v>
          </cell>
          <cell r="M575">
            <v>45711</v>
          </cell>
        </row>
        <row r="576">
          <cell r="A576">
            <v>6907</v>
          </cell>
        </row>
        <row r="576">
          <cell r="C576" t="str">
            <v>俞东旭</v>
          </cell>
          <cell r="D576" t="str">
            <v>挡泥板</v>
          </cell>
        </row>
        <row r="576">
          <cell r="I576" t="e">
            <v>#N/A</v>
          </cell>
          <cell r="J576">
            <v>8844</v>
          </cell>
        </row>
        <row r="576">
          <cell r="L576">
            <v>45706</v>
          </cell>
          <cell r="M576">
            <v>45710</v>
          </cell>
        </row>
        <row r="577">
          <cell r="A577">
            <v>6872</v>
          </cell>
        </row>
        <row r="577">
          <cell r="C577" t="str">
            <v>俞东旭</v>
          </cell>
          <cell r="D577" t="str">
            <v>挡泥板</v>
          </cell>
        </row>
        <row r="577">
          <cell r="I577" t="e">
            <v>#N/A</v>
          </cell>
          <cell r="J577">
            <v>8752</v>
          </cell>
        </row>
        <row r="577">
          <cell r="L577">
            <v>45706</v>
          </cell>
          <cell r="M577">
            <v>45712</v>
          </cell>
        </row>
        <row r="578">
          <cell r="A578">
            <v>6873</v>
          </cell>
        </row>
        <row r="578">
          <cell r="C578" t="str">
            <v>俞东旭</v>
          </cell>
          <cell r="D578" t="str">
            <v>挡泥板</v>
          </cell>
        </row>
        <row r="578">
          <cell r="I578" t="e">
            <v>#N/A</v>
          </cell>
          <cell r="J578">
            <v>8753</v>
          </cell>
        </row>
        <row r="578">
          <cell r="L578">
            <v>45706</v>
          </cell>
          <cell r="M578">
            <v>45712</v>
          </cell>
        </row>
        <row r="579">
          <cell r="A579">
            <v>6908</v>
          </cell>
        </row>
        <row r="579">
          <cell r="C579" t="str">
            <v>俞东旭</v>
          </cell>
          <cell r="D579" t="str">
            <v>挡泥板</v>
          </cell>
        </row>
        <row r="579">
          <cell r="I579" t="e">
            <v>#N/A</v>
          </cell>
          <cell r="J579">
            <v>8754</v>
          </cell>
        </row>
        <row r="579">
          <cell r="L579">
            <v>45706</v>
          </cell>
          <cell r="M579">
            <v>45714</v>
          </cell>
        </row>
        <row r="580">
          <cell r="A580">
            <v>6909</v>
          </cell>
        </row>
        <row r="580">
          <cell r="C580" t="str">
            <v>俞东旭</v>
          </cell>
          <cell r="D580" t="str">
            <v>挡泥板</v>
          </cell>
        </row>
        <row r="580">
          <cell r="I580" t="e">
            <v>#N/A</v>
          </cell>
          <cell r="J580">
            <v>8879</v>
          </cell>
        </row>
        <row r="580">
          <cell r="L580">
            <v>45706</v>
          </cell>
          <cell r="M580">
            <v>45711</v>
          </cell>
        </row>
        <row r="581">
          <cell r="A581">
            <v>6910</v>
          </cell>
        </row>
        <row r="581">
          <cell r="C581" t="str">
            <v>俞东旭</v>
          </cell>
          <cell r="D581" t="str">
            <v>挡泥板</v>
          </cell>
        </row>
        <row r="581">
          <cell r="I581" t="e">
            <v>#N/A</v>
          </cell>
          <cell r="J581">
            <v>8936</v>
          </cell>
        </row>
        <row r="581">
          <cell r="L581">
            <v>45706</v>
          </cell>
          <cell r="M581">
            <v>45713</v>
          </cell>
        </row>
        <row r="582">
          <cell r="A582">
            <v>6911</v>
          </cell>
        </row>
        <row r="582">
          <cell r="C582" t="str">
            <v>俞东旭</v>
          </cell>
          <cell r="D582" t="str">
            <v>挡泥板</v>
          </cell>
        </row>
        <row r="582">
          <cell r="I582" t="e">
            <v>#N/A</v>
          </cell>
          <cell r="J582">
            <v>8842</v>
          </cell>
        </row>
        <row r="582">
          <cell r="L582">
            <v>45706</v>
          </cell>
          <cell r="M582">
            <v>45710</v>
          </cell>
        </row>
        <row r="583">
          <cell r="A583">
            <v>6912</v>
          </cell>
        </row>
        <row r="583">
          <cell r="C583" t="str">
            <v>俞东旭</v>
          </cell>
          <cell r="D583" t="str">
            <v>挡泥板</v>
          </cell>
        </row>
        <row r="583">
          <cell r="I583" t="e">
            <v>#N/A</v>
          </cell>
          <cell r="J583">
            <v>8852</v>
          </cell>
        </row>
        <row r="583">
          <cell r="L583">
            <v>45707</v>
          </cell>
          <cell r="M583">
            <v>45719</v>
          </cell>
        </row>
        <row r="584">
          <cell r="A584">
            <v>6913</v>
          </cell>
        </row>
        <row r="584">
          <cell r="C584" t="str">
            <v>俞东旭</v>
          </cell>
          <cell r="D584" t="str">
            <v>挡泥板</v>
          </cell>
        </row>
        <row r="584">
          <cell r="I584" t="e">
            <v>#N/A</v>
          </cell>
          <cell r="J584">
            <v>8781</v>
          </cell>
        </row>
        <row r="584">
          <cell r="L584">
            <v>45707</v>
          </cell>
          <cell r="M584">
            <v>45722</v>
          </cell>
        </row>
        <row r="585">
          <cell r="A585">
            <v>6914</v>
          </cell>
        </row>
        <row r="585">
          <cell r="C585" t="str">
            <v>俞东旭</v>
          </cell>
          <cell r="D585" t="str">
            <v>挡泥板</v>
          </cell>
        </row>
        <row r="585">
          <cell r="I585" t="e">
            <v>#N/A</v>
          </cell>
          <cell r="J585">
            <v>8783</v>
          </cell>
        </row>
        <row r="585">
          <cell r="L585">
            <v>45706</v>
          </cell>
          <cell r="M585">
            <v>45717</v>
          </cell>
        </row>
        <row r="586">
          <cell r="A586">
            <v>6915</v>
          </cell>
        </row>
        <row r="586">
          <cell r="C586" t="str">
            <v>俞东旭</v>
          </cell>
          <cell r="D586" t="str">
            <v>挡泥板</v>
          </cell>
        </row>
        <row r="586">
          <cell r="I586" t="e">
            <v>#N/A</v>
          </cell>
          <cell r="J586">
            <v>8784</v>
          </cell>
        </row>
        <row r="586">
          <cell r="L586">
            <v>45706</v>
          </cell>
          <cell r="M586">
            <v>45715</v>
          </cell>
        </row>
        <row r="587">
          <cell r="A587">
            <v>7189</v>
          </cell>
        </row>
        <row r="587">
          <cell r="C587" t="str">
            <v>俞东旭</v>
          </cell>
          <cell r="D587" t="str">
            <v>挡泥板</v>
          </cell>
        </row>
        <row r="587">
          <cell r="I587" t="e">
            <v>#N/A</v>
          </cell>
          <cell r="J587">
            <v>8947</v>
          </cell>
        </row>
        <row r="587">
          <cell r="L587">
            <v>45708</v>
          </cell>
          <cell r="M587">
            <v>45720</v>
          </cell>
        </row>
        <row r="588">
          <cell r="A588">
            <v>7190</v>
          </cell>
        </row>
        <row r="588">
          <cell r="C588" t="str">
            <v>俞东旭</v>
          </cell>
          <cell r="D588" t="str">
            <v>挡泥板</v>
          </cell>
        </row>
        <row r="588">
          <cell r="I588" t="e">
            <v>#N/A</v>
          </cell>
          <cell r="J588">
            <v>8768</v>
          </cell>
        </row>
        <row r="588">
          <cell r="L588">
            <v>45708</v>
          </cell>
          <cell r="M588">
            <v>45719</v>
          </cell>
        </row>
        <row r="589">
          <cell r="A589">
            <v>7314</v>
          </cell>
        </row>
        <row r="589">
          <cell r="C589" t="str">
            <v>俞东旭</v>
          </cell>
          <cell r="D589" t="str">
            <v>挡泥板</v>
          </cell>
        </row>
        <row r="589">
          <cell r="I589" t="e">
            <v>#N/A</v>
          </cell>
          <cell r="J589">
            <v>8774</v>
          </cell>
        </row>
        <row r="589">
          <cell r="L589">
            <v>45708</v>
          </cell>
          <cell r="M589">
            <v>45712</v>
          </cell>
        </row>
        <row r="590">
          <cell r="A590">
            <v>7315</v>
          </cell>
        </row>
        <row r="590">
          <cell r="C590" t="str">
            <v>俞东旭</v>
          </cell>
          <cell r="D590" t="str">
            <v>挡泥板</v>
          </cell>
        </row>
        <row r="590">
          <cell r="I590" t="e">
            <v>#N/A</v>
          </cell>
          <cell r="J590">
            <v>8775</v>
          </cell>
        </row>
        <row r="590">
          <cell r="L590">
            <v>45708</v>
          </cell>
          <cell r="M590">
            <v>45756</v>
          </cell>
        </row>
        <row r="591">
          <cell r="A591">
            <v>7248</v>
          </cell>
        </row>
        <row r="591">
          <cell r="C591" t="str">
            <v>俞东旭</v>
          </cell>
          <cell r="D591" t="str">
            <v>挡泥板</v>
          </cell>
        </row>
        <row r="591">
          <cell r="I591" t="e">
            <v>#N/A</v>
          </cell>
          <cell r="J591">
            <v>8776</v>
          </cell>
        </row>
        <row r="591">
          <cell r="L591">
            <v>45708</v>
          </cell>
          <cell r="M591">
            <v>45746</v>
          </cell>
        </row>
        <row r="592">
          <cell r="A592">
            <v>7316</v>
          </cell>
        </row>
        <row r="592">
          <cell r="C592" t="str">
            <v>俞东旭</v>
          </cell>
          <cell r="D592" t="str">
            <v>挡泥板</v>
          </cell>
        </row>
        <row r="592">
          <cell r="I592" t="e">
            <v>#N/A</v>
          </cell>
          <cell r="J592">
            <v>8777</v>
          </cell>
        </row>
        <row r="592">
          <cell r="L592">
            <v>45708</v>
          </cell>
          <cell r="M592">
            <v>45714</v>
          </cell>
        </row>
        <row r="593">
          <cell r="A593">
            <v>7317</v>
          </cell>
        </row>
        <row r="593">
          <cell r="C593" t="str">
            <v>俞东旭</v>
          </cell>
          <cell r="D593" t="str">
            <v>挡泥板</v>
          </cell>
        </row>
        <row r="593">
          <cell r="I593" t="e">
            <v>#N/A</v>
          </cell>
          <cell r="J593">
            <v>8778</v>
          </cell>
        </row>
        <row r="593">
          <cell r="L593">
            <v>45708</v>
          </cell>
          <cell r="M593">
            <v>45716</v>
          </cell>
        </row>
        <row r="594">
          <cell r="A594">
            <v>7249</v>
          </cell>
        </row>
        <row r="594">
          <cell r="C594" t="str">
            <v>俞东旭</v>
          </cell>
          <cell r="D594" t="str">
            <v>挡泥板</v>
          </cell>
        </row>
        <row r="594">
          <cell r="I594" t="e">
            <v>#N/A</v>
          </cell>
          <cell r="J594">
            <v>8779</v>
          </cell>
        </row>
        <row r="594">
          <cell r="L594">
            <v>45708</v>
          </cell>
          <cell r="M594">
            <v>45710</v>
          </cell>
        </row>
        <row r="595">
          <cell r="A595">
            <v>7250</v>
          </cell>
        </row>
        <row r="595">
          <cell r="C595" t="str">
            <v>俞东旭</v>
          </cell>
          <cell r="D595" t="str">
            <v>挡泥板</v>
          </cell>
        </row>
        <row r="595">
          <cell r="I595" t="e">
            <v>#N/A</v>
          </cell>
          <cell r="J595">
            <v>8780</v>
          </cell>
        </row>
        <row r="595">
          <cell r="L595">
            <v>45708</v>
          </cell>
          <cell r="M595">
            <v>45709</v>
          </cell>
        </row>
        <row r="596">
          <cell r="A596">
            <v>7318</v>
          </cell>
        </row>
        <row r="596">
          <cell r="C596" t="str">
            <v>俞东旭</v>
          </cell>
          <cell r="D596" t="str">
            <v>挡泥板</v>
          </cell>
        </row>
        <row r="596">
          <cell r="I596" t="e">
            <v>#N/A</v>
          </cell>
          <cell r="J596">
            <v>8766</v>
          </cell>
        </row>
        <row r="596">
          <cell r="L596">
            <v>45709</v>
          </cell>
          <cell r="M596">
            <v>45712</v>
          </cell>
        </row>
        <row r="597">
          <cell r="A597">
            <v>7319</v>
          </cell>
        </row>
        <row r="597">
          <cell r="C597" t="str">
            <v>俞东旭</v>
          </cell>
          <cell r="D597" t="str">
            <v>挡泥板</v>
          </cell>
        </row>
        <row r="597">
          <cell r="I597" t="e">
            <v>#N/A</v>
          </cell>
          <cell r="J597">
            <v>8849</v>
          </cell>
        </row>
        <row r="597">
          <cell r="L597">
            <v>45709</v>
          </cell>
          <cell r="M597">
            <v>45712</v>
          </cell>
        </row>
        <row r="598">
          <cell r="A598">
            <v>7348</v>
          </cell>
        </row>
        <row r="598">
          <cell r="C598" t="str">
            <v>俞东旭</v>
          </cell>
          <cell r="D598" t="str">
            <v>挡泥板</v>
          </cell>
        </row>
        <row r="598">
          <cell r="I598" t="e">
            <v>#N/A</v>
          </cell>
          <cell r="J598">
            <v>8757</v>
          </cell>
        </row>
        <row r="598">
          <cell r="L598">
            <v>45713</v>
          </cell>
          <cell r="M598">
            <v>45714</v>
          </cell>
        </row>
        <row r="599">
          <cell r="A599">
            <v>7349</v>
          </cell>
        </row>
        <row r="599">
          <cell r="C599" t="str">
            <v>俞东旭</v>
          </cell>
          <cell r="D599" t="str">
            <v>挡泥板</v>
          </cell>
        </row>
        <row r="599">
          <cell r="I599" t="e">
            <v>#N/A</v>
          </cell>
          <cell r="J599">
            <v>8758</v>
          </cell>
        </row>
        <row r="599">
          <cell r="L599">
            <v>45713</v>
          </cell>
          <cell r="M599">
            <v>45728</v>
          </cell>
        </row>
        <row r="600">
          <cell r="A600">
            <v>7193</v>
          </cell>
        </row>
        <row r="600">
          <cell r="C600" t="str">
            <v>俞东旭</v>
          </cell>
          <cell r="D600" t="str">
            <v>挡泥板</v>
          </cell>
        </row>
        <row r="600">
          <cell r="I600" t="e">
            <v>#N/A</v>
          </cell>
          <cell r="J600">
            <v>8759</v>
          </cell>
        </row>
        <row r="600">
          <cell r="L600">
            <v>45713</v>
          </cell>
          <cell r="M600">
            <v>45715</v>
          </cell>
        </row>
        <row r="601">
          <cell r="A601">
            <v>7194</v>
          </cell>
        </row>
        <row r="601">
          <cell r="C601" t="str">
            <v>俞东旭</v>
          </cell>
          <cell r="D601" t="str">
            <v>挡泥板</v>
          </cell>
        </row>
        <row r="601">
          <cell r="I601" t="e">
            <v>#N/A</v>
          </cell>
          <cell r="J601">
            <v>8760</v>
          </cell>
        </row>
        <row r="601">
          <cell r="L601">
            <v>45713</v>
          </cell>
          <cell r="M601">
            <v>45715</v>
          </cell>
        </row>
        <row r="602">
          <cell r="A602">
            <v>7421</v>
          </cell>
        </row>
        <row r="602">
          <cell r="C602" t="str">
            <v>俞东旭</v>
          </cell>
          <cell r="D602" t="str">
            <v>挡泥板</v>
          </cell>
        </row>
        <row r="602">
          <cell r="I602" t="e">
            <v>#N/A</v>
          </cell>
          <cell r="J602">
            <v>8845</v>
          </cell>
        </row>
        <row r="602">
          <cell r="L602">
            <v>45713</v>
          </cell>
          <cell r="M602">
            <v>45723</v>
          </cell>
        </row>
        <row r="603">
          <cell r="A603">
            <v>7422</v>
          </cell>
        </row>
        <row r="603">
          <cell r="C603" t="str">
            <v>俞东旭</v>
          </cell>
          <cell r="D603" t="str">
            <v>挡泥板</v>
          </cell>
        </row>
        <row r="603">
          <cell r="I603" t="e">
            <v>#N/A</v>
          </cell>
          <cell r="J603">
            <v>8846</v>
          </cell>
        </row>
        <row r="603">
          <cell r="L603">
            <v>45713</v>
          </cell>
          <cell r="M603">
            <v>45725</v>
          </cell>
        </row>
        <row r="604">
          <cell r="A604">
            <v>7251</v>
          </cell>
        </row>
        <row r="604">
          <cell r="C604" t="str">
            <v>俞东旭</v>
          </cell>
          <cell r="D604" t="str">
            <v>挡泥板</v>
          </cell>
        </row>
        <row r="604">
          <cell r="I604" t="e">
            <v>#N/A</v>
          </cell>
          <cell r="J604">
            <v>8847</v>
          </cell>
        </row>
        <row r="604">
          <cell r="L604">
            <v>45713</v>
          </cell>
          <cell r="M604">
            <v>45717</v>
          </cell>
        </row>
        <row r="605">
          <cell r="A605">
            <v>7252</v>
          </cell>
        </row>
        <row r="605">
          <cell r="C605" t="str">
            <v>俞东旭</v>
          </cell>
          <cell r="D605" t="str">
            <v>挡泥板</v>
          </cell>
        </row>
        <row r="605">
          <cell r="I605" t="e">
            <v>#N/A</v>
          </cell>
          <cell r="J605">
            <v>8848</v>
          </cell>
        </row>
        <row r="605">
          <cell r="L605">
            <v>45713</v>
          </cell>
          <cell r="M605">
            <v>45721</v>
          </cell>
        </row>
        <row r="606">
          <cell r="A606">
            <v>7195</v>
          </cell>
        </row>
        <row r="606">
          <cell r="C606" t="str">
            <v>俞东旭</v>
          </cell>
          <cell r="D606" t="str">
            <v>挡泥板</v>
          </cell>
        </row>
        <row r="606">
          <cell r="I606" t="e">
            <v>#N/A</v>
          </cell>
          <cell r="J606">
            <v>8767</v>
          </cell>
        </row>
        <row r="606">
          <cell r="L606">
            <v>45713</v>
          </cell>
          <cell r="M606">
            <v>45713</v>
          </cell>
        </row>
        <row r="607">
          <cell r="A607">
            <v>7196</v>
          </cell>
        </row>
        <row r="607">
          <cell r="C607" t="str">
            <v>俞东旭</v>
          </cell>
          <cell r="D607" t="str">
            <v>挡泥板</v>
          </cell>
        </row>
        <row r="607">
          <cell r="I607" t="e">
            <v>#N/A</v>
          </cell>
          <cell r="J607">
            <v>8769</v>
          </cell>
        </row>
        <row r="607">
          <cell r="L607">
            <v>45713</v>
          </cell>
          <cell r="M607">
            <v>45714</v>
          </cell>
        </row>
        <row r="608">
          <cell r="A608">
            <v>8196</v>
          </cell>
        </row>
        <row r="608">
          <cell r="C608" t="str">
            <v>俞东旭</v>
          </cell>
          <cell r="D608" t="str">
            <v>挡泥板</v>
          </cell>
        </row>
        <row r="608">
          <cell r="I608" t="e">
            <v>#N/A</v>
          </cell>
          <cell r="J608">
            <v>8850</v>
          </cell>
        </row>
        <row r="608">
          <cell r="L608">
            <v>45713</v>
          </cell>
          <cell r="M608">
            <v>45715</v>
          </cell>
        </row>
        <row r="609">
          <cell r="A609">
            <v>8125</v>
          </cell>
        </row>
        <row r="609">
          <cell r="C609" t="str">
            <v>俞东旭</v>
          </cell>
          <cell r="D609" t="str">
            <v>挡泥板</v>
          </cell>
        </row>
        <row r="609">
          <cell r="I609" t="e">
            <v>#N/A</v>
          </cell>
          <cell r="J609">
            <v>8851</v>
          </cell>
        </row>
        <row r="609">
          <cell r="L609">
            <v>45713</v>
          </cell>
          <cell r="M609">
            <v>45719</v>
          </cell>
        </row>
        <row r="610">
          <cell r="A610">
            <v>8392</v>
          </cell>
        </row>
        <row r="610">
          <cell r="C610" t="str">
            <v>俞东旭</v>
          </cell>
          <cell r="D610" t="str">
            <v>挡泥板</v>
          </cell>
        </row>
        <row r="610">
          <cell r="I610" t="e">
            <v>#N/A</v>
          </cell>
          <cell r="J610">
            <v>8772</v>
          </cell>
        </row>
        <row r="610">
          <cell r="L610">
            <v>45713</v>
          </cell>
          <cell r="M610">
            <v>45717</v>
          </cell>
        </row>
        <row r="611">
          <cell r="A611">
            <v>8757</v>
          </cell>
        </row>
        <row r="611">
          <cell r="C611" t="str">
            <v>胡煜星</v>
          </cell>
          <cell r="D611" t="str">
            <v>玻璃</v>
          </cell>
        </row>
        <row r="611">
          <cell r="I611" t="e">
            <v>#N/A</v>
          </cell>
          <cell r="J611">
            <v>8782</v>
          </cell>
        </row>
        <row r="611">
          <cell r="L611">
            <v>45714</v>
          </cell>
          <cell r="M611">
            <v>45817</v>
          </cell>
        </row>
        <row r="612">
          <cell r="A612">
            <v>8758</v>
          </cell>
        </row>
        <row r="612">
          <cell r="C612" t="str">
            <v>胡煜星</v>
          </cell>
          <cell r="D612" t="str">
            <v>玻璃</v>
          </cell>
        </row>
        <row r="612">
          <cell r="I612" t="e">
            <v>#N/A</v>
          </cell>
          <cell r="J612">
            <v>8669</v>
          </cell>
        </row>
        <row r="612">
          <cell r="L612">
            <v>45715</v>
          </cell>
          <cell r="M612">
            <v>45720</v>
          </cell>
        </row>
        <row r="613">
          <cell r="A613">
            <v>8759</v>
          </cell>
        </row>
        <row r="613">
          <cell r="C613" t="str">
            <v>胡煜星</v>
          </cell>
          <cell r="D613" t="str">
            <v>玻璃</v>
          </cell>
        </row>
        <row r="613">
          <cell r="I613" t="e">
            <v>#N/A</v>
          </cell>
          <cell r="J613">
            <v>8865</v>
          </cell>
        </row>
        <row r="613">
          <cell r="L613">
            <v>45715</v>
          </cell>
          <cell r="M613">
            <v>45732</v>
          </cell>
        </row>
        <row r="614">
          <cell r="A614">
            <v>8760</v>
          </cell>
        </row>
        <row r="614">
          <cell r="C614" t="str">
            <v>胡煜星</v>
          </cell>
          <cell r="D614" t="str">
            <v>玻璃</v>
          </cell>
        </row>
        <row r="614">
          <cell r="I614" t="str">
            <v>拓展品</v>
          </cell>
          <cell r="J614">
            <v>8904</v>
          </cell>
        </row>
        <row r="614">
          <cell r="L614">
            <v>45719</v>
          </cell>
          <cell r="M614">
            <v>45727</v>
          </cell>
        </row>
        <row r="615">
          <cell r="A615">
            <v>9649</v>
          </cell>
        </row>
        <row r="615">
          <cell r="C615" t="str">
            <v>胡煜星</v>
          </cell>
          <cell r="D615" t="str">
            <v>玻璃</v>
          </cell>
        </row>
        <row r="615">
          <cell r="I615" t="str">
            <v>拓展品</v>
          </cell>
          <cell r="J615">
            <v>8905</v>
          </cell>
        </row>
        <row r="615">
          <cell r="L615">
            <v>45719</v>
          </cell>
          <cell r="M615">
            <v>45770</v>
          </cell>
        </row>
        <row r="616">
          <cell r="A616">
            <v>9885</v>
          </cell>
        </row>
        <row r="616">
          <cell r="C616" t="str">
            <v>转二部</v>
          </cell>
          <cell r="D616" t="str">
            <v>玻璃</v>
          </cell>
        </row>
        <row r="616">
          <cell r="I616" t="str">
            <v>拓展品</v>
          </cell>
          <cell r="J616">
            <v>8901</v>
          </cell>
        </row>
        <row r="616">
          <cell r="L616">
            <v>45719</v>
          </cell>
          <cell r="M616">
            <v>45724</v>
          </cell>
        </row>
        <row r="617">
          <cell r="A617">
            <v>9650</v>
          </cell>
        </row>
        <row r="617">
          <cell r="C617" t="str">
            <v>胡煜星</v>
          </cell>
          <cell r="D617" t="str">
            <v>玻璃</v>
          </cell>
        </row>
        <row r="617">
          <cell r="I617" t="str">
            <v>拓展品</v>
          </cell>
          <cell r="J617">
            <v>8902</v>
          </cell>
        </row>
        <row r="617">
          <cell r="L617">
            <v>45719</v>
          </cell>
          <cell r="M617">
            <v>45724</v>
          </cell>
        </row>
        <row r="618">
          <cell r="A618">
            <v>9165</v>
          </cell>
        </row>
        <row r="618">
          <cell r="C618" t="str">
            <v>胡煜星</v>
          </cell>
          <cell r="D618" t="str">
            <v>玻璃</v>
          </cell>
        </row>
        <row r="618">
          <cell r="I618" t="str">
            <v>拓展品</v>
          </cell>
          <cell r="J618">
            <v>8914</v>
          </cell>
        </row>
        <row r="618">
          <cell r="L618">
            <v>45719</v>
          </cell>
          <cell r="M618">
            <v>45731</v>
          </cell>
        </row>
        <row r="619">
          <cell r="A619">
            <v>9166</v>
          </cell>
        </row>
        <row r="619">
          <cell r="C619" t="str">
            <v>转二部</v>
          </cell>
          <cell r="D619" t="str">
            <v>玻璃</v>
          </cell>
        </row>
        <row r="619">
          <cell r="I619" t="str">
            <v>拓展品</v>
          </cell>
          <cell r="J619">
            <v>8915</v>
          </cell>
        </row>
        <row r="619">
          <cell r="L619">
            <v>45719</v>
          </cell>
          <cell r="M619">
            <v>45776</v>
          </cell>
        </row>
        <row r="620">
          <cell r="A620">
            <v>9121</v>
          </cell>
        </row>
        <row r="620">
          <cell r="C620" t="str">
            <v>胡煜星</v>
          </cell>
          <cell r="D620" t="str">
            <v>玻璃</v>
          </cell>
        </row>
        <row r="620">
          <cell r="I620" t="str">
            <v>拓展品</v>
          </cell>
          <cell r="J620">
            <v>8916</v>
          </cell>
        </row>
        <row r="620">
          <cell r="L620">
            <v>45719</v>
          </cell>
          <cell r="M620">
            <v>45722</v>
          </cell>
        </row>
        <row r="621">
          <cell r="A621">
            <v>9901</v>
          </cell>
        </row>
        <row r="621">
          <cell r="C621" t="str">
            <v>胡煜星</v>
          </cell>
          <cell r="D621" t="str">
            <v>玻璃</v>
          </cell>
        </row>
        <row r="621">
          <cell r="I621" t="str">
            <v>拓展品</v>
          </cell>
          <cell r="J621">
            <v>8911</v>
          </cell>
        </row>
        <row r="621">
          <cell r="L621">
            <v>45719</v>
          </cell>
          <cell r="M621">
            <v>45743</v>
          </cell>
        </row>
        <row r="622">
          <cell r="A622">
            <v>9895</v>
          </cell>
        </row>
        <row r="622">
          <cell r="C622" t="str">
            <v>胡煜星</v>
          </cell>
          <cell r="D622" t="str">
            <v>玻璃</v>
          </cell>
        </row>
        <row r="622">
          <cell r="I622" t="str">
            <v>拓展品</v>
          </cell>
          <cell r="J622">
            <v>8912</v>
          </cell>
        </row>
        <row r="622">
          <cell r="L622">
            <v>45719</v>
          </cell>
          <cell r="M622">
            <v>45730</v>
          </cell>
        </row>
        <row r="623">
          <cell r="A623">
            <v>8116</v>
          </cell>
        </row>
        <row r="623">
          <cell r="C623" t="str">
            <v>胡煜星</v>
          </cell>
          <cell r="D623" t="str">
            <v>玻璃</v>
          </cell>
        </row>
        <row r="623">
          <cell r="I623" t="str">
            <v>拓展品</v>
          </cell>
          <cell r="J623">
            <v>8913</v>
          </cell>
        </row>
        <row r="623">
          <cell r="L623">
            <v>45719</v>
          </cell>
          <cell r="M623">
            <v>45727</v>
          </cell>
        </row>
        <row r="624">
          <cell r="A624">
            <v>9623</v>
          </cell>
        </row>
        <row r="624">
          <cell r="C624" t="str">
            <v>转二部</v>
          </cell>
          <cell r="D624" t="str">
            <v>玻璃</v>
          </cell>
        </row>
        <row r="624">
          <cell r="I624" t="str">
            <v>原开品</v>
          </cell>
          <cell r="J624">
            <v>9084</v>
          </cell>
        </row>
        <row r="624">
          <cell r="L624">
            <v>45720</v>
          </cell>
          <cell r="M624">
            <v>45742</v>
          </cell>
        </row>
        <row r="625">
          <cell r="A625">
            <v>8727</v>
          </cell>
        </row>
        <row r="625">
          <cell r="C625" t="str">
            <v>胡煜星</v>
          </cell>
          <cell r="D625" t="str">
            <v>玻璃</v>
          </cell>
        </row>
        <row r="625">
          <cell r="I625" t="str">
            <v>拓展品</v>
          </cell>
          <cell r="J625">
            <v>8959</v>
          </cell>
        </row>
        <row r="625">
          <cell r="L625">
            <v>45722</v>
          </cell>
          <cell r="M625">
            <v>45738</v>
          </cell>
        </row>
        <row r="626">
          <cell r="A626">
            <v>8845</v>
          </cell>
        </row>
        <row r="626">
          <cell r="C626" t="str">
            <v>胡煜星</v>
          </cell>
          <cell r="D626" t="str">
            <v>玻璃</v>
          </cell>
        </row>
        <row r="626">
          <cell r="I626" t="str">
            <v>原开品</v>
          </cell>
          <cell r="J626">
            <v>8900</v>
          </cell>
        </row>
        <row r="626">
          <cell r="L626">
            <v>45722</v>
          </cell>
          <cell r="M626">
            <v>45727</v>
          </cell>
        </row>
        <row r="627">
          <cell r="A627">
            <v>9513</v>
          </cell>
        </row>
        <row r="627">
          <cell r="C627" t="str">
            <v>胡煜星</v>
          </cell>
          <cell r="D627" t="str">
            <v>玻璃</v>
          </cell>
        </row>
        <row r="627">
          <cell r="I627" t="str">
            <v>原开品</v>
          </cell>
          <cell r="J627">
            <v>8840</v>
          </cell>
        </row>
        <row r="627">
          <cell r="L627">
            <v>45722</v>
          </cell>
          <cell r="M627">
            <v>45730</v>
          </cell>
        </row>
        <row r="628">
          <cell r="A628">
            <v>9625</v>
          </cell>
        </row>
        <row r="628">
          <cell r="C628" t="str">
            <v>胡煜星</v>
          </cell>
          <cell r="D628" t="str">
            <v>玻璃</v>
          </cell>
        </row>
        <row r="628">
          <cell r="I628" t="str">
            <v>原开品</v>
          </cell>
          <cell r="J628">
            <v>8841</v>
          </cell>
        </row>
        <row r="628">
          <cell r="L628">
            <v>45722</v>
          </cell>
          <cell r="M628">
            <v>45727</v>
          </cell>
        </row>
        <row r="629">
          <cell r="A629">
            <v>8847</v>
          </cell>
        </row>
        <row r="629">
          <cell r="C629" t="str">
            <v>胡煜星</v>
          </cell>
          <cell r="D629" t="str">
            <v>玻璃</v>
          </cell>
        </row>
        <row r="629">
          <cell r="I629" t="str">
            <v>拓展品</v>
          </cell>
          <cell r="J629">
            <v>8988</v>
          </cell>
        </row>
        <row r="629">
          <cell r="L629">
            <v>45722</v>
          </cell>
          <cell r="M629">
            <v>45731</v>
          </cell>
        </row>
        <row r="630">
          <cell r="A630">
            <v>8848</v>
          </cell>
        </row>
        <row r="630">
          <cell r="C630" t="str">
            <v>胡煜星</v>
          </cell>
          <cell r="D630" t="str">
            <v>玻璃</v>
          </cell>
        </row>
        <row r="630">
          <cell r="I630" t="str">
            <v>拓展品</v>
          </cell>
          <cell r="J630">
            <v>8960</v>
          </cell>
        </row>
        <row r="630">
          <cell r="L630">
            <v>45722</v>
          </cell>
          <cell r="M630">
            <v>45730</v>
          </cell>
        </row>
        <row r="631">
          <cell r="A631">
            <v>9514</v>
          </cell>
        </row>
        <row r="631">
          <cell r="C631" t="str">
            <v>胡煜星</v>
          </cell>
          <cell r="D631" t="str">
            <v>玻璃</v>
          </cell>
        </row>
        <row r="631">
          <cell r="I631" t="str">
            <v>拓展品</v>
          </cell>
          <cell r="J631">
            <v>8961</v>
          </cell>
        </row>
        <row r="631">
          <cell r="L631">
            <v>45722</v>
          </cell>
          <cell r="M631">
            <v>45726</v>
          </cell>
        </row>
        <row r="632">
          <cell r="A632">
            <v>8437</v>
          </cell>
        </row>
        <row r="632">
          <cell r="C632" t="str">
            <v>胡煜星</v>
          </cell>
          <cell r="D632" t="str">
            <v>玻璃</v>
          </cell>
        </row>
        <row r="632">
          <cell r="I632" t="str">
            <v>原开品</v>
          </cell>
          <cell r="J632">
            <v>8967</v>
          </cell>
        </row>
        <row r="632">
          <cell r="L632">
            <v>45725</v>
          </cell>
          <cell r="M632">
            <v>45726</v>
          </cell>
        </row>
        <row r="633">
          <cell r="A633">
            <v>8766</v>
          </cell>
        </row>
        <row r="633">
          <cell r="C633" t="str">
            <v>胡煜星</v>
          </cell>
          <cell r="D633" t="str">
            <v>玻璃</v>
          </cell>
        </row>
        <row r="633">
          <cell r="I633" t="str">
            <v>原开品</v>
          </cell>
          <cell r="J633">
            <v>8968</v>
          </cell>
        </row>
        <row r="633">
          <cell r="L633">
            <v>45725</v>
          </cell>
          <cell r="M633">
            <v>45754</v>
          </cell>
        </row>
        <row r="634">
          <cell r="A634">
            <v>8767</v>
          </cell>
        </row>
        <row r="634">
          <cell r="C634" t="str">
            <v>胡煜星</v>
          </cell>
          <cell r="D634" t="str">
            <v>玻璃</v>
          </cell>
        </row>
        <row r="634">
          <cell r="I634" t="str">
            <v>拓展品</v>
          </cell>
          <cell r="J634">
            <v>9426</v>
          </cell>
        </row>
        <row r="634">
          <cell r="L634">
            <v>45725</v>
          </cell>
          <cell r="M634">
            <v>45890</v>
          </cell>
        </row>
        <row r="635">
          <cell r="A635">
            <v>8768</v>
          </cell>
        </row>
        <row r="635">
          <cell r="C635" t="str">
            <v>胡煜星</v>
          </cell>
          <cell r="D635" t="str">
            <v>玻璃</v>
          </cell>
        </row>
        <row r="635">
          <cell r="I635" t="str">
            <v>原开品</v>
          </cell>
          <cell r="J635">
            <v>8984</v>
          </cell>
        </row>
        <row r="635">
          <cell r="L635">
            <v>45725</v>
          </cell>
          <cell r="M635">
            <v>45728</v>
          </cell>
        </row>
        <row r="636">
          <cell r="A636">
            <v>8769</v>
          </cell>
        </row>
        <row r="636">
          <cell r="C636" t="str">
            <v>胡煜星</v>
          </cell>
          <cell r="D636" t="str">
            <v>玻璃</v>
          </cell>
        </row>
        <row r="636">
          <cell r="I636" t="str">
            <v>原开品</v>
          </cell>
          <cell r="J636">
            <v>9123</v>
          </cell>
        </row>
        <row r="636">
          <cell r="L636">
            <v>45725</v>
          </cell>
          <cell r="M636">
            <v>45741</v>
          </cell>
        </row>
        <row r="637">
          <cell r="A637">
            <v>8696</v>
          </cell>
        </row>
        <row r="637">
          <cell r="C637" t="str">
            <v>转二部</v>
          </cell>
          <cell r="D637" t="str">
            <v>玻璃</v>
          </cell>
        </row>
        <row r="637">
          <cell r="I637" t="str">
            <v>原开品</v>
          </cell>
          <cell r="J637">
            <v>9124</v>
          </cell>
        </row>
        <row r="637">
          <cell r="L637">
            <v>45725</v>
          </cell>
          <cell r="M637">
            <v>45738</v>
          </cell>
        </row>
        <row r="638">
          <cell r="A638">
            <v>8697</v>
          </cell>
        </row>
        <row r="638">
          <cell r="C638" t="str">
            <v>胡煜星</v>
          </cell>
          <cell r="D638" t="str">
            <v>玻璃</v>
          </cell>
        </row>
        <row r="638">
          <cell r="I638" t="str">
            <v>拓展品</v>
          </cell>
          <cell r="J638">
            <v>9427</v>
          </cell>
        </row>
        <row r="638">
          <cell r="L638">
            <v>45726</v>
          </cell>
        </row>
        <row r="639">
          <cell r="A639">
            <v>8849</v>
          </cell>
        </row>
        <row r="639">
          <cell r="C639" t="str">
            <v>胡煜星</v>
          </cell>
          <cell r="D639" t="str">
            <v>玻璃</v>
          </cell>
        </row>
        <row r="639">
          <cell r="I639" t="str">
            <v>原开品</v>
          </cell>
          <cell r="J639">
            <v>8999</v>
          </cell>
        </row>
        <row r="639">
          <cell r="L639">
            <v>45724</v>
          </cell>
          <cell r="M639">
            <v>45729</v>
          </cell>
        </row>
        <row r="640">
          <cell r="A640">
            <v>8850</v>
          </cell>
        </row>
        <row r="640">
          <cell r="C640" t="str">
            <v>胡煜星</v>
          </cell>
          <cell r="D640" t="str">
            <v>玻璃</v>
          </cell>
        </row>
        <row r="640">
          <cell r="I640" t="str">
            <v>原开品</v>
          </cell>
          <cell r="J640">
            <v>9000</v>
          </cell>
        </row>
        <row r="640">
          <cell r="L640">
            <v>45724</v>
          </cell>
          <cell r="M640">
            <v>45766</v>
          </cell>
        </row>
        <row r="641">
          <cell r="A641">
            <v>8851</v>
          </cell>
        </row>
        <row r="641">
          <cell r="C641" t="str">
            <v>胡煜星</v>
          </cell>
          <cell r="D641" t="str">
            <v>玻璃</v>
          </cell>
        </row>
        <row r="641">
          <cell r="I641" t="str">
            <v>拓展品</v>
          </cell>
          <cell r="J641">
            <v>9428</v>
          </cell>
        </row>
        <row r="641">
          <cell r="L641">
            <v>45726</v>
          </cell>
          <cell r="M641">
            <v>45728</v>
          </cell>
        </row>
        <row r="642">
          <cell r="A642">
            <v>8852</v>
          </cell>
        </row>
        <row r="642">
          <cell r="C642" t="str">
            <v>胡煜星</v>
          </cell>
          <cell r="D642" t="str">
            <v>玻璃</v>
          </cell>
        </row>
        <row r="642">
          <cell r="I642" t="str">
            <v>原开品</v>
          </cell>
          <cell r="J642">
            <v>9047</v>
          </cell>
        </row>
        <row r="642">
          <cell r="L642">
            <v>45725</v>
          </cell>
          <cell r="M642">
            <v>45774</v>
          </cell>
        </row>
        <row r="643">
          <cell r="A643">
            <v>9287</v>
          </cell>
        </row>
        <row r="643">
          <cell r="C643" t="str">
            <v>胡煜星</v>
          </cell>
          <cell r="D643" t="str">
            <v>玻璃</v>
          </cell>
        </row>
        <row r="643">
          <cell r="I643">
            <v>0</v>
          </cell>
          <cell r="J643">
            <v>8181</v>
          </cell>
        </row>
        <row r="643">
          <cell r="L643">
            <v>0</v>
          </cell>
          <cell r="M643">
            <v>46037</v>
          </cell>
        </row>
        <row r="644">
          <cell r="A644">
            <v>9288</v>
          </cell>
        </row>
        <row r="644">
          <cell r="C644" t="str">
            <v>胡煜星</v>
          </cell>
          <cell r="D644" t="str">
            <v>玻璃</v>
          </cell>
        </row>
        <row r="644">
          <cell r="I644" t="str">
            <v>原开品</v>
          </cell>
          <cell r="J644">
            <v>9083</v>
          </cell>
        </row>
        <row r="644">
          <cell r="L644">
            <v>45732</v>
          </cell>
          <cell r="M644">
            <v>45737</v>
          </cell>
        </row>
        <row r="645">
          <cell r="A645">
            <v>9123</v>
          </cell>
        </row>
        <row r="645">
          <cell r="C645" t="str">
            <v>胡煜星</v>
          </cell>
          <cell r="D645" t="str">
            <v>玻璃</v>
          </cell>
        </row>
        <row r="645">
          <cell r="I645" t="str">
            <v>原开品</v>
          </cell>
          <cell r="J645">
            <v>9121</v>
          </cell>
        </row>
        <row r="645">
          <cell r="L645">
            <v>45732</v>
          </cell>
          <cell r="M645">
            <v>45732</v>
          </cell>
        </row>
        <row r="646">
          <cell r="A646">
            <v>9124</v>
          </cell>
        </row>
        <row r="646">
          <cell r="C646" t="str">
            <v>转二部</v>
          </cell>
          <cell r="D646" t="str">
            <v>玻璃</v>
          </cell>
        </row>
        <row r="646">
          <cell r="I646" t="str">
            <v>原开品</v>
          </cell>
          <cell r="J646">
            <v>9122</v>
          </cell>
        </row>
        <row r="646">
          <cell r="L646">
            <v>45733</v>
          </cell>
          <cell r="M646">
            <v>45740</v>
          </cell>
        </row>
        <row r="647">
          <cell r="A647">
            <v>8616</v>
          </cell>
        </row>
        <row r="647">
          <cell r="C647" t="str">
            <v>胡煜星</v>
          </cell>
          <cell r="D647" t="str">
            <v>玻璃</v>
          </cell>
        </row>
        <row r="647">
          <cell r="I647" t="str">
            <v>原开品</v>
          </cell>
          <cell r="J647">
            <v>9433</v>
          </cell>
        </row>
        <row r="647">
          <cell r="L647">
            <v>45733</v>
          </cell>
          <cell r="M647">
            <v>46028</v>
          </cell>
        </row>
        <row r="648">
          <cell r="A648">
            <v>8617</v>
          </cell>
        </row>
        <row r="648">
          <cell r="C648" t="str">
            <v>胡煜星</v>
          </cell>
          <cell r="D648" t="str">
            <v>玻璃</v>
          </cell>
        </row>
        <row r="648">
          <cell r="I648" t="str">
            <v>原开品</v>
          </cell>
          <cell r="J648">
            <v>9429</v>
          </cell>
        </row>
        <row r="648">
          <cell r="L648">
            <v>45734</v>
          </cell>
          <cell r="M648">
            <v>45746</v>
          </cell>
        </row>
        <row r="649">
          <cell r="A649">
            <v>8770</v>
          </cell>
        </row>
        <row r="649">
          <cell r="C649" t="str">
            <v>胡煜星</v>
          </cell>
          <cell r="D649" t="str">
            <v>玻璃</v>
          </cell>
        </row>
        <row r="649">
          <cell r="I649" t="str">
            <v>原开品</v>
          </cell>
          <cell r="J649">
            <v>9430</v>
          </cell>
        </row>
        <row r="649">
          <cell r="L649">
            <v>45734</v>
          </cell>
          <cell r="M649">
            <v>45755</v>
          </cell>
        </row>
        <row r="650">
          <cell r="A650">
            <v>8771</v>
          </cell>
        </row>
        <row r="650">
          <cell r="C650" t="str">
            <v>胡煜星</v>
          </cell>
          <cell r="D650" t="str">
            <v>玻璃</v>
          </cell>
        </row>
        <row r="650">
          <cell r="I650" t="str">
            <v>原开品</v>
          </cell>
          <cell r="J650">
            <v>8727</v>
          </cell>
        </row>
        <row r="650">
          <cell r="L650">
            <v>45734</v>
          </cell>
          <cell r="M650">
            <v>45748</v>
          </cell>
        </row>
        <row r="651">
          <cell r="A651">
            <v>9812</v>
          </cell>
        </row>
        <row r="651">
          <cell r="C651" t="str">
            <v>胡煜星</v>
          </cell>
          <cell r="D651" t="str">
            <v>玻璃</v>
          </cell>
        </row>
        <row r="651">
          <cell r="I651" t="str">
            <v>拓展品</v>
          </cell>
          <cell r="J651">
            <v>9431</v>
          </cell>
        </row>
        <row r="651">
          <cell r="L651">
            <v>45734</v>
          </cell>
          <cell r="M651">
            <v>45758</v>
          </cell>
        </row>
        <row r="652">
          <cell r="A652">
            <v>8772</v>
          </cell>
        </row>
        <row r="652">
          <cell r="C652" t="str">
            <v>胡煜星</v>
          </cell>
          <cell r="D652" t="str">
            <v>玻璃</v>
          </cell>
        </row>
        <row r="652">
          <cell r="I652" t="str">
            <v>拓展品</v>
          </cell>
          <cell r="J652">
            <v>9432</v>
          </cell>
        </row>
        <row r="652">
          <cell r="L652">
            <v>45734</v>
          </cell>
          <cell r="M652">
            <v>45830</v>
          </cell>
        </row>
        <row r="653">
          <cell r="A653">
            <v>9088</v>
          </cell>
        </row>
        <row r="653">
          <cell r="C653" t="str">
            <v>胡煜星</v>
          </cell>
          <cell r="D653" t="str">
            <v>玻璃</v>
          </cell>
        </row>
        <row r="653">
          <cell r="I653" t="str">
            <v>拓展品</v>
          </cell>
          <cell r="J653">
            <v>8765</v>
          </cell>
        </row>
        <row r="653">
          <cell r="L653">
            <v>45733</v>
          </cell>
          <cell r="M653">
            <v>45736</v>
          </cell>
        </row>
        <row r="654">
          <cell r="A654">
            <v>9089</v>
          </cell>
        </row>
        <row r="654">
          <cell r="C654" t="str">
            <v>胡煜星</v>
          </cell>
          <cell r="D654" t="str">
            <v>玻璃</v>
          </cell>
        </row>
        <row r="654">
          <cell r="I654" t="str">
            <v>拓展品</v>
          </cell>
          <cell r="J654">
            <v>8917</v>
          </cell>
        </row>
        <row r="654">
          <cell r="L654">
            <v>45734</v>
          </cell>
          <cell r="M654">
            <v>45788</v>
          </cell>
        </row>
        <row r="655">
          <cell r="A655">
            <v>8773</v>
          </cell>
        </row>
        <row r="655">
          <cell r="C655" t="str">
            <v>转二部</v>
          </cell>
          <cell r="D655" t="str">
            <v>玻璃</v>
          </cell>
        </row>
        <row r="655">
          <cell r="I655" t="str">
            <v>拓展品</v>
          </cell>
          <cell r="J655">
            <v>8918</v>
          </cell>
        </row>
        <row r="655">
          <cell r="L655">
            <v>45734</v>
          </cell>
          <cell r="M655">
            <v>45738</v>
          </cell>
        </row>
        <row r="656">
          <cell r="A656">
            <v>8774</v>
          </cell>
        </row>
        <row r="656">
          <cell r="C656" t="str">
            <v>转二部</v>
          </cell>
          <cell r="D656" t="str">
            <v>玻璃</v>
          </cell>
        </row>
        <row r="656">
          <cell r="I656" t="str">
            <v>拓展品</v>
          </cell>
          <cell r="J656">
            <v>8919</v>
          </cell>
        </row>
        <row r="656">
          <cell r="L656">
            <v>45734</v>
          </cell>
          <cell r="M656">
            <v>45749</v>
          </cell>
        </row>
        <row r="657">
          <cell r="A657">
            <v>9045</v>
          </cell>
        </row>
        <row r="657">
          <cell r="C657" t="str">
            <v>胡煜星</v>
          </cell>
          <cell r="D657" t="str">
            <v>玻璃</v>
          </cell>
        </row>
        <row r="657">
          <cell r="I657" t="str">
            <v>拓展品</v>
          </cell>
          <cell r="J657">
            <v>8920</v>
          </cell>
        </row>
        <row r="657">
          <cell r="L657">
            <v>45734</v>
          </cell>
          <cell r="M657">
            <v>45736</v>
          </cell>
        </row>
        <row r="658">
          <cell r="A658">
            <v>9046</v>
          </cell>
        </row>
        <row r="658">
          <cell r="C658" t="str">
            <v>胡煜星</v>
          </cell>
          <cell r="D658" t="str">
            <v>玻璃</v>
          </cell>
        </row>
        <row r="658">
          <cell r="I658" t="str">
            <v>拓展品</v>
          </cell>
          <cell r="J658">
            <v>8921</v>
          </cell>
        </row>
        <row r="658">
          <cell r="L658">
            <v>45734</v>
          </cell>
          <cell r="M658">
            <v>45796</v>
          </cell>
        </row>
        <row r="659">
          <cell r="A659">
            <v>9515</v>
          </cell>
        </row>
        <row r="659">
          <cell r="C659" t="str">
            <v>胡煜星</v>
          </cell>
          <cell r="D659" t="str">
            <v>玻璃</v>
          </cell>
        </row>
        <row r="659">
          <cell r="I659" t="str">
            <v>拓展品</v>
          </cell>
          <cell r="J659">
            <v>8922</v>
          </cell>
        </row>
        <row r="659">
          <cell r="L659">
            <v>45735</v>
          </cell>
          <cell r="M659">
            <v>45782</v>
          </cell>
        </row>
        <row r="660">
          <cell r="A660">
            <v>9516</v>
          </cell>
        </row>
        <row r="660">
          <cell r="C660" t="str">
            <v>胡煜星</v>
          </cell>
          <cell r="D660" t="str">
            <v>玻璃</v>
          </cell>
        </row>
        <row r="660">
          <cell r="I660" t="str">
            <v>拓展品</v>
          </cell>
          <cell r="J660">
            <v>8923</v>
          </cell>
        </row>
        <row r="660">
          <cell r="L660">
            <v>45735</v>
          </cell>
          <cell r="M660">
            <v>45842</v>
          </cell>
        </row>
        <row r="661">
          <cell r="A661">
            <v>8618</v>
          </cell>
        </row>
        <row r="661">
          <cell r="C661" t="str">
            <v>胡煜星</v>
          </cell>
          <cell r="D661" t="str">
            <v>玻璃</v>
          </cell>
        </row>
        <row r="661">
          <cell r="I661" t="str">
            <v>原开品</v>
          </cell>
          <cell r="J661">
            <v>8898</v>
          </cell>
        </row>
        <row r="661">
          <cell r="L661">
            <v>45735</v>
          </cell>
          <cell r="M661">
            <v>45746</v>
          </cell>
        </row>
        <row r="662">
          <cell r="A662">
            <v>8619</v>
          </cell>
        </row>
        <row r="662">
          <cell r="C662" t="str">
            <v>转二部</v>
          </cell>
          <cell r="D662" t="str">
            <v>玻璃</v>
          </cell>
        </row>
        <row r="662">
          <cell r="I662" t="str">
            <v>原开品</v>
          </cell>
          <cell r="J662">
            <v>9157</v>
          </cell>
        </row>
        <row r="662">
          <cell r="L662">
            <v>45736</v>
          </cell>
          <cell r="M662">
            <v>45745</v>
          </cell>
        </row>
        <row r="663">
          <cell r="A663">
            <v>9517</v>
          </cell>
        </row>
        <row r="663">
          <cell r="C663" t="str">
            <v>胡煜星</v>
          </cell>
          <cell r="D663" t="str">
            <v>玻璃</v>
          </cell>
        </row>
        <row r="663">
          <cell r="I663" t="str">
            <v>拓展品</v>
          </cell>
          <cell r="J663">
            <v>9063</v>
          </cell>
        </row>
        <row r="663">
          <cell r="L663">
            <v>45736</v>
          </cell>
          <cell r="M663">
            <v>45746</v>
          </cell>
        </row>
        <row r="664">
          <cell r="A664">
            <v>9518</v>
          </cell>
        </row>
        <row r="664">
          <cell r="C664" t="str">
            <v>胡煜星</v>
          </cell>
          <cell r="D664" t="str">
            <v>玻璃</v>
          </cell>
        </row>
        <row r="664">
          <cell r="I664" t="str">
            <v>原开品</v>
          </cell>
          <cell r="J664">
            <v>9139</v>
          </cell>
        </row>
        <row r="664">
          <cell r="L664">
            <v>45736</v>
          </cell>
          <cell r="M664">
            <v>45757</v>
          </cell>
        </row>
        <row r="665">
          <cell r="A665">
            <v>8775</v>
          </cell>
        </row>
        <row r="665">
          <cell r="C665" t="str">
            <v>胡煜星</v>
          </cell>
          <cell r="D665" t="str">
            <v>玻璃</v>
          </cell>
        </row>
        <row r="665">
          <cell r="I665" t="str">
            <v>原开品</v>
          </cell>
          <cell r="J665">
            <v>9140</v>
          </cell>
        </row>
        <row r="665">
          <cell r="L665">
            <v>45736</v>
          </cell>
          <cell r="M665">
            <v>45738</v>
          </cell>
        </row>
        <row r="666">
          <cell r="A666">
            <v>8776</v>
          </cell>
        </row>
        <row r="666">
          <cell r="C666" t="str">
            <v>转二部</v>
          </cell>
          <cell r="D666" t="str">
            <v>玻璃</v>
          </cell>
        </row>
        <row r="666">
          <cell r="I666" t="str">
            <v>拓展品</v>
          </cell>
          <cell r="J666">
            <v>8991</v>
          </cell>
        </row>
        <row r="666">
          <cell r="L666">
            <v>45736</v>
          </cell>
          <cell r="M666">
            <v>45754</v>
          </cell>
        </row>
        <row r="667">
          <cell r="A667">
            <v>9282</v>
          </cell>
        </row>
        <row r="667">
          <cell r="C667" t="str">
            <v>胡煜星</v>
          </cell>
          <cell r="D667" t="str">
            <v>玻璃</v>
          </cell>
        </row>
        <row r="667">
          <cell r="I667" t="str">
            <v>原开品</v>
          </cell>
          <cell r="J667">
            <v>8939</v>
          </cell>
        </row>
        <row r="667">
          <cell r="L667">
            <v>45736</v>
          </cell>
          <cell r="M667">
            <v>45755</v>
          </cell>
        </row>
        <row r="668">
          <cell r="A668">
            <v>9311</v>
          </cell>
        </row>
        <row r="668">
          <cell r="C668" t="str">
            <v>胡煜星</v>
          </cell>
          <cell r="D668" t="str">
            <v>玻璃</v>
          </cell>
        </row>
        <row r="668">
          <cell r="I668" t="str">
            <v>原开品</v>
          </cell>
          <cell r="J668">
            <v>8938</v>
          </cell>
        </row>
        <row r="668">
          <cell r="L668">
            <v>45736</v>
          </cell>
          <cell r="M668">
            <v>45744</v>
          </cell>
        </row>
        <row r="669">
          <cell r="A669">
            <v>8620</v>
          </cell>
        </row>
        <row r="669">
          <cell r="C669" t="str">
            <v>胡煜星</v>
          </cell>
          <cell r="D669" t="str">
            <v>玻璃</v>
          </cell>
        </row>
        <row r="669">
          <cell r="I669" t="str">
            <v>拓展品</v>
          </cell>
          <cell r="J669">
            <v>9064</v>
          </cell>
        </row>
        <row r="669">
          <cell r="L669">
            <v>45736</v>
          </cell>
          <cell r="M669">
            <v>45738</v>
          </cell>
        </row>
        <row r="670">
          <cell r="A670">
            <v>8621</v>
          </cell>
        </row>
        <row r="670">
          <cell r="C670" t="str">
            <v>胡煜星</v>
          </cell>
          <cell r="D670" t="str">
            <v>玻璃</v>
          </cell>
        </row>
        <row r="670">
          <cell r="I670" t="str">
            <v>原开品</v>
          </cell>
          <cell r="J670">
            <v>9065</v>
          </cell>
        </row>
        <row r="670">
          <cell r="L670">
            <v>45736</v>
          </cell>
          <cell r="M670">
            <v>45738</v>
          </cell>
        </row>
        <row r="671">
          <cell r="A671">
            <v>8999</v>
          </cell>
        </row>
        <row r="671">
          <cell r="C671" t="str">
            <v>胡煜星</v>
          </cell>
          <cell r="D671" t="str">
            <v>玻璃</v>
          </cell>
        </row>
        <row r="671">
          <cell r="I671" t="str">
            <v>原开品</v>
          </cell>
          <cell r="J671">
            <v>9066</v>
          </cell>
        </row>
        <row r="671">
          <cell r="L671">
            <v>45736</v>
          </cell>
          <cell r="M671">
            <v>45738</v>
          </cell>
        </row>
        <row r="672">
          <cell r="A672">
            <v>9000</v>
          </cell>
        </row>
        <row r="672">
          <cell r="C672" t="str">
            <v>转二部</v>
          </cell>
          <cell r="D672" t="str">
            <v>玻璃</v>
          </cell>
        </row>
        <row r="672">
          <cell r="I672" t="str">
            <v>拓展品</v>
          </cell>
          <cell r="J672">
            <v>9117</v>
          </cell>
        </row>
        <row r="672">
          <cell r="L672">
            <v>45736</v>
          </cell>
          <cell r="M672">
            <v>45738</v>
          </cell>
        </row>
        <row r="673">
          <cell r="A673">
            <v>9771</v>
          </cell>
        </row>
        <row r="673">
          <cell r="C673" t="str">
            <v>胡煜星</v>
          </cell>
          <cell r="D673" t="str">
            <v>玻璃</v>
          </cell>
        </row>
        <row r="673">
          <cell r="I673" t="str">
            <v>拓展品</v>
          </cell>
          <cell r="J673">
            <v>9067</v>
          </cell>
        </row>
        <row r="673">
          <cell r="L673">
            <v>45736</v>
          </cell>
          <cell r="M673">
            <v>45739</v>
          </cell>
        </row>
        <row r="674">
          <cell r="A674">
            <v>9805</v>
          </cell>
        </row>
        <row r="674">
          <cell r="C674" t="str">
            <v>胡煜星</v>
          </cell>
          <cell r="D674" t="str">
            <v>玻璃</v>
          </cell>
        </row>
        <row r="674">
          <cell r="I674" t="str">
            <v>拓展品</v>
          </cell>
          <cell r="J674">
            <v>9068</v>
          </cell>
        </row>
        <row r="674">
          <cell r="L674">
            <v>45736</v>
          </cell>
          <cell r="M674">
            <v>45742</v>
          </cell>
        </row>
        <row r="675">
          <cell r="A675">
            <v>9048</v>
          </cell>
        </row>
        <row r="675">
          <cell r="C675" t="str">
            <v>转二部</v>
          </cell>
          <cell r="D675" t="str">
            <v>玻璃</v>
          </cell>
        </row>
        <row r="675">
          <cell r="I675" t="str">
            <v>拓展品</v>
          </cell>
          <cell r="J675">
            <v>9040</v>
          </cell>
        </row>
        <row r="675">
          <cell r="L675">
            <v>45736</v>
          </cell>
          <cell r="M675">
            <v>45785</v>
          </cell>
        </row>
        <row r="676">
          <cell r="A676">
            <v>8622</v>
          </cell>
        </row>
        <row r="676">
          <cell r="C676" t="str">
            <v>胡煜星</v>
          </cell>
          <cell r="D676" t="str">
            <v>玻璃</v>
          </cell>
        </row>
        <row r="676">
          <cell r="I676" t="str">
            <v>拓展品</v>
          </cell>
          <cell r="J676">
            <v>9200</v>
          </cell>
        </row>
        <row r="676">
          <cell r="L676">
            <v>45753</v>
          </cell>
          <cell r="M676">
            <v>45782</v>
          </cell>
        </row>
        <row r="677">
          <cell r="A677">
            <v>8623</v>
          </cell>
        </row>
        <row r="677">
          <cell r="C677" t="str">
            <v>转二部</v>
          </cell>
          <cell r="D677" t="str">
            <v>玻璃</v>
          </cell>
        </row>
        <row r="677">
          <cell r="I677" t="str">
            <v>原开品</v>
          </cell>
          <cell r="J677">
            <v>9165</v>
          </cell>
        </row>
        <row r="677">
          <cell r="L677">
            <v>45753</v>
          </cell>
          <cell r="M677">
            <v>45760</v>
          </cell>
        </row>
        <row r="678">
          <cell r="A678">
            <v>9049</v>
          </cell>
        </row>
        <row r="678">
          <cell r="C678" t="str">
            <v>胡煜星</v>
          </cell>
          <cell r="D678" t="str">
            <v>玻璃</v>
          </cell>
        </row>
        <row r="678">
          <cell r="I678" t="str">
            <v>原开品</v>
          </cell>
          <cell r="J678">
            <v>9166</v>
          </cell>
        </row>
        <row r="678">
          <cell r="L678">
            <v>45753</v>
          </cell>
          <cell r="M678">
            <v>45754</v>
          </cell>
        </row>
        <row r="679">
          <cell r="A679">
            <v>9289</v>
          </cell>
        </row>
        <row r="679">
          <cell r="C679" t="str">
            <v>胡煜星</v>
          </cell>
          <cell r="D679" t="str">
            <v>玻璃</v>
          </cell>
        </row>
        <row r="679">
          <cell r="I679" t="str">
            <v>原开品</v>
          </cell>
          <cell r="J679">
            <v>9045</v>
          </cell>
        </row>
        <row r="679">
          <cell r="L679">
            <v>45753</v>
          </cell>
          <cell r="M679">
            <v>45760</v>
          </cell>
        </row>
        <row r="680">
          <cell r="A680">
            <v>9290</v>
          </cell>
        </row>
        <row r="680">
          <cell r="C680" t="str">
            <v>胡煜星</v>
          </cell>
          <cell r="D680" t="str">
            <v>玻璃</v>
          </cell>
        </row>
        <row r="680">
          <cell r="I680" t="str">
            <v>原开品</v>
          </cell>
          <cell r="J680">
            <v>9046</v>
          </cell>
        </row>
        <row r="680">
          <cell r="L680">
            <v>45753</v>
          </cell>
          <cell r="M680">
            <v>45760</v>
          </cell>
        </row>
        <row r="681">
          <cell r="A681">
            <v>9291</v>
          </cell>
        </row>
        <row r="681">
          <cell r="C681" t="str">
            <v>转二部</v>
          </cell>
          <cell r="D681" t="str">
            <v>玻璃</v>
          </cell>
        </row>
        <row r="681">
          <cell r="I681">
            <v>0</v>
          </cell>
          <cell r="J681">
            <v>5725</v>
          </cell>
        </row>
        <row r="681">
          <cell r="L681">
            <v>0</v>
          </cell>
          <cell r="M681">
            <v>46024</v>
          </cell>
        </row>
        <row r="682">
          <cell r="A682">
            <v>8550</v>
          </cell>
        </row>
        <row r="682">
          <cell r="C682" t="str">
            <v>胡煜星</v>
          </cell>
          <cell r="D682" t="str">
            <v>玻璃</v>
          </cell>
        </row>
        <row r="682">
          <cell r="I682" t="str">
            <v>原开品</v>
          </cell>
          <cell r="J682">
            <v>9156</v>
          </cell>
        </row>
        <row r="682">
          <cell r="L682">
            <v>45755</v>
          </cell>
          <cell r="M682">
            <v>45762</v>
          </cell>
        </row>
        <row r="683">
          <cell r="A683">
            <v>8551</v>
          </cell>
        </row>
        <row r="683">
          <cell r="C683" t="str">
            <v>胡煜星</v>
          </cell>
          <cell r="D683" t="str">
            <v>玻璃</v>
          </cell>
        </row>
        <row r="683">
          <cell r="I683" t="str">
            <v>拓展品</v>
          </cell>
          <cell r="J683">
            <v>8906</v>
          </cell>
        </row>
        <row r="683">
          <cell r="L683">
            <v>45755</v>
          </cell>
          <cell r="M683">
            <v>45776</v>
          </cell>
        </row>
        <row r="684">
          <cell r="A684">
            <v>9626</v>
          </cell>
        </row>
        <row r="684">
          <cell r="C684" t="str">
            <v>胡煜星</v>
          </cell>
          <cell r="D684" t="str">
            <v>玻璃</v>
          </cell>
        </row>
        <row r="684">
          <cell r="I684" t="str">
            <v>拓展品</v>
          </cell>
          <cell r="J684">
            <v>8909</v>
          </cell>
        </row>
        <row r="684">
          <cell r="L684">
            <v>45755</v>
          </cell>
          <cell r="M684">
            <v>45796</v>
          </cell>
        </row>
        <row r="685">
          <cell r="A685">
            <v>9816</v>
          </cell>
        </row>
        <row r="685">
          <cell r="C685" t="str">
            <v>转二部</v>
          </cell>
          <cell r="D685" t="str">
            <v>玻璃</v>
          </cell>
        </row>
        <row r="685">
          <cell r="I685" t="str">
            <v>原开品</v>
          </cell>
          <cell r="J685">
            <v>9258</v>
          </cell>
        </row>
        <row r="685">
          <cell r="L685">
            <v>45755</v>
          </cell>
          <cell r="M685">
            <v>45760</v>
          </cell>
        </row>
        <row r="686">
          <cell r="A686">
            <v>9904</v>
          </cell>
        </row>
        <row r="686">
          <cell r="C686" t="str">
            <v>胡煜星</v>
          </cell>
          <cell r="D686" t="str">
            <v>玻璃</v>
          </cell>
        </row>
        <row r="686">
          <cell r="I686" t="str">
            <v>拓展品</v>
          </cell>
          <cell r="J686">
            <v>9171</v>
          </cell>
        </row>
        <row r="686">
          <cell r="L686">
            <v>45757</v>
          </cell>
          <cell r="M686">
            <v>45783</v>
          </cell>
        </row>
        <row r="687">
          <cell r="A687">
            <v>8779</v>
          </cell>
        </row>
        <row r="687">
          <cell r="C687" t="str">
            <v>转二部</v>
          </cell>
          <cell r="D687" t="str">
            <v>玻璃</v>
          </cell>
        </row>
        <row r="687">
          <cell r="I687" t="str">
            <v>原开品</v>
          </cell>
          <cell r="J687">
            <v>9159</v>
          </cell>
        </row>
        <row r="687">
          <cell r="L687">
            <v>45757</v>
          </cell>
          <cell r="M687">
            <v>45763</v>
          </cell>
        </row>
        <row r="688">
          <cell r="A688">
            <v>8780</v>
          </cell>
        </row>
        <row r="688">
          <cell r="C688" t="str">
            <v>胡煜星</v>
          </cell>
          <cell r="D688" t="str">
            <v>玻璃</v>
          </cell>
        </row>
        <row r="688">
          <cell r="I688" t="str">
            <v>原开品</v>
          </cell>
          <cell r="J688">
            <v>9160</v>
          </cell>
        </row>
        <row r="688">
          <cell r="L688">
            <v>45757</v>
          </cell>
          <cell r="M688">
            <v>45759</v>
          </cell>
        </row>
        <row r="689">
          <cell r="A689">
            <v>8728</v>
          </cell>
        </row>
        <row r="689">
          <cell r="C689" t="str">
            <v>胡煜星</v>
          </cell>
          <cell r="D689" t="str">
            <v>玻璃</v>
          </cell>
        </row>
        <row r="689">
          <cell r="I689" t="str">
            <v>拓展品</v>
          </cell>
          <cell r="J689">
            <v>9116</v>
          </cell>
        </row>
        <row r="689">
          <cell r="L689">
            <v>45757</v>
          </cell>
          <cell r="M689">
            <v>45763</v>
          </cell>
        </row>
        <row r="690">
          <cell r="A690">
            <v>8810</v>
          </cell>
        </row>
        <row r="690">
          <cell r="C690" t="str">
            <v>胡煜星</v>
          </cell>
          <cell r="D690" t="str">
            <v>玻璃</v>
          </cell>
        </row>
        <row r="690">
          <cell r="I690" t="str">
            <v>拓展品</v>
          </cell>
          <cell r="J690">
            <v>9284</v>
          </cell>
        </row>
        <row r="690">
          <cell r="L690">
            <v>45757</v>
          </cell>
          <cell r="M690">
            <v>45760</v>
          </cell>
        </row>
        <row r="691">
          <cell r="A691">
            <v>10349</v>
          </cell>
        </row>
        <row r="691">
          <cell r="C691" t="str">
            <v>胡煜星</v>
          </cell>
          <cell r="D691" t="str">
            <v>玻璃</v>
          </cell>
        </row>
        <row r="691">
          <cell r="I691" t="str">
            <v>原开品</v>
          </cell>
          <cell r="J691">
            <v>9285</v>
          </cell>
        </row>
        <row r="691">
          <cell r="L691">
            <v>45757</v>
          </cell>
          <cell r="M691">
            <v>45760</v>
          </cell>
        </row>
        <row r="692">
          <cell r="A692">
            <v>8552</v>
          </cell>
        </row>
        <row r="692">
          <cell r="C692" t="str">
            <v>胡煜星</v>
          </cell>
          <cell r="D692" t="str">
            <v>玻璃</v>
          </cell>
        </row>
        <row r="692">
          <cell r="I692" t="str">
            <v>原开品</v>
          </cell>
          <cell r="J692">
            <v>9286</v>
          </cell>
        </row>
        <row r="692">
          <cell r="L692">
            <v>45757</v>
          </cell>
          <cell r="M692">
            <v>45760</v>
          </cell>
        </row>
        <row r="693">
          <cell r="A693">
            <v>8553</v>
          </cell>
        </row>
        <row r="693">
          <cell r="C693" t="str">
            <v>胡煜星</v>
          </cell>
          <cell r="D693" t="str">
            <v>玻璃</v>
          </cell>
        </row>
        <row r="693">
          <cell r="I693" t="str">
            <v>原开品</v>
          </cell>
          <cell r="J693">
            <v>9112</v>
          </cell>
        </row>
        <row r="693">
          <cell r="L693">
            <v>45762</v>
          </cell>
          <cell r="M693">
            <v>45769</v>
          </cell>
        </row>
        <row r="694">
          <cell r="A694">
            <v>8624</v>
          </cell>
        </row>
        <row r="694">
          <cell r="C694" t="str">
            <v>胡煜星</v>
          </cell>
          <cell r="D694" t="str">
            <v>玻璃</v>
          </cell>
        </row>
        <row r="694">
          <cell r="I694" t="str">
            <v>原开品</v>
          </cell>
          <cell r="J694">
            <v>9113</v>
          </cell>
        </row>
        <row r="694">
          <cell r="L694">
            <v>45762</v>
          </cell>
          <cell r="M694">
            <v>45763</v>
          </cell>
        </row>
        <row r="695">
          <cell r="A695">
            <v>8625</v>
          </cell>
        </row>
        <row r="695">
          <cell r="C695" t="str">
            <v>胡煜星</v>
          </cell>
          <cell r="D695" t="str">
            <v>玻璃</v>
          </cell>
        </row>
        <row r="695">
          <cell r="I695" t="str">
            <v>原开品</v>
          </cell>
          <cell r="J695">
            <v>9114</v>
          </cell>
        </row>
        <row r="695">
          <cell r="L695">
            <v>45762</v>
          </cell>
          <cell r="M695">
            <v>45766</v>
          </cell>
        </row>
        <row r="696">
          <cell r="A696">
            <v>9912</v>
          </cell>
        </row>
        <row r="696">
          <cell r="C696" t="str">
            <v>胡煜星</v>
          </cell>
          <cell r="D696" t="str">
            <v>玻璃</v>
          </cell>
        </row>
        <row r="696">
          <cell r="I696" t="str">
            <v>原开品</v>
          </cell>
          <cell r="J696">
            <v>9115</v>
          </cell>
        </row>
        <row r="696">
          <cell r="L696">
            <v>45762</v>
          </cell>
          <cell r="M696">
            <v>45768</v>
          </cell>
        </row>
        <row r="697">
          <cell r="A697">
            <v>9981</v>
          </cell>
        </row>
        <row r="697">
          <cell r="C697" t="str">
            <v>胡煜星</v>
          </cell>
          <cell r="D697" t="str">
            <v>玻璃</v>
          </cell>
        </row>
        <row r="697">
          <cell r="I697" t="str">
            <v>原开品</v>
          </cell>
          <cell r="J697">
            <v>9172</v>
          </cell>
        </row>
        <row r="697">
          <cell r="L697">
            <v>45762</v>
          </cell>
          <cell r="M697">
            <v>45775</v>
          </cell>
        </row>
        <row r="698">
          <cell r="A698">
            <v>8781</v>
          </cell>
        </row>
        <row r="698">
          <cell r="C698" t="str">
            <v>胡煜星</v>
          </cell>
          <cell r="D698" t="str">
            <v>玻璃</v>
          </cell>
        </row>
        <row r="698">
          <cell r="I698" t="str">
            <v>原开品</v>
          </cell>
          <cell r="J698">
            <v>9173</v>
          </cell>
        </row>
        <row r="698">
          <cell r="L698">
            <v>45762</v>
          </cell>
          <cell r="M698">
            <v>45768</v>
          </cell>
        </row>
        <row r="699">
          <cell r="A699">
            <v>8783</v>
          </cell>
        </row>
        <row r="699">
          <cell r="C699" t="str">
            <v>胡煜星</v>
          </cell>
          <cell r="D699" t="str">
            <v>玻璃</v>
          </cell>
        </row>
        <row r="699">
          <cell r="I699" t="str">
            <v>原开品</v>
          </cell>
          <cell r="J699">
            <v>9287</v>
          </cell>
        </row>
        <row r="699">
          <cell r="L699">
            <v>45762</v>
          </cell>
          <cell r="M699">
            <v>45778</v>
          </cell>
        </row>
        <row r="700">
          <cell r="A700">
            <v>9938</v>
          </cell>
        </row>
        <row r="700">
          <cell r="C700" t="str">
            <v>胡煜星</v>
          </cell>
          <cell r="D700" t="str">
            <v>玻璃</v>
          </cell>
        </row>
        <row r="700">
          <cell r="I700" t="str">
            <v>原开品</v>
          </cell>
          <cell r="J700">
            <v>9288</v>
          </cell>
        </row>
        <row r="700">
          <cell r="L700">
            <v>45762</v>
          </cell>
          <cell r="M700">
            <v>45776</v>
          </cell>
        </row>
        <row r="701">
          <cell r="A701">
            <v>8699</v>
          </cell>
        </row>
        <row r="701">
          <cell r="C701" t="str">
            <v>胡煜星</v>
          </cell>
          <cell r="D701" t="str">
            <v>玻璃</v>
          </cell>
        </row>
        <row r="701">
          <cell r="I701" t="str">
            <v>原开品</v>
          </cell>
          <cell r="J701">
            <v>9282</v>
          </cell>
        </row>
        <row r="701">
          <cell r="L701">
            <v>45762</v>
          </cell>
          <cell r="M701">
            <v>45765</v>
          </cell>
        </row>
        <row r="702">
          <cell r="A702">
            <v>9627</v>
          </cell>
        </row>
        <row r="702">
          <cell r="C702" t="str">
            <v>胡煜星</v>
          </cell>
          <cell r="D702" t="str">
            <v>玻璃</v>
          </cell>
        </row>
        <row r="702">
          <cell r="I702" t="str">
            <v>原开品</v>
          </cell>
          <cell r="J702">
            <v>9311</v>
          </cell>
        </row>
        <row r="702">
          <cell r="L702">
            <v>45762</v>
          </cell>
          <cell r="M702">
            <v>45771</v>
          </cell>
        </row>
        <row r="703">
          <cell r="A703">
            <v>9860</v>
          </cell>
        </row>
        <row r="703">
          <cell r="C703" t="str">
            <v>胡煜星</v>
          </cell>
          <cell r="D703" t="str">
            <v>玻璃</v>
          </cell>
        </row>
        <row r="703">
          <cell r="I703" t="str">
            <v>原开品</v>
          </cell>
          <cell r="J703">
            <v>9291</v>
          </cell>
        </row>
        <row r="703">
          <cell r="L703">
            <v>45763</v>
          </cell>
          <cell r="M703">
            <v>45772</v>
          </cell>
        </row>
        <row r="704">
          <cell r="A704">
            <v>9939</v>
          </cell>
        </row>
        <row r="704">
          <cell r="C704" t="str">
            <v>转二部</v>
          </cell>
          <cell r="D704" t="str">
            <v>玻璃</v>
          </cell>
        </row>
        <row r="704">
          <cell r="I704" t="str">
            <v>原开品</v>
          </cell>
          <cell r="J704">
            <v>9292</v>
          </cell>
        </row>
        <row r="704">
          <cell r="L704">
            <v>45763</v>
          </cell>
          <cell r="M704">
            <v>45824</v>
          </cell>
        </row>
        <row r="705">
          <cell r="A705">
            <v>542</v>
          </cell>
        </row>
        <row r="705">
          <cell r="C705" t="str">
            <v>俞东旭</v>
          </cell>
          <cell r="D705" t="str">
            <v>车门系统</v>
          </cell>
        </row>
        <row r="705">
          <cell r="I705" t="str">
            <v>拓展品</v>
          </cell>
          <cell r="J705">
            <v>9235</v>
          </cell>
        </row>
        <row r="705">
          <cell r="L705">
            <v>45764</v>
          </cell>
          <cell r="M705">
            <v>45789</v>
          </cell>
        </row>
        <row r="706">
          <cell r="A706">
            <v>6763</v>
          </cell>
        </row>
        <row r="706">
          <cell r="C706" t="str">
            <v>朱培源</v>
          </cell>
          <cell r="D706" t="str">
            <v>挡泥板</v>
          </cell>
        </row>
        <row r="706">
          <cell r="I706" t="str">
            <v>原开品</v>
          </cell>
          <cell r="J706">
            <v>9228</v>
          </cell>
        </row>
        <row r="706">
          <cell r="L706">
            <v>45764</v>
          </cell>
          <cell r="M706">
            <v>45766</v>
          </cell>
        </row>
        <row r="707">
          <cell r="A707">
            <v>8989</v>
          </cell>
        </row>
        <row r="707">
          <cell r="C707" t="str">
            <v>章鹏</v>
          </cell>
          <cell r="D707" t="str">
            <v>挡泥板</v>
          </cell>
        </row>
        <row r="707">
          <cell r="I707" t="str">
            <v>拓展品</v>
          </cell>
          <cell r="J707">
            <v>9237</v>
          </cell>
        </row>
        <row r="707">
          <cell r="L707">
            <v>45764</v>
          </cell>
          <cell r="M707">
            <v>45813</v>
          </cell>
        </row>
        <row r="708">
          <cell r="A708">
            <v>9493</v>
          </cell>
        </row>
        <row r="708">
          <cell r="C708" t="str">
            <v>转二部</v>
          </cell>
          <cell r="D708" t="str">
            <v>挡泥板</v>
          </cell>
        </row>
        <row r="708">
          <cell r="I708" t="str">
            <v>原开品</v>
          </cell>
          <cell r="J708">
            <v>9008</v>
          </cell>
        </row>
        <row r="708">
          <cell r="L708">
            <v>45764</v>
          </cell>
          <cell r="M708">
            <v>45766</v>
          </cell>
        </row>
        <row r="709">
          <cell r="A709">
            <v>9646</v>
          </cell>
        </row>
        <row r="709">
          <cell r="C709" t="str">
            <v>章鹏</v>
          </cell>
          <cell r="D709" t="str">
            <v>挡泥板</v>
          </cell>
        </row>
        <row r="709">
          <cell r="I709" t="str">
            <v>原开品</v>
          </cell>
          <cell r="J709">
            <v>9061</v>
          </cell>
        </row>
        <row r="709">
          <cell r="L709">
            <v>45764</v>
          </cell>
          <cell r="M709">
            <v>45765</v>
          </cell>
        </row>
        <row r="710">
          <cell r="A710">
            <v>9647</v>
          </cell>
        </row>
        <row r="710">
          <cell r="C710" t="str">
            <v>章鹏</v>
          </cell>
          <cell r="D710" t="str">
            <v>挡泥板</v>
          </cell>
        </row>
        <row r="710">
          <cell r="I710" t="str">
            <v>原开品</v>
          </cell>
          <cell r="J710">
            <v>9035</v>
          </cell>
        </row>
        <row r="710">
          <cell r="L710">
            <v>45764</v>
          </cell>
          <cell r="M710">
            <v>45766</v>
          </cell>
        </row>
        <row r="711">
          <cell r="A711">
            <v>8754</v>
          </cell>
        </row>
        <row r="711">
          <cell r="C711" t="str">
            <v>章鹏</v>
          </cell>
          <cell r="D711" t="str">
            <v>挡泥板</v>
          </cell>
        </row>
        <row r="711">
          <cell r="I711" t="str">
            <v>原开品</v>
          </cell>
          <cell r="J711">
            <v>8986</v>
          </cell>
        </row>
        <row r="711">
          <cell r="L711">
            <v>45764</v>
          </cell>
          <cell r="M711">
            <v>45784</v>
          </cell>
        </row>
        <row r="712">
          <cell r="A712">
            <v>9040</v>
          </cell>
        </row>
        <row r="712">
          <cell r="C712" t="str">
            <v>章鹏</v>
          </cell>
          <cell r="D712" t="str">
            <v>挡泥板</v>
          </cell>
        </row>
        <row r="712">
          <cell r="I712" t="str">
            <v>原开品</v>
          </cell>
          <cell r="J712">
            <v>9088</v>
          </cell>
        </row>
        <row r="712">
          <cell r="L712">
            <v>45764</v>
          </cell>
          <cell r="M712">
            <v>45772</v>
          </cell>
        </row>
        <row r="713">
          <cell r="A713">
            <v>2763</v>
          </cell>
        </row>
        <row r="713">
          <cell r="C713" t="str">
            <v>俞东旭</v>
          </cell>
          <cell r="D713" t="str">
            <v>车身外扩件</v>
          </cell>
        </row>
        <row r="713">
          <cell r="I713" t="str">
            <v>原开品</v>
          </cell>
          <cell r="J713">
            <v>9089</v>
          </cell>
        </row>
        <row r="713">
          <cell r="L713">
            <v>45763</v>
          </cell>
          <cell r="M713">
            <v>45764</v>
          </cell>
        </row>
        <row r="714">
          <cell r="A714">
            <v>2764</v>
          </cell>
        </row>
        <row r="714">
          <cell r="C714" t="str">
            <v>俞东旭</v>
          </cell>
          <cell r="D714" t="str">
            <v>车身外扩件</v>
          </cell>
        </row>
        <row r="714">
          <cell r="I714" t="str">
            <v>拓展品</v>
          </cell>
          <cell r="J714">
            <v>9834</v>
          </cell>
        </row>
        <row r="714">
          <cell r="L714">
            <v>45764</v>
          </cell>
          <cell r="M714">
            <v>45770</v>
          </cell>
        </row>
        <row r="715">
          <cell r="A715">
            <v>2798</v>
          </cell>
        </row>
        <row r="715">
          <cell r="C715" t="str">
            <v>俞东旭</v>
          </cell>
          <cell r="D715" t="str">
            <v>车身外扩件</v>
          </cell>
        </row>
        <row r="715">
          <cell r="I715" t="str">
            <v>原开品</v>
          </cell>
          <cell r="J715">
            <v>9048</v>
          </cell>
        </row>
        <row r="715">
          <cell r="L715">
            <v>45763</v>
          </cell>
          <cell r="M715">
            <v>45811</v>
          </cell>
        </row>
        <row r="716">
          <cell r="A716">
            <v>2772</v>
          </cell>
        </row>
        <row r="716">
          <cell r="C716" t="str">
            <v>俞东旭</v>
          </cell>
          <cell r="D716" t="str">
            <v>车身外扩件</v>
          </cell>
        </row>
        <row r="716">
          <cell r="I716" t="str">
            <v>拓展品</v>
          </cell>
          <cell r="J716">
            <v>9833</v>
          </cell>
        </row>
        <row r="716">
          <cell r="L716">
            <v>45764</v>
          </cell>
        </row>
        <row r="717">
          <cell r="A717">
            <v>2893</v>
          </cell>
        </row>
        <row r="717">
          <cell r="C717" t="str">
            <v>俞东旭</v>
          </cell>
          <cell r="D717" t="str">
            <v>车身外扩件</v>
          </cell>
        </row>
        <row r="717">
          <cell r="I717" t="str">
            <v>原开品</v>
          </cell>
          <cell r="J717">
            <v>9049</v>
          </cell>
        </row>
        <row r="717">
          <cell r="L717">
            <v>45764</v>
          </cell>
          <cell r="M717">
            <v>45771</v>
          </cell>
        </row>
        <row r="718">
          <cell r="A718">
            <v>9803</v>
          </cell>
        </row>
        <row r="718">
          <cell r="C718" t="str">
            <v>章鹏</v>
          </cell>
          <cell r="D718" t="str">
            <v>挡泥板</v>
          </cell>
        </row>
        <row r="718">
          <cell r="I718" t="str">
            <v>原开品</v>
          </cell>
          <cell r="J718">
            <v>9050</v>
          </cell>
        </row>
        <row r="718">
          <cell r="L718">
            <v>45764</v>
          </cell>
          <cell r="M718">
            <v>45768</v>
          </cell>
        </row>
        <row r="719">
          <cell r="A719">
            <v>9494</v>
          </cell>
        </row>
        <row r="719">
          <cell r="C719" t="str">
            <v>章鹏</v>
          </cell>
          <cell r="D719" t="str">
            <v>挡泥板</v>
          </cell>
        </row>
        <row r="719">
          <cell r="I719" t="str">
            <v>拓展品</v>
          </cell>
          <cell r="J719">
            <v>9834</v>
          </cell>
        </row>
        <row r="719">
          <cell r="L719">
            <v>45764</v>
          </cell>
          <cell r="M719">
            <v>45825</v>
          </cell>
        </row>
        <row r="720">
          <cell r="A720">
            <v>9561</v>
          </cell>
        </row>
        <row r="720">
          <cell r="C720" t="str">
            <v>章鹏</v>
          </cell>
          <cell r="D720" t="str">
            <v>挡泥板</v>
          </cell>
        </row>
        <row r="720">
          <cell r="I720" t="str">
            <v>拓展品</v>
          </cell>
          <cell r="J720">
            <v>9533</v>
          </cell>
        </row>
        <row r="720">
          <cell r="L720">
            <v>45768</v>
          </cell>
          <cell r="M720">
            <v>45779</v>
          </cell>
        </row>
        <row r="721">
          <cell r="A721">
            <v>9539</v>
          </cell>
        </row>
        <row r="721">
          <cell r="C721" t="str">
            <v>章鹏</v>
          </cell>
          <cell r="D721" t="str">
            <v>挡泥板</v>
          </cell>
        </row>
        <row r="721">
          <cell r="I721" t="str">
            <v>原开品</v>
          </cell>
          <cell r="J721">
            <v>8899</v>
          </cell>
        </row>
        <row r="721">
          <cell r="L721">
            <v>45767</v>
          </cell>
          <cell r="M721">
            <v>45784</v>
          </cell>
        </row>
        <row r="722">
          <cell r="A722">
            <v>9694</v>
          </cell>
        </row>
        <row r="722">
          <cell r="C722" t="str">
            <v>章鹏</v>
          </cell>
          <cell r="D722" t="str">
            <v>挡泥板</v>
          </cell>
        </row>
        <row r="722">
          <cell r="I722" t="str">
            <v>拓展品</v>
          </cell>
          <cell r="J722">
            <v>8907</v>
          </cell>
        </row>
        <row r="722">
          <cell r="L722">
            <v>45767</v>
          </cell>
          <cell r="M722">
            <v>45777</v>
          </cell>
        </row>
        <row r="723">
          <cell r="A723">
            <v>9695</v>
          </cell>
        </row>
        <row r="723">
          <cell r="C723" t="str">
            <v>章鹏</v>
          </cell>
          <cell r="D723" t="str">
            <v>挡泥板</v>
          </cell>
        </row>
        <row r="723">
          <cell r="I723" t="str">
            <v>拓展品</v>
          </cell>
          <cell r="J723">
            <v>8908</v>
          </cell>
        </row>
        <row r="723">
          <cell r="L723">
            <v>45768</v>
          </cell>
          <cell r="M723">
            <v>45888</v>
          </cell>
        </row>
        <row r="724">
          <cell r="A724">
            <v>10012</v>
          </cell>
        </row>
        <row r="724">
          <cell r="C724" t="str">
            <v>俞东旭</v>
          </cell>
          <cell r="D724" t="str">
            <v>车门系统</v>
          </cell>
        </row>
        <row r="724">
          <cell r="I724" t="str">
            <v>拓展品</v>
          </cell>
          <cell r="J724">
            <v>8910</v>
          </cell>
        </row>
        <row r="724">
          <cell r="L724">
            <v>45768</v>
          </cell>
          <cell r="M724">
            <v>45789</v>
          </cell>
        </row>
        <row r="725">
          <cell r="A725">
            <v>9696</v>
          </cell>
        </row>
        <row r="725">
          <cell r="C725" t="str">
            <v>章鹏</v>
          </cell>
          <cell r="D725" t="str">
            <v>挡泥板</v>
          </cell>
        </row>
        <row r="725">
          <cell r="I725" t="str">
            <v>原开品</v>
          </cell>
          <cell r="J725">
            <v>9339</v>
          </cell>
        </row>
        <row r="725">
          <cell r="L725">
            <v>45769</v>
          </cell>
          <cell r="M725">
            <v>45777</v>
          </cell>
        </row>
        <row r="726">
          <cell r="A726">
            <v>9953</v>
          </cell>
        </row>
        <row r="726">
          <cell r="C726" t="str">
            <v>朱培源</v>
          </cell>
          <cell r="D726" t="str">
            <v>机盖及附件</v>
          </cell>
        </row>
        <row r="726">
          <cell r="I726" t="str">
            <v>拓展品</v>
          </cell>
          <cell r="J726">
            <v>9389</v>
          </cell>
        </row>
        <row r="726">
          <cell r="L726">
            <v>45769</v>
          </cell>
          <cell r="M726">
            <v>45772</v>
          </cell>
        </row>
        <row r="727">
          <cell r="A727">
            <v>10008</v>
          </cell>
        </row>
        <row r="727">
          <cell r="C727" t="str">
            <v>王偲涵</v>
          </cell>
          <cell r="D727" t="str">
            <v>饰条</v>
          </cell>
        </row>
        <row r="727">
          <cell r="I727" t="str">
            <v>原开品</v>
          </cell>
          <cell r="J727">
            <v>9390</v>
          </cell>
        </row>
        <row r="727">
          <cell r="L727">
            <v>45768</v>
          </cell>
          <cell r="M727">
            <v>45772</v>
          </cell>
        </row>
        <row r="728">
          <cell r="A728">
            <v>10009</v>
          </cell>
        </row>
        <row r="728">
          <cell r="C728" t="str">
            <v>王偲涵</v>
          </cell>
          <cell r="D728" t="str">
            <v>饰条</v>
          </cell>
        </row>
        <row r="728">
          <cell r="I728" t="str">
            <v>拓展品</v>
          </cell>
          <cell r="J728">
            <v>9362</v>
          </cell>
        </row>
        <row r="728">
          <cell r="L728">
            <v>45768</v>
          </cell>
          <cell r="M728">
            <v>45772</v>
          </cell>
        </row>
        <row r="729">
          <cell r="A729">
            <v>10858</v>
          </cell>
        </row>
        <row r="729">
          <cell r="C729" t="str">
            <v>朱培源</v>
          </cell>
          <cell r="D729" t="str">
            <v>机盖及附件</v>
          </cell>
        </row>
        <row r="729">
          <cell r="I729" t="str">
            <v>原开品</v>
          </cell>
          <cell r="J729">
            <v>9363</v>
          </cell>
        </row>
        <row r="729">
          <cell r="L729">
            <v>45769</v>
          </cell>
          <cell r="M729">
            <v>45806</v>
          </cell>
        </row>
        <row r="730">
          <cell r="A730">
            <v>10010</v>
          </cell>
        </row>
        <row r="730">
          <cell r="C730" t="str">
            <v>王偲涵</v>
          </cell>
          <cell r="D730" t="str">
            <v>饰条</v>
          </cell>
        </row>
        <row r="730">
          <cell r="I730" t="str">
            <v>原开品</v>
          </cell>
          <cell r="J730">
            <v>9364</v>
          </cell>
        </row>
        <row r="730">
          <cell r="L730">
            <v>45769</v>
          </cell>
          <cell r="M730">
            <v>45774</v>
          </cell>
        </row>
        <row r="731">
          <cell r="A731">
            <v>10095</v>
          </cell>
        </row>
        <row r="731">
          <cell r="C731" t="str">
            <v>转二部</v>
          </cell>
          <cell r="D731" t="str">
            <v>玻璃</v>
          </cell>
        </row>
        <row r="731">
          <cell r="I731" t="str">
            <v>拓展品</v>
          </cell>
          <cell r="J731">
            <v>9302</v>
          </cell>
        </row>
        <row r="731">
          <cell r="L731">
            <v>45769</v>
          </cell>
          <cell r="M731">
            <v>45776</v>
          </cell>
        </row>
        <row r="732">
          <cell r="A732">
            <v>10096</v>
          </cell>
        </row>
        <row r="732">
          <cell r="C732" t="str">
            <v>转二部</v>
          </cell>
          <cell r="D732" t="str">
            <v>玻璃</v>
          </cell>
        </row>
        <row r="732">
          <cell r="I732" t="str">
            <v>拓展品</v>
          </cell>
          <cell r="J732">
            <v>9305</v>
          </cell>
        </row>
        <row r="732">
          <cell r="L732">
            <v>45769</v>
          </cell>
          <cell r="M732">
            <v>45772</v>
          </cell>
        </row>
        <row r="733">
          <cell r="A733">
            <v>9037</v>
          </cell>
        </row>
        <row r="733">
          <cell r="C733" t="str">
            <v>章鹏</v>
          </cell>
          <cell r="D733" t="str">
            <v>挡泥板</v>
          </cell>
        </row>
        <row r="733">
          <cell r="I733" t="str">
            <v>原开品</v>
          </cell>
          <cell r="J733">
            <v>9306</v>
          </cell>
        </row>
        <row r="733">
          <cell r="L733">
            <v>45769</v>
          </cell>
          <cell r="M733">
            <v>45778</v>
          </cell>
        </row>
        <row r="734">
          <cell r="A734">
            <v>10128</v>
          </cell>
        </row>
        <row r="734">
          <cell r="C734" t="str">
            <v>张潇</v>
          </cell>
          <cell r="D734" t="str">
            <v>牌照板支架</v>
          </cell>
        </row>
        <row r="734">
          <cell r="I734" t="str">
            <v>原开品</v>
          </cell>
          <cell r="J734">
            <v>9290</v>
          </cell>
        </row>
        <row r="734">
          <cell r="L734">
            <v>45769</v>
          </cell>
          <cell r="M734">
            <v>45772</v>
          </cell>
        </row>
        <row r="735">
          <cell r="A735">
            <v>9491</v>
          </cell>
        </row>
        <row r="735">
          <cell r="C735" t="str">
            <v>章鹏</v>
          </cell>
          <cell r="D735" t="str">
            <v>挡泥板</v>
          </cell>
        </row>
        <row r="735">
          <cell r="I735" t="str">
            <v>拓展品</v>
          </cell>
          <cell r="J735">
            <v>9529</v>
          </cell>
        </row>
        <row r="735">
          <cell r="L735">
            <v>45771</v>
          </cell>
          <cell r="M735">
            <v>45841</v>
          </cell>
        </row>
        <row r="736">
          <cell r="A736">
            <v>8990</v>
          </cell>
        </row>
        <row r="736">
          <cell r="C736" t="str">
            <v>章鹏</v>
          </cell>
          <cell r="D736" t="str">
            <v>挡泥板</v>
          </cell>
        </row>
        <row r="736">
          <cell r="I736" t="str">
            <v>原开品</v>
          </cell>
          <cell r="J736">
            <v>9227</v>
          </cell>
        </row>
        <row r="736">
          <cell r="L736">
            <v>45771</v>
          </cell>
          <cell r="M736">
            <v>45882</v>
          </cell>
        </row>
        <row r="737">
          <cell r="A737">
            <v>10135</v>
          </cell>
        </row>
        <row r="737">
          <cell r="C737" t="str">
            <v>胡煜星</v>
          </cell>
          <cell r="D737" t="str">
            <v>玻璃</v>
          </cell>
        </row>
        <row r="737">
          <cell r="I737" t="str">
            <v>拓展品</v>
          </cell>
          <cell r="J737">
            <v>9232</v>
          </cell>
        </row>
        <row r="737">
          <cell r="L737">
            <v>45771</v>
          </cell>
          <cell r="M737">
            <v>45917</v>
          </cell>
        </row>
        <row r="738">
          <cell r="A738">
            <v>10226</v>
          </cell>
        </row>
        <row r="738">
          <cell r="C738" t="str">
            <v>张潇</v>
          </cell>
          <cell r="D738" t="str">
            <v>牌照板支架</v>
          </cell>
        </row>
        <row r="738">
          <cell r="I738" t="str">
            <v>拓展品</v>
          </cell>
          <cell r="J738">
            <v>9233</v>
          </cell>
        </row>
        <row r="738">
          <cell r="L738">
            <v>45771</v>
          </cell>
          <cell r="M738">
            <v>45874</v>
          </cell>
        </row>
        <row r="739">
          <cell r="A739">
            <v>2995</v>
          </cell>
        </row>
        <row r="739">
          <cell r="C739" t="str">
            <v>朱培源</v>
          </cell>
          <cell r="D739" t="str">
            <v>机盖及附件</v>
          </cell>
        </row>
        <row r="739">
          <cell r="I739" t="str">
            <v>拓展品</v>
          </cell>
          <cell r="J739">
            <v>9234</v>
          </cell>
        </row>
        <row r="739">
          <cell r="L739">
            <v>45771</v>
          </cell>
          <cell r="M739">
            <v>45805</v>
          </cell>
        </row>
        <row r="740">
          <cell r="A740">
            <v>10171</v>
          </cell>
        </row>
        <row r="740">
          <cell r="C740" t="str">
            <v>胡煜星</v>
          </cell>
          <cell r="D740" t="str">
            <v>玻璃</v>
          </cell>
        </row>
        <row r="740">
          <cell r="I740" t="str">
            <v>拓展品</v>
          </cell>
          <cell r="J740">
            <v>9236</v>
          </cell>
        </row>
        <row r="740">
          <cell r="L740">
            <v>45770</v>
          </cell>
          <cell r="M740">
            <v>45820</v>
          </cell>
        </row>
        <row r="741">
          <cell r="A741">
            <v>10172</v>
          </cell>
        </row>
        <row r="741">
          <cell r="C741" t="str">
            <v>胡煜星</v>
          </cell>
          <cell r="D741" t="str">
            <v>玻璃</v>
          </cell>
        </row>
        <row r="741">
          <cell r="I741" t="str">
            <v>拓展品</v>
          </cell>
          <cell r="J741">
            <v>8903</v>
          </cell>
        </row>
        <row r="741">
          <cell r="L741">
            <v>45771</v>
          </cell>
          <cell r="M741">
            <v>45969</v>
          </cell>
        </row>
        <row r="742">
          <cell r="A742">
            <v>9363</v>
          </cell>
        </row>
        <row r="742">
          <cell r="C742" t="str">
            <v>章鹏</v>
          </cell>
          <cell r="D742" t="str">
            <v>挡泥板</v>
          </cell>
        </row>
        <row r="742">
          <cell r="I742" t="str">
            <v>拓展品</v>
          </cell>
          <cell r="J742">
            <v>8992</v>
          </cell>
        </row>
        <row r="742">
          <cell r="L742">
            <v>45771</v>
          </cell>
          <cell r="M742">
            <v>45785</v>
          </cell>
        </row>
        <row r="743">
          <cell r="A743">
            <v>9039</v>
          </cell>
        </row>
        <row r="743">
          <cell r="C743" t="str">
            <v>章鹏</v>
          </cell>
          <cell r="D743" t="str">
            <v>挡泥板</v>
          </cell>
        </row>
        <row r="743">
          <cell r="I743" t="str">
            <v>原开品</v>
          </cell>
          <cell r="J743">
            <v>9037</v>
          </cell>
        </row>
        <row r="743">
          <cell r="L743">
            <v>45771</v>
          </cell>
          <cell r="M743">
            <v>45779</v>
          </cell>
        </row>
        <row r="744">
          <cell r="A744">
            <v>7119</v>
          </cell>
        </row>
        <row r="744">
          <cell r="C744" t="str">
            <v>王偲涵</v>
          </cell>
          <cell r="D744" t="str">
            <v>车身外扩件</v>
          </cell>
        </row>
        <row r="744">
          <cell r="I744" t="str">
            <v>原开品</v>
          </cell>
          <cell r="J744">
            <v>9038</v>
          </cell>
        </row>
        <row r="744">
          <cell r="L744">
            <v>45771</v>
          </cell>
          <cell r="M744">
            <v>45782</v>
          </cell>
        </row>
        <row r="745">
          <cell r="A745">
            <v>10545</v>
          </cell>
        </row>
        <row r="745">
          <cell r="C745" t="str">
            <v>转二部</v>
          </cell>
          <cell r="D745" t="str">
            <v>挡泥板</v>
          </cell>
        </row>
        <row r="745">
          <cell r="I745" t="str">
            <v>拓展品</v>
          </cell>
          <cell r="J745">
            <v>8993</v>
          </cell>
        </row>
        <row r="745">
          <cell r="L745">
            <v>45771</v>
          </cell>
          <cell r="M745">
            <v>45777</v>
          </cell>
        </row>
        <row r="746">
          <cell r="A746">
            <v>10988</v>
          </cell>
        </row>
        <row r="746">
          <cell r="C746" t="str">
            <v>朱培源</v>
          </cell>
          <cell r="D746" t="str">
            <v>机盖及附件</v>
          </cell>
        </row>
        <row r="746">
          <cell r="I746" t="str">
            <v>拓展品</v>
          </cell>
          <cell r="J746">
            <v>9039</v>
          </cell>
        </row>
        <row r="746">
          <cell r="L746">
            <v>45771</v>
          </cell>
          <cell r="M746">
            <v>45777</v>
          </cell>
        </row>
        <row r="747">
          <cell r="A747">
            <v>8484</v>
          </cell>
        </row>
        <row r="747">
          <cell r="C747" t="str">
            <v>转二部</v>
          </cell>
          <cell r="D747" t="str">
            <v>挡泥板</v>
          </cell>
        </row>
        <row r="747">
          <cell r="I747" t="str">
            <v>拓展品</v>
          </cell>
          <cell r="J747">
            <v>9359</v>
          </cell>
        </row>
        <row r="747">
          <cell r="L747">
            <v>45771</v>
          </cell>
          <cell r="M747">
            <v>45777</v>
          </cell>
        </row>
        <row r="748">
          <cell r="A748">
            <v>8181</v>
          </cell>
        </row>
        <row r="748">
          <cell r="C748" t="str">
            <v>俞东旭</v>
          </cell>
          <cell r="D748" t="str">
            <v>车身外扩件</v>
          </cell>
        </row>
        <row r="748">
          <cell r="I748" t="str">
            <v>拓展品</v>
          </cell>
          <cell r="J748">
            <v>9360</v>
          </cell>
        </row>
        <row r="748">
          <cell r="L748">
            <v>45771</v>
          </cell>
          <cell r="M748">
            <v>45775</v>
          </cell>
        </row>
        <row r="749">
          <cell r="A749">
            <v>10062</v>
          </cell>
        </row>
        <row r="749">
          <cell r="C749" t="str">
            <v>朱培源</v>
          </cell>
          <cell r="D749" t="str">
            <v>机盖及附件</v>
          </cell>
        </row>
        <row r="749">
          <cell r="I749" t="str">
            <v>原开品</v>
          </cell>
          <cell r="J749">
            <v>9361</v>
          </cell>
        </row>
        <row r="749">
          <cell r="L749">
            <v>45771</v>
          </cell>
          <cell r="M749">
            <v>45780</v>
          </cell>
        </row>
        <row r="750">
          <cell r="A750">
            <v>136</v>
          </cell>
        </row>
        <row r="750">
          <cell r="C750" t="str">
            <v>转二部</v>
          </cell>
          <cell r="D750" t="str">
            <v>车门系统</v>
          </cell>
        </row>
        <row r="750">
          <cell r="I750" t="str">
            <v>原开品</v>
          </cell>
          <cell r="J750">
            <v>9307</v>
          </cell>
        </row>
        <row r="750">
          <cell r="L750">
            <v>45771</v>
          </cell>
          <cell r="M750">
            <v>45772</v>
          </cell>
        </row>
        <row r="751">
          <cell r="A751">
            <v>7247</v>
          </cell>
        </row>
        <row r="751">
          <cell r="C751" t="str">
            <v>俞东旭</v>
          </cell>
          <cell r="D751" t="str">
            <v>挡泥板</v>
          </cell>
        </row>
        <row r="751">
          <cell r="I751" t="str">
            <v>拓展品</v>
          </cell>
          <cell r="J751">
            <v>9316</v>
          </cell>
        </row>
        <row r="751">
          <cell r="L751">
            <v>45776</v>
          </cell>
          <cell r="M751">
            <v>45789</v>
          </cell>
        </row>
        <row r="752">
          <cell r="A752">
            <v>8485</v>
          </cell>
        </row>
        <row r="752">
          <cell r="C752" t="str">
            <v>章鹏</v>
          </cell>
          <cell r="D752" t="str">
            <v>挡泥板</v>
          </cell>
        </row>
        <row r="752">
          <cell r="I752" t="str">
            <v>原开品</v>
          </cell>
          <cell r="J752">
            <v>9358</v>
          </cell>
        </row>
        <row r="752">
          <cell r="L752">
            <v>45777</v>
          </cell>
          <cell r="M752">
            <v>45780</v>
          </cell>
        </row>
        <row r="753">
          <cell r="A753">
            <v>9697</v>
          </cell>
        </row>
        <row r="753">
          <cell r="C753" t="str">
            <v>章鹏</v>
          </cell>
          <cell r="D753" t="str">
            <v>挡泥板</v>
          </cell>
        </row>
        <row r="753">
          <cell r="I753" t="str">
            <v>原开品</v>
          </cell>
          <cell r="J753">
            <v>9373</v>
          </cell>
        </row>
        <row r="753">
          <cell r="L753">
            <v>45777</v>
          </cell>
          <cell r="M753">
            <v>45785</v>
          </cell>
        </row>
        <row r="754">
          <cell r="A754">
            <v>10350</v>
          </cell>
        </row>
        <row r="754">
          <cell r="C754" t="str">
            <v>转二部</v>
          </cell>
          <cell r="D754" t="str">
            <v>玻璃</v>
          </cell>
        </row>
        <row r="754">
          <cell r="I754" t="str">
            <v>原开品</v>
          </cell>
          <cell r="J754">
            <v>8985</v>
          </cell>
        </row>
        <row r="754">
          <cell r="L754">
            <v>45782</v>
          </cell>
          <cell r="M754">
            <v>45782</v>
          </cell>
        </row>
        <row r="755">
          <cell r="A755">
            <v>8753</v>
          </cell>
        </row>
        <row r="755">
          <cell r="C755" t="str">
            <v>章鹏</v>
          </cell>
          <cell r="D755" t="str">
            <v>挡泥板</v>
          </cell>
        </row>
        <row r="755">
          <cell r="I755" t="str">
            <v>原开品</v>
          </cell>
          <cell r="J755">
            <v>9386</v>
          </cell>
        </row>
        <row r="755">
          <cell r="L755">
            <v>45782</v>
          </cell>
          <cell r="M755">
            <v>45786</v>
          </cell>
        </row>
        <row r="756">
          <cell r="A756">
            <v>10381</v>
          </cell>
        </row>
        <row r="756">
          <cell r="C756" t="str">
            <v>王偲涵</v>
          </cell>
          <cell r="D756" t="str">
            <v>雨刮罩</v>
          </cell>
        </row>
        <row r="756">
          <cell r="I756" t="str">
            <v>原开品</v>
          </cell>
          <cell r="J756">
            <v>9387</v>
          </cell>
        </row>
        <row r="756">
          <cell r="L756">
            <v>45782</v>
          </cell>
          <cell r="M756">
            <v>45783</v>
          </cell>
        </row>
        <row r="757">
          <cell r="A757">
            <v>10386</v>
          </cell>
        </row>
        <row r="757">
          <cell r="C757" t="str">
            <v>王偲涵</v>
          </cell>
          <cell r="D757" t="str">
            <v>雨刮罩</v>
          </cell>
        </row>
        <row r="757">
          <cell r="I757" t="str">
            <v>拓展品</v>
          </cell>
          <cell r="J757">
            <v>9557</v>
          </cell>
        </row>
        <row r="757">
          <cell r="L757">
            <v>45782</v>
          </cell>
          <cell r="M757">
            <v>45796</v>
          </cell>
        </row>
        <row r="758">
          <cell r="A758">
            <v>9360</v>
          </cell>
        </row>
        <row r="758">
          <cell r="C758" t="str">
            <v>章鹏</v>
          </cell>
          <cell r="D758" t="str">
            <v>挡泥板</v>
          </cell>
        </row>
        <row r="758">
          <cell r="I758" t="str">
            <v>拓展品</v>
          </cell>
          <cell r="J758">
            <v>9558</v>
          </cell>
        </row>
        <row r="758">
          <cell r="L758">
            <v>45782</v>
          </cell>
          <cell r="M758">
            <v>45798</v>
          </cell>
        </row>
        <row r="759">
          <cell r="A759">
            <v>9303</v>
          </cell>
        </row>
        <row r="759">
          <cell r="C759" t="str">
            <v>章鹏</v>
          </cell>
          <cell r="D759" t="str">
            <v>挡泥板</v>
          </cell>
        </row>
        <row r="759">
          <cell r="I759" t="str">
            <v>原开品</v>
          </cell>
          <cell r="J759">
            <v>9559</v>
          </cell>
        </row>
        <row r="759">
          <cell r="L759">
            <v>45782</v>
          </cell>
          <cell r="M759">
            <v>45786</v>
          </cell>
        </row>
        <row r="760">
          <cell r="A760">
            <v>3758</v>
          </cell>
        </row>
        <row r="760">
          <cell r="C760" t="str">
            <v>朱培源</v>
          </cell>
          <cell r="D760" t="str">
            <v>挡泥板</v>
          </cell>
        </row>
        <row r="760">
          <cell r="I760" t="str">
            <v>原开品</v>
          </cell>
          <cell r="J760">
            <v>9560</v>
          </cell>
        </row>
        <row r="760">
          <cell r="L760">
            <v>45782</v>
          </cell>
          <cell r="M760">
            <v>45789</v>
          </cell>
        </row>
        <row r="761">
          <cell r="A761">
            <v>8607</v>
          </cell>
        </row>
        <row r="761">
          <cell r="C761" t="str">
            <v>章鹏</v>
          </cell>
          <cell r="D761" t="str">
            <v>挡泥板</v>
          </cell>
        </row>
        <row r="761">
          <cell r="I761" t="str">
            <v>拓展品</v>
          </cell>
          <cell r="J761">
            <v>9388</v>
          </cell>
        </row>
        <row r="761">
          <cell r="L761">
            <v>45782</v>
          </cell>
          <cell r="M761">
            <v>45789</v>
          </cell>
        </row>
        <row r="762">
          <cell r="A762">
            <v>9560</v>
          </cell>
        </row>
        <row r="762">
          <cell r="C762" t="str">
            <v>章鹏</v>
          </cell>
          <cell r="D762" t="str">
            <v>挡泥板</v>
          </cell>
        </row>
        <row r="762">
          <cell r="I762" t="str">
            <v>拓展品</v>
          </cell>
          <cell r="J762">
            <v>9540</v>
          </cell>
        </row>
        <row r="762">
          <cell r="L762">
            <v>45782</v>
          </cell>
          <cell r="M762">
            <v>45785</v>
          </cell>
        </row>
        <row r="763">
          <cell r="A763">
            <v>10508</v>
          </cell>
        </row>
        <row r="763">
          <cell r="C763" t="str">
            <v>转二部</v>
          </cell>
          <cell r="D763" t="str">
            <v>车身外扩件</v>
          </cell>
        </row>
        <row r="763">
          <cell r="I763" t="str">
            <v>原开品</v>
          </cell>
          <cell r="J763">
            <v>9480</v>
          </cell>
        </row>
        <row r="763">
          <cell r="L763">
            <v>45784</v>
          </cell>
          <cell r="M763">
            <v>45787</v>
          </cell>
        </row>
        <row r="764">
          <cell r="A764">
            <v>10518</v>
          </cell>
        </row>
        <row r="764">
          <cell r="C764" t="str">
            <v>胡煜星</v>
          </cell>
          <cell r="D764" t="str">
            <v>车门系统</v>
          </cell>
        </row>
        <row r="764">
          <cell r="I764" t="str">
            <v>拓展品</v>
          </cell>
          <cell r="J764">
            <v>9481</v>
          </cell>
        </row>
        <row r="764">
          <cell r="L764">
            <v>45784</v>
          </cell>
          <cell r="M764">
            <v>45793</v>
          </cell>
        </row>
        <row r="765">
          <cell r="A765">
            <v>10519</v>
          </cell>
        </row>
        <row r="765">
          <cell r="C765" t="str">
            <v>胡煜星</v>
          </cell>
          <cell r="D765" t="str">
            <v>车门系统</v>
          </cell>
        </row>
        <row r="765">
          <cell r="I765" t="str">
            <v>原开品</v>
          </cell>
          <cell r="J765">
            <v>9551</v>
          </cell>
        </row>
        <row r="765">
          <cell r="L765">
            <v>45784</v>
          </cell>
          <cell r="M765">
            <v>45794</v>
          </cell>
        </row>
        <row r="766">
          <cell r="A766">
            <v>10520</v>
          </cell>
        </row>
        <row r="766">
          <cell r="C766" t="str">
            <v>转二部</v>
          </cell>
          <cell r="D766" t="str">
            <v>车门系统</v>
          </cell>
        </row>
        <row r="766">
          <cell r="I766" t="str">
            <v>原开品</v>
          </cell>
          <cell r="J766">
            <v>9553</v>
          </cell>
        </row>
        <row r="766">
          <cell r="L766">
            <v>45784</v>
          </cell>
          <cell r="M766">
            <v>45830</v>
          </cell>
        </row>
        <row r="767">
          <cell r="A767">
            <v>10544</v>
          </cell>
        </row>
        <row r="767">
          <cell r="C767" t="str">
            <v>王偲涵</v>
          </cell>
          <cell r="D767" t="str">
            <v>雨刮罩</v>
          </cell>
        </row>
        <row r="767">
          <cell r="I767" t="str">
            <v>原开品</v>
          </cell>
          <cell r="J767">
            <v>9391</v>
          </cell>
        </row>
        <row r="767">
          <cell r="L767">
            <v>45784</v>
          </cell>
          <cell r="M767">
            <v>45794</v>
          </cell>
        </row>
        <row r="768">
          <cell r="A768">
            <v>9038</v>
          </cell>
        </row>
        <row r="768">
          <cell r="C768" t="str">
            <v>章鹏</v>
          </cell>
          <cell r="D768" t="str">
            <v>挡泥板</v>
          </cell>
        </row>
        <row r="768">
          <cell r="I768" t="str">
            <v>原开品</v>
          </cell>
          <cell r="J768">
            <v>9289</v>
          </cell>
        </row>
        <row r="768">
          <cell r="L768">
            <v>45784</v>
          </cell>
          <cell r="M768">
            <v>45794</v>
          </cell>
        </row>
        <row r="769">
          <cell r="A769">
            <v>10813</v>
          </cell>
        </row>
        <row r="769">
          <cell r="C769" t="str">
            <v>朱培源</v>
          </cell>
          <cell r="D769" t="str">
            <v>机盖及附件</v>
          </cell>
        </row>
        <row r="769">
          <cell r="I769" t="str">
            <v>拓展品</v>
          </cell>
          <cell r="J769">
            <v>9552</v>
          </cell>
        </row>
        <row r="769">
          <cell r="L769">
            <v>45786</v>
          </cell>
          <cell r="M769">
            <v>45791</v>
          </cell>
        </row>
        <row r="770">
          <cell r="A770">
            <v>10553</v>
          </cell>
        </row>
        <row r="770">
          <cell r="C770" t="str">
            <v>俞东旭</v>
          </cell>
          <cell r="D770" t="str">
            <v>车门系统</v>
          </cell>
        </row>
        <row r="770">
          <cell r="I770" t="str">
            <v>原开品</v>
          </cell>
          <cell r="J770">
            <v>9580</v>
          </cell>
        </row>
        <row r="770">
          <cell r="L770">
            <v>45786</v>
          </cell>
          <cell r="M770">
            <v>45795</v>
          </cell>
        </row>
        <row r="771">
          <cell r="A771">
            <v>10554</v>
          </cell>
        </row>
        <row r="771">
          <cell r="C771" t="str">
            <v>胡煜星</v>
          </cell>
          <cell r="D771" t="str">
            <v>车门系统</v>
          </cell>
        </row>
        <row r="771">
          <cell r="I771" t="str">
            <v>拓展品</v>
          </cell>
          <cell r="J771">
            <v>9581</v>
          </cell>
        </row>
        <row r="771">
          <cell r="L771">
            <v>45786</v>
          </cell>
          <cell r="M771">
            <v>45797</v>
          </cell>
        </row>
        <row r="772">
          <cell r="A772">
            <v>10585</v>
          </cell>
        </row>
        <row r="772">
          <cell r="C772" t="str">
            <v>转二部</v>
          </cell>
          <cell r="D772" t="str">
            <v>车身外扩件</v>
          </cell>
        </row>
        <row r="772">
          <cell r="I772" t="str">
            <v>原开品</v>
          </cell>
          <cell r="J772">
            <v>9490</v>
          </cell>
        </row>
        <row r="772">
          <cell r="L772">
            <v>45787</v>
          </cell>
          <cell r="M772">
            <v>45818</v>
          </cell>
        </row>
        <row r="773">
          <cell r="A773">
            <v>10592</v>
          </cell>
        </row>
        <row r="773">
          <cell r="C773" t="str">
            <v>转二部</v>
          </cell>
          <cell r="D773" t="str">
            <v>车门系统</v>
          </cell>
        </row>
        <row r="773">
          <cell r="I773" t="str">
            <v>拓展品</v>
          </cell>
          <cell r="J773">
            <v>9884</v>
          </cell>
        </row>
        <row r="773">
          <cell r="L773">
            <v>45787</v>
          </cell>
          <cell r="M773">
            <v>45815</v>
          </cell>
        </row>
        <row r="774">
          <cell r="A774">
            <v>10593</v>
          </cell>
        </row>
        <row r="774">
          <cell r="C774" t="str">
            <v>胡煜星</v>
          </cell>
          <cell r="D774" t="str">
            <v>车门系统</v>
          </cell>
        </row>
        <row r="774">
          <cell r="I774" t="str">
            <v>拓展品</v>
          </cell>
          <cell r="J774">
            <v>9513</v>
          </cell>
        </row>
        <row r="774">
          <cell r="L774">
            <v>45787</v>
          </cell>
          <cell r="M774">
            <v>45825</v>
          </cell>
        </row>
        <row r="775">
          <cell r="A775">
            <v>9557</v>
          </cell>
        </row>
        <row r="775">
          <cell r="C775" t="str">
            <v>章鹏</v>
          </cell>
          <cell r="D775" t="str">
            <v>挡泥板</v>
          </cell>
        </row>
        <row r="775">
          <cell r="I775" t="str">
            <v>拓展品</v>
          </cell>
          <cell r="J775">
            <v>9625</v>
          </cell>
        </row>
        <row r="775">
          <cell r="L775">
            <v>45787</v>
          </cell>
          <cell r="M775">
            <v>45818</v>
          </cell>
        </row>
        <row r="776">
          <cell r="A776">
            <v>10653</v>
          </cell>
        </row>
        <row r="776">
          <cell r="C776" t="str">
            <v>胡煜星</v>
          </cell>
          <cell r="D776" t="str">
            <v>车门系统</v>
          </cell>
        </row>
        <row r="776">
          <cell r="I776" t="str">
            <v>原开品</v>
          </cell>
          <cell r="J776">
            <v>9514</v>
          </cell>
        </row>
        <row r="776">
          <cell r="L776">
            <v>45787</v>
          </cell>
          <cell r="M776">
            <v>45818</v>
          </cell>
        </row>
        <row r="777">
          <cell r="A777">
            <v>10659</v>
          </cell>
        </row>
        <row r="777">
          <cell r="C777" t="str">
            <v>转二部</v>
          </cell>
          <cell r="D777" t="str">
            <v>车门系统</v>
          </cell>
        </row>
        <row r="777">
          <cell r="I777" t="str">
            <v>原开品</v>
          </cell>
          <cell r="J777">
            <v>9515</v>
          </cell>
        </row>
        <row r="777">
          <cell r="L777">
            <v>45787</v>
          </cell>
          <cell r="M777">
            <v>45827</v>
          </cell>
        </row>
        <row r="778">
          <cell r="A778">
            <v>10660</v>
          </cell>
        </row>
        <row r="778">
          <cell r="C778" t="str">
            <v>转二部</v>
          </cell>
          <cell r="D778" t="str">
            <v>车门系统</v>
          </cell>
        </row>
        <row r="778">
          <cell r="I778" t="str">
            <v>原开品</v>
          </cell>
          <cell r="J778">
            <v>9516</v>
          </cell>
        </row>
        <row r="778">
          <cell r="L778">
            <v>45787</v>
          </cell>
          <cell r="M778">
            <v>45826</v>
          </cell>
        </row>
        <row r="779">
          <cell r="A779">
            <v>10774</v>
          </cell>
        </row>
        <row r="779">
          <cell r="C779" t="str">
            <v>胡煜星</v>
          </cell>
          <cell r="D779" t="str">
            <v>车门系统</v>
          </cell>
        </row>
        <row r="779">
          <cell r="I779" t="str">
            <v>拓展品</v>
          </cell>
          <cell r="J779">
            <v>9883</v>
          </cell>
        </row>
        <row r="779">
          <cell r="L779">
            <v>45787</v>
          </cell>
          <cell r="M779">
            <v>45822</v>
          </cell>
        </row>
        <row r="780">
          <cell r="A780">
            <v>10785</v>
          </cell>
        </row>
        <row r="780">
          <cell r="C780" t="str">
            <v>王偲涵</v>
          </cell>
          <cell r="D780" t="str">
            <v>车身外扩件</v>
          </cell>
        </row>
        <row r="780">
          <cell r="I780" t="str">
            <v>原开品</v>
          </cell>
          <cell r="J780">
            <v>9626</v>
          </cell>
        </row>
        <row r="780">
          <cell r="L780">
            <v>45787</v>
          </cell>
          <cell r="M780">
            <v>45796</v>
          </cell>
        </row>
        <row r="781">
          <cell r="A781">
            <v>10786</v>
          </cell>
        </row>
        <row r="781">
          <cell r="C781" t="str">
            <v>王偲涵</v>
          </cell>
          <cell r="D781" t="str">
            <v>车身外扩件</v>
          </cell>
        </row>
        <row r="781">
          <cell r="I781" t="str">
            <v>原开品</v>
          </cell>
          <cell r="J781">
            <v>9627</v>
          </cell>
        </row>
        <row r="781">
          <cell r="L781">
            <v>45787</v>
          </cell>
          <cell r="M781">
            <v>45789</v>
          </cell>
        </row>
        <row r="782">
          <cell r="A782">
            <v>10787</v>
          </cell>
        </row>
        <row r="782">
          <cell r="C782" t="str">
            <v>王偲涵</v>
          </cell>
          <cell r="D782" t="str">
            <v>车身外扩件</v>
          </cell>
        </row>
        <row r="782">
          <cell r="I782" t="str">
            <v>原开品</v>
          </cell>
          <cell r="J782">
            <v>9482</v>
          </cell>
        </row>
        <row r="782">
          <cell r="L782">
            <v>45787</v>
          </cell>
          <cell r="M782" t="str">
            <v>2025/5/24</v>
          </cell>
        </row>
        <row r="783">
          <cell r="A783">
            <v>10466</v>
          </cell>
        </row>
        <row r="783">
          <cell r="C783" t="str">
            <v>转二部</v>
          </cell>
          <cell r="D783" t="str">
            <v>其他</v>
          </cell>
        </row>
        <row r="783">
          <cell r="I783" t="str">
            <v>拓展品</v>
          </cell>
          <cell r="J783">
            <v>9375</v>
          </cell>
        </row>
        <row r="783">
          <cell r="L783">
            <v>45787</v>
          </cell>
          <cell r="M783">
            <v>45788</v>
          </cell>
        </row>
        <row r="784">
          <cell r="A784">
            <v>10811</v>
          </cell>
        </row>
        <row r="784">
          <cell r="C784" t="str">
            <v>朱培源</v>
          </cell>
          <cell r="D784" t="str">
            <v>机盖及附件</v>
          </cell>
        </row>
        <row r="784">
          <cell r="I784" t="str">
            <v>原开品</v>
          </cell>
          <cell r="J784">
            <v>9447</v>
          </cell>
        </row>
        <row r="784">
          <cell r="L784">
            <v>45787</v>
          </cell>
          <cell r="M784">
            <v>45858</v>
          </cell>
        </row>
        <row r="785">
          <cell r="A785">
            <v>1371</v>
          </cell>
        </row>
        <row r="785">
          <cell r="C785" t="str">
            <v>章鹏</v>
          </cell>
          <cell r="D785" t="str">
            <v>其他</v>
          </cell>
        </row>
        <row r="785">
          <cell r="I785" t="str">
            <v>拓展品</v>
          </cell>
          <cell r="J785">
            <v>9448</v>
          </cell>
        </row>
        <row r="785">
          <cell r="L785">
            <v>45787</v>
          </cell>
          <cell r="M785">
            <v>45798</v>
          </cell>
        </row>
        <row r="786">
          <cell r="A786">
            <v>8126</v>
          </cell>
        </row>
        <row r="786">
          <cell r="C786" t="str">
            <v>俞东旭</v>
          </cell>
          <cell r="D786" t="str">
            <v>挡泥板</v>
          </cell>
        </row>
        <row r="786">
          <cell r="I786" t="str">
            <v>拓展品</v>
          </cell>
          <cell r="J786">
            <v>9449</v>
          </cell>
        </row>
        <row r="786">
          <cell r="L786">
            <v>45787</v>
          </cell>
          <cell r="M786">
            <v>45861</v>
          </cell>
        </row>
        <row r="787">
          <cell r="A787">
            <v>10857</v>
          </cell>
        </row>
        <row r="787">
          <cell r="C787" t="str">
            <v>转二部</v>
          </cell>
          <cell r="D787" t="str">
            <v>车身外扩件</v>
          </cell>
        </row>
        <row r="787">
          <cell r="I787" t="str">
            <v>拓展品</v>
          </cell>
          <cell r="J787">
            <v>9455</v>
          </cell>
        </row>
        <row r="787">
          <cell r="L787">
            <v>45789</v>
          </cell>
          <cell r="M787">
            <v>45796</v>
          </cell>
        </row>
        <row r="788">
          <cell r="A788">
            <v>10812</v>
          </cell>
        </row>
        <row r="788">
          <cell r="C788" t="str">
            <v>转二部</v>
          </cell>
          <cell r="D788" t="str">
            <v>机盖及附件</v>
          </cell>
        </row>
        <row r="788">
          <cell r="I788" t="str">
            <v>拓展品</v>
          </cell>
          <cell r="J788">
            <v>9439</v>
          </cell>
        </row>
        <row r="788">
          <cell r="L788">
            <v>45790</v>
          </cell>
          <cell r="M788">
            <v>45791</v>
          </cell>
        </row>
        <row r="789">
          <cell r="A789">
            <v>10107</v>
          </cell>
        </row>
        <row r="789">
          <cell r="C789" t="str">
            <v>朱培源</v>
          </cell>
          <cell r="D789" t="str">
            <v>挡泥板</v>
          </cell>
        </row>
        <row r="789">
          <cell r="I789" t="str">
            <v>拓展品</v>
          </cell>
          <cell r="J789">
            <v>9456</v>
          </cell>
        </row>
        <row r="789">
          <cell r="L789">
            <v>45790</v>
          </cell>
          <cell r="M789">
            <v>45792</v>
          </cell>
        </row>
        <row r="790">
          <cell r="A790">
            <v>10639</v>
          </cell>
        </row>
        <row r="790">
          <cell r="C790" t="str">
            <v>朱培源</v>
          </cell>
          <cell r="D790" t="str">
            <v>机盖及附件</v>
          </cell>
        </row>
        <row r="790">
          <cell r="I790" t="str">
            <v>原开品</v>
          </cell>
          <cell r="J790">
            <v>9491</v>
          </cell>
        </row>
        <row r="790">
          <cell r="L790">
            <v>45790</v>
          </cell>
          <cell r="M790">
            <v>45795</v>
          </cell>
        </row>
        <row r="791">
          <cell r="A791">
            <v>10465</v>
          </cell>
        </row>
        <row r="791">
          <cell r="C791" t="str">
            <v>转二部</v>
          </cell>
          <cell r="D791" t="str">
            <v>其他</v>
          </cell>
        </row>
        <row r="791">
          <cell r="I791" t="str">
            <v>拓展品</v>
          </cell>
          <cell r="J791">
            <v>9492</v>
          </cell>
        </row>
        <row r="791">
          <cell r="L791">
            <v>45790</v>
          </cell>
          <cell r="M791">
            <v>45803</v>
          </cell>
        </row>
        <row r="792">
          <cell r="A792">
            <v>10937</v>
          </cell>
        </row>
        <row r="792">
          <cell r="C792" t="str">
            <v>胡煜星</v>
          </cell>
          <cell r="D792" t="str">
            <v>玻璃</v>
          </cell>
        </row>
        <row r="792">
          <cell r="I792" t="str">
            <v>拓展品</v>
          </cell>
          <cell r="J792">
            <v>9493</v>
          </cell>
        </row>
        <row r="792">
          <cell r="L792">
            <v>45790</v>
          </cell>
          <cell r="M792">
            <v>45815</v>
          </cell>
        </row>
        <row r="793">
          <cell r="A793">
            <v>10938</v>
          </cell>
        </row>
        <row r="793">
          <cell r="C793" t="str">
            <v>转二部</v>
          </cell>
          <cell r="D793" t="str">
            <v>玻璃</v>
          </cell>
        </row>
        <row r="793">
          <cell r="I793" t="str">
            <v>原开品</v>
          </cell>
          <cell r="J793">
            <v>9499</v>
          </cell>
        </row>
        <row r="793">
          <cell r="L793">
            <v>45789</v>
          </cell>
          <cell r="M793">
            <v>45825</v>
          </cell>
        </row>
        <row r="794">
          <cell r="A794">
            <v>10977</v>
          </cell>
        </row>
        <row r="794">
          <cell r="C794" t="str">
            <v>转二部</v>
          </cell>
          <cell r="D794" t="str">
            <v>车身外扩件</v>
          </cell>
        </row>
        <row r="794">
          <cell r="I794" t="str">
            <v>拓展品</v>
          </cell>
          <cell r="J794">
            <v>9500</v>
          </cell>
        </row>
        <row r="794">
          <cell r="L794">
            <v>45789</v>
          </cell>
          <cell r="M794">
            <v>45818</v>
          </cell>
        </row>
        <row r="795">
          <cell r="A795">
            <v>11033</v>
          </cell>
        </row>
        <row r="795">
          <cell r="C795" t="str">
            <v>朱培源</v>
          </cell>
          <cell r="D795" t="str">
            <v>挡泥板</v>
          </cell>
        </row>
        <row r="795">
          <cell r="I795" t="str">
            <v>拓展品</v>
          </cell>
          <cell r="J795">
            <v>9501</v>
          </cell>
        </row>
        <row r="795">
          <cell r="L795">
            <v>45789</v>
          </cell>
          <cell r="M795">
            <v>45818</v>
          </cell>
        </row>
        <row r="796">
          <cell r="A796">
            <v>11002</v>
          </cell>
        </row>
        <row r="796">
          <cell r="C796" t="str">
            <v>俞东旭</v>
          </cell>
          <cell r="D796" t="str">
            <v>车门系统</v>
          </cell>
        </row>
        <row r="796">
          <cell r="I796" t="str">
            <v>原开品</v>
          </cell>
          <cell r="J796">
            <v>9445</v>
          </cell>
        </row>
        <row r="796">
          <cell r="L796">
            <v>45789</v>
          </cell>
          <cell r="M796">
            <v>45827</v>
          </cell>
        </row>
        <row r="797">
          <cell r="A797">
            <v>11003</v>
          </cell>
        </row>
        <row r="797">
          <cell r="C797" t="str">
            <v>俞东旭</v>
          </cell>
          <cell r="D797" t="str">
            <v>车门系统</v>
          </cell>
        </row>
        <row r="797">
          <cell r="I797" t="str">
            <v>原开品</v>
          </cell>
          <cell r="J797">
            <v>9446</v>
          </cell>
        </row>
        <row r="797">
          <cell r="L797">
            <v>45789</v>
          </cell>
          <cell r="M797">
            <v>45826</v>
          </cell>
        </row>
        <row r="798">
          <cell r="A798">
            <v>11004</v>
          </cell>
        </row>
        <row r="798">
          <cell r="C798" t="str">
            <v>俞东旭</v>
          </cell>
          <cell r="D798" t="str">
            <v>车门系统</v>
          </cell>
        </row>
        <row r="798">
          <cell r="I798" t="str">
            <v>原开品</v>
          </cell>
          <cell r="J798">
            <v>9495</v>
          </cell>
        </row>
        <row r="798">
          <cell r="L798">
            <v>45789</v>
          </cell>
          <cell r="M798">
            <v>45822</v>
          </cell>
        </row>
        <row r="799">
          <cell r="A799">
            <v>11005</v>
          </cell>
        </row>
        <row r="799">
          <cell r="C799" t="str">
            <v>转二部</v>
          </cell>
          <cell r="D799" t="str">
            <v>车门系统</v>
          </cell>
        </row>
        <row r="799">
          <cell r="I799" t="str">
            <v>原开品</v>
          </cell>
          <cell r="J799">
            <v>9645</v>
          </cell>
        </row>
        <row r="799">
          <cell r="L799">
            <v>45790</v>
          </cell>
          <cell r="M799">
            <v>45798</v>
          </cell>
        </row>
        <row r="800">
          <cell r="A800">
            <v>10859</v>
          </cell>
        </row>
        <row r="800">
          <cell r="C800" t="str">
            <v>朱培源</v>
          </cell>
          <cell r="D800" t="str">
            <v>机盖及附件</v>
          </cell>
        </row>
        <row r="800">
          <cell r="I800" t="str">
            <v>原开品</v>
          </cell>
          <cell r="J800">
            <v>9584</v>
          </cell>
        </row>
        <row r="800">
          <cell r="L800">
            <v>45790</v>
          </cell>
          <cell r="M800">
            <v>45796</v>
          </cell>
        </row>
        <row r="801">
          <cell r="A801">
            <v>11030</v>
          </cell>
        </row>
        <row r="801">
          <cell r="C801" t="str">
            <v>张潇</v>
          </cell>
          <cell r="D801" t="str">
            <v>牌照板支架</v>
          </cell>
        </row>
        <row r="801">
          <cell r="I801" t="str">
            <v>拓展品</v>
          </cell>
          <cell r="J801">
            <v>9605</v>
          </cell>
        </row>
        <row r="801">
          <cell r="L801">
            <v>45790</v>
          </cell>
          <cell r="M801">
            <v>45806</v>
          </cell>
        </row>
        <row r="802">
          <cell r="A802">
            <v>11043</v>
          </cell>
        </row>
        <row r="802">
          <cell r="C802" t="str">
            <v>王偲涵</v>
          </cell>
          <cell r="D802" t="str">
            <v>雨刮罩</v>
          </cell>
        </row>
        <row r="802">
          <cell r="I802" t="str">
            <v>拓展品</v>
          </cell>
          <cell r="J802">
            <v>9606</v>
          </cell>
        </row>
        <row r="802">
          <cell r="L802">
            <v>45790</v>
          </cell>
          <cell r="M802">
            <v>45806</v>
          </cell>
        </row>
        <row r="803">
          <cell r="A803">
            <v>11053</v>
          </cell>
        </row>
        <row r="803">
          <cell r="C803" t="str">
            <v>转二部</v>
          </cell>
          <cell r="D803" t="str">
            <v>机盖及附件</v>
          </cell>
        </row>
        <row r="803">
          <cell r="I803" t="str">
            <v>原开品</v>
          </cell>
          <cell r="J803">
            <v>9174</v>
          </cell>
        </row>
        <row r="803">
          <cell r="L803">
            <v>45792</v>
          </cell>
          <cell r="M803">
            <v>45794</v>
          </cell>
        </row>
        <row r="804">
          <cell r="A804">
            <v>8393</v>
          </cell>
        </row>
        <row r="804">
          <cell r="C804" t="str">
            <v>俞东旭</v>
          </cell>
          <cell r="D804" t="str">
            <v>挡泥板</v>
          </cell>
        </row>
        <row r="804">
          <cell r="I804" t="str">
            <v>原开品</v>
          </cell>
          <cell r="J804">
            <v>9296</v>
          </cell>
        </row>
        <row r="804">
          <cell r="L804">
            <v>45792</v>
          </cell>
          <cell r="M804">
            <v>45793</v>
          </cell>
        </row>
        <row r="805">
          <cell r="A805">
            <v>11078</v>
          </cell>
        </row>
        <row r="805">
          <cell r="C805" t="str">
            <v>转二部</v>
          </cell>
          <cell r="D805" t="str">
            <v>机盖及附件</v>
          </cell>
        </row>
        <row r="805">
          <cell r="I805" t="str">
            <v>原开品</v>
          </cell>
          <cell r="J805">
            <v>9303</v>
          </cell>
        </row>
        <row r="805">
          <cell r="L805">
            <v>45792</v>
          </cell>
          <cell r="M805">
            <v>45797</v>
          </cell>
        </row>
        <row r="806">
          <cell r="A806">
            <v>1447</v>
          </cell>
        </row>
        <row r="806">
          <cell r="C806" t="str">
            <v>章鹏</v>
          </cell>
          <cell r="D806" t="str">
            <v>其他</v>
          </cell>
        </row>
        <row r="806">
          <cell r="I806" t="str">
            <v>原开品</v>
          </cell>
          <cell r="J806">
            <v>9304</v>
          </cell>
        </row>
        <row r="806">
          <cell r="L806">
            <v>45792</v>
          </cell>
          <cell r="M806">
            <v>45801</v>
          </cell>
        </row>
        <row r="807">
          <cell r="A807">
            <v>1446</v>
          </cell>
        </row>
        <row r="807">
          <cell r="C807" t="str">
            <v>章鹏</v>
          </cell>
          <cell r="D807" t="str">
            <v>其他</v>
          </cell>
        </row>
        <row r="807">
          <cell r="I807" t="str">
            <v>拓展品</v>
          </cell>
          <cell r="J807">
            <v>8944</v>
          </cell>
        </row>
        <row r="807">
          <cell r="L807">
            <v>45792</v>
          </cell>
          <cell r="M807">
            <v>45810</v>
          </cell>
        </row>
        <row r="808">
          <cell r="A808">
            <v>11076</v>
          </cell>
        </row>
        <row r="808">
          <cell r="C808" t="str">
            <v>王偲涵</v>
          </cell>
          <cell r="D808" t="str">
            <v>雨刮罩</v>
          </cell>
        </row>
        <row r="808">
          <cell r="I808" t="str">
            <v>原开品</v>
          </cell>
          <cell r="J808">
            <v>8989</v>
          </cell>
        </row>
        <row r="808">
          <cell r="L808">
            <v>45792</v>
          </cell>
          <cell r="M808">
            <v>45798</v>
          </cell>
        </row>
        <row r="809">
          <cell r="A809">
            <v>11086</v>
          </cell>
        </row>
        <row r="809">
          <cell r="C809" t="str">
            <v>胡煜星</v>
          </cell>
          <cell r="D809" t="str">
            <v>玻璃</v>
          </cell>
        </row>
        <row r="809">
          <cell r="I809" t="str">
            <v>原开品</v>
          </cell>
          <cell r="J809">
            <v>8990</v>
          </cell>
        </row>
        <row r="809">
          <cell r="L809">
            <v>45792</v>
          </cell>
          <cell r="M809">
            <v>45797</v>
          </cell>
        </row>
        <row r="810">
          <cell r="A810">
            <v>11091</v>
          </cell>
        </row>
        <row r="810">
          <cell r="C810" t="str">
            <v>张潇</v>
          </cell>
          <cell r="D810" t="str">
            <v>挡泥板</v>
          </cell>
        </row>
        <row r="810">
          <cell r="I810" t="str">
            <v>拓展品</v>
          </cell>
          <cell r="J810">
            <v>9672</v>
          </cell>
        </row>
        <row r="810">
          <cell r="L810">
            <v>45800</v>
          </cell>
          <cell r="M810">
            <v>45881</v>
          </cell>
        </row>
        <row r="811">
          <cell r="A811">
            <v>11093</v>
          </cell>
        </row>
        <row r="811">
          <cell r="C811" t="str">
            <v>朱培源</v>
          </cell>
          <cell r="D811" t="str">
            <v>机盖及附件</v>
          </cell>
        </row>
        <row r="811">
          <cell r="I811" t="str">
            <v>拓展品</v>
          </cell>
          <cell r="J811">
            <v>9673</v>
          </cell>
        </row>
        <row r="811">
          <cell r="L811">
            <v>45800</v>
          </cell>
          <cell r="M811">
            <v>45926</v>
          </cell>
        </row>
        <row r="812">
          <cell r="A812">
            <v>11096</v>
          </cell>
        </row>
        <row r="812">
          <cell r="C812" t="str">
            <v>转二部</v>
          </cell>
          <cell r="D812" t="str">
            <v>其他</v>
          </cell>
        </row>
        <row r="812">
          <cell r="I812" t="str">
            <v>拓展品</v>
          </cell>
          <cell r="J812">
            <v>9674</v>
          </cell>
        </row>
        <row r="812">
          <cell r="L812">
            <v>45800</v>
          </cell>
          <cell r="M812">
            <v>45856</v>
          </cell>
        </row>
        <row r="813">
          <cell r="A813">
            <v>11100</v>
          </cell>
        </row>
        <row r="813">
          <cell r="C813" t="str">
            <v>俞东旭</v>
          </cell>
          <cell r="D813" t="str">
            <v>挡泥板</v>
          </cell>
        </row>
        <row r="813">
          <cell r="I813" t="str">
            <v>拓展品</v>
          </cell>
          <cell r="J813">
            <v>9675</v>
          </cell>
        </row>
        <row r="813">
          <cell r="L813">
            <v>45800</v>
          </cell>
          <cell r="M813">
            <v>45874</v>
          </cell>
        </row>
        <row r="814">
          <cell r="A814">
            <v>11101</v>
          </cell>
        </row>
        <row r="814">
          <cell r="C814" t="str">
            <v>俞东旭</v>
          </cell>
          <cell r="D814" t="str">
            <v>挡泥板</v>
          </cell>
        </row>
        <row r="814">
          <cell r="I814" t="str">
            <v>拓展品</v>
          </cell>
          <cell r="J814">
            <v>9676</v>
          </cell>
        </row>
        <row r="814">
          <cell r="L814">
            <v>45800</v>
          </cell>
          <cell r="M814">
            <v>45847</v>
          </cell>
        </row>
        <row r="815">
          <cell r="A815">
            <v>11102</v>
          </cell>
        </row>
        <row r="815">
          <cell r="C815" t="str">
            <v>张潇</v>
          </cell>
          <cell r="D815" t="str">
            <v>车门系统</v>
          </cell>
        </row>
        <row r="815">
          <cell r="I815" t="str">
            <v>拓展品</v>
          </cell>
          <cell r="J815">
            <v>9677</v>
          </cell>
        </row>
        <row r="815">
          <cell r="L815">
            <v>45799</v>
          </cell>
          <cell r="M815">
            <v>45825</v>
          </cell>
        </row>
        <row r="816">
          <cell r="A816">
            <v>11103</v>
          </cell>
        </row>
        <row r="816">
          <cell r="C816" t="str">
            <v>朱培源</v>
          </cell>
          <cell r="D816" t="str">
            <v>机盖及附件</v>
          </cell>
        </row>
        <row r="816">
          <cell r="I816" t="str">
            <v>拓展品</v>
          </cell>
          <cell r="J816">
            <v>9678</v>
          </cell>
        </row>
        <row r="816">
          <cell r="L816">
            <v>45800</v>
          </cell>
          <cell r="M816">
            <v>45818</v>
          </cell>
        </row>
        <row r="817">
          <cell r="A817">
            <v>11104</v>
          </cell>
        </row>
        <row r="817">
          <cell r="C817" t="str">
            <v>朱培源</v>
          </cell>
          <cell r="D817" t="str">
            <v>机盖及附件</v>
          </cell>
        </row>
        <row r="817">
          <cell r="I817" t="str">
            <v>拓展品</v>
          </cell>
          <cell r="J817">
            <v>9679</v>
          </cell>
        </row>
        <row r="817">
          <cell r="L817">
            <v>45800</v>
          </cell>
          <cell r="M817">
            <v>45818</v>
          </cell>
        </row>
        <row r="818">
          <cell r="A818">
            <v>11106</v>
          </cell>
        </row>
        <row r="818">
          <cell r="C818" t="str">
            <v>朱培源</v>
          </cell>
          <cell r="D818" t="str">
            <v>机盖及附件</v>
          </cell>
        </row>
        <row r="818">
          <cell r="I818" t="str">
            <v>原开品</v>
          </cell>
          <cell r="J818">
            <v>9683</v>
          </cell>
        </row>
        <row r="818">
          <cell r="L818">
            <v>45800</v>
          </cell>
          <cell r="M818">
            <v>45800</v>
          </cell>
        </row>
        <row r="819">
          <cell r="A819">
            <v>11137</v>
          </cell>
        </row>
        <row r="819">
          <cell r="C819" t="str">
            <v>俞东旭</v>
          </cell>
          <cell r="D819" t="str">
            <v>车门系统</v>
          </cell>
        </row>
        <row r="819">
          <cell r="I819" t="str">
            <v>原开品</v>
          </cell>
          <cell r="J819">
            <v>9697</v>
          </cell>
        </row>
        <row r="819">
          <cell r="L819">
            <v>45800</v>
          </cell>
          <cell r="M819">
            <v>45806</v>
          </cell>
        </row>
        <row r="820">
          <cell r="A820">
            <v>11178</v>
          </cell>
        </row>
        <row r="820">
          <cell r="C820" t="str">
            <v>转二部</v>
          </cell>
          <cell r="D820" t="str">
            <v>玻璃</v>
          </cell>
        </row>
        <row r="820">
          <cell r="I820" t="str">
            <v>原开品</v>
          </cell>
          <cell r="J820">
            <v>9698</v>
          </cell>
        </row>
        <row r="820">
          <cell r="L820">
            <v>45800</v>
          </cell>
          <cell r="M820">
            <v>45810</v>
          </cell>
        </row>
        <row r="821">
          <cell r="A821">
            <v>11179</v>
          </cell>
        </row>
        <row r="821">
          <cell r="C821" t="str">
            <v>胡煜星</v>
          </cell>
          <cell r="D821" t="str">
            <v>玻璃</v>
          </cell>
        </row>
        <row r="821">
          <cell r="I821" t="str">
            <v>拓展品</v>
          </cell>
          <cell r="J821">
            <v>9646</v>
          </cell>
        </row>
        <row r="821">
          <cell r="L821">
            <v>45800</v>
          </cell>
          <cell r="M821">
            <v>45803</v>
          </cell>
        </row>
        <row r="822">
          <cell r="A822">
            <v>11187</v>
          </cell>
        </row>
        <row r="822">
          <cell r="C822" t="str">
            <v>胡煜星</v>
          </cell>
          <cell r="D822" t="str">
            <v>玻璃</v>
          </cell>
        </row>
        <row r="822">
          <cell r="I822" t="str">
            <v>拓展品</v>
          </cell>
          <cell r="J822">
            <v>9647</v>
          </cell>
        </row>
        <row r="822">
          <cell r="L822">
            <v>45800</v>
          </cell>
          <cell r="M822">
            <v>45802</v>
          </cell>
        </row>
        <row r="823">
          <cell r="A823">
            <v>11188</v>
          </cell>
        </row>
        <row r="823">
          <cell r="C823" t="str">
            <v>胡煜星</v>
          </cell>
          <cell r="D823" t="str">
            <v>玻璃</v>
          </cell>
        </row>
        <row r="823">
          <cell r="I823" t="str">
            <v>拓展品</v>
          </cell>
          <cell r="J823">
            <v>9684</v>
          </cell>
        </row>
        <row r="823">
          <cell r="L823">
            <v>45800</v>
          </cell>
          <cell r="M823">
            <v>45803</v>
          </cell>
        </row>
        <row r="824">
          <cell r="A824">
            <v>11192</v>
          </cell>
        </row>
        <row r="824">
          <cell r="C824" t="str">
            <v>俞东旭</v>
          </cell>
          <cell r="D824" t="str">
            <v>车门系统</v>
          </cell>
        </row>
        <row r="824">
          <cell r="I824" t="str">
            <v>拓展品</v>
          </cell>
          <cell r="J824">
            <v>9686</v>
          </cell>
        </row>
        <row r="824">
          <cell r="L824">
            <v>45800</v>
          </cell>
          <cell r="M824">
            <v>45806</v>
          </cell>
        </row>
        <row r="825">
          <cell r="A825">
            <v>11193</v>
          </cell>
        </row>
        <row r="825">
          <cell r="C825" t="str">
            <v>俞东旭</v>
          </cell>
          <cell r="D825" t="str">
            <v>车门系统</v>
          </cell>
        </row>
        <row r="825">
          <cell r="I825" t="str">
            <v>拓展品</v>
          </cell>
          <cell r="J825">
            <v>9687</v>
          </cell>
        </row>
        <row r="825">
          <cell r="L825">
            <v>45800</v>
          </cell>
          <cell r="M825">
            <v>45806</v>
          </cell>
        </row>
        <row r="826">
          <cell r="A826">
            <v>11219</v>
          </cell>
        </row>
        <row r="826">
          <cell r="C826" t="str">
            <v>俞东旭</v>
          </cell>
          <cell r="D826" t="str">
            <v>挡泥板</v>
          </cell>
        </row>
        <row r="826">
          <cell r="I826" t="str">
            <v>原开品</v>
          </cell>
          <cell r="J826">
            <v>9649</v>
          </cell>
        </row>
        <row r="826">
          <cell r="L826">
            <v>45805</v>
          </cell>
          <cell r="M826">
            <v>45807</v>
          </cell>
        </row>
        <row r="827">
          <cell r="A827">
            <v>11223</v>
          </cell>
        </row>
        <row r="827">
          <cell r="C827" t="str">
            <v>朱培源</v>
          </cell>
          <cell r="D827" t="str">
            <v>挡泥板</v>
          </cell>
        </row>
        <row r="827">
          <cell r="I827" t="str">
            <v>原开品</v>
          </cell>
          <cell r="J827">
            <v>9650</v>
          </cell>
        </row>
        <row r="827">
          <cell r="L827">
            <v>45805</v>
          </cell>
          <cell r="M827">
            <v>45809</v>
          </cell>
        </row>
        <row r="828">
          <cell r="A828">
            <v>11230</v>
          </cell>
        </row>
        <row r="828">
          <cell r="C828" t="str">
            <v>朱培源</v>
          </cell>
          <cell r="D828" t="str">
            <v>挡泥板</v>
          </cell>
        </row>
        <row r="828">
          <cell r="I828" t="str">
            <v>拓展品</v>
          </cell>
          <cell r="J828">
            <v>9885</v>
          </cell>
        </row>
        <row r="828">
          <cell r="L828">
            <v>45805</v>
          </cell>
          <cell r="M828">
            <v>45815</v>
          </cell>
        </row>
        <row r="829">
          <cell r="A829">
            <v>11233</v>
          </cell>
        </row>
        <row r="829">
          <cell r="C829" t="str">
            <v>俞东旭</v>
          </cell>
          <cell r="D829" t="str">
            <v>挡泥板</v>
          </cell>
        </row>
        <row r="829">
          <cell r="I829" t="str">
            <v>拓展品</v>
          </cell>
          <cell r="J829">
            <v>9623</v>
          </cell>
        </row>
        <row r="829">
          <cell r="L829">
            <v>45805</v>
          </cell>
          <cell r="M829">
            <v>45827</v>
          </cell>
        </row>
        <row r="830">
          <cell r="A830">
            <v>11240</v>
          </cell>
        </row>
        <row r="830">
          <cell r="C830" t="str">
            <v>胡煜星</v>
          </cell>
          <cell r="D830" t="str">
            <v>车门系统</v>
          </cell>
        </row>
        <row r="830">
          <cell r="I830" t="str">
            <v>原开品</v>
          </cell>
          <cell r="J830">
            <v>9517</v>
          </cell>
        </row>
        <row r="830">
          <cell r="L830">
            <v>45805</v>
          </cell>
          <cell r="M830">
            <v>45826</v>
          </cell>
        </row>
        <row r="831">
          <cell r="A831">
            <v>11244</v>
          </cell>
        </row>
        <row r="831">
          <cell r="C831" t="str">
            <v>俞东旭</v>
          </cell>
          <cell r="D831" t="str">
            <v>挡泥板</v>
          </cell>
        </row>
        <row r="831">
          <cell r="I831" t="str">
            <v>原开品</v>
          </cell>
          <cell r="J831">
            <v>9518</v>
          </cell>
        </row>
        <row r="831">
          <cell r="L831">
            <v>45805</v>
          </cell>
          <cell r="M831">
            <v>45812</v>
          </cell>
        </row>
        <row r="832">
          <cell r="A832">
            <v>11245</v>
          </cell>
        </row>
        <row r="832">
          <cell r="C832" t="str">
            <v>俞东旭</v>
          </cell>
          <cell r="D832" t="str">
            <v>挡泥板</v>
          </cell>
        </row>
        <row r="832">
          <cell r="I832" t="str">
            <v>拓展品</v>
          </cell>
          <cell r="J832">
            <v>9886</v>
          </cell>
        </row>
        <row r="832">
          <cell r="L832">
            <v>45805</v>
          </cell>
        </row>
        <row r="833">
          <cell r="A833">
            <v>11246</v>
          </cell>
        </row>
        <row r="833">
          <cell r="C833" t="str">
            <v>俞东旭</v>
          </cell>
          <cell r="D833" t="str">
            <v>挡泥板</v>
          </cell>
        </row>
        <row r="833">
          <cell r="I833" t="str">
            <v>拓展品</v>
          </cell>
          <cell r="J833">
            <v>9723</v>
          </cell>
        </row>
        <row r="833">
          <cell r="L833">
            <v>45805</v>
          </cell>
          <cell r="M833">
            <v>45812</v>
          </cell>
        </row>
        <row r="834">
          <cell r="A834">
            <v>11257</v>
          </cell>
        </row>
        <row r="834">
          <cell r="C834" t="str">
            <v>转二部</v>
          </cell>
          <cell r="D834" t="str">
            <v>挡泥板</v>
          </cell>
        </row>
        <row r="834">
          <cell r="I834" t="str">
            <v>拓展品</v>
          </cell>
          <cell r="J834">
            <v>9685</v>
          </cell>
        </row>
        <row r="834">
          <cell r="L834">
            <v>45812</v>
          </cell>
          <cell r="M834">
            <v>45826</v>
          </cell>
        </row>
        <row r="835">
          <cell r="A835">
            <v>11258</v>
          </cell>
        </row>
        <row r="835">
          <cell r="C835" t="str">
            <v>转二部</v>
          </cell>
          <cell r="D835" t="str">
            <v>挡泥板</v>
          </cell>
        </row>
        <row r="835">
          <cell r="I835" t="str">
            <v>原开品</v>
          </cell>
          <cell r="J835">
            <v>9532</v>
          </cell>
        </row>
        <row r="835">
          <cell r="L835">
            <v>45812</v>
          </cell>
          <cell r="M835">
            <v>45822</v>
          </cell>
        </row>
        <row r="836">
          <cell r="A836">
            <v>11262</v>
          </cell>
        </row>
        <row r="836">
          <cell r="C836" t="str">
            <v>胡煜星</v>
          </cell>
          <cell r="D836" t="str">
            <v>车门系统</v>
          </cell>
        </row>
        <row r="836">
          <cell r="I836" t="str">
            <v>原开品</v>
          </cell>
          <cell r="J836">
            <v>9725</v>
          </cell>
        </row>
        <row r="836">
          <cell r="L836">
            <v>45811</v>
          </cell>
          <cell r="M836">
            <v>45815</v>
          </cell>
        </row>
        <row r="837">
          <cell r="A837">
            <v>11270</v>
          </cell>
        </row>
        <row r="837">
          <cell r="C837" t="str">
            <v>俞东旭</v>
          </cell>
          <cell r="D837" t="str">
            <v>车门系统</v>
          </cell>
        </row>
        <row r="837">
          <cell r="I837" t="str">
            <v>原开品</v>
          </cell>
          <cell r="J837">
            <v>9776</v>
          </cell>
        </row>
        <row r="837">
          <cell r="L837">
            <v>45812</v>
          </cell>
          <cell r="M837">
            <v>45814</v>
          </cell>
        </row>
        <row r="838">
          <cell r="A838">
            <v>11284</v>
          </cell>
        </row>
        <row r="838">
          <cell r="C838" t="str">
            <v>俞东旭</v>
          </cell>
          <cell r="D838" t="str">
            <v>挡泥板</v>
          </cell>
        </row>
        <row r="838">
          <cell r="I838" t="str">
            <v>原开品</v>
          </cell>
          <cell r="J838">
            <v>9488</v>
          </cell>
        </row>
        <row r="838">
          <cell r="L838">
            <v>45784</v>
          </cell>
          <cell r="M838">
            <v>45814</v>
          </cell>
        </row>
        <row r="839">
          <cell r="A839">
            <v>11288</v>
          </cell>
        </row>
        <row r="839">
          <cell r="C839" t="str">
            <v>俞东旭</v>
          </cell>
          <cell r="D839" t="str">
            <v>车门系统</v>
          </cell>
        </row>
        <row r="839">
          <cell r="I839" t="str">
            <v>拓展品</v>
          </cell>
          <cell r="J839">
            <v>9497</v>
          </cell>
        </row>
        <row r="839">
          <cell r="L839">
            <v>45784</v>
          </cell>
          <cell r="M839">
            <v>45891</v>
          </cell>
        </row>
        <row r="840">
          <cell r="A840">
            <v>11289</v>
          </cell>
        </row>
        <row r="840">
          <cell r="C840" t="str">
            <v>转二部</v>
          </cell>
          <cell r="D840" t="str">
            <v>车门系统</v>
          </cell>
        </row>
        <row r="840">
          <cell r="I840" t="str">
            <v>拓展品</v>
          </cell>
          <cell r="J840">
            <v>9498</v>
          </cell>
        </row>
        <row r="840">
          <cell r="L840">
            <v>45784</v>
          </cell>
          <cell r="M840">
            <v>46117</v>
          </cell>
        </row>
        <row r="841">
          <cell r="A841">
            <v>11290</v>
          </cell>
        </row>
        <row r="841">
          <cell r="C841" t="str">
            <v>俞东旭</v>
          </cell>
          <cell r="D841" t="str">
            <v>车门系统</v>
          </cell>
        </row>
        <row r="841">
          <cell r="I841" t="str">
            <v>原开品</v>
          </cell>
          <cell r="J841">
            <v>9496</v>
          </cell>
        </row>
        <row r="841">
          <cell r="L841">
            <v>45789</v>
          </cell>
          <cell r="M841">
            <v>45803</v>
          </cell>
        </row>
        <row r="842">
          <cell r="A842">
            <v>11312</v>
          </cell>
        </row>
        <row r="842">
          <cell r="C842" t="str">
            <v>朱培源</v>
          </cell>
          <cell r="D842" t="str">
            <v>挡泥板</v>
          </cell>
        </row>
        <row r="842">
          <cell r="I842" t="str">
            <v>原开品</v>
          </cell>
          <cell r="J842">
            <v>9731</v>
          </cell>
        </row>
        <row r="842">
          <cell r="L842">
            <v>45814</v>
          </cell>
          <cell r="M842" t="str">
            <v>2025/6/14</v>
          </cell>
        </row>
        <row r="843">
          <cell r="A843">
            <v>11327</v>
          </cell>
        </row>
        <row r="843">
          <cell r="C843" t="str">
            <v>朱培源</v>
          </cell>
          <cell r="D843" t="str">
            <v>机盖及附件</v>
          </cell>
        </row>
        <row r="843">
          <cell r="I843" t="str">
            <v>拓展品</v>
          </cell>
          <cell r="J843">
            <v>9732</v>
          </cell>
        </row>
        <row r="843">
          <cell r="L843">
            <v>45814</v>
          </cell>
          <cell r="M843">
            <v>45852</v>
          </cell>
        </row>
        <row r="844">
          <cell r="A844">
            <v>11330</v>
          </cell>
        </row>
        <row r="844">
          <cell r="C844" t="str">
            <v>俞东旭</v>
          </cell>
          <cell r="D844" t="str">
            <v>车门系统</v>
          </cell>
        </row>
        <row r="844">
          <cell r="I844" t="str">
            <v>拓展品</v>
          </cell>
          <cell r="J844">
            <v>9733</v>
          </cell>
        </row>
        <row r="844">
          <cell r="L844">
            <v>45814</v>
          </cell>
          <cell r="M844">
            <v>45818</v>
          </cell>
        </row>
        <row r="845">
          <cell r="A845">
            <v>11331</v>
          </cell>
        </row>
        <row r="845">
          <cell r="C845" t="str">
            <v>俞东旭</v>
          </cell>
          <cell r="D845" t="str">
            <v>车门系统</v>
          </cell>
        </row>
        <row r="845">
          <cell r="I845" t="str">
            <v>拓展品</v>
          </cell>
          <cell r="J845">
            <v>9803</v>
          </cell>
        </row>
        <row r="845">
          <cell r="L845">
            <v>45814</v>
          </cell>
          <cell r="M845">
            <v>45817</v>
          </cell>
        </row>
        <row r="846">
          <cell r="A846">
            <v>11345</v>
          </cell>
        </row>
        <row r="846">
          <cell r="C846" t="str">
            <v>胡煜星</v>
          </cell>
          <cell r="D846" t="str">
            <v>车门系统</v>
          </cell>
        </row>
        <row r="846">
          <cell r="I846" t="str">
            <v>原开品</v>
          </cell>
          <cell r="J846">
            <v>9494</v>
          </cell>
        </row>
        <row r="846">
          <cell r="L846">
            <v>45814</v>
          </cell>
          <cell r="M846">
            <v>45815</v>
          </cell>
        </row>
        <row r="847">
          <cell r="A847">
            <v>11346</v>
          </cell>
        </row>
        <row r="847">
          <cell r="C847" t="str">
            <v>朱培源</v>
          </cell>
          <cell r="D847" t="str">
            <v>机盖及附件</v>
          </cell>
        </row>
        <row r="847">
          <cell r="I847" t="str">
            <v>拓展品</v>
          </cell>
          <cell r="J847">
            <v>9561</v>
          </cell>
        </row>
        <row r="847">
          <cell r="L847">
            <v>45814</v>
          </cell>
          <cell r="M847">
            <v>45820</v>
          </cell>
        </row>
        <row r="848">
          <cell r="A848">
            <v>11348</v>
          </cell>
        </row>
        <row r="848">
          <cell r="C848" t="str">
            <v>胡煜星</v>
          </cell>
          <cell r="D848" t="str">
            <v>车门系统</v>
          </cell>
        </row>
        <row r="848">
          <cell r="I848" t="str">
            <v>拓展品</v>
          </cell>
          <cell r="J848">
            <v>9694</v>
          </cell>
        </row>
        <row r="848">
          <cell r="L848">
            <v>45814</v>
          </cell>
          <cell r="M848" t="str">
            <v>2025/6/14</v>
          </cell>
        </row>
        <row r="849">
          <cell r="A849">
            <v>11349</v>
          </cell>
        </row>
        <row r="849">
          <cell r="C849" t="str">
            <v>胡煜星</v>
          </cell>
          <cell r="D849" t="str">
            <v>车门系统</v>
          </cell>
        </row>
        <row r="849">
          <cell r="I849" t="str">
            <v>原开品</v>
          </cell>
          <cell r="J849">
            <v>9695</v>
          </cell>
        </row>
        <row r="849">
          <cell r="L849">
            <v>45814</v>
          </cell>
          <cell r="M849">
            <v>45843</v>
          </cell>
        </row>
        <row r="850">
          <cell r="A850">
            <v>11350</v>
          </cell>
        </row>
        <row r="850">
          <cell r="C850" t="str">
            <v>胡煜星</v>
          </cell>
          <cell r="D850" t="str">
            <v>车门系统</v>
          </cell>
        </row>
        <row r="850">
          <cell r="I850" t="str">
            <v>原开品</v>
          </cell>
          <cell r="J850">
            <v>9696</v>
          </cell>
        </row>
        <row r="850">
          <cell r="L850">
            <v>45814</v>
          </cell>
          <cell r="M850">
            <v>45819</v>
          </cell>
        </row>
        <row r="851">
          <cell r="A851">
            <v>11380</v>
          </cell>
        </row>
        <row r="851">
          <cell r="C851" t="str">
            <v>胡煜星</v>
          </cell>
          <cell r="D851" t="str">
            <v>车门系统</v>
          </cell>
        </row>
        <row r="851">
          <cell r="I851" t="str">
            <v>拓展品</v>
          </cell>
          <cell r="J851">
            <v>9539</v>
          </cell>
        </row>
        <row r="851">
          <cell r="L851">
            <v>45814</v>
          </cell>
          <cell r="M851">
            <v>45832</v>
          </cell>
        </row>
        <row r="852">
          <cell r="A852">
            <v>11394</v>
          </cell>
        </row>
        <row r="852">
          <cell r="C852" t="str">
            <v>转二部</v>
          </cell>
          <cell r="D852" t="str">
            <v>车门系统</v>
          </cell>
        </row>
        <row r="852">
          <cell r="I852" t="str">
            <v>原开品</v>
          </cell>
          <cell r="J852">
            <v>9777</v>
          </cell>
        </row>
        <row r="852">
          <cell r="L852">
            <v>45814</v>
          </cell>
          <cell r="M852">
            <v>45864</v>
          </cell>
        </row>
        <row r="853">
          <cell r="A853">
            <v>11398</v>
          </cell>
        </row>
        <row r="853">
          <cell r="C853" t="str">
            <v>朱培源</v>
          </cell>
          <cell r="D853" t="str">
            <v>挡泥板</v>
          </cell>
        </row>
        <row r="853">
          <cell r="I853" t="str">
            <v>拓展品</v>
          </cell>
          <cell r="J853">
            <v>9888</v>
          </cell>
        </row>
        <row r="853">
          <cell r="L853">
            <v>45814</v>
          </cell>
          <cell r="M853">
            <v>45824</v>
          </cell>
        </row>
        <row r="854">
          <cell r="A854">
            <v>11446</v>
          </cell>
        </row>
        <row r="854">
          <cell r="C854" t="str">
            <v>张潇</v>
          </cell>
          <cell r="D854" t="str">
            <v>牌照板支架</v>
          </cell>
        </row>
        <row r="854">
          <cell r="I854" t="str">
            <v>原开品</v>
          </cell>
          <cell r="J854">
            <v>9981</v>
          </cell>
        </row>
        <row r="854">
          <cell r="L854">
            <v>45825</v>
          </cell>
          <cell r="M854">
            <v>45829</v>
          </cell>
        </row>
        <row r="855">
          <cell r="A855">
            <v>11405</v>
          </cell>
        </row>
        <row r="855">
          <cell r="C855" t="str">
            <v>章鹏</v>
          </cell>
          <cell r="D855" t="str">
            <v>其他</v>
          </cell>
        </row>
        <row r="855">
          <cell r="I855" t="str">
            <v>原开品</v>
          </cell>
          <cell r="J855">
            <v>9938</v>
          </cell>
        </row>
        <row r="855">
          <cell r="L855">
            <v>45825</v>
          </cell>
          <cell r="M855">
            <v>45833</v>
          </cell>
        </row>
        <row r="856">
          <cell r="A856">
            <v>11406</v>
          </cell>
        </row>
        <row r="856">
          <cell r="C856" t="str">
            <v>章鹏</v>
          </cell>
          <cell r="D856" t="str">
            <v>其他</v>
          </cell>
        </row>
        <row r="856">
          <cell r="I856" t="str">
            <v>原开品</v>
          </cell>
          <cell r="J856">
            <v>9806</v>
          </cell>
        </row>
        <row r="856">
          <cell r="L856">
            <v>45825</v>
          </cell>
          <cell r="M856">
            <v>45832</v>
          </cell>
        </row>
        <row r="857">
          <cell r="A857">
            <v>11455</v>
          </cell>
        </row>
        <row r="857">
          <cell r="C857" t="str">
            <v>俞东旭</v>
          </cell>
          <cell r="D857" t="str">
            <v>车门系统</v>
          </cell>
        </row>
        <row r="857">
          <cell r="I857" t="str">
            <v>原开品</v>
          </cell>
          <cell r="J857">
            <v>9894</v>
          </cell>
        </row>
        <row r="857">
          <cell r="L857">
            <v>45825</v>
          </cell>
          <cell r="M857">
            <v>45825</v>
          </cell>
        </row>
        <row r="858">
          <cell r="A858">
            <v>11456</v>
          </cell>
        </row>
        <row r="858">
          <cell r="C858" t="str">
            <v>俞东旭</v>
          </cell>
          <cell r="D858" t="str">
            <v>车门系统</v>
          </cell>
        </row>
        <row r="858">
          <cell r="I858" t="str">
            <v>拓展品</v>
          </cell>
          <cell r="J858">
            <v>9814</v>
          </cell>
        </row>
        <row r="858">
          <cell r="L858">
            <v>45825</v>
          </cell>
          <cell r="M858">
            <v>45841</v>
          </cell>
        </row>
        <row r="859">
          <cell r="A859">
            <v>11464</v>
          </cell>
        </row>
        <row r="859">
          <cell r="C859" t="str">
            <v>朱培源</v>
          </cell>
          <cell r="D859" t="str">
            <v>挡泥板</v>
          </cell>
        </row>
        <row r="859">
          <cell r="I859" t="str">
            <v>原开品</v>
          </cell>
          <cell r="J859">
            <v>9901</v>
          </cell>
        </row>
        <row r="859">
          <cell r="L859">
            <v>45825</v>
          </cell>
          <cell r="M859">
            <v>45833</v>
          </cell>
        </row>
        <row r="860">
          <cell r="A860">
            <v>11465</v>
          </cell>
        </row>
        <row r="860">
          <cell r="C860" t="str">
            <v>朱培源</v>
          </cell>
          <cell r="D860" t="str">
            <v>挡泥板</v>
          </cell>
        </row>
        <row r="860">
          <cell r="I860" t="str">
            <v>原开品</v>
          </cell>
          <cell r="J860">
            <v>9895</v>
          </cell>
        </row>
        <row r="860">
          <cell r="L860">
            <v>45825</v>
          </cell>
          <cell r="M860">
            <v>45859</v>
          </cell>
        </row>
        <row r="861">
          <cell r="A861">
            <v>11490</v>
          </cell>
        </row>
        <row r="861">
          <cell r="C861" t="str">
            <v>朱培源</v>
          </cell>
          <cell r="D861" t="str">
            <v>机盖及附件</v>
          </cell>
        </row>
        <row r="861">
          <cell r="I861" t="str">
            <v>原开品</v>
          </cell>
          <cell r="J861">
            <v>9812</v>
          </cell>
        </row>
        <row r="861">
          <cell r="L861">
            <v>45825</v>
          </cell>
          <cell r="M861">
            <v>45826</v>
          </cell>
        </row>
        <row r="862">
          <cell r="A862">
            <v>4133</v>
          </cell>
        </row>
        <row r="862">
          <cell r="C862" t="str">
            <v>俞东旭</v>
          </cell>
          <cell r="D862" t="str">
            <v>车身外扩件</v>
          </cell>
        </row>
        <row r="862">
          <cell r="I862" t="str">
            <v>原开品</v>
          </cell>
          <cell r="J862">
            <v>9771</v>
          </cell>
        </row>
        <row r="862">
          <cell r="L862">
            <v>45825</v>
          </cell>
          <cell r="M862">
            <v>45826</v>
          </cell>
        </row>
        <row r="863">
          <cell r="A863">
            <v>11510</v>
          </cell>
        </row>
        <row r="863">
          <cell r="C863" t="str">
            <v>胡煜星</v>
          </cell>
          <cell r="D863" t="str">
            <v>车门系统</v>
          </cell>
        </row>
        <row r="863">
          <cell r="I863" t="str">
            <v>原开品</v>
          </cell>
          <cell r="J863">
            <v>9805</v>
          </cell>
        </row>
        <row r="863">
          <cell r="L863">
            <v>45825</v>
          </cell>
          <cell r="M863">
            <v>45829</v>
          </cell>
        </row>
        <row r="864">
          <cell r="A864">
            <v>11512</v>
          </cell>
        </row>
        <row r="864">
          <cell r="C864" t="str">
            <v>朱培源</v>
          </cell>
          <cell r="D864" t="str">
            <v>饰条</v>
          </cell>
        </row>
        <row r="864">
          <cell r="I864" t="str">
            <v>拓展品</v>
          </cell>
          <cell r="J864">
            <v>9816</v>
          </cell>
        </row>
        <row r="864">
          <cell r="L864">
            <v>45825</v>
          </cell>
          <cell r="M864">
            <v>45960</v>
          </cell>
        </row>
        <row r="865">
          <cell r="A865">
            <v>11513</v>
          </cell>
        </row>
        <row r="865">
          <cell r="C865" t="str">
            <v>朱培源</v>
          </cell>
          <cell r="D865" t="str">
            <v>饰条</v>
          </cell>
        </row>
        <row r="865">
          <cell r="I865" t="str">
            <v>原开品</v>
          </cell>
          <cell r="J865">
            <v>9904</v>
          </cell>
        </row>
        <row r="865">
          <cell r="L865">
            <v>45825</v>
          </cell>
          <cell r="M865">
            <v>45826</v>
          </cell>
        </row>
        <row r="866">
          <cell r="A866">
            <v>11528</v>
          </cell>
        </row>
        <row r="866">
          <cell r="C866" t="str">
            <v>朱培源</v>
          </cell>
          <cell r="D866" t="str">
            <v>挡泥板</v>
          </cell>
        </row>
        <row r="866">
          <cell r="I866" t="str">
            <v>拓展品</v>
          </cell>
          <cell r="J866">
            <v>10349</v>
          </cell>
        </row>
        <row r="866">
          <cell r="L866">
            <v>45825</v>
          </cell>
          <cell r="M866">
            <v>45826</v>
          </cell>
        </row>
        <row r="867">
          <cell r="A867">
            <v>11546</v>
          </cell>
        </row>
        <row r="867">
          <cell r="C867" t="str">
            <v>俞东旭</v>
          </cell>
          <cell r="D867" t="str">
            <v>车门系统</v>
          </cell>
        </row>
        <row r="867">
          <cell r="I867" t="str">
            <v>拓展品</v>
          </cell>
          <cell r="J867">
            <v>9912</v>
          </cell>
        </row>
        <row r="867">
          <cell r="L867">
            <v>45825</v>
          </cell>
          <cell r="M867">
            <v>45838</v>
          </cell>
        </row>
        <row r="868">
          <cell r="A868">
            <v>11547</v>
          </cell>
        </row>
        <row r="868">
          <cell r="C868" t="str">
            <v>朱培源</v>
          </cell>
          <cell r="D868" t="str">
            <v>机盖及附件</v>
          </cell>
        </row>
        <row r="868">
          <cell r="I868" t="str">
            <v>原开品</v>
          </cell>
          <cell r="J868">
            <v>9860</v>
          </cell>
        </row>
        <row r="868">
          <cell r="L868">
            <v>45825</v>
          </cell>
          <cell r="M868">
            <v>45832</v>
          </cell>
        </row>
        <row r="869">
          <cell r="A869">
            <v>11552</v>
          </cell>
        </row>
        <row r="869">
          <cell r="C869" t="str">
            <v>胡煜星</v>
          </cell>
          <cell r="D869" t="str">
            <v>车门系统</v>
          </cell>
        </row>
        <row r="869">
          <cell r="I869" t="str">
            <v>拓展品</v>
          </cell>
          <cell r="J869">
            <v>9939</v>
          </cell>
        </row>
        <row r="869">
          <cell r="L869">
            <v>45825</v>
          </cell>
          <cell r="M869">
            <v>45826</v>
          </cell>
        </row>
        <row r="870">
          <cell r="A870">
            <v>11553</v>
          </cell>
        </row>
        <row r="870">
          <cell r="C870" t="str">
            <v>胡煜星</v>
          </cell>
          <cell r="D870" t="str">
            <v>车门系统</v>
          </cell>
        </row>
        <row r="870">
          <cell r="I870" t="str">
            <v>原开品</v>
          </cell>
          <cell r="J870">
            <v>9953</v>
          </cell>
        </row>
        <row r="870">
          <cell r="L870">
            <v>45825</v>
          </cell>
          <cell r="M870">
            <v>45858</v>
          </cell>
        </row>
        <row r="871">
          <cell r="A871">
            <v>11554</v>
          </cell>
        </row>
        <row r="871">
          <cell r="C871" t="str">
            <v>胡煜星</v>
          </cell>
          <cell r="D871" t="str">
            <v>车门系统</v>
          </cell>
        </row>
        <row r="871">
          <cell r="I871" t="str">
            <v>原开品</v>
          </cell>
          <cell r="J871">
            <v>9821</v>
          </cell>
        </row>
        <row r="871">
          <cell r="L871">
            <v>45834</v>
          </cell>
          <cell r="M871">
            <v>45842</v>
          </cell>
        </row>
        <row r="872">
          <cell r="A872">
            <v>11600</v>
          </cell>
        </row>
        <row r="872">
          <cell r="C872" t="str">
            <v>俞东旭</v>
          </cell>
          <cell r="D872" t="str">
            <v>车门系统</v>
          </cell>
        </row>
        <row r="872">
          <cell r="I872" t="str">
            <v>原开品</v>
          </cell>
          <cell r="J872">
            <v>9817</v>
          </cell>
        </row>
        <row r="872">
          <cell r="L872">
            <v>45834</v>
          </cell>
          <cell r="M872">
            <v>45840</v>
          </cell>
        </row>
        <row r="873">
          <cell r="A873">
            <v>11601</v>
          </cell>
        </row>
        <row r="873">
          <cell r="C873" t="str">
            <v>俞东旭</v>
          </cell>
          <cell r="D873" t="str">
            <v>车门系统</v>
          </cell>
        </row>
        <row r="873">
          <cell r="I873" t="str">
            <v>拓展品</v>
          </cell>
          <cell r="J873">
            <v>9853</v>
          </cell>
        </row>
        <row r="873">
          <cell r="L873">
            <v>45834</v>
          </cell>
          <cell r="M873" t="str">
            <v>2025/7/8</v>
          </cell>
        </row>
        <row r="874">
          <cell r="A874">
            <v>11603</v>
          </cell>
        </row>
        <row r="874">
          <cell r="C874" t="str">
            <v>朱培源</v>
          </cell>
          <cell r="D874" t="str">
            <v>挡泥板</v>
          </cell>
        </row>
        <row r="874">
          <cell r="I874" t="str">
            <v>原开品</v>
          </cell>
          <cell r="J874">
            <v>9670</v>
          </cell>
        </row>
        <row r="874">
          <cell r="L874">
            <v>45834</v>
          </cell>
          <cell r="M874">
            <v>45853</v>
          </cell>
        </row>
        <row r="875">
          <cell r="A875">
            <v>11650</v>
          </cell>
        </row>
        <row r="875">
          <cell r="C875" t="str">
            <v>朱培源</v>
          </cell>
          <cell r="D875" t="str">
            <v>挡泥板</v>
          </cell>
        </row>
        <row r="875">
          <cell r="I875" t="str">
            <v>原开品</v>
          </cell>
          <cell r="J875">
            <v>9932</v>
          </cell>
        </row>
        <row r="875">
          <cell r="L875">
            <v>45834</v>
          </cell>
          <cell r="M875">
            <v>45834</v>
          </cell>
        </row>
        <row r="876">
          <cell r="A876">
            <v>11655</v>
          </cell>
        </row>
        <row r="876">
          <cell r="C876" t="str">
            <v>俞东旭</v>
          </cell>
          <cell r="D876" t="str">
            <v>车门系统</v>
          </cell>
        </row>
        <row r="876">
          <cell r="I876" t="str">
            <v>拓展品</v>
          </cell>
          <cell r="J876">
            <v>9933</v>
          </cell>
        </row>
        <row r="876">
          <cell r="L876">
            <v>45834</v>
          </cell>
          <cell r="M876">
            <v>45835</v>
          </cell>
        </row>
        <row r="877">
          <cell r="A877">
            <v>11656</v>
          </cell>
        </row>
        <row r="877">
          <cell r="C877" t="str">
            <v>俞东旭</v>
          </cell>
          <cell r="D877" t="str">
            <v>车门系统</v>
          </cell>
        </row>
        <row r="877">
          <cell r="I877" t="str">
            <v>原开品</v>
          </cell>
          <cell r="J877">
            <v>10008</v>
          </cell>
        </row>
        <row r="877">
          <cell r="L877">
            <v>45840</v>
          </cell>
          <cell r="M877">
            <v>45847</v>
          </cell>
        </row>
        <row r="878">
          <cell r="A878">
            <v>11668</v>
          </cell>
        </row>
        <row r="878">
          <cell r="C878" t="str">
            <v>朱培源</v>
          </cell>
          <cell r="D878" t="str">
            <v>机盖及附件</v>
          </cell>
        </row>
        <row r="878">
          <cell r="I878" t="str">
            <v>拓展品</v>
          </cell>
          <cell r="J878">
            <v>10009</v>
          </cell>
        </row>
        <row r="878">
          <cell r="L878">
            <v>45841</v>
          </cell>
          <cell r="M878">
            <v>45846</v>
          </cell>
        </row>
        <row r="879">
          <cell r="A879">
            <v>11674</v>
          </cell>
        </row>
        <row r="879">
          <cell r="C879" t="str">
            <v>朱培源</v>
          </cell>
          <cell r="D879" t="str">
            <v>机盖及附件</v>
          </cell>
        </row>
        <row r="879">
          <cell r="I879" t="str">
            <v>拓展品</v>
          </cell>
          <cell r="J879">
            <v>9728</v>
          </cell>
        </row>
        <row r="879">
          <cell r="L879">
            <v>45814</v>
          </cell>
          <cell r="M879">
            <v>45827</v>
          </cell>
        </row>
        <row r="880">
          <cell r="A880">
            <v>11681</v>
          </cell>
        </row>
        <row r="880">
          <cell r="C880" t="str">
            <v>胡煜星</v>
          </cell>
          <cell r="D880" t="str">
            <v>车门系统</v>
          </cell>
        </row>
        <row r="880">
          <cell r="I880" t="str">
            <v>原开品</v>
          </cell>
          <cell r="J880">
            <v>9752</v>
          </cell>
        </row>
        <row r="880">
          <cell r="L880">
            <v>45814</v>
          </cell>
          <cell r="M880">
            <v>45824</v>
          </cell>
        </row>
        <row r="881">
          <cell r="A881">
            <v>11682</v>
          </cell>
        </row>
        <row r="881">
          <cell r="C881" t="str">
            <v>胡煜星</v>
          </cell>
          <cell r="D881" t="str">
            <v>车门系统</v>
          </cell>
        </row>
        <row r="881">
          <cell r="I881" t="str">
            <v>原开品</v>
          </cell>
          <cell r="J881">
            <v>9701</v>
          </cell>
        </row>
        <row r="881">
          <cell r="L881">
            <v>45814</v>
          </cell>
          <cell r="M881">
            <v>45827</v>
          </cell>
        </row>
        <row r="882">
          <cell r="A882">
            <v>11683</v>
          </cell>
        </row>
        <row r="882">
          <cell r="C882" t="str">
            <v>胡煜星</v>
          </cell>
          <cell r="D882" t="str">
            <v>车门系统</v>
          </cell>
        </row>
        <row r="882">
          <cell r="I882" t="str">
            <v>原开品</v>
          </cell>
          <cell r="J882">
            <v>10060</v>
          </cell>
        </row>
        <row r="882">
          <cell r="L882">
            <v>45844</v>
          </cell>
          <cell r="M882">
            <v>45849</v>
          </cell>
        </row>
        <row r="883">
          <cell r="A883">
            <v>11699</v>
          </cell>
        </row>
        <row r="883">
          <cell r="C883" t="str">
            <v>俞东旭</v>
          </cell>
          <cell r="D883" t="str">
            <v>车身外扩件</v>
          </cell>
        </row>
        <row r="883">
          <cell r="I883" t="str">
            <v>原开品</v>
          </cell>
          <cell r="J883">
            <v>10011</v>
          </cell>
        </row>
        <row r="883">
          <cell r="L883">
            <v>45844</v>
          </cell>
          <cell r="M883">
            <v>45848</v>
          </cell>
        </row>
        <row r="884">
          <cell r="A884">
            <v>11704</v>
          </cell>
        </row>
        <row r="884">
          <cell r="C884" t="str">
            <v>俞东旭</v>
          </cell>
          <cell r="D884" t="str">
            <v>车身外扩件</v>
          </cell>
        </row>
        <row r="884">
          <cell r="I884" t="str">
            <v>拓展品</v>
          </cell>
          <cell r="J884">
            <v>10012</v>
          </cell>
        </row>
        <row r="884">
          <cell r="L884">
            <v>45844</v>
          </cell>
          <cell r="M884">
            <v>45856</v>
          </cell>
        </row>
        <row r="885">
          <cell r="A885">
            <v>11733</v>
          </cell>
        </row>
        <row r="885">
          <cell r="C885" t="str">
            <v>俞东旭</v>
          </cell>
          <cell r="D885" t="str">
            <v>车门系统</v>
          </cell>
        </row>
        <row r="885">
          <cell r="I885" t="str">
            <v>原开品</v>
          </cell>
          <cell r="J885">
            <v>10107</v>
          </cell>
        </row>
        <row r="885">
          <cell r="L885">
            <v>45854</v>
          </cell>
          <cell r="M885">
            <v>45875</v>
          </cell>
        </row>
        <row r="886">
          <cell r="A886">
            <v>12303</v>
          </cell>
        </row>
        <row r="886">
          <cell r="C886" t="str">
            <v>俞东旭</v>
          </cell>
          <cell r="D886" t="str">
            <v>车门系统</v>
          </cell>
        </row>
        <row r="886">
          <cell r="I886" t="str">
            <v>拓展品</v>
          </cell>
          <cell r="J886">
            <v>10010</v>
          </cell>
        </row>
        <row r="886">
          <cell r="L886">
            <v>45854</v>
          </cell>
          <cell r="M886">
            <v>45862</v>
          </cell>
        </row>
        <row r="887">
          <cell r="A887">
            <v>11736</v>
          </cell>
        </row>
        <row r="887">
          <cell r="C887" t="str">
            <v>俞东旭</v>
          </cell>
          <cell r="D887" t="str">
            <v>挡泥板</v>
          </cell>
        </row>
        <row r="887">
          <cell r="I887" t="str">
            <v>拓展品</v>
          </cell>
          <cell r="J887">
            <v>10128</v>
          </cell>
        </row>
        <row r="887">
          <cell r="L887">
            <v>45858</v>
          </cell>
          <cell r="M887">
            <v>45865</v>
          </cell>
        </row>
        <row r="888">
          <cell r="A888">
            <v>11742</v>
          </cell>
        </row>
        <row r="888">
          <cell r="C888" t="str">
            <v>俞东旭</v>
          </cell>
          <cell r="D888" t="str">
            <v>挡泥板</v>
          </cell>
        </row>
        <row r="888">
          <cell r="I888" t="str">
            <v>原开品</v>
          </cell>
          <cell r="J888">
            <v>10061</v>
          </cell>
        </row>
        <row r="888">
          <cell r="L888">
            <v>45858</v>
          </cell>
          <cell r="M888">
            <v>45861</v>
          </cell>
        </row>
        <row r="889">
          <cell r="A889">
            <v>11745</v>
          </cell>
        </row>
        <row r="889">
          <cell r="C889" t="str">
            <v>朱培源</v>
          </cell>
          <cell r="D889" t="str">
            <v>机盖及附件</v>
          </cell>
        </row>
        <row r="889">
          <cell r="I889" t="str">
            <v>原开品</v>
          </cell>
          <cell r="J889">
            <v>10062</v>
          </cell>
        </row>
        <row r="889">
          <cell r="L889">
            <v>45858</v>
          </cell>
          <cell r="M889">
            <v>45863</v>
          </cell>
        </row>
        <row r="890">
          <cell r="A890">
            <v>11751</v>
          </cell>
        </row>
        <row r="890">
          <cell r="C890" t="str">
            <v>王偲涵</v>
          </cell>
          <cell r="D890" t="str">
            <v>饰条</v>
          </cell>
        </row>
        <row r="890">
          <cell r="I890" t="str">
            <v>原开品</v>
          </cell>
          <cell r="J890">
            <v>10226</v>
          </cell>
        </row>
        <row r="890">
          <cell r="L890">
            <v>45858</v>
          </cell>
          <cell r="M890">
            <v>45864</v>
          </cell>
        </row>
        <row r="891">
          <cell r="A891">
            <v>11756</v>
          </cell>
        </row>
        <row r="891">
          <cell r="C891" t="str">
            <v>胡煜星</v>
          </cell>
          <cell r="D891" t="str">
            <v>车门系统</v>
          </cell>
        </row>
        <row r="891">
          <cell r="I891" t="str">
            <v>原开品</v>
          </cell>
          <cell r="J891">
            <v>10133</v>
          </cell>
        </row>
        <row r="891">
          <cell r="L891">
            <v>45861</v>
          </cell>
          <cell r="M891">
            <v>45873</v>
          </cell>
        </row>
        <row r="892">
          <cell r="A892">
            <v>11757</v>
          </cell>
        </row>
        <row r="892">
          <cell r="C892" t="str">
            <v>朱培源</v>
          </cell>
          <cell r="D892" t="str">
            <v>饰条</v>
          </cell>
        </row>
        <row r="892">
          <cell r="I892" t="str">
            <v>原开品</v>
          </cell>
          <cell r="J892">
            <v>10127</v>
          </cell>
        </row>
        <row r="892">
          <cell r="L892">
            <v>45861</v>
          </cell>
          <cell r="M892">
            <v>45871</v>
          </cell>
        </row>
        <row r="893">
          <cell r="A893">
            <v>11758</v>
          </cell>
        </row>
        <row r="893">
          <cell r="C893" t="str">
            <v>朱培源</v>
          </cell>
          <cell r="D893" t="str">
            <v>饰条</v>
          </cell>
        </row>
        <row r="893">
          <cell r="I893" t="str">
            <v>原开品</v>
          </cell>
          <cell r="J893">
            <v>10059</v>
          </cell>
        </row>
        <row r="893">
          <cell r="L893">
            <v>45861</v>
          </cell>
          <cell r="M893">
            <v>45867</v>
          </cell>
        </row>
        <row r="894">
          <cell r="A894">
            <v>11764</v>
          </cell>
        </row>
        <row r="894">
          <cell r="C894">
            <v>0</v>
          </cell>
          <cell r="D894" t="str">
            <v>挡泥板</v>
          </cell>
        </row>
        <row r="894">
          <cell r="I894" t="str">
            <v>拓展品</v>
          </cell>
          <cell r="J894">
            <v>10089</v>
          </cell>
        </row>
        <row r="894">
          <cell r="L894">
            <v>45861</v>
          </cell>
          <cell r="M894">
            <v>45869</v>
          </cell>
        </row>
        <row r="895">
          <cell r="A895">
            <v>11765</v>
          </cell>
        </row>
        <row r="895">
          <cell r="C895">
            <v>0</v>
          </cell>
          <cell r="D895" t="str">
            <v>挡泥板</v>
          </cell>
        </row>
        <row r="895">
          <cell r="I895" t="str">
            <v>拓展品</v>
          </cell>
          <cell r="J895">
            <v>10095</v>
          </cell>
        </row>
        <row r="895">
          <cell r="L895">
            <v>45861</v>
          </cell>
          <cell r="M895">
            <v>45870</v>
          </cell>
        </row>
        <row r="896">
          <cell r="A896">
            <v>11777</v>
          </cell>
        </row>
        <row r="896">
          <cell r="C896" t="str">
            <v>朱培源</v>
          </cell>
          <cell r="D896" t="str">
            <v>机盖及附件</v>
          </cell>
        </row>
        <row r="896">
          <cell r="I896" t="str">
            <v>拓展品</v>
          </cell>
          <cell r="J896">
            <v>10096</v>
          </cell>
        </row>
        <row r="896">
          <cell r="L896">
            <v>45861</v>
          </cell>
          <cell r="M896">
            <v>45922</v>
          </cell>
        </row>
        <row r="897">
          <cell r="A897">
            <v>11778</v>
          </cell>
        </row>
        <row r="897">
          <cell r="C897" t="str">
            <v>胡煜星</v>
          </cell>
          <cell r="D897" t="str">
            <v>车门系统</v>
          </cell>
        </row>
        <row r="897">
          <cell r="I897" t="str">
            <v>拓展品</v>
          </cell>
          <cell r="J897">
            <v>10350</v>
          </cell>
        </row>
        <row r="897">
          <cell r="L897">
            <v>45863</v>
          </cell>
          <cell r="M897">
            <v>45873</v>
          </cell>
        </row>
        <row r="898">
          <cell r="A898">
            <v>11780</v>
          </cell>
        </row>
        <row r="898">
          <cell r="C898" t="str">
            <v>胡煜星</v>
          </cell>
          <cell r="D898" t="str">
            <v>车门系统</v>
          </cell>
        </row>
        <row r="898">
          <cell r="I898" t="str">
            <v>原开品</v>
          </cell>
          <cell r="J898">
            <v>10138</v>
          </cell>
        </row>
        <row r="898">
          <cell r="L898">
            <v>45866</v>
          </cell>
          <cell r="M898">
            <v>45872</v>
          </cell>
        </row>
        <row r="899">
          <cell r="A899">
            <v>11781</v>
          </cell>
        </row>
        <row r="899">
          <cell r="C899" t="str">
            <v>俞东旭</v>
          </cell>
          <cell r="D899" t="str">
            <v>车门系统</v>
          </cell>
        </row>
        <row r="899">
          <cell r="I899" t="str">
            <v>拓展品</v>
          </cell>
          <cell r="J899">
            <v>10144</v>
          </cell>
        </row>
        <row r="899">
          <cell r="L899">
            <v>45866</v>
          </cell>
          <cell r="M899">
            <v>45888</v>
          </cell>
        </row>
        <row r="900">
          <cell r="A900">
            <v>11792</v>
          </cell>
        </row>
        <row r="900">
          <cell r="C900" t="str">
            <v>胡煜星</v>
          </cell>
          <cell r="D900" t="str">
            <v>车门系统</v>
          </cell>
        </row>
        <row r="900">
          <cell r="I900" t="str">
            <v>原开品</v>
          </cell>
          <cell r="J900">
            <v>10171</v>
          </cell>
        </row>
        <row r="900">
          <cell r="L900">
            <v>45868</v>
          </cell>
          <cell r="M900">
            <v>45876</v>
          </cell>
        </row>
        <row r="901">
          <cell r="A901">
            <v>11793</v>
          </cell>
        </row>
        <row r="901">
          <cell r="C901" t="str">
            <v>俞东旭</v>
          </cell>
          <cell r="D901" t="str">
            <v>车门系统</v>
          </cell>
        </row>
        <row r="901">
          <cell r="I901" t="str">
            <v>原开品</v>
          </cell>
          <cell r="J901">
            <v>10135</v>
          </cell>
        </row>
        <row r="901">
          <cell r="L901">
            <v>45868</v>
          </cell>
          <cell r="M901">
            <v>45871</v>
          </cell>
        </row>
        <row r="902">
          <cell r="A902">
            <v>11794</v>
          </cell>
        </row>
        <row r="902">
          <cell r="C902" t="str">
            <v>朱培源</v>
          </cell>
          <cell r="D902" t="str">
            <v>挡泥板</v>
          </cell>
        </row>
        <row r="902">
          <cell r="I902" t="str">
            <v>拓展品</v>
          </cell>
          <cell r="J902">
            <v>10172</v>
          </cell>
        </row>
        <row r="902">
          <cell r="L902">
            <v>45868</v>
          </cell>
          <cell r="M902">
            <v>45880</v>
          </cell>
        </row>
        <row r="903">
          <cell r="A903">
            <v>11808</v>
          </cell>
        </row>
        <row r="903">
          <cell r="C903" t="str">
            <v>朱培源</v>
          </cell>
          <cell r="D903" t="str">
            <v>饰条</v>
          </cell>
        </row>
        <row r="903">
          <cell r="I903" t="str">
            <v>拓展品</v>
          </cell>
          <cell r="J903">
            <v>10090</v>
          </cell>
        </row>
        <row r="903">
          <cell r="L903">
            <v>45874</v>
          </cell>
          <cell r="M903">
            <v>45875</v>
          </cell>
        </row>
        <row r="904">
          <cell r="A904">
            <v>11809</v>
          </cell>
        </row>
        <row r="904">
          <cell r="C904" t="str">
            <v>朱培源</v>
          </cell>
          <cell r="D904" t="str">
            <v>饰条</v>
          </cell>
        </row>
        <row r="904">
          <cell r="I904" t="str">
            <v>拓展品</v>
          </cell>
          <cell r="J904">
            <v>10091</v>
          </cell>
        </row>
        <row r="904">
          <cell r="L904">
            <v>45874</v>
          </cell>
          <cell r="M904">
            <v>45890</v>
          </cell>
        </row>
        <row r="905">
          <cell r="A905">
            <v>11814</v>
          </cell>
        </row>
        <row r="905">
          <cell r="C905" t="str">
            <v>朱培源</v>
          </cell>
          <cell r="D905" t="str">
            <v>饰条</v>
          </cell>
        </row>
        <row r="905">
          <cell r="I905" t="str">
            <v>拓展品</v>
          </cell>
          <cell r="J905">
            <v>10376</v>
          </cell>
        </row>
        <row r="905">
          <cell r="L905">
            <v>45874</v>
          </cell>
          <cell r="M905">
            <v>45912</v>
          </cell>
        </row>
        <row r="906">
          <cell r="A906">
            <v>11815</v>
          </cell>
        </row>
        <row r="906">
          <cell r="C906" t="str">
            <v>朱培源</v>
          </cell>
          <cell r="D906" t="str">
            <v>饰条</v>
          </cell>
        </row>
        <row r="906">
          <cell r="I906" t="str">
            <v>拓展品</v>
          </cell>
          <cell r="J906">
            <v>10298</v>
          </cell>
        </row>
        <row r="906">
          <cell r="L906">
            <v>45879</v>
          </cell>
          <cell r="M906">
            <v>45915</v>
          </cell>
        </row>
        <row r="907">
          <cell r="A907">
            <v>11823</v>
          </cell>
        </row>
        <row r="907">
          <cell r="C907" t="str">
            <v>王偲涵</v>
          </cell>
          <cell r="D907" t="str">
            <v>饰条</v>
          </cell>
        </row>
        <row r="907">
          <cell r="I907" t="str">
            <v>原开品</v>
          </cell>
          <cell r="J907">
            <v>10411</v>
          </cell>
        </row>
        <row r="907">
          <cell r="L907">
            <v>45879</v>
          </cell>
          <cell r="M907">
            <v>45884</v>
          </cell>
        </row>
        <row r="908">
          <cell r="A908">
            <v>11824</v>
          </cell>
        </row>
        <row r="908">
          <cell r="C908" t="str">
            <v>朱培源</v>
          </cell>
          <cell r="D908" t="str">
            <v>机盖及附件</v>
          </cell>
        </row>
        <row r="908">
          <cell r="I908" t="str">
            <v>原开品</v>
          </cell>
          <cell r="J908">
            <v>10386</v>
          </cell>
        </row>
        <row r="908">
          <cell r="L908">
            <v>45879</v>
          </cell>
          <cell r="M908">
            <v>45880</v>
          </cell>
        </row>
        <row r="909">
          <cell r="A909">
            <v>11826</v>
          </cell>
        </row>
        <row r="909">
          <cell r="C909" t="str">
            <v>俞东旭</v>
          </cell>
          <cell r="D909" t="str">
            <v>挡泥板</v>
          </cell>
        </row>
        <row r="909">
          <cell r="I909" t="str">
            <v>原开品</v>
          </cell>
          <cell r="J909">
            <v>10381</v>
          </cell>
        </row>
        <row r="909">
          <cell r="L909">
            <v>45879</v>
          </cell>
          <cell r="M909">
            <v>45892</v>
          </cell>
        </row>
        <row r="910">
          <cell r="A910">
            <v>11830</v>
          </cell>
        </row>
        <row r="910">
          <cell r="C910" t="str">
            <v>王偲涵</v>
          </cell>
          <cell r="D910" t="str">
            <v>饰条</v>
          </cell>
        </row>
        <row r="910">
          <cell r="I910" t="str">
            <v>原开品</v>
          </cell>
          <cell r="J910">
            <v>10383</v>
          </cell>
        </row>
        <row r="910">
          <cell r="L910">
            <v>45879</v>
          </cell>
          <cell r="M910">
            <v>45882</v>
          </cell>
        </row>
        <row r="911">
          <cell r="A911">
            <v>11833</v>
          </cell>
        </row>
        <row r="911">
          <cell r="C911" t="str">
            <v>俞东旭</v>
          </cell>
          <cell r="D911" t="str">
            <v>其他</v>
          </cell>
        </row>
        <row r="911">
          <cell r="I911" t="str">
            <v>拓展品</v>
          </cell>
          <cell r="J911">
            <v>10414</v>
          </cell>
        </row>
        <row r="911">
          <cell r="L911">
            <v>45881</v>
          </cell>
          <cell r="M911">
            <v>45901</v>
          </cell>
        </row>
        <row r="912">
          <cell r="A912">
            <v>11839</v>
          </cell>
        </row>
        <row r="912">
          <cell r="C912" t="str">
            <v>王偲涵</v>
          </cell>
          <cell r="D912" t="str">
            <v>饰条</v>
          </cell>
        </row>
        <row r="912">
          <cell r="I912" t="str">
            <v>原开品</v>
          </cell>
          <cell r="J912">
            <v>10291</v>
          </cell>
        </row>
        <row r="912">
          <cell r="L912">
            <v>45883</v>
          </cell>
          <cell r="M912">
            <v>45976</v>
          </cell>
        </row>
        <row r="913">
          <cell r="A913">
            <v>11840</v>
          </cell>
        </row>
        <row r="913">
          <cell r="C913" t="str">
            <v>王偲涵</v>
          </cell>
          <cell r="D913" t="str">
            <v>饰条</v>
          </cell>
        </row>
        <row r="913">
          <cell r="I913" t="str">
            <v>原开品</v>
          </cell>
          <cell r="J913">
            <v>10470</v>
          </cell>
        </row>
        <row r="913">
          <cell r="L913">
            <v>45883</v>
          </cell>
          <cell r="M913">
            <v>45896</v>
          </cell>
        </row>
        <row r="914">
          <cell r="A914">
            <v>11848</v>
          </cell>
        </row>
        <row r="914">
          <cell r="C914" t="str">
            <v>胡煜星</v>
          </cell>
          <cell r="D914" t="str">
            <v>车门系统</v>
          </cell>
        </row>
        <row r="914">
          <cell r="I914" t="str">
            <v>原开品</v>
          </cell>
          <cell r="J914">
            <v>10464</v>
          </cell>
        </row>
        <row r="914">
          <cell r="L914">
            <v>45888</v>
          </cell>
          <cell r="M914">
            <v>45894</v>
          </cell>
        </row>
        <row r="915">
          <cell r="A915">
            <v>11852</v>
          </cell>
        </row>
        <row r="915">
          <cell r="C915" t="str">
            <v>俞东旭</v>
          </cell>
          <cell r="D915" t="str">
            <v>车门系统</v>
          </cell>
        </row>
        <row r="915">
          <cell r="I915" t="str">
            <v>拓展品</v>
          </cell>
          <cell r="J915">
            <v>10465</v>
          </cell>
        </row>
        <row r="915">
          <cell r="L915">
            <v>45889</v>
          </cell>
          <cell r="M915">
            <v>45915</v>
          </cell>
        </row>
        <row r="916">
          <cell r="A916">
            <v>11855</v>
          </cell>
        </row>
        <row r="916">
          <cell r="C916" t="str">
            <v>俞东旭</v>
          </cell>
          <cell r="D916" t="str">
            <v>挡泥板</v>
          </cell>
        </row>
        <row r="916">
          <cell r="I916" t="str">
            <v>拓展品</v>
          </cell>
          <cell r="J916">
            <v>10466</v>
          </cell>
        </row>
        <row r="916">
          <cell r="L916">
            <v>45889</v>
          </cell>
          <cell r="M916">
            <v>45956</v>
          </cell>
        </row>
        <row r="917">
          <cell r="A917">
            <v>11856</v>
          </cell>
        </row>
        <row r="917">
          <cell r="C917" t="str">
            <v>俞东旭</v>
          </cell>
          <cell r="D917" t="str">
            <v>挡泥板</v>
          </cell>
        </row>
        <row r="917">
          <cell r="I917" t="str">
            <v>原开品</v>
          </cell>
          <cell r="J917">
            <v>10554</v>
          </cell>
        </row>
        <row r="917">
          <cell r="L917">
            <v>45896</v>
          </cell>
          <cell r="M917">
            <v>45905</v>
          </cell>
        </row>
        <row r="918">
          <cell r="A918">
            <v>11857</v>
          </cell>
        </row>
        <row r="918">
          <cell r="C918" t="str">
            <v>俞东旭</v>
          </cell>
          <cell r="D918" t="str">
            <v>挡泥板</v>
          </cell>
        </row>
        <row r="918">
          <cell r="I918" t="str">
            <v>原开品</v>
          </cell>
          <cell r="J918">
            <v>10544</v>
          </cell>
        </row>
        <row r="918">
          <cell r="L918">
            <v>45899</v>
          </cell>
          <cell r="M918">
            <v>45905</v>
          </cell>
        </row>
        <row r="919">
          <cell r="A919">
            <v>11866</v>
          </cell>
        </row>
        <row r="919">
          <cell r="C919" t="str">
            <v>张潇</v>
          </cell>
          <cell r="D919" t="str">
            <v>车门系统</v>
          </cell>
        </row>
        <row r="919">
          <cell r="I919" t="str">
            <v>原开品</v>
          </cell>
          <cell r="J919">
            <v>10518</v>
          </cell>
        </row>
        <row r="919">
          <cell r="L919">
            <v>45902</v>
          </cell>
          <cell r="M919">
            <v>45906</v>
          </cell>
        </row>
        <row r="920">
          <cell r="A920">
            <v>11867</v>
          </cell>
        </row>
        <row r="920">
          <cell r="C920" t="str">
            <v>张潇</v>
          </cell>
          <cell r="D920" t="str">
            <v>车门系统</v>
          </cell>
        </row>
        <row r="920">
          <cell r="I920" t="str">
            <v>拓展品</v>
          </cell>
          <cell r="J920">
            <v>10519</v>
          </cell>
        </row>
        <row r="920">
          <cell r="L920">
            <v>45902</v>
          </cell>
          <cell r="M920">
            <v>45903</v>
          </cell>
        </row>
        <row r="921">
          <cell r="A921">
            <v>11874</v>
          </cell>
        </row>
        <row r="921">
          <cell r="C921" t="str">
            <v>俞东旭</v>
          </cell>
          <cell r="D921" t="str">
            <v>车门系统</v>
          </cell>
        </row>
        <row r="921">
          <cell r="I921" t="str">
            <v>拓展品</v>
          </cell>
          <cell r="J921">
            <v>10520</v>
          </cell>
        </row>
        <row r="921">
          <cell r="L921">
            <v>45902</v>
          </cell>
          <cell r="M921">
            <v>45929</v>
          </cell>
        </row>
        <row r="922">
          <cell r="A922">
            <v>11875</v>
          </cell>
        </row>
        <row r="922">
          <cell r="C922" t="str">
            <v>胡煜星</v>
          </cell>
          <cell r="D922" t="str">
            <v>车门系统</v>
          </cell>
        </row>
        <row r="922">
          <cell r="I922" t="str">
            <v>拓展品</v>
          </cell>
          <cell r="J922">
            <v>10545</v>
          </cell>
        </row>
        <row r="922">
          <cell r="L922">
            <v>45902</v>
          </cell>
          <cell r="M922">
            <v>45905</v>
          </cell>
        </row>
        <row r="923">
          <cell r="A923">
            <v>11876</v>
          </cell>
        </row>
        <row r="923">
          <cell r="C923" t="str">
            <v>俞东旭</v>
          </cell>
          <cell r="D923" t="str">
            <v>车门系统</v>
          </cell>
        </row>
        <row r="923">
          <cell r="I923" t="str">
            <v>拓展品</v>
          </cell>
          <cell r="J923">
            <v>10546</v>
          </cell>
        </row>
        <row r="923">
          <cell r="L923">
            <v>45902</v>
          </cell>
          <cell r="M923">
            <v>45905</v>
          </cell>
        </row>
        <row r="924">
          <cell r="A924">
            <v>11890</v>
          </cell>
        </row>
        <row r="924">
          <cell r="C924" t="str">
            <v>俞东旭</v>
          </cell>
          <cell r="D924" t="str">
            <v>车门系统</v>
          </cell>
        </row>
        <row r="924">
          <cell r="I924" t="str">
            <v>原开品</v>
          </cell>
          <cell r="J924">
            <v>10553</v>
          </cell>
        </row>
        <row r="924">
          <cell r="L924">
            <v>45902</v>
          </cell>
          <cell r="M924">
            <v>45910</v>
          </cell>
        </row>
        <row r="925">
          <cell r="A925">
            <v>11904</v>
          </cell>
        </row>
        <row r="925">
          <cell r="C925" t="str">
            <v>胡煜星</v>
          </cell>
          <cell r="D925" t="str">
            <v>车身外扩件</v>
          </cell>
        </row>
        <row r="925">
          <cell r="I925" t="str">
            <v>原开品</v>
          </cell>
          <cell r="J925">
            <v>10508</v>
          </cell>
        </row>
        <row r="925">
          <cell r="L925">
            <v>45910</v>
          </cell>
          <cell r="M925">
            <v>46015</v>
          </cell>
        </row>
        <row r="926">
          <cell r="A926">
            <v>11911</v>
          </cell>
        </row>
        <row r="926">
          <cell r="C926" t="str">
            <v>胡煜星</v>
          </cell>
          <cell r="D926" t="str">
            <v>车门系统</v>
          </cell>
        </row>
        <row r="926">
          <cell r="I926" t="str">
            <v>拓展品</v>
          </cell>
          <cell r="J926">
            <v>10592</v>
          </cell>
        </row>
        <row r="926">
          <cell r="L926">
            <v>45910</v>
          </cell>
          <cell r="M926">
            <v>45957</v>
          </cell>
        </row>
        <row r="927">
          <cell r="A927">
            <v>11921</v>
          </cell>
        </row>
        <row r="927">
          <cell r="C927" t="str">
            <v>俞东旭</v>
          </cell>
          <cell r="D927" t="str">
            <v>车身外扩件</v>
          </cell>
        </row>
        <row r="927">
          <cell r="I927" t="str">
            <v>拓展品</v>
          </cell>
          <cell r="J927">
            <v>10593</v>
          </cell>
        </row>
        <row r="927">
          <cell r="L927">
            <v>45910</v>
          </cell>
          <cell r="M927">
            <v>46014</v>
          </cell>
        </row>
        <row r="928">
          <cell r="A928">
            <v>11922</v>
          </cell>
        </row>
        <row r="928">
          <cell r="C928" t="str">
            <v>俞东旭</v>
          </cell>
          <cell r="D928" t="str">
            <v>车身外扩件</v>
          </cell>
        </row>
        <row r="928">
          <cell r="I928" t="str">
            <v>拓展品</v>
          </cell>
          <cell r="J928">
            <v>10785</v>
          </cell>
        </row>
        <row r="928">
          <cell r="L928" t="str">
            <v>2025/9/17</v>
          </cell>
          <cell r="M928">
            <v>45943</v>
          </cell>
        </row>
        <row r="929">
          <cell r="A929">
            <v>11923</v>
          </cell>
        </row>
        <row r="929">
          <cell r="C929" t="str">
            <v>俞东旭</v>
          </cell>
          <cell r="D929" t="str">
            <v>车身外扩件</v>
          </cell>
        </row>
        <row r="929">
          <cell r="I929" t="str">
            <v>拓展品</v>
          </cell>
          <cell r="J929">
            <v>10786</v>
          </cell>
        </row>
        <row r="929">
          <cell r="L929" t="str">
            <v>2025/9/17</v>
          </cell>
          <cell r="M929">
            <v>45937</v>
          </cell>
        </row>
        <row r="930">
          <cell r="A930">
            <v>11925</v>
          </cell>
        </row>
        <row r="930">
          <cell r="C930" t="str">
            <v>胡煜星</v>
          </cell>
          <cell r="D930" t="str">
            <v>车门系统</v>
          </cell>
        </row>
        <row r="930">
          <cell r="I930" t="str">
            <v>拓展品</v>
          </cell>
          <cell r="J930">
            <v>10787</v>
          </cell>
        </row>
        <row r="930">
          <cell r="L930" t="str">
            <v>2025/9/17</v>
          </cell>
          <cell r="M930">
            <v>45947</v>
          </cell>
        </row>
        <row r="931">
          <cell r="A931">
            <v>11926</v>
          </cell>
        </row>
        <row r="931">
          <cell r="C931" t="str">
            <v>俞东旭</v>
          </cell>
          <cell r="D931" t="str">
            <v>车门系统</v>
          </cell>
        </row>
        <row r="931">
          <cell r="I931" t="str">
            <v>原开品</v>
          </cell>
          <cell r="J931">
            <v>10653</v>
          </cell>
        </row>
        <row r="931">
          <cell r="L931">
            <v>45917</v>
          </cell>
          <cell r="M931">
            <v>45929</v>
          </cell>
        </row>
        <row r="932">
          <cell r="A932">
            <v>11927</v>
          </cell>
        </row>
        <row r="932">
          <cell r="C932" t="str">
            <v>俞东旭</v>
          </cell>
          <cell r="D932" t="str">
            <v>车门系统</v>
          </cell>
        </row>
        <row r="932">
          <cell r="I932" t="str">
            <v>拓展品</v>
          </cell>
          <cell r="J932">
            <v>11064</v>
          </cell>
        </row>
        <row r="932">
          <cell r="L932" t="str">
            <v>2025/9/24</v>
          </cell>
          <cell r="M932">
            <v>45931</v>
          </cell>
        </row>
        <row r="933">
          <cell r="A933">
            <v>11928</v>
          </cell>
        </row>
        <row r="933">
          <cell r="C933" t="str">
            <v>俞东旭</v>
          </cell>
          <cell r="D933" t="str">
            <v>车门系统</v>
          </cell>
        </row>
        <row r="933">
          <cell r="I933" t="str">
            <v>原开品</v>
          </cell>
          <cell r="J933">
            <v>10813</v>
          </cell>
        </row>
        <row r="933">
          <cell r="L933" t="str">
            <v>2025/9/21</v>
          </cell>
          <cell r="M933">
            <v>45922</v>
          </cell>
        </row>
        <row r="934">
          <cell r="A934">
            <v>11929</v>
          </cell>
        </row>
        <row r="934">
          <cell r="C934" t="str">
            <v>俞东旭</v>
          </cell>
          <cell r="D934" t="str">
            <v>车门系统</v>
          </cell>
        </row>
        <row r="934">
          <cell r="I934" t="str">
            <v>拓展品</v>
          </cell>
          <cell r="J934">
            <v>10774</v>
          </cell>
        </row>
        <row r="934">
          <cell r="L934">
            <v>45922</v>
          </cell>
          <cell r="M934">
            <v>45923</v>
          </cell>
        </row>
        <row r="935">
          <cell r="A935">
            <v>11933</v>
          </cell>
        </row>
        <row r="935">
          <cell r="C935" t="str">
            <v>张潇</v>
          </cell>
          <cell r="D935" t="str">
            <v>饰条</v>
          </cell>
        </row>
        <row r="935">
          <cell r="I935" t="str">
            <v>拓展品</v>
          </cell>
          <cell r="J935">
            <v>10894</v>
          </cell>
        </row>
        <row r="935">
          <cell r="L935">
            <v>45925</v>
          </cell>
          <cell r="M935">
            <v>45935</v>
          </cell>
        </row>
        <row r="936">
          <cell r="A936">
            <v>11936</v>
          </cell>
        </row>
        <row r="936">
          <cell r="C936" t="str">
            <v>王偲涵</v>
          </cell>
          <cell r="D936" t="str">
            <v>饰条</v>
          </cell>
        </row>
        <row r="936">
          <cell r="I936" t="str">
            <v>原开品</v>
          </cell>
          <cell r="J936">
            <v>10585</v>
          </cell>
        </row>
        <row r="936">
          <cell r="L936">
            <v>45925</v>
          </cell>
          <cell r="M936">
            <v>46048</v>
          </cell>
        </row>
        <row r="937">
          <cell r="A937">
            <v>11937</v>
          </cell>
        </row>
        <row r="937">
          <cell r="C937" t="str">
            <v>王偲涵</v>
          </cell>
          <cell r="D937" t="str">
            <v>饰条</v>
          </cell>
        </row>
        <row r="937">
          <cell r="I937" t="str">
            <v>原开品</v>
          </cell>
          <cell r="J937">
            <v>10858</v>
          </cell>
        </row>
        <row r="937">
          <cell r="L937">
            <v>45928</v>
          </cell>
          <cell r="M937">
            <v>45941</v>
          </cell>
        </row>
        <row r="938">
          <cell r="A938">
            <v>11938</v>
          </cell>
        </row>
        <row r="938">
          <cell r="C938" t="str">
            <v>王偲涵</v>
          </cell>
          <cell r="D938" t="str">
            <v>饰条</v>
          </cell>
        </row>
        <row r="938">
          <cell r="I938" t="str">
            <v>拓展品</v>
          </cell>
          <cell r="J938">
            <v>10811</v>
          </cell>
        </row>
        <row r="938">
          <cell r="L938">
            <v>45928</v>
          </cell>
          <cell r="M938">
            <v>45932</v>
          </cell>
        </row>
        <row r="939">
          <cell r="A939">
            <v>11982</v>
          </cell>
        </row>
        <row r="939">
          <cell r="C939" t="str">
            <v>朱培源</v>
          </cell>
          <cell r="D939" t="str">
            <v>机盖及附件</v>
          </cell>
        </row>
        <row r="939">
          <cell r="I939" t="str">
            <v>拓展品</v>
          </cell>
          <cell r="J939">
            <v>10812</v>
          </cell>
        </row>
        <row r="939">
          <cell r="L939">
            <v>45929</v>
          </cell>
          <cell r="M939">
            <v>45932</v>
          </cell>
        </row>
        <row r="940">
          <cell r="A940">
            <v>11981</v>
          </cell>
        </row>
        <row r="940">
          <cell r="C940" t="str">
            <v>张潇</v>
          </cell>
          <cell r="D940" t="str">
            <v>机盖及附件</v>
          </cell>
        </row>
        <row r="940">
          <cell r="I940" t="str">
            <v>原开品</v>
          </cell>
          <cell r="J940">
            <v>10906</v>
          </cell>
        </row>
        <row r="940">
          <cell r="L940">
            <v>45940</v>
          </cell>
          <cell r="M940">
            <v>45941</v>
          </cell>
        </row>
        <row r="941">
          <cell r="A941">
            <v>12002</v>
          </cell>
        </row>
        <row r="941">
          <cell r="C941" t="str">
            <v>朱培源</v>
          </cell>
          <cell r="D941" t="str">
            <v>饰条</v>
          </cell>
        </row>
        <row r="941">
          <cell r="I941" t="str">
            <v>原开品</v>
          </cell>
          <cell r="J941">
            <v>10920</v>
          </cell>
        </row>
        <row r="941">
          <cell r="L941">
            <v>45943</v>
          </cell>
          <cell r="M941">
            <v>45950</v>
          </cell>
        </row>
        <row r="942">
          <cell r="A942">
            <v>12005</v>
          </cell>
        </row>
        <row r="942">
          <cell r="C942" t="str">
            <v>张潇</v>
          </cell>
          <cell r="D942" t="str">
            <v>饰条</v>
          </cell>
        </row>
        <row r="942">
          <cell r="I942" t="str">
            <v>原开品</v>
          </cell>
          <cell r="J942">
            <v>10977</v>
          </cell>
        </row>
        <row r="942">
          <cell r="L942">
            <v>45945</v>
          </cell>
          <cell r="M942">
            <v>46058</v>
          </cell>
        </row>
        <row r="943">
          <cell r="A943">
            <v>12006</v>
          </cell>
        </row>
        <row r="943">
          <cell r="C943" t="str">
            <v>张潇</v>
          </cell>
          <cell r="D943" t="str">
            <v>饰条</v>
          </cell>
        </row>
        <row r="943">
          <cell r="I943" t="str">
            <v>原开品</v>
          </cell>
          <cell r="J943">
            <v>10639</v>
          </cell>
        </row>
        <row r="943">
          <cell r="L943">
            <v>45945</v>
          </cell>
          <cell r="M943">
            <v>45952</v>
          </cell>
        </row>
        <row r="944">
          <cell r="A944">
            <v>12021</v>
          </cell>
        </row>
        <row r="944">
          <cell r="C944" t="str">
            <v>俞东旭</v>
          </cell>
          <cell r="D944" t="str">
            <v>其他</v>
          </cell>
        </row>
        <row r="944">
          <cell r="I944" t="str">
            <v>原开品</v>
          </cell>
          <cell r="J944">
            <v>10659</v>
          </cell>
        </row>
        <row r="944">
          <cell r="L944">
            <v>45945</v>
          </cell>
          <cell r="M944">
            <v>45950</v>
          </cell>
        </row>
        <row r="945">
          <cell r="A945">
            <v>12023</v>
          </cell>
        </row>
        <row r="945">
          <cell r="C945" t="str">
            <v>朱培源</v>
          </cell>
          <cell r="D945" t="str">
            <v>挡泥板</v>
          </cell>
        </row>
        <row r="945">
          <cell r="I945" t="str">
            <v>原开品</v>
          </cell>
          <cell r="J945">
            <v>10660</v>
          </cell>
        </row>
        <row r="945">
          <cell r="L945">
            <v>45945</v>
          </cell>
          <cell r="M945">
            <v>45951</v>
          </cell>
        </row>
        <row r="946">
          <cell r="A946">
            <v>11998</v>
          </cell>
        </row>
        <row r="946">
          <cell r="C946" t="str">
            <v>俞东旭</v>
          </cell>
          <cell r="D946" t="str">
            <v>车门系统</v>
          </cell>
        </row>
        <row r="946">
          <cell r="I946" t="str">
            <v>原开品</v>
          </cell>
          <cell r="J946">
            <v>11033</v>
          </cell>
        </row>
        <row r="946">
          <cell r="L946">
            <v>45949</v>
          </cell>
          <cell r="M946">
            <v>45973</v>
          </cell>
        </row>
        <row r="947">
          <cell r="A947">
            <v>12088</v>
          </cell>
        </row>
        <row r="947">
          <cell r="C947" t="str">
            <v>朱培源</v>
          </cell>
          <cell r="D947" t="str">
            <v>饰条</v>
          </cell>
        </row>
        <row r="947">
          <cell r="I947" t="str">
            <v>原开品</v>
          </cell>
          <cell r="J947">
            <v>11002</v>
          </cell>
        </row>
        <row r="947">
          <cell r="L947">
            <v>45949</v>
          </cell>
          <cell r="M947">
            <v>45955</v>
          </cell>
        </row>
        <row r="948">
          <cell r="A948">
            <v>12089</v>
          </cell>
        </row>
        <row r="948">
          <cell r="C948" t="str">
            <v>朱培源</v>
          </cell>
          <cell r="D948" t="str">
            <v>饰条</v>
          </cell>
        </row>
        <row r="948">
          <cell r="I948" t="str">
            <v>原开品</v>
          </cell>
          <cell r="J948">
            <v>11003</v>
          </cell>
        </row>
        <row r="948">
          <cell r="L948">
            <v>45949</v>
          </cell>
          <cell r="M948">
            <v>45950</v>
          </cell>
        </row>
        <row r="949">
          <cell r="A949">
            <v>12011</v>
          </cell>
        </row>
        <row r="949">
          <cell r="C949" t="str">
            <v>张潇</v>
          </cell>
          <cell r="D949" t="str">
            <v>机盖及附件</v>
          </cell>
        </row>
        <row r="949">
          <cell r="I949" t="str">
            <v>拓展品</v>
          </cell>
          <cell r="J949">
            <v>11004</v>
          </cell>
        </row>
        <row r="949">
          <cell r="L949">
            <v>45949</v>
          </cell>
          <cell r="M949">
            <v>45959</v>
          </cell>
        </row>
        <row r="950">
          <cell r="A950">
            <v>12061</v>
          </cell>
        </row>
        <row r="950">
          <cell r="C950" t="str">
            <v>张潇</v>
          </cell>
          <cell r="D950" t="str">
            <v>车门系统</v>
          </cell>
        </row>
        <row r="950">
          <cell r="I950" t="str">
            <v>拓展品</v>
          </cell>
          <cell r="J950">
            <v>11005</v>
          </cell>
        </row>
        <row r="950">
          <cell r="L950">
            <v>45949</v>
          </cell>
          <cell r="M950">
            <v>45950</v>
          </cell>
        </row>
        <row r="951">
          <cell r="A951">
            <v>11989</v>
          </cell>
        </row>
        <row r="951">
          <cell r="C951" t="str">
            <v>张潇</v>
          </cell>
          <cell r="D951" t="str">
            <v>挡泥板</v>
          </cell>
        </row>
        <row r="951">
          <cell r="I951" t="str">
            <v>原开品</v>
          </cell>
          <cell r="J951">
            <v>10937</v>
          </cell>
        </row>
        <row r="951">
          <cell r="L951">
            <v>45949</v>
          </cell>
          <cell r="M951">
            <v>45986</v>
          </cell>
        </row>
        <row r="952">
          <cell r="A952">
            <v>11990</v>
          </cell>
        </row>
        <row r="952">
          <cell r="C952" t="str">
            <v>胡煜星</v>
          </cell>
          <cell r="D952" t="str">
            <v>车身外扩件</v>
          </cell>
        </row>
        <row r="952">
          <cell r="I952" t="str">
            <v>原开品</v>
          </cell>
          <cell r="J952">
            <v>10938</v>
          </cell>
        </row>
        <row r="952">
          <cell r="L952">
            <v>45949</v>
          </cell>
          <cell r="M952">
            <v>45954</v>
          </cell>
        </row>
        <row r="953">
          <cell r="A953">
            <v>11991</v>
          </cell>
        </row>
        <row r="953">
          <cell r="C953" t="str">
            <v>胡煜星</v>
          </cell>
          <cell r="D953" t="str">
            <v>车身外扩件</v>
          </cell>
        </row>
        <row r="953">
          <cell r="I953" t="str">
            <v>原开品</v>
          </cell>
          <cell r="J953">
            <v>10859</v>
          </cell>
        </row>
        <row r="953">
          <cell r="L953">
            <v>45951</v>
          </cell>
          <cell r="M953">
            <v>45959</v>
          </cell>
        </row>
        <row r="954">
          <cell r="A954">
            <v>12139</v>
          </cell>
        </row>
        <row r="954">
          <cell r="C954" t="str">
            <v>张潇</v>
          </cell>
          <cell r="D954" t="str">
            <v>机盖及附件</v>
          </cell>
        </row>
        <row r="954">
          <cell r="I954" t="str">
            <v>拓展品</v>
          </cell>
          <cell r="J954">
            <v>11030</v>
          </cell>
        </row>
        <row r="954">
          <cell r="L954">
            <v>45951</v>
          </cell>
          <cell r="M954">
            <v>45959</v>
          </cell>
        </row>
        <row r="955">
          <cell r="A955">
            <v>12087</v>
          </cell>
        </row>
        <row r="955">
          <cell r="C955" t="str">
            <v>王偲涵</v>
          </cell>
          <cell r="D955" t="str">
            <v>饰条</v>
          </cell>
        </row>
        <row r="955">
          <cell r="I955" t="str">
            <v>原开品</v>
          </cell>
          <cell r="J955">
            <v>10988</v>
          </cell>
        </row>
        <row r="955">
          <cell r="L955">
            <v>45952</v>
          </cell>
          <cell r="M955">
            <v>45953</v>
          </cell>
        </row>
        <row r="956">
          <cell r="A956">
            <v>12105</v>
          </cell>
        </row>
        <row r="956">
          <cell r="C956" t="str">
            <v>朱培源</v>
          </cell>
          <cell r="D956" t="str">
            <v>挡泥板</v>
          </cell>
        </row>
        <row r="956">
          <cell r="I956" t="str">
            <v>原开品</v>
          </cell>
          <cell r="J956">
            <v>11053</v>
          </cell>
        </row>
        <row r="956">
          <cell r="L956">
            <v>45952</v>
          </cell>
          <cell r="M956">
            <v>46006</v>
          </cell>
        </row>
        <row r="957">
          <cell r="A957">
            <v>12106</v>
          </cell>
        </row>
        <row r="957">
          <cell r="C957" t="str">
            <v>朱培源</v>
          </cell>
          <cell r="D957" t="str">
            <v>挡泥板</v>
          </cell>
        </row>
        <row r="957">
          <cell r="I957" t="str">
            <v>原开品</v>
          </cell>
          <cell r="J957">
            <v>11043</v>
          </cell>
        </row>
        <row r="957">
          <cell r="L957">
            <v>45952</v>
          </cell>
          <cell r="M957">
            <v>45954</v>
          </cell>
        </row>
        <row r="958">
          <cell r="A958">
            <v>12058</v>
          </cell>
        </row>
        <row r="958">
          <cell r="C958" t="str">
            <v>章鹏</v>
          </cell>
          <cell r="D958" t="str">
            <v>其他</v>
          </cell>
        </row>
        <row r="958">
          <cell r="I958" t="str">
            <v>原开品</v>
          </cell>
          <cell r="J958">
            <v>11076</v>
          </cell>
        </row>
        <row r="958">
          <cell r="L958">
            <v>45955</v>
          </cell>
          <cell r="M958">
            <v>45956</v>
          </cell>
        </row>
        <row r="959">
          <cell r="A959">
            <v>12059</v>
          </cell>
        </row>
        <row r="959">
          <cell r="C959" t="str">
            <v>章鹏</v>
          </cell>
          <cell r="D959" t="str">
            <v>其他</v>
          </cell>
        </row>
        <row r="959">
          <cell r="I959" t="str">
            <v>原开品</v>
          </cell>
          <cell r="J959">
            <v>11086</v>
          </cell>
        </row>
        <row r="959">
          <cell r="L959">
            <v>45955</v>
          </cell>
          <cell r="M959">
            <v>45963</v>
          </cell>
        </row>
        <row r="960">
          <cell r="A960">
            <v>12060</v>
          </cell>
        </row>
        <row r="960">
          <cell r="C960" t="str">
            <v>张潇</v>
          </cell>
          <cell r="D960" t="str">
            <v>饰条</v>
          </cell>
        </row>
        <row r="960">
          <cell r="J960">
            <v>7444</v>
          </cell>
        </row>
        <row r="960">
          <cell r="L960">
            <v>0</v>
          </cell>
          <cell r="M960">
            <v>46023</v>
          </cell>
        </row>
        <row r="961">
          <cell r="A961">
            <v>12143</v>
          </cell>
        </row>
        <row r="961">
          <cell r="C961" t="str">
            <v>俞东旭</v>
          </cell>
          <cell r="D961" t="str">
            <v>车门系统</v>
          </cell>
        </row>
        <row r="961">
          <cell r="J961">
            <v>5459</v>
          </cell>
        </row>
        <row r="961">
          <cell r="L961">
            <v>0</v>
          </cell>
          <cell r="M961">
            <v>46019</v>
          </cell>
        </row>
        <row r="962">
          <cell r="A962">
            <v>12079</v>
          </cell>
        </row>
        <row r="962">
          <cell r="C962" t="str">
            <v>朱培源</v>
          </cell>
          <cell r="D962" t="str">
            <v>挡泥板</v>
          </cell>
        </row>
        <row r="962">
          <cell r="I962" t="str">
            <v>拓展品</v>
          </cell>
          <cell r="J962">
            <v>10857</v>
          </cell>
        </row>
        <row r="962">
          <cell r="L962">
            <v>45957</v>
          </cell>
          <cell r="M962">
            <v>45960</v>
          </cell>
        </row>
        <row r="963">
          <cell r="A963">
            <v>12104</v>
          </cell>
        </row>
        <row r="963">
          <cell r="C963" t="str">
            <v>朱培源</v>
          </cell>
          <cell r="D963" t="str">
            <v>挡泥板</v>
          </cell>
        </row>
        <row r="963">
          <cell r="I963" t="str">
            <v>原开品</v>
          </cell>
          <cell r="J963">
            <v>11078</v>
          </cell>
        </row>
        <row r="963">
          <cell r="L963">
            <v>45958</v>
          </cell>
          <cell r="M963">
            <v>45970</v>
          </cell>
        </row>
        <row r="964">
          <cell r="A964">
            <v>12072</v>
          </cell>
        </row>
        <row r="964">
          <cell r="C964" t="str">
            <v>胡煜星</v>
          </cell>
          <cell r="D964" t="str">
            <v>车身外扩件</v>
          </cell>
        </row>
        <row r="964">
          <cell r="I964" t="str">
            <v>原开品</v>
          </cell>
          <cell r="J964">
            <v>11100</v>
          </cell>
        </row>
        <row r="964">
          <cell r="L964">
            <v>45964</v>
          </cell>
        </row>
        <row r="965">
          <cell r="A965">
            <v>12073</v>
          </cell>
        </row>
        <row r="965">
          <cell r="C965" t="str">
            <v>朱培源</v>
          </cell>
          <cell r="D965" t="str">
            <v>车门系统</v>
          </cell>
        </row>
        <row r="965">
          <cell r="I965" t="str">
            <v>原开品</v>
          </cell>
          <cell r="J965">
            <v>11270</v>
          </cell>
        </row>
        <row r="965">
          <cell r="L965">
            <v>45964</v>
          </cell>
          <cell r="M965">
            <v>45975</v>
          </cell>
        </row>
        <row r="966">
          <cell r="A966">
            <v>12074</v>
          </cell>
        </row>
        <row r="966">
          <cell r="C966" t="str">
            <v>朱培源</v>
          </cell>
          <cell r="D966" t="str">
            <v>车门系统</v>
          </cell>
        </row>
        <row r="966">
          <cell r="I966" t="str">
            <v>原开品</v>
          </cell>
          <cell r="J966">
            <v>11091</v>
          </cell>
        </row>
        <row r="966">
          <cell r="L966">
            <v>45964</v>
          </cell>
          <cell r="M966">
            <v>45970</v>
          </cell>
        </row>
        <row r="967">
          <cell r="A967">
            <v>12075</v>
          </cell>
        </row>
        <row r="967">
          <cell r="C967" t="str">
            <v>朱培源</v>
          </cell>
          <cell r="D967" t="str">
            <v>车门系统</v>
          </cell>
        </row>
        <row r="967">
          <cell r="I967" t="str">
            <v>原开品</v>
          </cell>
          <cell r="J967">
            <v>9577</v>
          </cell>
        </row>
        <row r="967">
          <cell r="L967">
            <v>45964</v>
          </cell>
          <cell r="M967">
            <v>45973</v>
          </cell>
        </row>
        <row r="968">
          <cell r="A968">
            <v>12252</v>
          </cell>
        </row>
        <row r="968">
          <cell r="C968" t="str">
            <v>胡煜星</v>
          </cell>
          <cell r="D968" t="str">
            <v>车门系统</v>
          </cell>
        </row>
        <row r="968">
          <cell r="I968" t="str">
            <v>原开品</v>
          </cell>
          <cell r="J968">
            <v>11137</v>
          </cell>
        </row>
        <row r="968">
          <cell r="L968">
            <v>45964</v>
          </cell>
          <cell r="M968">
            <v>45973</v>
          </cell>
        </row>
        <row r="969">
          <cell r="A969">
            <v>12205</v>
          </cell>
        </row>
        <row r="969">
          <cell r="C969" t="str">
            <v>胡煜星</v>
          </cell>
          <cell r="D969" t="str">
            <v>车门系统</v>
          </cell>
        </row>
        <row r="969">
          <cell r="I969" t="str">
            <v>原开品</v>
          </cell>
          <cell r="J969">
            <v>11096</v>
          </cell>
        </row>
        <row r="969">
          <cell r="L969">
            <v>45964</v>
          </cell>
          <cell r="M969">
            <v>45977</v>
          </cell>
        </row>
        <row r="970">
          <cell r="A970">
            <v>12206</v>
          </cell>
        </row>
        <row r="970">
          <cell r="C970" t="str">
            <v>胡煜星</v>
          </cell>
          <cell r="D970" t="str">
            <v>车门系统</v>
          </cell>
        </row>
        <row r="970">
          <cell r="I970" t="str">
            <v>原开品</v>
          </cell>
          <cell r="J970">
            <v>11101</v>
          </cell>
        </row>
        <row r="970">
          <cell r="L970">
            <v>45968</v>
          </cell>
          <cell r="M970">
            <v>46064</v>
          </cell>
        </row>
        <row r="971">
          <cell r="A971">
            <v>12165</v>
          </cell>
        </row>
        <row r="971">
          <cell r="C971" t="str">
            <v>朱培源</v>
          </cell>
          <cell r="D971" t="str">
            <v>挡泥板</v>
          </cell>
        </row>
        <row r="971">
          <cell r="I971" t="str">
            <v>原开品</v>
          </cell>
          <cell r="J971">
            <v>11093</v>
          </cell>
        </row>
        <row r="971">
          <cell r="L971">
            <v>45968</v>
          </cell>
          <cell r="M971">
            <v>45969</v>
          </cell>
        </row>
        <row r="972">
          <cell r="A972">
            <v>12240</v>
          </cell>
        </row>
        <row r="972">
          <cell r="C972" t="str">
            <v>王偲涵</v>
          </cell>
          <cell r="D972" t="str">
            <v>饰条</v>
          </cell>
        </row>
        <row r="972">
          <cell r="I972" t="str">
            <v>原开品</v>
          </cell>
          <cell r="J972">
            <v>11187</v>
          </cell>
        </row>
        <row r="972">
          <cell r="L972">
            <v>45969</v>
          </cell>
          <cell r="M972">
            <v>45969</v>
          </cell>
        </row>
        <row r="973">
          <cell r="A973">
            <v>12225</v>
          </cell>
        </row>
        <row r="973">
          <cell r="C973" t="str">
            <v>章鹏</v>
          </cell>
          <cell r="D973" t="str">
            <v>其他</v>
          </cell>
        </row>
        <row r="973">
          <cell r="I973" t="str">
            <v>原开品</v>
          </cell>
          <cell r="J973">
            <v>11188</v>
          </cell>
        </row>
        <row r="973">
          <cell r="L973">
            <v>45969</v>
          </cell>
          <cell r="M973">
            <v>45969</v>
          </cell>
        </row>
        <row r="974">
          <cell r="A974">
            <v>12248</v>
          </cell>
        </row>
        <row r="974">
          <cell r="C974" t="str">
            <v>胡煜星</v>
          </cell>
          <cell r="D974" t="str">
            <v>其他</v>
          </cell>
        </row>
        <row r="974">
          <cell r="I974" t="str">
            <v>原开品</v>
          </cell>
          <cell r="J974">
            <v>11178</v>
          </cell>
        </row>
        <row r="974">
          <cell r="L974">
            <v>45969</v>
          </cell>
          <cell r="M974">
            <v>45971</v>
          </cell>
        </row>
        <row r="975">
          <cell r="A975">
            <v>12246</v>
          </cell>
        </row>
        <row r="975">
          <cell r="C975" t="str">
            <v>胡煜星</v>
          </cell>
          <cell r="D975" t="str">
            <v>其他</v>
          </cell>
        </row>
        <row r="975">
          <cell r="I975" t="str">
            <v>原开品</v>
          </cell>
          <cell r="J975">
            <v>11179</v>
          </cell>
        </row>
        <row r="975">
          <cell r="L975">
            <v>45969</v>
          </cell>
          <cell r="M975">
            <v>45972</v>
          </cell>
        </row>
        <row r="976">
          <cell r="A976">
            <v>12247</v>
          </cell>
        </row>
        <row r="976">
          <cell r="C976" t="str">
            <v>胡煜星</v>
          </cell>
          <cell r="D976" t="str">
            <v>其他</v>
          </cell>
        </row>
        <row r="976">
          <cell r="I976" t="str">
            <v>原开品</v>
          </cell>
          <cell r="J976">
            <v>11219</v>
          </cell>
        </row>
        <row r="976">
          <cell r="L976">
            <v>45977</v>
          </cell>
          <cell r="M976">
            <v>45983</v>
          </cell>
        </row>
        <row r="977">
          <cell r="A977">
            <v>11997</v>
          </cell>
        </row>
        <row r="977">
          <cell r="C977" t="str">
            <v>张潇</v>
          </cell>
          <cell r="D977" t="str">
            <v>饰条</v>
          </cell>
        </row>
        <row r="977">
          <cell r="I977" t="str">
            <v>原开品</v>
          </cell>
          <cell r="J977">
            <v>11103</v>
          </cell>
        </row>
        <row r="977">
          <cell r="L977">
            <v>45977</v>
          </cell>
          <cell r="M977">
            <v>46002</v>
          </cell>
        </row>
        <row r="978">
          <cell r="A978">
            <v>12071</v>
          </cell>
        </row>
        <row r="978">
          <cell r="C978" t="str">
            <v>胡煜星</v>
          </cell>
          <cell r="D978" t="str">
            <v>车身外扩件</v>
          </cell>
        </row>
        <row r="978">
          <cell r="I978" t="str">
            <v>原开品</v>
          </cell>
          <cell r="J978">
            <v>11258</v>
          </cell>
        </row>
        <row r="978">
          <cell r="L978">
            <v>45981</v>
          </cell>
        </row>
        <row r="979">
          <cell r="A979">
            <v>12304</v>
          </cell>
        </row>
        <row r="979">
          <cell r="C979" t="str">
            <v>俞东旭</v>
          </cell>
          <cell r="D979" t="str">
            <v>车门系统</v>
          </cell>
        </row>
        <row r="979">
          <cell r="I979" t="str">
            <v>原开品</v>
          </cell>
          <cell r="J979">
            <v>11284</v>
          </cell>
        </row>
        <row r="979">
          <cell r="L979">
            <v>45981</v>
          </cell>
          <cell r="M979">
            <v>45995</v>
          </cell>
        </row>
        <row r="980">
          <cell r="A980">
            <v>12086</v>
          </cell>
        </row>
        <row r="980">
          <cell r="C980" t="str">
            <v>张潇</v>
          </cell>
          <cell r="D980" t="str">
            <v>机盖及附件</v>
          </cell>
        </row>
        <row r="980">
          <cell r="I980" t="str">
            <v>组合件</v>
          </cell>
          <cell r="J980">
            <v>11490</v>
          </cell>
        </row>
        <row r="980">
          <cell r="L980">
            <v>45983</v>
          </cell>
          <cell r="M980">
            <v>45982</v>
          </cell>
        </row>
        <row r="981">
          <cell r="A981">
            <v>12258</v>
          </cell>
        </row>
        <row r="981">
          <cell r="C981" t="str">
            <v>张潇</v>
          </cell>
          <cell r="D981" t="str">
            <v>机盖及附件</v>
          </cell>
        </row>
        <row r="981">
          <cell r="I981" t="str">
            <v>原开品</v>
          </cell>
          <cell r="J981">
            <v>11240</v>
          </cell>
        </row>
        <row r="981">
          <cell r="L981">
            <v>45984</v>
          </cell>
          <cell r="M981">
            <v>45991</v>
          </cell>
        </row>
        <row r="982">
          <cell r="A982">
            <v>12210</v>
          </cell>
        </row>
        <row r="982">
          <cell r="C982" t="str">
            <v>张潇</v>
          </cell>
          <cell r="D982" t="str">
            <v>饰条</v>
          </cell>
        </row>
        <row r="982">
          <cell r="I982" t="str">
            <v>原开品</v>
          </cell>
          <cell r="J982">
            <v>11290</v>
          </cell>
        </row>
        <row r="982">
          <cell r="L982">
            <v>45984</v>
          </cell>
          <cell r="M982">
            <v>45997</v>
          </cell>
        </row>
        <row r="983">
          <cell r="A983">
            <v>12250</v>
          </cell>
        </row>
        <row r="983">
          <cell r="C983" t="str">
            <v>王偲涵</v>
          </cell>
          <cell r="D983" t="str">
            <v>饰条</v>
          </cell>
        </row>
        <row r="983">
          <cell r="I983" t="str">
            <v>拓展品</v>
          </cell>
          <cell r="J983">
            <v>11244</v>
          </cell>
        </row>
        <row r="983">
          <cell r="L983">
            <v>45986</v>
          </cell>
        </row>
        <row r="984">
          <cell r="A984">
            <v>12251</v>
          </cell>
        </row>
        <row r="984">
          <cell r="C984" t="str">
            <v>王偲涵</v>
          </cell>
          <cell r="D984" t="str">
            <v>饰条</v>
          </cell>
        </row>
        <row r="984">
          <cell r="I984" t="str">
            <v>原开品</v>
          </cell>
          <cell r="J984">
            <v>11230</v>
          </cell>
        </row>
        <row r="984">
          <cell r="L984">
            <v>45986</v>
          </cell>
          <cell r="M984">
            <v>45997</v>
          </cell>
        </row>
        <row r="985">
          <cell r="A985">
            <v>12262</v>
          </cell>
        </row>
        <row r="985">
          <cell r="C985" t="str">
            <v>张潇</v>
          </cell>
          <cell r="D985" t="str">
            <v>机盖及附件</v>
          </cell>
        </row>
        <row r="985">
          <cell r="I985" t="str">
            <v>原开品</v>
          </cell>
          <cell r="J985">
            <v>11327</v>
          </cell>
        </row>
        <row r="985">
          <cell r="L985">
            <v>45988</v>
          </cell>
          <cell r="M985">
            <v>45997</v>
          </cell>
        </row>
        <row r="986">
          <cell r="A986">
            <v>12244</v>
          </cell>
        </row>
        <row r="986">
          <cell r="C986" t="str">
            <v>张潇</v>
          </cell>
          <cell r="D986" t="str">
            <v>饰条</v>
          </cell>
        </row>
        <row r="986">
          <cell r="I986" t="str">
            <v>原开品</v>
          </cell>
          <cell r="J986">
            <v>11104</v>
          </cell>
        </row>
        <row r="986">
          <cell r="L986">
            <v>45988</v>
          </cell>
          <cell r="M986">
            <v>45989</v>
          </cell>
        </row>
        <row r="987">
          <cell r="A987">
            <v>12243</v>
          </cell>
        </row>
        <row r="987">
          <cell r="C987" t="str">
            <v>张潇</v>
          </cell>
          <cell r="D987" t="str">
            <v>饰条</v>
          </cell>
        </row>
        <row r="987">
          <cell r="I987" t="str">
            <v>原开品</v>
          </cell>
          <cell r="J987">
            <v>11106</v>
          </cell>
        </row>
        <row r="987">
          <cell r="L987">
            <v>45987</v>
          </cell>
          <cell r="M987">
            <v>46027</v>
          </cell>
        </row>
        <row r="988">
          <cell r="A988">
            <v>12332</v>
          </cell>
        </row>
        <row r="988">
          <cell r="C988" t="str">
            <v>张潇</v>
          </cell>
          <cell r="D988" t="str">
            <v>饰条</v>
          </cell>
        </row>
        <row r="988">
          <cell r="I988" t="str">
            <v>原开品</v>
          </cell>
          <cell r="J988">
            <v>11288</v>
          </cell>
        </row>
        <row r="988">
          <cell r="L988">
            <v>45987</v>
          </cell>
          <cell r="M988">
            <v>45999</v>
          </cell>
        </row>
        <row r="989">
          <cell r="A989">
            <v>12368</v>
          </cell>
        </row>
        <row r="989">
          <cell r="C989" t="str">
            <v>胡煜星</v>
          </cell>
          <cell r="D989" t="str">
            <v>其他</v>
          </cell>
        </row>
        <row r="989">
          <cell r="I989" t="str">
            <v>原开品</v>
          </cell>
          <cell r="J989">
            <v>11289</v>
          </cell>
        </row>
        <row r="989">
          <cell r="L989">
            <v>45987</v>
          </cell>
          <cell r="M989">
            <v>46017</v>
          </cell>
        </row>
        <row r="990">
          <cell r="A990">
            <v>12085</v>
          </cell>
        </row>
        <row r="990">
          <cell r="C990" t="str">
            <v>张潇</v>
          </cell>
          <cell r="D990" t="str">
            <v>机盖及附件</v>
          </cell>
        </row>
        <row r="990">
          <cell r="I990" t="str">
            <v>原开品</v>
          </cell>
          <cell r="J990">
            <v>11192</v>
          </cell>
        </row>
        <row r="990">
          <cell r="L990">
            <v>45988</v>
          </cell>
          <cell r="M990">
            <v>46045</v>
          </cell>
        </row>
        <row r="991">
          <cell r="A991">
            <v>12227</v>
          </cell>
        </row>
        <row r="991">
          <cell r="C991" t="str">
            <v>章鹏</v>
          </cell>
          <cell r="D991" t="str">
            <v>其他</v>
          </cell>
        </row>
        <row r="991">
          <cell r="I991" t="str">
            <v>原开品</v>
          </cell>
          <cell r="J991">
            <v>11193</v>
          </cell>
        </row>
        <row r="991">
          <cell r="L991">
            <v>45988</v>
          </cell>
          <cell r="M991">
            <v>46020</v>
          </cell>
        </row>
        <row r="992">
          <cell r="A992">
            <v>12271</v>
          </cell>
        </row>
        <row r="992">
          <cell r="C992" t="str">
            <v>俞东旭</v>
          </cell>
          <cell r="D992" t="str">
            <v>车门系统</v>
          </cell>
        </row>
        <row r="992">
          <cell r="I992" t="str">
            <v>原开品</v>
          </cell>
          <cell r="J992">
            <v>11257</v>
          </cell>
        </row>
        <row r="992">
          <cell r="L992">
            <v>45992</v>
          </cell>
        </row>
        <row r="993">
          <cell r="A993">
            <v>12270</v>
          </cell>
        </row>
        <row r="993">
          <cell r="C993" t="str">
            <v>俞东旭</v>
          </cell>
          <cell r="D993" t="str">
            <v>车门系统</v>
          </cell>
        </row>
        <row r="993">
          <cell r="I993" t="str">
            <v>原开品</v>
          </cell>
          <cell r="J993">
            <v>11312</v>
          </cell>
        </row>
        <row r="993">
          <cell r="L993">
            <v>45992</v>
          </cell>
          <cell r="M993">
            <v>46001</v>
          </cell>
        </row>
        <row r="994">
          <cell r="A994">
            <v>12292</v>
          </cell>
        </row>
        <row r="994">
          <cell r="C994" t="str">
            <v>朱培源</v>
          </cell>
          <cell r="D994" t="str">
            <v>挡泥板</v>
          </cell>
        </row>
        <row r="994">
          <cell r="I994" t="str">
            <v>拓展品</v>
          </cell>
          <cell r="J994">
            <v>11245</v>
          </cell>
        </row>
        <row r="994">
          <cell r="L994">
            <v>45992</v>
          </cell>
        </row>
        <row r="995">
          <cell r="A995">
            <v>12213</v>
          </cell>
        </row>
        <row r="995">
          <cell r="C995" t="str">
            <v>张潇</v>
          </cell>
          <cell r="D995" t="str">
            <v>机盖及附件</v>
          </cell>
        </row>
        <row r="995">
          <cell r="I995" t="str">
            <v>拓展品</v>
          </cell>
          <cell r="J995">
            <v>11246</v>
          </cell>
        </row>
        <row r="995">
          <cell r="L995">
            <v>45992</v>
          </cell>
        </row>
        <row r="996">
          <cell r="A996">
            <v>12293</v>
          </cell>
        </row>
        <row r="996">
          <cell r="C996" t="str">
            <v>朱培源</v>
          </cell>
          <cell r="D996" t="str">
            <v>车门系统</v>
          </cell>
        </row>
        <row r="996">
          <cell r="I996" t="str">
            <v>原开品</v>
          </cell>
          <cell r="J996">
            <v>11223</v>
          </cell>
        </row>
        <row r="996">
          <cell r="L996">
            <v>45992</v>
          </cell>
          <cell r="M996">
            <v>46005</v>
          </cell>
        </row>
        <row r="997">
          <cell r="A997">
            <v>12298</v>
          </cell>
        </row>
        <row r="997">
          <cell r="C997" t="str">
            <v>朱培源</v>
          </cell>
          <cell r="D997" t="str">
            <v>车门系统</v>
          </cell>
        </row>
        <row r="997">
          <cell r="I997" t="str">
            <v>原开品</v>
          </cell>
          <cell r="J997">
            <v>11330</v>
          </cell>
        </row>
        <row r="997">
          <cell r="L997">
            <v>45994</v>
          </cell>
          <cell r="M997">
            <v>46000</v>
          </cell>
        </row>
        <row r="998">
          <cell r="A998">
            <v>12299</v>
          </cell>
        </row>
        <row r="998">
          <cell r="C998" t="str">
            <v>朱培源</v>
          </cell>
          <cell r="D998" t="str">
            <v>车门系统</v>
          </cell>
        </row>
        <row r="998">
          <cell r="I998" t="str">
            <v>原开品</v>
          </cell>
          <cell r="J998">
            <v>11331</v>
          </cell>
        </row>
        <row r="998">
          <cell r="L998">
            <v>45994</v>
          </cell>
          <cell r="M998">
            <v>46001</v>
          </cell>
        </row>
        <row r="999">
          <cell r="A999">
            <v>12356</v>
          </cell>
        </row>
        <row r="999">
          <cell r="C999" t="str">
            <v>七部</v>
          </cell>
          <cell r="D999" t="str">
            <v>其他</v>
          </cell>
        </row>
        <row r="999">
          <cell r="I999" t="str">
            <v>原开品</v>
          </cell>
          <cell r="J999">
            <v>11394</v>
          </cell>
        </row>
        <row r="999">
          <cell r="L999">
            <v>45994</v>
          </cell>
          <cell r="M999">
            <v>46000</v>
          </cell>
        </row>
        <row r="1000">
          <cell r="A1000">
            <v>12320</v>
          </cell>
        </row>
        <row r="1000">
          <cell r="C1000" t="str">
            <v>朱培源</v>
          </cell>
          <cell r="D1000" t="str">
            <v>挡泥板</v>
          </cell>
        </row>
        <row r="1000">
          <cell r="I1000" t="str">
            <v>拓展品</v>
          </cell>
          <cell r="J1000">
            <v>11233</v>
          </cell>
        </row>
        <row r="1000">
          <cell r="L1000">
            <v>45994</v>
          </cell>
        </row>
        <row r="1001">
          <cell r="A1001">
            <v>12333</v>
          </cell>
        </row>
        <row r="1001">
          <cell r="C1001" t="str">
            <v>朱培源</v>
          </cell>
          <cell r="D1001" t="str">
            <v>车门系统</v>
          </cell>
        </row>
        <row r="1001">
          <cell r="I1001" t="str">
            <v>原开品</v>
          </cell>
          <cell r="J1001">
            <v>11398</v>
          </cell>
        </row>
        <row r="1001">
          <cell r="L1001">
            <v>45994</v>
          </cell>
          <cell r="M1001">
            <v>46001</v>
          </cell>
        </row>
        <row r="1002">
          <cell r="A1002">
            <v>12334</v>
          </cell>
        </row>
        <row r="1002">
          <cell r="C1002" t="str">
            <v>朱培源</v>
          </cell>
          <cell r="D1002" t="str">
            <v>车门系统</v>
          </cell>
        </row>
        <row r="1002">
          <cell r="I1002" t="str">
            <v>原开品</v>
          </cell>
          <cell r="J1002">
            <v>9135</v>
          </cell>
        </row>
        <row r="1002">
          <cell r="L1002">
            <v>46001</v>
          </cell>
          <cell r="M1002">
            <v>46020</v>
          </cell>
        </row>
        <row r="1003">
          <cell r="A1003">
            <v>12305</v>
          </cell>
        </row>
        <row r="1003">
          <cell r="C1003" t="str">
            <v>俞东旭</v>
          </cell>
          <cell r="D1003" t="str">
            <v>车门系统</v>
          </cell>
        </row>
        <row r="1003">
          <cell r="I1003" t="str">
            <v>原开品</v>
          </cell>
          <cell r="J1003">
            <v>11464</v>
          </cell>
        </row>
        <row r="1003">
          <cell r="L1003">
            <v>46001</v>
          </cell>
          <cell r="M1003">
            <v>46006</v>
          </cell>
        </row>
        <row r="1004">
          <cell r="A1004">
            <v>12306</v>
          </cell>
        </row>
        <row r="1004">
          <cell r="C1004" t="str">
            <v>俞东旭</v>
          </cell>
          <cell r="D1004" t="str">
            <v>车门系统</v>
          </cell>
        </row>
        <row r="1004">
          <cell r="I1004" t="str">
            <v>原开品</v>
          </cell>
          <cell r="J1004">
            <v>11262</v>
          </cell>
        </row>
        <row r="1004">
          <cell r="L1004">
            <v>46000</v>
          </cell>
          <cell r="M1004">
            <v>46004</v>
          </cell>
        </row>
        <row r="1005">
          <cell r="A1005">
            <v>12307</v>
          </cell>
        </row>
        <row r="1005">
          <cell r="C1005" t="str">
            <v>俞东旭</v>
          </cell>
          <cell r="D1005" t="str">
            <v>车门系统</v>
          </cell>
        </row>
        <row r="1005">
          <cell r="I1005" t="str">
            <v>原开品</v>
          </cell>
          <cell r="J1005">
            <v>11546</v>
          </cell>
        </row>
        <row r="1005">
          <cell r="L1005">
            <v>46000</v>
          </cell>
          <cell r="M1005">
            <v>46018</v>
          </cell>
        </row>
        <row r="1006">
          <cell r="A1006">
            <v>12308</v>
          </cell>
        </row>
        <row r="1006">
          <cell r="C1006" t="str">
            <v>俞东旭</v>
          </cell>
          <cell r="D1006" t="str">
            <v>车门系统</v>
          </cell>
        </row>
        <row r="1006">
          <cell r="I1006" t="str">
            <v>原开品</v>
          </cell>
          <cell r="J1006">
            <v>11446</v>
          </cell>
        </row>
        <row r="1006">
          <cell r="L1006">
            <v>46000</v>
          </cell>
          <cell r="M1006">
            <v>46022</v>
          </cell>
        </row>
        <row r="1007">
          <cell r="A1007">
            <v>12309</v>
          </cell>
        </row>
        <row r="1007">
          <cell r="C1007" t="str">
            <v>俞东旭</v>
          </cell>
          <cell r="D1007" t="str">
            <v>车门系统</v>
          </cell>
        </row>
        <row r="1007">
          <cell r="I1007" t="str">
            <v>拓展品</v>
          </cell>
          <cell r="J1007">
            <v>11406</v>
          </cell>
        </row>
        <row r="1007">
          <cell r="L1007">
            <v>46001</v>
          </cell>
          <cell r="M1007">
            <v>46003</v>
          </cell>
        </row>
        <row r="1008">
          <cell r="A1008">
            <v>12310</v>
          </cell>
        </row>
        <row r="1008">
          <cell r="C1008" t="str">
            <v>俞东旭</v>
          </cell>
          <cell r="D1008" t="str">
            <v>车门系统</v>
          </cell>
        </row>
        <row r="1008">
          <cell r="I1008" t="str">
            <v>拓展品</v>
          </cell>
          <cell r="J1008">
            <v>11455</v>
          </cell>
        </row>
        <row r="1008">
          <cell r="L1008">
            <v>46005</v>
          </cell>
          <cell r="M1008">
            <v>46015</v>
          </cell>
        </row>
        <row r="1009">
          <cell r="A1009">
            <v>12321</v>
          </cell>
        </row>
        <row r="1009">
          <cell r="C1009" t="str">
            <v>俞东旭</v>
          </cell>
          <cell r="D1009" t="str">
            <v>车门系统</v>
          </cell>
        </row>
        <row r="1009">
          <cell r="I1009" t="str">
            <v>拓展品</v>
          </cell>
          <cell r="J1009">
            <v>11456</v>
          </cell>
        </row>
        <row r="1009">
          <cell r="L1009">
            <v>46005</v>
          </cell>
          <cell r="M1009">
            <v>46024</v>
          </cell>
        </row>
        <row r="1010">
          <cell r="A1010">
            <v>12272</v>
          </cell>
        </row>
        <row r="1010">
          <cell r="C1010" t="str">
            <v>胡煜星</v>
          </cell>
          <cell r="D1010" t="str">
            <v>车门系统</v>
          </cell>
        </row>
        <row r="1010">
          <cell r="I1010" t="str">
            <v>原开品</v>
          </cell>
          <cell r="J1010">
            <v>11465</v>
          </cell>
        </row>
        <row r="1010">
          <cell r="L1010">
            <v>46005</v>
          </cell>
          <cell r="M1010">
            <v>46017</v>
          </cell>
        </row>
        <row r="1011">
          <cell r="A1011">
            <v>12392</v>
          </cell>
        </row>
        <row r="1011">
          <cell r="C1011" t="str">
            <v>七部</v>
          </cell>
          <cell r="D1011" t="str">
            <v>饰条</v>
          </cell>
        </row>
        <row r="1011">
          <cell r="I1011" t="str">
            <v>原开品</v>
          </cell>
          <cell r="J1011">
            <v>11345</v>
          </cell>
        </row>
        <row r="1011">
          <cell r="L1011">
            <v>46008</v>
          </cell>
          <cell r="M1011">
            <v>46009</v>
          </cell>
        </row>
        <row r="1012">
          <cell r="A1012">
            <v>12311</v>
          </cell>
        </row>
        <row r="1012">
          <cell r="C1012" t="str">
            <v>俞东旭</v>
          </cell>
          <cell r="D1012" t="str">
            <v>车门系统</v>
          </cell>
        </row>
        <row r="1012">
          <cell r="I1012" t="str">
            <v>原开品</v>
          </cell>
          <cell r="J1012">
            <v>11349</v>
          </cell>
        </row>
        <row r="1012">
          <cell r="L1012">
            <v>46008</v>
          </cell>
          <cell r="M1012">
            <v>46015</v>
          </cell>
        </row>
        <row r="1013">
          <cell r="A1013">
            <v>12312</v>
          </cell>
        </row>
        <row r="1013">
          <cell r="C1013" t="str">
            <v>俞东旭</v>
          </cell>
          <cell r="D1013" t="str">
            <v>车门系统</v>
          </cell>
        </row>
        <row r="1013">
          <cell r="I1013" t="str">
            <v>原开品</v>
          </cell>
          <cell r="J1013">
            <v>11348</v>
          </cell>
        </row>
        <row r="1013">
          <cell r="L1013">
            <v>46008</v>
          </cell>
          <cell r="M1013">
            <v>46019</v>
          </cell>
        </row>
        <row r="1014">
          <cell r="A1014">
            <v>5836</v>
          </cell>
        </row>
        <row r="1014">
          <cell r="C1014" t="str">
            <v>胡煜星</v>
          </cell>
          <cell r="D1014" t="str">
            <v>车门系统</v>
          </cell>
        </row>
        <row r="1014">
          <cell r="I1014" t="str">
            <v>原开品</v>
          </cell>
          <cell r="J1014">
            <v>11380</v>
          </cell>
        </row>
        <row r="1014">
          <cell r="L1014">
            <v>46008</v>
          </cell>
          <cell r="M1014">
            <v>46022</v>
          </cell>
        </row>
        <row r="1015">
          <cell r="A1015">
            <v>12359</v>
          </cell>
        </row>
        <row r="1015">
          <cell r="C1015" t="str">
            <v>胡煜星</v>
          </cell>
          <cell r="D1015" t="str">
            <v>车门系统</v>
          </cell>
        </row>
        <row r="1015">
          <cell r="I1015" t="str">
            <v>原开品</v>
          </cell>
          <cell r="J1015">
            <v>11346</v>
          </cell>
        </row>
        <row r="1015">
          <cell r="L1015">
            <v>46012</v>
          </cell>
          <cell r="M1015">
            <v>46017</v>
          </cell>
        </row>
        <row r="1016">
          <cell r="A1016">
            <v>12441</v>
          </cell>
        </row>
        <row r="1016">
          <cell r="C1016" t="str">
            <v>张潇</v>
          </cell>
          <cell r="D1016" t="str">
            <v>机盖及附件</v>
          </cell>
        </row>
        <row r="1016">
          <cell r="I1016" t="str">
            <v>原开品</v>
          </cell>
          <cell r="J1016">
            <v>11552</v>
          </cell>
        </row>
        <row r="1016">
          <cell r="L1016">
            <v>46012</v>
          </cell>
          <cell r="M1016">
            <v>46025</v>
          </cell>
        </row>
        <row r="1017">
          <cell r="A1017">
            <v>12318</v>
          </cell>
        </row>
        <row r="1017">
          <cell r="C1017" t="str">
            <v>胡煜星</v>
          </cell>
          <cell r="D1017" t="str">
            <v>车门系统</v>
          </cell>
        </row>
        <row r="1017">
          <cell r="I1017" t="str">
            <v>拓展品</v>
          </cell>
          <cell r="J1017">
            <v>11553</v>
          </cell>
        </row>
        <row r="1017">
          <cell r="L1017">
            <v>46012</v>
          </cell>
          <cell r="M1017">
            <v>46034</v>
          </cell>
        </row>
        <row r="1018">
          <cell r="A1018">
            <v>7440</v>
          </cell>
        </row>
        <row r="1018">
          <cell r="C1018" t="str">
            <v>张潇</v>
          </cell>
          <cell r="D1018" t="str">
            <v>雨刮罩</v>
          </cell>
        </row>
        <row r="1018">
          <cell r="I1018" t="str">
            <v>拓展品</v>
          </cell>
          <cell r="J1018">
            <v>11554</v>
          </cell>
        </row>
        <row r="1018">
          <cell r="L1018">
            <v>46012</v>
          </cell>
          <cell r="M1018">
            <v>46021</v>
          </cell>
        </row>
        <row r="1019">
          <cell r="A1019">
            <v>12396</v>
          </cell>
        </row>
        <row r="1019">
          <cell r="C1019" t="str">
            <v>胡煜星</v>
          </cell>
          <cell r="D1019" t="str">
            <v>车门系统</v>
          </cell>
        </row>
        <row r="1019">
          <cell r="I1019" t="str">
            <v>原开品</v>
          </cell>
          <cell r="J1019">
            <v>11510</v>
          </cell>
        </row>
        <row r="1019">
          <cell r="L1019">
            <v>46012</v>
          </cell>
          <cell r="M1019">
            <v>46014</v>
          </cell>
        </row>
        <row r="1020">
          <cell r="A1020">
            <v>12291</v>
          </cell>
        </row>
        <row r="1020">
          <cell r="C1020" t="str">
            <v>张潇</v>
          </cell>
          <cell r="D1020" t="str">
            <v>挡泥板</v>
          </cell>
        </row>
        <row r="1020">
          <cell r="I1020" t="str">
            <v>原开品</v>
          </cell>
          <cell r="J1020">
            <v>11528</v>
          </cell>
        </row>
        <row r="1020">
          <cell r="L1020">
            <v>46012</v>
          </cell>
          <cell r="M1020">
            <v>46017</v>
          </cell>
        </row>
        <row r="1021">
          <cell r="A1021">
            <v>12290</v>
          </cell>
        </row>
        <row r="1021">
          <cell r="C1021" t="str">
            <v>张潇</v>
          </cell>
          <cell r="D1021" t="str">
            <v>挡泥板</v>
          </cell>
        </row>
        <row r="1021">
          <cell r="I1021" t="str">
            <v>原开品</v>
          </cell>
          <cell r="J1021">
            <v>11405</v>
          </cell>
        </row>
        <row r="1021">
          <cell r="L1021">
            <v>46016</v>
          </cell>
          <cell r="M1021">
            <v>46052</v>
          </cell>
        </row>
        <row r="1022">
          <cell r="A1022">
            <v>12391</v>
          </cell>
        </row>
        <row r="1022">
          <cell r="C1022" t="str">
            <v>张潇</v>
          </cell>
          <cell r="D1022" t="str">
            <v>其他</v>
          </cell>
        </row>
        <row r="1022">
          <cell r="I1022" t="str">
            <v>原开品</v>
          </cell>
          <cell r="J1022">
            <v>11350</v>
          </cell>
        </row>
        <row r="1022">
          <cell r="L1022">
            <v>46016</v>
          </cell>
          <cell r="M1022">
            <v>46026</v>
          </cell>
        </row>
        <row r="1023">
          <cell r="A1023">
            <v>12398</v>
          </cell>
        </row>
        <row r="1023">
          <cell r="C1023" t="str">
            <v>张潇</v>
          </cell>
          <cell r="D1023" t="str">
            <v>其他</v>
          </cell>
        </row>
        <row r="1023">
          <cell r="I1023" t="str">
            <v>原开品</v>
          </cell>
          <cell r="J1023">
            <v>11512</v>
          </cell>
        </row>
        <row r="1023">
          <cell r="L1023">
            <v>46016</v>
          </cell>
          <cell r="M1023">
            <v>46023</v>
          </cell>
        </row>
        <row r="1024">
          <cell r="A1024">
            <v>12357</v>
          </cell>
        </row>
        <row r="1024">
          <cell r="C1024" t="str">
            <v>张潇</v>
          </cell>
          <cell r="D1024" t="str">
            <v>其他</v>
          </cell>
        </row>
        <row r="1024">
          <cell r="I1024" t="str">
            <v>原开品</v>
          </cell>
          <cell r="J1024">
            <v>11513</v>
          </cell>
        </row>
        <row r="1024">
          <cell r="L1024">
            <v>46016</v>
          </cell>
          <cell r="M1024">
            <v>46063</v>
          </cell>
        </row>
        <row r="1025">
          <cell r="A1025">
            <v>12423</v>
          </cell>
        </row>
        <row r="1025">
          <cell r="C1025" t="str">
            <v>张潇</v>
          </cell>
          <cell r="D1025" t="str">
            <v>其他</v>
          </cell>
        </row>
        <row r="1025">
          <cell r="I1025" t="str">
            <v>拓展品</v>
          </cell>
          <cell r="J1025">
            <v>11600</v>
          </cell>
        </row>
        <row r="1025">
          <cell r="L1025">
            <v>46016</v>
          </cell>
          <cell r="M1025">
            <v>46028</v>
          </cell>
        </row>
        <row r="1026">
          <cell r="A1026">
            <v>12387</v>
          </cell>
        </row>
        <row r="1026">
          <cell r="C1026" t="str">
            <v>俞东旭</v>
          </cell>
          <cell r="D1026" t="str">
            <v>车身外扩件</v>
          </cell>
        </row>
        <row r="1026">
          <cell r="I1026" t="str">
            <v>拓展品</v>
          </cell>
          <cell r="J1026">
            <v>11601</v>
          </cell>
        </row>
        <row r="1026">
          <cell r="L1026">
            <v>46016</v>
          </cell>
          <cell r="M1026">
            <v>46043</v>
          </cell>
        </row>
        <row r="1027">
          <cell r="A1027">
            <v>12388</v>
          </cell>
        </row>
        <row r="1027">
          <cell r="C1027" t="str">
            <v>俞东旭</v>
          </cell>
          <cell r="D1027" t="str">
            <v>车身外扩件</v>
          </cell>
        </row>
        <row r="1027">
          <cell r="I1027" t="str">
            <v>拓展品</v>
          </cell>
          <cell r="J1027">
            <v>11655</v>
          </cell>
        </row>
        <row r="1027">
          <cell r="L1027">
            <v>46016</v>
          </cell>
          <cell r="M1027">
            <v>46046</v>
          </cell>
        </row>
        <row r="1028">
          <cell r="A1028">
            <v>12474</v>
          </cell>
        </row>
        <row r="1028">
          <cell r="C1028" t="str">
            <v>张潇</v>
          </cell>
          <cell r="D1028" t="str">
            <v>饰条</v>
          </cell>
        </row>
        <row r="1028">
          <cell r="I1028" t="str">
            <v>原开品</v>
          </cell>
          <cell r="J1028">
            <v>11656</v>
          </cell>
        </row>
        <row r="1028">
          <cell r="L1028">
            <v>46016</v>
          </cell>
          <cell r="M1028">
            <v>46084</v>
          </cell>
        </row>
        <row r="1029">
          <cell r="A1029">
            <v>12429</v>
          </cell>
        </row>
        <row r="1029">
          <cell r="C1029" t="str">
            <v>俞东旭</v>
          </cell>
          <cell r="D1029" t="str">
            <v>车门系统</v>
          </cell>
        </row>
        <row r="1029">
          <cell r="I1029" t="str">
            <v>原开品</v>
          </cell>
          <cell r="J1029">
            <v>11547</v>
          </cell>
        </row>
        <row r="1029">
          <cell r="L1029">
            <v>46026</v>
          </cell>
          <cell r="M1029">
            <v>46075</v>
          </cell>
        </row>
        <row r="1030">
          <cell r="A1030">
            <v>12424</v>
          </cell>
        </row>
        <row r="1030">
          <cell r="C1030" t="str">
            <v>俞东旭</v>
          </cell>
          <cell r="D1030" t="str">
            <v>车门系统</v>
          </cell>
        </row>
        <row r="1030">
          <cell r="I1030" t="str">
            <v>原开品</v>
          </cell>
          <cell r="J1030">
            <v>11650</v>
          </cell>
        </row>
        <row r="1030">
          <cell r="L1030">
            <v>46026</v>
          </cell>
          <cell r="M1030">
            <v>46029</v>
          </cell>
        </row>
        <row r="1031">
          <cell r="A1031">
            <v>12386</v>
          </cell>
        </row>
        <row r="1031">
          <cell r="C1031" t="str">
            <v>俞东旭</v>
          </cell>
          <cell r="D1031" t="str">
            <v>车门系统</v>
          </cell>
        </row>
        <row r="1031">
          <cell r="I1031" t="str">
            <v>原开品</v>
          </cell>
          <cell r="J1031">
            <v>11674</v>
          </cell>
        </row>
        <row r="1031">
          <cell r="L1031">
            <v>46026</v>
          </cell>
          <cell r="M1031">
            <v>46028</v>
          </cell>
        </row>
        <row r="1032">
          <cell r="A1032">
            <v>12426</v>
          </cell>
        </row>
        <row r="1032">
          <cell r="C1032" t="str">
            <v>胡煜星</v>
          </cell>
          <cell r="D1032" t="str">
            <v>车门系统</v>
          </cell>
        </row>
        <row r="1032">
          <cell r="I1032" t="str">
            <v>原开品</v>
          </cell>
          <cell r="J1032">
            <v>11668</v>
          </cell>
        </row>
        <row r="1032">
          <cell r="L1032">
            <v>46026</v>
          </cell>
          <cell r="M1032">
            <v>46030</v>
          </cell>
        </row>
        <row r="1033">
          <cell r="A1033">
            <v>12483</v>
          </cell>
        </row>
        <row r="1033">
          <cell r="C1033" t="str">
            <v>胡煜星</v>
          </cell>
          <cell r="D1033" t="str">
            <v>其他</v>
          </cell>
        </row>
        <row r="1033">
          <cell r="I1033" t="str">
            <v>拓展品</v>
          </cell>
          <cell r="J1033">
            <v>11681</v>
          </cell>
        </row>
        <row r="1033">
          <cell r="L1033">
            <v>46027</v>
          </cell>
          <cell r="M1033">
            <v>46031</v>
          </cell>
        </row>
        <row r="1034">
          <cell r="A1034">
            <v>12484</v>
          </cell>
        </row>
        <row r="1034">
          <cell r="C1034" t="str">
            <v>胡煜星</v>
          </cell>
          <cell r="D1034" t="str">
            <v>其他</v>
          </cell>
        </row>
        <row r="1034">
          <cell r="I1034" t="str">
            <v>原开品</v>
          </cell>
          <cell r="J1034">
            <v>11742</v>
          </cell>
        </row>
        <row r="1034">
          <cell r="L1034">
            <v>46029</v>
          </cell>
          <cell r="M1034">
            <v>46033</v>
          </cell>
        </row>
        <row r="1035">
          <cell r="A1035">
            <v>12414</v>
          </cell>
        </row>
        <row r="1035">
          <cell r="C1035" t="str">
            <v>俞东旭</v>
          </cell>
          <cell r="D1035" t="str">
            <v>车门系统</v>
          </cell>
        </row>
        <row r="1035">
          <cell r="I1035" t="str">
            <v>原开品</v>
          </cell>
          <cell r="J1035">
            <v>11603</v>
          </cell>
        </row>
        <row r="1035">
          <cell r="L1035">
            <v>46031</v>
          </cell>
          <cell r="M1035">
            <v>46041</v>
          </cell>
        </row>
        <row r="1036">
          <cell r="A1036">
            <v>12422</v>
          </cell>
        </row>
        <row r="1036">
          <cell r="C1036" t="str">
            <v>俞东旭</v>
          </cell>
          <cell r="D1036" t="str">
            <v>车门系统</v>
          </cell>
        </row>
        <row r="1036">
          <cell r="I1036" t="str">
            <v>拓展品</v>
          </cell>
          <cell r="J1036">
            <v>11704</v>
          </cell>
        </row>
        <row r="1036">
          <cell r="L1036">
            <v>46034</v>
          </cell>
          <cell r="M1036">
            <v>46070</v>
          </cell>
        </row>
        <row r="1037">
          <cell r="A1037">
            <v>6903</v>
          </cell>
        </row>
        <row r="1037">
          <cell r="C1037" t="str">
            <v>张潇</v>
          </cell>
          <cell r="D1037" t="str">
            <v>挡泥板</v>
          </cell>
        </row>
        <row r="1037">
          <cell r="I1037" t="str">
            <v>原开品</v>
          </cell>
          <cell r="J1037">
            <v>11699</v>
          </cell>
        </row>
        <row r="1037">
          <cell r="L1037">
            <v>46034</v>
          </cell>
          <cell r="M1037">
            <v>46044</v>
          </cell>
        </row>
        <row r="1038">
          <cell r="A1038">
            <v>2713</v>
          </cell>
        </row>
        <row r="1038">
          <cell r="C1038" t="str">
            <v>朱培源</v>
          </cell>
          <cell r="D1038" t="str">
            <v>软顶</v>
          </cell>
        </row>
        <row r="1038">
          <cell r="I1038" t="str">
            <v>原开品</v>
          </cell>
          <cell r="J1038">
            <v>11982</v>
          </cell>
        </row>
        <row r="1038">
          <cell r="L1038">
            <v>46034</v>
          </cell>
          <cell r="M1038">
            <v>46036</v>
          </cell>
        </row>
        <row r="1039">
          <cell r="A1039">
            <v>4134</v>
          </cell>
        </row>
        <row r="1039">
          <cell r="C1039" t="str">
            <v>胡煜星</v>
          </cell>
          <cell r="D1039" t="str">
            <v>车身外扩件</v>
          </cell>
        </row>
        <row r="1039">
          <cell r="I1039" t="str">
            <v>原开品</v>
          </cell>
          <cell r="J1039">
            <v>11911</v>
          </cell>
        </row>
        <row r="1039">
          <cell r="L1039">
            <v>46034</v>
          </cell>
          <cell r="M1039">
            <v>46043</v>
          </cell>
        </row>
        <row r="1040">
          <cell r="A1040">
            <v>994</v>
          </cell>
        </row>
        <row r="1040">
          <cell r="C1040" t="str">
            <v>张潇</v>
          </cell>
          <cell r="D1040" t="str">
            <v>机盖及附件</v>
          </cell>
        </row>
        <row r="1040">
          <cell r="I1040" t="str">
            <v>拓展品</v>
          </cell>
          <cell r="J1040">
            <v>11848</v>
          </cell>
        </row>
        <row r="1040">
          <cell r="L1040">
            <v>46034</v>
          </cell>
          <cell r="M1040">
            <v>46054</v>
          </cell>
        </row>
        <row r="1041">
          <cell r="A1041">
            <v>1160</v>
          </cell>
        </row>
        <row r="1041">
          <cell r="C1041" t="str">
            <v>张潇</v>
          </cell>
          <cell r="D1041" t="str">
            <v>挡泥板</v>
          </cell>
        </row>
        <row r="1041">
          <cell r="I1041" t="str">
            <v>拓展品</v>
          </cell>
          <cell r="J1041">
            <v>11875</v>
          </cell>
        </row>
        <row r="1041">
          <cell r="L1041">
            <v>46034</v>
          </cell>
          <cell r="M1041">
            <v>46041</v>
          </cell>
        </row>
        <row r="1042">
          <cell r="A1042">
            <v>3183</v>
          </cell>
        </row>
        <row r="1042">
          <cell r="C1042" t="str">
            <v>朱培源</v>
          </cell>
          <cell r="D1042" t="str">
            <v>软顶</v>
          </cell>
        </row>
        <row r="1042">
          <cell r="I1042" t="str">
            <v>原开品</v>
          </cell>
          <cell r="J1042">
            <v>11833</v>
          </cell>
        </row>
        <row r="1042">
          <cell r="L1042">
            <v>46034</v>
          </cell>
          <cell r="M1042">
            <v>46040</v>
          </cell>
        </row>
        <row r="1043">
          <cell r="A1043">
            <v>3855</v>
          </cell>
        </row>
        <row r="1043">
          <cell r="C1043" t="str">
            <v>张潇</v>
          </cell>
          <cell r="D1043" t="str">
            <v>车身外扩件</v>
          </cell>
        </row>
        <row r="1043">
          <cell r="I1043" t="str">
            <v>拓展品</v>
          </cell>
          <cell r="J1043">
            <v>11683</v>
          </cell>
        </row>
        <row r="1043">
          <cell r="L1043">
            <v>46041</v>
          </cell>
        </row>
        <row r="1044">
          <cell r="A1044">
            <v>4181</v>
          </cell>
        </row>
        <row r="1044">
          <cell r="C1044" t="str">
            <v>张潇</v>
          </cell>
          <cell r="D1044" t="str">
            <v>车身外扩件</v>
          </cell>
        </row>
        <row r="1044">
          <cell r="I1044" t="str">
            <v>拓展品</v>
          </cell>
          <cell r="J1044">
            <v>12303</v>
          </cell>
        </row>
        <row r="1044">
          <cell r="L1044">
            <v>46044</v>
          </cell>
          <cell r="M1044">
            <v>46046</v>
          </cell>
        </row>
        <row r="1045">
          <cell r="A1045">
            <v>3517</v>
          </cell>
        </row>
        <row r="1045">
          <cell r="C1045" t="str">
            <v>张潇</v>
          </cell>
          <cell r="D1045" t="str">
            <v>车身外扩件</v>
          </cell>
        </row>
        <row r="1045">
          <cell r="I1045" t="str">
            <v>原开品</v>
          </cell>
          <cell r="J1045">
            <v>11733</v>
          </cell>
        </row>
        <row r="1045">
          <cell r="L1045">
            <v>46041</v>
          </cell>
          <cell r="M1045">
            <v>46066</v>
          </cell>
        </row>
        <row r="1046">
          <cell r="A1046">
            <v>3833</v>
          </cell>
        </row>
        <row r="1046">
          <cell r="C1046" t="str">
            <v>张潇</v>
          </cell>
          <cell r="D1046" t="str">
            <v>车身外扩件</v>
          </cell>
        </row>
        <row r="1046">
          <cell r="I1046" t="str">
            <v>原开品</v>
          </cell>
          <cell r="J1046">
            <v>11830</v>
          </cell>
        </row>
        <row r="1046">
          <cell r="L1046">
            <v>46041</v>
          </cell>
          <cell r="M1046">
            <v>46054</v>
          </cell>
        </row>
        <row r="1047">
          <cell r="A1047">
            <v>3598</v>
          </cell>
        </row>
        <row r="1047">
          <cell r="C1047" t="str">
            <v>张潇</v>
          </cell>
          <cell r="D1047" t="str">
            <v>车身外扩件</v>
          </cell>
        </row>
        <row r="1047">
          <cell r="I1047" t="str">
            <v>原开品</v>
          </cell>
          <cell r="J1047">
            <v>11751</v>
          </cell>
        </row>
        <row r="1047">
          <cell r="L1047">
            <v>46041</v>
          </cell>
          <cell r="M1047">
            <v>46043</v>
          </cell>
        </row>
        <row r="1048">
          <cell r="A1048">
            <v>3599</v>
          </cell>
        </row>
        <row r="1048">
          <cell r="C1048" t="str">
            <v>张潇</v>
          </cell>
          <cell r="D1048" t="str">
            <v>车身外扩件</v>
          </cell>
        </row>
        <row r="1048">
          <cell r="I1048" t="str">
            <v>原开品</v>
          </cell>
          <cell r="J1048">
            <v>11736</v>
          </cell>
        </row>
        <row r="1048">
          <cell r="L1048">
            <v>46042</v>
          </cell>
          <cell r="M1048">
            <v>46065</v>
          </cell>
        </row>
        <row r="1049">
          <cell r="A1049">
            <v>4547</v>
          </cell>
        </row>
        <row r="1049">
          <cell r="C1049" t="str">
            <v>张潇</v>
          </cell>
          <cell r="D1049" t="str">
            <v>车身外扩件</v>
          </cell>
        </row>
        <row r="1049">
          <cell r="I1049" t="str">
            <v>原开品</v>
          </cell>
          <cell r="J1049">
            <v>11904</v>
          </cell>
        </row>
        <row r="1049">
          <cell r="L1049">
            <v>46042</v>
          </cell>
          <cell r="M1049">
            <v>46050</v>
          </cell>
        </row>
        <row r="1050">
          <cell r="A1050">
            <v>9061</v>
          </cell>
        </row>
        <row r="1050">
          <cell r="C1050" t="str">
            <v>张潇</v>
          </cell>
          <cell r="D1050" t="str">
            <v>车身外扩件</v>
          </cell>
        </row>
        <row r="1050">
          <cell r="I1050" t="str">
            <v>拓展品</v>
          </cell>
          <cell r="J1050">
            <v>11781</v>
          </cell>
        </row>
        <row r="1050">
          <cell r="L1050">
            <v>46042</v>
          </cell>
          <cell r="M1050">
            <v>46062</v>
          </cell>
        </row>
        <row r="1051">
          <cell r="A1051">
            <v>9580</v>
          </cell>
        </row>
        <row r="1051">
          <cell r="C1051" t="str">
            <v>张潇</v>
          </cell>
          <cell r="D1051" t="str">
            <v>车身外扩件</v>
          </cell>
        </row>
        <row r="1051">
          <cell r="I1051" t="str">
            <v>拓展品</v>
          </cell>
          <cell r="J1051">
            <v>11793</v>
          </cell>
        </row>
        <row r="1051">
          <cell r="L1051">
            <v>46042</v>
          </cell>
          <cell r="M1051">
            <v>46062</v>
          </cell>
        </row>
        <row r="1052">
          <cell r="A1052">
            <v>5493</v>
          </cell>
        </row>
        <row r="1052">
          <cell r="C1052" t="str">
            <v>张潇</v>
          </cell>
          <cell r="D1052" t="str">
            <v>饰条</v>
          </cell>
        </row>
        <row r="1052">
          <cell r="I1052" t="str">
            <v>原开品</v>
          </cell>
          <cell r="J1052">
            <v>11745</v>
          </cell>
        </row>
        <row r="1052">
          <cell r="L1052">
            <v>46042</v>
          </cell>
          <cell r="M1052">
            <v>46047</v>
          </cell>
        </row>
        <row r="1053">
          <cell r="A1053">
            <v>8685</v>
          </cell>
        </row>
        <row r="1053">
          <cell r="C1053" t="str">
            <v>张潇</v>
          </cell>
          <cell r="D1053" t="str">
            <v>挡泥板</v>
          </cell>
        </row>
        <row r="1053">
          <cell r="I1053" t="str">
            <v>原开品</v>
          </cell>
          <cell r="J1053">
            <v>4310</v>
          </cell>
        </row>
        <row r="1053">
          <cell r="L1053">
            <v>46042</v>
          </cell>
          <cell r="M1053">
            <v>46047</v>
          </cell>
        </row>
        <row r="1054">
          <cell r="A1054">
            <v>8749</v>
          </cell>
        </row>
        <row r="1054">
          <cell r="C1054" t="str">
            <v>张潇</v>
          </cell>
          <cell r="D1054" t="str">
            <v>牌照板支架</v>
          </cell>
        </row>
        <row r="1054">
          <cell r="I1054" t="str">
            <v>原开品</v>
          </cell>
          <cell r="J1054">
            <v>11777</v>
          </cell>
        </row>
        <row r="1054">
          <cell r="L1054">
            <v>46042</v>
          </cell>
          <cell r="M1054">
            <v>46065</v>
          </cell>
        </row>
        <row r="1055">
          <cell r="A1055">
            <v>8879</v>
          </cell>
        </row>
        <row r="1055">
          <cell r="C1055" t="str">
            <v>张潇</v>
          </cell>
          <cell r="D1055" t="str">
            <v>牌照板支架</v>
          </cell>
        </row>
        <row r="1055">
          <cell r="I1055" t="str">
            <v>拓展品</v>
          </cell>
          <cell r="J1055">
            <v>11792</v>
          </cell>
        </row>
        <row r="1055">
          <cell r="L1055">
            <v>46042</v>
          </cell>
          <cell r="M1055">
            <v>46051</v>
          </cell>
        </row>
        <row r="1056">
          <cell r="A1056">
            <v>8961</v>
          </cell>
        </row>
        <row r="1056">
          <cell r="C1056" t="str">
            <v>张潇</v>
          </cell>
          <cell r="D1056" t="str">
            <v>挡泥板</v>
          </cell>
        </row>
        <row r="1056">
          <cell r="I1056" t="str">
            <v>拓展品</v>
          </cell>
          <cell r="J1056">
            <v>11780</v>
          </cell>
        </row>
        <row r="1056">
          <cell r="L1056">
            <v>46042</v>
          </cell>
          <cell r="M1056">
            <v>46044</v>
          </cell>
        </row>
        <row r="1057">
          <cell r="A1057">
            <v>424</v>
          </cell>
        </row>
        <row r="1057">
          <cell r="C1057" t="str">
            <v>张潇</v>
          </cell>
          <cell r="D1057" t="str">
            <v>挡泥板</v>
          </cell>
        </row>
        <row r="1057">
          <cell r="I1057" t="str">
            <v>拓展品</v>
          </cell>
          <cell r="J1057">
            <v>11682</v>
          </cell>
        </row>
        <row r="1057">
          <cell r="L1057">
            <v>46042</v>
          </cell>
          <cell r="M1057">
            <v>46052</v>
          </cell>
        </row>
        <row r="1058">
          <cell r="A1058">
            <v>9063</v>
          </cell>
        </row>
        <row r="1058">
          <cell r="C1058" t="str">
            <v>张潇</v>
          </cell>
          <cell r="D1058" t="str">
            <v>挡泥板</v>
          </cell>
        </row>
        <row r="1058">
          <cell r="I1058" t="str">
            <v>原开品</v>
          </cell>
          <cell r="J1058">
            <v>11778</v>
          </cell>
        </row>
        <row r="1058">
          <cell r="L1058">
            <v>46042</v>
          </cell>
          <cell r="M1058">
            <v>46095</v>
          </cell>
        </row>
        <row r="1059">
          <cell r="A1059">
            <v>9066</v>
          </cell>
        </row>
        <row r="1059">
          <cell r="C1059" t="str">
            <v>张潇</v>
          </cell>
          <cell r="D1059" t="str">
            <v>挡泥板</v>
          </cell>
        </row>
        <row r="1059">
          <cell r="I1059" t="str">
            <v>拓展品</v>
          </cell>
          <cell r="J1059">
            <v>11756</v>
          </cell>
        </row>
        <row r="1059">
          <cell r="L1059">
            <v>46043</v>
          </cell>
          <cell r="M1059">
            <v>46059</v>
          </cell>
        </row>
        <row r="1060">
          <cell r="A1060">
            <v>9307</v>
          </cell>
        </row>
        <row r="1060">
          <cell r="C1060" t="str">
            <v>张潇</v>
          </cell>
          <cell r="D1060" t="str">
            <v>挡泥板</v>
          </cell>
        </row>
        <row r="1060">
          <cell r="I1060" t="str">
            <v>拓展品</v>
          </cell>
          <cell r="J1060">
            <v>11757</v>
          </cell>
        </row>
        <row r="1060">
          <cell r="L1060">
            <v>46043</v>
          </cell>
          <cell r="M1060">
            <v>46045</v>
          </cell>
        </row>
        <row r="1061">
          <cell r="A1061">
            <v>5542</v>
          </cell>
        </row>
        <row r="1061">
          <cell r="C1061" t="str">
            <v>张潇</v>
          </cell>
          <cell r="D1061" t="str">
            <v>车门系统</v>
          </cell>
        </row>
        <row r="1061">
          <cell r="I1061" t="str">
            <v>原开品</v>
          </cell>
          <cell r="J1061">
            <v>11758</v>
          </cell>
        </row>
        <row r="1061">
          <cell r="L1061">
            <v>46043</v>
          </cell>
          <cell r="M1061">
            <v>46044</v>
          </cell>
        </row>
        <row r="1062">
          <cell r="A1062">
            <v>651</v>
          </cell>
        </row>
        <row r="1062">
          <cell r="C1062" t="str">
            <v>张潇</v>
          </cell>
          <cell r="D1062" t="str">
            <v>牌照板支架</v>
          </cell>
        </row>
        <row r="1062">
          <cell r="I1062" t="str">
            <v>拓展品</v>
          </cell>
          <cell r="J1062">
            <v>11808</v>
          </cell>
        </row>
        <row r="1062">
          <cell r="L1062">
            <v>46043</v>
          </cell>
          <cell r="M1062">
            <v>46069</v>
          </cell>
        </row>
        <row r="1063">
          <cell r="A1063">
            <v>3379</v>
          </cell>
        </row>
        <row r="1063">
          <cell r="C1063" t="str">
            <v>朱培源</v>
          </cell>
          <cell r="D1063" t="str">
            <v>软顶</v>
          </cell>
        </row>
        <row r="1063">
          <cell r="I1063" t="str">
            <v>原开品</v>
          </cell>
          <cell r="J1063">
            <v>11809</v>
          </cell>
        </row>
        <row r="1063">
          <cell r="L1063">
            <v>46043</v>
          </cell>
          <cell r="M1063">
            <v>46043</v>
          </cell>
        </row>
        <row r="1064">
          <cell r="A1064">
            <v>922</v>
          </cell>
        </row>
        <row r="1064">
          <cell r="C1064" t="str">
            <v>张潇</v>
          </cell>
          <cell r="D1064" t="str">
            <v>牌照板支架</v>
          </cell>
        </row>
        <row r="1064">
          <cell r="I1064" t="str">
            <v>原开品</v>
          </cell>
          <cell r="J1064">
            <v>11823</v>
          </cell>
        </row>
        <row r="1064">
          <cell r="L1064">
            <v>46043</v>
          </cell>
          <cell r="M1064">
            <v>46045</v>
          </cell>
        </row>
        <row r="1065">
          <cell r="A1065">
            <v>1014</v>
          </cell>
        </row>
        <row r="1065">
          <cell r="C1065" t="str">
            <v>张潇</v>
          </cell>
          <cell r="D1065" t="str">
            <v>车身外扩件</v>
          </cell>
        </row>
        <row r="1065">
          <cell r="I1065" t="str">
            <v>原开品</v>
          </cell>
          <cell r="J1065">
            <v>11814</v>
          </cell>
        </row>
        <row r="1065">
          <cell r="L1065">
            <v>46043</v>
          </cell>
          <cell r="M1065">
            <v>46066</v>
          </cell>
        </row>
        <row r="1066">
          <cell r="A1066">
            <v>944</v>
          </cell>
        </row>
        <row r="1066">
          <cell r="C1066" t="str">
            <v>张潇</v>
          </cell>
          <cell r="D1066" t="str">
            <v>机盖及附件</v>
          </cell>
        </row>
        <row r="1066">
          <cell r="I1066" t="str">
            <v>原开品</v>
          </cell>
          <cell r="J1066">
            <v>11815</v>
          </cell>
        </row>
        <row r="1066">
          <cell r="L1066">
            <v>46043</v>
          </cell>
          <cell r="M1066">
            <v>46083</v>
          </cell>
        </row>
        <row r="1067">
          <cell r="A1067">
            <v>1642</v>
          </cell>
        </row>
        <row r="1067">
          <cell r="C1067" t="str">
            <v>张潇</v>
          </cell>
          <cell r="D1067" t="str">
            <v>车身外扩件</v>
          </cell>
        </row>
        <row r="1067">
          <cell r="I1067" t="str">
            <v>原开品</v>
          </cell>
          <cell r="J1067">
            <v>11824</v>
          </cell>
        </row>
        <row r="1067">
          <cell r="L1067">
            <v>46043</v>
          </cell>
          <cell r="M1067">
            <v>46046</v>
          </cell>
        </row>
        <row r="1068">
          <cell r="A1068">
            <v>1689</v>
          </cell>
        </row>
        <row r="1068">
          <cell r="C1068" t="str">
            <v>张潇</v>
          </cell>
          <cell r="D1068" t="str">
            <v>车身外扩件</v>
          </cell>
        </row>
        <row r="1068">
          <cell r="I1068" t="str">
            <v>原开品</v>
          </cell>
          <cell r="J1068">
            <v>11855</v>
          </cell>
        </row>
        <row r="1068">
          <cell r="L1068">
            <v>46043</v>
          </cell>
          <cell r="M1068">
            <v>46072</v>
          </cell>
        </row>
        <row r="1069">
          <cell r="A1069">
            <v>409</v>
          </cell>
        </row>
        <row r="1069">
          <cell r="C1069" t="str">
            <v>张潇</v>
          </cell>
          <cell r="D1069" t="str">
            <v>车门系统</v>
          </cell>
        </row>
        <row r="1069">
          <cell r="I1069" t="str">
            <v>拓展品</v>
          </cell>
          <cell r="J1069">
            <v>11856</v>
          </cell>
        </row>
        <row r="1069">
          <cell r="L1069">
            <v>46043</v>
          </cell>
          <cell r="M1069">
            <v>46076</v>
          </cell>
        </row>
        <row r="1070">
          <cell r="A1070">
            <v>1290</v>
          </cell>
        </row>
        <row r="1070">
          <cell r="C1070" t="str">
            <v>张潇</v>
          </cell>
          <cell r="D1070" t="str">
            <v>挡泥板</v>
          </cell>
        </row>
        <row r="1070">
          <cell r="I1070" t="str">
            <v>拓展品</v>
          </cell>
          <cell r="J1070">
            <v>11857</v>
          </cell>
        </row>
        <row r="1070">
          <cell r="L1070">
            <v>46043</v>
          </cell>
          <cell r="M1070">
            <v>46087</v>
          </cell>
        </row>
        <row r="1071">
          <cell r="A1071">
            <v>4657</v>
          </cell>
        </row>
        <row r="1071">
          <cell r="C1071" t="str">
            <v>张潇</v>
          </cell>
          <cell r="D1071" t="str">
            <v>挡泥板</v>
          </cell>
        </row>
        <row r="1071">
          <cell r="I1071" t="str">
            <v>原开品</v>
          </cell>
          <cell r="J1071">
            <v>11933</v>
          </cell>
        </row>
        <row r="1071">
          <cell r="L1071">
            <v>46047</v>
          </cell>
          <cell r="M1071">
            <v>46085</v>
          </cell>
        </row>
        <row r="1072">
          <cell r="A1072">
            <v>3871</v>
          </cell>
        </row>
        <row r="1072">
          <cell r="C1072" t="str">
            <v>张潇</v>
          </cell>
          <cell r="D1072" t="str">
            <v>车门系统</v>
          </cell>
        </row>
        <row r="1072">
          <cell r="I1072" t="str">
            <v>原开品</v>
          </cell>
          <cell r="J1072">
            <v>11884</v>
          </cell>
        </row>
        <row r="1072">
          <cell r="L1072">
            <v>46050</v>
          </cell>
        </row>
        <row r="1073">
          <cell r="A1073">
            <v>1296</v>
          </cell>
        </row>
        <row r="1073">
          <cell r="C1073" t="str">
            <v>张潇</v>
          </cell>
          <cell r="D1073" t="str">
            <v>牌照板支架</v>
          </cell>
        </row>
        <row r="1073">
          <cell r="I1073" t="str">
            <v>拓展品</v>
          </cell>
          <cell r="J1073">
            <v>11885</v>
          </cell>
        </row>
        <row r="1073">
          <cell r="L1073">
            <v>46050</v>
          </cell>
        </row>
        <row r="1074">
          <cell r="A1074">
            <v>5690</v>
          </cell>
        </row>
        <row r="1074">
          <cell r="C1074" t="str">
            <v>张潇</v>
          </cell>
          <cell r="D1074" t="str">
            <v>车门系统</v>
          </cell>
        </row>
        <row r="1074">
          <cell r="I1074" t="str">
            <v>原开品</v>
          </cell>
          <cell r="J1074">
            <v>11839</v>
          </cell>
        </row>
        <row r="1074">
          <cell r="L1074">
            <v>46050</v>
          </cell>
          <cell r="M1074">
            <v>46056</v>
          </cell>
        </row>
        <row r="1075">
          <cell r="A1075">
            <v>1424</v>
          </cell>
        </row>
        <row r="1075">
          <cell r="C1075" t="str">
            <v>张潇</v>
          </cell>
          <cell r="D1075" t="str">
            <v>其他</v>
          </cell>
        </row>
        <row r="1075">
          <cell r="I1075" t="str">
            <v>原开品</v>
          </cell>
          <cell r="J1075">
            <v>11840</v>
          </cell>
        </row>
        <row r="1075">
          <cell r="L1075">
            <v>46050</v>
          </cell>
          <cell r="M1075">
            <v>46058</v>
          </cell>
        </row>
        <row r="1076">
          <cell r="A1076">
            <v>2481</v>
          </cell>
        </row>
        <row r="1076">
          <cell r="C1076" t="str">
            <v>张潇</v>
          </cell>
          <cell r="D1076" t="str">
            <v>车门系统</v>
          </cell>
        </row>
        <row r="1076">
          <cell r="I1076" t="str">
            <v>原开品</v>
          </cell>
          <cell r="J1076">
            <v>11794</v>
          </cell>
        </row>
        <row r="1076">
          <cell r="L1076">
            <v>46050</v>
          </cell>
          <cell r="M1076">
            <v>46052</v>
          </cell>
        </row>
        <row r="1077">
          <cell r="A1077">
            <v>322</v>
          </cell>
        </row>
        <row r="1077">
          <cell r="C1077" t="str">
            <v>张潇</v>
          </cell>
          <cell r="D1077" t="str">
            <v>机盖及附件</v>
          </cell>
        </row>
        <row r="1077">
          <cell r="I1077" t="str">
            <v>原开品</v>
          </cell>
          <cell r="J1077">
            <v>11866</v>
          </cell>
        </row>
        <row r="1077">
          <cell r="L1077">
            <v>46050</v>
          </cell>
          <cell r="M1077">
            <v>46070</v>
          </cell>
        </row>
        <row r="1078">
          <cell r="A1078">
            <v>481</v>
          </cell>
        </row>
        <row r="1078">
          <cell r="C1078" t="str">
            <v>张潇</v>
          </cell>
          <cell r="D1078" t="str">
            <v>车身外扩件</v>
          </cell>
        </row>
        <row r="1078">
          <cell r="I1078" t="str">
            <v>原开品</v>
          </cell>
          <cell r="J1078">
            <v>11867</v>
          </cell>
        </row>
        <row r="1078">
          <cell r="L1078">
            <v>46050</v>
          </cell>
          <cell r="M1078">
            <v>46068</v>
          </cell>
        </row>
        <row r="1079">
          <cell r="A1079">
            <v>634</v>
          </cell>
        </row>
        <row r="1079">
          <cell r="C1079" t="str">
            <v>张潇</v>
          </cell>
          <cell r="D1079" t="str">
            <v>车门系统</v>
          </cell>
        </row>
        <row r="1079">
          <cell r="I1079" t="str">
            <v>原开品</v>
          </cell>
          <cell r="J1079">
            <v>11826</v>
          </cell>
        </row>
        <row r="1079">
          <cell r="L1079">
            <v>46051</v>
          </cell>
          <cell r="M1079">
            <v>46065</v>
          </cell>
        </row>
        <row r="1080">
          <cell r="A1080">
            <v>636</v>
          </cell>
        </row>
        <row r="1080">
          <cell r="C1080" t="str">
            <v>张潇</v>
          </cell>
          <cell r="D1080" t="str">
            <v>车门系统</v>
          </cell>
        </row>
        <row r="1080">
          <cell r="I1080" t="str">
            <v>拓展品</v>
          </cell>
          <cell r="J1080">
            <v>11876</v>
          </cell>
        </row>
        <row r="1080">
          <cell r="L1080">
            <v>46051</v>
          </cell>
          <cell r="M1080">
            <v>46087</v>
          </cell>
        </row>
        <row r="1081">
          <cell r="A1081">
            <v>657</v>
          </cell>
        </row>
        <row r="1081">
          <cell r="C1081" t="str">
            <v>张潇</v>
          </cell>
          <cell r="D1081" t="str">
            <v>车门系统</v>
          </cell>
        </row>
        <row r="1081">
          <cell r="I1081" t="str">
            <v>拓展品</v>
          </cell>
          <cell r="J1081">
            <v>11936</v>
          </cell>
        </row>
        <row r="1081">
          <cell r="L1081">
            <v>46051</v>
          </cell>
          <cell r="M1081">
            <v>46056</v>
          </cell>
        </row>
        <row r="1082">
          <cell r="A1082">
            <v>567</v>
          </cell>
        </row>
        <row r="1082">
          <cell r="C1082" t="str">
            <v>张潇</v>
          </cell>
          <cell r="D1082" t="str">
            <v>车门系统</v>
          </cell>
        </row>
        <row r="1082">
          <cell r="I1082" t="str">
            <v>拓展品</v>
          </cell>
          <cell r="J1082">
            <v>11937</v>
          </cell>
        </row>
        <row r="1082">
          <cell r="L1082">
            <v>46051</v>
          </cell>
          <cell r="M1082">
            <v>46064</v>
          </cell>
        </row>
        <row r="1083">
          <cell r="A1083">
            <v>1007</v>
          </cell>
        </row>
        <row r="1083">
          <cell r="C1083" t="str">
            <v>张潇</v>
          </cell>
          <cell r="D1083" t="str">
            <v>车身外扩件</v>
          </cell>
        </row>
        <row r="1083">
          <cell r="I1083" t="str">
            <v>原开品</v>
          </cell>
          <cell r="J1083">
            <v>11874</v>
          </cell>
        </row>
        <row r="1083">
          <cell r="L1083">
            <v>46051</v>
          </cell>
          <cell r="M1083">
            <v>46054</v>
          </cell>
        </row>
        <row r="1084">
          <cell r="A1084">
            <v>1009</v>
          </cell>
        </row>
        <row r="1084">
          <cell r="C1084" t="str">
            <v>张潇</v>
          </cell>
          <cell r="D1084" t="str">
            <v>车身外扩件</v>
          </cell>
        </row>
        <row r="1084">
          <cell r="I1084" t="str">
            <v>原开品</v>
          </cell>
          <cell r="J1084">
            <v>11925</v>
          </cell>
        </row>
        <row r="1084">
          <cell r="L1084">
            <v>46051</v>
          </cell>
          <cell r="M1084">
            <v>46052</v>
          </cell>
        </row>
        <row r="1085">
          <cell r="A1085">
            <v>1050</v>
          </cell>
        </row>
        <row r="1085">
          <cell r="C1085" t="str">
            <v>张潇</v>
          </cell>
          <cell r="D1085" t="str">
            <v>雨刮罩</v>
          </cell>
        </row>
        <row r="1085">
          <cell r="I1085" t="str">
            <v>原开品</v>
          </cell>
          <cell r="J1085">
            <v>11852</v>
          </cell>
        </row>
        <row r="1085">
          <cell r="L1085">
            <v>46051</v>
          </cell>
          <cell r="M1085">
            <v>46064</v>
          </cell>
        </row>
        <row r="1086">
          <cell r="A1086">
            <v>3376</v>
          </cell>
        </row>
        <row r="1086">
          <cell r="C1086" t="str">
            <v>张潇</v>
          </cell>
          <cell r="D1086" t="str">
            <v>牌照板支架</v>
          </cell>
        </row>
        <row r="1086">
          <cell r="I1086" t="str">
            <v>组合件</v>
          </cell>
          <cell r="J1086">
            <v>12359</v>
          </cell>
        </row>
        <row r="1086">
          <cell r="L1086">
            <v>46056</v>
          </cell>
          <cell r="M1086">
            <v>46062</v>
          </cell>
        </row>
        <row r="1087">
          <cell r="A1087">
            <v>1307</v>
          </cell>
        </row>
        <row r="1087">
          <cell r="C1087" t="str">
            <v>张潇</v>
          </cell>
          <cell r="D1087" t="str">
            <v>车门系统</v>
          </cell>
        </row>
        <row r="1087">
          <cell r="I1087" t="str">
            <v>拓展品</v>
          </cell>
          <cell r="J1087">
            <v>11921</v>
          </cell>
        </row>
        <row r="1087">
          <cell r="L1087">
            <v>46056</v>
          </cell>
          <cell r="M1087">
            <v>46057</v>
          </cell>
        </row>
        <row r="1088">
          <cell r="A1088">
            <v>1585</v>
          </cell>
        </row>
        <row r="1088">
          <cell r="C1088" t="str">
            <v>张潇</v>
          </cell>
          <cell r="D1088" t="str">
            <v>雨刮罩</v>
          </cell>
        </row>
        <row r="1088">
          <cell r="I1088" t="str">
            <v>拓展品</v>
          </cell>
          <cell r="J1088">
            <v>11922</v>
          </cell>
        </row>
        <row r="1088">
          <cell r="L1088">
            <v>46056</v>
          </cell>
          <cell r="M1088">
            <v>46058</v>
          </cell>
        </row>
        <row r="1089">
          <cell r="A1089">
            <v>1717</v>
          </cell>
        </row>
        <row r="1089">
          <cell r="C1089" t="str">
            <v>张潇</v>
          </cell>
          <cell r="D1089" t="str">
            <v>车身外扩件</v>
          </cell>
        </row>
        <row r="1089">
          <cell r="I1089" t="str">
            <v>拓展品</v>
          </cell>
          <cell r="J1089">
            <v>11923</v>
          </cell>
        </row>
        <row r="1089">
          <cell r="L1089">
            <v>46056</v>
          </cell>
          <cell r="M1089">
            <v>46058</v>
          </cell>
        </row>
        <row r="1090">
          <cell r="A1090">
            <v>434</v>
          </cell>
        </row>
        <row r="1090">
          <cell r="C1090" t="str">
            <v>张潇</v>
          </cell>
          <cell r="D1090" t="str">
            <v>车身外扩件</v>
          </cell>
        </row>
        <row r="1090">
          <cell r="I1090" t="str">
            <v>原开品</v>
          </cell>
          <cell r="J1090">
            <v>11927</v>
          </cell>
        </row>
        <row r="1090">
          <cell r="L1090">
            <v>46056</v>
          </cell>
          <cell r="M1090">
            <v>46067</v>
          </cell>
        </row>
        <row r="1091">
          <cell r="A1091">
            <v>1775</v>
          </cell>
        </row>
        <row r="1091">
          <cell r="C1091" t="str">
            <v>张潇</v>
          </cell>
          <cell r="D1091" t="str">
            <v>车身外扩件</v>
          </cell>
        </row>
        <row r="1091">
          <cell r="I1091" t="str">
            <v>拓展品</v>
          </cell>
          <cell r="J1091">
            <v>11928</v>
          </cell>
        </row>
        <row r="1091">
          <cell r="L1091">
            <v>46056</v>
          </cell>
          <cell r="M1091">
            <v>46095</v>
          </cell>
        </row>
        <row r="1092">
          <cell r="A1092">
            <v>3651</v>
          </cell>
        </row>
        <row r="1092">
          <cell r="C1092" t="str">
            <v>张潇</v>
          </cell>
          <cell r="D1092" t="str">
            <v>车身外扩件</v>
          </cell>
        </row>
        <row r="1092">
          <cell r="I1092" t="str">
            <v>原开品</v>
          </cell>
          <cell r="J1092">
            <v>11926</v>
          </cell>
        </row>
        <row r="1092">
          <cell r="L1092">
            <v>46062</v>
          </cell>
          <cell r="M1092">
            <v>46063</v>
          </cell>
        </row>
        <row r="1093">
          <cell r="A1093">
            <v>3626</v>
          </cell>
        </row>
        <row r="1093">
          <cell r="C1093" t="str">
            <v>张潇</v>
          </cell>
          <cell r="D1093" t="str">
            <v>车身外扩件</v>
          </cell>
        </row>
        <row r="1093">
          <cell r="I1093" t="str">
            <v>拓展品</v>
          </cell>
          <cell r="J1093">
            <v>11998</v>
          </cell>
        </row>
        <row r="1093">
          <cell r="L1093">
            <v>46062</v>
          </cell>
          <cell r="M1093">
            <v>46068</v>
          </cell>
        </row>
        <row r="1094">
          <cell r="A1094">
            <v>3901</v>
          </cell>
        </row>
        <row r="1094">
          <cell r="C1094" t="str">
            <v>张潇</v>
          </cell>
          <cell r="D1094" t="str">
            <v>车身外扩件</v>
          </cell>
        </row>
        <row r="1094">
          <cell r="I1094" t="str">
            <v>原开品</v>
          </cell>
          <cell r="J1094">
            <v>11929</v>
          </cell>
        </row>
        <row r="1094">
          <cell r="L1094">
            <v>46062</v>
          </cell>
          <cell r="M1094">
            <v>46066</v>
          </cell>
        </row>
        <row r="1095">
          <cell r="A1095">
            <v>5007</v>
          </cell>
        </row>
        <row r="1095">
          <cell r="C1095" t="str">
            <v>张潇</v>
          </cell>
          <cell r="D1095" t="str">
            <v>车身外扩件</v>
          </cell>
        </row>
        <row r="1095">
          <cell r="I1095" t="str">
            <v>原开品</v>
          </cell>
          <cell r="J1095">
            <v>12000</v>
          </cell>
        </row>
        <row r="1095">
          <cell r="L1095">
            <v>46062</v>
          </cell>
          <cell r="M1095">
            <v>46064</v>
          </cell>
        </row>
        <row r="1096">
          <cell r="A1096">
            <v>3794</v>
          </cell>
        </row>
        <row r="1096">
          <cell r="C1096" t="str">
            <v>张潇</v>
          </cell>
          <cell r="D1096" t="str">
            <v>车身外扩件</v>
          </cell>
        </row>
        <row r="1096">
          <cell r="I1096" t="str">
            <v>拓展品</v>
          </cell>
          <cell r="J1096">
            <v>12061</v>
          </cell>
        </row>
        <row r="1096">
          <cell r="L1096">
            <v>46062</v>
          </cell>
          <cell r="M1096">
            <v>46068</v>
          </cell>
        </row>
        <row r="1097">
          <cell r="A1097">
            <v>4056</v>
          </cell>
        </row>
        <row r="1097">
          <cell r="C1097" t="str">
            <v>张潇</v>
          </cell>
          <cell r="D1097" t="str">
            <v>车身外扩件</v>
          </cell>
        </row>
        <row r="1097">
          <cell r="I1097" t="str">
            <v>原开品</v>
          </cell>
          <cell r="J1097">
            <v>11990</v>
          </cell>
        </row>
        <row r="1097">
          <cell r="L1097">
            <v>46062</v>
          </cell>
          <cell r="M1097">
            <v>46117</v>
          </cell>
        </row>
        <row r="1098">
          <cell r="A1098">
            <v>4483</v>
          </cell>
        </row>
        <row r="1098">
          <cell r="C1098" t="str">
            <v>张潇</v>
          </cell>
          <cell r="D1098" t="str">
            <v>车身外扩件</v>
          </cell>
        </row>
        <row r="1098">
          <cell r="I1098" t="str">
            <v>拓展品</v>
          </cell>
          <cell r="J1098">
            <v>11991</v>
          </cell>
        </row>
        <row r="1098">
          <cell r="L1098">
            <v>46062</v>
          </cell>
          <cell r="M1098">
            <v>46093</v>
          </cell>
        </row>
        <row r="1099">
          <cell r="A1099">
            <v>4802</v>
          </cell>
        </row>
        <row r="1099">
          <cell r="C1099" t="str">
            <v>张潇</v>
          </cell>
          <cell r="D1099" t="str">
            <v>车门系统</v>
          </cell>
        </row>
        <row r="1099">
          <cell r="I1099" t="str">
            <v>原开品</v>
          </cell>
          <cell r="J1099">
            <v>11981</v>
          </cell>
        </row>
        <row r="1099">
          <cell r="L1099">
            <v>46066</v>
          </cell>
          <cell r="M1099">
            <v>46071</v>
          </cell>
        </row>
        <row r="1100">
          <cell r="A1100">
            <v>4613</v>
          </cell>
        </row>
        <row r="1100">
          <cell r="C1100" t="str">
            <v>张潇</v>
          </cell>
          <cell r="D1100" t="str">
            <v>雨刮罩</v>
          </cell>
        </row>
        <row r="1100">
          <cell r="I1100" t="str">
            <v>拓展品</v>
          </cell>
          <cell r="J1100">
            <v>11890</v>
          </cell>
        </row>
        <row r="1100">
          <cell r="L1100">
            <v>46066</v>
          </cell>
          <cell r="M1100">
            <v>46079</v>
          </cell>
        </row>
        <row r="1101">
          <cell r="A1101">
            <v>4536</v>
          </cell>
        </row>
        <row r="1101">
          <cell r="C1101" t="str">
            <v>张潇</v>
          </cell>
          <cell r="D1101" t="str">
            <v>车身外扩件</v>
          </cell>
        </row>
        <row r="1101">
          <cell r="I1101" t="str">
            <v>原开品</v>
          </cell>
          <cell r="J1101">
            <v>11989</v>
          </cell>
        </row>
        <row r="1101">
          <cell r="L1101">
            <v>46066</v>
          </cell>
          <cell r="M1101">
            <v>46072</v>
          </cell>
        </row>
        <row r="1102">
          <cell r="A1102">
            <v>6267</v>
          </cell>
        </row>
        <row r="1102">
          <cell r="C1102" t="str">
            <v>张潇</v>
          </cell>
          <cell r="D1102" t="str">
            <v>车身外扩件</v>
          </cell>
        </row>
        <row r="1102">
          <cell r="I1102" t="str">
            <v>拓展品</v>
          </cell>
          <cell r="J1102">
            <v>12088</v>
          </cell>
        </row>
        <row r="1102">
          <cell r="L1102">
            <v>46066</v>
          </cell>
          <cell r="M1102">
            <v>46068</v>
          </cell>
        </row>
        <row r="1103">
          <cell r="A1103">
            <v>6027</v>
          </cell>
        </row>
        <row r="1103">
          <cell r="C1103" t="str">
            <v>张潇</v>
          </cell>
          <cell r="D1103" t="str">
            <v>车门系统</v>
          </cell>
        </row>
        <row r="1103">
          <cell r="I1103" t="str">
            <v>拓展品</v>
          </cell>
          <cell r="J1103">
            <v>12089</v>
          </cell>
        </row>
        <row r="1103">
          <cell r="L1103">
            <v>46066</v>
          </cell>
          <cell r="M1103">
            <v>46070</v>
          </cell>
        </row>
        <row r="1104">
          <cell r="A1104">
            <v>5958</v>
          </cell>
        </row>
        <row r="1104">
          <cell r="C1104" t="str">
            <v>张潇</v>
          </cell>
          <cell r="D1104" t="str">
            <v>车门系统</v>
          </cell>
        </row>
        <row r="1104">
          <cell r="I1104" t="str">
            <v>原开品</v>
          </cell>
          <cell r="J1104">
            <v>12002</v>
          </cell>
        </row>
        <row r="1104">
          <cell r="L1104">
            <v>46066</v>
          </cell>
          <cell r="M1104">
            <v>46084</v>
          </cell>
        </row>
        <row r="1105">
          <cell r="A1105">
            <v>5993</v>
          </cell>
        </row>
        <row r="1105">
          <cell r="C1105" t="str">
            <v>张潇</v>
          </cell>
          <cell r="D1105" t="str">
            <v>车门系统</v>
          </cell>
        </row>
        <row r="1105">
          <cell r="I1105" t="str">
            <v>拓展品</v>
          </cell>
          <cell r="J1105">
            <v>11938</v>
          </cell>
        </row>
        <row r="1105">
          <cell r="L1105">
            <v>46066</v>
          </cell>
          <cell r="M1105">
            <v>46114</v>
          </cell>
        </row>
        <row r="1106">
          <cell r="A1106">
            <v>4272</v>
          </cell>
        </row>
        <row r="1106">
          <cell r="C1106" t="str">
            <v>张潇</v>
          </cell>
          <cell r="D1106" t="str">
            <v>其他</v>
          </cell>
        </row>
        <row r="1106">
          <cell r="I1106" t="str">
            <v>原开品</v>
          </cell>
          <cell r="J1106">
            <v>12005</v>
          </cell>
        </row>
        <row r="1106">
          <cell r="L1106">
            <v>46066</v>
          </cell>
          <cell r="M1106">
            <v>46077</v>
          </cell>
        </row>
        <row r="1107">
          <cell r="A1107">
            <v>5618</v>
          </cell>
        </row>
        <row r="1107">
          <cell r="C1107" t="str">
            <v>张潇</v>
          </cell>
          <cell r="D1107" t="str">
            <v>车门系统</v>
          </cell>
        </row>
        <row r="1107">
          <cell r="I1107" t="str">
            <v>原开品</v>
          </cell>
          <cell r="J1107">
            <v>12006</v>
          </cell>
        </row>
        <row r="1107">
          <cell r="L1107">
            <v>46066</v>
          </cell>
          <cell r="M1107">
            <v>46070</v>
          </cell>
        </row>
        <row r="1108">
          <cell r="A1108">
            <v>5619</v>
          </cell>
        </row>
        <row r="1108">
          <cell r="C1108" t="str">
            <v>张潇</v>
          </cell>
          <cell r="D1108" t="str">
            <v>车门系统</v>
          </cell>
        </row>
        <row r="1108">
          <cell r="I1108" t="str">
            <v>原开品</v>
          </cell>
          <cell r="J1108">
            <v>12011</v>
          </cell>
        </row>
        <row r="1108">
          <cell r="L1108">
            <v>46066</v>
          </cell>
          <cell r="M1108">
            <v>46071</v>
          </cell>
        </row>
        <row r="1109">
          <cell r="A1109">
            <v>7242</v>
          </cell>
        </row>
        <row r="1109">
          <cell r="C1109" t="str">
            <v>张潇</v>
          </cell>
          <cell r="D1109" t="str">
            <v>雨刮罩</v>
          </cell>
        </row>
        <row r="1109">
          <cell r="I1109" t="str">
            <v>原开品</v>
          </cell>
          <cell r="J1109">
            <v>12021</v>
          </cell>
        </row>
        <row r="1109">
          <cell r="L1109">
            <v>46066</v>
          </cell>
          <cell r="M1109">
            <v>46069</v>
          </cell>
        </row>
        <row r="1110">
          <cell r="A1110">
            <v>6787</v>
          </cell>
        </row>
        <row r="1110">
          <cell r="C1110" t="str">
            <v>胡煜星</v>
          </cell>
          <cell r="D1110" t="str">
            <v>车门系统</v>
          </cell>
        </row>
        <row r="1110">
          <cell r="I1110" t="str">
            <v>原开品</v>
          </cell>
          <cell r="J1110">
            <v>12023</v>
          </cell>
        </row>
        <row r="1110">
          <cell r="L1110">
            <v>46066</v>
          </cell>
          <cell r="M1110">
            <v>46113</v>
          </cell>
        </row>
        <row r="1111">
          <cell r="A1111">
            <v>7686</v>
          </cell>
        </row>
        <row r="1111">
          <cell r="C1111" t="str">
            <v>张潇</v>
          </cell>
          <cell r="D1111" t="str">
            <v>机盖及附件</v>
          </cell>
        </row>
        <row r="1111">
          <cell r="I1111" t="str">
            <v>原开品</v>
          </cell>
          <cell r="J1111">
            <v>12058</v>
          </cell>
        </row>
        <row r="1111">
          <cell r="L1111">
            <v>46070</v>
          </cell>
          <cell r="M1111">
            <v>46086</v>
          </cell>
        </row>
        <row r="1112">
          <cell r="A1112">
            <v>7443</v>
          </cell>
        </row>
        <row r="1112">
          <cell r="C1112" t="str">
            <v>张潇</v>
          </cell>
          <cell r="D1112" t="str">
            <v>雨刮罩</v>
          </cell>
        </row>
        <row r="1112">
          <cell r="I1112" t="str">
            <v>原开品</v>
          </cell>
          <cell r="J1112">
            <v>12059</v>
          </cell>
        </row>
        <row r="1112">
          <cell r="L1112">
            <v>46070</v>
          </cell>
          <cell r="M1112">
            <v>46073</v>
          </cell>
        </row>
        <row r="1113">
          <cell r="A1113">
            <v>8354</v>
          </cell>
        </row>
        <row r="1113">
          <cell r="C1113" t="str">
            <v>张潇</v>
          </cell>
          <cell r="D1113" t="str">
            <v>雨刮罩</v>
          </cell>
        </row>
        <row r="1113">
          <cell r="I1113" t="str">
            <v>原开品</v>
          </cell>
          <cell r="J1113">
            <v>12060</v>
          </cell>
        </row>
        <row r="1113">
          <cell r="L1113">
            <v>46070</v>
          </cell>
          <cell r="M1113">
            <v>46090</v>
          </cell>
        </row>
        <row r="1114">
          <cell r="A1114">
            <v>7965</v>
          </cell>
        </row>
        <row r="1114">
          <cell r="C1114" t="str">
            <v>张潇</v>
          </cell>
          <cell r="D1114" t="str">
            <v>车身外扩件</v>
          </cell>
        </row>
        <row r="1114">
          <cell r="I1114" t="str">
            <v>原开品</v>
          </cell>
          <cell r="J1114">
            <v>12139</v>
          </cell>
        </row>
        <row r="1114">
          <cell r="L1114">
            <v>46070</v>
          </cell>
          <cell r="M1114">
            <v>46080</v>
          </cell>
        </row>
        <row r="1115">
          <cell r="A1115">
            <v>5079</v>
          </cell>
        </row>
        <row r="1115">
          <cell r="C1115" t="str">
            <v>张潇</v>
          </cell>
          <cell r="D1115" t="str">
            <v>饰条</v>
          </cell>
        </row>
        <row r="1115">
          <cell r="I1115" t="str">
            <v>原开品</v>
          </cell>
          <cell r="J1115">
            <v>12087</v>
          </cell>
        </row>
        <row r="1115">
          <cell r="L1115">
            <v>46073</v>
          </cell>
          <cell r="M1115">
            <v>46092</v>
          </cell>
        </row>
        <row r="1116">
          <cell r="A1116">
            <v>5439</v>
          </cell>
        </row>
        <row r="1116">
          <cell r="C1116" t="str">
            <v>张潇</v>
          </cell>
          <cell r="D1116" t="str">
            <v>饰条</v>
          </cell>
        </row>
        <row r="1116">
          <cell r="I1116" t="str">
            <v>原开品</v>
          </cell>
          <cell r="J1116">
            <v>12143</v>
          </cell>
        </row>
        <row r="1116">
          <cell r="L1116">
            <v>46076</v>
          </cell>
          <cell r="M1116">
            <v>46109</v>
          </cell>
        </row>
        <row r="1117">
          <cell r="A1117">
            <v>5509</v>
          </cell>
        </row>
        <row r="1117">
          <cell r="C1117" t="str">
            <v>张潇</v>
          </cell>
          <cell r="D1117" t="str">
            <v>其他</v>
          </cell>
        </row>
        <row r="1117">
          <cell r="I1117" t="str">
            <v>原开品</v>
          </cell>
          <cell r="J1117">
            <v>12079</v>
          </cell>
        </row>
        <row r="1117">
          <cell r="L1117">
            <v>46076</v>
          </cell>
          <cell r="M1117">
            <v>46085</v>
          </cell>
        </row>
        <row r="1118">
          <cell r="A1118">
            <v>357</v>
          </cell>
        </row>
        <row r="1118">
          <cell r="C1118" t="str">
            <v>张潇</v>
          </cell>
          <cell r="D1118" t="str">
            <v>挡泥板</v>
          </cell>
        </row>
        <row r="1118">
          <cell r="I1118" t="str">
            <v>原开品</v>
          </cell>
          <cell r="J1118">
            <v>12104</v>
          </cell>
        </row>
        <row r="1118">
          <cell r="L1118">
            <v>46076</v>
          </cell>
          <cell r="M1118">
            <v>46082</v>
          </cell>
        </row>
        <row r="1119">
          <cell r="A1119">
            <v>6531</v>
          </cell>
        </row>
        <row r="1119">
          <cell r="C1119" t="str">
            <v>张潇</v>
          </cell>
          <cell r="D1119" t="str">
            <v>饰条</v>
          </cell>
        </row>
        <row r="1119">
          <cell r="I1119" t="str">
            <v>拓展品</v>
          </cell>
          <cell r="J1119">
            <v>12105</v>
          </cell>
        </row>
        <row r="1119">
          <cell r="L1119">
            <v>46076</v>
          </cell>
          <cell r="M1119">
            <v>46084</v>
          </cell>
        </row>
        <row r="1120">
          <cell r="A1120">
            <v>6532</v>
          </cell>
        </row>
        <row r="1120">
          <cell r="C1120" t="str">
            <v>张潇</v>
          </cell>
          <cell r="D1120" t="str">
            <v>饰条</v>
          </cell>
        </row>
        <row r="1120">
          <cell r="I1120" t="str">
            <v>拓展品</v>
          </cell>
          <cell r="J1120">
            <v>12106</v>
          </cell>
        </row>
        <row r="1120">
          <cell r="L1120">
            <v>46076</v>
          </cell>
          <cell r="M1120">
            <v>46096</v>
          </cell>
        </row>
        <row r="1121">
          <cell r="A1121">
            <v>6977</v>
          </cell>
        </row>
        <row r="1121">
          <cell r="C1121" t="str">
            <v>张潇</v>
          </cell>
          <cell r="D1121" t="str">
            <v>饰条</v>
          </cell>
        </row>
        <row r="1121">
          <cell r="I1121" t="str">
            <v>原开品</v>
          </cell>
          <cell r="J1121">
            <v>12240</v>
          </cell>
        </row>
        <row r="1121">
          <cell r="L1121">
            <v>46081</v>
          </cell>
          <cell r="M1121">
            <v>46082</v>
          </cell>
        </row>
        <row r="1122">
          <cell r="A1122">
            <v>8350</v>
          </cell>
        </row>
        <row r="1122">
          <cell r="C1122" t="str">
            <v>张潇</v>
          </cell>
          <cell r="D1122" t="str">
            <v>挡泥板</v>
          </cell>
        </row>
        <row r="1122">
          <cell r="I1122" t="str">
            <v>原开品</v>
          </cell>
          <cell r="J1122">
            <v>12225</v>
          </cell>
        </row>
        <row r="1122">
          <cell r="L1122">
            <v>46081</v>
          </cell>
          <cell r="M1122">
            <v>46101</v>
          </cell>
        </row>
        <row r="1123">
          <cell r="A1123">
            <v>491</v>
          </cell>
        </row>
        <row r="1123">
          <cell r="C1123" t="str">
            <v>张潇</v>
          </cell>
          <cell r="D1123" t="str">
            <v>其他</v>
          </cell>
        </row>
        <row r="1123">
          <cell r="I1123" t="str">
            <v>原开品</v>
          </cell>
          <cell r="J1123">
            <v>12073</v>
          </cell>
        </row>
        <row r="1123">
          <cell r="L1123">
            <v>46085</v>
          </cell>
          <cell r="M1123">
            <v>46093</v>
          </cell>
        </row>
        <row r="1124">
          <cell r="A1124">
            <v>1212</v>
          </cell>
        </row>
        <row r="1124">
          <cell r="C1124" t="str">
            <v>张潇</v>
          </cell>
          <cell r="D1124" t="str">
            <v>机盖及附件</v>
          </cell>
        </row>
        <row r="1124">
          <cell r="I1124" t="str">
            <v>拓展品</v>
          </cell>
          <cell r="J1124">
            <v>12074</v>
          </cell>
        </row>
        <row r="1124">
          <cell r="L1124">
            <v>46085</v>
          </cell>
          <cell r="M1124">
            <v>46085</v>
          </cell>
        </row>
        <row r="1125">
          <cell r="A1125">
            <v>3900</v>
          </cell>
        </row>
        <row r="1125">
          <cell r="C1125" t="str">
            <v>张潇</v>
          </cell>
          <cell r="D1125" t="str">
            <v>车身外扩件</v>
          </cell>
        </row>
        <row r="1125">
          <cell r="I1125" t="str">
            <v>拓展品</v>
          </cell>
          <cell r="J1125">
            <v>12075</v>
          </cell>
        </row>
        <row r="1125">
          <cell r="L1125">
            <v>46085</v>
          </cell>
          <cell r="M1125">
            <v>46085</v>
          </cell>
        </row>
        <row r="1126">
          <cell r="A1126">
            <v>3516</v>
          </cell>
        </row>
        <row r="1126">
          <cell r="C1126" t="str">
            <v>张潇</v>
          </cell>
          <cell r="D1126" t="str">
            <v>车身外扩件</v>
          </cell>
        </row>
        <row r="1126">
          <cell r="I1126" t="str">
            <v>原开品</v>
          </cell>
          <cell r="J1126">
            <v>12252</v>
          </cell>
        </row>
        <row r="1126">
          <cell r="L1126">
            <v>46085</v>
          </cell>
          <cell r="M1126">
            <v>46089</v>
          </cell>
        </row>
        <row r="1127">
          <cell r="A1127">
            <v>1753</v>
          </cell>
        </row>
        <row r="1127">
          <cell r="C1127" t="str">
            <v>张潇</v>
          </cell>
          <cell r="D1127" t="str">
            <v>车身外扩件</v>
          </cell>
        </row>
        <row r="1127">
          <cell r="I1127" t="str">
            <v>原开品</v>
          </cell>
          <cell r="J1127">
            <v>12165</v>
          </cell>
        </row>
        <row r="1127">
          <cell r="L1127">
            <v>46085</v>
          </cell>
          <cell r="M1127">
            <v>46093</v>
          </cell>
        </row>
        <row r="1128">
          <cell r="A1128">
            <v>1437</v>
          </cell>
        </row>
        <row r="1128">
          <cell r="C1128" t="str">
            <v>胡煜星</v>
          </cell>
          <cell r="D1128" t="str">
            <v>车身外扩件</v>
          </cell>
        </row>
        <row r="1128">
          <cell r="I1128" t="str">
            <v>原开品</v>
          </cell>
          <cell r="J1128">
            <v>12247</v>
          </cell>
        </row>
        <row r="1128">
          <cell r="L1128">
            <v>46085</v>
          </cell>
          <cell r="M1128">
            <v>46089</v>
          </cell>
        </row>
        <row r="1129">
          <cell r="A1129">
            <v>6465</v>
          </cell>
        </row>
        <row r="1129">
          <cell r="C1129" t="str">
            <v>张潇</v>
          </cell>
          <cell r="D1129" t="str">
            <v>饰条</v>
          </cell>
        </row>
        <row r="1129">
          <cell r="I1129" t="str">
            <v>原开品</v>
          </cell>
          <cell r="J1129">
            <v>11102</v>
          </cell>
        </row>
        <row r="1129">
          <cell r="L1129">
            <v>46085</v>
          </cell>
          <cell r="M1129">
            <v>46100</v>
          </cell>
        </row>
        <row r="1130">
          <cell r="A1130">
            <v>6559</v>
          </cell>
        </row>
        <row r="1130">
          <cell r="C1130" t="str">
            <v>张潇</v>
          </cell>
          <cell r="D1130" t="str">
            <v>挡泥板</v>
          </cell>
        </row>
        <row r="1130">
          <cell r="I1130" t="str">
            <v>拓展品</v>
          </cell>
          <cell r="J1130">
            <v>12071</v>
          </cell>
        </row>
        <row r="1130">
          <cell r="L1130">
            <v>46085</v>
          </cell>
          <cell r="M1130">
            <v>46092</v>
          </cell>
        </row>
        <row r="1131">
          <cell r="A1131">
            <v>6990</v>
          </cell>
        </row>
        <row r="1131">
          <cell r="C1131" t="str">
            <v>张潇</v>
          </cell>
          <cell r="D1131" t="str">
            <v>挡泥板</v>
          </cell>
        </row>
        <row r="1131">
          <cell r="I1131" t="str">
            <v>原开品</v>
          </cell>
          <cell r="J1131">
            <v>12072</v>
          </cell>
        </row>
        <row r="1131">
          <cell r="L1131">
            <v>46085</v>
          </cell>
          <cell r="M1131">
            <v>46112</v>
          </cell>
        </row>
        <row r="1132">
          <cell r="A1132">
            <v>6991</v>
          </cell>
        </row>
        <row r="1132">
          <cell r="C1132" t="str">
            <v>张潇</v>
          </cell>
          <cell r="D1132" t="str">
            <v>挡泥板</v>
          </cell>
        </row>
        <row r="1132">
          <cell r="I1132" t="str">
            <v>原开品</v>
          </cell>
          <cell r="J1132">
            <v>12248</v>
          </cell>
        </row>
        <row r="1132">
          <cell r="L1132">
            <v>46085</v>
          </cell>
          <cell r="M1132">
            <v>46091</v>
          </cell>
        </row>
        <row r="1133">
          <cell r="A1133">
            <v>7103</v>
          </cell>
        </row>
        <row r="1133">
          <cell r="C1133" t="str">
            <v>张潇</v>
          </cell>
          <cell r="D1133" t="str">
            <v>车身外扩件</v>
          </cell>
        </row>
        <row r="1133">
          <cell r="I1133" t="str">
            <v>原开品</v>
          </cell>
          <cell r="J1133">
            <v>12246</v>
          </cell>
        </row>
        <row r="1133">
          <cell r="L1133">
            <v>46085</v>
          </cell>
          <cell r="M1133">
            <v>46086</v>
          </cell>
        </row>
        <row r="1134">
          <cell r="A1134">
            <v>7486</v>
          </cell>
        </row>
        <row r="1134">
          <cell r="C1134" t="str">
            <v>张潇</v>
          </cell>
          <cell r="D1134" t="str">
            <v>雨刮罩</v>
          </cell>
        </row>
        <row r="1134">
          <cell r="I1134" t="str">
            <v>原开品</v>
          </cell>
          <cell r="J1134">
            <v>12205</v>
          </cell>
        </row>
        <row r="1134">
          <cell r="L1134">
            <v>46086</v>
          </cell>
          <cell r="M1134">
            <v>46089</v>
          </cell>
        </row>
        <row r="1135">
          <cell r="A1135">
            <v>7918</v>
          </cell>
        </row>
        <row r="1135">
          <cell r="C1135" t="str">
            <v>张潇</v>
          </cell>
          <cell r="D1135" t="str">
            <v>车身外扩件</v>
          </cell>
        </row>
        <row r="1135">
          <cell r="I1135" t="str">
            <v>原开品</v>
          </cell>
          <cell r="J1135">
            <v>12206</v>
          </cell>
        </row>
        <row r="1135">
          <cell r="L1135">
            <v>46086</v>
          </cell>
          <cell r="M1135">
            <v>46094</v>
          </cell>
        </row>
        <row r="1136">
          <cell r="A1136">
            <v>8053</v>
          </cell>
        </row>
        <row r="1136">
          <cell r="C1136" t="str">
            <v>胡煜星</v>
          </cell>
          <cell r="D1136" t="str">
            <v>玻璃</v>
          </cell>
        </row>
        <row r="1136">
          <cell r="I1136" t="str">
            <v>原开品</v>
          </cell>
          <cell r="J1136">
            <v>11997</v>
          </cell>
        </row>
        <row r="1136">
          <cell r="L1136">
            <v>46091</v>
          </cell>
          <cell r="M1136">
            <v>46105</v>
          </cell>
        </row>
        <row r="1137">
          <cell r="A1137">
            <v>8088</v>
          </cell>
        </row>
        <row r="1137">
          <cell r="C1137" t="str">
            <v>张潇</v>
          </cell>
          <cell r="D1137" t="str">
            <v>挡泥板</v>
          </cell>
        </row>
        <row r="1137">
          <cell r="I1137" t="str">
            <v>原开品</v>
          </cell>
          <cell r="J1137">
            <v>12262</v>
          </cell>
        </row>
        <row r="1137">
          <cell r="L1137">
            <v>46091</v>
          </cell>
          <cell r="M1137">
            <v>46094</v>
          </cell>
        </row>
        <row r="1138">
          <cell r="A1138">
            <v>8124</v>
          </cell>
        </row>
        <row r="1138">
          <cell r="C1138" t="str">
            <v>张潇</v>
          </cell>
          <cell r="D1138" t="str">
            <v>挡泥板</v>
          </cell>
        </row>
        <row r="1138">
          <cell r="I1138" t="str">
            <v>原开品</v>
          </cell>
          <cell r="J1138">
            <v>12244</v>
          </cell>
        </row>
        <row r="1138">
          <cell r="L1138">
            <v>46091</v>
          </cell>
          <cell r="M1138">
            <v>46101</v>
          </cell>
        </row>
        <row r="1139">
          <cell r="A1139">
            <v>8127</v>
          </cell>
        </row>
        <row r="1139">
          <cell r="C1139" t="str">
            <v>张潇</v>
          </cell>
          <cell r="D1139" t="str">
            <v>挡泥板</v>
          </cell>
        </row>
        <row r="1139">
          <cell r="I1139" t="str">
            <v>原开品</v>
          </cell>
          <cell r="J1139">
            <v>12243</v>
          </cell>
        </row>
        <row r="1139">
          <cell r="L1139">
            <v>46091</v>
          </cell>
          <cell r="M1139">
            <v>46106</v>
          </cell>
        </row>
        <row r="1140">
          <cell r="A1140">
            <v>8201</v>
          </cell>
        </row>
        <row r="1140">
          <cell r="C1140" t="str">
            <v>张潇</v>
          </cell>
          <cell r="D1140" t="str">
            <v>挡泥板</v>
          </cell>
        </row>
        <row r="1140">
          <cell r="I1140" t="str">
            <v>原开品</v>
          </cell>
          <cell r="J1140">
            <v>12304</v>
          </cell>
        </row>
        <row r="1140">
          <cell r="L1140">
            <v>46092</v>
          </cell>
          <cell r="M1140">
            <v>46095</v>
          </cell>
        </row>
        <row r="1141">
          <cell r="A1141">
            <v>8213</v>
          </cell>
        </row>
        <row r="1141">
          <cell r="C1141" t="str">
            <v>张潇</v>
          </cell>
          <cell r="D1141" t="str">
            <v>挡泥板</v>
          </cell>
        </row>
        <row r="1141">
          <cell r="I1141" t="str">
            <v>拓展品</v>
          </cell>
          <cell r="J1141">
            <v>12085</v>
          </cell>
        </row>
        <row r="1141">
          <cell r="L1141">
            <v>46092</v>
          </cell>
          <cell r="M1141">
            <v>46099</v>
          </cell>
        </row>
        <row r="1142">
          <cell r="A1142">
            <v>8277</v>
          </cell>
        </row>
        <row r="1142">
          <cell r="C1142" t="str">
            <v>张潇</v>
          </cell>
          <cell r="D1142" t="str">
            <v>挡泥板</v>
          </cell>
        </row>
        <row r="1142">
          <cell r="I1142" t="str">
            <v>原开品</v>
          </cell>
          <cell r="J1142">
            <v>12086</v>
          </cell>
        </row>
        <row r="1142">
          <cell r="L1142">
            <v>46092</v>
          </cell>
          <cell r="M1142">
            <v>46100</v>
          </cell>
        </row>
        <row r="1143">
          <cell r="A1143">
            <v>8307</v>
          </cell>
        </row>
        <row r="1143">
          <cell r="C1143" t="str">
            <v>张潇</v>
          </cell>
          <cell r="D1143" t="str">
            <v>车身外扩件</v>
          </cell>
        </row>
        <row r="1143">
          <cell r="I1143" t="str">
            <v>原开品</v>
          </cell>
          <cell r="J1143">
            <v>12258</v>
          </cell>
        </row>
        <row r="1143">
          <cell r="L1143">
            <v>46092</v>
          </cell>
          <cell r="M1143">
            <v>46099</v>
          </cell>
        </row>
        <row r="1144">
          <cell r="A1144">
            <v>8333</v>
          </cell>
        </row>
        <row r="1144">
          <cell r="C1144" t="str">
            <v>张潇</v>
          </cell>
          <cell r="D1144" t="str">
            <v>车身外扩件</v>
          </cell>
        </row>
        <row r="1144">
          <cell r="I1144" t="str">
            <v>原开品</v>
          </cell>
          <cell r="J1144">
            <v>12210</v>
          </cell>
        </row>
        <row r="1144">
          <cell r="L1144">
            <v>46092</v>
          </cell>
          <cell r="M1144">
            <v>46104</v>
          </cell>
        </row>
        <row r="1145">
          <cell r="A1145">
            <v>8338</v>
          </cell>
        </row>
        <row r="1145">
          <cell r="C1145" t="str">
            <v>张潇</v>
          </cell>
          <cell r="D1145" t="str">
            <v>挡泥板</v>
          </cell>
        </row>
        <row r="1145">
          <cell r="I1145" t="str">
            <v>拓展品</v>
          </cell>
          <cell r="J1145">
            <v>12250</v>
          </cell>
        </row>
        <row r="1145">
          <cell r="L1145">
            <v>46092</v>
          </cell>
          <cell r="M1145">
            <v>46096</v>
          </cell>
        </row>
        <row r="1146">
          <cell r="A1146">
            <v>8359</v>
          </cell>
        </row>
        <row r="1146">
          <cell r="C1146" t="str">
            <v>张潇</v>
          </cell>
          <cell r="D1146" t="str">
            <v>挡泥板</v>
          </cell>
        </row>
        <row r="1146">
          <cell r="I1146" t="str">
            <v>拓展品</v>
          </cell>
          <cell r="J1146">
            <v>12251</v>
          </cell>
        </row>
        <row r="1146">
          <cell r="L1146">
            <v>46092</v>
          </cell>
          <cell r="M1146">
            <v>46112</v>
          </cell>
        </row>
        <row r="1147">
          <cell r="A1147">
            <v>8366</v>
          </cell>
        </row>
        <row r="1147">
          <cell r="C1147" t="str">
            <v>张潇</v>
          </cell>
          <cell r="D1147" t="str">
            <v>挡泥板</v>
          </cell>
        </row>
        <row r="1147">
          <cell r="I1147" t="str">
            <v>原开品</v>
          </cell>
          <cell r="J1147">
            <v>12332</v>
          </cell>
        </row>
        <row r="1147">
          <cell r="L1147">
            <v>46092</v>
          </cell>
          <cell r="M1147">
            <v>46095</v>
          </cell>
        </row>
        <row r="1148">
          <cell r="A1148">
            <v>8373</v>
          </cell>
        </row>
        <row r="1148">
          <cell r="C1148" t="str">
            <v>张潇</v>
          </cell>
          <cell r="D1148" t="str">
            <v>挡泥板</v>
          </cell>
        </row>
        <row r="1148">
          <cell r="I1148" t="str">
            <v>原开品</v>
          </cell>
          <cell r="J1148">
            <v>12227</v>
          </cell>
        </row>
        <row r="1148">
          <cell r="L1148">
            <v>46092</v>
          </cell>
          <cell r="M1148">
            <v>46097</v>
          </cell>
        </row>
        <row r="1149">
          <cell r="A1149">
            <v>8429</v>
          </cell>
        </row>
        <row r="1149">
          <cell r="C1149" t="str">
            <v>张潇</v>
          </cell>
          <cell r="D1149" t="str">
            <v>挡泥板</v>
          </cell>
        </row>
        <row r="1149">
          <cell r="I1149" t="str">
            <v>原开品</v>
          </cell>
          <cell r="J1149">
            <v>12309</v>
          </cell>
        </row>
        <row r="1149">
          <cell r="L1149">
            <v>46092</v>
          </cell>
          <cell r="M1149">
            <v>46101</v>
          </cell>
        </row>
        <row r="1150">
          <cell r="A1150">
            <v>8483</v>
          </cell>
        </row>
        <row r="1150">
          <cell r="C1150" t="str">
            <v>张潇</v>
          </cell>
          <cell r="D1150" t="str">
            <v>挡泥板</v>
          </cell>
        </row>
        <row r="1150">
          <cell r="I1150" t="str">
            <v>原开品</v>
          </cell>
          <cell r="J1150">
            <v>12310</v>
          </cell>
        </row>
        <row r="1150">
          <cell r="L1150">
            <v>46092</v>
          </cell>
          <cell r="M1150">
            <v>46096</v>
          </cell>
        </row>
        <row r="1151">
          <cell r="A1151">
            <v>467</v>
          </cell>
        </row>
        <row r="1151">
          <cell r="C1151" t="str">
            <v>张潇</v>
          </cell>
          <cell r="D1151" t="str">
            <v>车门系统</v>
          </cell>
        </row>
        <row r="1151">
          <cell r="I1151" t="str">
            <v>原开品</v>
          </cell>
          <cell r="J1151">
            <v>12311</v>
          </cell>
        </row>
        <row r="1151">
          <cell r="L1151">
            <v>46092</v>
          </cell>
          <cell r="M1151">
            <v>46102</v>
          </cell>
        </row>
        <row r="1152">
          <cell r="A1152">
            <v>12461</v>
          </cell>
        </row>
        <row r="1152">
          <cell r="C1152" t="str">
            <v>俞东旭</v>
          </cell>
          <cell r="D1152" t="str">
            <v>车身外扩件</v>
          </cell>
        </row>
        <row r="1152">
          <cell r="I1152" t="str">
            <v>原开品</v>
          </cell>
          <cell r="J1152">
            <v>12312</v>
          </cell>
        </row>
        <row r="1152">
          <cell r="L1152">
            <v>46092</v>
          </cell>
          <cell r="M1152">
            <v>46096</v>
          </cell>
        </row>
        <row r="1153">
          <cell r="A1153">
            <v>12489</v>
          </cell>
        </row>
        <row r="1153">
          <cell r="C1153" t="str">
            <v>俞东旭</v>
          </cell>
          <cell r="D1153" t="str">
            <v>挡泥板</v>
          </cell>
        </row>
        <row r="1153">
          <cell r="I1153" t="str">
            <v>原开品</v>
          </cell>
          <cell r="J1153">
            <v>12441</v>
          </cell>
        </row>
        <row r="1153">
          <cell r="L1153">
            <v>46093</v>
          </cell>
          <cell r="M1153">
            <v>46100</v>
          </cell>
        </row>
        <row r="1154">
          <cell r="A1154">
            <v>12480</v>
          </cell>
        </row>
        <row r="1154">
          <cell r="C1154" t="str">
            <v>张潇</v>
          </cell>
          <cell r="D1154" t="str">
            <v>牌照板支架</v>
          </cell>
        </row>
        <row r="1154">
          <cell r="I1154" t="str">
            <v>原开品</v>
          </cell>
          <cell r="J1154">
            <v>12271</v>
          </cell>
        </row>
        <row r="1154">
          <cell r="L1154">
            <v>46097</v>
          </cell>
          <cell r="M1154">
            <v>46098</v>
          </cell>
        </row>
        <row r="1155">
          <cell r="A1155">
            <v>12558</v>
          </cell>
        </row>
        <row r="1155">
          <cell r="C1155" t="str">
            <v>朱培源</v>
          </cell>
          <cell r="D1155" t="str">
            <v>挡泥板</v>
          </cell>
        </row>
        <row r="1155">
          <cell r="I1155" t="str">
            <v>原开品</v>
          </cell>
          <cell r="J1155">
            <v>12270</v>
          </cell>
        </row>
        <row r="1155">
          <cell r="L1155">
            <v>46097</v>
          </cell>
          <cell r="M1155">
            <v>46100</v>
          </cell>
        </row>
        <row r="1156">
          <cell r="A1156">
            <v>12473</v>
          </cell>
        </row>
        <row r="1156">
          <cell r="C1156" t="str">
            <v>张潇</v>
          </cell>
          <cell r="D1156" t="str">
            <v>机盖及附件</v>
          </cell>
        </row>
        <row r="1156">
          <cell r="I1156" t="str">
            <v>原开品</v>
          </cell>
          <cell r="J1156">
            <v>12318</v>
          </cell>
        </row>
        <row r="1156">
          <cell r="L1156">
            <v>46097</v>
          </cell>
          <cell r="M1156">
            <v>46103</v>
          </cell>
        </row>
        <row r="1157">
          <cell r="A1157">
            <v>12464</v>
          </cell>
        </row>
        <row r="1157">
          <cell r="C1157" t="str">
            <v>俞东旭</v>
          </cell>
          <cell r="D1157" t="str">
            <v>车身外扩件</v>
          </cell>
        </row>
        <row r="1157">
          <cell r="I1157" t="str">
            <v>原开品</v>
          </cell>
          <cell r="J1157">
            <v>12320</v>
          </cell>
        </row>
        <row r="1157">
          <cell r="L1157">
            <v>46097</v>
          </cell>
          <cell r="M1157">
            <v>46131</v>
          </cell>
        </row>
        <row r="1158">
          <cell r="A1158">
            <v>12540</v>
          </cell>
        </row>
        <row r="1158">
          <cell r="C1158" t="str">
            <v>胡煜星</v>
          </cell>
          <cell r="D1158" t="str">
            <v>其他</v>
          </cell>
        </row>
        <row r="1158">
          <cell r="I1158" t="str">
            <v>原开品</v>
          </cell>
          <cell r="J1158">
            <v>12305</v>
          </cell>
        </row>
        <row r="1158">
          <cell r="L1158">
            <v>46097</v>
          </cell>
          <cell r="M1158">
            <v>46100</v>
          </cell>
        </row>
        <row r="1159">
          <cell r="A1159">
            <v>12541</v>
          </cell>
        </row>
        <row r="1159">
          <cell r="C1159" t="str">
            <v>胡煜星</v>
          </cell>
          <cell r="D1159" t="str">
            <v>其他</v>
          </cell>
        </row>
        <row r="1159">
          <cell r="I1159" t="str">
            <v>原开品</v>
          </cell>
          <cell r="J1159">
            <v>12321</v>
          </cell>
        </row>
        <row r="1159">
          <cell r="L1159">
            <v>46097</v>
          </cell>
          <cell r="M1159">
            <v>46120</v>
          </cell>
        </row>
        <row r="1160">
          <cell r="A1160">
            <v>12542</v>
          </cell>
        </row>
        <row r="1160">
          <cell r="C1160" t="str">
            <v>胡煜星</v>
          </cell>
          <cell r="D1160" t="str">
            <v>其他</v>
          </cell>
        </row>
        <row r="1160">
          <cell r="I1160" t="str">
            <v>原开品</v>
          </cell>
          <cell r="J1160">
            <v>12272</v>
          </cell>
        </row>
        <row r="1160">
          <cell r="L1160">
            <v>46097</v>
          </cell>
          <cell r="M1160">
            <v>46099</v>
          </cell>
        </row>
        <row r="1161">
          <cell r="A1161">
            <v>12543</v>
          </cell>
        </row>
        <row r="1161">
          <cell r="C1161" t="str">
            <v>胡煜星</v>
          </cell>
          <cell r="D1161" t="str">
            <v>其他</v>
          </cell>
        </row>
        <row r="1161">
          <cell r="I1161" t="str">
            <v>原开品</v>
          </cell>
          <cell r="J1161">
            <v>12292</v>
          </cell>
        </row>
        <row r="1161">
          <cell r="L1161">
            <v>46097</v>
          </cell>
          <cell r="M1161">
            <v>46100</v>
          </cell>
        </row>
        <row r="1162">
          <cell r="A1162">
            <v>12544</v>
          </cell>
        </row>
        <row r="1162">
          <cell r="C1162" t="str">
            <v>张潇</v>
          </cell>
          <cell r="D1162" t="str">
            <v>其他</v>
          </cell>
        </row>
        <row r="1162">
          <cell r="I1162" t="str">
            <v>原开品</v>
          </cell>
          <cell r="J1162">
            <v>12333</v>
          </cell>
        </row>
        <row r="1162">
          <cell r="L1162">
            <v>46097</v>
          </cell>
          <cell r="M1162">
            <v>46116</v>
          </cell>
        </row>
        <row r="1163">
          <cell r="A1163">
            <v>12612</v>
          </cell>
        </row>
        <row r="1163">
          <cell r="C1163" t="str">
            <v>章鹏</v>
          </cell>
          <cell r="D1163" t="str">
            <v>其他</v>
          </cell>
        </row>
        <row r="1163">
          <cell r="I1163" t="str">
            <v>原开品</v>
          </cell>
          <cell r="J1163">
            <v>12334</v>
          </cell>
        </row>
        <row r="1163">
          <cell r="L1163">
            <v>46097</v>
          </cell>
          <cell r="M1163">
            <v>46105</v>
          </cell>
        </row>
        <row r="1164">
          <cell r="A1164">
            <v>12651</v>
          </cell>
        </row>
        <row r="1164">
          <cell r="C1164" t="str">
            <v>张潇</v>
          </cell>
          <cell r="D1164" t="str">
            <v>机盖及附件</v>
          </cell>
        </row>
        <row r="1164">
          <cell r="I1164" t="str">
            <v>原开品</v>
          </cell>
          <cell r="J1164">
            <v>12368</v>
          </cell>
        </row>
        <row r="1164">
          <cell r="L1164">
            <v>46097</v>
          </cell>
          <cell r="M1164">
            <v>46104</v>
          </cell>
        </row>
        <row r="1165">
          <cell r="A1165">
            <v>12604</v>
          </cell>
        </row>
        <row r="1165">
          <cell r="C1165" t="str">
            <v>王偲涵</v>
          </cell>
          <cell r="D1165" t="str">
            <v>车身外扩件</v>
          </cell>
        </row>
        <row r="1165">
          <cell r="I1165" t="str">
            <v>原开品</v>
          </cell>
          <cell r="J1165">
            <v>12306</v>
          </cell>
        </row>
        <row r="1165">
          <cell r="L1165">
            <v>46097</v>
          </cell>
          <cell r="M1165">
            <v>46099</v>
          </cell>
        </row>
        <row r="1166">
          <cell r="A1166">
            <v>12526</v>
          </cell>
        </row>
        <row r="1166">
          <cell r="C1166" t="str">
            <v>王偲涵</v>
          </cell>
          <cell r="D1166" t="str">
            <v>车身外扩件</v>
          </cell>
        </row>
        <row r="1166">
          <cell r="I1166" t="str">
            <v>原开品</v>
          </cell>
          <cell r="J1166">
            <v>12307</v>
          </cell>
        </row>
        <row r="1166">
          <cell r="L1166">
            <v>46097</v>
          </cell>
          <cell r="M1166">
            <v>46103</v>
          </cell>
        </row>
        <row r="1167">
          <cell r="A1167">
            <v>12590</v>
          </cell>
        </row>
        <row r="1167">
          <cell r="C1167" t="str">
            <v>王偲涵</v>
          </cell>
          <cell r="D1167" t="str">
            <v>车身外扩件</v>
          </cell>
        </row>
        <row r="1167">
          <cell r="I1167" t="str">
            <v>原开品</v>
          </cell>
          <cell r="J1167">
            <v>12308</v>
          </cell>
        </row>
        <row r="1167">
          <cell r="L1167">
            <v>46097</v>
          </cell>
          <cell r="M1167">
            <v>46099</v>
          </cell>
        </row>
        <row r="1168">
          <cell r="A1168">
            <v>12586</v>
          </cell>
        </row>
        <row r="1168">
          <cell r="C1168" t="str">
            <v>朱培源</v>
          </cell>
          <cell r="D1168" t="str">
            <v>机盖及附件</v>
          </cell>
        </row>
        <row r="1168">
          <cell r="I1168" t="str">
            <v>原开品</v>
          </cell>
          <cell r="J1168">
            <v>12293</v>
          </cell>
        </row>
        <row r="1168">
          <cell r="L1168">
            <v>46099</v>
          </cell>
          <cell r="M1168">
            <v>46104</v>
          </cell>
        </row>
        <row r="1169">
          <cell r="A1169">
            <v>12615</v>
          </cell>
        </row>
        <row r="1169">
          <cell r="C1169" t="str">
            <v>王偲涵</v>
          </cell>
          <cell r="D1169" t="str">
            <v>其他</v>
          </cell>
        </row>
        <row r="1169">
          <cell r="I1169" t="str">
            <v>拓展品</v>
          </cell>
          <cell r="J1169">
            <v>12298</v>
          </cell>
        </row>
        <row r="1169">
          <cell r="L1169">
            <v>46099</v>
          </cell>
          <cell r="M1169">
            <v>46157</v>
          </cell>
        </row>
        <row r="1170">
          <cell r="A1170">
            <v>12616</v>
          </cell>
        </row>
        <row r="1170">
          <cell r="C1170" t="str">
            <v>王偲涵</v>
          </cell>
          <cell r="D1170" t="str">
            <v>其他</v>
          </cell>
        </row>
        <row r="1170">
          <cell r="I1170" t="str">
            <v>拓展品</v>
          </cell>
          <cell r="J1170">
            <v>12299</v>
          </cell>
        </row>
        <row r="1170">
          <cell r="L1170">
            <v>46099</v>
          </cell>
          <cell r="M1170">
            <v>46119</v>
          </cell>
        </row>
        <row r="1171">
          <cell r="A1171">
            <v>12572</v>
          </cell>
        </row>
        <row r="1171">
          <cell r="C1171" t="str">
            <v>胡煜星</v>
          </cell>
          <cell r="D1171" t="str">
            <v>其他</v>
          </cell>
        </row>
        <row r="1171">
          <cell r="I1171" t="str">
            <v>原开品</v>
          </cell>
          <cell r="J1171">
            <v>12396</v>
          </cell>
        </row>
        <row r="1171">
          <cell r="L1171">
            <v>46104</v>
          </cell>
        </row>
        <row r="1172">
          <cell r="A1172">
            <v>12573</v>
          </cell>
        </row>
        <row r="1172">
          <cell r="C1172" t="str">
            <v>胡煜星</v>
          </cell>
          <cell r="D1172" t="str">
            <v>其他</v>
          </cell>
        </row>
        <row r="1172">
          <cell r="I1172" t="str">
            <v>原开品</v>
          </cell>
          <cell r="J1172">
            <v>12291</v>
          </cell>
        </row>
        <row r="1172">
          <cell r="L1172">
            <v>46104</v>
          </cell>
          <cell r="M1172">
            <v>46134</v>
          </cell>
        </row>
        <row r="1173">
          <cell r="A1173">
            <v>12650</v>
          </cell>
        </row>
        <row r="1173">
          <cell r="C1173" t="str">
            <v>张潇</v>
          </cell>
          <cell r="D1173" t="str">
            <v>其他</v>
          </cell>
        </row>
        <row r="1173">
          <cell r="I1173" t="str">
            <v>原开品</v>
          </cell>
          <cell r="J1173">
            <v>12290</v>
          </cell>
        </row>
        <row r="1173">
          <cell r="L1173">
            <v>46104</v>
          </cell>
          <cell r="M1173">
            <v>46119</v>
          </cell>
        </row>
        <row r="1174">
          <cell r="A1174">
            <v>12649</v>
          </cell>
        </row>
        <row r="1174">
          <cell r="C1174" t="str">
            <v>张潇</v>
          </cell>
          <cell r="D1174" t="str">
            <v>其他</v>
          </cell>
        </row>
        <row r="1174">
          <cell r="I1174" t="str">
            <v>原开品</v>
          </cell>
          <cell r="J1174">
            <v>12391</v>
          </cell>
        </row>
        <row r="1174">
          <cell r="L1174">
            <v>46104</v>
          </cell>
          <cell r="M1174">
            <v>46118</v>
          </cell>
        </row>
        <row r="1175">
          <cell r="A1175">
            <v>12629</v>
          </cell>
        </row>
        <row r="1175">
          <cell r="C1175" t="str">
            <v>王偲涵</v>
          </cell>
          <cell r="D1175" t="str">
            <v>挡泥板</v>
          </cell>
        </row>
        <row r="1175">
          <cell r="I1175" t="str">
            <v>拓展品</v>
          </cell>
          <cell r="J1175">
            <v>12398</v>
          </cell>
        </row>
        <row r="1175">
          <cell r="L1175">
            <v>46104</v>
          </cell>
          <cell r="M1175">
            <v>46114</v>
          </cell>
        </row>
        <row r="1176">
          <cell r="A1176">
            <v>12591</v>
          </cell>
        </row>
        <row r="1176">
          <cell r="C1176" t="str">
            <v>王偲涵</v>
          </cell>
          <cell r="D1176" t="str">
            <v>车身外扩件</v>
          </cell>
        </row>
        <row r="1176">
          <cell r="I1176" t="str">
            <v>原开品</v>
          </cell>
          <cell r="J1176">
            <v>12357</v>
          </cell>
        </row>
        <row r="1176">
          <cell r="L1176">
            <v>46104</v>
          </cell>
          <cell r="M1176">
            <v>46104</v>
          </cell>
        </row>
        <row r="1177">
          <cell r="A1177">
            <v>12606</v>
          </cell>
        </row>
        <row r="1177">
          <cell r="C1177" t="str">
            <v>王偲涵</v>
          </cell>
          <cell r="D1177" t="str">
            <v>车身外扩件</v>
          </cell>
        </row>
        <row r="1177">
          <cell r="I1177" t="str">
            <v>原开品</v>
          </cell>
          <cell r="J1177">
            <v>12423</v>
          </cell>
        </row>
        <row r="1177">
          <cell r="L1177">
            <v>46104</v>
          </cell>
          <cell r="M1177">
            <v>46108</v>
          </cell>
        </row>
        <row r="1178">
          <cell r="A1178">
            <v>12614</v>
          </cell>
        </row>
        <row r="1178">
          <cell r="C1178" t="str">
            <v>朱培源</v>
          </cell>
          <cell r="D1178" t="str">
            <v>挡泥板</v>
          </cell>
        </row>
        <row r="1178">
          <cell r="I1178" t="str">
            <v>原开品</v>
          </cell>
          <cell r="J1178">
            <v>12387</v>
          </cell>
        </row>
        <row r="1178">
          <cell r="L1178">
            <v>46105</v>
          </cell>
          <cell r="M1178">
            <v>46125</v>
          </cell>
        </row>
        <row r="1179">
          <cell r="A1179">
            <v>12632</v>
          </cell>
        </row>
        <row r="1179">
          <cell r="C1179" t="str">
            <v>俞东旭</v>
          </cell>
          <cell r="D1179" t="str">
            <v>车门系统</v>
          </cell>
        </row>
        <row r="1179">
          <cell r="I1179" t="str">
            <v>原开品</v>
          </cell>
          <cell r="J1179">
            <v>12388</v>
          </cell>
        </row>
        <row r="1179">
          <cell r="L1179">
            <v>46105</v>
          </cell>
          <cell r="M1179">
            <v>46125</v>
          </cell>
        </row>
        <row r="1180">
          <cell r="A1180">
            <v>12631</v>
          </cell>
        </row>
        <row r="1180">
          <cell r="C1180" t="str">
            <v>俞东旭</v>
          </cell>
          <cell r="D1180" t="str">
            <v>车门系统</v>
          </cell>
        </row>
        <row r="1180">
          <cell r="I1180" t="str">
            <v>拓展品</v>
          </cell>
          <cell r="J1180">
            <v>12474</v>
          </cell>
        </row>
        <row r="1180">
          <cell r="L1180">
            <v>46108</v>
          </cell>
          <cell r="M1180">
            <v>46116</v>
          </cell>
        </row>
        <row r="1181">
          <cell r="A1181">
            <v>12630</v>
          </cell>
        </row>
        <row r="1181">
          <cell r="C1181" t="str">
            <v>俞东旭</v>
          </cell>
          <cell r="D1181" t="str">
            <v>车门系统</v>
          </cell>
        </row>
        <row r="1181">
          <cell r="I1181" t="str">
            <v>拓展品</v>
          </cell>
          <cell r="J1181">
            <v>12429</v>
          </cell>
        </row>
        <row r="1181">
          <cell r="L1181">
            <v>46108</v>
          </cell>
          <cell r="M1181">
            <v>46111</v>
          </cell>
        </row>
        <row r="1182">
          <cell r="A1182">
            <v>12587</v>
          </cell>
        </row>
        <row r="1182">
          <cell r="C1182" t="str">
            <v>章鹏</v>
          </cell>
          <cell r="D1182" t="str">
            <v>饰条</v>
          </cell>
        </row>
        <row r="1182">
          <cell r="I1182" t="str">
            <v>拓展品</v>
          </cell>
          <cell r="J1182">
            <v>12424</v>
          </cell>
        </row>
        <row r="1182">
          <cell r="L1182">
            <v>46108</v>
          </cell>
          <cell r="M1182">
            <v>46176</v>
          </cell>
        </row>
        <row r="1183">
          <cell r="A1183">
            <v>12569</v>
          </cell>
        </row>
        <row r="1183">
          <cell r="C1183" t="str">
            <v>张潇</v>
          </cell>
          <cell r="D1183" t="str">
            <v>其他</v>
          </cell>
        </row>
        <row r="1183">
          <cell r="I1183" t="str">
            <v>拓展品</v>
          </cell>
          <cell r="J1183">
            <v>12386</v>
          </cell>
        </row>
        <row r="1183">
          <cell r="L1183">
            <v>46108</v>
          </cell>
          <cell r="M1183">
            <v>46123</v>
          </cell>
        </row>
        <row r="1184">
          <cell r="A1184">
            <v>12575</v>
          </cell>
        </row>
        <row r="1184">
          <cell r="C1184" t="str">
            <v>胡煜星</v>
          </cell>
          <cell r="D1184" t="str">
            <v>其他</v>
          </cell>
        </row>
        <row r="1184">
          <cell r="I1184" t="str">
            <v>原开品</v>
          </cell>
          <cell r="J1184">
            <v>12426</v>
          </cell>
        </row>
        <row r="1184">
          <cell r="L1184">
            <v>46108</v>
          </cell>
          <cell r="M1184">
            <v>46115</v>
          </cell>
        </row>
        <row r="1185">
          <cell r="A1185">
            <v>12574</v>
          </cell>
        </row>
        <row r="1185">
          <cell r="C1185" t="str">
            <v>胡煜星</v>
          </cell>
          <cell r="D1185" t="str">
            <v>其他</v>
          </cell>
        </row>
        <row r="1185">
          <cell r="I1185" t="str">
            <v>原开品</v>
          </cell>
          <cell r="J1185">
            <v>12483</v>
          </cell>
        </row>
        <row r="1185">
          <cell r="L1185">
            <v>46108</v>
          </cell>
          <cell r="M1185">
            <v>46111</v>
          </cell>
        </row>
        <row r="1186">
          <cell r="A1186">
            <v>12532</v>
          </cell>
        </row>
        <row r="1186">
          <cell r="C1186" t="str">
            <v>朱培源</v>
          </cell>
          <cell r="D1186" t="str">
            <v>挡泥板</v>
          </cell>
        </row>
        <row r="1186">
          <cell r="I1186" t="str">
            <v>原开品</v>
          </cell>
          <cell r="J1186">
            <v>12484</v>
          </cell>
        </row>
        <row r="1186">
          <cell r="L1186">
            <v>46108</v>
          </cell>
          <cell r="M1186">
            <v>46111</v>
          </cell>
        </row>
        <row r="1187">
          <cell r="A1187">
            <v>12713</v>
          </cell>
        </row>
        <row r="1187">
          <cell r="C1187" t="str">
            <v>朱培源</v>
          </cell>
          <cell r="D1187" t="str">
            <v>机盖及附件</v>
          </cell>
        </row>
        <row r="1187">
          <cell r="I1187" t="str">
            <v>拓展品</v>
          </cell>
          <cell r="J1187">
            <v>12414</v>
          </cell>
        </row>
        <row r="1187">
          <cell r="L1187">
            <v>46108</v>
          </cell>
          <cell r="M1187">
            <v>46156</v>
          </cell>
        </row>
        <row r="1188">
          <cell r="A1188">
            <v>12732</v>
          </cell>
        </row>
        <row r="1188">
          <cell r="C1188" t="str">
            <v>章鹏</v>
          </cell>
          <cell r="D1188" t="str">
            <v>其他</v>
          </cell>
        </row>
        <row r="1188">
          <cell r="I1188" t="str">
            <v>拓展品</v>
          </cell>
          <cell r="J1188">
            <v>12422</v>
          </cell>
        </row>
        <row r="1188">
          <cell r="L1188">
            <v>46108</v>
          </cell>
          <cell r="M1188">
            <v>46141</v>
          </cell>
        </row>
        <row r="1189">
          <cell r="A1189">
            <v>12658</v>
          </cell>
        </row>
        <row r="1189">
          <cell r="C1189" t="str">
            <v>张潇</v>
          </cell>
          <cell r="D1189" t="str">
            <v>机盖及附件</v>
          </cell>
        </row>
        <row r="1189">
          <cell r="I1189" t="str">
            <v>原开品</v>
          </cell>
          <cell r="J1189">
            <v>12213</v>
          </cell>
        </row>
        <row r="1189">
          <cell r="L1189">
            <v>46108</v>
          </cell>
          <cell r="M1189">
            <v>46114</v>
          </cell>
        </row>
        <row r="1190">
          <cell r="A1190">
            <v>12741</v>
          </cell>
        </row>
        <row r="1190">
          <cell r="C1190" t="str">
            <v>胡煜星</v>
          </cell>
          <cell r="D1190" t="str">
            <v>其他</v>
          </cell>
        </row>
        <row r="1190">
          <cell r="I1190" t="str">
            <v>拓展品</v>
          </cell>
          <cell r="J1190">
            <v>12461</v>
          </cell>
        </row>
        <row r="1190">
          <cell r="L1190">
            <v>46119</v>
          </cell>
          <cell r="M1190">
            <v>46124</v>
          </cell>
        </row>
        <row r="1191">
          <cell r="A1191">
            <v>12740</v>
          </cell>
        </row>
        <row r="1191">
          <cell r="C1191" t="str">
            <v>胡煜星</v>
          </cell>
          <cell r="D1191" t="str">
            <v>其他</v>
          </cell>
        </row>
        <row r="1191">
          <cell r="I1191" t="str">
            <v>原开品</v>
          </cell>
          <cell r="J1191">
            <v>12489</v>
          </cell>
        </row>
        <row r="1191">
          <cell r="L1191">
            <v>46122</v>
          </cell>
          <cell r="M1191">
            <v>46126</v>
          </cell>
        </row>
        <row r="1192">
          <cell r="A1192">
            <v>12743</v>
          </cell>
        </row>
        <row r="1192">
          <cell r="C1192" t="str">
            <v>张潇</v>
          </cell>
          <cell r="D1192" t="str">
            <v>其他</v>
          </cell>
        </row>
        <row r="1192">
          <cell r="I1192" t="str">
            <v>原开品</v>
          </cell>
          <cell r="J1192">
            <v>12480</v>
          </cell>
        </row>
        <row r="1192">
          <cell r="L1192">
            <v>46135</v>
          </cell>
          <cell r="M1192">
            <v>46139</v>
          </cell>
        </row>
        <row r="1193">
          <cell r="A1193">
            <v>12742</v>
          </cell>
        </row>
        <row r="1193">
          <cell r="C1193" t="str">
            <v>张潇</v>
          </cell>
          <cell r="D1193" t="str">
            <v>其他</v>
          </cell>
        </row>
        <row r="1193">
          <cell r="I1193" t="str">
            <v>原开品</v>
          </cell>
          <cell r="J1193">
            <v>12558</v>
          </cell>
        </row>
        <row r="1193">
          <cell r="L1193">
            <v>46135</v>
          </cell>
          <cell r="M1193">
            <v>46155</v>
          </cell>
        </row>
        <row r="1194">
          <cell r="A1194">
            <v>12595</v>
          </cell>
        </row>
        <row r="1194">
          <cell r="C1194" t="str">
            <v>王偲涵</v>
          </cell>
          <cell r="D1194" t="str">
            <v>车身外扩件</v>
          </cell>
        </row>
        <row r="1194">
          <cell r="I1194" t="str">
            <v>原开品</v>
          </cell>
          <cell r="J1194">
            <v>12473</v>
          </cell>
        </row>
        <row r="1194">
          <cell r="L1194">
            <v>46135</v>
          </cell>
          <cell r="M1194">
            <v>46154</v>
          </cell>
        </row>
        <row r="1195">
          <cell r="A1195">
            <v>12588</v>
          </cell>
        </row>
        <row r="1195">
          <cell r="C1195" t="str">
            <v>王偲涵</v>
          </cell>
          <cell r="D1195" t="str">
            <v>车身外扩件</v>
          </cell>
        </row>
        <row r="1195">
          <cell r="I1195" t="str">
            <v>原开品</v>
          </cell>
          <cell r="J1195">
            <v>12464</v>
          </cell>
        </row>
        <row r="1195">
          <cell r="L1195">
            <v>46135</v>
          </cell>
          <cell r="M1195">
            <v>46135</v>
          </cell>
        </row>
        <row r="1196">
          <cell r="A1196">
            <v>12596</v>
          </cell>
        </row>
        <row r="1196">
          <cell r="C1196" t="str">
            <v>俞东旭</v>
          </cell>
          <cell r="D1196" t="str">
            <v>车身外扩件</v>
          </cell>
        </row>
        <row r="1196">
          <cell r="I1196" t="str">
            <v>原开品</v>
          </cell>
          <cell r="J1196">
            <v>12540</v>
          </cell>
        </row>
        <row r="1196">
          <cell r="L1196">
            <v>46135</v>
          </cell>
          <cell r="M1196">
            <v>46157</v>
          </cell>
        </row>
        <row r="1197">
          <cell r="A1197">
            <v>12589</v>
          </cell>
        </row>
        <row r="1197">
          <cell r="C1197" t="str">
            <v>俞东旭</v>
          </cell>
          <cell r="D1197" t="str">
            <v>车身外扩件</v>
          </cell>
        </row>
        <row r="1197">
          <cell r="I1197" t="str">
            <v>原开品</v>
          </cell>
          <cell r="J1197">
            <v>12541</v>
          </cell>
        </row>
        <row r="1197">
          <cell r="L1197">
            <v>46135</v>
          </cell>
          <cell r="M1197">
            <v>46140</v>
          </cell>
        </row>
        <row r="1198">
          <cell r="A1198">
            <v>12597</v>
          </cell>
        </row>
        <row r="1198">
          <cell r="C1198" t="str">
            <v>王偲涵</v>
          </cell>
          <cell r="D1198" t="str">
            <v>车身外扩件</v>
          </cell>
        </row>
        <row r="1198">
          <cell r="I1198" t="str">
            <v>原开品</v>
          </cell>
          <cell r="J1198">
            <v>12542</v>
          </cell>
        </row>
        <row r="1198">
          <cell r="L1198">
            <v>46135</v>
          </cell>
        </row>
        <row r="1199">
          <cell r="A1199">
            <v>12598</v>
          </cell>
        </row>
        <row r="1199">
          <cell r="C1199" t="str">
            <v>王偲涵</v>
          </cell>
          <cell r="D1199" t="str">
            <v>车身外扩件</v>
          </cell>
        </row>
        <row r="1199">
          <cell r="I1199" t="str">
            <v>原开品</v>
          </cell>
          <cell r="J1199">
            <v>12543</v>
          </cell>
        </row>
        <row r="1199">
          <cell r="L1199">
            <v>46135</v>
          </cell>
          <cell r="M1199">
            <v>46144</v>
          </cell>
        </row>
        <row r="1200">
          <cell r="A1200">
            <v>12069</v>
          </cell>
        </row>
        <row r="1200">
          <cell r="C1200" t="str">
            <v>朱培源</v>
          </cell>
          <cell r="D1200" t="str">
            <v>其他</v>
          </cell>
        </row>
        <row r="1200">
          <cell r="I1200" t="str">
            <v>原开品</v>
          </cell>
          <cell r="J1200">
            <v>12544</v>
          </cell>
        </row>
        <row r="1200">
          <cell r="L1200">
            <v>46135</v>
          </cell>
          <cell r="M1200">
            <v>46142</v>
          </cell>
        </row>
        <row r="1201">
          <cell r="A1201">
            <v>12833</v>
          </cell>
        </row>
        <row r="1201">
          <cell r="C1201" t="str">
            <v>朱培源</v>
          </cell>
          <cell r="D1201" t="str">
            <v>挡泥板</v>
          </cell>
        </row>
        <row r="1201">
          <cell r="I1201" t="str">
            <v>原开品</v>
          </cell>
          <cell r="J1201">
            <v>12612</v>
          </cell>
        </row>
        <row r="1201">
          <cell r="L1201">
            <v>46140</v>
          </cell>
          <cell r="M1201">
            <v>46160</v>
          </cell>
        </row>
        <row r="1202">
          <cell r="A1202">
            <v>12519</v>
          </cell>
        </row>
        <row r="1202">
          <cell r="C1202" t="str">
            <v>王偲涵</v>
          </cell>
          <cell r="D1202" t="str">
            <v>机盖及附件</v>
          </cell>
        </row>
        <row r="1202">
          <cell r="I1202" t="str">
            <v>原开品</v>
          </cell>
          <cell r="J1202">
            <v>12651</v>
          </cell>
        </row>
        <row r="1202">
          <cell r="L1202">
            <v>46140</v>
          </cell>
          <cell r="M1202">
            <v>46142</v>
          </cell>
        </row>
        <row r="1203">
          <cell r="A1203">
            <v>12686</v>
          </cell>
        </row>
        <row r="1203">
          <cell r="C1203" t="str">
            <v>王偲涵</v>
          </cell>
          <cell r="D1203" t="str">
            <v>车门系统</v>
          </cell>
        </row>
        <row r="1203">
          <cell r="I1203" t="str">
            <v>原开品</v>
          </cell>
          <cell r="J1203">
            <v>12604</v>
          </cell>
        </row>
        <row r="1203">
          <cell r="L1203">
            <v>46141</v>
          </cell>
          <cell r="M1203">
            <v>46152</v>
          </cell>
        </row>
        <row r="1204">
          <cell r="A1204">
            <v>12687</v>
          </cell>
        </row>
        <row r="1204">
          <cell r="C1204" t="str">
            <v>王偲涵</v>
          </cell>
          <cell r="D1204" t="str">
            <v>车门系统</v>
          </cell>
        </row>
        <row r="1204">
          <cell r="I1204" t="str">
            <v>原开品</v>
          </cell>
          <cell r="J1204">
            <v>12526</v>
          </cell>
        </row>
        <row r="1204">
          <cell r="L1204">
            <v>46141</v>
          </cell>
          <cell r="M1204">
            <v>46154</v>
          </cell>
        </row>
        <row r="1205">
          <cell r="A1205">
            <v>12701</v>
          </cell>
        </row>
        <row r="1205">
          <cell r="C1205" t="str">
            <v>章鹏</v>
          </cell>
          <cell r="D1205" t="str">
            <v>饰条</v>
          </cell>
        </row>
        <row r="1205">
          <cell r="I1205" t="str">
            <v>原开品</v>
          </cell>
          <cell r="J1205">
            <v>12590</v>
          </cell>
        </row>
        <row r="1205">
          <cell r="L1205">
            <v>46141</v>
          </cell>
          <cell r="M1205">
            <v>46143</v>
          </cell>
        </row>
        <row r="1206">
          <cell r="A1206">
            <v>12700</v>
          </cell>
        </row>
        <row r="1206">
          <cell r="C1206" t="str">
            <v>章鹏</v>
          </cell>
          <cell r="D1206" t="str">
            <v>饰条</v>
          </cell>
        </row>
        <row r="1206">
          <cell r="I1206" t="str">
            <v>原开品</v>
          </cell>
          <cell r="J1206">
            <v>12586</v>
          </cell>
        </row>
        <row r="1206">
          <cell r="L1206">
            <v>46141</v>
          </cell>
          <cell r="M1206">
            <v>46142</v>
          </cell>
        </row>
        <row r="1207">
          <cell r="A1207">
            <v>12779</v>
          </cell>
        </row>
        <row r="1207">
          <cell r="C1207" t="str">
            <v>朱培源</v>
          </cell>
          <cell r="D1207" t="str">
            <v>挡泥板</v>
          </cell>
        </row>
        <row r="1207">
          <cell r="I1207" t="str">
            <v>原开品</v>
          </cell>
          <cell r="J1207">
            <v>12615</v>
          </cell>
        </row>
        <row r="1207">
          <cell r="L1207">
            <v>46141</v>
          </cell>
          <cell r="M1207">
            <v>46150</v>
          </cell>
        </row>
        <row r="1208">
          <cell r="A1208">
            <v>12602</v>
          </cell>
        </row>
        <row r="1208">
          <cell r="C1208" t="str">
            <v>王偲涵</v>
          </cell>
          <cell r="D1208" t="str">
            <v>车身外扩件</v>
          </cell>
        </row>
        <row r="1208">
          <cell r="I1208" t="str">
            <v>原开品</v>
          </cell>
          <cell r="J1208">
            <v>12616</v>
          </cell>
        </row>
        <row r="1208">
          <cell r="L1208">
            <v>46141</v>
          </cell>
          <cell r="M1208">
            <v>46145</v>
          </cell>
        </row>
        <row r="1209">
          <cell r="A1209">
            <v>12786</v>
          </cell>
        </row>
        <row r="1209">
          <cell r="C1209" t="str">
            <v>胡煜星</v>
          </cell>
          <cell r="D1209" t="str">
            <v>车身外扩件</v>
          </cell>
        </row>
        <row r="1209">
          <cell r="I1209" t="str">
            <v>拓展品</v>
          </cell>
          <cell r="J1209">
            <v>12572</v>
          </cell>
        </row>
        <row r="1209">
          <cell r="L1209">
            <v>46141</v>
          </cell>
          <cell r="M1209">
            <v>46147</v>
          </cell>
        </row>
        <row r="1210">
          <cell r="A1210">
            <v>12840</v>
          </cell>
        </row>
        <row r="1210">
          <cell r="C1210" t="str">
            <v>胡煜星</v>
          </cell>
          <cell r="D1210" t="str">
            <v>车身外扩件</v>
          </cell>
        </row>
        <row r="1210">
          <cell r="I1210" t="str">
            <v>拓展品</v>
          </cell>
          <cell r="J1210">
            <v>12573</v>
          </cell>
        </row>
        <row r="1210">
          <cell r="L1210">
            <v>46141</v>
          </cell>
          <cell r="M1210">
            <v>46152</v>
          </cell>
        </row>
        <row r="1211">
          <cell r="A1211">
            <v>12892</v>
          </cell>
        </row>
        <row r="1211">
          <cell r="C1211" t="str">
            <v>章鹏</v>
          </cell>
          <cell r="D1211" t="str">
            <v>挡泥板</v>
          </cell>
        </row>
        <row r="1211">
          <cell r="I1211" t="str">
            <v>原开品</v>
          </cell>
          <cell r="J1211">
            <v>12650</v>
          </cell>
        </row>
        <row r="1211">
          <cell r="L1211">
            <v>46141</v>
          </cell>
          <cell r="M1211">
            <v>46158</v>
          </cell>
        </row>
        <row r="1212">
          <cell r="A1212">
            <v>12781</v>
          </cell>
        </row>
        <row r="1212">
          <cell r="C1212" t="str">
            <v>王偲涵</v>
          </cell>
          <cell r="D1212" t="str">
            <v>车门系统</v>
          </cell>
        </row>
        <row r="1212">
          <cell r="I1212" t="str">
            <v>原开品</v>
          </cell>
          <cell r="J1212">
            <v>12649</v>
          </cell>
        </row>
        <row r="1212">
          <cell r="L1212">
            <v>46141</v>
          </cell>
          <cell r="M1212">
            <v>46153</v>
          </cell>
        </row>
        <row r="1213">
          <cell r="A1213">
            <v>12778</v>
          </cell>
        </row>
        <row r="1213">
          <cell r="C1213" t="str">
            <v>王偲涵</v>
          </cell>
          <cell r="D1213" t="str">
            <v>车门系统</v>
          </cell>
        </row>
        <row r="1213">
          <cell r="I1213" t="str">
            <v>拓展品</v>
          </cell>
          <cell r="J1213">
            <v>12632</v>
          </cell>
        </row>
        <row r="1213">
          <cell r="L1213">
            <v>46142</v>
          </cell>
        </row>
        <row r="1214">
          <cell r="A1214">
            <v>12714</v>
          </cell>
        </row>
        <row r="1214">
          <cell r="C1214" t="str">
            <v>章鹏</v>
          </cell>
          <cell r="D1214" t="str">
            <v>挡泥板</v>
          </cell>
        </row>
        <row r="1214">
          <cell r="I1214" t="str">
            <v>拓展品</v>
          </cell>
          <cell r="J1214">
            <v>12631</v>
          </cell>
        </row>
        <row r="1214">
          <cell r="L1214">
            <v>46142</v>
          </cell>
          <cell r="M1214">
            <v>46142</v>
          </cell>
        </row>
        <row r="1215">
          <cell r="A1215">
            <v>12761</v>
          </cell>
        </row>
        <row r="1215">
          <cell r="C1215" t="str">
            <v>朱培源</v>
          </cell>
          <cell r="D1215" t="str">
            <v>挡泥板</v>
          </cell>
        </row>
        <row r="1215">
          <cell r="I1215" t="str">
            <v>原开品</v>
          </cell>
          <cell r="J1215">
            <v>12630</v>
          </cell>
        </row>
        <row r="1215">
          <cell r="L1215">
            <v>46142</v>
          </cell>
          <cell r="M1215">
            <v>46144</v>
          </cell>
        </row>
        <row r="1216">
          <cell r="A1216">
            <v>12771</v>
          </cell>
        </row>
        <row r="1216">
          <cell r="C1216" t="str">
            <v>朱培源</v>
          </cell>
          <cell r="D1216" t="str">
            <v>挡泥板</v>
          </cell>
        </row>
        <row r="1216">
          <cell r="I1216" t="str">
            <v>拓展品</v>
          </cell>
          <cell r="J1216">
            <v>12587</v>
          </cell>
        </row>
        <row r="1216">
          <cell r="L1216">
            <v>46142</v>
          </cell>
          <cell r="M1216">
            <v>46144</v>
          </cell>
        </row>
        <row r="1217">
          <cell r="A1217">
            <v>12715</v>
          </cell>
        </row>
        <row r="1217">
          <cell r="C1217" t="str">
            <v>张潇</v>
          </cell>
          <cell r="D1217" t="str">
            <v>挡泥板</v>
          </cell>
        </row>
        <row r="1217">
          <cell r="I1217" t="str">
            <v>原开品</v>
          </cell>
          <cell r="J1217">
            <v>12569</v>
          </cell>
        </row>
        <row r="1217">
          <cell r="L1217">
            <v>46142</v>
          </cell>
          <cell r="M1217">
            <v>46173</v>
          </cell>
        </row>
        <row r="1218">
          <cell r="A1218">
            <v>12762</v>
          </cell>
        </row>
        <row r="1218">
          <cell r="C1218" t="str">
            <v>张潇</v>
          </cell>
          <cell r="D1218" t="str">
            <v>挡泥板</v>
          </cell>
        </row>
        <row r="1218">
          <cell r="I1218" t="str">
            <v>拓展品</v>
          </cell>
          <cell r="J1218">
            <v>12575</v>
          </cell>
        </row>
        <row r="1218">
          <cell r="L1218">
            <v>46142</v>
          </cell>
          <cell r="M1218">
            <v>46147</v>
          </cell>
        </row>
        <row r="1219">
          <cell r="A1219">
            <v>12726</v>
          </cell>
        </row>
        <row r="1219">
          <cell r="C1219" t="str">
            <v>朱培源</v>
          </cell>
          <cell r="D1219" t="str">
            <v>车身外扩件</v>
          </cell>
        </row>
        <row r="1219">
          <cell r="I1219" t="str">
            <v>拓展品</v>
          </cell>
          <cell r="J1219">
            <v>12574</v>
          </cell>
        </row>
        <row r="1219">
          <cell r="L1219">
            <v>46142</v>
          </cell>
          <cell r="M1219">
            <v>46157</v>
          </cell>
        </row>
        <row r="1220">
          <cell r="A1220">
            <v>12605</v>
          </cell>
        </row>
        <row r="1220">
          <cell r="C1220" t="str">
            <v>王偲涵</v>
          </cell>
          <cell r="D1220" t="str">
            <v>车身外扩件</v>
          </cell>
        </row>
        <row r="1220">
          <cell r="I1220" t="str">
            <v>原开品</v>
          </cell>
          <cell r="J1220">
            <v>12629</v>
          </cell>
        </row>
        <row r="1220">
          <cell r="L1220">
            <v>46142</v>
          </cell>
          <cell r="M1220">
            <v>46146</v>
          </cell>
        </row>
        <row r="1221">
          <cell r="A1221">
            <v>12708</v>
          </cell>
        </row>
        <row r="1221">
          <cell r="C1221" t="str">
            <v>章鹏</v>
          </cell>
          <cell r="D1221" t="str">
            <v>车身外扩件</v>
          </cell>
        </row>
        <row r="1221">
          <cell r="I1221" t="str">
            <v>原开品</v>
          </cell>
          <cell r="J1221">
            <v>12591</v>
          </cell>
        </row>
        <row r="1221">
          <cell r="L1221">
            <v>46142</v>
          </cell>
          <cell r="M1221">
            <v>46152</v>
          </cell>
        </row>
        <row r="1222">
          <cell r="A1222">
            <v>12527</v>
          </cell>
        </row>
        <row r="1222">
          <cell r="C1222" t="str">
            <v>章鹏</v>
          </cell>
          <cell r="D1222" t="str">
            <v>车身外扩件</v>
          </cell>
        </row>
        <row r="1222">
          <cell r="I1222" t="str">
            <v>原开品</v>
          </cell>
          <cell r="J1222">
            <v>12606</v>
          </cell>
        </row>
        <row r="1222">
          <cell r="L1222">
            <v>46142</v>
          </cell>
        </row>
        <row r="1223">
          <cell r="A1223">
            <v>12838</v>
          </cell>
        </row>
        <row r="1223">
          <cell r="C1223" t="str">
            <v>七部</v>
          </cell>
          <cell r="D1223" t="str">
            <v>其他</v>
          </cell>
        </row>
        <row r="1223">
          <cell r="I1223" t="str">
            <v>原开品</v>
          </cell>
          <cell r="J1223">
            <v>12614</v>
          </cell>
        </row>
        <row r="1223">
          <cell r="L1223">
            <v>46142</v>
          </cell>
          <cell r="M1223">
            <v>46153</v>
          </cell>
        </row>
        <row r="1224">
          <cell r="A1224">
            <v>12839</v>
          </cell>
        </row>
        <row r="1224">
          <cell r="C1224" t="str">
            <v>张潇</v>
          </cell>
          <cell r="D1224" t="str">
            <v>车门系统</v>
          </cell>
        </row>
        <row r="1224">
          <cell r="I1224" t="str">
            <v>原开品</v>
          </cell>
          <cell r="J1224">
            <v>12532</v>
          </cell>
        </row>
        <row r="1224">
          <cell r="L1224">
            <v>46151</v>
          </cell>
        </row>
        <row r="1225">
          <cell r="A1225">
            <v>12795</v>
          </cell>
        </row>
        <row r="1225">
          <cell r="C1225" t="str">
            <v>朱培源</v>
          </cell>
          <cell r="D1225" t="str">
            <v>牌照板支架</v>
          </cell>
        </row>
        <row r="1225">
          <cell r="I1225" t="str">
            <v>原开品</v>
          </cell>
          <cell r="J1225">
            <v>12713</v>
          </cell>
        </row>
        <row r="1225">
          <cell r="L1225">
            <v>46151</v>
          </cell>
          <cell r="M1225">
            <v>46153</v>
          </cell>
        </row>
        <row r="1226">
          <cell r="A1226">
            <v>12835</v>
          </cell>
        </row>
        <row r="1226">
          <cell r="C1226" t="str">
            <v>胡煜星</v>
          </cell>
          <cell r="D1226" t="str">
            <v>车身外扩件</v>
          </cell>
        </row>
        <row r="1226">
          <cell r="I1226" t="str">
            <v>原开品</v>
          </cell>
          <cell r="J1226">
            <v>12732</v>
          </cell>
        </row>
        <row r="1226">
          <cell r="L1226">
            <v>46151</v>
          </cell>
          <cell r="M1226">
            <v>46160</v>
          </cell>
        </row>
        <row r="1227">
          <cell r="A1227">
            <v>12725</v>
          </cell>
        </row>
        <row r="1227">
          <cell r="C1227" t="str">
            <v>王偲涵</v>
          </cell>
          <cell r="D1227" t="str">
            <v>车身外扩件</v>
          </cell>
        </row>
        <row r="1227">
          <cell r="I1227" t="str">
            <v>拓展品</v>
          </cell>
          <cell r="J1227">
            <v>12658</v>
          </cell>
        </row>
        <row r="1227">
          <cell r="L1227">
            <v>46151</v>
          </cell>
          <cell r="M1227">
            <v>46153</v>
          </cell>
        </row>
        <row r="1228">
          <cell r="A1228">
            <v>12813</v>
          </cell>
        </row>
        <row r="1228">
          <cell r="C1228" t="str">
            <v>王偲涵</v>
          </cell>
          <cell r="D1228" t="str">
            <v>车身外扩件</v>
          </cell>
        </row>
        <row r="1228">
          <cell r="I1228" t="str">
            <v>原开品</v>
          </cell>
          <cell r="J1228">
            <v>12741</v>
          </cell>
        </row>
        <row r="1228">
          <cell r="L1228">
            <v>46151</v>
          </cell>
          <cell r="M1228">
            <v>46163</v>
          </cell>
        </row>
        <row r="1229">
          <cell r="I1229" t="str">
            <v>原开品</v>
          </cell>
          <cell r="J1229">
            <v>12740</v>
          </cell>
        </row>
        <row r="1229">
          <cell r="L1229">
            <v>46151</v>
          </cell>
          <cell r="M1229">
            <v>46162</v>
          </cell>
        </row>
        <row r="1230">
          <cell r="I1230" t="str">
            <v>原开品</v>
          </cell>
          <cell r="J1230">
            <v>12743</v>
          </cell>
        </row>
        <row r="1230">
          <cell r="L1230">
            <v>46151</v>
          </cell>
          <cell r="M1230">
            <v>46151</v>
          </cell>
        </row>
        <row r="1231">
          <cell r="I1231" t="str">
            <v>原开品</v>
          </cell>
          <cell r="J1231">
            <v>12742</v>
          </cell>
        </row>
        <row r="1231">
          <cell r="L1231">
            <v>46151</v>
          </cell>
        </row>
        <row r="1232">
          <cell r="I1232" t="str">
            <v>拓展品</v>
          </cell>
          <cell r="J1232">
            <v>12595</v>
          </cell>
        </row>
        <row r="1232">
          <cell r="L1232">
            <v>46153</v>
          </cell>
          <cell r="M1232">
            <v>46156</v>
          </cell>
        </row>
        <row r="1233">
          <cell r="I1233" t="str">
            <v>原开品</v>
          </cell>
          <cell r="J1233">
            <v>12588</v>
          </cell>
        </row>
        <row r="1233">
          <cell r="L1233">
            <v>46153</v>
          </cell>
          <cell r="M1233">
            <v>46168</v>
          </cell>
        </row>
        <row r="1234">
          <cell r="I1234" t="str">
            <v>拓展品</v>
          </cell>
          <cell r="J1234">
            <v>12596</v>
          </cell>
        </row>
        <row r="1234">
          <cell r="L1234">
            <v>46153</v>
          </cell>
          <cell r="M1234">
            <v>46157</v>
          </cell>
        </row>
        <row r="1235">
          <cell r="I1235" t="str">
            <v>原开品</v>
          </cell>
          <cell r="J1235">
            <v>12589</v>
          </cell>
        </row>
        <row r="1235">
          <cell r="L1235">
            <v>46153</v>
          </cell>
          <cell r="M1235">
            <v>46167</v>
          </cell>
        </row>
        <row r="1236">
          <cell r="I1236" t="str">
            <v>拓展品</v>
          </cell>
          <cell r="J1236">
            <v>12597</v>
          </cell>
        </row>
        <row r="1236">
          <cell r="L1236">
            <v>46153</v>
          </cell>
          <cell r="M1236">
            <v>46164</v>
          </cell>
        </row>
        <row r="1237">
          <cell r="I1237" t="str">
            <v>拓展品</v>
          </cell>
          <cell r="J1237">
            <v>12598</v>
          </cell>
        </row>
        <row r="1237">
          <cell r="L1237">
            <v>46153</v>
          </cell>
          <cell r="M1237">
            <v>46168</v>
          </cell>
        </row>
        <row r="1238">
          <cell r="I1238" t="str">
            <v>原开品</v>
          </cell>
          <cell r="J1238">
            <v>12069</v>
          </cell>
        </row>
        <row r="1238">
          <cell r="L1238">
            <v>46155</v>
          </cell>
        </row>
        <row r="1239">
          <cell r="I1239" t="str">
            <v>原开品</v>
          </cell>
          <cell r="J1239">
            <v>12833</v>
          </cell>
        </row>
        <row r="1239">
          <cell r="L1239">
            <v>46157</v>
          </cell>
          <cell r="M1239">
            <v>46158</v>
          </cell>
        </row>
        <row r="1240">
          <cell r="I1240" t="str">
            <v>原开品</v>
          </cell>
          <cell r="J1240">
            <v>12519</v>
          </cell>
        </row>
        <row r="1240">
          <cell r="L1240">
            <v>46160</v>
          </cell>
          <cell r="M1240">
            <v>46162</v>
          </cell>
        </row>
        <row r="1241">
          <cell r="I1241" t="str">
            <v>原开品</v>
          </cell>
          <cell r="J1241">
            <v>12686</v>
          </cell>
        </row>
        <row r="1241">
          <cell r="L1241">
            <v>46160</v>
          </cell>
          <cell r="M1241">
            <v>46161</v>
          </cell>
        </row>
        <row r="1242">
          <cell r="I1242" t="str">
            <v>原开品</v>
          </cell>
          <cell r="J1242">
            <v>12687</v>
          </cell>
        </row>
        <row r="1242">
          <cell r="L1242">
            <v>46160</v>
          </cell>
          <cell r="M1242">
            <v>46161</v>
          </cell>
        </row>
        <row r="1243">
          <cell r="I1243" t="str">
            <v>原开品</v>
          </cell>
          <cell r="J1243">
            <v>12701</v>
          </cell>
        </row>
        <row r="1243">
          <cell r="L1243">
            <v>46160</v>
          </cell>
          <cell r="M1243">
            <v>46161</v>
          </cell>
        </row>
        <row r="1244">
          <cell r="I1244" t="str">
            <v>原开品</v>
          </cell>
          <cell r="J1244">
            <v>12700</v>
          </cell>
        </row>
        <row r="1244">
          <cell r="L1244">
            <v>46160</v>
          </cell>
          <cell r="M1244">
            <v>46161</v>
          </cell>
        </row>
        <row r="1245">
          <cell r="I1245" t="str">
            <v>原开品</v>
          </cell>
          <cell r="J1245">
            <v>12779</v>
          </cell>
        </row>
        <row r="1245">
          <cell r="L1245">
            <v>46160</v>
          </cell>
          <cell r="M1245">
            <v>46174</v>
          </cell>
        </row>
        <row r="1246">
          <cell r="I1246" t="str">
            <v>原开品</v>
          </cell>
          <cell r="J1246">
            <v>12602</v>
          </cell>
        </row>
        <row r="1246">
          <cell r="L1246">
            <v>46162</v>
          </cell>
          <cell r="M1246">
            <v>46167</v>
          </cell>
        </row>
        <row r="1247">
          <cell r="I1247" t="str">
            <v>原开品</v>
          </cell>
          <cell r="J1247">
            <v>12786</v>
          </cell>
        </row>
        <row r="1247">
          <cell r="L1247">
            <v>46162</v>
          </cell>
          <cell r="M1247">
            <v>46164</v>
          </cell>
        </row>
        <row r="1248">
          <cell r="I1248" t="str">
            <v>原开品</v>
          </cell>
          <cell r="J1248">
            <v>12840</v>
          </cell>
        </row>
        <row r="1248">
          <cell r="L1248">
            <v>46162</v>
          </cell>
          <cell r="M1248">
            <v>46171</v>
          </cell>
        </row>
        <row r="1249">
          <cell r="I1249" t="str">
            <v>拓展品</v>
          </cell>
          <cell r="J1249">
            <v>12892</v>
          </cell>
        </row>
        <row r="1249">
          <cell r="L1249">
            <v>46162</v>
          </cell>
          <cell r="M1249">
            <v>46168</v>
          </cell>
        </row>
        <row r="1250">
          <cell r="I1250" t="str">
            <v>拓展品</v>
          </cell>
          <cell r="J1250">
            <v>12781</v>
          </cell>
        </row>
        <row r="1250">
          <cell r="L1250">
            <v>46162</v>
          </cell>
          <cell r="M1250">
            <v>46170</v>
          </cell>
        </row>
        <row r="1251">
          <cell r="I1251" t="str">
            <v>拓展品</v>
          </cell>
          <cell r="J1251">
            <v>12778</v>
          </cell>
        </row>
        <row r="1251">
          <cell r="L1251">
            <v>46162</v>
          </cell>
          <cell r="M1251">
            <v>46170</v>
          </cell>
        </row>
        <row r="1252">
          <cell r="I1252" t="str">
            <v>原开品</v>
          </cell>
          <cell r="J1252">
            <v>12714</v>
          </cell>
        </row>
        <row r="1252">
          <cell r="L1252">
            <v>46162</v>
          </cell>
          <cell r="M1252">
            <v>46164</v>
          </cell>
        </row>
        <row r="1253">
          <cell r="I1253" t="str">
            <v>原开品</v>
          </cell>
          <cell r="J1253">
            <v>12761</v>
          </cell>
        </row>
        <row r="1253">
          <cell r="L1253">
            <v>46162</v>
          </cell>
          <cell r="M1253">
            <v>46167</v>
          </cell>
        </row>
        <row r="1254">
          <cell r="I1254" t="str">
            <v>原开品</v>
          </cell>
          <cell r="J1254">
            <v>12771</v>
          </cell>
        </row>
        <row r="1254">
          <cell r="L1254">
            <v>46162</v>
          </cell>
          <cell r="M1254">
            <v>46169</v>
          </cell>
        </row>
        <row r="1255">
          <cell r="I1255" t="str">
            <v>原开品</v>
          </cell>
          <cell r="J1255">
            <v>12715</v>
          </cell>
        </row>
        <row r="1255">
          <cell r="L1255">
            <v>46162</v>
          </cell>
          <cell r="M1255">
            <v>46162</v>
          </cell>
        </row>
        <row r="1256">
          <cell r="I1256" t="str">
            <v>原开品</v>
          </cell>
          <cell r="J1256">
            <v>12762</v>
          </cell>
        </row>
        <row r="1256">
          <cell r="L1256">
            <v>46162</v>
          </cell>
          <cell r="M1256">
            <v>46170</v>
          </cell>
        </row>
        <row r="1257">
          <cell r="I1257" t="str">
            <v>拓展品</v>
          </cell>
          <cell r="J1257">
            <v>12726</v>
          </cell>
        </row>
        <row r="1257">
          <cell r="L1257">
            <v>46163</v>
          </cell>
        </row>
        <row r="1258">
          <cell r="I1258" t="str">
            <v>拓展品</v>
          </cell>
          <cell r="J1258">
            <v>12605</v>
          </cell>
        </row>
        <row r="1258">
          <cell r="L1258">
            <v>46163</v>
          </cell>
          <cell r="M1258">
            <v>46166</v>
          </cell>
        </row>
        <row r="1259">
          <cell r="I1259" t="str">
            <v>原开品</v>
          </cell>
          <cell r="J1259">
            <v>12708</v>
          </cell>
        </row>
        <row r="1259">
          <cell r="L1259">
            <v>46163</v>
          </cell>
        </row>
        <row r="1260">
          <cell r="I1260" t="str">
            <v>原开品</v>
          </cell>
          <cell r="J1260">
            <v>12527</v>
          </cell>
        </row>
        <row r="1260">
          <cell r="L1260">
            <v>46163</v>
          </cell>
        </row>
        <row r="1261">
          <cell r="I1261" t="str">
            <v>拓展品</v>
          </cell>
          <cell r="J1261">
            <v>12838</v>
          </cell>
        </row>
        <row r="1261">
          <cell r="L1261">
            <v>46163</v>
          </cell>
          <cell r="M1261">
            <v>46173</v>
          </cell>
        </row>
        <row r="1262">
          <cell r="I1262" t="str">
            <v>原开品</v>
          </cell>
          <cell r="J1262">
            <v>12839</v>
          </cell>
        </row>
        <row r="1262">
          <cell r="L1262">
            <v>46163</v>
          </cell>
          <cell r="M1262">
            <v>46174</v>
          </cell>
        </row>
        <row r="1263">
          <cell r="I1263" t="str">
            <v>原开品</v>
          </cell>
          <cell r="J1263">
            <v>12795</v>
          </cell>
        </row>
        <row r="1263">
          <cell r="L1263">
            <v>46163</v>
          </cell>
        </row>
        <row r="1264">
          <cell r="I1264" t="str">
            <v>原开品</v>
          </cell>
          <cell r="J1264">
            <v>12835</v>
          </cell>
        </row>
        <row r="1264">
          <cell r="L1264">
            <v>46170</v>
          </cell>
          <cell r="M1264">
            <v>46174</v>
          </cell>
        </row>
        <row r="1265">
          <cell r="I1265" t="str">
            <v>拓展品</v>
          </cell>
          <cell r="J1265">
            <v>12725</v>
          </cell>
        </row>
        <row r="1265">
          <cell r="L1265">
            <v>46170</v>
          </cell>
        </row>
        <row r="1266">
          <cell r="I1266" t="str">
            <v>原开品</v>
          </cell>
          <cell r="J1266">
            <v>12813</v>
          </cell>
        </row>
        <row r="1266">
          <cell r="L1266">
            <v>46170</v>
          </cell>
        </row>
        <row r="1267">
          <cell r="I1267" t="str">
            <v>原开品</v>
          </cell>
          <cell r="J1267">
            <v>12928</v>
          </cell>
        </row>
        <row r="1267">
          <cell r="L1267">
            <v>46176</v>
          </cell>
        </row>
        <row r="1268">
          <cell r="I1268" t="str">
            <v>原开品</v>
          </cell>
          <cell r="J1268">
            <v>12927</v>
          </cell>
        </row>
        <row r="1268">
          <cell r="L1268">
            <v>46176</v>
          </cell>
        </row>
        <row r="1269">
          <cell r="I1269" t="str">
            <v>原开品</v>
          </cell>
          <cell r="J1269">
            <v>12850</v>
          </cell>
        </row>
        <row r="1269">
          <cell r="L1269">
            <v>46176</v>
          </cell>
        </row>
        <row r="1270">
          <cell r="I1270" t="str">
            <v>原开品</v>
          </cell>
          <cell r="J1270">
            <v>12908</v>
          </cell>
        </row>
        <row r="1270">
          <cell r="L1270">
            <v>46176</v>
          </cell>
        </row>
        <row r="1271">
          <cell r="I1271" t="str">
            <v>原开品</v>
          </cell>
          <cell r="J1271">
            <v>12907</v>
          </cell>
        </row>
        <row r="1271">
          <cell r="L1271">
            <v>46176</v>
          </cell>
        </row>
        <row r="1272">
          <cell r="I1272" t="str">
            <v>原开品</v>
          </cell>
          <cell r="J1272">
            <v>12861</v>
          </cell>
        </row>
        <row r="1272">
          <cell r="L1272">
            <v>46176</v>
          </cell>
        </row>
        <row r="1273">
          <cell r="I1273" t="str">
            <v>原开品</v>
          </cell>
          <cell r="J1273">
            <v>12988</v>
          </cell>
        </row>
        <row r="1273">
          <cell r="L1273">
            <v>46176</v>
          </cell>
        </row>
        <row r="1274">
          <cell r="I1274" t="str">
            <v>原开品</v>
          </cell>
          <cell r="J1274">
            <v>12921</v>
          </cell>
        </row>
        <row r="1274">
          <cell r="L1274">
            <v>46176</v>
          </cell>
        </row>
        <row r="1275">
          <cell r="I1275" t="str">
            <v>原开品</v>
          </cell>
          <cell r="J1275">
            <v>12998</v>
          </cell>
        </row>
        <row r="1275">
          <cell r="L1275">
            <v>46176</v>
          </cell>
        </row>
        <row r="1276">
          <cell r="I1276" t="str">
            <v>原开品</v>
          </cell>
          <cell r="J1276">
            <v>12922</v>
          </cell>
        </row>
        <row r="1276">
          <cell r="L1276">
            <v>46176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57"/>
  <sheetViews>
    <sheetView workbookViewId="0">
      <selection activeCell="F1" sqref="F1"/>
    </sheetView>
  </sheetViews>
  <sheetFormatPr defaultColWidth="8.725" defaultRowHeight="16.5"/>
  <cols>
    <col min="1" max="1" width="12.3416666666667" customWidth="1"/>
    <col min="2" max="2" width="14.7583333333333" style="33" customWidth="1"/>
    <col min="3" max="4" width="14.7583333333333" customWidth="1"/>
    <col min="5" max="5" width="14.7583333333333" style="34" customWidth="1"/>
    <col min="6" max="7" width="11.875" style="33" customWidth="1"/>
    <col min="8" max="8" width="11.875" style="107" customWidth="1"/>
    <col min="9" max="10" width="15.175" style="107" customWidth="1"/>
    <col min="11" max="12" width="14.3416666666667" style="107" customWidth="1"/>
    <col min="13" max="14" width="16.675" style="107" customWidth="1"/>
    <col min="15" max="16" width="11.5083333333333" style="35" customWidth="1"/>
    <col min="17" max="17" width="13.3416666666667" style="37" customWidth="1"/>
    <col min="18" max="18" width="13.3416666666667" style="108" customWidth="1"/>
    <col min="19" max="22" width="15.175" style="35" customWidth="1"/>
    <col min="23" max="24" width="13.3416666666667" style="109" customWidth="1"/>
    <col min="25" max="25" width="16.875" customWidth="1"/>
    <col min="26" max="27" width="16.875" style="67" customWidth="1"/>
    <col min="28" max="30" width="16.875" style="75" customWidth="1"/>
    <col min="31" max="32" width="16.875" style="67" customWidth="1"/>
    <col min="33" max="34" width="16.875" style="75" customWidth="1"/>
    <col min="35" max="35" width="16.875" style="67" customWidth="1"/>
    <col min="36" max="36" width="18.375" style="110" customWidth="1"/>
    <col min="37" max="38" width="16.875" style="111" customWidth="1"/>
    <col min="39" max="39" width="16.875" style="75" customWidth="1"/>
    <col min="40" max="41" width="16.875" style="112" customWidth="1"/>
    <col min="42" max="44" width="16.875" style="75" customWidth="1"/>
    <col min="45" max="45" width="7.75833333333333" customWidth="1"/>
    <col min="50" max="50" width="12.8166666666667"/>
  </cols>
  <sheetData>
    <row r="1" customFormat="1" ht="22.5" customHeight="1" spans="1:53">
      <c r="A1" s="45" t="s">
        <v>0</v>
      </c>
      <c r="B1" s="46" t="s">
        <v>1</v>
      </c>
      <c r="C1" s="47" t="s">
        <v>2</v>
      </c>
      <c r="D1" s="47" t="s">
        <v>3</v>
      </c>
      <c r="E1" s="48" t="s">
        <v>4</v>
      </c>
      <c r="F1" s="49" t="s">
        <v>5</v>
      </c>
      <c r="G1" s="49" t="s">
        <v>6</v>
      </c>
      <c r="H1" s="47" t="s">
        <v>7</v>
      </c>
      <c r="I1" s="113" t="s">
        <v>8</v>
      </c>
      <c r="J1" s="113" t="s">
        <v>9</v>
      </c>
      <c r="K1" s="114" t="s">
        <v>10</v>
      </c>
      <c r="L1" s="115" t="s">
        <v>11</v>
      </c>
      <c r="M1" s="116" t="s">
        <v>12</v>
      </c>
      <c r="N1" s="116" t="s">
        <v>13</v>
      </c>
      <c r="O1" s="50" t="s">
        <v>14</v>
      </c>
      <c r="P1" s="50" t="s">
        <v>15</v>
      </c>
      <c r="Q1" s="51" t="s">
        <v>16</v>
      </c>
      <c r="R1" s="51" t="s">
        <v>17</v>
      </c>
      <c r="S1" s="53" t="s">
        <v>18</v>
      </c>
      <c r="T1" s="53" t="s">
        <v>19</v>
      </c>
      <c r="U1" s="117" t="s">
        <v>20</v>
      </c>
      <c r="V1" s="117" t="s">
        <v>21</v>
      </c>
      <c r="W1" s="118" t="s">
        <v>22</v>
      </c>
      <c r="X1" s="118" t="s">
        <v>23</v>
      </c>
      <c r="Y1" s="119" t="s">
        <v>24</v>
      </c>
      <c r="Z1" s="120" t="s">
        <v>25</v>
      </c>
      <c r="AA1" s="120" t="s">
        <v>26</v>
      </c>
      <c r="AB1" s="121" t="s">
        <v>27</v>
      </c>
      <c r="AC1" s="121" t="s">
        <v>28</v>
      </c>
      <c r="AD1" s="119" t="s">
        <v>29</v>
      </c>
      <c r="AE1" s="120" t="s">
        <v>30</v>
      </c>
      <c r="AF1" s="120" t="s">
        <v>31</v>
      </c>
      <c r="AG1" s="122" t="s">
        <v>32</v>
      </c>
      <c r="AH1" s="121" t="s">
        <v>33</v>
      </c>
      <c r="AI1" s="123" t="s">
        <v>34</v>
      </c>
      <c r="AJ1" s="123" t="s">
        <v>35</v>
      </c>
      <c r="AK1" s="124" t="s">
        <v>36</v>
      </c>
      <c r="AL1" s="125" t="s">
        <v>37</v>
      </c>
      <c r="AM1" s="125" t="s">
        <v>38</v>
      </c>
      <c r="AN1" s="123" t="s">
        <v>39</v>
      </c>
      <c r="AO1" s="123" t="s">
        <v>40</v>
      </c>
      <c r="AP1" s="124" t="s">
        <v>41</v>
      </c>
      <c r="AQ1" s="125" t="s">
        <v>42</v>
      </c>
      <c r="AR1" s="125" t="s">
        <v>43</v>
      </c>
    </row>
    <row r="2" customFormat="1" ht="22.5" customHeight="1" spans="1:53">
      <c r="A2" s="72">
        <v>12073</v>
      </c>
      <c r="B2" s="62" t="s">
        <v>44</v>
      </c>
      <c r="C2" s="63">
        <f>_xlfn.XLOOKUP(A2,[1]分配表!J:J,[1]分配表!L:L)</f>
        <v>46085</v>
      </c>
      <c r="D2" s="63">
        <f>IF(_xlfn.XLOOKUP(A2,[1]分配表!J:J,[1]分配表!M:M)=0,"未出单",_xlfn.XLOOKUP(A2,[1]分配表!J:J,[1]分配表!M:M))</f>
        <v>46093</v>
      </c>
      <c r="E2" s="64" t="s">
        <v>45</v>
      </c>
      <c r="F2" s="126" t="str">
        <f>_xlfn.XLOOKUP(A2,[1]分配表!A:A,[1]分配表!C:C)</f>
        <v>朱培源</v>
      </c>
      <c r="G2" s="126" t="str">
        <f>IF(_xlfn.XLOOKUP($A2,[1]分配表!$A:$A,[1]分配表!D:D)=0,"未分类",_xlfn.XLOOKUP($A2,[1]分配表!$A:$A,[1]分配表!D:D))</f>
        <v>车门系统</v>
      </c>
      <c r="H2" s="126" t="str">
        <f>_xlfn.XLOOKUP(A2,[1]分配表!J:J,[1]分配表!I:I)</f>
        <v>原开品</v>
      </c>
      <c r="I2" s="65">
        <f>COUNTIFS([1]月销售数据!L:L,A2,[1]月销售数据!M:M,"&gt;=2026-4-1",[1]月销售数据!M:M,"&lt;=2026-4-30")</f>
        <v>3</v>
      </c>
      <c r="J2" s="65">
        <f>COUNTIFS([1]月销售数据!L:L,A2,[1]月销售数据!M:M,"&gt;=2026-5-1",[1]月销售数据!M:M,"&lt;=2026-5-31")</f>
        <v>1</v>
      </c>
      <c r="K2" s="127" t="s">
        <v>46</v>
      </c>
      <c r="L2" s="127" t="s">
        <v>46</v>
      </c>
      <c r="M2" s="127" t="s">
        <v>47</v>
      </c>
      <c r="N2" s="127" t="s">
        <v>48</v>
      </c>
      <c r="O2" s="65">
        <v>2</v>
      </c>
      <c r="P2" s="65">
        <v>8</v>
      </c>
      <c r="Q2" s="67">
        <v>840</v>
      </c>
      <c r="R2" s="110">
        <v>3360</v>
      </c>
      <c r="S2" s="65">
        <v>0</v>
      </c>
      <c r="T2" s="65">
        <v>0</v>
      </c>
      <c r="U2" s="65">
        <v>2</v>
      </c>
      <c r="V2" s="65">
        <f t="shared" ref="V2:V65" si="0">T2+P2</f>
        <v>8</v>
      </c>
      <c r="W2" s="71">
        <v>1</v>
      </c>
      <c r="X2" s="128">
        <v>1</v>
      </c>
      <c r="Y2" s="65">
        <v>0</v>
      </c>
      <c r="Z2" s="67">
        <v>0</v>
      </c>
      <c r="AA2" s="67">
        <v>18.23</v>
      </c>
      <c r="AB2" s="129" t="e">
        <v>#DIV/0!</v>
      </c>
      <c r="AC2" s="129">
        <v>0.021702380952381</v>
      </c>
      <c r="AD2" s="65">
        <v>0</v>
      </c>
      <c r="AE2" s="67">
        <v>0</v>
      </c>
      <c r="AF2" s="67">
        <v>0</v>
      </c>
      <c r="AG2" s="129" t="e">
        <v>#DIV/0!</v>
      </c>
      <c r="AH2" s="129">
        <v>0</v>
      </c>
      <c r="AI2" s="67">
        <v>32.09</v>
      </c>
      <c r="AJ2" s="67">
        <v>911.4</v>
      </c>
      <c r="AK2" s="129">
        <v>0.035209567698047</v>
      </c>
      <c r="AL2" s="129">
        <v>0.038202380952381</v>
      </c>
      <c r="AM2" s="129">
        <v>0.0659047619047619</v>
      </c>
      <c r="AN2" s="67">
        <v>181.75</v>
      </c>
      <c r="AO2" s="67">
        <v>4546.92</v>
      </c>
      <c r="AP2" s="129">
        <v>0.0399721129907718</v>
      </c>
      <c r="AQ2" s="129">
        <v>0.0540922619047619</v>
      </c>
      <c r="AR2" s="129">
        <v>0.0554642857142857</v>
      </c>
      <c r="AS2" s="67"/>
      <c r="AT2" s="129"/>
      <c r="AU2" s="128"/>
      <c r="AV2" s="128"/>
      <c r="AW2" s="128"/>
      <c r="AX2" s="128"/>
      <c r="AY2" s="128"/>
      <c r="AZ2" s="128"/>
      <c r="BA2" s="128"/>
    </row>
    <row r="3" customFormat="1" ht="22.5" customHeight="1" spans="1:53">
      <c r="A3" s="72">
        <v>12074</v>
      </c>
      <c r="B3" s="62" t="s">
        <v>49</v>
      </c>
      <c r="C3" s="63">
        <f>_xlfn.XLOOKUP(A3,[1]分配表!J:J,[1]分配表!L:L)</f>
        <v>46085</v>
      </c>
      <c r="D3" s="63">
        <f>IF(_xlfn.XLOOKUP(A3,[1]分配表!J:J,[1]分配表!M:M)=0,"未出单",_xlfn.XLOOKUP(A3,[1]分配表!J:J,[1]分配表!M:M))</f>
        <v>46085</v>
      </c>
      <c r="E3" s="64" t="s">
        <v>45</v>
      </c>
      <c r="F3" s="126" t="str">
        <f>_xlfn.XLOOKUP(A3,[1]分配表!A:A,[1]分配表!C:C)</f>
        <v>朱培源</v>
      </c>
      <c r="G3" s="126" t="str">
        <f>IF(_xlfn.XLOOKUP($A3,[1]分配表!$A:$A,[1]分配表!D:D)=0,"未分类",_xlfn.XLOOKUP($A3,[1]分配表!$A:$A,[1]分配表!D:D))</f>
        <v>车门系统</v>
      </c>
      <c r="H3" s="126" t="str">
        <f>_xlfn.XLOOKUP(A3,[1]分配表!J:J,[1]分配表!I:I)</f>
        <v>拓展品</v>
      </c>
      <c r="I3" s="65">
        <f>COUNTIFS([1]月销售数据!L:L,A3,[1]月销售数据!M:M,"&gt;=2026-4-1",[1]月销售数据!M:M,"&lt;=2026-4-30")</f>
        <v>2</v>
      </c>
      <c r="J3" s="65">
        <f>COUNTIFS([1]月销售数据!L:L,A3,[1]月销售数据!M:M,"&gt;=2026-5-1",[1]月销售数据!M:M,"&lt;=2026-5-31")</f>
        <v>1</v>
      </c>
      <c r="K3" s="127" t="s">
        <v>46</v>
      </c>
      <c r="L3" s="127" t="s">
        <v>46</v>
      </c>
      <c r="M3" s="127" t="s">
        <v>48</v>
      </c>
      <c r="N3" s="127" t="s">
        <v>48</v>
      </c>
      <c r="O3" s="65">
        <v>24</v>
      </c>
      <c r="P3" s="65">
        <v>23</v>
      </c>
      <c r="Q3" s="67">
        <v>5698.62</v>
      </c>
      <c r="R3" s="110">
        <v>5766.52</v>
      </c>
      <c r="S3" s="65">
        <v>0</v>
      </c>
      <c r="T3" s="65">
        <v>1</v>
      </c>
      <c r="U3" s="65">
        <v>24</v>
      </c>
      <c r="V3" s="65">
        <f t="shared" si="0"/>
        <v>24</v>
      </c>
      <c r="W3" s="71">
        <v>1</v>
      </c>
      <c r="X3" s="128">
        <v>0.958333333333333</v>
      </c>
      <c r="Y3" s="65">
        <v>1</v>
      </c>
      <c r="Z3" s="67">
        <v>211.81</v>
      </c>
      <c r="AA3" s="67">
        <v>29.89</v>
      </c>
      <c r="AB3" s="129">
        <v>0.141117038855578</v>
      </c>
      <c r="AC3" s="129">
        <v>0.00524512952258617</v>
      </c>
      <c r="AD3" s="65">
        <v>1</v>
      </c>
      <c r="AE3" s="67">
        <v>295.77</v>
      </c>
      <c r="AF3" s="67">
        <v>0</v>
      </c>
      <c r="AG3" s="129">
        <v>0</v>
      </c>
      <c r="AH3" s="129">
        <v>0</v>
      </c>
      <c r="AI3" s="67">
        <v>225.24</v>
      </c>
      <c r="AJ3" s="67">
        <v>6105.74</v>
      </c>
      <c r="AK3" s="129">
        <v>0.0368898773940587</v>
      </c>
      <c r="AL3" s="129">
        <v>0.0395253587710709</v>
      </c>
      <c r="AM3" s="129">
        <v>0.0492698232203586</v>
      </c>
      <c r="AN3" s="67">
        <v>191.15</v>
      </c>
      <c r="AO3" s="67">
        <v>5155.87</v>
      </c>
      <c r="AP3" s="129">
        <v>0.0370742474112032</v>
      </c>
      <c r="AQ3" s="129">
        <v>0.0331482419206038</v>
      </c>
      <c r="AR3" s="129">
        <v>0.0352534977768221</v>
      </c>
    </row>
    <row r="4" customFormat="1" ht="22.5" customHeight="1" spans="1:53">
      <c r="A4" s="72">
        <v>12075</v>
      </c>
      <c r="B4" s="62" t="s">
        <v>50</v>
      </c>
      <c r="C4" s="63">
        <f>_xlfn.XLOOKUP(A4,[1]分配表!J:J,[1]分配表!L:L)</f>
        <v>46085</v>
      </c>
      <c r="D4" s="63">
        <f>IF(_xlfn.XLOOKUP(A4,[1]分配表!J:J,[1]分配表!M:M)=0,"未出单",_xlfn.XLOOKUP(A4,[1]分配表!J:J,[1]分配表!M:M))</f>
        <v>46085</v>
      </c>
      <c r="E4" s="64" t="s">
        <v>45</v>
      </c>
      <c r="F4" s="126" t="str">
        <f>_xlfn.XLOOKUP(A4,[1]分配表!A:A,[1]分配表!C:C)</f>
        <v>朱培源</v>
      </c>
      <c r="G4" s="126" t="str">
        <f>IF(_xlfn.XLOOKUP($A4,[1]分配表!$A:$A,[1]分配表!D:D)=0,"未分类",_xlfn.XLOOKUP($A4,[1]分配表!$A:$A,[1]分配表!D:D))</f>
        <v>车门系统</v>
      </c>
      <c r="H4" s="126" t="str">
        <f>_xlfn.XLOOKUP(A4,[1]分配表!J:J,[1]分配表!I:I)</f>
        <v>拓展品</v>
      </c>
      <c r="I4" s="65">
        <f>COUNTIFS([1]月销售数据!L:L,A4,[1]月销售数据!M:M,"&gt;=2026-4-1",[1]月销售数据!M:M,"&lt;=2026-4-30")</f>
        <v>2</v>
      </c>
      <c r="J4" s="65">
        <f>COUNTIFS([1]月销售数据!L:L,A4,[1]月销售数据!M:M,"&gt;=2026-5-1",[1]月销售数据!M:M,"&lt;=2026-5-31")</f>
        <v>1</v>
      </c>
      <c r="K4" s="127" t="s">
        <v>46</v>
      </c>
      <c r="L4" s="127" t="s">
        <v>46</v>
      </c>
      <c r="M4" s="127" t="s">
        <v>47</v>
      </c>
      <c r="N4" s="127" t="s">
        <v>47</v>
      </c>
      <c r="O4" s="65">
        <v>1</v>
      </c>
      <c r="P4" s="65">
        <v>3</v>
      </c>
      <c r="Q4" s="67">
        <v>220</v>
      </c>
      <c r="R4" s="110">
        <v>660</v>
      </c>
      <c r="S4" s="65">
        <v>0</v>
      </c>
      <c r="T4" s="65">
        <v>0</v>
      </c>
      <c r="U4" s="65">
        <v>1</v>
      </c>
      <c r="V4" s="65">
        <f t="shared" si="0"/>
        <v>3</v>
      </c>
      <c r="W4" s="71">
        <v>1</v>
      </c>
      <c r="X4" s="128">
        <v>1</v>
      </c>
      <c r="Y4" s="65">
        <v>0</v>
      </c>
      <c r="Z4" s="67">
        <v>0</v>
      </c>
      <c r="AA4" s="67">
        <v>4.81</v>
      </c>
      <c r="AB4" s="129" t="e">
        <v>#DIV/0!</v>
      </c>
      <c r="AC4" s="129">
        <v>0.0218636363636364</v>
      </c>
      <c r="AD4" s="65">
        <v>0</v>
      </c>
      <c r="AE4" s="67">
        <v>0</v>
      </c>
      <c r="AF4" s="67">
        <v>0</v>
      </c>
      <c r="AG4" s="129" t="e">
        <v>#DIV/0!</v>
      </c>
      <c r="AH4" s="129">
        <v>0</v>
      </c>
      <c r="AI4" s="67">
        <v>11.98</v>
      </c>
      <c r="AJ4" s="67">
        <v>239.58</v>
      </c>
      <c r="AK4" s="129">
        <v>0.0500041739711161</v>
      </c>
      <c r="AL4" s="129">
        <v>0.0544545454545455</v>
      </c>
      <c r="AM4" s="129">
        <v>0.0850454545454545</v>
      </c>
      <c r="AN4" s="67">
        <v>36.73</v>
      </c>
      <c r="AO4" s="67">
        <v>951.39</v>
      </c>
      <c r="AP4" s="129">
        <v>0.0386066702403851</v>
      </c>
      <c r="AQ4" s="129">
        <v>0.0556515151515151</v>
      </c>
      <c r="AR4" s="129">
        <v>0.0598484848484848</v>
      </c>
    </row>
    <row r="5" customFormat="1" ht="22.5" customHeight="1" spans="1:53">
      <c r="A5" s="72">
        <v>12252</v>
      </c>
      <c r="B5" s="62" t="s">
        <v>51</v>
      </c>
      <c r="C5" s="63">
        <f>_xlfn.XLOOKUP(A5,[1]分配表!J:J,[1]分配表!L:L)</f>
        <v>46085</v>
      </c>
      <c r="D5" s="63">
        <f>IF(_xlfn.XLOOKUP(A5,[1]分配表!J:J,[1]分配表!M:M)=0,"未出单",_xlfn.XLOOKUP(A5,[1]分配表!J:J,[1]分配表!M:M))</f>
        <v>46089</v>
      </c>
      <c r="E5" s="64" t="s">
        <v>52</v>
      </c>
      <c r="F5" s="126" t="str">
        <f>_xlfn.XLOOKUP(A5,[1]分配表!A:A,[1]分配表!C:C)</f>
        <v>胡煜星</v>
      </c>
      <c r="G5" s="126" t="str">
        <f>IF(_xlfn.XLOOKUP($A5,[1]分配表!$A:$A,[1]分配表!D:D)=0,"未分类",_xlfn.XLOOKUP($A5,[1]分配表!$A:$A,[1]分配表!D:D))</f>
        <v>车门系统</v>
      </c>
      <c r="H5" s="126" t="str">
        <f>_xlfn.XLOOKUP(A5,[1]分配表!J:J,[1]分配表!I:I)</f>
        <v>原开品</v>
      </c>
      <c r="I5" s="65">
        <f>COUNTIFS([1]月销售数据!L:L,A5,[1]月销售数据!M:M,"&gt;=2026-4-1",[1]月销售数据!M:M,"&lt;=2026-4-30")</f>
        <v>3</v>
      </c>
      <c r="J5" s="65">
        <f>COUNTIFS([1]月销售数据!L:L,A5,[1]月销售数据!M:M,"&gt;=2026-5-1",[1]月销售数据!M:M,"&lt;=2026-5-31")</f>
        <v>4</v>
      </c>
      <c r="K5" s="127" t="s">
        <v>46</v>
      </c>
      <c r="L5" s="127" t="s">
        <v>46</v>
      </c>
      <c r="M5" s="127" t="s">
        <v>53</v>
      </c>
      <c r="N5" s="127" t="s">
        <v>53</v>
      </c>
      <c r="O5" s="65">
        <v>1</v>
      </c>
      <c r="P5" s="65">
        <v>4</v>
      </c>
      <c r="Q5" s="67">
        <v>40</v>
      </c>
      <c r="R5" s="110">
        <v>160</v>
      </c>
      <c r="S5" s="65">
        <v>13</v>
      </c>
      <c r="T5" s="65">
        <v>10</v>
      </c>
      <c r="U5" s="65">
        <v>14</v>
      </c>
      <c r="V5" s="65">
        <f t="shared" si="0"/>
        <v>14</v>
      </c>
      <c r="W5" s="71">
        <v>0.0714285714285714</v>
      </c>
      <c r="X5" s="128">
        <v>0.285714285714286</v>
      </c>
      <c r="Y5" s="65">
        <v>0</v>
      </c>
      <c r="Z5" s="67">
        <v>0</v>
      </c>
      <c r="AA5" s="67">
        <v>1.95</v>
      </c>
      <c r="AB5" s="129" t="e">
        <v>#DIV/0!</v>
      </c>
      <c r="AC5" s="129">
        <v>0.04875</v>
      </c>
      <c r="AD5" s="65">
        <v>1</v>
      </c>
      <c r="AE5" s="67">
        <v>42.65</v>
      </c>
      <c r="AF5" s="67">
        <v>15.31</v>
      </c>
      <c r="AG5" s="129">
        <v>0.358968347010551</v>
      </c>
      <c r="AH5" s="129">
        <v>0.0956875</v>
      </c>
      <c r="AI5" s="67">
        <v>3.38</v>
      </c>
      <c r="AJ5" s="67">
        <v>42.2</v>
      </c>
      <c r="AK5" s="129">
        <v>0.0800947867298578</v>
      </c>
      <c r="AL5" s="129">
        <v>0.0845</v>
      </c>
      <c r="AM5" s="129">
        <v>0.138</v>
      </c>
      <c r="AN5" s="67">
        <v>6.46</v>
      </c>
      <c r="AO5" s="67">
        <v>129.2</v>
      </c>
      <c r="AP5" s="129">
        <v>0.05</v>
      </c>
      <c r="AQ5" s="129">
        <v>0.040375</v>
      </c>
      <c r="AR5" s="129">
        <v>0.136875</v>
      </c>
    </row>
    <row r="6" customFormat="1" ht="22.5" customHeight="1" spans="1:53">
      <c r="A6" s="72">
        <v>12165</v>
      </c>
      <c r="B6" s="62" t="s">
        <v>54</v>
      </c>
      <c r="C6" s="63">
        <f>_xlfn.XLOOKUP(A6,[1]分配表!J:J,[1]分配表!L:L)</f>
        <v>46085</v>
      </c>
      <c r="D6" s="63">
        <f>IF(_xlfn.XLOOKUP(A6,[1]分配表!J:J,[1]分配表!M:M)=0,"未出单",_xlfn.XLOOKUP(A6,[1]分配表!J:J,[1]分配表!M:M))</f>
        <v>46093</v>
      </c>
      <c r="E6" s="64" t="s">
        <v>45</v>
      </c>
      <c r="F6" s="126" t="str">
        <f>_xlfn.XLOOKUP(A6,[1]分配表!A:A,[1]分配表!C:C)</f>
        <v>朱培源</v>
      </c>
      <c r="G6" s="126" t="str">
        <f>IF(_xlfn.XLOOKUP($A6,[1]分配表!$A:$A,[1]分配表!D:D)=0,"未分类",_xlfn.XLOOKUP($A6,[1]分配表!$A:$A,[1]分配表!D:D))</f>
        <v>挡泥板</v>
      </c>
      <c r="H6" s="126" t="str">
        <f>_xlfn.XLOOKUP(A6,[1]分配表!J:J,[1]分配表!I:I)</f>
        <v>原开品</v>
      </c>
      <c r="I6" s="65">
        <f>COUNTIFS([1]月销售数据!L:L,A6,[1]月销售数据!M:M,"&gt;=2026-4-1",[1]月销售数据!M:M,"&lt;=2026-4-30")</f>
        <v>3</v>
      </c>
      <c r="J6" s="65">
        <f>COUNTIFS([1]月销售数据!L:L,A6,[1]月销售数据!M:M,"&gt;=2026-5-1",[1]月销售数据!M:M,"&lt;=2026-5-31")</f>
        <v>3</v>
      </c>
      <c r="K6" s="127" t="s">
        <v>46</v>
      </c>
      <c r="L6" s="127" t="s">
        <v>46</v>
      </c>
      <c r="M6" s="127" t="s">
        <v>53</v>
      </c>
      <c r="N6" s="127" t="s">
        <v>53</v>
      </c>
      <c r="O6" s="65">
        <v>3</v>
      </c>
      <c r="P6" s="65">
        <v>3</v>
      </c>
      <c r="Q6" s="67">
        <v>507</v>
      </c>
      <c r="R6" s="110">
        <v>510</v>
      </c>
      <c r="S6" s="65">
        <v>14</v>
      </c>
      <c r="T6" s="65">
        <v>7</v>
      </c>
      <c r="U6" s="65">
        <v>17</v>
      </c>
      <c r="V6" s="65">
        <f t="shared" si="0"/>
        <v>10</v>
      </c>
      <c r="W6" s="71">
        <v>0.176470588235294</v>
      </c>
      <c r="X6" s="128">
        <v>0.3</v>
      </c>
      <c r="Y6" s="65">
        <v>0</v>
      </c>
      <c r="Z6" s="67">
        <v>0</v>
      </c>
      <c r="AA6" s="67">
        <v>0</v>
      </c>
      <c r="AB6" s="129" t="e">
        <v>#DIV/0!</v>
      </c>
      <c r="AC6" s="129">
        <v>0</v>
      </c>
      <c r="AD6" s="65">
        <v>0</v>
      </c>
      <c r="AE6" s="67">
        <v>0</v>
      </c>
      <c r="AF6" s="67">
        <v>0</v>
      </c>
      <c r="AG6" s="129" t="e">
        <v>#DIV/0!</v>
      </c>
      <c r="AH6" s="129">
        <v>0</v>
      </c>
      <c r="AI6" s="67">
        <v>27.21</v>
      </c>
      <c r="AJ6" s="67">
        <v>544.18</v>
      </c>
      <c r="AK6" s="129">
        <v>0.0500018376272557</v>
      </c>
      <c r="AL6" s="129">
        <v>0.0536686390532544</v>
      </c>
      <c r="AM6" s="129">
        <v>0.0556213017751479</v>
      </c>
      <c r="AN6" s="67">
        <v>28.64</v>
      </c>
      <c r="AO6" s="67">
        <v>717.2</v>
      </c>
      <c r="AP6" s="129">
        <v>0.0399330730619074</v>
      </c>
      <c r="AQ6" s="129">
        <v>0.056156862745098</v>
      </c>
      <c r="AR6" s="129">
        <v>0.0630980392156863</v>
      </c>
    </row>
    <row r="7" customFormat="1" ht="22.5" customHeight="1" spans="1:53">
      <c r="A7" s="72">
        <v>12247</v>
      </c>
      <c r="B7" s="62" t="s">
        <v>55</v>
      </c>
      <c r="C7" s="63">
        <f>_xlfn.XLOOKUP(A7,[1]分配表!J:J,[1]分配表!L:L)</f>
        <v>46085</v>
      </c>
      <c r="D7" s="63">
        <f>IF(_xlfn.XLOOKUP(A7,[1]分配表!J:J,[1]分配表!M:M)=0,"未出单",_xlfn.XLOOKUP(A7,[1]分配表!J:J,[1]分配表!M:M))</f>
        <v>46089</v>
      </c>
      <c r="E7" s="64" t="s">
        <v>52</v>
      </c>
      <c r="F7" s="126" t="str">
        <f>_xlfn.XLOOKUP(A7,[1]分配表!A:A,[1]分配表!C:C)</f>
        <v>胡煜星</v>
      </c>
      <c r="G7" s="126" t="str">
        <f>IF(_xlfn.XLOOKUP($A7,[1]分配表!$A:$A,[1]分配表!D:D)=0,"未分类",_xlfn.XLOOKUP($A7,[1]分配表!$A:$A,[1]分配表!D:D))</f>
        <v>其他</v>
      </c>
      <c r="H7" s="126" t="str">
        <f>_xlfn.XLOOKUP(A7,[1]分配表!J:J,[1]分配表!I:I)</f>
        <v>原开品</v>
      </c>
      <c r="I7" s="65">
        <f>COUNTIFS([1]月销售数据!L:L,A7,[1]月销售数据!M:M,"&gt;=2026-4-1",[1]月销售数据!M:M,"&lt;=2026-4-30")</f>
        <v>2</v>
      </c>
      <c r="J7" s="65">
        <f>COUNTIFS([1]月销售数据!L:L,A7,[1]月销售数据!M:M,"&gt;=2026-5-1",[1]月销售数据!M:M,"&lt;=2026-5-31")</f>
        <v>1</v>
      </c>
      <c r="K7" s="127" t="s">
        <v>46</v>
      </c>
      <c r="L7" s="127" t="s">
        <v>46</v>
      </c>
      <c r="M7" s="127" t="s">
        <v>48</v>
      </c>
      <c r="N7" s="127" t="s">
        <v>48</v>
      </c>
      <c r="O7" s="65">
        <v>17</v>
      </c>
      <c r="P7" s="65">
        <v>21</v>
      </c>
      <c r="Q7" s="67">
        <v>1556.53</v>
      </c>
      <c r="R7" s="110">
        <v>2089.5</v>
      </c>
      <c r="S7" s="65">
        <v>0</v>
      </c>
      <c r="T7" s="65">
        <v>0</v>
      </c>
      <c r="U7" s="65">
        <v>17</v>
      </c>
      <c r="V7" s="65">
        <f t="shared" si="0"/>
        <v>21</v>
      </c>
      <c r="W7" s="71">
        <v>1</v>
      </c>
      <c r="X7" s="128">
        <v>1</v>
      </c>
      <c r="Y7" s="65">
        <v>0</v>
      </c>
      <c r="Z7" s="67">
        <v>0</v>
      </c>
      <c r="AA7" s="67">
        <v>0</v>
      </c>
      <c r="AB7" s="129" t="e">
        <v>#DIV/0!</v>
      </c>
      <c r="AC7" s="129">
        <v>0</v>
      </c>
      <c r="AD7" s="65">
        <v>0</v>
      </c>
      <c r="AE7" s="67">
        <v>0</v>
      </c>
      <c r="AF7" s="67">
        <v>0</v>
      </c>
      <c r="AG7" s="129" t="e">
        <v>#DIV/0!</v>
      </c>
      <c r="AH7" s="129">
        <v>0</v>
      </c>
      <c r="AI7" s="67">
        <v>40.41</v>
      </c>
      <c r="AJ7" s="67">
        <v>1649.29</v>
      </c>
      <c r="AK7" s="129">
        <v>0.0245014521400118</v>
      </c>
      <c r="AL7" s="129">
        <v>0.025961594058579</v>
      </c>
      <c r="AM7" s="129">
        <v>0.0309534670067394</v>
      </c>
      <c r="AN7" s="67">
        <v>62.67</v>
      </c>
      <c r="AO7" s="67">
        <v>2088.7</v>
      </c>
      <c r="AP7" s="129">
        <v>0.0300043089002729</v>
      </c>
      <c r="AQ7" s="129">
        <v>0.0299928212491027</v>
      </c>
      <c r="AR7" s="129">
        <v>0.0354726011007418</v>
      </c>
    </row>
    <row r="8" customFormat="1" ht="22.5" customHeight="1" spans="1:53">
      <c r="A8" s="72">
        <v>11102</v>
      </c>
      <c r="B8" s="62" t="s">
        <v>56</v>
      </c>
      <c r="C8" s="63">
        <f>_xlfn.XLOOKUP(A8,[1]分配表!J:J,[1]分配表!L:L)</f>
        <v>46085</v>
      </c>
      <c r="D8" s="63">
        <f>IF(_xlfn.XLOOKUP(A8,[1]分配表!J:J,[1]分配表!M:M)=0,"未出单",_xlfn.XLOOKUP(A8,[1]分配表!J:J,[1]分配表!M:M))</f>
        <v>46100</v>
      </c>
      <c r="E8" s="64" t="s">
        <v>57</v>
      </c>
      <c r="F8" s="126" t="str">
        <f>_xlfn.XLOOKUP(A8,[1]分配表!A:A,[1]分配表!C:C)</f>
        <v>张潇</v>
      </c>
      <c r="G8" s="126" t="str">
        <f>IF(_xlfn.XLOOKUP($A8,[1]分配表!$A:$A,[1]分配表!D:D)=0,"未分类",_xlfn.XLOOKUP($A8,[1]分配表!$A:$A,[1]分配表!D:D))</f>
        <v>车门系统</v>
      </c>
      <c r="H8" s="126" t="str">
        <f>_xlfn.XLOOKUP(A8,[1]分配表!J:J,[1]分配表!I:I)</f>
        <v>原开品</v>
      </c>
      <c r="I8" s="65">
        <f>COUNTIFS([1]月销售数据!L:L,A8,[1]月销售数据!M:M,"&gt;=2026-4-1",[1]月销售数据!M:M,"&lt;=2026-4-30")</f>
        <v>4</v>
      </c>
      <c r="J8" s="65">
        <f>COUNTIFS([1]月销售数据!L:L,A8,[1]月销售数据!M:M,"&gt;=2026-5-1",[1]月销售数据!M:M,"&lt;=2026-5-31")</f>
        <v>3</v>
      </c>
      <c r="K8" s="127" t="s">
        <v>58</v>
      </c>
      <c r="L8" s="127" t="s">
        <v>58</v>
      </c>
      <c r="M8" s="127" t="s">
        <v>53</v>
      </c>
      <c r="N8" s="127" t="s">
        <v>53</v>
      </c>
      <c r="O8" s="65">
        <v>10</v>
      </c>
      <c r="P8" s="65">
        <v>16</v>
      </c>
      <c r="Q8" s="67">
        <v>300.95</v>
      </c>
      <c r="R8" s="110">
        <v>448.96</v>
      </c>
      <c r="S8" s="65">
        <v>7</v>
      </c>
      <c r="T8" s="65">
        <v>12</v>
      </c>
      <c r="U8" s="65">
        <v>17</v>
      </c>
      <c r="V8" s="65">
        <f t="shared" si="0"/>
        <v>28</v>
      </c>
      <c r="W8" s="71">
        <v>0.588235294117647</v>
      </c>
      <c r="X8" s="128">
        <v>0.571428571428571</v>
      </c>
      <c r="Y8" s="65">
        <v>6</v>
      </c>
      <c r="Z8" s="67">
        <v>200.2</v>
      </c>
      <c r="AA8" s="67">
        <v>21.5</v>
      </c>
      <c r="AB8" s="129">
        <v>0.107392607392607</v>
      </c>
      <c r="AC8" s="129">
        <v>0.071440438611065</v>
      </c>
      <c r="AD8" s="65">
        <v>9</v>
      </c>
      <c r="AE8" s="67">
        <v>286.96</v>
      </c>
      <c r="AF8" s="67">
        <v>18.59</v>
      </c>
      <c r="AG8" s="129">
        <v>0.0647825480903262</v>
      </c>
      <c r="AH8" s="129">
        <v>0.0414068068424804</v>
      </c>
      <c r="AI8" s="67">
        <v>6.04</v>
      </c>
      <c r="AJ8" s="67">
        <v>201.47</v>
      </c>
      <c r="AK8" s="129">
        <v>0.0299796495756192</v>
      </c>
      <c r="AL8" s="129">
        <v>0.020069779033062</v>
      </c>
      <c r="AM8" s="129">
        <v>0.0990529988370161</v>
      </c>
      <c r="AN8" s="67">
        <v>0</v>
      </c>
      <c r="AO8" s="67">
        <v>0</v>
      </c>
      <c r="AP8" s="129" t="e">
        <v>#DIV/0!</v>
      </c>
      <c r="AQ8" s="129">
        <v>0</v>
      </c>
      <c r="AR8" s="129">
        <v>0.0667320028510335</v>
      </c>
    </row>
    <row r="9" customFormat="1" ht="22.5" customHeight="1" spans="1:53">
      <c r="A9" s="72">
        <v>12071</v>
      </c>
      <c r="B9" s="62" t="s">
        <v>59</v>
      </c>
      <c r="C9" s="63">
        <f>_xlfn.XLOOKUP(A9,[1]分配表!J:J,[1]分配表!L:L)</f>
        <v>46085</v>
      </c>
      <c r="D9" s="63">
        <f>IF(_xlfn.XLOOKUP(A9,[1]分配表!J:J,[1]分配表!M:M)=0,"未出单",_xlfn.XLOOKUP(A9,[1]分配表!J:J,[1]分配表!M:M))</f>
        <v>46092</v>
      </c>
      <c r="E9" s="64" t="s">
        <v>52</v>
      </c>
      <c r="F9" s="126" t="str">
        <f>_xlfn.XLOOKUP(A9,[1]分配表!A:A,[1]分配表!C:C)</f>
        <v>胡煜星</v>
      </c>
      <c r="G9" s="126" t="str">
        <f>IF(_xlfn.XLOOKUP($A9,[1]分配表!$A:$A,[1]分配表!D:D)=0,"未分类",_xlfn.XLOOKUP($A9,[1]分配表!$A:$A,[1]分配表!D:D))</f>
        <v>车身外扩件</v>
      </c>
      <c r="H9" s="126" t="str">
        <f>_xlfn.XLOOKUP(A9,[1]分配表!J:J,[1]分配表!I:I)</f>
        <v>拓展品</v>
      </c>
      <c r="I9" s="65">
        <f>COUNTIFS([1]月销售数据!L:L,A9,[1]月销售数据!M:M,"&gt;=2026-4-1",[1]月销售数据!M:M,"&lt;=2026-4-30")</f>
        <v>1</v>
      </c>
      <c r="J9" s="65">
        <f>COUNTIFS([1]月销售数据!L:L,A9,[1]月销售数据!M:M,"&gt;=2026-5-1",[1]月销售数据!M:M,"&lt;=2026-5-31")</f>
        <v>1</v>
      </c>
      <c r="K9" s="127" t="s">
        <v>46</v>
      </c>
      <c r="L9" s="127" t="s">
        <v>46</v>
      </c>
      <c r="M9" s="127" t="s">
        <v>53</v>
      </c>
      <c r="N9" s="127" t="s">
        <v>47</v>
      </c>
      <c r="O9" s="65">
        <v>4</v>
      </c>
      <c r="P9" s="65">
        <v>5</v>
      </c>
      <c r="Q9" s="67">
        <v>1196</v>
      </c>
      <c r="R9" s="110">
        <v>1480.05</v>
      </c>
      <c r="S9" s="65">
        <v>1</v>
      </c>
      <c r="T9" s="65">
        <v>1</v>
      </c>
      <c r="U9" s="65">
        <v>5</v>
      </c>
      <c r="V9" s="65">
        <f t="shared" si="0"/>
        <v>6</v>
      </c>
      <c r="W9" s="71">
        <v>0.8</v>
      </c>
      <c r="X9" s="128">
        <v>0.833333333333333</v>
      </c>
      <c r="Y9" s="65">
        <v>0</v>
      </c>
      <c r="Z9" s="67">
        <v>0</v>
      </c>
      <c r="AA9" s="67">
        <v>0</v>
      </c>
      <c r="AB9" s="129" t="e">
        <v>#DIV/0!</v>
      </c>
      <c r="AC9" s="129">
        <v>0</v>
      </c>
      <c r="AD9" s="65">
        <v>0</v>
      </c>
      <c r="AE9" s="67">
        <v>0</v>
      </c>
      <c r="AF9" s="67">
        <v>0</v>
      </c>
      <c r="AG9" s="129" t="e">
        <v>#DIV/0!</v>
      </c>
      <c r="AH9" s="129">
        <v>0</v>
      </c>
      <c r="AI9" s="67">
        <v>19.14</v>
      </c>
      <c r="AJ9" s="67">
        <v>956.73</v>
      </c>
      <c r="AK9" s="129">
        <v>0.0200056442256436</v>
      </c>
      <c r="AL9" s="129">
        <v>0.0160033444816054</v>
      </c>
      <c r="AM9" s="129">
        <v>0.0194983277591973</v>
      </c>
      <c r="AN9" s="67">
        <v>18.76</v>
      </c>
      <c r="AO9" s="67">
        <v>937.96</v>
      </c>
      <c r="AP9" s="129">
        <v>0.0200008529148365</v>
      </c>
      <c r="AQ9" s="129">
        <v>0.0126752474578562</v>
      </c>
      <c r="AR9" s="129">
        <v>0.018046687611905</v>
      </c>
    </row>
    <row r="10" customFormat="1" ht="22.5" customHeight="1" spans="1:53">
      <c r="A10" s="72">
        <v>12072</v>
      </c>
      <c r="B10" s="62" t="s">
        <v>60</v>
      </c>
      <c r="C10" s="63">
        <f>_xlfn.XLOOKUP(A10,[1]分配表!J:J,[1]分配表!L:L)</f>
        <v>46085</v>
      </c>
      <c r="D10" s="63">
        <f>IF(_xlfn.XLOOKUP(A10,[1]分配表!J:J,[1]分配表!M:M)=0,"未出单",_xlfn.XLOOKUP(A10,[1]分配表!J:J,[1]分配表!M:M))</f>
        <v>46112</v>
      </c>
      <c r="E10" s="64" t="s">
        <v>52</v>
      </c>
      <c r="F10" s="126" t="str">
        <f>_xlfn.XLOOKUP(A10,[1]分配表!A:A,[1]分配表!C:C)</f>
        <v>胡煜星</v>
      </c>
      <c r="G10" s="126" t="str">
        <f>IF(_xlfn.XLOOKUP($A10,[1]分配表!$A:$A,[1]分配表!D:D)=0,"未分类",_xlfn.XLOOKUP($A10,[1]分配表!$A:$A,[1]分配表!D:D))</f>
        <v>车身外扩件</v>
      </c>
      <c r="H10" s="126" t="str">
        <f>_xlfn.XLOOKUP(A10,[1]分配表!J:J,[1]分配表!I:I)</f>
        <v>原开品</v>
      </c>
      <c r="I10" s="65">
        <f>COUNTIFS([1]月销售数据!L:L,A10,[1]月销售数据!M:M,"&gt;=2026-4-1",[1]月销售数据!M:M,"&lt;=2026-4-30")</f>
        <v>1</v>
      </c>
      <c r="J10" s="65">
        <f>COUNTIFS([1]月销售数据!L:L,A10,[1]月销售数据!M:M,"&gt;=2026-5-1",[1]月销售数据!M:M,"&lt;=2026-5-31")</f>
        <v>1</v>
      </c>
      <c r="K10" s="127" t="s">
        <v>58</v>
      </c>
      <c r="L10" s="127" t="s">
        <v>58</v>
      </c>
      <c r="M10" s="127" t="s">
        <v>48</v>
      </c>
      <c r="N10" s="127" t="s">
        <v>47</v>
      </c>
      <c r="O10" s="65">
        <v>3</v>
      </c>
      <c r="P10" s="65">
        <v>2</v>
      </c>
      <c r="Q10" s="67">
        <v>897</v>
      </c>
      <c r="R10" s="110">
        <v>598</v>
      </c>
      <c r="S10" s="65">
        <v>0</v>
      </c>
      <c r="T10" s="65">
        <v>0</v>
      </c>
      <c r="U10" s="65">
        <v>3</v>
      </c>
      <c r="V10" s="65">
        <f t="shared" si="0"/>
        <v>2</v>
      </c>
      <c r="W10" s="71">
        <v>1</v>
      </c>
      <c r="X10" s="128">
        <v>1</v>
      </c>
      <c r="Y10" s="65">
        <v>0</v>
      </c>
      <c r="Z10" s="67">
        <v>0</v>
      </c>
      <c r="AA10" s="67">
        <v>0</v>
      </c>
      <c r="AB10" s="129" t="e">
        <v>#DIV/0!</v>
      </c>
      <c r="AC10" s="129">
        <v>0</v>
      </c>
      <c r="AD10" s="65">
        <v>0</v>
      </c>
      <c r="AE10" s="67">
        <v>0</v>
      </c>
      <c r="AF10" s="67">
        <v>0</v>
      </c>
      <c r="AG10" s="129" t="e">
        <v>#DIV/0!</v>
      </c>
      <c r="AH10" s="129">
        <v>0</v>
      </c>
      <c r="AI10" s="67">
        <v>18.92</v>
      </c>
      <c r="AJ10" s="67">
        <v>945.96</v>
      </c>
      <c r="AK10" s="129">
        <v>0.020000845701721</v>
      </c>
      <c r="AL10" s="129">
        <v>0.0210925306577481</v>
      </c>
      <c r="AM10" s="129">
        <v>0.0242586399108138</v>
      </c>
      <c r="AN10" s="67">
        <v>0</v>
      </c>
      <c r="AO10" s="67">
        <v>0</v>
      </c>
      <c r="AP10" s="129" t="e">
        <v>#DIV/0!</v>
      </c>
      <c r="AQ10" s="129">
        <v>0</v>
      </c>
      <c r="AR10" s="129">
        <v>0.00538461538461539</v>
      </c>
    </row>
    <row r="11" customFormat="1" ht="22.5" customHeight="1" spans="1:53">
      <c r="A11" s="72">
        <v>12248</v>
      </c>
      <c r="B11" s="62" t="s">
        <v>61</v>
      </c>
      <c r="C11" s="63">
        <f>_xlfn.XLOOKUP(A11,[1]分配表!J:J,[1]分配表!L:L)</f>
        <v>46085</v>
      </c>
      <c r="D11" s="63">
        <f>IF(_xlfn.XLOOKUP(A11,[1]分配表!J:J,[1]分配表!M:M)=0,"未出单",_xlfn.XLOOKUP(A11,[1]分配表!J:J,[1]分配表!M:M))</f>
        <v>46091</v>
      </c>
      <c r="E11" s="64" t="s">
        <v>52</v>
      </c>
      <c r="F11" s="126" t="str">
        <f>_xlfn.XLOOKUP(A11,[1]分配表!A:A,[1]分配表!C:C)</f>
        <v>胡煜星</v>
      </c>
      <c r="G11" s="126" t="str">
        <f>IF(_xlfn.XLOOKUP($A11,[1]分配表!$A:$A,[1]分配表!D:D)=0,"未分类",_xlfn.XLOOKUP($A11,[1]分配表!$A:$A,[1]分配表!D:D))</f>
        <v>其他</v>
      </c>
      <c r="H11" s="126" t="str">
        <f>_xlfn.XLOOKUP(A11,[1]分配表!J:J,[1]分配表!I:I)</f>
        <v>原开品</v>
      </c>
      <c r="I11" s="65">
        <f>COUNTIFS([1]月销售数据!L:L,A11,[1]月销售数据!M:M,"&gt;=2026-4-1",[1]月销售数据!M:M,"&lt;=2026-4-30")</f>
        <v>2</v>
      </c>
      <c r="J11" s="65">
        <f>COUNTIFS([1]月销售数据!L:L,A11,[1]月销售数据!M:M,"&gt;=2026-5-1",[1]月销售数据!M:M,"&lt;=2026-5-31")</f>
        <v>2</v>
      </c>
      <c r="K11" s="127" t="s">
        <v>46</v>
      </c>
      <c r="L11" s="127" t="s">
        <v>46</v>
      </c>
      <c r="M11" s="127" t="s">
        <v>53</v>
      </c>
      <c r="N11" s="127" t="s">
        <v>53</v>
      </c>
      <c r="O11" s="65">
        <v>19</v>
      </c>
      <c r="P11" s="65">
        <v>17</v>
      </c>
      <c r="Q11" s="67">
        <v>1622</v>
      </c>
      <c r="R11" s="110">
        <v>1454</v>
      </c>
      <c r="S11" s="65">
        <v>9</v>
      </c>
      <c r="T11" s="65">
        <v>11</v>
      </c>
      <c r="U11" s="65">
        <v>28</v>
      </c>
      <c r="V11" s="65">
        <f t="shared" si="0"/>
        <v>28</v>
      </c>
      <c r="W11" s="71">
        <v>0.678571428571429</v>
      </c>
      <c r="X11" s="128">
        <v>0.607142857142857</v>
      </c>
      <c r="Y11" s="65">
        <v>3</v>
      </c>
      <c r="Z11" s="67">
        <v>260.1</v>
      </c>
      <c r="AA11" s="67">
        <v>24.54</v>
      </c>
      <c r="AB11" s="129">
        <v>0.0943483275663206</v>
      </c>
      <c r="AC11" s="129">
        <v>0.0151294697903822</v>
      </c>
      <c r="AD11" s="65">
        <v>0</v>
      </c>
      <c r="AE11" s="67">
        <v>0</v>
      </c>
      <c r="AF11" s="67">
        <v>0</v>
      </c>
      <c r="AG11" s="129" t="e">
        <v>#DIV/0!</v>
      </c>
      <c r="AH11" s="129">
        <v>0</v>
      </c>
      <c r="AI11" s="67">
        <v>41.76</v>
      </c>
      <c r="AJ11" s="67">
        <v>1725.73</v>
      </c>
      <c r="AK11" s="129">
        <v>0.0241984551465177</v>
      </c>
      <c r="AL11" s="129">
        <v>0.0257459926017263</v>
      </c>
      <c r="AM11" s="129">
        <v>0.0466276202219482</v>
      </c>
      <c r="AN11" s="67">
        <v>52.74</v>
      </c>
      <c r="AO11" s="67">
        <v>1636.79</v>
      </c>
      <c r="AP11" s="129">
        <v>0.0322216044819433</v>
      </c>
      <c r="AQ11" s="129">
        <v>0.0362723521320495</v>
      </c>
      <c r="AR11" s="129">
        <v>0.040687757909216</v>
      </c>
    </row>
    <row r="12" customFormat="1" ht="22.5" customHeight="1" spans="1:53">
      <c r="A12" s="72">
        <v>12246</v>
      </c>
      <c r="B12" s="62" t="s">
        <v>62</v>
      </c>
      <c r="C12" s="63">
        <f>_xlfn.XLOOKUP(A12,[1]分配表!J:J,[1]分配表!L:L)</f>
        <v>46085</v>
      </c>
      <c r="D12" s="63">
        <f>IF(_xlfn.XLOOKUP(A12,[1]分配表!J:J,[1]分配表!M:M)=0,"未出单",_xlfn.XLOOKUP(A12,[1]分配表!J:J,[1]分配表!M:M))</f>
        <v>46086</v>
      </c>
      <c r="E12" s="64" t="s">
        <v>52</v>
      </c>
      <c r="F12" s="126" t="str">
        <f>_xlfn.XLOOKUP(A12,[1]分配表!A:A,[1]分配表!C:C)</f>
        <v>胡煜星</v>
      </c>
      <c r="G12" s="126" t="str">
        <f>IF(_xlfn.XLOOKUP($A12,[1]分配表!$A:$A,[1]分配表!D:D)=0,"未分类",_xlfn.XLOOKUP($A12,[1]分配表!$A:$A,[1]分配表!D:D))</f>
        <v>其他</v>
      </c>
      <c r="H12" s="126" t="str">
        <f>_xlfn.XLOOKUP(A12,[1]分配表!J:J,[1]分配表!I:I)</f>
        <v>原开品</v>
      </c>
      <c r="I12" s="65">
        <f>COUNTIFS([1]月销售数据!L:L,A12,[1]月销售数据!M:M,"&gt;=2026-4-1",[1]月销售数据!M:M,"&lt;=2026-4-30")</f>
        <v>3</v>
      </c>
      <c r="J12" s="65">
        <f>COUNTIFS([1]月销售数据!L:L,A12,[1]月销售数据!M:M,"&gt;=2026-5-1",[1]月销售数据!M:M,"&lt;=2026-5-31")</f>
        <v>4</v>
      </c>
      <c r="K12" s="127" t="s">
        <v>46</v>
      </c>
      <c r="L12" s="127" t="s">
        <v>46</v>
      </c>
      <c r="M12" s="127" t="s">
        <v>48</v>
      </c>
      <c r="N12" s="127" t="s">
        <v>48</v>
      </c>
      <c r="O12" s="65">
        <v>48</v>
      </c>
      <c r="P12" s="65">
        <v>36</v>
      </c>
      <c r="Q12" s="67">
        <v>4153.75</v>
      </c>
      <c r="R12" s="110">
        <v>3323</v>
      </c>
      <c r="S12" s="65">
        <v>0</v>
      </c>
      <c r="T12" s="65">
        <v>2</v>
      </c>
      <c r="U12" s="65">
        <v>48</v>
      </c>
      <c r="V12" s="65">
        <f t="shared" si="0"/>
        <v>38</v>
      </c>
      <c r="W12" s="71">
        <v>1</v>
      </c>
      <c r="X12" s="128">
        <v>0.947368421052632</v>
      </c>
      <c r="Y12" s="65">
        <v>10</v>
      </c>
      <c r="Z12" s="67">
        <v>923.47</v>
      </c>
      <c r="AA12" s="67">
        <v>69.28</v>
      </c>
      <c r="AB12" s="129">
        <v>0.0750213867261524</v>
      </c>
      <c r="AC12" s="129">
        <v>0.0166789046042732</v>
      </c>
      <c r="AD12" s="65">
        <v>6</v>
      </c>
      <c r="AE12" s="67">
        <v>579.93</v>
      </c>
      <c r="AF12" s="67">
        <v>32.63</v>
      </c>
      <c r="AG12" s="129">
        <v>0.0562654113427483</v>
      </c>
      <c r="AH12" s="129">
        <v>0.00981944026482095</v>
      </c>
      <c r="AI12" s="67">
        <v>42.01</v>
      </c>
      <c r="AJ12" s="67">
        <v>2100.56</v>
      </c>
      <c r="AK12" s="129">
        <v>0.0199994287237689</v>
      </c>
      <c r="AL12" s="129">
        <v>0.0101137526331628</v>
      </c>
      <c r="AM12" s="129">
        <v>0.0308155281372254</v>
      </c>
      <c r="AN12" s="67">
        <v>16.87</v>
      </c>
      <c r="AO12" s="67">
        <v>559.71</v>
      </c>
      <c r="AP12" s="129">
        <v>0.030140608529417</v>
      </c>
      <c r="AQ12" s="129">
        <v>0.0050767378874511</v>
      </c>
      <c r="AR12" s="129">
        <v>0.0192266024676497</v>
      </c>
    </row>
    <row r="13" customFormat="1" ht="22.5" customHeight="1" spans="1:53">
      <c r="A13" s="72">
        <v>12205</v>
      </c>
      <c r="B13" s="62" t="s">
        <v>63</v>
      </c>
      <c r="C13" s="63">
        <f>_xlfn.XLOOKUP(A13,[1]分配表!J:J,[1]分配表!L:L)</f>
        <v>46086</v>
      </c>
      <c r="D13" s="63">
        <f>IF(_xlfn.XLOOKUP(A13,[1]分配表!J:J,[1]分配表!M:M)=0,"未出单",_xlfn.XLOOKUP(A13,[1]分配表!J:J,[1]分配表!M:M))</f>
        <v>46089</v>
      </c>
      <c r="E13" s="64" t="s">
        <v>52</v>
      </c>
      <c r="F13" s="126" t="str">
        <f>_xlfn.XLOOKUP(A13,[1]分配表!A:A,[1]分配表!C:C)</f>
        <v>胡煜星</v>
      </c>
      <c r="G13" s="126" t="str">
        <f>IF(_xlfn.XLOOKUP($A13,[1]分配表!$A:$A,[1]分配表!D:D)=0,"未分类",_xlfn.XLOOKUP($A13,[1]分配表!$A:$A,[1]分配表!D:D))</f>
        <v>车门系统</v>
      </c>
      <c r="H13" s="126" t="str">
        <f>_xlfn.XLOOKUP(A13,[1]分配表!J:J,[1]分配表!I:I)</f>
        <v>原开品</v>
      </c>
      <c r="I13" s="65">
        <f>COUNTIFS([1]月销售数据!L:L,A13,[1]月销售数据!M:M,"&gt;=2026-4-1",[1]月销售数据!M:M,"&lt;=2026-4-30")</f>
        <v>5</v>
      </c>
      <c r="J13" s="65">
        <f>COUNTIFS([1]月销售数据!L:L,A13,[1]月销售数据!M:M,"&gt;=2026-5-1",[1]月销售数据!M:M,"&lt;=2026-5-31")</f>
        <v>4</v>
      </c>
      <c r="K13" s="127" t="s">
        <v>46</v>
      </c>
      <c r="L13" s="127" t="s">
        <v>46</v>
      </c>
      <c r="M13" s="127" t="s">
        <v>53</v>
      </c>
      <c r="N13" s="127" t="s">
        <v>53</v>
      </c>
      <c r="O13" s="65">
        <v>33</v>
      </c>
      <c r="P13" s="65">
        <v>19</v>
      </c>
      <c r="Q13" s="67">
        <v>726</v>
      </c>
      <c r="R13" s="110">
        <v>417.36</v>
      </c>
      <c r="S13" s="65">
        <v>85</v>
      </c>
      <c r="T13" s="65">
        <v>58</v>
      </c>
      <c r="U13" s="65">
        <v>118</v>
      </c>
      <c r="V13" s="65">
        <f t="shared" si="0"/>
        <v>77</v>
      </c>
      <c r="W13" s="71">
        <v>0.279661016949153</v>
      </c>
      <c r="X13" s="128">
        <v>0.246753246753247</v>
      </c>
      <c r="Y13" s="65">
        <v>2</v>
      </c>
      <c r="Z13" s="67">
        <v>47.3</v>
      </c>
      <c r="AA13" s="67">
        <v>1.18</v>
      </c>
      <c r="AB13" s="129">
        <v>0.0249471458773784</v>
      </c>
      <c r="AC13" s="129">
        <v>0.00162534435261708</v>
      </c>
      <c r="AD13" s="65">
        <v>3</v>
      </c>
      <c r="AE13" s="67">
        <v>72.56</v>
      </c>
      <c r="AF13" s="67">
        <v>5.28</v>
      </c>
      <c r="AG13" s="129">
        <v>0.0727673649393605</v>
      </c>
      <c r="AH13" s="129">
        <v>0.0126509488211616</v>
      </c>
      <c r="AI13" s="67">
        <v>51.02</v>
      </c>
      <c r="AJ13" s="67">
        <v>782.16</v>
      </c>
      <c r="AK13" s="129">
        <v>0.0652296205379973</v>
      </c>
      <c r="AL13" s="129">
        <v>0.0702754820936639</v>
      </c>
      <c r="AM13" s="129">
        <v>0.0862534435261708</v>
      </c>
      <c r="AN13" s="67">
        <v>26.58</v>
      </c>
      <c r="AO13" s="67">
        <v>448.77</v>
      </c>
      <c r="AP13" s="129">
        <v>0.0592285580586938</v>
      </c>
      <c r="AQ13" s="129">
        <v>0.0636860264519839</v>
      </c>
      <c r="AR13" s="129">
        <v>0.0899702894383745</v>
      </c>
    </row>
    <row r="14" customFormat="1" ht="22.5" customHeight="1" spans="1:53">
      <c r="A14" s="72">
        <v>12206</v>
      </c>
      <c r="B14" s="62" t="s">
        <v>64</v>
      </c>
      <c r="C14" s="63">
        <f>_xlfn.XLOOKUP(A14,[1]分配表!J:J,[1]分配表!L:L)</f>
        <v>46086</v>
      </c>
      <c r="D14" s="63">
        <f>IF(_xlfn.XLOOKUP(A14,[1]分配表!J:J,[1]分配表!M:M)=0,"未出单",_xlfn.XLOOKUP(A14,[1]分配表!J:J,[1]分配表!M:M))</f>
        <v>46094</v>
      </c>
      <c r="E14" s="64" t="s">
        <v>52</v>
      </c>
      <c r="F14" s="126" t="str">
        <f>_xlfn.XLOOKUP(A14,[1]分配表!A:A,[1]分配表!C:C)</f>
        <v>胡煜星</v>
      </c>
      <c r="G14" s="126" t="str">
        <f>IF(_xlfn.XLOOKUP($A14,[1]分配表!$A:$A,[1]分配表!D:D)=0,"未分类",_xlfn.XLOOKUP($A14,[1]分配表!$A:$A,[1]分配表!D:D))</f>
        <v>车门系统</v>
      </c>
      <c r="H14" s="126" t="str">
        <f>_xlfn.XLOOKUP(A14,[1]分配表!J:J,[1]分配表!I:I)</f>
        <v>原开品</v>
      </c>
      <c r="I14" s="65">
        <f>COUNTIFS([1]月销售数据!L:L,A14,[1]月销售数据!M:M,"&gt;=2026-4-1",[1]月销售数据!M:M,"&lt;=2026-4-30")</f>
        <v>3</v>
      </c>
      <c r="J14" s="65">
        <f>COUNTIFS([1]月销售数据!L:L,A14,[1]月销售数据!M:M,"&gt;=2026-5-1",[1]月销售数据!M:M,"&lt;=2026-5-31")</f>
        <v>2</v>
      </c>
      <c r="K14" s="127" t="s">
        <v>46</v>
      </c>
      <c r="L14" s="127" t="s">
        <v>46</v>
      </c>
      <c r="M14" s="127" t="s">
        <v>53</v>
      </c>
      <c r="N14" s="127" t="s">
        <v>53</v>
      </c>
      <c r="O14" s="65">
        <v>4</v>
      </c>
      <c r="P14" s="65">
        <v>8</v>
      </c>
      <c r="Q14" s="67">
        <v>88</v>
      </c>
      <c r="R14" s="110">
        <v>176</v>
      </c>
      <c r="S14" s="65">
        <v>10</v>
      </c>
      <c r="T14" s="65">
        <v>18</v>
      </c>
      <c r="U14" s="65">
        <v>14</v>
      </c>
      <c r="V14" s="65">
        <f t="shared" si="0"/>
        <v>26</v>
      </c>
      <c r="W14" s="71">
        <v>0.285714285714286</v>
      </c>
      <c r="X14" s="128">
        <v>0.307692307692308</v>
      </c>
      <c r="Y14" s="65">
        <v>0</v>
      </c>
      <c r="Z14" s="67">
        <v>0</v>
      </c>
      <c r="AA14" s="67">
        <v>0</v>
      </c>
      <c r="AB14" s="129" t="e">
        <v>#DIV/0!</v>
      </c>
      <c r="AC14" s="129">
        <v>0</v>
      </c>
      <c r="AD14" s="65">
        <v>1</v>
      </c>
      <c r="AE14" s="67">
        <v>23.87</v>
      </c>
      <c r="AF14" s="67">
        <v>2.04</v>
      </c>
      <c r="AG14" s="129">
        <v>0.0854629241726016</v>
      </c>
      <c r="AH14" s="129">
        <v>0.0115909090909091</v>
      </c>
      <c r="AI14" s="67">
        <v>3.29</v>
      </c>
      <c r="AJ14" s="67">
        <v>46.98</v>
      </c>
      <c r="AK14" s="129">
        <v>0.0700297999148574</v>
      </c>
      <c r="AL14" s="129">
        <v>0.0373863636363636</v>
      </c>
      <c r="AM14" s="129">
        <v>0.0459090909090909</v>
      </c>
      <c r="AN14" s="67">
        <v>8.33</v>
      </c>
      <c r="AO14" s="67">
        <v>190.72</v>
      </c>
      <c r="AP14" s="129">
        <v>0.0436765939597315</v>
      </c>
      <c r="AQ14" s="129">
        <v>0.0473295454545455</v>
      </c>
      <c r="AR14" s="129">
        <v>0.064375</v>
      </c>
    </row>
    <row r="15" customFormat="1" ht="22.5" customHeight="1" spans="1:53">
      <c r="A15" s="72">
        <v>11997</v>
      </c>
      <c r="B15" s="62" t="s">
        <v>65</v>
      </c>
      <c r="C15" s="63">
        <f>_xlfn.XLOOKUP(A15,[1]分配表!J:J,[1]分配表!L:L)</f>
        <v>46091</v>
      </c>
      <c r="D15" s="63">
        <f>IF(_xlfn.XLOOKUP(A15,[1]分配表!J:J,[1]分配表!M:M)=0,"未出单",_xlfn.XLOOKUP(A15,[1]分配表!J:J,[1]分配表!M:M))</f>
        <v>46105</v>
      </c>
      <c r="E15" s="64" t="s">
        <v>57</v>
      </c>
      <c r="F15" s="126" t="str">
        <f>_xlfn.XLOOKUP(A15,[1]分配表!A:A,[1]分配表!C:C)</f>
        <v>张潇</v>
      </c>
      <c r="G15" s="126" t="str">
        <f>IF(_xlfn.XLOOKUP($A15,[1]分配表!$A:$A,[1]分配表!D:D)=0,"未分类",_xlfn.XLOOKUP($A15,[1]分配表!$A:$A,[1]分配表!D:D))</f>
        <v>饰条</v>
      </c>
      <c r="H15" s="126" t="str">
        <f>_xlfn.XLOOKUP(A15,[1]分配表!J:J,[1]分配表!I:I)</f>
        <v>原开品</v>
      </c>
      <c r="I15" s="65">
        <f>COUNTIFS([1]月销售数据!L:L,A15,[1]月销售数据!M:M,"&gt;=2026-4-1",[1]月销售数据!M:M,"&lt;=2026-4-30")</f>
        <v>4</v>
      </c>
      <c r="J15" s="65">
        <f>COUNTIFS([1]月销售数据!L:L,A15,[1]月销售数据!M:M,"&gt;=2026-5-1",[1]月销售数据!M:M,"&lt;=2026-5-31")</f>
        <v>0</v>
      </c>
      <c r="K15" s="127" t="s">
        <v>58</v>
      </c>
      <c r="L15" s="127" t="s">
        <v>58</v>
      </c>
      <c r="M15" s="127" t="s">
        <v>48</v>
      </c>
      <c r="N15" s="127" t="s">
        <v>48</v>
      </c>
      <c r="O15" s="65">
        <v>7</v>
      </c>
      <c r="P15" s="65">
        <v>6</v>
      </c>
      <c r="Q15" s="67">
        <v>966.05</v>
      </c>
      <c r="R15" s="110">
        <v>827.05</v>
      </c>
      <c r="S15" s="65">
        <v>1</v>
      </c>
      <c r="T15" s="65">
        <v>0</v>
      </c>
      <c r="U15" s="65">
        <v>8</v>
      </c>
      <c r="V15" s="65">
        <f t="shared" si="0"/>
        <v>6</v>
      </c>
      <c r="W15" s="71">
        <v>0.875</v>
      </c>
      <c r="X15" s="128">
        <v>1</v>
      </c>
      <c r="Y15" s="65">
        <v>0</v>
      </c>
      <c r="Z15" s="67">
        <v>0</v>
      </c>
      <c r="AA15" s="67">
        <v>0.66</v>
      </c>
      <c r="AB15" s="129" t="e">
        <v>#DIV/0!</v>
      </c>
      <c r="AC15" s="129">
        <v>0.000683194451632938</v>
      </c>
      <c r="AD15" s="65">
        <v>0</v>
      </c>
      <c r="AE15" s="67">
        <v>0</v>
      </c>
      <c r="AF15" s="67">
        <v>0</v>
      </c>
      <c r="AG15" s="129" t="e">
        <v>#DIV/0!</v>
      </c>
      <c r="AH15" s="129">
        <v>0</v>
      </c>
      <c r="AI15" s="67">
        <v>20.57</v>
      </c>
      <c r="AJ15" s="67">
        <v>1029.17</v>
      </c>
      <c r="AK15" s="129">
        <v>0.0199869797992557</v>
      </c>
      <c r="AL15" s="129">
        <v>0.0212928937425599</v>
      </c>
      <c r="AM15" s="129">
        <v>0.0222866311267533</v>
      </c>
      <c r="AN15" s="67">
        <v>17.51</v>
      </c>
      <c r="AO15" s="67">
        <v>875.86</v>
      </c>
      <c r="AP15" s="129">
        <v>0.0199917795081406</v>
      </c>
      <c r="AQ15" s="129">
        <v>0.0211716341212744</v>
      </c>
      <c r="AR15" s="129">
        <v>0.0220421981742337</v>
      </c>
    </row>
    <row r="16" customFormat="1" ht="22.5" customHeight="1" spans="1:53">
      <c r="A16" s="72">
        <v>12262</v>
      </c>
      <c r="B16" s="62" t="s">
        <v>66</v>
      </c>
      <c r="C16" s="63">
        <f>_xlfn.XLOOKUP(A16,[1]分配表!J:J,[1]分配表!L:L)</f>
        <v>46091</v>
      </c>
      <c r="D16" s="63">
        <f>IF(_xlfn.XLOOKUP(A16,[1]分配表!J:J,[1]分配表!M:M)=0,"未出单",_xlfn.XLOOKUP(A16,[1]分配表!J:J,[1]分配表!M:M))</f>
        <v>46094</v>
      </c>
      <c r="E16" s="64" t="s">
        <v>57</v>
      </c>
      <c r="F16" s="126" t="str">
        <f>_xlfn.XLOOKUP(A16,[1]分配表!A:A,[1]分配表!C:C)</f>
        <v>张潇</v>
      </c>
      <c r="G16" s="126" t="str">
        <f>IF(_xlfn.XLOOKUP($A16,[1]分配表!$A:$A,[1]分配表!D:D)=0,"未分类",_xlfn.XLOOKUP($A16,[1]分配表!$A:$A,[1]分配表!D:D))</f>
        <v>机盖及附件</v>
      </c>
      <c r="H16" s="126" t="str">
        <f>_xlfn.XLOOKUP(A16,[1]分配表!J:J,[1]分配表!I:I)</f>
        <v>原开品</v>
      </c>
      <c r="I16" s="65">
        <f>COUNTIFS([1]月销售数据!L:L,A16,[1]月销售数据!M:M,"&gt;=2026-4-1",[1]月销售数据!M:M,"&lt;=2026-4-30")</f>
        <v>1</v>
      </c>
      <c r="J16" s="65">
        <f>COUNTIFS([1]月销售数据!L:L,A16,[1]月销售数据!M:M,"&gt;=2026-5-1",[1]月销售数据!M:M,"&lt;=2026-5-31")</f>
        <v>0</v>
      </c>
      <c r="K16" s="127" t="s">
        <v>46</v>
      </c>
      <c r="L16" s="127" t="s">
        <v>46</v>
      </c>
      <c r="M16" s="127" t="s">
        <v>47</v>
      </c>
      <c r="N16" s="127" t="s">
        <v>53</v>
      </c>
      <c r="O16" s="65">
        <v>4</v>
      </c>
      <c r="P16" s="65">
        <v>3</v>
      </c>
      <c r="Q16" s="67">
        <v>568</v>
      </c>
      <c r="R16" s="110">
        <v>426</v>
      </c>
      <c r="S16" s="65">
        <v>1</v>
      </c>
      <c r="T16" s="65">
        <v>2</v>
      </c>
      <c r="U16" s="65">
        <v>5</v>
      </c>
      <c r="V16" s="65">
        <f t="shared" si="0"/>
        <v>5</v>
      </c>
      <c r="W16" s="71">
        <v>0.8</v>
      </c>
      <c r="X16" s="128">
        <v>0.6</v>
      </c>
      <c r="Y16" s="65">
        <v>0</v>
      </c>
      <c r="Z16" s="67">
        <v>0</v>
      </c>
      <c r="AA16" s="67">
        <v>0</v>
      </c>
      <c r="AB16" s="129" t="e">
        <v>#DIV/0!</v>
      </c>
      <c r="AC16" s="129">
        <v>0</v>
      </c>
      <c r="AD16" s="65">
        <v>0</v>
      </c>
      <c r="AE16" s="67">
        <v>0</v>
      </c>
      <c r="AF16" s="67">
        <v>0</v>
      </c>
      <c r="AG16" s="129" t="e">
        <v>#DIV/0!</v>
      </c>
      <c r="AH16" s="129">
        <v>0</v>
      </c>
      <c r="AI16" s="67">
        <v>11.95</v>
      </c>
      <c r="AJ16" s="67">
        <v>597.32</v>
      </c>
      <c r="AK16" s="129">
        <v>0.0200060269202438</v>
      </c>
      <c r="AL16" s="129">
        <v>0.0210387323943662</v>
      </c>
      <c r="AM16" s="129">
        <v>0.0227816901408451</v>
      </c>
      <c r="AN16" s="67">
        <v>9.07</v>
      </c>
      <c r="AO16" s="67">
        <v>453.34</v>
      </c>
      <c r="AP16" s="129">
        <v>0.0200070587197247</v>
      </c>
      <c r="AQ16" s="129">
        <v>0.0212910798122066</v>
      </c>
      <c r="AR16" s="129">
        <v>0.0246244131455399</v>
      </c>
    </row>
    <row r="17" customFormat="1" ht="22.5" customHeight="1" spans="1:44">
      <c r="A17" s="72">
        <v>12244</v>
      </c>
      <c r="B17" s="62" t="s">
        <v>67</v>
      </c>
      <c r="C17" s="63">
        <f>_xlfn.XLOOKUP(A17,[1]分配表!J:J,[1]分配表!L:L)</f>
        <v>46091</v>
      </c>
      <c r="D17" s="63">
        <f>IF(_xlfn.XLOOKUP(A17,[1]分配表!J:J,[1]分配表!M:M)=0,"未出单",_xlfn.XLOOKUP(A17,[1]分配表!J:J,[1]分配表!M:M))</f>
        <v>46101</v>
      </c>
      <c r="E17" s="64" t="s">
        <v>57</v>
      </c>
      <c r="F17" s="126" t="str">
        <f>_xlfn.XLOOKUP(A17,[1]分配表!A:A,[1]分配表!C:C)</f>
        <v>张潇</v>
      </c>
      <c r="G17" s="126" t="str">
        <f>IF(_xlfn.XLOOKUP($A17,[1]分配表!$A:$A,[1]分配表!D:D)=0,"未分类",_xlfn.XLOOKUP($A17,[1]分配表!$A:$A,[1]分配表!D:D))</f>
        <v>饰条</v>
      </c>
      <c r="H17" s="126" t="str">
        <f>_xlfn.XLOOKUP(A17,[1]分配表!J:J,[1]分配表!I:I)</f>
        <v>原开品</v>
      </c>
      <c r="I17" s="65">
        <f>COUNTIFS([1]月销售数据!L:L,A17,[1]月销售数据!M:M,"&gt;=2026-4-1",[1]月销售数据!M:M,"&lt;=2026-4-30")</f>
        <v>4</v>
      </c>
      <c r="J17" s="65">
        <f>COUNTIFS([1]月销售数据!L:L,A17,[1]月销售数据!M:M,"&gt;=2026-5-1",[1]月销售数据!M:M,"&lt;=2026-5-31")</f>
        <v>4</v>
      </c>
      <c r="K17" s="127" t="s">
        <v>58</v>
      </c>
      <c r="L17" s="127" t="s">
        <v>58</v>
      </c>
      <c r="M17" s="127" t="s">
        <v>47</v>
      </c>
      <c r="N17" s="127" t="s">
        <v>53</v>
      </c>
      <c r="O17" s="65">
        <v>5</v>
      </c>
      <c r="P17" s="65">
        <v>1</v>
      </c>
      <c r="Q17" s="67">
        <v>190</v>
      </c>
      <c r="R17" s="110">
        <v>38</v>
      </c>
      <c r="S17" s="65">
        <v>1</v>
      </c>
      <c r="T17" s="65">
        <v>3</v>
      </c>
      <c r="U17" s="65">
        <v>6</v>
      </c>
      <c r="V17" s="65">
        <f t="shared" si="0"/>
        <v>4</v>
      </c>
      <c r="W17" s="71">
        <v>0.833333333333333</v>
      </c>
      <c r="X17" s="128">
        <v>0.25</v>
      </c>
      <c r="Y17" s="65">
        <v>5</v>
      </c>
      <c r="Z17" s="67">
        <v>208.11</v>
      </c>
      <c r="AA17" s="67">
        <v>7.57</v>
      </c>
      <c r="AB17" s="129">
        <v>0.0363749939935611</v>
      </c>
      <c r="AC17" s="129">
        <v>0.0398421052631579</v>
      </c>
      <c r="AD17" s="65">
        <v>1</v>
      </c>
      <c r="AE17" s="67">
        <v>40.52</v>
      </c>
      <c r="AF17" s="67">
        <v>3.91</v>
      </c>
      <c r="AG17" s="129">
        <v>0.0964955577492596</v>
      </c>
      <c r="AH17" s="129">
        <v>0.102894736842105</v>
      </c>
      <c r="AI17" s="67">
        <v>5</v>
      </c>
      <c r="AJ17" s="67">
        <v>249.63</v>
      </c>
      <c r="AK17" s="129">
        <v>0.0200296438729319</v>
      </c>
      <c r="AL17" s="129">
        <v>0.0263157894736842</v>
      </c>
      <c r="AM17" s="129">
        <v>0.0712105263157895</v>
      </c>
      <c r="AN17" s="67">
        <v>0</v>
      </c>
      <c r="AO17" s="67">
        <v>0</v>
      </c>
      <c r="AP17" s="129" t="e">
        <v>#DIV/0!</v>
      </c>
      <c r="AQ17" s="129">
        <v>0</v>
      </c>
      <c r="AR17" s="129">
        <v>0.146052631578947</v>
      </c>
    </row>
    <row r="18" customFormat="1" ht="22.5" customHeight="1" spans="1:44">
      <c r="A18" s="72">
        <v>12243</v>
      </c>
      <c r="B18" s="62" t="s">
        <v>68</v>
      </c>
      <c r="C18" s="63">
        <f>_xlfn.XLOOKUP(A18,[1]分配表!J:J,[1]分配表!L:L)</f>
        <v>46091</v>
      </c>
      <c r="D18" s="63">
        <f>IF(_xlfn.XLOOKUP(A18,[1]分配表!J:J,[1]分配表!M:M)=0,"未出单",_xlfn.XLOOKUP(A18,[1]分配表!J:J,[1]分配表!M:M))</f>
        <v>46106</v>
      </c>
      <c r="E18" s="64" t="s">
        <v>57</v>
      </c>
      <c r="F18" s="126" t="str">
        <f>_xlfn.XLOOKUP(A18,[1]分配表!A:A,[1]分配表!C:C)</f>
        <v>张潇</v>
      </c>
      <c r="G18" s="126" t="str">
        <f>IF(_xlfn.XLOOKUP($A18,[1]分配表!$A:$A,[1]分配表!D:D)=0,"未分类",_xlfn.XLOOKUP($A18,[1]分配表!$A:$A,[1]分配表!D:D))</f>
        <v>饰条</v>
      </c>
      <c r="H18" s="126" t="str">
        <f>_xlfn.XLOOKUP(A18,[1]分配表!J:J,[1]分配表!I:I)</f>
        <v>原开品</v>
      </c>
      <c r="I18" s="65">
        <f>COUNTIFS([1]月销售数据!L:L,A18,[1]月销售数据!M:M,"&gt;=2026-4-1",[1]月销售数据!M:M,"&lt;=2026-4-30")</f>
        <v>4</v>
      </c>
      <c r="J18" s="65">
        <f>COUNTIFS([1]月销售数据!L:L,A18,[1]月销售数据!M:M,"&gt;=2026-5-1",[1]月销售数据!M:M,"&lt;=2026-5-31")</f>
        <v>3</v>
      </c>
      <c r="K18" s="127" t="s">
        <v>58</v>
      </c>
      <c r="L18" s="127" t="s">
        <v>58</v>
      </c>
      <c r="M18" s="127" t="s">
        <v>53</v>
      </c>
      <c r="N18" s="127" t="s">
        <v>53</v>
      </c>
      <c r="O18" s="65">
        <v>4</v>
      </c>
      <c r="P18" s="65">
        <v>7</v>
      </c>
      <c r="Q18" s="67">
        <v>152</v>
      </c>
      <c r="R18" s="110">
        <v>261.82</v>
      </c>
      <c r="S18" s="65">
        <v>6</v>
      </c>
      <c r="T18" s="65">
        <v>4</v>
      </c>
      <c r="U18" s="65">
        <v>10</v>
      </c>
      <c r="V18" s="65">
        <f t="shared" si="0"/>
        <v>11</v>
      </c>
      <c r="W18" s="71">
        <v>0.4</v>
      </c>
      <c r="X18" s="128">
        <v>0.636363636363636</v>
      </c>
      <c r="Y18" s="65">
        <v>4</v>
      </c>
      <c r="Z18" s="67">
        <v>164.69</v>
      </c>
      <c r="AA18" s="67">
        <v>17.84</v>
      </c>
      <c r="AB18" s="129">
        <v>0.108324731313377</v>
      </c>
      <c r="AC18" s="129">
        <v>0.117368421052632</v>
      </c>
      <c r="AD18" s="65">
        <v>5</v>
      </c>
      <c r="AE18" s="67">
        <v>199.94</v>
      </c>
      <c r="AF18" s="67">
        <v>6.11</v>
      </c>
      <c r="AG18" s="129">
        <v>0.0305591677503251</v>
      </c>
      <c r="AH18" s="129">
        <v>0.0233366434955313</v>
      </c>
      <c r="AI18" s="67">
        <v>1.65</v>
      </c>
      <c r="AJ18" s="67">
        <v>82.09</v>
      </c>
      <c r="AK18" s="129">
        <v>0.0200998903642344</v>
      </c>
      <c r="AL18" s="129">
        <v>0.0108552631578947</v>
      </c>
      <c r="AM18" s="129">
        <v>0.128223684210526</v>
      </c>
      <c r="AN18" s="67">
        <v>0.77</v>
      </c>
      <c r="AO18" s="67">
        <v>38.36</v>
      </c>
      <c r="AP18" s="129">
        <v>0.0200729927007299</v>
      </c>
      <c r="AQ18" s="129">
        <v>0.00294095179894584</v>
      </c>
      <c r="AR18" s="129">
        <v>0.0270414788786189</v>
      </c>
    </row>
    <row r="19" customFormat="1" ht="22.5" customHeight="1" spans="1:44">
      <c r="A19" s="72">
        <v>12304</v>
      </c>
      <c r="B19" s="62" t="s">
        <v>69</v>
      </c>
      <c r="C19" s="63">
        <f>_xlfn.XLOOKUP(A19,[1]分配表!J:J,[1]分配表!L:L)</f>
        <v>46092</v>
      </c>
      <c r="D19" s="63">
        <f>IF(_xlfn.XLOOKUP(A19,[1]分配表!J:J,[1]分配表!M:M)=0,"未出单",_xlfn.XLOOKUP(A19,[1]分配表!J:J,[1]分配表!M:M))</f>
        <v>46095</v>
      </c>
      <c r="E19" s="64" t="s">
        <v>70</v>
      </c>
      <c r="F19" s="126" t="str">
        <f>_xlfn.XLOOKUP(A19,[1]分配表!A:A,[1]分配表!C:C)</f>
        <v>俞东旭</v>
      </c>
      <c r="G19" s="126" t="str">
        <f>IF(_xlfn.XLOOKUP($A19,[1]分配表!$A:$A,[1]分配表!D:D)=0,"未分类",_xlfn.XLOOKUP($A19,[1]分配表!$A:$A,[1]分配表!D:D))</f>
        <v>车门系统</v>
      </c>
      <c r="H19" s="126" t="str">
        <f>_xlfn.XLOOKUP(A19,[1]分配表!J:J,[1]分配表!I:I)</f>
        <v>原开品</v>
      </c>
      <c r="I19" s="65">
        <f>COUNTIFS([1]月销售数据!L:L,A19,[1]月销售数据!M:M,"&gt;=2026-4-1",[1]月销售数据!M:M,"&lt;=2026-4-30")</f>
        <v>2</v>
      </c>
      <c r="J19" s="65">
        <f>COUNTIFS([1]月销售数据!L:L,A19,[1]月销售数据!M:M,"&gt;=2026-5-1",[1]月销售数据!M:M,"&lt;=2026-5-31")</f>
        <v>1</v>
      </c>
      <c r="K19" s="127" t="s">
        <v>46</v>
      </c>
      <c r="L19" s="127" t="s">
        <v>46</v>
      </c>
      <c r="M19" s="127" t="s">
        <v>48</v>
      </c>
      <c r="N19" s="127" t="s">
        <v>48</v>
      </c>
      <c r="O19" s="65">
        <v>3</v>
      </c>
      <c r="P19" s="65">
        <v>3</v>
      </c>
      <c r="Q19" s="67">
        <v>1497</v>
      </c>
      <c r="R19" s="110">
        <v>1472.05</v>
      </c>
      <c r="S19" s="65">
        <v>4</v>
      </c>
      <c r="T19" s="65">
        <v>1</v>
      </c>
      <c r="U19" s="65">
        <v>7</v>
      </c>
      <c r="V19" s="65">
        <f t="shared" si="0"/>
        <v>4</v>
      </c>
      <c r="W19" s="71">
        <v>0.428571428571429</v>
      </c>
      <c r="X19" s="128">
        <v>0.75</v>
      </c>
      <c r="Y19" s="65">
        <v>0</v>
      </c>
      <c r="Z19" s="67">
        <v>0</v>
      </c>
      <c r="AA19" s="67">
        <v>0</v>
      </c>
      <c r="AB19" s="129" t="e">
        <v>#DIV/0!</v>
      </c>
      <c r="AC19" s="129">
        <v>0</v>
      </c>
      <c r="AD19" s="65">
        <v>0</v>
      </c>
      <c r="AE19" s="67">
        <v>0</v>
      </c>
      <c r="AF19" s="67">
        <v>0</v>
      </c>
      <c r="AG19" s="129" t="e">
        <v>#DIV/0!</v>
      </c>
      <c r="AH19" s="129">
        <v>0</v>
      </c>
      <c r="AI19" s="67">
        <v>32.52</v>
      </c>
      <c r="AJ19" s="67">
        <v>1625.99</v>
      </c>
      <c r="AK19" s="129">
        <v>0.0200001230019865</v>
      </c>
      <c r="AL19" s="129">
        <v>0.0217234468937876</v>
      </c>
      <c r="AM19" s="129">
        <v>0.0221509686038744</v>
      </c>
      <c r="AN19" s="67">
        <v>31.89</v>
      </c>
      <c r="AO19" s="67">
        <v>1594.37</v>
      </c>
      <c r="AP19" s="129">
        <v>0.0200016307381599</v>
      </c>
      <c r="AQ19" s="129">
        <v>0.0216636663156822</v>
      </c>
      <c r="AR19" s="129">
        <v>0.0221256071464964</v>
      </c>
    </row>
    <row r="20" customFormat="1" ht="22.5" customHeight="1" spans="1:44">
      <c r="A20" s="72">
        <v>12085</v>
      </c>
      <c r="B20" s="62" t="s">
        <v>71</v>
      </c>
      <c r="C20" s="63">
        <f>_xlfn.XLOOKUP(A20,[1]分配表!J:J,[1]分配表!L:L)</f>
        <v>46092</v>
      </c>
      <c r="D20" s="63">
        <f>IF(_xlfn.XLOOKUP(A20,[1]分配表!J:J,[1]分配表!M:M)=0,"未出单",_xlfn.XLOOKUP(A20,[1]分配表!J:J,[1]分配表!M:M))</f>
        <v>46099</v>
      </c>
      <c r="E20" s="64" t="s">
        <v>57</v>
      </c>
      <c r="F20" s="126" t="str">
        <f>_xlfn.XLOOKUP(A20,[1]分配表!A:A,[1]分配表!C:C)</f>
        <v>张潇</v>
      </c>
      <c r="G20" s="126" t="str">
        <f>IF(_xlfn.XLOOKUP($A20,[1]分配表!$A:$A,[1]分配表!D:D)=0,"未分类",_xlfn.XLOOKUP($A20,[1]分配表!$A:$A,[1]分配表!D:D))</f>
        <v>机盖及附件</v>
      </c>
      <c r="H20" s="126" t="str">
        <f>_xlfn.XLOOKUP(A20,[1]分配表!J:J,[1]分配表!I:I)</f>
        <v>拓展品</v>
      </c>
      <c r="I20" s="65">
        <f>COUNTIFS([1]月销售数据!L:L,A20,[1]月销售数据!M:M,"&gt;=2026-4-1",[1]月销售数据!M:M,"&lt;=2026-4-30")</f>
        <v>2</v>
      </c>
      <c r="J20" s="65">
        <f>COUNTIFS([1]月销售数据!L:L,A20,[1]月销售数据!M:M,"&gt;=2026-5-1",[1]月销售数据!M:M,"&lt;=2026-5-31")</f>
        <v>2</v>
      </c>
      <c r="K20" s="127" t="s">
        <v>46</v>
      </c>
      <c r="L20" s="127" t="s">
        <v>46</v>
      </c>
      <c r="M20" s="127" t="s">
        <v>53</v>
      </c>
      <c r="N20" s="127" t="s">
        <v>53</v>
      </c>
      <c r="O20" s="65">
        <v>10</v>
      </c>
      <c r="P20" s="65">
        <v>10</v>
      </c>
      <c r="Q20" s="67">
        <v>845.75</v>
      </c>
      <c r="R20" s="110">
        <v>845.75</v>
      </c>
      <c r="S20" s="65">
        <v>9</v>
      </c>
      <c r="T20" s="65">
        <v>4</v>
      </c>
      <c r="U20" s="65">
        <v>19</v>
      </c>
      <c r="V20" s="65">
        <f t="shared" si="0"/>
        <v>14</v>
      </c>
      <c r="W20" s="71">
        <v>0.526315789473684</v>
      </c>
      <c r="X20" s="128">
        <v>0.714285714285714</v>
      </c>
      <c r="Y20" s="65">
        <v>0</v>
      </c>
      <c r="Z20" s="67">
        <v>0</v>
      </c>
      <c r="AA20" s="67">
        <v>10.66</v>
      </c>
      <c r="AB20" s="129" t="e">
        <v>#DIV/0!</v>
      </c>
      <c r="AC20" s="129">
        <v>0.0126041974578776</v>
      </c>
      <c r="AD20" s="65">
        <v>0</v>
      </c>
      <c r="AE20" s="67">
        <v>0</v>
      </c>
      <c r="AF20" s="67">
        <v>0</v>
      </c>
      <c r="AG20" s="129" t="e">
        <v>#DIV/0!</v>
      </c>
      <c r="AH20" s="129">
        <v>0</v>
      </c>
      <c r="AI20" s="67">
        <v>16.26</v>
      </c>
      <c r="AJ20" s="67">
        <v>813.22</v>
      </c>
      <c r="AK20" s="129">
        <v>0.0199945894099998</v>
      </c>
      <c r="AL20" s="129">
        <v>0.019225539462016</v>
      </c>
      <c r="AM20" s="129">
        <v>0.0318297369198936</v>
      </c>
      <c r="AN20" s="67">
        <v>18</v>
      </c>
      <c r="AO20" s="67">
        <v>899.99</v>
      </c>
      <c r="AP20" s="129">
        <v>0.0200002222246914</v>
      </c>
      <c r="AQ20" s="129">
        <v>0.0212828850133018</v>
      </c>
      <c r="AR20" s="129">
        <v>0.0215903044634939</v>
      </c>
    </row>
    <row r="21" customFormat="1" ht="22.5" customHeight="1" spans="1:44">
      <c r="A21" s="72">
        <v>12086</v>
      </c>
      <c r="B21" s="62" t="s">
        <v>72</v>
      </c>
      <c r="C21" s="63">
        <f>_xlfn.XLOOKUP(A21,[1]分配表!J:J,[1]分配表!L:L)</f>
        <v>46092</v>
      </c>
      <c r="D21" s="63">
        <f>IF(_xlfn.XLOOKUP(A21,[1]分配表!J:J,[1]分配表!M:M)=0,"未出单",_xlfn.XLOOKUP(A21,[1]分配表!J:J,[1]分配表!M:M))</f>
        <v>46100</v>
      </c>
      <c r="E21" s="64" t="s">
        <v>57</v>
      </c>
      <c r="F21" s="126" t="str">
        <f>_xlfn.XLOOKUP(A21,[1]分配表!A:A,[1]分配表!C:C)</f>
        <v>张潇</v>
      </c>
      <c r="G21" s="126" t="str">
        <f>IF(_xlfn.XLOOKUP($A21,[1]分配表!$A:$A,[1]分配表!D:D)=0,"未分类",_xlfn.XLOOKUP($A21,[1]分配表!$A:$A,[1]分配表!D:D))</f>
        <v>机盖及附件</v>
      </c>
      <c r="H21" s="126" t="str">
        <f>_xlfn.XLOOKUP(A21,[1]分配表!J:J,[1]分配表!I:I)</f>
        <v>原开品</v>
      </c>
      <c r="I21" s="65">
        <f>COUNTIFS([1]月销售数据!L:L,A21,[1]月销售数据!M:M,"&gt;=2026-4-1",[1]月销售数据!M:M,"&lt;=2026-4-30")</f>
        <v>3</v>
      </c>
      <c r="J21" s="65">
        <f>COUNTIFS([1]月销售数据!L:L,A21,[1]月销售数据!M:M,"&gt;=2026-5-1",[1]月销售数据!M:M,"&lt;=2026-5-31")</f>
        <v>4</v>
      </c>
      <c r="K21" s="127" t="s">
        <v>46</v>
      </c>
      <c r="L21" s="127" t="s">
        <v>46</v>
      </c>
      <c r="M21" s="127" t="s">
        <v>53</v>
      </c>
      <c r="N21" s="127" t="s">
        <v>53</v>
      </c>
      <c r="O21" s="65">
        <v>17</v>
      </c>
      <c r="P21" s="65">
        <v>9</v>
      </c>
      <c r="Q21" s="67">
        <v>1271.25</v>
      </c>
      <c r="R21" s="110">
        <v>664.3</v>
      </c>
      <c r="S21" s="65">
        <v>20</v>
      </c>
      <c r="T21" s="65">
        <v>25</v>
      </c>
      <c r="U21" s="65">
        <v>37</v>
      </c>
      <c r="V21" s="65">
        <f t="shared" si="0"/>
        <v>34</v>
      </c>
      <c r="W21" s="71">
        <v>0.459459459459459</v>
      </c>
      <c r="X21" s="128">
        <v>0.264705882352941</v>
      </c>
      <c r="Y21" s="65">
        <v>1</v>
      </c>
      <c r="Z21" s="67">
        <v>81</v>
      </c>
      <c r="AA21" s="67">
        <v>18.25</v>
      </c>
      <c r="AB21" s="129">
        <v>0.225308641975309</v>
      </c>
      <c r="AC21" s="129">
        <v>0.0143559488692232</v>
      </c>
      <c r="AD21" s="65">
        <v>1</v>
      </c>
      <c r="AE21" s="67">
        <v>77.69</v>
      </c>
      <c r="AF21" s="67">
        <v>4.03</v>
      </c>
      <c r="AG21" s="129">
        <v>0.0518728279057794</v>
      </c>
      <c r="AH21" s="129">
        <v>0.00606653620352251</v>
      </c>
      <c r="AI21" s="67">
        <v>27.22</v>
      </c>
      <c r="AJ21" s="67">
        <v>1361.04</v>
      </c>
      <c r="AK21" s="129">
        <v>0.0199994122141892</v>
      </c>
      <c r="AL21" s="129">
        <v>0.0214119960668633</v>
      </c>
      <c r="AM21" s="129">
        <v>0.0362871189773845</v>
      </c>
      <c r="AN21" s="67">
        <v>15.77</v>
      </c>
      <c r="AO21" s="67">
        <v>788.32</v>
      </c>
      <c r="AP21" s="129">
        <v>0.0200045666734321</v>
      </c>
      <c r="AQ21" s="129">
        <v>0.0237392744242059</v>
      </c>
      <c r="AR21" s="129">
        <v>0.030648803251543</v>
      </c>
    </row>
    <row r="22" customFormat="1" ht="22.5" customHeight="1" spans="1:44">
      <c r="A22" s="72">
        <v>12258</v>
      </c>
      <c r="B22" s="62" t="s">
        <v>73</v>
      </c>
      <c r="C22" s="63">
        <f>_xlfn.XLOOKUP(A22,[1]分配表!J:J,[1]分配表!L:L)</f>
        <v>46092</v>
      </c>
      <c r="D22" s="63">
        <f>IF(_xlfn.XLOOKUP(A22,[1]分配表!J:J,[1]分配表!M:M)=0,"未出单",_xlfn.XLOOKUP(A22,[1]分配表!J:J,[1]分配表!M:M))</f>
        <v>46099</v>
      </c>
      <c r="E22" s="64" t="s">
        <v>57</v>
      </c>
      <c r="F22" s="126" t="str">
        <f>_xlfn.XLOOKUP(A22,[1]分配表!A:A,[1]分配表!C:C)</f>
        <v>张潇</v>
      </c>
      <c r="G22" s="126" t="str">
        <f>IF(_xlfn.XLOOKUP($A22,[1]分配表!$A:$A,[1]分配表!D:D)=0,"未分类",_xlfn.XLOOKUP($A22,[1]分配表!$A:$A,[1]分配表!D:D))</f>
        <v>机盖及附件</v>
      </c>
      <c r="H22" s="126" t="str">
        <f>_xlfn.XLOOKUP(A22,[1]分配表!J:J,[1]分配表!I:I)</f>
        <v>原开品</v>
      </c>
      <c r="I22" s="65">
        <f>COUNTIFS([1]月销售数据!L:L,A22,[1]月销售数据!M:M,"&gt;=2026-4-1",[1]月销售数据!M:M,"&lt;=2026-4-30")</f>
        <v>2</v>
      </c>
      <c r="J22" s="65">
        <f>COUNTIFS([1]月销售数据!L:L,A22,[1]月销售数据!M:M,"&gt;=2026-5-1",[1]月销售数据!M:M,"&lt;=2026-5-31")</f>
        <v>3</v>
      </c>
      <c r="K22" s="127" t="s">
        <v>46</v>
      </c>
      <c r="L22" s="127" t="s">
        <v>46</v>
      </c>
      <c r="M22" s="127" t="s">
        <v>53</v>
      </c>
      <c r="N22" s="127" t="s">
        <v>53</v>
      </c>
      <c r="O22" s="65">
        <v>33</v>
      </c>
      <c r="P22" s="65">
        <v>57</v>
      </c>
      <c r="Q22" s="67">
        <v>924</v>
      </c>
      <c r="R22" s="110">
        <v>1594.6</v>
      </c>
      <c r="S22" s="65">
        <v>67</v>
      </c>
      <c r="T22" s="65">
        <v>90</v>
      </c>
      <c r="U22" s="65">
        <v>100</v>
      </c>
      <c r="V22" s="65">
        <f t="shared" si="0"/>
        <v>147</v>
      </c>
      <c r="W22" s="71">
        <v>0.33</v>
      </c>
      <c r="X22" s="128">
        <v>0.387755102040816</v>
      </c>
      <c r="Y22" s="65">
        <v>0</v>
      </c>
      <c r="Z22" s="67">
        <v>0</v>
      </c>
      <c r="AA22" s="67">
        <v>0</v>
      </c>
      <c r="AB22" s="129" t="e">
        <v>#DIV/0!</v>
      </c>
      <c r="AC22" s="129">
        <v>0</v>
      </c>
      <c r="AD22" s="65">
        <v>12</v>
      </c>
      <c r="AE22" s="67">
        <v>360.12</v>
      </c>
      <c r="AF22" s="67">
        <v>26.36</v>
      </c>
      <c r="AG22" s="129">
        <v>0.0731978229479062</v>
      </c>
      <c r="AH22" s="129">
        <v>0.016530791421046</v>
      </c>
      <c r="AI22" s="67">
        <v>18.77</v>
      </c>
      <c r="AJ22" s="67">
        <v>938.96</v>
      </c>
      <c r="AK22" s="129">
        <v>0.0199902019255346</v>
      </c>
      <c r="AL22" s="129">
        <v>0.0203138528138528</v>
      </c>
      <c r="AM22" s="129">
        <v>0.0203138528138528</v>
      </c>
      <c r="AN22" s="67">
        <v>18.03</v>
      </c>
      <c r="AO22" s="67">
        <v>899.11</v>
      </c>
      <c r="AP22" s="129">
        <v>0.0200531636840876</v>
      </c>
      <c r="AQ22" s="129">
        <v>0.0113069108240311</v>
      </c>
      <c r="AR22" s="129">
        <v>0.0281512605042017</v>
      </c>
    </row>
    <row r="23" customFormat="1" ht="22.5" customHeight="1" spans="1:44">
      <c r="A23" s="72">
        <v>12210</v>
      </c>
      <c r="B23" s="62" t="s">
        <v>74</v>
      </c>
      <c r="C23" s="63">
        <f>_xlfn.XLOOKUP(A23,[1]分配表!J:J,[1]分配表!L:L)</f>
        <v>46092</v>
      </c>
      <c r="D23" s="63">
        <f>IF(_xlfn.XLOOKUP(A23,[1]分配表!J:J,[1]分配表!M:M)=0,"未出单",_xlfn.XLOOKUP(A23,[1]分配表!J:J,[1]分配表!M:M))</f>
        <v>46104</v>
      </c>
      <c r="E23" s="64" t="s">
        <v>57</v>
      </c>
      <c r="F23" s="126" t="str">
        <f>_xlfn.XLOOKUP(A23,[1]分配表!A:A,[1]分配表!C:C)</f>
        <v>张潇</v>
      </c>
      <c r="G23" s="126" t="str">
        <f>IF(_xlfn.XLOOKUP($A23,[1]分配表!$A:$A,[1]分配表!D:D)=0,"未分类",_xlfn.XLOOKUP($A23,[1]分配表!$A:$A,[1]分配表!D:D))</f>
        <v>饰条</v>
      </c>
      <c r="H23" s="126" t="str">
        <f>_xlfn.XLOOKUP(A23,[1]分配表!J:J,[1]分配表!I:I)</f>
        <v>原开品</v>
      </c>
      <c r="I23" s="65">
        <f>COUNTIFS([1]月销售数据!L:L,A23,[1]月销售数据!M:M,"&gt;=2026-4-1",[1]月销售数据!M:M,"&lt;=2026-4-30")</f>
        <v>6</v>
      </c>
      <c r="J23" s="65">
        <f>COUNTIFS([1]月销售数据!L:L,A23,[1]月销售数据!M:M,"&gt;=2026-5-1",[1]月销售数据!M:M,"&lt;=2026-5-31")</f>
        <v>3</v>
      </c>
      <c r="K23" s="127" t="s">
        <v>58</v>
      </c>
      <c r="L23" s="127" t="s">
        <v>58</v>
      </c>
      <c r="M23" s="127" t="s">
        <v>53</v>
      </c>
      <c r="N23" s="127" t="s">
        <v>53</v>
      </c>
      <c r="O23" s="65">
        <v>30</v>
      </c>
      <c r="P23" s="65">
        <v>30</v>
      </c>
      <c r="Q23" s="67">
        <v>358.16</v>
      </c>
      <c r="R23" s="110">
        <v>342.2</v>
      </c>
      <c r="S23" s="65">
        <v>102</v>
      </c>
      <c r="T23" s="65">
        <v>96</v>
      </c>
      <c r="U23" s="65">
        <v>132</v>
      </c>
      <c r="V23" s="65">
        <f t="shared" si="0"/>
        <v>126</v>
      </c>
      <c r="W23" s="71">
        <v>0.227272727272727</v>
      </c>
      <c r="X23" s="128">
        <v>0.238095238095238</v>
      </c>
      <c r="Y23" s="65">
        <v>21</v>
      </c>
      <c r="Z23" s="67">
        <v>270.51</v>
      </c>
      <c r="AA23" s="67">
        <v>27.82</v>
      </c>
      <c r="AB23" s="129">
        <v>0.10284277845551</v>
      </c>
      <c r="AC23" s="129">
        <v>0.0776747822202368</v>
      </c>
      <c r="AD23" s="65">
        <v>19</v>
      </c>
      <c r="AE23" s="67">
        <v>231.96</v>
      </c>
      <c r="AF23" s="67">
        <v>28.26</v>
      </c>
      <c r="AG23" s="129">
        <v>0.121831350232799</v>
      </c>
      <c r="AH23" s="129">
        <v>0.082583284628872</v>
      </c>
      <c r="AI23" s="67">
        <v>7.2</v>
      </c>
      <c r="AJ23" s="67">
        <v>360.2</v>
      </c>
      <c r="AK23" s="129">
        <v>0.0199888950583009</v>
      </c>
      <c r="AL23" s="129">
        <v>0.0201027473754746</v>
      </c>
      <c r="AM23" s="129">
        <v>0.0990060308242126</v>
      </c>
      <c r="AN23" s="67">
        <v>1.67</v>
      </c>
      <c r="AO23" s="67">
        <v>48.19</v>
      </c>
      <c r="AP23" s="129">
        <v>0.0346544926333264</v>
      </c>
      <c r="AQ23" s="129">
        <v>0.0048801870251315</v>
      </c>
      <c r="AR23" s="129">
        <v>0.0874634716540035</v>
      </c>
    </row>
    <row r="24" customFormat="1" ht="22.5" customHeight="1" spans="1:44">
      <c r="A24" s="72">
        <v>12250</v>
      </c>
      <c r="B24" s="62" t="s">
        <v>75</v>
      </c>
      <c r="C24" s="63">
        <f>_xlfn.XLOOKUP(A24,[1]分配表!J:J,[1]分配表!L:L)</f>
        <v>46092</v>
      </c>
      <c r="D24" s="63">
        <f>IF(_xlfn.XLOOKUP(A24,[1]分配表!J:J,[1]分配表!M:M)=0,"未出单",_xlfn.XLOOKUP(A24,[1]分配表!J:J,[1]分配表!M:M))</f>
        <v>46096</v>
      </c>
      <c r="E24" s="64" t="s">
        <v>76</v>
      </c>
      <c r="F24" s="126" t="str">
        <f>_xlfn.XLOOKUP(A24,[1]分配表!A:A,[1]分配表!C:C)</f>
        <v>王偲涵</v>
      </c>
      <c r="G24" s="126" t="str">
        <f>IF(_xlfn.XLOOKUP($A24,[1]分配表!$A:$A,[1]分配表!D:D)=0,"未分类",_xlfn.XLOOKUP($A24,[1]分配表!$A:$A,[1]分配表!D:D))</f>
        <v>饰条</v>
      </c>
      <c r="H24" s="126" t="str">
        <f>_xlfn.XLOOKUP(A24,[1]分配表!J:J,[1]分配表!I:I)</f>
        <v>拓展品</v>
      </c>
      <c r="I24" s="65">
        <f>COUNTIFS([1]月销售数据!L:L,A24,[1]月销售数据!M:M,"&gt;=2026-4-1",[1]月销售数据!M:M,"&lt;=2026-4-30")</f>
        <v>5</v>
      </c>
      <c r="J24" s="65">
        <f>COUNTIFS([1]月销售数据!L:L,A24,[1]月销售数据!M:M,"&gt;=2026-5-1",[1]月销售数据!M:M,"&lt;=2026-5-31")</f>
        <v>3</v>
      </c>
      <c r="K24" s="127" t="s">
        <v>46</v>
      </c>
      <c r="L24" s="127" t="s">
        <v>46</v>
      </c>
      <c r="M24" s="127" t="s">
        <v>77</v>
      </c>
      <c r="N24" s="127" t="s">
        <v>48</v>
      </c>
      <c r="O24" s="65">
        <v>2</v>
      </c>
      <c r="P24" s="65">
        <v>4</v>
      </c>
      <c r="Q24" s="67">
        <v>78</v>
      </c>
      <c r="R24" s="110">
        <v>141</v>
      </c>
      <c r="S24" s="65">
        <v>2</v>
      </c>
      <c r="T24" s="65">
        <v>2</v>
      </c>
      <c r="U24" s="65">
        <v>4</v>
      </c>
      <c r="V24" s="65">
        <f t="shared" si="0"/>
        <v>6</v>
      </c>
      <c r="W24" s="71">
        <v>0.5</v>
      </c>
      <c r="X24" s="128">
        <v>0.666666666666667</v>
      </c>
      <c r="Y24" s="65">
        <v>0</v>
      </c>
      <c r="Z24" s="67">
        <v>0</v>
      </c>
      <c r="AA24" s="67">
        <v>2.42</v>
      </c>
      <c r="AB24" s="129" t="e">
        <v>#DIV/0!</v>
      </c>
      <c r="AC24" s="129">
        <v>0.031025641025641</v>
      </c>
      <c r="AD24" s="65">
        <v>1</v>
      </c>
      <c r="AE24" s="67">
        <v>36.21</v>
      </c>
      <c r="AF24" s="67">
        <v>0.39</v>
      </c>
      <c r="AG24" s="129">
        <v>0.0107705053852527</v>
      </c>
      <c r="AH24" s="129">
        <v>0.00276595744680851</v>
      </c>
      <c r="AI24" s="67">
        <v>0.85</v>
      </c>
      <c r="AJ24" s="67">
        <v>42.71</v>
      </c>
      <c r="AK24" s="129">
        <v>0.0199016623741513</v>
      </c>
      <c r="AL24" s="129">
        <v>0.0108974358974359</v>
      </c>
      <c r="AM24" s="129">
        <v>0.0419230769230769</v>
      </c>
      <c r="AN24" s="67">
        <v>0</v>
      </c>
      <c r="AO24" s="67">
        <v>0</v>
      </c>
      <c r="AP24" s="129" t="e">
        <v>#DIV/0!</v>
      </c>
      <c r="AQ24" s="129">
        <v>0</v>
      </c>
      <c r="AR24" s="129">
        <v>0.00276595744680851</v>
      </c>
    </row>
    <row r="25" customFormat="1" ht="22.5" customHeight="1" spans="1:44">
      <c r="A25" s="72">
        <v>12251</v>
      </c>
      <c r="B25" s="62" t="s">
        <v>78</v>
      </c>
      <c r="C25" s="63">
        <f>_xlfn.XLOOKUP(A25,[1]分配表!J:J,[1]分配表!L:L)</f>
        <v>46092</v>
      </c>
      <c r="D25" s="63">
        <f>IF(_xlfn.XLOOKUP(A25,[1]分配表!J:J,[1]分配表!M:M,"未出单")=0,"未出单",_xlfn.XLOOKUP(A25,[1]分配表!J:J,[1]分配表!M:M,"未出单"))</f>
        <v>46112</v>
      </c>
      <c r="E25" s="64" t="s">
        <v>76</v>
      </c>
      <c r="F25" s="126" t="str">
        <f>_xlfn.XLOOKUP(A25,[1]分配表!A:A,[1]分配表!C:C)</f>
        <v>王偲涵</v>
      </c>
      <c r="G25" s="126" t="str">
        <f>IF(_xlfn.XLOOKUP($A25,[1]分配表!$A:$A,[1]分配表!D:D)=0,"未分类",_xlfn.XLOOKUP($A25,[1]分配表!$A:$A,[1]分配表!D:D))</f>
        <v>饰条</v>
      </c>
      <c r="H25" s="126" t="str">
        <f>_xlfn.XLOOKUP(A25,[1]分配表!J:J,[1]分配表!I:I)</f>
        <v>拓展品</v>
      </c>
      <c r="I25" s="65">
        <f>COUNTIFS([1]月销售数据!L:L,A25,[1]月销售数据!M:M,"&gt;=2026-4-1",[1]月销售数据!M:M,"&lt;=2026-4-30")</f>
        <v>4</v>
      </c>
      <c r="J25" s="65">
        <f>COUNTIFS([1]月销售数据!L:L,A25,[1]月销售数据!M:M,"&gt;=2026-5-1",[1]月销售数据!M:M,"&lt;=2026-5-31")</f>
        <v>5</v>
      </c>
      <c r="K25" s="127" t="s">
        <v>58</v>
      </c>
      <c r="L25" s="127" t="s">
        <v>58</v>
      </c>
      <c r="M25" s="127" t="s">
        <v>77</v>
      </c>
      <c r="N25" s="127" t="s">
        <v>53</v>
      </c>
      <c r="O25" s="65">
        <v>2</v>
      </c>
      <c r="P25" s="65">
        <v>1</v>
      </c>
      <c r="Q25" s="67">
        <v>78</v>
      </c>
      <c r="R25" s="110">
        <v>34</v>
      </c>
      <c r="S25" s="65">
        <v>1</v>
      </c>
      <c r="T25" s="65">
        <v>3</v>
      </c>
      <c r="U25" s="65">
        <v>3</v>
      </c>
      <c r="V25" s="65">
        <f t="shared" si="0"/>
        <v>4</v>
      </c>
      <c r="W25" s="71">
        <v>0.666666666666667</v>
      </c>
      <c r="X25" s="128">
        <v>0.25</v>
      </c>
      <c r="Y25" s="65">
        <v>2</v>
      </c>
      <c r="Z25" s="67">
        <v>83.95</v>
      </c>
      <c r="AA25" s="67">
        <v>3.05</v>
      </c>
      <c r="AB25" s="129">
        <v>0.0363311494937463</v>
      </c>
      <c r="AC25" s="129">
        <v>0.0391025641025641</v>
      </c>
      <c r="AD25" s="65">
        <v>0</v>
      </c>
      <c r="AE25" s="67">
        <v>0</v>
      </c>
      <c r="AF25" s="67">
        <v>4.76</v>
      </c>
      <c r="AG25" s="129" t="e">
        <v>#DIV/0!</v>
      </c>
      <c r="AH25" s="129">
        <v>0.14</v>
      </c>
      <c r="AI25" s="67">
        <v>1.67</v>
      </c>
      <c r="AJ25" s="67">
        <v>83.95</v>
      </c>
      <c r="AK25" s="129">
        <v>0.0198927933293627</v>
      </c>
      <c r="AL25" s="129">
        <v>0.0214102564102564</v>
      </c>
      <c r="AM25" s="129">
        <v>0.0605128205128205</v>
      </c>
      <c r="AN25" s="67">
        <v>0.72</v>
      </c>
      <c r="AO25" s="67">
        <v>36.21</v>
      </c>
      <c r="AP25" s="129">
        <v>0.019884009942005</v>
      </c>
      <c r="AQ25" s="129">
        <v>0.0211764705882353</v>
      </c>
      <c r="AR25" s="129">
        <v>0.161176470588235</v>
      </c>
    </row>
    <row r="26" customFormat="1" ht="22.5" customHeight="1" spans="1:44">
      <c r="A26" s="72">
        <v>12332</v>
      </c>
      <c r="B26" s="62" t="s">
        <v>79</v>
      </c>
      <c r="C26" s="63">
        <f>_xlfn.XLOOKUP(A26,[1]分配表!J:J,[1]分配表!L:L)</f>
        <v>46092</v>
      </c>
      <c r="D26" s="63">
        <f>IF(_xlfn.XLOOKUP(A26,[1]分配表!J:J,[1]分配表!M:M,"未出单")=0,"未出单",_xlfn.XLOOKUP(A26,[1]分配表!J:J,[1]分配表!M:M,"未出单"))</f>
        <v>46095</v>
      </c>
      <c r="E26" s="64" t="s">
        <v>57</v>
      </c>
      <c r="F26" s="126" t="str">
        <f>_xlfn.XLOOKUP(A26,[1]分配表!A:A,[1]分配表!C:C)</f>
        <v>张潇</v>
      </c>
      <c r="G26" s="126" t="str">
        <f>IF(_xlfn.XLOOKUP($A26,[1]分配表!$A:$A,[1]分配表!D:D)=0,"未分类",_xlfn.XLOOKUP($A26,[1]分配表!$A:$A,[1]分配表!D:D))</f>
        <v>饰条</v>
      </c>
      <c r="H26" s="126" t="str">
        <f>_xlfn.XLOOKUP(A26,[1]分配表!J:J,[1]分配表!I:I)</f>
        <v>原开品</v>
      </c>
      <c r="I26" s="65">
        <f>COUNTIFS([1]月销售数据!L:L,A26,[1]月销售数据!M:M,"&gt;=2026-4-1",[1]月销售数据!M:M,"&lt;=2026-4-30")</f>
        <v>2</v>
      </c>
      <c r="J26" s="65">
        <f>COUNTIFS([1]月销售数据!L:L,A26,[1]月销售数据!M:M,"&gt;=2026-5-1",[1]月销售数据!M:M,"&lt;=2026-5-31")</f>
        <v>1</v>
      </c>
      <c r="K26" s="127" t="s">
        <v>46</v>
      </c>
      <c r="L26" s="127" t="s">
        <v>46</v>
      </c>
      <c r="M26" s="127" t="s">
        <v>48</v>
      </c>
      <c r="N26" s="127" t="s">
        <v>48</v>
      </c>
      <c r="O26" s="65">
        <v>19</v>
      </c>
      <c r="P26" s="65">
        <v>14</v>
      </c>
      <c r="Q26" s="67">
        <v>2166</v>
      </c>
      <c r="R26" s="110">
        <v>1596</v>
      </c>
      <c r="S26" s="65">
        <v>5</v>
      </c>
      <c r="T26" s="65">
        <v>6</v>
      </c>
      <c r="U26" s="65">
        <v>24</v>
      </c>
      <c r="V26" s="65">
        <f t="shared" si="0"/>
        <v>20</v>
      </c>
      <c r="W26" s="71">
        <v>0.791666666666667</v>
      </c>
      <c r="X26" s="128">
        <v>0.7</v>
      </c>
      <c r="Y26" s="65">
        <v>8</v>
      </c>
      <c r="Z26" s="67">
        <v>982.46</v>
      </c>
      <c r="AA26" s="67">
        <v>47.68</v>
      </c>
      <c r="AB26" s="129">
        <v>0.0485312379129939</v>
      </c>
      <c r="AC26" s="129">
        <v>0.0220129270544783</v>
      </c>
      <c r="AD26" s="65">
        <v>8</v>
      </c>
      <c r="AE26" s="67">
        <v>973.25</v>
      </c>
      <c r="AF26" s="67">
        <v>24.46</v>
      </c>
      <c r="AG26" s="129">
        <v>0.0251322887233496</v>
      </c>
      <c r="AH26" s="129">
        <v>0.0153258145363409</v>
      </c>
      <c r="AI26" s="67">
        <v>36.43</v>
      </c>
      <c r="AJ26" s="67">
        <v>1820.65</v>
      </c>
      <c r="AK26" s="129">
        <v>0.0200093373245819</v>
      </c>
      <c r="AL26" s="129">
        <v>0.0168190212373038</v>
      </c>
      <c r="AM26" s="129">
        <v>0.0388319482917821</v>
      </c>
      <c r="AN26" s="67">
        <v>9.83</v>
      </c>
      <c r="AO26" s="67">
        <v>491.49</v>
      </c>
      <c r="AP26" s="129">
        <v>0.0200004069258785</v>
      </c>
      <c r="AQ26" s="129">
        <v>0.00615914786967419</v>
      </c>
      <c r="AR26" s="129">
        <v>0.0218922305764411</v>
      </c>
    </row>
    <row r="27" customFormat="1" ht="22.5" customHeight="1" spans="1:44">
      <c r="A27" s="72">
        <v>12227</v>
      </c>
      <c r="B27" s="62" t="s">
        <v>80</v>
      </c>
      <c r="C27" s="63">
        <f>_xlfn.XLOOKUP(A27,[1]分配表!J:J,[1]分配表!L:L)</f>
        <v>46092</v>
      </c>
      <c r="D27" s="63">
        <f>IF(_xlfn.XLOOKUP(A27,[1]分配表!J:J,[1]分配表!M:M,"未出单")=0,"未出单",_xlfn.XLOOKUP(A27,[1]分配表!J:J,[1]分配表!M:M,"未出单"))</f>
        <v>46097</v>
      </c>
      <c r="E27" s="64" t="s">
        <v>81</v>
      </c>
      <c r="F27" s="126" t="str">
        <f>_xlfn.XLOOKUP(A27,[1]分配表!A:A,[1]分配表!C:C)</f>
        <v>章鹏</v>
      </c>
      <c r="G27" s="126" t="str">
        <f>IF(_xlfn.XLOOKUP($A27,[1]分配表!$A:$A,[1]分配表!D:D)=0,"未分类",_xlfn.XLOOKUP($A27,[1]分配表!$A:$A,[1]分配表!D:D))</f>
        <v>其他</v>
      </c>
      <c r="H27" s="126" t="str">
        <f>_xlfn.XLOOKUP(A27,[1]分配表!J:J,[1]分配表!I:I)</f>
        <v>原开品</v>
      </c>
      <c r="I27" s="65">
        <f>COUNTIFS([1]月销售数据!L:L,A27,[1]月销售数据!M:M,"&gt;=2026-4-1",[1]月销售数据!M:M,"&lt;=2026-4-30")</f>
        <v>2</v>
      </c>
      <c r="J27" s="65">
        <f>COUNTIFS([1]月销售数据!L:L,A27,[1]月销售数据!M:M,"&gt;=2026-5-1",[1]月销售数据!M:M,"&lt;=2026-5-31")</f>
        <v>1</v>
      </c>
      <c r="K27" s="127" t="s">
        <v>46</v>
      </c>
      <c r="L27" s="127" t="s">
        <v>46</v>
      </c>
      <c r="M27" s="127" t="s">
        <v>53</v>
      </c>
      <c r="N27" s="127" t="s">
        <v>48</v>
      </c>
      <c r="O27" s="65">
        <v>11</v>
      </c>
      <c r="P27" s="65">
        <v>17</v>
      </c>
      <c r="Q27" s="67">
        <v>749</v>
      </c>
      <c r="R27" s="110">
        <v>1192.07</v>
      </c>
      <c r="S27" s="65">
        <v>5</v>
      </c>
      <c r="T27" s="65">
        <v>5</v>
      </c>
      <c r="U27" s="65">
        <v>16</v>
      </c>
      <c r="V27" s="65">
        <f t="shared" si="0"/>
        <v>22</v>
      </c>
      <c r="W27" s="71">
        <v>0.6875</v>
      </c>
      <c r="X27" s="128">
        <v>0.772727272727273</v>
      </c>
      <c r="Y27" s="65">
        <v>0</v>
      </c>
      <c r="Z27" s="67">
        <v>0</v>
      </c>
      <c r="AA27" s="67">
        <v>0</v>
      </c>
      <c r="AB27" s="129" t="e">
        <v>#DIV/0!</v>
      </c>
      <c r="AC27" s="129">
        <v>0</v>
      </c>
      <c r="AD27" s="65">
        <v>0</v>
      </c>
      <c r="AE27" s="67">
        <v>0</v>
      </c>
      <c r="AF27" s="67">
        <v>0</v>
      </c>
      <c r="AG27" s="129" t="e">
        <v>#DIV/0!</v>
      </c>
      <c r="AH27" s="129">
        <v>0</v>
      </c>
      <c r="AI27" s="67">
        <v>15.95</v>
      </c>
      <c r="AJ27" s="67">
        <v>797.16</v>
      </c>
      <c r="AK27" s="129">
        <v>0.0200085302825029</v>
      </c>
      <c r="AL27" s="129">
        <v>0.0212950600801068</v>
      </c>
      <c r="AM27" s="129">
        <v>0.0290921228304406</v>
      </c>
      <c r="AN27" s="67">
        <v>25.64</v>
      </c>
      <c r="AO27" s="67">
        <v>1282.29</v>
      </c>
      <c r="AP27" s="129">
        <v>0.019995476842212</v>
      </c>
      <c r="AQ27" s="129">
        <v>0.0215088040131871</v>
      </c>
      <c r="AR27" s="129">
        <v>0.0260303505666614</v>
      </c>
    </row>
    <row r="28" customFormat="1" ht="22.5" customHeight="1" spans="1:44">
      <c r="A28" s="72">
        <v>12309</v>
      </c>
      <c r="B28" s="62" t="s">
        <v>82</v>
      </c>
      <c r="C28" s="63">
        <f>_xlfn.XLOOKUP(A28,[1]分配表!J:J,[1]分配表!L:L)</f>
        <v>46092</v>
      </c>
      <c r="D28" s="63">
        <f>IF(_xlfn.XLOOKUP(A28,[1]分配表!J:J,[1]分配表!M:M,"未出单")=0,"未出单",_xlfn.XLOOKUP(A28,[1]分配表!J:J,[1]分配表!M:M,"未出单"))</f>
        <v>46101</v>
      </c>
      <c r="E28" s="64" t="s">
        <v>70</v>
      </c>
      <c r="F28" s="126" t="str">
        <f>_xlfn.XLOOKUP(A28,[1]分配表!A:A,[1]分配表!C:C)</f>
        <v>俞东旭</v>
      </c>
      <c r="G28" s="126" t="str">
        <f>IF(_xlfn.XLOOKUP($A28,[1]分配表!$A:$A,[1]分配表!D:D)=0,"未分类",_xlfn.XLOOKUP($A28,[1]分配表!$A:$A,[1]分配表!D:D))</f>
        <v>车门系统</v>
      </c>
      <c r="H28" s="126" t="str">
        <f>_xlfn.XLOOKUP(A28,[1]分配表!J:J,[1]分配表!I:I)</f>
        <v>原开品</v>
      </c>
      <c r="I28" s="65">
        <f>COUNTIFS([1]月销售数据!L:L,A28,[1]月销售数据!M:M,"&gt;=2026-4-1",[1]月销售数据!M:M,"&lt;=2026-4-30")</f>
        <v>2</v>
      </c>
      <c r="J28" s="65">
        <f>COUNTIFS([1]月销售数据!L:L,A28,[1]月销售数据!M:M,"&gt;=2026-5-1",[1]月销售数据!M:M,"&lt;=2026-5-31")</f>
        <v>3</v>
      </c>
      <c r="K28" s="127" t="s">
        <v>58</v>
      </c>
      <c r="L28" s="127" t="s">
        <v>58</v>
      </c>
      <c r="M28" s="127" t="s">
        <v>53</v>
      </c>
      <c r="N28" s="127" t="s">
        <v>53</v>
      </c>
      <c r="O28" s="65">
        <v>3</v>
      </c>
      <c r="P28" s="65">
        <v>2</v>
      </c>
      <c r="Q28" s="67">
        <v>1440</v>
      </c>
      <c r="R28" s="110">
        <v>957</v>
      </c>
      <c r="S28" s="65">
        <v>4</v>
      </c>
      <c r="T28" s="65">
        <v>9</v>
      </c>
      <c r="U28" s="65">
        <v>7</v>
      </c>
      <c r="V28" s="65">
        <f t="shared" si="0"/>
        <v>11</v>
      </c>
      <c r="W28" s="71">
        <v>0.428571428571429</v>
      </c>
      <c r="X28" s="128">
        <v>0.181818181818182</v>
      </c>
      <c r="Y28" s="65">
        <v>0</v>
      </c>
      <c r="Z28" s="67">
        <v>0</v>
      </c>
      <c r="AA28" s="67">
        <v>0</v>
      </c>
      <c r="AB28" s="129" t="e">
        <v>#DIV/0!</v>
      </c>
      <c r="AC28" s="129">
        <v>0</v>
      </c>
      <c r="AD28" s="65">
        <v>0</v>
      </c>
      <c r="AE28" s="67">
        <v>0</v>
      </c>
      <c r="AF28" s="67">
        <v>0</v>
      </c>
      <c r="AG28" s="129" t="e">
        <v>#DIV/0!</v>
      </c>
      <c r="AH28" s="129">
        <v>0</v>
      </c>
      <c r="AI28" s="67">
        <v>31.27</v>
      </c>
      <c r="AJ28" s="67">
        <v>1563.6</v>
      </c>
      <c r="AK28" s="129">
        <v>0.0199987209004861</v>
      </c>
      <c r="AL28" s="129">
        <v>0.0217152777777778</v>
      </c>
      <c r="AM28" s="129">
        <v>0.0217222222222222</v>
      </c>
      <c r="AN28" s="67">
        <v>20.76</v>
      </c>
      <c r="AO28" s="67">
        <v>1037.73</v>
      </c>
      <c r="AP28" s="129">
        <v>0.0200052036656934</v>
      </c>
      <c r="AQ28" s="129">
        <v>0.021692789968652</v>
      </c>
      <c r="AR28" s="129">
        <v>0.0219958202716823</v>
      </c>
    </row>
    <row r="29" customFormat="1" ht="22.5" customHeight="1" spans="1:44">
      <c r="A29" s="72">
        <v>12310</v>
      </c>
      <c r="B29" s="62" t="s">
        <v>83</v>
      </c>
      <c r="C29" s="63">
        <f>_xlfn.XLOOKUP(A29,[1]分配表!J:J,[1]分配表!L:L)</f>
        <v>46092</v>
      </c>
      <c r="D29" s="63">
        <f>IF(_xlfn.XLOOKUP(A29,[1]分配表!J:J,[1]分配表!M:M,"未出单")=0,"未出单",_xlfn.XLOOKUP(A29,[1]分配表!J:J,[1]分配表!M:M,"未出单"))</f>
        <v>46096</v>
      </c>
      <c r="E29" s="64" t="s">
        <v>70</v>
      </c>
      <c r="F29" s="126" t="str">
        <f>_xlfn.XLOOKUP(A29,[1]分配表!A:A,[1]分配表!C:C)</f>
        <v>俞东旭</v>
      </c>
      <c r="G29" s="126" t="str">
        <f>IF(_xlfn.XLOOKUP($A29,[1]分配表!$A:$A,[1]分配表!D:D)=0,"未分类",_xlfn.XLOOKUP($A29,[1]分配表!$A:$A,[1]分配表!D:D))</f>
        <v>车门系统</v>
      </c>
      <c r="H29" s="126" t="str">
        <f>_xlfn.XLOOKUP(A29,[1]分配表!J:J,[1]分配表!I:I)</f>
        <v>原开品</v>
      </c>
      <c r="I29" s="65">
        <f>COUNTIFS([1]月销售数据!L:L,A29,[1]月销售数据!M:M,"&gt;=2026-4-1",[1]月销售数据!M:M,"&lt;=2026-4-30")</f>
        <v>3</v>
      </c>
      <c r="J29" s="65">
        <f>COUNTIFS([1]月销售数据!L:L,A29,[1]月销售数据!M:M,"&gt;=2026-5-1",[1]月销售数据!M:M,"&lt;=2026-5-31")</f>
        <v>2</v>
      </c>
      <c r="K29" s="127" t="s">
        <v>46</v>
      </c>
      <c r="L29" s="127" t="s">
        <v>46</v>
      </c>
      <c r="M29" s="127" t="s">
        <v>48</v>
      </c>
      <c r="N29" s="127" t="s">
        <v>53</v>
      </c>
      <c r="O29" s="65">
        <v>7</v>
      </c>
      <c r="P29" s="65">
        <v>1</v>
      </c>
      <c r="Q29" s="67">
        <v>3374</v>
      </c>
      <c r="R29" s="110">
        <v>483</v>
      </c>
      <c r="S29" s="65">
        <v>2</v>
      </c>
      <c r="T29" s="65">
        <v>6</v>
      </c>
      <c r="U29" s="65">
        <v>9</v>
      </c>
      <c r="V29" s="65">
        <f t="shared" si="0"/>
        <v>7</v>
      </c>
      <c r="W29" s="71">
        <v>0.777777777777778</v>
      </c>
      <c r="X29" s="128">
        <v>0.142857142857143</v>
      </c>
      <c r="Y29" s="65">
        <v>0</v>
      </c>
      <c r="Z29" s="67">
        <v>0</v>
      </c>
      <c r="AA29" s="67">
        <v>0</v>
      </c>
      <c r="AB29" s="129" t="e">
        <v>#DIV/0!</v>
      </c>
      <c r="AC29" s="129">
        <v>0</v>
      </c>
      <c r="AD29" s="65">
        <v>0</v>
      </c>
      <c r="AE29" s="67">
        <v>0</v>
      </c>
      <c r="AF29" s="67">
        <v>0</v>
      </c>
      <c r="AG29" s="129" t="e">
        <v>#DIV/0!</v>
      </c>
      <c r="AH29" s="129">
        <v>0</v>
      </c>
      <c r="AI29" s="67">
        <v>85.53</v>
      </c>
      <c r="AJ29" s="67">
        <v>3518.09</v>
      </c>
      <c r="AK29" s="129">
        <v>0.0243114871990199</v>
      </c>
      <c r="AL29" s="129">
        <v>0.0253497332542976</v>
      </c>
      <c r="AM29" s="129">
        <v>0.0253497332542976</v>
      </c>
      <c r="AN29" s="67">
        <v>12.8</v>
      </c>
      <c r="AO29" s="67">
        <v>511.98</v>
      </c>
      <c r="AP29" s="129">
        <v>0.0250009766006485</v>
      </c>
      <c r="AQ29" s="129">
        <v>0.0265010351966874</v>
      </c>
      <c r="AR29" s="129">
        <v>0.0272256728778468</v>
      </c>
    </row>
    <row r="30" customFormat="1" ht="22.5" customHeight="1" spans="1:44">
      <c r="A30" s="72">
        <v>12311</v>
      </c>
      <c r="B30" s="62" t="s">
        <v>84</v>
      </c>
      <c r="C30" s="63">
        <f>_xlfn.XLOOKUP(A30,[1]分配表!J:J,[1]分配表!L:L)</f>
        <v>46092</v>
      </c>
      <c r="D30" s="63">
        <f>IF(_xlfn.XLOOKUP(A30,[1]分配表!J:J,[1]分配表!M:M,"未出单")=0,"未出单",_xlfn.XLOOKUP(A30,[1]分配表!J:J,[1]分配表!M:M,"未出单"))</f>
        <v>46102</v>
      </c>
      <c r="E30" s="64" t="s">
        <v>70</v>
      </c>
      <c r="F30" s="126" t="str">
        <f>_xlfn.XLOOKUP(A30,[1]分配表!A:A,[1]分配表!C:C)</f>
        <v>俞东旭</v>
      </c>
      <c r="G30" s="126" t="str">
        <f>IF(_xlfn.XLOOKUP($A30,[1]分配表!$A:$A,[1]分配表!D:D)=0,"未分类",_xlfn.XLOOKUP($A30,[1]分配表!$A:$A,[1]分配表!D:D))</f>
        <v>车门系统</v>
      </c>
      <c r="H30" s="126" t="str">
        <f>_xlfn.XLOOKUP(A30,[1]分配表!J:J,[1]分配表!I:I)</f>
        <v>原开品</v>
      </c>
      <c r="I30" s="65">
        <f>COUNTIFS([1]月销售数据!L:L,A30,[1]月销售数据!M:M,"&gt;=2026-4-1",[1]月销售数据!M:M,"&lt;=2026-4-30")</f>
        <v>4</v>
      </c>
      <c r="J30" s="65">
        <f>COUNTIFS([1]月销售数据!L:L,A30,[1]月销售数据!M:M,"&gt;=2026-5-1",[1]月销售数据!M:M,"&lt;=2026-5-31")</f>
        <v>3</v>
      </c>
      <c r="K30" s="127" t="s">
        <v>58</v>
      </c>
      <c r="L30" s="127" t="s">
        <v>58</v>
      </c>
      <c r="M30" s="127" t="s">
        <v>53</v>
      </c>
      <c r="N30" s="127" t="s">
        <v>53</v>
      </c>
      <c r="O30" s="65">
        <v>2</v>
      </c>
      <c r="P30" s="65">
        <v>2</v>
      </c>
      <c r="Q30" s="67">
        <v>960</v>
      </c>
      <c r="R30" s="110">
        <v>960</v>
      </c>
      <c r="S30" s="65">
        <v>4</v>
      </c>
      <c r="T30" s="65">
        <v>8</v>
      </c>
      <c r="U30" s="65">
        <v>6</v>
      </c>
      <c r="V30" s="65">
        <f t="shared" si="0"/>
        <v>10</v>
      </c>
      <c r="W30" s="71">
        <v>0.333333333333333</v>
      </c>
      <c r="X30" s="128">
        <v>0.2</v>
      </c>
      <c r="Y30" s="65">
        <v>0</v>
      </c>
      <c r="Z30" s="67">
        <v>0</v>
      </c>
      <c r="AA30" s="67">
        <v>0</v>
      </c>
      <c r="AB30" s="129" t="e">
        <v>#DIV/0!</v>
      </c>
      <c r="AC30" s="129">
        <v>0</v>
      </c>
      <c r="AD30" s="65">
        <v>0</v>
      </c>
      <c r="AE30" s="67">
        <v>0</v>
      </c>
      <c r="AF30" s="67">
        <v>0</v>
      </c>
      <c r="AG30" s="129" t="e">
        <v>#DIV/0!</v>
      </c>
      <c r="AH30" s="129">
        <v>0</v>
      </c>
      <c r="AI30" s="67">
        <v>20.74</v>
      </c>
      <c r="AJ30" s="67">
        <v>1036.8</v>
      </c>
      <c r="AK30" s="129">
        <v>0.0200038580246914</v>
      </c>
      <c r="AL30" s="129">
        <v>0.0216041666666667</v>
      </c>
      <c r="AM30" s="129">
        <v>0.0216041666666667</v>
      </c>
      <c r="AN30" s="67">
        <v>20.89</v>
      </c>
      <c r="AO30" s="67">
        <v>1044.6</v>
      </c>
      <c r="AP30" s="129">
        <v>0.0199980853915374</v>
      </c>
      <c r="AQ30" s="129">
        <v>0.0217604166666667</v>
      </c>
      <c r="AR30" s="129">
        <v>0.0217604166666667</v>
      </c>
    </row>
    <row r="31" customFormat="1" ht="22.5" customHeight="1" spans="1:44">
      <c r="A31" s="72">
        <v>12312</v>
      </c>
      <c r="B31" s="62" t="s">
        <v>85</v>
      </c>
      <c r="C31" s="63">
        <f>_xlfn.XLOOKUP(A31,[1]分配表!J:J,[1]分配表!L:L)</f>
        <v>46092</v>
      </c>
      <c r="D31" s="63">
        <f>IF(_xlfn.XLOOKUP(A31,[1]分配表!J:J,[1]分配表!M:M,"未出单")=0,"未出单",_xlfn.XLOOKUP(A31,[1]分配表!J:J,[1]分配表!M:M,"未出单"))</f>
        <v>46096</v>
      </c>
      <c r="E31" s="64" t="s">
        <v>70</v>
      </c>
      <c r="F31" s="126" t="str">
        <f>_xlfn.XLOOKUP(A31,[1]分配表!A:A,[1]分配表!C:C)</f>
        <v>俞东旭</v>
      </c>
      <c r="G31" s="126" t="str">
        <f>IF(_xlfn.XLOOKUP($A31,[1]分配表!$A:$A,[1]分配表!D:D)=0,"未分类",_xlfn.XLOOKUP($A31,[1]分配表!$A:$A,[1]分配表!D:D))</f>
        <v>车门系统</v>
      </c>
      <c r="H31" s="126" t="str">
        <f>_xlfn.XLOOKUP(A31,[1]分配表!J:J,[1]分配表!I:I)</f>
        <v>原开品</v>
      </c>
      <c r="I31" s="65">
        <f>COUNTIFS([1]月销售数据!L:L,A31,[1]月销售数据!M:M,"&gt;=2026-4-1",[1]月销售数据!M:M,"&lt;=2026-4-30")</f>
        <v>5</v>
      </c>
      <c r="J31" s="65">
        <f>COUNTIFS([1]月销售数据!L:L,A31,[1]月销售数据!M:M,"&gt;=2026-5-1",[1]月销售数据!M:M,"&lt;=2026-5-31")</f>
        <v>4</v>
      </c>
      <c r="K31" s="127" t="s">
        <v>46</v>
      </c>
      <c r="L31" s="127" t="s">
        <v>46</v>
      </c>
      <c r="M31" s="127" t="s">
        <v>53</v>
      </c>
      <c r="N31" s="127" t="s">
        <v>47</v>
      </c>
      <c r="O31" s="65">
        <v>3</v>
      </c>
      <c r="P31" s="65">
        <v>3</v>
      </c>
      <c r="Q31" s="67">
        <v>1436</v>
      </c>
      <c r="R31" s="110">
        <v>1428</v>
      </c>
      <c r="S31" s="65">
        <v>7</v>
      </c>
      <c r="T31" s="65">
        <v>8</v>
      </c>
      <c r="U31" s="65">
        <v>10</v>
      </c>
      <c r="V31" s="65">
        <f t="shared" si="0"/>
        <v>11</v>
      </c>
      <c r="W31" s="71">
        <v>0.3</v>
      </c>
      <c r="X31" s="128">
        <v>0.272727272727273</v>
      </c>
      <c r="Y31" s="65">
        <v>1</v>
      </c>
      <c r="Z31" s="67">
        <v>478</v>
      </c>
      <c r="AA31" s="67">
        <v>17.86</v>
      </c>
      <c r="AB31" s="129">
        <v>0.0373640167364017</v>
      </c>
      <c r="AC31" s="129">
        <v>0.0124373259052925</v>
      </c>
      <c r="AD31" s="65">
        <v>2</v>
      </c>
      <c r="AE31" s="67">
        <v>1030.16</v>
      </c>
      <c r="AF31" s="67">
        <v>24.32</v>
      </c>
      <c r="AG31" s="129">
        <v>0.0236079832259067</v>
      </c>
      <c r="AH31" s="129">
        <v>0.01703081232493</v>
      </c>
      <c r="AI31" s="67">
        <v>25.66</v>
      </c>
      <c r="AJ31" s="67">
        <v>1026.24</v>
      </c>
      <c r="AK31" s="129">
        <v>0.0250038977237293</v>
      </c>
      <c r="AL31" s="129">
        <v>0.0178690807799443</v>
      </c>
      <c r="AM31" s="129">
        <v>0.0306545961002786</v>
      </c>
      <c r="AN31" s="67">
        <v>12.91</v>
      </c>
      <c r="AO31" s="67">
        <v>516.56</v>
      </c>
      <c r="AP31" s="129">
        <v>0.024992256465851</v>
      </c>
      <c r="AQ31" s="129">
        <v>0.0090406162464986</v>
      </c>
      <c r="AR31" s="129">
        <v>0.0264915966386555</v>
      </c>
    </row>
    <row r="32" customFormat="1" ht="22.5" customHeight="1" spans="1:44">
      <c r="A32" s="72">
        <v>12441</v>
      </c>
      <c r="B32" s="62" t="s">
        <v>86</v>
      </c>
      <c r="C32" s="63">
        <f>_xlfn.XLOOKUP(A32,[1]分配表!J:J,[1]分配表!L:L)</f>
        <v>46093</v>
      </c>
      <c r="D32" s="63">
        <f>IF(_xlfn.XLOOKUP(A32,[1]分配表!J:J,[1]分配表!M:M,"未出单")=0,"未出单",_xlfn.XLOOKUP(A32,[1]分配表!J:J,[1]分配表!M:M,"未出单"))</f>
        <v>46100</v>
      </c>
      <c r="E32" s="64" t="s">
        <v>57</v>
      </c>
      <c r="F32" s="126" t="str">
        <f>_xlfn.XLOOKUP(A32,[1]分配表!A:A,[1]分配表!C:C)</f>
        <v>张潇</v>
      </c>
      <c r="G32" s="126" t="str">
        <f>IF(_xlfn.XLOOKUP($A32,[1]分配表!$A:$A,[1]分配表!D:D)=0,"未分类",_xlfn.XLOOKUP($A32,[1]分配表!$A:$A,[1]分配表!D:D))</f>
        <v>机盖及附件</v>
      </c>
      <c r="H32" s="126" t="str">
        <f>_xlfn.XLOOKUP(A32,[1]分配表!J:J,[1]分配表!I:I)</f>
        <v>原开品</v>
      </c>
      <c r="I32" s="65">
        <f>COUNTIFS([1]月销售数据!L:L,A32,[1]月销售数据!M:M,"&gt;=2026-4-1",[1]月销售数据!M:M,"&lt;=2026-4-30")</f>
        <v>2</v>
      </c>
      <c r="J32" s="65">
        <f>COUNTIFS([1]月销售数据!L:L,A32,[1]月销售数据!M:M,"&gt;=2026-5-1",[1]月销售数据!M:M,"&lt;=2026-5-31")</f>
        <v>3</v>
      </c>
      <c r="K32" s="127" t="s">
        <v>46</v>
      </c>
      <c r="L32" s="127" t="s">
        <v>46</v>
      </c>
      <c r="M32" s="127" t="s">
        <v>48</v>
      </c>
      <c r="N32" s="127" t="s">
        <v>53</v>
      </c>
      <c r="O32" s="65">
        <v>6</v>
      </c>
      <c r="P32" s="65">
        <v>3</v>
      </c>
      <c r="Q32" s="67">
        <v>838</v>
      </c>
      <c r="R32" s="110">
        <v>413</v>
      </c>
      <c r="S32" s="65">
        <v>3</v>
      </c>
      <c r="T32" s="65">
        <v>2</v>
      </c>
      <c r="U32" s="65">
        <v>9</v>
      </c>
      <c r="V32" s="65">
        <f t="shared" si="0"/>
        <v>5</v>
      </c>
      <c r="W32" s="71">
        <v>0.666666666666667</v>
      </c>
      <c r="X32" s="128">
        <v>0.6</v>
      </c>
      <c r="Y32" s="65">
        <v>2</v>
      </c>
      <c r="Z32" s="67">
        <v>299.89</v>
      </c>
      <c r="AA32" s="67">
        <v>3.5</v>
      </c>
      <c r="AB32" s="129">
        <v>0.0116709460135383</v>
      </c>
      <c r="AC32" s="129">
        <v>0.00417661097852029</v>
      </c>
      <c r="AD32" s="65">
        <v>2</v>
      </c>
      <c r="AE32" s="67">
        <v>303.19</v>
      </c>
      <c r="AF32" s="67">
        <v>0.7</v>
      </c>
      <c r="AG32" s="129">
        <v>0.00230878327121607</v>
      </c>
      <c r="AH32" s="129">
        <v>0.00169491525423729</v>
      </c>
      <c r="AI32" s="67">
        <v>17.84</v>
      </c>
      <c r="AJ32" s="67">
        <v>892.04</v>
      </c>
      <c r="AK32" s="129">
        <v>0.0199991031792296</v>
      </c>
      <c r="AL32" s="129">
        <v>0.0212887828162291</v>
      </c>
      <c r="AM32" s="129">
        <v>0.0254653937947494</v>
      </c>
      <c r="AN32" s="67">
        <v>0</v>
      </c>
      <c r="AO32" s="67">
        <v>0</v>
      </c>
      <c r="AP32" s="129" t="e">
        <v>#DIV/0!</v>
      </c>
      <c r="AQ32" s="129">
        <v>0</v>
      </c>
      <c r="AR32" s="129">
        <v>0.00169491525423729</v>
      </c>
    </row>
    <row r="33" customFormat="1" ht="22.5" customHeight="1" spans="1:44">
      <c r="A33" s="72">
        <v>12271</v>
      </c>
      <c r="B33" s="62" t="s">
        <v>87</v>
      </c>
      <c r="C33" s="63">
        <f>_xlfn.XLOOKUP(A33,[1]分配表!J:J,[1]分配表!L:L)</f>
        <v>46097</v>
      </c>
      <c r="D33" s="63">
        <f>IF(_xlfn.XLOOKUP(A33,[1]分配表!J:J,[1]分配表!M:M,"未出单")=0,"未出单",_xlfn.XLOOKUP(A33,[1]分配表!J:J,[1]分配表!M:M,"未出单"))</f>
        <v>46098</v>
      </c>
      <c r="E33" s="64" t="s">
        <v>70</v>
      </c>
      <c r="F33" s="126" t="str">
        <f>_xlfn.XLOOKUP(A33,[1]分配表!A:A,[1]分配表!C:C)</f>
        <v>俞东旭</v>
      </c>
      <c r="G33" s="126" t="str">
        <f>IF(_xlfn.XLOOKUP($A33,[1]分配表!$A:$A,[1]分配表!D:D)=0,"未分类",_xlfn.XLOOKUP($A33,[1]分配表!$A:$A,[1]分配表!D:D))</f>
        <v>车门系统</v>
      </c>
      <c r="H33" s="126" t="str">
        <f>_xlfn.XLOOKUP(A33,[1]分配表!J:J,[1]分配表!I:I)</f>
        <v>原开品</v>
      </c>
      <c r="I33" s="65">
        <f>COUNTIFS([1]月销售数据!L:L,A33,[1]月销售数据!M:M,"&gt;=2026-4-1",[1]月销售数据!M:M,"&lt;=2026-4-30")</f>
        <v>2</v>
      </c>
      <c r="J33" s="65">
        <f>COUNTIFS([1]月销售数据!L:L,A33,[1]月销售数据!M:M,"&gt;=2026-5-1",[1]月销售数据!M:M,"&lt;=2026-5-31")</f>
        <v>2</v>
      </c>
      <c r="K33" s="127" t="s">
        <v>46</v>
      </c>
      <c r="L33" s="127" t="s">
        <v>46</v>
      </c>
      <c r="M33" s="127" t="s">
        <v>53</v>
      </c>
      <c r="N33" s="127" t="s">
        <v>53</v>
      </c>
      <c r="O33" s="65">
        <v>31</v>
      </c>
      <c r="P33" s="65">
        <v>8</v>
      </c>
      <c r="Q33" s="67">
        <v>9300</v>
      </c>
      <c r="R33" s="110">
        <v>2400</v>
      </c>
      <c r="S33" s="65">
        <v>2</v>
      </c>
      <c r="T33" s="65">
        <v>3</v>
      </c>
      <c r="U33" s="65">
        <v>33</v>
      </c>
      <c r="V33" s="65">
        <f t="shared" si="0"/>
        <v>11</v>
      </c>
      <c r="W33" s="71">
        <v>0.939393939393939</v>
      </c>
      <c r="X33" s="128">
        <v>0.727272727272727</v>
      </c>
      <c r="Y33" s="65">
        <v>0</v>
      </c>
      <c r="Z33" s="67">
        <v>0</v>
      </c>
      <c r="AA33" s="67">
        <v>0</v>
      </c>
      <c r="AB33" s="129" t="e">
        <v>#DIV/0!</v>
      </c>
      <c r="AC33" s="129">
        <v>0</v>
      </c>
      <c r="AD33" s="65">
        <v>0</v>
      </c>
      <c r="AE33" s="67">
        <v>0</v>
      </c>
      <c r="AF33" s="67">
        <v>0</v>
      </c>
      <c r="AG33" s="129" t="e">
        <v>#DIV/0!</v>
      </c>
      <c r="AH33" s="129">
        <v>0</v>
      </c>
      <c r="AI33" s="67">
        <v>206.03</v>
      </c>
      <c r="AJ33" s="67">
        <v>10298.32</v>
      </c>
      <c r="AK33" s="129">
        <v>0.0200061757645907</v>
      </c>
      <c r="AL33" s="129">
        <v>0.0221537634408602</v>
      </c>
      <c r="AM33" s="129">
        <v>0.0221537634408602</v>
      </c>
      <c r="AN33" s="67">
        <v>71.44</v>
      </c>
      <c r="AO33" s="67">
        <v>3570.45</v>
      </c>
      <c r="AP33" s="129">
        <v>0.0200086823789718</v>
      </c>
      <c r="AQ33" s="129">
        <v>0.0297666666666667</v>
      </c>
      <c r="AR33" s="129">
        <v>0.0297666666666667</v>
      </c>
    </row>
    <row r="34" customFormat="1" ht="22.5" customHeight="1" spans="1:44">
      <c r="A34" s="72">
        <v>12270</v>
      </c>
      <c r="B34" s="62" t="s">
        <v>88</v>
      </c>
      <c r="C34" s="63">
        <f>_xlfn.XLOOKUP(A34,[1]分配表!J:J,[1]分配表!L:L)</f>
        <v>46097</v>
      </c>
      <c r="D34" s="63">
        <f>IF(_xlfn.XLOOKUP(A34,[1]分配表!J:J,[1]分配表!M:M,"未出单")=0,"未出单",_xlfn.XLOOKUP(A34,[1]分配表!J:J,[1]分配表!M:M,"未出单"))</f>
        <v>46100</v>
      </c>
      <c r="E34" s="64" t="s">
        <v>70</v>
      </c>
      <c r="F34" s="126" t="str">
        <f>_xlfn.XLOOKUP(A34,[1]分配表!A:A,[1]分配表!C:C)</f>
        <v>俞东旭</v>
      </c>
      <c r="G34" s="126" t="str">
        <f>IF(_xlfn.XLOOKUP($A34,[1]分配表!$A:$A,[1]分配表!D:D)=0,"未分类",_xlfn.XLOOKUP($A34,[1]分配表!$A:$A,[1]分配表!D:D))</f>
        <v>车门系统</v>
      </c>
      <c r="H34" s="126" t="str">
        <f>_xlfn.XLOOKUP(A34,[1]分配表!J:J,[1]分配表!I:I)</f>
        <v>原开品</v>
      </c>
      <c r="I34" s="65">
        <f>COUNTIFS([1]月销售数据!L:L,A34,[1]月销售数据!M:M,"&gt;=2026-4-1",[1]月销售数据!M:M,"&lt;=2026-4-30")</f>
        <v>2</v>
      </c>
      <c r="J34" s="65">
        <f>COUNTIFS([1]月销售数据!L:L,A34,[1]月销售数据!M:M,"&gt;=2026-5-1",[1]月销售数据!M:M,"&lt;=2026-5-31")</f>
        <v>2</v>
      </c>
      <c r="K34" s="127" t="s">
        <v>46</v>
      </c>
      <c r="L34" s="127" t="s">
        <v>46</v>
      </c>
      <c r="M34" s="127" t="s">
        <v>77</v>
      </c>
      <c r="N34" s="127" t="s">
        <v>77</v>
      </c>
      <c r="O34" s="65">
        <v>3</v>
      </c>
      <c r="P34" s="65">
        <v>2</v>
      </c>
      <c r="Q34" s="67">
        <v>810</v>
      </c>
      <c r="R34" s="110">
        <v>540</v>
      </c>
      <c r="S34" s="65">
        <v>0</v>
      </c>
      <c r="T34" s="65">
        <v>0</v>
      </c>
      <c r="U34" s="65">
        <v>3</v>
      </c>
      <c r="V34" s="65">
        <f t="shared" si="0"/>
        <v>2</v>
      </c>
      <c r="W34" s="71">
        <v>1</v>
      </c>
      <c r="X34" s="128">
        <v>1</v>
      </c>
      <c r="Y34" s="65">
        <v>0</v>
      </c>
      <c r="Z34" s="67">
        <v>0</v>
      </c>
      <c r="AA34" s="67">
        <v>0</v>
      </c>
      <c r="AB34" s="129" t="e">
        <v>#DIV/0!</v>
      </c>
      <c r="AC34" s="129">
        <v>0</v>
      </c>
      <c r="AD34" s="65">
        <v>0</v>
      </c>
      <c r="AE34" s="67">
        <v>0</v>
      </c>
      <c r="AF34" s="67">
        <v>0</v>
      </c>
      <c r="AG34" s="129" t="e">
        <v>#DIV/0!</v>
      </c>
      <c r="AH34" s="129">
        <v>0</v>
      </c>
      <c r="AI34" s="67">
        <v>17.55</v>
      </c>
      <c r="AJ34" s="67">
        <v>876.97</v>
      </c>
      <c r="AK34" s="129">
        <v>0.0200120870725338</v>
      </c>
      <c r="AL34" s="129">
        <v>0.0216666666666667</v>
      </c>
      <c r="AM34" s="129">
        <v>0.0307530864197531</v>
      </c>
      <c r="AN34" s="67">
        <v>11.71</v>
      </c>
      <c r="AO34" s="67">
        <v>585.43</v>
      </c>
      <c r="AP34" s="129">
        <v>0.0200023914046086</v>
      </c>
      <c r="AQ34" s="129">
        <v>0.0216851851851852</v>
      </c>
      <c r="AR34" s="129">
        <v>0.0429814814814815</v>
      </c>
    </row>
    <row r="35" customFormat="1" ht="22.5" customHeight="1" spans="1:44">
      <c r="A35" s="72">
        <v>12318</v>
      </c>
      <c r="B35" s="62" t="s">
        <v>89</v>
      </c>
      <c r="C35" s="63">
        <f>_xlfn.XLOOKUP(A35,[1]分配表!J:J,[1]分配表!L:L)</f>
        <v>46097</v>
      </c>
      <c r="D35" s="63">
        <f>IF(_xlfn.XLOOKUP(A35,[1]分配表!J:J,[1]分配表!M:M,"未出单")=0,"未出单",_xlfn.XLOOKUP(A35,[1]分配表!J:J,[1]分配表!M:M,"未出单"))</f>
        <v>46103</v>
      </c>
      <c r="E35" s="64" t="s">
        <v>52</v>
      </c>
      <c r="F35" s="126" t="str">
        <f>_xlfn.XLOOKUP(A35,[1]分配表!A:A,[1]分配表!C:C)</f>
        <v>胡煜星</v>
      </c>
      <c r="G35" s="126" t="str">
        <f>IF(_xlfn.XLOOKUP($A35,[1]分配表!$A:$A,[1]分配表!D:D)=0,"未分类",_xlfn.XLOOKUP($A35,[1]分配表!$A:$A,[1]分配表!D:D))</f>
        <v>车门系统</v>
      </c>
      <c r="H35" s="126" t="str">
        <f>_xlfn.XLOOKUP(A35,[1]分配表!J:J,[1]分配表!I:I)</f>
        <v>原开品</v>
      </c>
      <c r="I35" s="65">
        <f>COUNTIFS([1]月销售数据!L:L,A35,[1]月销售数据!M:M,"&gt;=2026-4-1",[1]月销售数据!M:M,"&lt;=2026-4-30")</f>
        <v>4</v>
      </c>
      <c r="J35" s="65">
        <f>COUNTIFS([1]月销售数据!L:L,A35,[1]月销售数据!M:M,"&gt;=2026-5-1",[1]月销售数据!M:M,"&lt;=2026-5-31")</f>
        <v>2</v>
      </c>
      <c r="K35" s="127" t="s">
        <v>46</v>
      </c>
      <c r="L35" s="127" t="s">
        <v>46</v>
      </c>
      <c r="M35" s="127" t="s">
        <v>47</v>
      </c>
      <c r="N35" s="127" t="s">
        <v>47</v>
      </c>
      <c r="O35" s="65">
        <v>0</v>
      </c>
      <c r="P35" s="65">
        <v>2</v>
      </c>
      <c r="Q35" s="67">
        <v>0</v>
      </c>
      <c r="R35" s="110">
        <v>920</v>
      </c>
      <c r="S35" s="65">
        <v>0</v>
      </c>
      <c r="T35" s="65">
        <v>0</v>
      </c>
      <c r="U35" s="65">
        <v>0</v>
      </c>
      <c r="V35" s="65">
        <f t="shared" si="0"/>
        <v>2</v>
      </c>
      <c r="W35" s="71">
        <v>0</v>
      </c>
      <c r="X35" s="128">
        <v>1</v>
      </c>
      <c r="Y35" s="65">
        <v>0</v>
      </c>
      <c r="Z35" s="67">
        <v>0</v>
      </c>
      <c r="AA35" s="67">
        <v>44.63</v>
      </c>
      <c r="AB35" s="129" t="e">
        <v>#DIV/0!</v>
      </c>
      <c r="AC35" s="129" t="e">
        <v>#DIV/0!</v>
      </c>
      <c r="AD35" s="65">
        <v>1</v>
      </c>
      <c r="AE35" s="67">
        <v>501.86</v>
      </c>
      <c r="AF35" s="67">
        <v>6.78</v>
      </c>
      <c r="AG35" s="129">
        <v>0.013509743753238</v>
      </c>
      <c r="AH35" s="129">
        <v>0.0073695652173913</v>
      </c>
      <c r="AI35" s="67">
        <v>0</v>
      </c>
      <c r="AJ35" s="67">
        <v>0</v>
      </c>
      <c r="AK35" s="129" t="e">
        <v>#DIV/0!</v>
      </c>
      <c r="AL35" s="129" t="e">
        <v>#DIV/0!</v>
      </c>
      <c r="AM35" s="129" t="e">
        <v>#DIV/0!</v>
      </c>
      <c r="AN35" s="67">
        <v>0</v>
      </c>
      <c r="AO35" s="67">
        <v>0</v>
      </c>
      <c r="AP35" s="129" t="e">
        <v>#DIV/0!</v>
      </c>
      <c r="AQ35" s="129">
        <v>0</v>
      </c>
      <c r="AR35" s="129">
        <v>0.00792391304347826</v>
      </c>
    </row>
    <row r="36" customFormat="1" ht="22.5" customHeight="1" spans="1:44">
      <c r="A36" s="72">
        <v>12320</v>
      </c>
      <c r="B36" s="62" t="s">
        <v>90</v>
      </c>
      <c r="C36" s="63">
        <f>_xlfn.XLOOKUP(A36,[1]分配表!J:J,[1]分配表!L:L)</f>
        <v>46097</v>
      </c>
      <c r="D36" s="63">
        <f>IF(_xlfn.XLOOKUP(A36,[1]分配表!J:J,[1]分配表!M:M,"未出单")=0,"未出单",_xlfn.XLOOKUP(A36,[1]分配表!J:J,[1]分配表!M:M,"未出单"))</f>
        <v>46131</v>
      </c>
      <c r="E36" s="64" t="s">
        <v>45</v>
      </c>
      <c r="F36" s="126" t="str">
        <f>_xlfn.XLOOKUP(A36,[1]分配表!A:A,[1]分配表!C:C)</f>
        <v>朱培源</v>
      </c>
      <c r="G36" s="126" t="str">
        <f>IF(_xlfn.XLOOKUP($A36,[1]分配表!$A:$A,[1]分配表!D:D)=0,"未分类",_xlfn.XLOOKUP($A36,[1]分配表!$A:$A,[1]分配表!D:D))</f>
        <v>挡泥板</v>
      </c>
      <c r="H36" s="126" t="str">
        <f>_xlfn.XLOOKUP(A36,[1]分配表!J:J,[1]分配表!I:I)</f>
        <v>原开品</v>
      </c>
      <c r="I36" s="65">
        <f>COUNTIFS([1]月销售数据!L:L,A36,[1]月销售数据!M:M,"&gt;=2026-4-1",[1]月销售数据!M:M,"&lt;=2026-4-30")</f>
        <v>4</v>
      </c>
      <c r="J36" s="65">
        <f>COUNTIFS([1]月销售数据!L:L,A36,[1]月销售数据!M:M,"&gt;=2026-5-1",[1]月销售数据!M:M,"&lt;=2026-5-31")</f>
        <v>1</v>
      </c>
      <c r="K36" s="127" t="s">
        <v>58</v>
      </c>
      <c r="L36" s="127" t="s">
        <v>58</v>
      </c>
      <c r="M36" s="127" t="s">
        <v>47</v>
      </c>
      <c r="N36" s="127" t="s">
        <v>48</v>
      </c>
      <c r="O36" s="65">
        <v>1</v>
      </c>
      <c r="P36" s="65">
        <v>3</v>
      </c>
      <c r="Q36" s="67">
        <v>75</v>
      </c>
      <c r="R36" s="110">
        <v>225</v>
      </c>
      <c r="S36" s="65">
        <v>0</v>
      </c>
      <c r="T36" s="65">
        <v>2</v>
      </c>
      <c r="U36" s="65">
        <v>1</v>
      </c>
      <c r="V36" s="65">
        <f t="shared" si="0"/>
        <v>5</v>
      </c>
      <c r="W36" s="71">
        <v>1</v>
      </c>
      <c r="X36" s="128">
        <v>0.6</v>
      </c>
      <c r="Y36" s="65">
        <v>0</v>
      </c>
      <c r="Z36" s="67">
        <v>0</v>
      </c>
      <c r="AA36" s="67">
        <v>0</v>
      </c>
      <c r="AB36" s="129" t="e">
        <v>#DIV/0!</v>
      </c>
      <c r="AC36" s="129">
        <v>0</v>
      </c>
      <c r="AD36" s="65">
        <v>0</v>
      </c>
      <c r="AE36" s="67">
        <v>0</v>
      </c>
      <c r="AF36" s="67">
        <v>0</v>
      </c>
      <c r="AG36" s="129" t="e">
        <v>#DIV/0!</v>
      </c>
      <c r="AH36" s="129">
        <v>0</v>
      </c>
      <c r="AI36" s="67">
        <v>3.22</v>
      </c>
      <c r="AJ36" s="67">
        <v>80.44</v>
      </c>
      <c r="AK36" s="129">
        <v>0.0400298359025361</v>
      </c>
      <c r="AL36" s="129">
        <v>0.0429333333333333</v>
      </c>
      <c r="AM36" s="129">
        <v>0.0469333333333333</v>
      </c>
      <c r="AN36" s="67">
        <v>9.77</v>
      </c>
      <c r="AO36" s="67">
        <v>244.13</v>
      </c>
      <c r="AP36" s="129">
        <v>0.0400196616556753</v>
      </c>
      <c r="AQ36" s="129">
        <v>0.0434222222222222</v>
      </c>
      <c r="AR36" s="129">
        <v>0.0451555555555556</v>
      </c>
    </row>
    <row r="37" customFormat="1" ht="22.5" customHeight="1" spans="1:44">
      <c r="A37" s="72">
        <v>12305</v>
      </c>
      <c r="B37" s="62" t="s">
        <v>91</v>
      </c>
      <c r="C37" s="63">
        <f>_xlfn.XLOOKUP(A37,[1]分配表!J:J,[1]分配表!L:L)</f>
        <v>46097</v>
      </c>
      <c r="D37" s="63">
        <f>IF(_xlfn.XLOOKUP(A37,[1]分配表!J:J,[1]分配表!M:M,"未出单")=0,"未出单",_xlfn.XLOOKUP(A37,[1]分配表!J:J,[1]分配表!M:M,"未出单"))</f>
        <v>46100</v>
      </c>
      <c r="E37" s="64" t="s">
        <v>70</v>
      </c>
      <c r="F37" s="126" t="str">
        <f>_xlfn.XLOOKUP(A37,[1]分配表!A:A,[1]分配表!C:C)</f>
        <v>俞东旭</v>
      </c>
      <c r="G37" s="126" t="str">
        <f>IF(_xlfn.XLOOKUP($A37,[1]分配表!$A:$A,[1]分配表!D:D)=0,"未分类",_xlfn.XLOOKUP($A37,[1]分配表!$A:$A,[1]分配表!D:D))</f>
        <v>车门系统</v>
      </c>
      <c r="H37" s="126" t="str">
        <f>_xlfn.XLOOKUP(A37,[1]分配表!J:J,[1]分配表!I:I)</f>
        <v>原开品</v>
      </c>
      <c r="I37" s="65">
        <f>COUNTIFS([1]月销售数据!L:L,A37,[1]月销售数据!M:M,"&gt;=2026-4-1",[1]月销售数据!M:M,"&lt;=2026-4-30")</f>
        <v>2</v>
      </c>
      <c r="J37" s="65">
        <f>COUNTIFS([1]月销售数据!L:L,A37,[1]月销售数据!M:M,"&gt;=2026-5-1",[1]月销售数据!M:M,"&lt;=2026-5-31")</f>
        <v>1</v>
      </c>
      <c r="K37" s="127" t="s">
        <v>46</v>
      </c>
      <c r="L37" s="127" t="s">
        <v>46</v>
      </c>
      <c r="M37" s="127" t="s">
        <v>53</v>
      </c>
      <c r="N37" s="127" t="e">
        <v>#N/A</v>
      </c>
      <c r="O37" s="65">
        <v>10</v>
      </c>
      <c r="P37" s="65">
        <v>3</v>
      </c>
      <c r="Q37" s="67">
        <v>5860</v>
      </c>
      <c r="R37" s="110">
        <v>1770</v>
      </c>
      <c r="S37" s="65">
        <v>3</v>
      </c>
      <c r="T37" s="65">
        <v>10</v>
      </c>
      <c r="U37" s="65">
        <v>13</v>
      </c>
      <c r="V37" s="65">
        <f t="shared" si="0"/>
        <v>13</v>
      </c>
      <c r="W37" s="71">
        <v>0.769230769230769</v>
      </c>
      <c r="X37" s="128">
        <v>0.230769230769231</v>
      </c>
      <c r="Y37" s="65">
        <v>1</v>
      </c>
      <c r="Z37" s="67">
        <v>627.41</v>
      </c>
      <c r="AA37" s="67">
        <v>0</v>
      </c>
      <c r="AB37" s="129">
        <v>0</v>
      </c>
      <c r="AC37" s="129">
        <v>0</v>
      </c>
      <c r="AD37" s="65">
        <v>0</v>
      </c>
      <c r="AE37" s="67">
        <v>0</v>
      </c>
      <c r="AF37" s="67">
        <v>0</v>
      </c>
      <c r="AG37" s="129" t="e">
        <v>#DIV/0!</v>
      </c>
      <c r="AH37" s="129">
        <v>0</v>
      </c>
      <c r="AI37" s="67">
        <v>125.23</v>
      </c>
      <c r="AJ37" s="67">
        <v>6260.84</v>
      </c>
      <c r="AK37" s="129">
        <v>0.0200021083432894</v>
      </c>
      <c r="AL37" s="129">
        <v>0.0213703071672355</v>
      </c>
      <c r="AM37" s="129">
        <v>0.021419795221843</v>
      </c>
      <c r="AN37" s="67">
        <v>36.98</v>
      </c>
      <c r="AO37" s="67">
        <v>1848.77</v>
      </c>
      <c r="AP37" s="129">
        <v>0.0200024881407639</v>
      </c>
      <c r="AQ37" s="129">
        <v>0.0208926553672316</v>
      </c>
      <c r="AR37" s="129">
        <v>0.0208926553672316</v>
      </c>
    </row>
    <row r="38" customFormat="1" ht="22.5" customHeight="1" spans="1:44">
      <c r="A38" s="72">
        <v>12321</v>
      </c>
      <c r="B38" s="62" t="s">
        <v>92</v>
      </c>
      <c r="C38" s="63">
        <f>_xlfn.XLOOKUP(A38,[1]分配表!J:J,[1]分配表!L:L)</f>
        <v>46097</v>
      </c>
      <c r="D38" s="63">
        <f>IF(_xlfn.XLOOKUP(A38,[1]分配表!J:J,[1]分配表!M:M,"未出单")=0,"未出单",_xlfn.XLOOKUP(A38,[1]分配表!J:J,[1]分配表!M:M,"未出单"))</f>
        <v>46120</v>
      </c>
      <c r="E38" s="64" t="s">
        <v>70</v>
      </c>
      <c r="F38" s="126" t="str">
        <f>_xlfn.XLOOKUP(A38,[1]分配表!A:A,[1]分配表!C:C)</f>
        <v>俞东旭</v>
      </c>
      <c r="G38" s="126" t="str">
        <f>IF(_xlfn.XLOOKUP($A38,[1]分配表!$A:$A,[1]分配表!D:D)=0,"未分类",_xlfn.XLOOKUP($A38,[1]分配表!$A:$A,[1]分配表!D:D))</f>
        <v>车门系统</v>
      </c>
      <c r="H38" s="126" t="str">
        <f>_xlfn.XLOOKUP(A38,[1]分配表!J:J,[1]分配表!I:I)</f>
        <v>原开品</v>
      </c>
      <c r="I38" s="65">
        <f>COUNTIFS([1]月销售数据!L:L,A38,[1]月销售数据!M:M,"&gt;=2026-4-1",[1]月销售数据!M:M,"&lt;=2026-4-30")</f>
        <v>5</v>
      </c>
      <c r="J38" s="65">
        <f>COUNTIFS([1]月销售数据!L:L,A38,[1]月销售数据!M:M,"&gt;=2026-5-1",[1]月销售数据!M:M,"&lt;=2026-5-31")</f>
        <v>3</v>
      </c>
      <c r="K38" s="127" t="s">
        <v>58</v>
      </c>
      <c r="L38" s="127" t="s">
        <v>58</v>
      </c>
      <c r="M38" s="127" t="s">
        <v>53</v>
      </c>
      <c r="N38" s="127" t="s">
        <v>53</v>
      </c>
      <c r="O38" s="65">
        <v>11</v>
      </c>
      <c r="P38" s="65">
        <v>21</v>
      </c>
      <c r="Q38" s="67">
        <v>394.9</v>
      </c>
      <c r="R38" s="110">
        <v>753.9</v>
      </c>
      <c r="S38" s="65">
        <v>25</v>
      </c>
      <c r="T38" s="65">
        <v>19</v>
      </c>
      <c r="U38" s="65">
        <v>36</v>
      </c>
      <c r="V38" s="65">
        <f t="shared" si="0"/>
        <v>40</v>
      </c>
      <c r="W38" s="71">
        <v>0.305555555555556</v>
      </c>
      <c r="X38" s="128">
        <v>0.525</v>
      </c>
      <c r="Y38" s="65">
        <v>0</v>
      </c>
      <c r="Z38" s="67">
        <v>0</v>
      </c>
      <c r="AA38" s="67">
        <v>0</v>
      </c>
      <c r="AB38" s="129" t="e">
        <v>#DIV/0!</v>
      </c>
      <c r="AC38" s="129">
        <v>0</v>
      </c>
      <c r="AD38" s="65">
        <v>0</v>
      </c>
      <c r="AE38" s="67">
        <v>0</v>
      </c>
      <c r="AF38" s="67">
        <v>0</v>
      </c>
      <c r="AG38" s="129" t="e">
        <v>#DIV/0!</v>
      </c>
      <c r="AH38" s="129">
        <v>0</v>
      </c>
      <c r="AI38" s="67">
        <v>15.48</v>
      </c>
      <c r="AJ38" s="67">
        <v>386.84</v>
      </c>
      <c r="AK38" s="129">
        <v>0.0400165443077241</v>
      </c>
      <c r="AL38" s="129">
        <v>0.0391997974170676</v>
      </c>
      <c r="AM38" s="129">
        <v>0.0467460116485186</v>
      </c>
      <c r="AN38" s="67">
        <v>33.84</v>
      </c>
      <c r="AO38" s="67">
        <v>846.72</v>
      </c>
      <c r="AP38" s="129">
        <v>0.0399659863945578</v>
      </c>
      <c r="AQ38" s="129">
        <v>0.0448865897333864</v>
      </c>
      <c r="AR38" s="129">
        <v>0.0522483087942698</v>
      </c>
    </row>
    <row r="39" customFormat="1" ht="22.5" customHeight="1" spans="1:44">
      <c r="A39" s="72">
        <v>12272</v>
      </c>
      <c r="B39" s="62" t="s">
        <v>93</v>
      </c>
      <c r="C39" s="63">
        <f>_xlfn.XLOOKUP(A39,[1]分配表!J:J,[1]分配表!L:L)</f>
        <v>46097</v>
      </c>
      <c r="D39" s="63">
        <f>IF(_xlfn.XLOOKUP(A39,[1]分配表!J:J,[1]分配表!M:M,"未出单")=0,"未出单",_xlfn.XLOOKUP(A39,[1]分配表!J:J,[1]分配表!M:M,"未出单"))</f>
        <v>46099</v>
      </c>
      <c r="E39" s="64" t="s">
        <v>52</v>
      </c>
      <c r="F39" s="126" t="str">
        <f>_xlfn.XLOOKUP(A39,[1]分配表!A:A,[1]分配表!C:C)</f>
        <v>胡煜星</v>
      </c>
      <c r="G39" s="126" t="str">
        <f>IF(_xlfn.XLOOKUP($A39,[1]分配表!$A:$A,[1]分配表!D:D)=0,"未分类",_xlfn.XLOOKUP($A39,[1]分配表!$A:$A,[1]分配表!D:D))</f>
        <v>车门系统</v>
      </c>
      <c r="H39" s="126" t="str">
        <f>_xlfn.XLOOKUP(A39,[1]分配表!J:J,[1]分配表!I:I)</f>
        <v>原开品</v>
      </c>
      <c r="I39" s="65">
        <f>COUNTIFS([1]月销售数据!L:L,A39,[1]月销售数据!M:M,"&gt;=2026-4-1",[1]月销售数据!M:M,"&lt;=2026-4-30")</f>
        <v>2</v>
      </c>
      <c r="J39" s="65">
        <f>COUNTIFS([1]月销售数据!L:L,A39,[1]月销售数据!M:M,"&gt;=2026-5-1",[1]月销售数据!M:M,"&lt;=2026-5-31")</f>
        <v>3</v>
      </c>
      <c r="K39" s="127" t="s">
        <v>46</v>
      </c>
      <c r="L39" s="127" t="s">
        <v>46</v>
      </c>
      <c r="M39" s="127" t="s">
        <v>48</v>
      </c>
      <c r="N39" s="127" t="s">
        <v>48</v>
      </c>
      <c r="O39" s="65">
        <v>23</v>
      </c>
      <c r="P39" s="65">
        <v>24</v>
      </c>
      <c r="Q39" s="67">
        <v>1557.2</v>
      </c>
      <c r="R39" s="110">
        <v>1708.5</v>
      </c>
      <c r="S39" s="65">
        <v>0</v>
      </c>
      <c r="T39" s="65">
        <v>0</v>
      </c>
      <c r="U39" s="65">
        <v>23</v>
      </c>
      <c r="V39" s="65">
        <f t="shared" si="0"/>
        <v>24</v>
      </c>
      <c r="W39" s="71">
        <v>1</v>
      </c>
      <c r="X39" s="128">
        <v>1</v>
      </c>
      <c r="Y39" s="65">
        <v>4</v>
      </c>
      <c r="Z39" s="67">
        <v>292.55</v>
      </c>
      <c r="AA39" s="67">
        <v>25.73</v>
      </c>
      <c r="AB39" s="129">
        <v>0.087950777644847</v>
      </c>
      <c r="AC39" s="129">
        <v>0.0165232468533265</v>
      </c>
      <c r="AD39" s="65">
        <v>0</v>
      </c>
      <c r="AE39" s="67">
        <v>0</v>
      </c>
      <c r="AF39" s="67">
        <v>0</v>
      </c>
      <c r="AG39" s="129" t="e">
        <v>#DIV/0!</v>
      </c>
      <c r="AH39" s="129">
        <v>0</v>
      </c>
      <c r="AI39" s="67">
        <v>32.04</v>
      </c>
      <c r="AJ39" s="67">
        <v>1309.16</v>
      </c>
      <c r="AK39" s="129">
        <v>0.0244737083320603</v>
      </c>
      <c r="AL39" s="129">
        <v>0.0205753917287439</v>
      </c>
      <c r="AM39" s="129">
        <v>0.0404443873619317</v>
      </c>
      <c r="AN39" s="67">
        <v>33.66</v>
      </c>
      <c r="AO39" s="67">
        <v>1683.19</v>
      </c>
      <c r="AP39" s="129">
        <v>0.0199977423820246</v>
      </c>
      <c r="AQ39" s="129">
        <v>0.0197014925373134</v>
      </c>
      <c r="AR39" s="129">
        <v>0.0215100965759438</v>
      </c>
    </row>
    <row r="40" customFormat="1" ht="22.5" customHeight="1" spans="1:44">
      <c r="A40" s="72">
        <v>12292</v>
      </c>
      <c r="B40" s="62" t="s">
        <v>94</v>
      </c>
      <c r="C40" s="63">
        <f>_xlfn.XLOOKUP(A40,[1]分配表!J:J,[1]分配表!L:L)</f>
        <v>46097</v>
      </c>
      <c r="D40" s="63">
        <f>IF(_xlfn.XLOOKUP(A40,[1]分配表!J:J,[1]分配表!M:M,"未出单")=0,"未出单",_xlfn.XLOOKUP(A40,[1]分配表!J:J,[1]分配表!M:M,"未出单"))</f>
        <v>46100</v>
      </c>
      <c r="E40" s="64" t="s">
        <v>45</v>
      </c>
      <c r="F40" s="126" t="str">
        <f>_xlfn.XLOOKUP(A40,[1]分配表!A:A,[1]分配表!C:C)</f>
        <v>朱培源</v>
      </c>
      <c r="G40" s="126" t="str">
        <f>IF(_xlfn.XLOOKUP($A40,[1]分配表!$A:$A,[1]分配表!D:D)=0,"未分类",_xlfn.XLOOKUP($A40,[1]分配表!$A:$A,[1]分配表!D:D))</f>
        <v>挡泥板</v>
      </c>
      <c r="H40" s="126" t="str">
        <f>_xlfn.XLOOKUP(A40,[1]分配表!J:J,[1]分配表!I:I)</f>
        <v>原开品</v>
      </c>
      <c r="I40" s="65">
        <f>COUNTIFS([1]月销售数据!L:L,A40,[1]月销售数据!M:M,"&gt;=2026-4-1",[1]月销售数据!M:M,"&lt;=2026-4-30")</f>
        <v>4</v>
      </c>
      <c r="J40" s="65">
        <f>COUNTIFS([1]月销售数据!L:L,A40,[1]月销售数据!M:M,"&gt;=2026-5-1",[1]月销售数据!M:M,"&lt;=2026-5-31")</f>
        <v>1</v>
      </c>
      <c r="K40" s="127" t="s">
        <v>46</v>
      </c>
      <c r="L40" s="127" t="s">
        <v>46</v>
      </c>
      <c r="M40" s="127" t="s">
        <v>77</v>
      </c>
      <c r="N40" s="127" t="s">
        <v>48</v>
      </c>
      <c r="O40" s="65">
        <v>5</v>
      </c>
      <c r="P40" s="65">
        <v>3</v>
      </c>
      <c r="Q40" s="67">
        <v>451</v>
      </c>
      <c r="R40" s="110">
        <v>267</v>
      </c>
      <c r="S40" s="65">
        <v>0</v>
      </c>
      <c r="T40" s="65">
        <v>8</v>
      </c>
      <c r="U40" s="65">
        <v>5</v>
      </c>
      <c r="V40" s="65">
        <f t="shared" si="0"/>
        <v>11</v>
      </c>
      <c r="W40" s="71">
        <v>1</v>
      </c>
      <c r="X40" s="128">
        <v>0.272727272727273</v>
      </c>
      <c r="Y40" s="65">
        <v>2</v>
      </c>
      <c r="Z40" s="67">
        <v>192.02</v>
      </c>
      <c r="AA40" s="67">
        <v>26.35</v>
      </c>
      <c r="AB40" s="129">
        <v>0.137225289032392</v>
      </c>
      <c r="AC40" s="129">
        <v>0.0584257206208426</v>
      </c>
      <c r="AD40" s="65">
        <v>0</v>
      </c>
      <c r="AE40" s="67">
        <v>0</v>
      </c>
      <c r="AF40" s="67">
        <v>29.68</v>
      </c>
      <c r="AG40" s="129" t="e">
        <v>#DIV/0!</v>
      </c>
      <c r="AH40" s="129">
        <v>0.111161048689139</v>
      </c>
      <c r="AI40" s="67">
        <v>9.67</v>
      </c>
      <c r="AJ40" s="67">
        <v>483.8</v>
      </c>
      <c r="AK40" s="129">
        <v>0.0199875981810666</v>
      </c>
      <c r="AL40" s="129">
        <v>0.0214412416851441</v>
      </c>
      <c r="AM40" s="129">
        <v>0.0819290465631929</v>
      </c>
      <c r="AN40" s="67">
        <v>5.56</v>
      </c>
      <c r="AO40" s="67">
        <v>278.08</v>
      </c>
      <c r="AP40" s="129">
        <v>0.019994246260069</v>
      </c>
      <c r="AQ40" s="129">
        <v>0.0208239700374532</v>
      </c>
      <c r="AR40" s="129">
        <v>0.133632958801498</v>
      </c>
    </row>
    <row r="41" customFormat="1" ht="22.5" customHeight="1" spans="1:44">
      <c r="A41" s="72">
        <v>12333</v>
      </c>
      <c r="B41" s="62" t="s">
        <v>95</v>
      </c>
      <c r="C41" s="63">
        <f>_xlfn.XLOOKUP(A41,[1]分配表!J:J,[1]分配表!L:L)</f>
        <v>46097</v>
      </c>
      <c r="D41" s="63">
        <f>IF(_xlfn.XLOOKUP(A41,[1]分配表!J:J,[1]分配表!M:M,"未出单")=0,"未出单",_xlfn.XLOOKUP(A41,[1]分配表!J:J,[1]分配表!M:M,"未出单"))</f>
        <v>46116</v>
      </c>
      <c r="E41" s="64" t="s">
        <v>45</v>
      </c>
      <c r="F41" s="126" t="str">
        <f>_xlfn.XLOOKUP(A41,[1]分配表!A:A,[1]分配表!C:C)</f>
        <v>朱培源</v>
      </c>
      <c r="G41" s="126" t="str">
        <f>IF(_xlfn.XLOOKUP($A41,[1]分配表!$A:$A,[1]分配表!D:D)=0,"未分类",_xlfn.XLOOKUP($A41,[1]分配表!$A:$A,[1]分配表!D:D))</f>
        <v>车门系统</v>
      </c>
      <c r="H41" s="126" t="str">
        <f>_xlfn.XLOOKUP(A41,[1]分配表!J:J,[1]分配表!I:I)</f>
        <v>原开品</v>
      </c>
      <c r="I41" s="65">
        <f>COUNTIFS([1]月销售数据!L:L,A41,[1]月销售数据!M:M,"&gt;=2026-4-1",[1]月销售数据!M:M,"&lt;=2026-4-30")</f>
        <v>3</v>
      </c>
      <c r="J41" s="65">
        <f>COUNTIFS([1]月销售数据!L:L,A41,[1]月销售数据!M:M,"&gt;=2026-5-1",[1]月销售数据!M:M,"&lt;=2026-5-31")</f>
        <v>1</v>
      </c>
      <c r="K41" s="127" t="s">
        <v>58</v>
      </c>
      <c r="L41" s="127" t="s">
        <v>58</v>
      </c>
      <c r="M41" s="127" t="s">
        <v>48</v>
      </c>
      <c r="N41" s="127" t="s">
        <v>48</v>
      </c>
      <c r="O41" s="65">
        <v>4</v>
      </c>
      <c r="P41" s="65">
        <v>5</v>
      </c>
      <c r="Q41" s="67">
        <v>262.4</v>
      </c>
      <c r="R41" s="110">
        <v>348</v>
      </c>
      <c r="S41" s="65">
        <v>1</v>
      </c>
      <c r="T41" s="65">
        <v>1</v>
      </c>
      <c r="U41" s="65">
        <v>5</v>
      </c>
      <c r="V41" s="65">
        <f t="shared" si="0"/>
        <v>6</v>
      </c>
      <c r="W41" s="71">
        <v>0.8</v>
      </c>
      <c r="X41" s="128">
        <v>0.833333333333333</v>
      </c>
      <c r="Y41" s="65">
        <v>1</v>
      </c>
      <c r="Z41" s="67">
        <v>68.4</v>
      </c>
      <c r="AA41" s="67">
        <v>1.05</v>
      </c>
      <c r="AB41" s="129">
        <v>0.0153508771929825</v>
      </c>
      <c r="AC41" s="129">
        <v>0.0040015243902439</v>
      </c>
      <c r="AD41" s="65">
        <v>0</v>
      </c>
      <c r="AE41" s="67">
        <v>0</v>
      </c>
      <c r="AF41" s="67">
        <v>0</v>
      </c>
      <c r="AG41" s="129" t="e">
        <v>#DIV/0!</v>
      </c>
      <c r="AH41" s="129">
        <v>0</v>
      </c>
      <c r="AI41" s="67">
        <v>9.53</v>
      </c>
      <c r="AJ41" s="67">
        <v>276.52</v>
      </c>
      <c r="AK41" s="129">
        <v>0.0344640532330392</v>
      </c>
      <c r="AL41" s="129">
        <v>0.0363185975609756</v>
      </c>
      <c r="AM41" s="129">
        <v>0.0524009146341463</v>
      </c>
      <c r="AN41" s="67">
        <v>15.04</v>
      </c>
      <c r="AO41" s="67">
        <v>452.63</v>
      </c>
      <c r="AP41" s="129">
        <v>0.0332280228884519</v>
      </c>
      <c r="AQ41" s="129">
        <v>0.0432183908045977</v>
      </c>
      <c r="AR41" s="129">
        <v>0.0461494252873563</v>
      </c>
    </row>
    <row r="42" customFormat="1" ht="22.5" customHeight="1" spans="1:44">
      <c r="A42" s="72">
        <v>12334</v>
      </c>
      <c r="B42" s="62" t="s">
        <v>96</v>
      </c>
      <c r="C42" s="63">
        <f>_xlfn.XLOOKUP(A42,[1]分配表!J:J,[1]分配表!L:L)</f>
        <v>46097</v>
      </c>
      <c r="D42" s="63">
        <f>IF(_xlfn.XLOOKUP(A42,[1]分配表!J:J,[1]分配表!M:M,"未出单")=0,"未出单",_xlfn.XLOOKUP(A42,[1]分配表!J:J,[1]分配表!M:M,"未出单"))</f>
        <v>46105</v>
      </c>
      <c r="E42" s="64" t="s">
        <v>45</v>
      </c>
      <c r="F42" s="126" t="str">
        <f>_xlfn.XLOOKUP(A42,[1]分配表!A:A,[1]分配表!C:C)</f>
        <v>朱培源</v>
      </c>
      <c r="G42" s="126" t="str">
        <f>IF(_xlfn.XLOOKUP($A42,[1]分配表!$A:$A,[1]分配表!D:D)=0,"未分类",_xlfn.XLOOKUP($A42,[1]分配表!$A:$A,[1]分配表!D:D))</f>
        <v>车门系统</v>
      </c>
      <c r="H42" s="126" t="str">
        <f>_xlfn.XLOOKUP(A42,[1]分配表!J:J,[1]分配表!I:I)</f>
        <v>原开品</v>
      </c>
      <c r="I42" s="65">
        <f>COUNTIFS([1]月销售数据!L:L,A42,[1]月销售数据!M:M,"&gt;=2026-4-1",[1]月销售数据!M:M,"&lt;=2026-4-30")</f>
        <v>2</v>
      </c>
      <c r="J42" s="65">
        <f>COUNTIFS([1]月销售数据!L:L,A42,[1]月销售数据!M:M,"&gt;=2026-5-1",[1]月销售数据!M:M,"&lt;=2026-5-31")</f>
        <v>1</v>
      </c>
      <c r="K42" s="127" t="s">
        <v>46</v>
      </c>
      <c r="L42" s="127" t="s">
        <v>46</v>
      </c>
      <c r="M42" s="127" t="s">
        <v>48</v>
      </c>
      <c r="N42" s="127" t="s">
        <v>77</v>
      </c>
      <c r="O42" s="65">
        <v>13</v>
      </c>
      <c r="P42" s="65">
        <v>8</v>
      </c>
      <c r="Q42" s="67">
        <v>1278</v>
      </c>
      <c r="R42" s="110">
        <v>720</v>
      </c>
      <c r="S42" s="65">
        <v>0</v>
      </c>
      <c r="T42" s="65">
        <v>0</v>
      </c>
      <c r="U42" s="65">
        <v>13</v>
      </c>
      <c r="V42" s="65">
        <f t="shared" si="0"/>
        <v>8</v>
      </c>
      <c r="W42" s="71">
        <v>1</v>
      </c>
      <c r="X42" s="128">
        <v>1</v>
      </c>
      <c r="Y42" s="65">
        <v>0</v>
      </c>
      <c r="Z42" s="67">
        <v>0</v>
      </c>
      <c r="AA42" s="67">
        <v>0</v>
      </c>
      <c r="AB42" s="129" t="e">
        <v>#DIV/0!</v>
      </c>
      <c r="AC42" s="129">
        <v>0</v>
      </c>
      <c r="AD42" s="65">
        <v>0</v>
      </c>
      <c r="AE42" s="67">
        <v>0</v>
      </c>
      <c r="AF42" s="67">
        <v>0</v>
      </c>
      <c r="AG42" s="129" t="e">
        <v>#DIV/0!</v>
      </c>
      <c r="AH42" s="129">
        <v>0</v>
      </c>
      <c r="AI42" s="67">
        <v>49.83</v>
      </c>
      <c r="AJ42" s="67">
        <v>1350.78</v>
      </c>
      <c r="AK42" s="129">
        <v>0.0368897970061742</v>
      </c>
      <c r="AL42" s="129">
        <v>0.0389906103286385</v>
      </c>
      <c r="AM42" s="129">
        <v>0.0402503912363067</v>
      </c>
      <c r="AN42" s="67">
        <v>30.44</v>
      </c>
      <c r="AO42" s="67">
        <v>760.89</v>
      </c>
      <c r="AP42" s="129">
        <v>0.040005782701836</v>
      </c>
      <c r="AQ42" s="129">
        <v>0.0422777777777778</v>
      </c>
      <c r="AR42" s="129">
        <v>0.0466944444444444</v>
      </c>
    </row>
    <row r="43" customFormat="1" ht="22.5" customHeight="1" spans="1:44">
      <c r="A43" s="72">
        <v>12368</v>
      </c>
      <c r="B43" s="62" t="s">
        <v>97</v>
      </c>
      <c r="C43" s="63">
        <f>_xlfn.XLOOKUP(A43,[1]分配表!J:J,[1]分配表!L:L)</f>
        <v>46097</v>
      </c>
      <c r="D43" s="63">
        <f>IF(_xlfn.XLOOKUP(A43,[1]分配表!J:J,[1]分配表!M:M,"未出单")=0,"未出单",_xlfn.XLOOKUP(A43,[1]分配表!J:J,[1]分配表!M:M,"未出单"))</f>
        <v>46104</v>
      </c>
      <c r="E43" s="64" t="s">
        <v>52</v>
      </c>
      <c r="F43" s="126" t="str">
        <f>_xlfn.XLOOKUP(A43,[1]分配表!A:A,[1]分配表!C:C)</f>
        <v>胡煜星</v>
      </c>
      <c r="G43" s="126" t="str">
        <f>IF(_xlfn.XLOOKUP($A43,[1]分配表!$A:$A,[1]分配表!D:D)=0,"未分类",_xlfn.XLOOKUP($A43,[1]分配表!$A:$A,[1]分配表!D:D))</f>
        <v>其他</v>
      </c>
      <c r="H43" s="126" t="str">
        <f>_xlfn.XLOOKUP(A43,[1]分配表!J:J,[1]分配表!I:I)</f>
        <v>原开品</v>
      </c>
      <c r="I43" s="65">
        <f>COUNTIFS([1]月销售数据!L:L,A43,[1]月销售数据!M:M,"&gt;=2026-4-1",[1]月销售数据!M:M,"&lt;=2026-4-30")</f>
        <v>2</v>
      </c>
      <c r="J43" s="65">
        <f>COUNTIFS([1]月销售数据!L:L,A43,[1]月销售数据!M:M,"&gt;=2026-5-1",[1]月销售数据!M:M,"&lt;=2026-5-31")</f>
        <v>2</v>
      </c>
      <c r="K43" s="127" t="s">
        <v>46</v>
      </c>
      <c r="L43" s="127" t="s">
        <v>46</v>
      </c>
      <c r="M43" s="127" t="s">
        <v>48</v>
      </c>
      <c r="N43" s="127" t="s">
        <v>48</v>
      </c>
      <c r="O43" s="65">
        <v>11</v>
      </c>
      <c r="P43" s="65">
        <v>9</v>
      </c>
      <c r="Q43" s="67">
        <v>1045</v>
      </c>
      <c r="R43" s="110">
        <v>883.02</v>
      </c>
      <c r="S43" s="65">
        <v>0</v>
      </c>
      <c r="T43" s="65">
        <v>3</v>
      </c>
      <c r="U43" s="65">
        <v>11</v>
      </c>
      <c r="V43" s="65">
        <f t="shared" si="0"/>
        <v>12</v>
      </c>
      <c r="W43" s="71">
        <v>1</v>
      </c>
      <c r="X43" s="128">
        <v>0.75</v>
      </c>
      <c r="Y43" s="65">
        <v>0</v>
      </c>
      <c r="Z43" s="67">
        <v>0</v>
      </c>
      <c r="AA43" s="67">
        <v>2.38</v>
      </c>
      <c r="AB43" s="129" t="e">
        <v>#DIV/0!</v>
      </c>
      <c r="AC43" s="129">
        <v>0.00227751196172249</v>
      </c>
      <c r="AD43" s="65">
        <v>3</v>
      </c>
      <c r="AE43" s="67">
        <v>310.69</v>
      </c>
      <c r="AF43" s="67">
        <v>26.37</v>
      </c>
      <c r="AG43" s="129">
        <v>0.0848755994721427</v>
      </c>
      <c r="AH43" s="129">
        <v>0.0298634232520215</v>
      </c>
      <c r="AI43" s="67">
        <v>22.31</v>
      </c>
      <c r="AJ43" s="67">
        <v>1116.25</v>
      </c>
      <c r="AK43" s="129">
        <v>0.019986562150056</v>
      </c>
      <c r="AL43" s="129">
        <v>0.0213492822966507</v>
      </c>
      <c r="AM43" s="129">
        <v>0.0272344497607656</v>
      </c>
      <c r="AN43" s="67">
        <v>0</v>
      </c>
      <c r="AO43" s="67">
        <v>0</v>
      </c>
      <c r="AP43" s="129" t="e">
        <v>#DIV/0!</v>
      </c>
      <c r="AQ43" s="129">
        <v>0</v>
      </c>
      <c r="AR43" s="129">
        <v>0.0358429027655093</v>
      </c>
    </row>
    <row r="44" customFormat="1" ht="22.5" customHeight="1" spans="1:44">
      <c r="A44" s="72">
        <v>12306</v>
      </c>
      <c r="B44" s="62" t="s">
        <v>98</v>
      </c>
      <c r="C44" s="63">
        <f>_xlfn.XLOOKUP(A44,[1]分配表!J:J,[1]分配表!L:L)</f>
        <v>46097</v>
      </c>
      <c r="D44" s="63">
        <f>IF(_xlfn.XLOOKUP(A44,[1]分配表!J:J,[1]分配表!M:M,"未出单")=0,"未出单",_xlfn.XLOOKUP(A44,[1]分配表!J:J,[1]分配表!M:M,"未出单"))</f>
        <v>46099</v>
      </c>
      <c r="E44" s="64" t="s">
        <v>70</v>
      </c>
      <c r="F44" s="126" t="str">
        <f>_xlfn.XLOOKUP(A44,[1]分配表!A:A,[1]分配表!C:C)</f>
        <v>俞东旭</v>
      </c>
      <c r="G44" s="126" t="str">
        <f>IF(_xlfn.XLOOKUP($A44,[1]分配表!$A:$A,[1]分配表!D:D)=0,"未分类",_xlfn.XLOOKUP($A44,[1]分配表!$A:$A,[1]分配表!D:D))</f>
        <v>车门系统</v>
      </c>
      <c r="H44" s="126" t="str">
        <f>_xlfn.XLOOKUP(A44,[1]分配表!J:J,[1]分配表!I:I)</f>
        <v>原开品</v>
      </c>
      <c r="I44" s="65">
        <f>COUNTIFS([1]月销售数据!L:L,A44,[1]月销售数据!M:M,"&gt;=2026-4-1",[1]月销售数据!M:M,"&lt;=2026-4-30")</f>
        <v>4</v>
      </c>
      <c r="J44" s="65">
        <f>COUNTIFS([1]月销售数据!L:L,A44,[1]月销售数据!M:M,"&gt;=2026-5-1",[1]月销售数据!M:M,"&lt;=2026-5-31")</f>
        <v>2</v>
      </c>
      <c r="K44" s="127" t="s">
        <v>46</v>
      </c>
      <c r="L44" s="127" t="s">
        <v>46</v>
      </c>
      <c r="M44" s="127" t="s">
        <v>53</v>
      </c>
      <c r="N44" s="127" t="s">
        <v>53</v>
      </c>
      <c r="O44" s="65">
        <v>9</v>
      </c>
      <c r="P44" s="65">
        <v>9</v>
      </c>
      <c r="Q44" s="67">
        <v>5293</v>
      </c>
      <c r="R44" s="110">
        <v>5367</v>
      </c>
      <c r="S44" s="65">
        <v>7</v>
      </c>
      <c r="T44" s="65">
        <v>6</v>
      </c>
      <c r="U44" s="65">
        <v>16</v>
      </c>
      <c r="V44" s="65">
        <f t="shared" si="0"/>
        <v>15</v>
      </c>
      <c r="W44" s="71">
        <v>0.5625</v>
      </c>
      <c r="X44" s="128">
        <v>0.6</v>
      </c>
      <c r="Y44" s="65">
        <v>4</v>
      </c>
      <c r="Z44" s="67">
        <v>2437.82</v>
      </c>
      <c r="AA44" s="67">
        <v>13.03</v>
      </c>
      <c r="AB44" s="129">
        <v>0.00534493933104167</v>
      </c>
      <c r="AC44" s="129">
        <v>0.00246174192329492</v>
      </c>
      <c r="AD44" s="65">
        <v>0</v>
      </c>
      <c r="AE44" s="67">
        <v>0</v>
      </c>
      <c r="AF44" s="67">
        <v>0</v>
      </c>
      <c r="AG44" s="129" t="e">
        <v>#DIV/0!</v>
      </c>
      <c r="AH44" s="129">
        <v>0</v>
      </c>
      <c r="AI44" s="67">
        <v>110.9</v>
      </c>
      <c r="AJ44" s="67">
        <v>5544.83</v>
      </c>
      <c r="AK44" s="129">
        <v>0.0200006131838127</v>
      </c>
      <c r="AL44" s="129">
        <v>0.0209522010202154</v>
      </c>
      <c r="AM44" s="129">
        <v>0.0234158322312488</v>
      </c>
      <c r="AN44" s="67">
        <v>112.87</v>
      </c>
      <c r="AO44" s="67">
        <v>5643.13</v>
      </c>
      <c r="AP44" s="129">
        <v>0.0200013113289965</v>
      </c>
      <c r="AQ44" s="129">
        <v>0.0210303707844233</v>
      </c>
      <c r="AR44" s="129">
        <v>0.0211123532699832</v>
      </c>
    </row>
    <row r="45" customFormat="1" ht="22.5" customHeight="1" spans="1:44">
      <c r="A45" s="72">
        <v>12307</v>
      </c>
      <c r="B45" s="62" t="s">
        <v>99</v>
      </c>
      <c r="C45" s="63">
        <f>_xlfn.XLOOKUP(A45,[1]分配表!J:J,[1]分配表!L:L)</f>
        <v>46097</v>
      </c>
      <c r="D45" s="63">
        <f>IF(_xlfn.XLOOKUP(A45,[1]分配表!J:J,[1]分配表!M:M,"未出单")=0,"未出单",_xlfn.XLOOKUP(A45,[1]分配表!J:J,[1]分配表!M:M,"未出单"))</f>
        <v>46103</v>
      </c>
      <c r="E45" s="64" t="s">
        <v>70</v>
      </c>
      <c r="F45" s="126" t="str">
        <f>_xlfn.XLOOKUP(A45,[1]分配表!A:A,[1]分配表!C:C)</f>
        <v>俞东旭</v>
      </c>
      <c r="G45" s="126" t="str">
        <f>IF(_xlfn.XLOOKUP($A45,[1]分配表!$A:$A,[1]分配表!D:D)=0,"未分类",_xlfn.XLOOKUP($A45,[1]分配表!$A:$A,[1]分配表!D:D))</f>
        <v>车门系统</v>
      </c>
      <c r="H45" s="126" t="str">
        <f>_xlfn.XLOOKUP(A45,[1]分配表!J:J,[1]分配表!I:I)</f>
        <v>原开品</v>
      </c>
      <c r="I45" s="65">
        <f>COUNTIFS([1]月销售数据!L:L,A45,[1]月销售数据!M:M,"&gt;=2026-4-1",[1]月销售数据!M:M,"&lt;=2026-4-30")</f>
        <v>4</v>
      </c>
      <c r="J45" s="65">
        <f>COUNTIFS([1]月销售数据!L:L,A45,[1]月销售数据!M:M,"&gt;=2026-5-1",[1]月销售数据!M:M,"&lt;=2026-5-31")</f>
        <v>4</v>
      </c>
      <c r="K45" s="127" t="s">
        <v>46</v>
      </c>
      <c r="L45" s="127" t="s">
        <v>46</v>
      </c>
      <c r="M45" s="127" t="s">
        <v>48</v>
      </c>
      <c r="N45" s="127" t="s">
        <v>53</v>
      </c>
      <c r="O45" s="65">
        <v>6</v>
      </c>
      <c r="P45" s="65">
        <v>3</v>
      </c>
      <c r="Q45" s="67">
        <v>3480</v>
      </c>
      <c r="R45" s="110">
        <v>1740</v>
      </c>
      <c r="S45" s="65">
        <v>2</v>
      </c>
      <c r="T45" s="65">
        <v>9</v>
      </c>
      <c r="U45" s="65">
        <v>8</v>
      </c>
      <c r="V45" s="65">
        <f t="shared" si="0"/>
        <v>12</v>
      </c>
      <c r="W45" s="71">
        <v>0.75</v>
      </c>
      <c r="X45" s="128">
        <v>0.25</v>
      </c>
      <c r="Y45" s="65">
        <v>4</v>
      </c>
      <c r="Z45" s="67">
        <v>2441.8</v>
      </c>
      <c r="AA45" s="67">
        <v>17.44</v>
      </c>
      <c r="AB45" s="129">
        <v>0.00714227209435662</v>
      </c>
      <c r="AC45" s="129">
        <v>0.00501149425287356</v>
      </c>
      <c r="AD45" s="65">
        <v>0</v>
      </c>
      <c r="AE45" s="67">
        <v>0</v>
      </c>
      <c r="AF45" s="67">
        <v>0</v>
      </c>
      <c r="AG45" s="129" t="e">
        <v>#DIV/0!</v>
      </c>
      <c r="AH45" s="129">
        <v>0</v>
      </c>
      <c r="AI45" s="67">
        <v>86.78</v>
      </c>
      <c r="AJ45" s="67">
        <v>4338.41</v>
      </c>
      <c r="AK45" s="129">
        <v>0.0200027198904668</v>
      </c>
      <c r="AL45" s="129">
        <v>0.0249367816091954</v>
      </c>
      <c r="AM45" s="129">
        <v>0.029948275862069</v>
      </c>
      <c r="AN45" s="67">
        <v>35.5</v>
      </c>
      <c r="AO45" s="67">
        <v>1774.8</v>
      </c>
      <c r="AP45" s="129">
        <v>0.0200022537750732</v>
      </c>
      <c r="AQ45" s="129">
        <v>0.0204022988505747</v>
      </c>
      <c r="AR45" s="129">
        <v>0.0204022988505747</v>
      </c>
    </row>
    <row r="46" customFormat="1" ht="22.5" customHeight="1" spans="1:44">
      <c r="A46" s="72">
        <v>12308</v>
      </c>
      <c r="B46" s="62" t="s">
        <v>100</v>
      </c>
      <c r="C46" s="63">
        <f>_xlfn.XLOOKUP(A46,[1]分配表!J:J,[1]分配表!L:L)</f>
        <v>46097</v>
      </c>
      <c r="D46" s="63">
        <f>IF(_xlfn.XLOOKUP(A46,[1]分配表!J:J,[1]分配表!M:M,"未出单")=0,"未出单",_xlfn.XLOOKUP(A46,[1]分配表!J:J,[1]分配表!M:M,"未出单"))</f>
        <v>46099</v>
      </c>
      <c r="E46" s="64" t="s">
        <v>70</v>
      </c>
      <c r="F46" s="126" t="str">
        <f>_xlfn.XLOOKUP(A46,[1]分配表!A:A,[1]分配表!C:C)</f>
        <v>俞东旭</v>
      </c>
      <c r="G46" s="126" t="str">
        <f>IF(_xlfn.XLOOKUP($A46,[1]分配表!$A:$A,[1]分配表!D:D)=0,"未分类",_xlfn.XLOOKUP($A46,[1]分配表!$A:$A,[1]分配表!D:D))</f>
        <v>车门系统</v>
      </c>
      <c r="H46" s="126" t="str">
        <f>_xlfn.XLOOKUP(A46,[1]分配表!J:J,[1]分配表!I:I)</f>
        <v>原开品</v>
      </c>
      <c r="I46" s="65">
        <f>COUNTIFS([1]月销售数据!L:L,A46,[1]月销售数据!M:M,"&gt;=2026-4-1",[1]月销售数据!M:M,"&lt;=2026-4-30")</f>
        <v>4</v>
      </c>
      <c r="J46" s="65">
        <f>COUNTIFS([1]月销售数据!L:L,A46,[1]月销售数据!M:M,"&gt;=2026-5-1",[1]月销售数据!M:M,"&lt;=2026-5-31")</f>
        <v>2</v>
      </c>
      <c r="K46" s="127" t="s">
        <v>46</v>
      </c>
      <c r="L46" s="127" t="s">
        <v>46</v>
      </c>
      <c r="M46" s="127" t="s">
        <v>48</v>
      </c>
      <c r="N46" s="127" t="s">
        <v>53</v>
      </c>
      <c r="O46" s="65">
        <v>12</v>
      </c>
      <c r="P46" s="65">
        <v>4</v>
      </c>
      <c r="Q46" s="67">
        <v>7011</v>
      </c>
      <c r="R46" s="110">
        <v>2367</v>
      </c>
      <c r="S46" s="65">
        <v>6</v>
      </c>
      <c r="T46" s="65">
        <v>8</v>
      </c>
      <c r="U46" s="65">
        <v>18</v>
      </c>
      <c r="V46" s="65">
        <f t="shared" si="0"/>
        <v>12</v>
      </c>
      <c r="W46" s="71">
        <v>0.666666666666667</v>
      </c>
      <c r="X46" s="128">
        <v>0.333333333333333</v>
      </c>
      <c r="Y46" s="65">
        <v>5</v>
      </c>
      <c r="Z46" s="67">
        <v>3055.66</v>
      </c>
      <c r="AA46" s="67">
        <v>30.19</v>
      </c>
      <c r="AB46" s="129">
        <v>0.00988002591911404</v>
      </c>
      <c r="AC46" s="129">
        <v>0.00430609042932535</v>
      </c>
      <c r="AD46" s="65">
        <v>0</v>
      </c>
      <c r="AE46" s="67">
        <v>0</v>
      </c>
      <c r="AF46" s="67">
        <v>0</v>
      </c>
      <c r="AG46" s="129" t="e">
        <v>#DIV/0!</v>
      </c>
      <c r="AH46" s="129">
        <v>0</v>
      </c>
      <c r="AI46" s="67">
        <v>158.38</v>
      </c>
      <c r="AJ46" s="67">
        <v>7918.7</v>
      </c>
      <c r="AK46" s="129">
        <v>0.0200007577001275</v>
      </c>
      <c r="AL46" s="129">
        <v>0.022590215375838</v>
      </c>
      <c r="AM46" s="129">
        <v>0.0272429040079874</v>
      </c>
      <c r="AN46" s="67">
        <v>48.55</v>
      </c>
      <c r="AO46" s="67">
        <v>2427.42</v>
      </c>
      <c r="AP46" s="129">
        <v>0.0200006591360374</v>
      </c>
      <c r="AQ46" s="129">
        <v>0.0205111956062526</v>
      </c>
      <c r="AR46" s="129">
        <v>0.0211533586818758</v>
      </c>
    </row>
    <row r="47" customFormat="1" ht="22.5" customHeight="1" spans="1:44">
      <c r="A47" s="72">
        <v>12293</v>
      </c>
      <c r="B47" s="62" t="s">
        <v>101</v>
      </c>
      <c r="C47" s="63">
        <f>_xlfn.XLOOKUP(A47,[1]分配表!J:J,[1]分配表!L:L)</f>
        <v>46099</v>
      </c>
      <c r="D47" s="63">
        <f>IF(_xlfn.XLOOKUP(A47,[1]分配表!J:J,[1]分配表!M:M,"未出单")=0,"未出单",_xlfn.XLOOKUP(A47,[1]分配表!J:J,[1]分配表!M:M,"未出单"))</f>
        <v>46104</v>
      </c>
      <c r="E47" s="64" t="s">
        <v>45</v>
      </c>
      <c r="F47" s="126" t="str">
        <f>_xlfn.XLOOKUP(A47,[1]分配表!A:A,[1]分配表!C:C)</f>
        <v>朱培源</v>
      </c>
      <c r="G47" s="126" t="str">
        <f>IF(_xlfn.XLOOKUP($A47,[1]分配表!$A:$A,[1]分配表!D:D)=0,"未分类",_xlfn.XLOOKUP($A47,[1]分配表!$A:$A,[1]分配表!D:D))</f>
        <v>车门系统</v>
      </c>
      <c r="H47" s="126" t="str">
        <f>_xlfn.XLOOKUP(A47,[1]分配表!J:J,[1]分配表!I:I)</f>
        <v>原开品</v>
      </c>
      <c r="I47" s="65">
        <f>COUNTIFS([1]月销售数据!L:L,A47,[1]月销售数据!M:M,"&gt;=2026-4-1",[1]月销售数据!M:M,"&lt;=2026-4-30")</f>
        <v>2</v>
      </c>
      <c r="J47" s="65">
        <f>COUNTIFS([1]月销售数据!L:L,A47,[1]月销售数据!M:M,"&gt;=2026-5-1",[1]月销售数据!M:M,"&lt;=2026-5-31")</f>
        <v>0</v>
      </c>
      <c r="K47" s="127" t="s">
        <v>46</v>
      </c>
      <c r="L47" s="127" t="s">
        <v>46</v>
      </c>
      <c r="M47" s="127" t="s">
        <v>48</v>
      </c>
      <c r="N47" s="127" t="s">
        <v>77</v>
      </c>
      <c r="O47" s="65">
        <v>3</v>
      </c>
      <c r="P47" s="65">
        <v>0</v>
      </c>
      <c r="Q47" s="67">
        <v>162.25</v>
      </c>
      <c r="R47" s="110">
        <v>0</v>
      </c>
      <c r="S47" s="65">
        <v>0</v>
      </c>
      <c r="T47" s="65">
        <v>1</v>
      </c>
      <c r="U47" s="65">
        <v>3</v>
      </c>
      <c r="V47" s="65">
        <f t="shared" si="0"/>
        <v>1</v>
      </c>
      <c r="W47" s="71">
        <v>1</v>
      </c>
      <c r="X47" s="128">
        <v>0</v>
      </c>
      <c r="Y47" s="65">
        <v>0</v>
      </c>
      <c r="Z47" s="67">
        <v>0</v>
      </c>
      <c r="AA47" s="67">
        <v>0</v>
      </c>
      <c r="AB47" s="129" t="e">
        <v>#DIV/0!</v>
      </c>
      <c r="AC47" s="129">
        <v>0</v>
      </c>
      <c r="AD47" s="65">
        <v>0</v>
      </c>
      <c r="AE47" s="67">
        <v>0</v>
      </c>
      <c r="AF47" s="67">
        <v>0</v>
      </c>
      <c r="AG47" s="129" t="e">
        <v>#DIV/0!</v>
      </c>
      <c r="AH47" s="129" t="e">
        <v>#DIV/0!</v>
      </c>
      <c r="AI47" s="67">
        <v>1.15</v>
      </c>
      <c r="AJ47" s="67">
        <v>57.74</v>
      </c>
      <c r="AK47" s="129">
        <v>0.0199168687218566</v>
      </c>
      <c r="AL47" s="129">
        <v>0.00708782742681048</v>
      </c>
      <c r="AM47" s="129">
        <v>0.0126964560862866</v>
      </c>
      <c r="AN47" s="67">
        <v>0</v>
      </c>
      <c r="AO47" s="67">
        <v>0</v>
      </c>
      <c r="AP47" s="129" t="e">
        <v>#DIV/0!</v>
      </c>
      <c r="AQ47" s="129" t="e">
        <v>#DIV/0!</v>
      </c>
      <c r="AR47" s="129" t="e">
        <v>#DIV/0!</v>
      </c>
    </row>
    <row r="48" customFormat="1" ht="22.5" customHeight="1" spans="1:44">
      <c r="A48" s="72">
        <v>12298</v>
      </c>
      <c r="B48" s="62" t="s">
        <v>102</v>
      </c>
      <c r="C48" s="63">
        <f>_xlfn.XLOOKUP(A48,[1]分配表!J:J,[1]分配表!L:L)</f>
        <v>46099</v>
      </c>
      <c r="D48" s="63">
        <f>IF(_xlfn.XLOOKUP(A48,[1]分配表!J:J,[1]分配表!M:M,"未出单")=0,"未出单",_xlfn.XLOOKUP(A48,[1]分配表!J:J,[1]分配表!M:M,"未出单"))</f>
        <v>46157</v>
      </c>
      <c r="E48" s="64" t="s">
        <v>45</v>
      </c>
      <c r="F48" s="126" t="str">
        <f>_xlfn.XLOOKUP(A48,[1]分配表!A:A,[1]分配表!C:C)</f>
        <v>朱培源</v>
      </c>
      <c r="G48" s="126" t="str">
        <f>IF(_xlfn.XLOOKUP($A48,[1]分配表!$A:$A,[1]分配表!D:D)=0,"未分类",_xlfn.XLOOKUP($A48,[1]分配表!$A:$A,[1]分配表!D:D))</f>
        <v>车门系统</v>
      </c>
      <c r="H48" s="126" t="str">
        <f>_xlfn.XLOOKUP(A48,[1]分配表!J:J,[1]分配表!I:I)</f>
        <v>拓展品</v>
      </c>
      <c r="I48" s="65">
        <f>COUNTIFS([1]月销售数据!L:L,A48,[1]月销售数据!M:M,"&gt;=2026-4-1",[1]月销售数据!M:M,"&lt;=2026-4-30")</f>
        <v>4</v>
      </c>
      <c r="J48" s="65">
        <f>COUNTIFS([1]月销售数据!L:L,A48,[1]月销售数据!M:M,"&gt;=2026-5-1",[1]月销售数据!M:M,"&lt;=2026-5-31")</f>
        <v>2</v>
      </c>
      <c r="K48" s="127" t="s">
        <v>103</v>
      </c>
      <c r="L48" s="127" t="s">
        <v>58</v>
      </c>
      <c r="M48" s="127" t="s">
        <v>47</v>
      </c>
      <c r="N48" s="127" t="s">
        <v>53</v>
      </c>
      <c r="O48" s="65">
        <v>0</v>
      </c>
      <c r="P48" s="65">
        <v>1</v>
      </c>
      <c r="Q48" s="67">
        <v>0</v>
      </c>
      <c r="R48" s="110">
        <v>24.78</v>
      </c>
      <c r="S48" s="65">
        <v>4</v>
      </c>
      <c r="T48" s="65">
        <v>4</v>
      </c>
      <c r="U48" s="65">
        <v>4</v>
      </c>
      <c r="V48" s="65">
        <f t="shared" si="0"/>
        <v>5</v>
      </c>
      <c r="W48" s="71">
        <v>0</v>
      </c>
      <c r="X48" s="128">
        <v>0.2</v>
      </c>
      <c r="Y48" s="65">
        <v>0</v>
      </c>
      <c r="Z48" s="67">
        <v>0</v>
      </c>
      <c r="AA48" s="67">
        <v>0</v>
      </c>
      <c r="AB48" s="129" t="e">
        <v>#DIV/0!</v>
      </c>
      <c r="AC48" s="129" t="e">
        <v>#DIV/0!</v>
      </c>
      <c r="AD48" s="65">
        <v>0</v>
      </c>
      <c r="AE48" s="67">
        <v>0</v>
      </c>
      <c r="AF48" s="67">
        <v>0</v>
      </c>
      <c r="AG48" s="129" t="e">
        <v>#DIV/0!</v>
      </c>
      <c r="AH48" s="129">
        <v>0</v>
      </c>
      <c r="AI48" s="67">
        <v>0</v>
      </c>
      <c r="AJ48" s="67">
        <v>0</v>
      </c>
      <c r="AK48" s="129" t="e">
        <v>#DIV/0!</v>
      </c>
      <c r="AL48" s="129" t="e">
        <v>#DIV/0!</v>
      </c>
      <c r="AM48" s="129" t="e">
        <v>#DIV/0!</v>
      </c>
      <c r="AN48" s="67">
        <v>1.62</v>
      </c>
      <c r="AO48" s="67">
        <v>26.92</v>
      </c>
      <c r="AP48" s="129">
        <v>0.0601783060921248</v>
      </c>
      <c r="AQ48" s="129">
        <v>0.0653753026634383</v>
      </c>
      <c r="AR48" s="129">
        <v>0.108151735270379</v>
      </c>
    </row>
    <row r="49" customFormat="1" ht="22.5" customHeight="1" spans="1:44">
      <c r="A49" s="72">
        <v>12299</v>
      </c>
      <c r="B49" s="62" t="s">
        <v>104</v>
      </c>
      <c r="C49" s="63">
        <f>_xlfn.XLOOKUP(A49,[1]分配表!J:J,[1]分配表!L:L)</f>
        <v>46099</v>
      </c>
      <c r="D49" s="63">
        <f>IF(_xlfn.XLOOKUP(A49,[1]分配表!J:J,[1]分配表!M:M,"未出单")=0,"未出单",_xlfn.XLOOKUP(A49,[1]分配表!J:J,[1]分配表!M:M,"未出单"))</f>
        <v>46119</v>
      </c>
      <c r="E49" s="64" t="s">
        <v>45</v>
      </c>
      <c r="F49" s="126" t="str">
        <f>_xlfn.XLOOKUP(A49,[1]分配表!A:A,[1]分配表!C:C)</f>
        <v>朱培源</v>
      </c>
      <c r="G49" s="126" t="str">
        <f>IF(_xlfn.XLOOKUP($A49,[1]分配表!$A:$A,[1]分配表!D:D)=0,"未分类",_xlfn.XLOOKUP($A49,[1]分配表!$A:$A,[1]分配表!D:D))</f>
        <v>车门系统</v>
      </c>
      <c r="H49" s="126" t="str">
        <f>_xlfn.XLOOKUP(A49,[1]分配表!J:J,[1]分配表!I:I)</f>
        <v>拓展品</v>
      </c>
      <c r="I49" s="65">
        <f>COUNTIFS([1]月销售数据!L:L,A49,[1]月销售数据!M:M,"&gt;=2026-4-1",[1]月销售数据!M:M,"&lt;=2026-4-30")</f>
        <v>3</v>
      </c>
      <c r="J49" s="65">
        <f>COUNTIFS([1]月销售数据!L:L,A49,[1]月销售数据!M:M,"&gt;=2026-5-1",[1]月销售数据!M:M,"&lt;=2026-5-31")</f>
        <v>3</v>
      </c>
      <c r="K49" s="127" t="s">
        <v>58</v>
      </c>
      <c r="L49" s="127" t="s">
        <v>58</v>
      </c>
      <c r="M49" s="127" t="s">
        <v>53</v>
      </c>
      <c r="N49" s="127" t="s">
        <v>53</v>
      </c>
      <c r="O49" s="65">
        <v>5</v>
      </c>
      <c r="P49" s="65">
        <v>1</v>
      </c>
      <c r="Q49" s="67">
        <v>132.1</v>
      </c>
      <c r="R49" s="110">
        <v>28</v>
      </c>
      <c r="S49" s="65">
        <v>5</v>
      </c>
      <c r="T49" s="65">
        <v>5</v>
      </c>
      <c r="U49" s="65">
        <v>10</v>
      </c>
      <c r="V49" s="65">
        <f t="shared" si="0"/>
        <v>6</v>
      </c>
      <c r="W49" s="71">
        <v>0.5</v>
      </c>
      <c r="X49" s="128">
        <v>0.166666666666667</v>
      </c>
      <c r="Y49" s="65">
        <v>0</v>
      </c>
      <c r="Z49" s="67">
        <v>0</v>
      </c>
      <c r="AA49" s="67">
        <v>0</v>
      </c>
      <c r="AB49" s="129" t="e">
        <v>#DIV/0!</v>
      </c>
      <c r="AC49" s="129">
        <v>0</v>
      </c>
      <c r="AD49" s="65">
        <v>0</v>
      </c>
      <c r="AE49" s="67">
        <v>0</v>
      </c>
      <c r="AF49" s="67">
        <v>0</v>
      </c>
      <c r="AG49" s="129" t="e">
        <v>#DIV/0!</v>
      </c>
      <c r="AH49" s="129">
        <v>0</v>
      </c>
      <c r="AI49" s="67">
        <v>7.15</v>
      </c>
      <c r="AJ49" s="67">
        <v>143.03</v>
      </c>
      <c r="AK49" s="129">
        <v>0.0499895126896455</v>
      </c>
      <c r="AL49" s="129">
        <v>0.0541256623769871</v>
      </c>
      <c r="AM49" s="129">
        <v>0.058440575321726</v>
      </c>
      <c r="AN49" s="67">
        <v>0.6</v>
      </c>
      <c r="AO49" s="67">
        <v>29.96</v>
      </c>
      <c r="AP49" s="129">
        <v>0.0200267022696929</v>
      </c>
      <c r="AQ49" s="129">
        <v>0.0214285714285714</v>
      </c>
      <c r="AR49" s="129">
        <v>0.0385714285714286</v>
      </c>
    </row>
    <row r="50" customFormat="1" ht="22.5" customHeight="1" spans="1:44">
      <c r="A50" s="72">
        <v>12396</v>
      </c>
      <c r="B50" s="62" t="s">
        <v>105</v>
      </c>
      <c r="C50" s="63">
        <f>_xlfn.XLOOKUP(A50,[1]分配表!J:J,[1]分配表!L:L)</f>
        <v>46104</v>
      </c>
      <c r="D50" s="63" t="str">
        <f>IF(_xlfn.XLOOKUP(A50,[1]分配表!J:J,[1]分配表!M:M,"未出单")=0,"未出单",_xlfn.XLOOKUP(A50,[1]分配表!J:J,[1]分配表!M:M,"未出单"))</f>
        <v>未出单</v>
      </c>
      <c r="E50" s="64" t="s">
        <v>52</v>
      </c>
      <c r="F50" s="126" t="str">
        <f>_xlfn.XLOOKUP(A50,[1]分配表!A:A,[1]分配表!C:C)</f>
        <v>胡煜星</v>
      </c>
      <c r="G50" s="126" t="str">
        <f>IF(_xlfn.XLOOKUP($A50,[1]分配表!$A:$A,[1]分配表!D:D)=0,"未分类",_xlfn.XLOOKUP($A50,[1]分配表!$A:$A,[1]分配表!D:D))</f>
        <v>车门系统</v>
      </c>
      <c r="H50" s="126" t="str">
        <f>_xlfn.XLOOKUP(A50,[1]分配表!J:J,[1]分配表!I:I)</f>
        <v>原开品</v>
      </c>
      <c r="I50" s="65">
        <f>COUNTIFS([1]月销售数据!L:L,A50,[1]月销售数据!M:M,"&gt;=2026-4-1",[1]月销售数据!M:M,"&lt;=2026-4-30")</f>
        <v>4</v>
      </c>
      <c r="J50" s="65">
        <f>COUNTIFS([1]月销售数据!L:L,A50,[1]月销售数据!M:M,"&gt;=2026-5-1",[1]月销售数据!M:M,"&lt;=2026-5-31")</f>
        <v>4</v>
      </c>
      <c r="K50" s="127" t="s">
        <v>103</v>
      </c>
      <c r="L50" s="127" t="s">
        <v>103</v>
      </c>
      <c r="M50" s="127" t="s">
        <v>47</v>
      </c>
      <c r="N50" s="127" t="s">
        <v>47</v>
      </c>
      <c r="O50" s="65">
        <v>0</v>
      </c>
      <c r="P50" s="65">
        <v>0</v>
      </c>
      <c r="Q50" s="67">
        <v>0</v>
      </c>
      <c r="R50" s="110">
        <v>0</v>
      </c>
      <c r="S50" s="65">
        <v>0</v>
      </c>
      <c r="T50" s="65">
        <v>0</v>
      </c>
      <c r="U50" s="65">
        <v>0</v>
      </c>
      <c r="V50" s="65">
        <f t="shared" si="0"/>
        <v>0</v>
      </c>
      <c r="W50" s="71">
        <v>0</v>
      </c>
      <c r="X50" s="128" t="s">
        <v>106</v>
      </c>
      <c r="Y50" s="65">
        <v>0</v>
      </c>
      <c r="Z50" s="67">
        <v>0</v>
      </c>
      <c r="AA50" s="67">
        <v>29.88</v>
      </c>
      <c r="AB50" s="129" t="e">
        <v>#DIV/0!</v>
      </c>
      <c r="AC50" s="129" t="e">
        <v>#DIV/0!</v>
      </c>
      <c r="AD50" s="65">
        <v>0</v>
      </c>
      <c r="AE50" s="67">
        <v>0</v>
      </c>
      <c r="AF50" s="67">
        <v>21.42</v>
      </c>
      <c r="AG50" s="129" t="e">
        <v>#DIV/0!</v>
      </c>
      <c r="AH50" s="129" t="e">
        <v>#DIV/0!</v>
      </c>
      <c r="AI50" s="67">
        <v>0</v>
      </c>
      <c r="AJ50" s="67">
        <v>0</v>
      </c>
      <c r="AK50" s="129" t="e">
        <v>#DIV/0!</v>
      </c>
      <c r="AL50" s="129" t="e">
        <v>#DIV/0!</v>
      </c>
      <c r="AM50" s="129" t="e">
        <v>#DIV/0!</v>
      </c>
      <c r="AN50" s="67">
        <v>0</v>
      </c>
      <c r="AO50" s="67">
        <v>0</v>
      </c>
      <c r="AP50" s="129" t="e">
        <v>#DIV/0!</v>
      </c>
      <c r="AQ50" s="129" t="e">
        <v>#DIV/0!</v>
      </c>
      <c r="AR50" s="129" t="e">
        <v>#DIV/0!</v>
      </c>
    </row>
    <row r="51" customFormat="1" ht="22.5" customHeight="1" spans="1:44">
      <c r="A51" s="72">
        <v>12291</v>
      </c>
      <c r="B51" s="62" t="s">
        <v>107</v>
      </c>
      <c r="C51" s="63">
        <f>_xlfn.XLOOKUP(A51,[1]分配表!J:J,[1]分配表!L:L)</f>
        <v>46104</v>
      </c>
      <c r="D51" s="63">
        <f>IF(_xlfn.XLOOKUP(A51,[1]分配表!J:J,[1]分配表!M:M,"未出单")=0,"未出单",_xlfn.XLOOKUP(A51,[1]分配表!J:J,[1]分配表!M:M,"未出单"))</f>
        <v>46134</v>
      </c>
      <c r="E51" s="64" t="s">
        <v>57</v>
      </c>
      <c r="F51" s="126" t="str">
        <f>_xlfn.XLOOKUP(A51,[1]分配表!A:A,[1]分配表!C:C)</f>
        <v>张潇</v>
      </c>
      <c r="G51" s="126" t="str">
        <f>IF(_xlfn.XLOOKUP($A51,[1]分配表!$A:$A,[1]分配表!D:D)=0,"未分类",_xlfn.XLOOKUP($A51,[1]分配表!$A:$A,[1]分配表!D:D))</f>
        <v>挡泥板</v>
      </c>
      <c r="H51" s="126" t="str">
        <f>_xlfn.XLOOKUP(A51,[1]分配表!J:J,[1]分配表!I:I)</f>
        <v>原开品</v>
      </c>
      <c r="I51" s="65">
        <f>COUNTIFS([1]月销售数据!L:L,A51,[1]月销售数据!M:M,"&gt;=2026-4-1",[1]月销售数据!M:M,"&lt;=2026-4-30")</f>
        <v>7</v>
      </c>
      <c r="J51" s="65">
        <f>COUNTIFS([1]月销售数据!L:L,A51,[1]月销售数据!M:M,"&gt;=2026-5-1",[1]月销售数据!M:M,"&lt;=2026-5-31")</f>
        <v>1</v>
      </c>
      <c r="K51" s="127" t="s">
        <v>58</v>
      </c>
      <c r="L51" s="127" t="s">
        <v>58</v>
      </c>
      <c r="M51" s="127" t="s">
        <v>48</v>
      </c>
      <c r="N51" s="127" t="s">
        <v>48</v>
      </c>
      <c r="O51" s="65">
        <v>1</v>
      </c>
      <c r="P51" s="65">
        <v>5</v>
      </c>
      <c r="Q51" s="67">
        <v>129</v>
      </c>
      <c r="R51" s="110">
        <v>645</v>
      </c>
      <c r="S51" s="65">
        <v>0</v>
      </c>
      <c r="T51" s="65">
        <v>6</v>
      </c>
      <c r="U51" s="65">
        <v>1</v>
      </c>
      <c r="V51" s="65">
        <f t="shared" si="0"/>
        <v>11</v>
      </c>
      <c r="W51" s="71">
        <v>1</v>
      </c>
      <c r="X51" s="128">
        <v>0.454545454545455</v>
      </c>
      <c r="Y51" s="65">
        <v>1</v>
      </c>
      <c r="Z51" s="67">
        <v>137.71</v>
      </c>
      <c r="AA51" s="67">
        <v>41.65</v>
      </c>
      <c r="AB51" s="129">
        <v>0.302447171592477</v>
      </c>
      <c r="AC51" s="129">
        <v>0.322868217054264</v>
      </c>
      <c r="AD51" s="65">
        <v>1</v>
      </c>
      <c r="AE51" s="67">
        <v>129</v>
      </c>
      <c r="AF51" s="67">
        <v>4.98</v>
      </c>
      <c r="AG51" s="129">
        <v>0.0386046511627907</v>
      </c>
      <c r="AH51" s="129">
        <v>0.00772093023255814</v>
      </c>
      <c r="AI51" s="67">
        <v>2.75</v>
      </c>
      <c r="AJ51" s="67">
        <v>137.71</v>
      </c>
      <c r="AK51" s="129">
        <v>0.0199695011255537</v>
      </c>
      <c r="AL51" s="129">
        <v>0.0213178294573643</v>
      </c>
      <c r="AM51" s="129">
        <v>0.345038759689922</v>
      </c>
      <c r="AN51" s="67">
        <v>5.33</v>
      </c>
      <c r="AO51" s="67">
        <v>266.71</v>
      </c>
      <c r="AP51" s="129">
        <v>0.0199842525589592</v>
      </c>
      <c r="AQ51" s="129">
        <v>0.00826356589147287</v>
      </c>
      <c r="AR51" s="129">
        <v>0.0167286821705426</v>
      </c>
    </row>
    <row r="52" customFormat="1" ht="22.5" customHeight="1" spans="1:44">
      <c r="A52" s="72">
        <v>12290</v>
      </c>
      <c r="B52" s="62" t="s">
        <v>108</v>
      </c>
      <c r="C52" s="63">
        <f>_xlfn.XLOOKUP(A52,[1]分配表!J:J,[1]分配表!L:L)</f>
        <v>46104</v>
      </c>
      <c r="D52" s="63">
        <f>IF(_xlfn.XLOOKUP(A52,[1]分配表!J:J,[1]分配表!M:M,"未出单")=0,"未出单",_xlfn.XLOOKUP(A52,[1]分配表!J:J,[1]分配表!M:M,"未出单"))</f>
        <v>46119</v>
      </c>
      <c r="E52" s="64" t="s">
        <v>57</v>
      </c>
      <c r="F52" s="126" t="str">
        <f>_xlfn.XLOOKUP(A52,[1]分配表!A:A,[1]分配表!C:C)</f>
        <v>张潇</v>
      </c>
      <c r="G52" s="126" t="str">
        <f>IF(_xlfn.XLOOKUP($A52,[1]分配表!$A:$A,[1]分配表!D:D)=0,"未分类",_xlfn.XLOOKUP($A52,[1]分配表!$A:$A,[1]分配表!D:D))</f>
        <v>挡泥板</v>
      </c>
      <c r="H52" s="126" t="str">
        <f>_xlfn.XLOOKUP(A52,[1]分配表!J:J,[1]分配表!I:I)</f>
        <v>原开品</v>
      </c>
      <c r="I52" s="65">
        <f>COUNTIFS([1]月销售数据!L:L,A52,[1]月销售数据!M:M,"&gt;=2026-4-1",[1]月销售数据!M:M,"&lt;=2026-4-30")</f>
        <v>3</v>
      </c>
      <c r="J52" s="65">
        <f>COUNTIFS([1]月销售数据!L:L,A52,[1]月销售数据!M:M,"&gt;=2026-5-1",[1]月销售数据!M:M,"&lt;=2026-5-31")</f>
        <v>2</v>
      </c>
      <c r="K52" s="127" t="s">
        <v>58</v>
      </c>
      <c r="L52" s="127" t="s">
        <v>58</v>
      </c>
      <c r="M52" s="127" t="s">
        <v>53</v>
      </c>
      <c r="N52" s="127" t="s">
        <v>53</v>
      </c>
      <c r="O52" s="65">
        <v>4</v>
      </c>
      <c r="P52" s="65">
        <v>3</v>
      </c>
      <c r="Q52" s="67">
        <v>472</v>
      </c>
      <c r="R52" s="110">
        <v>354</v>
      </c>
      <c r="S52" s="65">
        <v>6</v>
      </c>
      <c r="T52" s="65">
        <v>8</v>
      </c>
      <c r="U52" s="65">
        <v>10</v>
      </c>
      <c r="V52" s="65">
        <f t="shared" si="0"/>
        <v>11</v>
      </c>
      <c r="W52" s="71">
        <v>0.4</v>
      </c>
      <c r="X52" s="128">
        <v>0.272727272727273</v>
      </c>
      <c r="Y52" s="65">
        <v>0</v>
      </c>
      <c r="Z52" s="67">
        <v>0</v>
      </c>
      <c r="AA52" s="67">
        <v>0</v>
      </c>
      <c r="AB52" s="129" t="e">
        <v>#DIV/0!</v>
      </c>
      <c r="AC52" s="129">
        <v>0</v>
      </c>
      <c r="AD52" s="65">
        <v>0</v>
      </c>
      <c r="AE52" s="67">
        <v>0</v>
      </c>
      <c r="AF52" s="67">
        <v>0</v>
      </c>
      <c r="AG52" s="129" t="e">
        <v>#DIV/0!</v>
      </c>
      <c r="AH52" s="129">
        <v>0</v>
      </c>
      <c r="AI52" s="67">
        <v>10.22</v>
      </c>
      <c r="AJ52" s="67">
        <v>510.7</v>
      </c>
      <c r="AK52" s="129">
        <v>0.0200117485803799</v>
      </c>
      <c r="AL52" s="129">
        <v>0.0216525423728814</v>
      </c>
      <c r="AM52" s="129">
        <v>0.0272245762711864</v>
      </c>
      <c r="AN52" s="67">
        <v>10.04</v>
      </c>
      <c r="AO52" s="67">
        <v>502.09</v>
      </c>
      <c r="AP52" s="129">
        <v>0.0199964149853612</v>
      </c>
      <c r="AQ52" s="129">
        <v>0.028361581920904</v>
      </c>
      <c r="AR52" s="129">
        <v>0.0342372881355932</v>
      </c>
    </row>
    <row r="53" customFormat="1" ht="22.5" customHeight="1" spans="1:44">
      <c r="A53" s="72">
        <v>12391</v>
      </c>
      <c r="B53" s="62" t="s">
        <v>109</v>
      </c>
      <c r="C53" s="63">
        <f>_xlfn.XLOOKUP(A53,[1]分配表!J:J,[1]分配表!L:L)</f>
        <v>46104</v>
      </c>
      <c r="D53" s="63">
        <f>IF(_xlfn.XLOOKUP(A53,[1]分配表!J:J,[1]分配表!M:M,"未出单")=0,"未出单",_xlfn.XLOOKUP(A53,[1]分配表!J:J,[1]分配表!M:M,"未出单"))</f>
        <v>46118</v>
      </c>
      <c r="E53" s="64" t="s">
        <v>57</v>
      </c>
      <c r="F53" s="126" t="str">
        <f>_xlfn.XLOOKUP(A53,[1]分配表!A:A,[1]分配表!C:C)</f>
        <v>张潇</v>
      </c>
      <c r="G53" s="126" t="str">
        <f>IF(_xlfn.XLOOKUP($A53,[1]分配表!$A:$A,[1]分配表!D:D)=0,"未分类",_xlfn.XLOOKUP($A53,[1]分配表!$A:$A,[1]分配表!D:D))</f>
        <v>其他</v>
      </c>
      <c r="H53" s="126" t="str">
        <f>_xlfn.XLOOKUP(A53,[1]分配表!J:J,[1]分配表!I:I)</f>
        <v>原开品</v>
      </c>
      <c r="I53" s="65">
        <f>COUNTIFS([1]月销售数据!L:L,A53,[1]月销售数据!M:M,"&gt;=2026-4-1",[1]月销售数据!M:M,"&lt;=2026-4-30")</f>
        <v>3</v>
      </c>
      <c r="J53" s="65">
        <f>COUNTIFS([1]月销售数据!L:L,A53,[1]月销售数据!M:M,"&gt;=2026-5-1",[1]月销售数据!M:M,"&lt;=2026-5-31")</f>
        <v>0</v>
      </c>
      <c r="K53" s="127" t="s">
        <v>58</v>
      </c>
      <c r="L53" s="127" t="s">
        <v>58</v>
      </c>
      <c r="M53" s="127" t="s">
        <v>48</v>
      </c>
      <c r="N53" s="127" t="s">
        <v>77</v>
      </c>
      <c r="O53" s="65">
        <v>5</v>
      </c>
      <c r="P53" s="65">
        <v>2</v>
      </c>
      <c r="Q53" s="67">
        <v>695</v>
      </c>
      <c r="R53" s="110">
        <v>278</v>
      </c>
      <c r="S53" s="65">
        <v>0</v>
      </c>
      <c r="T53" s="65">
        <v>0</v>
      </c>
      <c r="U53" s="65">
        <v>5</v>
      </c>
      <c r="V53" s="65">
        <f t="shared" si="0"/>
        <v>2</v>
      </c>
      <c r="W53" s="71">
        <v>1</v>
      </c>
      <c r="X53" s="128">
        <v>1</v>
      </c>
      <c r="Y53" s="65">
        <v>0</v>
      </c>
      <c r="Z53" s="67">
        <v>0</v>
      </c>
      <c r="AA53" s="67">
        <v>0</v>
      </c>
      <c r="AB53" s="129" t="e">
        <v>#DIV/0!</v>
      </c>
      <c r="AC53" s="129">
        <v>0</v>
      </c>
      <c r="AD53" s="65">
        <v>0</v>
      </c>
      <c r="AE53" s="67">
        <v>0</v>
      </c>
      <c r="AF53" s="67">
        <v>0</v>
      </c>
      <c r="AG53" s="129" t="e">
        <v>#DIV/0!</v>
      </c>
      <c r="AH53" s="129">
        <v>0</v>
      </c>
      <c r="AI53" s="67">
        <v>12.03</v>
      </c>
      <c r="AJ53" s="67">
        <v>600.77</v>
      </c>
      <c r="AK53" s="129">
        <v>0.0200243021455798</v>
      </c>
      <c r="AL53" s="129">
        <v>0.0173093525179856</v>
      </c>
      <c r="AM53" s="129">
        <v>0.0177122302158273</v>
      </c>
      <c r="AN53" s="67">
        <v>0</v>
      </c>
      <c r="AO53" s="67">
        <v>0</v>
      </c>
      <c r="AP53" s="129" t="e">
        <v>#DIV/0!</v>
      </c>
      <c r="AQ53" s="129">
        <v>0</v>
      </c>
      <c r="AR53" s="129">
        <v>0.00273381294964029</v>
      </c>
    </row>
    <row r="54" customFormat="1" ht="22.5" customHeight="1" spans="1:44">
      <c r="A54" s="72">
        <v>12398</v>
      </c>
      <c r="B54" s="62" t="s">
        <v>110</v>
      </c>
      <c r="C54" s="63">
        <f>_xlfn.XLOOKUP(A54,[1]分配表!J:J,[1]分配表!L:L)</f>
        <v>46104</v>
      </c>
      <c r="D54" s="63">
        <f>IF(_xlfn.XLOOKUP(A54,[1]分配表!J:J,[1]分配表!M:M,"未出单")=0,"未出单",_xlfn.XLOOKUP(A54,[1]分配表!J:J,[1]分配表!M:M,"未出单"))</f>
        <v>46114</v>
      </c>
      <c r="E54" s="64" t="s">
        <v>57</v>
      </c>
      <c r="F54" s="126" t="str">
        <f>_xlfn.XLOOKUP(A54,[1]分配表!A:A,[1]分配表!C:C)</f>
        <v>张潇</v>
      </c>
      <c r="G54" s="126" t="str">
        <f>IF(_xlfn.XLOOKUP($A54,[1]分配表!$A:$A,[1]分配表!D:D)=0,"未分类",_xlfn.XLOOKUP($A54,[1]分配表!$A:$A,[1]分配表!D:D))</f>
        <v>其他</v>
      </c>
      <c r="H54" s="126" t="str">
        <f>_xlfn.XLOOKUP(A54,[1]分配表!J:J,[1]分配表!I:I)</f>
        <v>拓展品</v>
      </c>
      <c r="I54" s="65">
        <f>COUNTIFS([1]月销售数据!L:L,A54,[1]月销售数据!M:M,"&gt;=2026-4-1",[1]月销售数据!M:M,"&lt;=2026-4-30")</f>
        <v>2</v>
      </c>
      <c r="J54" s="65">
        <f>COUNTIFS([1]月销售数据!L:L,A54,[1]月销售数据!M:M,"&gt;=2026-5-1",[1]月销售数据!M:M,"&lt;=2026-5-31")</f>
        <v>0</v>
      </c>
      <c r="K54" s="127" t="s">
        <v>58</v>
      </c>
      <c r="L54" s="127" t="s">
        <v>58</v>
      </c>
      <c r="M54" s="127" t="s">
        <v>48</v>
      </c>
      <c r="N54" s="127" t="s">
        <v>48</v>
      </c>
      <c r="O54" s="65">
        <v>8</v>
      </c>
      <c r="P54" s="65">
        <v>8</v>
      </c>
      <c r="Q54" s="67">
        <v>392</v>
      </c>
      <c r="R54" s="110">
        <v>392</v>
      </c>
      <c r="S54" s="65">
        <v>1</v>
      </c>
      <c r="T54" s="65">
        <v>0</v>
      </c>
      <c r="U54" s="65">
        <v>9</v>
      </c>
      <c r="V54" s="65">
        <f t="shared" si="0"/>
        <v>8</v>
      </c>
      <c r="W54" s="71">
        <v>0.888888888888889</v>
      </c>
      <c r="X54" s="128">
        <v>1</v>
      </c>
      <c r="Y54" s="65">
        <v>0</v>
      </c>
      <c r="Z54" s="67">
        <v>0</v>
      </c>
      <c r="AA54" s="67">
        <v>0</v>
      </c>
      <c r="AB54" s="129" t="e">
        <v>#DIV/0!</v>
      </c>
      <c r="AC54" s="129">
        <v>0</v>
      </c>
      <c r="AD54" s="65">
        <v>0</v>
      </c>
      <c r="AE54" s="67">
        <v>0</v>
      </c>
      <c r="AF54" s="67">
        <v>0</v>
      </c>
      <c r="AG54" s="129" t="e">
        <v>#DIV/0!</v>
      </c>
      <c r="AH54" s="129">
        <v>0</v>
      </c>
      <c r="AI54" s="67">
        <v>8.42</v>
      </c>
      <c r="AJ54" s="67">
        <v>420.57</v>
      </c>
      <c r="AK54" s="129">
        <v>0.0200204484390232</v>
      </c>
      <c r="AL54" s="129">
        <v>0.0214795918367347</v>
      </c>
      <c r="AM54" s="129">
        <v>0.0226020408163265</v>
      </c>
      <c r="AN54" s="67">
        <v>8.35</v>
      </c>
      <c r="AO54" s="67">
        <v>417.26</v>
      </c>
      <c r="AP54" s="129">
        <v>0.0200115036188468</v>
      </c>
      <c r="AQ54" s="129">
        <v>0.0213010204081633</v>
      </c>
      <c r="AR54" s="129">
        <v>0.0324489795918367</v>
      </c>
    </row>
    <row r="55" customFormat="1" ht="22.5" customHeight="1" spans="1:44">
      <c r="A55" s="72">
        <v>12357</v>
      </c>
      <c r="B55" s="62" t="s">
        <v>111</v>
      </c>
      <c r="C55" s="63">
        <f>_xlfn.XLOOKUP(A55,[1]分配表!J:J,[1]分配表!L:L)</f>
        <v>46104</v>
      </c>
      <c r="D55" s="63">
        <f>IF(_xlfn.XLOOKUP(A55,[1]分配表!J:J,[1]分配表!M:M,"未出单")=0,"未出单",_xlfn.XLOOKUP(A55,[1]分配表!J:J,[1]分配表!M:M,"未出单"))</f>
        <v>46104</v>
      </c>
      <c r="E55" s="64" t="s">
        <v>57</v>
      </c>
      <c r="F55" s="126" t="str">
        <f>_xlfn.XLOOKUP(A55,[1]分配表!A:A,[1]分配表!C:C)</f>
        <v>张潇</v>
      </c>
      <c r="G55" s="126" t="str">
        <f>IF(_xlfn.XLOOKUP($A55,[1]分配表!$A:$A,[1]分配表!D:D)=0,"未分类",_xlfn.XLOOKUP($A55,[1]分配表!$A:$A,[1]分配表!D:D))</f>
        <v>其他</v>
      </c>
      <c r="H55" s="126" t="str">
        <f>_xlfn.XLOOKUP(A55,[1]分配表!J:J,[1]分配表!I:I)</f>
        <v>原开品</v>
      </c>
      <c r="I55" s="65">
        <f>COUNTIFS([1]月销售数据!L:L,A55,[1]月销售数据!M:M,"&gt;=2026-4-1",[1]月销售数据!M:M,"&lt;=2026-4-30")</f>
        <v>4</v>
      </c>
      <c r="J55" s="65">
        <f>COUNTIFS([1]月销售数据!L:L,A55,[1]月销售数据!M:M,"&gt;=2026-5-1",[1]月销售数据!M:M,"&lt;=2026-5-31")</f>
        <v>0</v>
      </c>
      <c r="K55" s="127" t="s">
        <v>46</v>
      </c>
      <c r="L55" s="127" t="s">
        <v>46</v>
      </c>
      <c r="M55" s="127" t="s">
        <v>48</v>
      </c>
      <c r="N55" s="127" t="s">
        <v>48</v>
      </c>
      <c r="O55" s="65">
        <v>6</v>
      </c>
      <c r="P55" s="65">
        <v>5</v>
      </c>
      <c r="Q55" s="67">
        <v>589.05</v>
      </c>
      <c r="R55" s="110">
        <v>495</v>
      </c>
      <c r="S55" s="65">
        <v>0</v>
      </c>
      <c r="T55" s="65">
        <v>9</v>
      </c>
      <c r="U55" s="65">
        <v>6</v>
      </c>
      <c r="V55" s="65">
        <f t="shared" si="0"/>
        <v>14</v>
      </c>
      <c r="W55" s="71">
        <v>1</v>
      </c>
      <c r="X55" s="128">
        <v>0.357142857142857</v>
      </c>
      <c r="Y55" s="65">
        <v>0</v>
      </c>
      <c r="Z55" s="67">
        <v>0</v>
      </c>
      <c r="AA55" s="67">
        <v>10.49</v>
      </c>
      <c r="AB55" s="129" t="e">
        <v>#DIV/0!</v>
      </c>
      <c r="AC55" s="129">
        <v>0.0178083354553943</v>
      </c>
      <c r="AD55" s="65">
        <v>0</v>
      </c>
      <c r="AE55" s="67">
        <v>0</v>
      </c>
      <c r="AF55" s="67">
        <v>0</v>
      </c>
      <c r="AG55" s="129" t="e">
        <v>#DIV/0!</v>
      </c>
      <c r="AH55" s="129">
        <v>0</v>
      </c>
      <c r="AI55" s="67">
        <v>12.7</v>
      </c>
      <c r="AJ55" s="67">
        <v>635.41</v>
      </c>
      <c r="AK55" s="129">
        <v>0.0199870949465699</v>
      </c>
      <c r="AL55" s="129">
        <v>0.021560139207198</v>
      </c>
      <c r="AM55" s="129">
        <v>0.0410321704439352</v>
      </c>
      <c r="AN55" s="67">
        <v>10.68</v>
      </c>
      <c r="AO55" s="67">
        <v>534.41</v>
      </c>
      <c r="AP55" s="129">
        <v>0.019984655975749</v>
      </c>
      <c r="AQ55" s="129">
        <v>0.0215757575757576</v>
      </c>
      <c r="AR55" s="129">
        <v>0.0300808080808081</v>
      </c>
    </row>
    <row r="56" customFormat="1" ht="22.5" customHeight="1" spans="1:44">
      <c r="A56" s="72">
        <v>12423</v>
      </c>
      <c r="B56" s="62" t="s">
        <v>112</v>
      </c>
      <c r="C56" s="63">
        <f>_xlfn.XLOOKUP(A56,[1]分配表!J:J,[1]分配表!L:L)</f>
        <v>46104</v>
      </c>
      <c r="D56" s="63">
        <f>IF(_xlfn.XLOOKUP(A56,[1]分配表!J:J,[1]分配表!M:M,"未出单")=0,"未出单",_xlfn.XLOOKUP(A56,[1]分配表!J:J,[1]分配表!M:M,"未出单"))</f>
        <v>46108</v>
      </c>
      <c r="E56" s="64" t="s">
        <v>57</v>
      </c>
      <c r="F56" s="126" t="str">
        <f>_xlfn.XLOOKUP(A56,[1]分配表!A:A,[1]分配表!C:C)</f>
        <v>张潇</v>
      </c>
      <c r="G56" s="126" t="str">
        <f>IF(_xlfn.XLOOKUP($A56,[1]分配表!$A:$A,[1]分配表!D:D)=0,"未分类",_xlfn.XLOOKUP($A56,[1]分配表!$A:$A,[1]分配表!D:D))</f>
        <v>其他</v>
      </c>
      <c r="H56" s="126" t="str">
        <f>_xlfn.XLOOKUP(A56,[1]分配表!J:J,[1]分配表!I:I)</f>
        <v>原开品</v>
      </c>
      <c r="I56" s="65">
        <f>COUNTIFS([1]月销售数据!L:L,A56,[1]月销售数据!M:M,"&gt;=2026-4-1",[1]月销售数据!M:M,"&lt;=2026-4-30")</f>
        <v>4</v>
      </c>
      <c r="J56" s="65">
        <f>COUNTIFS([1]月销售数据!L:L,A56,[1]月销售数据!M:M,"&gt;=2026-5-1",[1]月销售数据!M:M,"&lt;=2026-5-31")</f>
        <v>0</v>
      </c>
      <c r="K56" s="127" t="s">
        <v>46</v>
      </c>
      <c r="L56" s="127" t="s">
        <v>46</v>
      </c>
      <c r="M56" s="127" t="s">
        <v>47</v>
      </c>
      <c r="N56" s="127" t="s">
        <v>77</v>
      </c>
      <c r="O56" s="65">
        <v>2</v>
      </c>
      <c r="P56" s="65">
        <v>1</v>
      </c>
      <c r="Q56" s="67">
        <v>116</v>
      </c>
      <c r="R56" s="110">
        <v>58</v>
      </c>
      <c r="S56" s="65">
        <v>0</v>
      </c>
      <c r="T56" s="65">
        <v>16</v>
      </c>
      <c r="U56" s="65">
        <v>2</v>
      </c>
      <c r="V56" s="65">
        <f t="shared" si="0"/>
        <v>17</v>
      </c>
      <c r="W56" s="71">
        <v>1</v>
      </c>
      <c r="X56" s="128">
        <v>0.0588235294117647</v>
      </c>
      <c r="Y56" s="65">
        <v>0</v>
      </c>
      <c r="Z56" s="67">
        <v>0</v>
      </c>
      <c r="AA56" s="67">
        <v>10.9</v>
      </c>
      <c r="AB56" s="129" t="e">
        <v>#DIV/0!</v>
      </c>
      <c r="AC56" s="129">
        <v>0.0939655172413793</v>
      </c>
      <c r="AD56" s="65">
        <v>0</v>
      </c>
      <c r="AE56" s="67">
        <v>0</v>
      </c>
      <c r="AF56" s="67">
        <v>0</v>
      </c>
      <c r="AG56" s="129" t="e">
        <v>#DIV/0!</v>
      </c>
      <c r="AH56" s="129">
        <v>0</v>
      </c>
      <c r="AI56" s="67">
        <v>2.48</v>
      </c>
      <c r="AJ56" s="67">
        <v>124.12</v>
      </c>
      <c r="AK56" s="129">
        <v>0.0199806638736706</v>
      </c>
      <c r="AL56" s="129">
        <v>0.0213793103448276</v>
      </c>
      <c r="AM56" s="129">
        <v>0.11551724137931</v>
      </c>
      <c r="AN56" s="67">
        <v>1.26</v>
      </c>
      <c r="AO56" s="67">
        <v>63.08</v>
      </c>
      <c r="AP56" s="129">
        <v>0.0199746353836398</v>
      </c>
      <c r="AQ56" s="129">
        <v>0.0217241379310345</v>
      </c>
      <c r="AR56" s="129">
        <v>0.0262068965517241</v>
      </c>
    </row>
    <row r="57" customFormat="1" ht="22.5" customHeight="1" spans="1:44">
      <c r="A57" s="72">
        <v>12387</v>
      </c>
      <c r="B57" s="62" t="s">
        <v>113</v>
      </c>
      <c r="C57" s="63">
        <f>_xlfn.XLOOKUP(A57,[1]分配表!J:J,[1]分配表!L:L)</f>
        <v>46105</v>
      </c>
      <c r="D57" s="63">
        <f>IF(_xlfn.XLOOKUP(A57,[1]分配表!J:J,[1]分配表!M:M,"未出单")=0,"未出单",_xlfn.XLOOKUP(A57,[1]分配表!J:J,[1]分配表!M:M,"未出单"))</f>
        <v>46125</v>
      </c>
      <c r="E57" s="64" t="s">
        <v>70</v>
      </c>
      <c r="F57" s="126" t="str">
        <f>_xlfn.XLOOKUP(A57,[1]分配表!A:A,[1]分配表!C:C)</f>
        <v>俞东旭</v>
      </c>
      <c r="G57" s="126" t="str">
        <f>IF(_xlfn.XLOOKUP($A57,[1]分配表!$A:$A,[1]分配表!D:D)=0,"未分类",_xlfn.XLOOKUP($A57,[1]分配表!$A:$A,[1]分配表!D:D))</f>
        <v>车身外扩件</v>
      </c>
      <c r="H57" s="126" t="str">
        <f>_xlfn.XLOOKUP(A57,[1]分配表!J:J,[1]分配表!I:I)</f>
        <v>原开品</v>
      </c>
      <c r="I57" s="65">
        <f>COUNTIFS([1]月销售数据!L:L,A57,[1]月销售数据!M:M,"&gt;=2026-4-1",[1]月销售数据!M:M,"&lt;=2026-4-30")</f>
        <v>4</v>
      </c>
      <c r="J57" s="65">
        <f>COUNTIFS([1]月销售数据!L:L,A57,[1]月销售数据!M:M,"&gt;=2026-5-1",[1]月销售数据!M:M,"&lt;=2026-5-31")</f>
        <v>3</v>
      </c>
      <c r="K57" s="127" t="s">
        <v>58</v>
      </c>
      <c r="L57" s="127" t="s">
        <v>58</v>
      </c>
      <c r="M57" s="127" t="s">
        <v>53</v>
      </c>
      <c r="N57" s="127" t="s">
        <v>53</v>
      </c>
      <c r="O57" s="65">
        <v>2</v>
      </c>
      <c r="P57" s="65">
        <v>3</v>
      </c>
      <c r="Q57" s="67">
        <v>70</v>
      </c>
      <c r="R57" s="110">
        <v>105</v>
      </c>
      <c r="S57" s="65">
        <v>11</v>
      </c>
      <c r="T57" s="65">
        <v>9</v>
      </c>
      <c r="U57" s="65">
        <v>13</v>
      </c>
      <c r="V57" s="65">
        <f t="shared" si="0"/>
        <v>12</v>
      </c>
      <c r="W57" s="71">
        <v>0.153846153846154</v>
      </c>
      <c r="X57" s="128">
        <v>0.25</v>
      </c>
      <c r="Y57" s="65">
        <v>0</v>
      </c>
      <c r="Z57" s="67">
        <v>0</v>
      </c>
      <c r="AA57" s="67">
        <v>0.09</v>
      </c>
      <c r="AB57" s="129" t="e">
        <v>#DIV/0!</v>
      </c>
      <c r="AC57" s="129">
        <v>0.00128571428571429</v>
      </c>
      <c r="AD57" s="65">
        <v>0</v>
      </c>
      <c r="AE57" s="67">
        <v>0</v>
      </c>
      <c r="AF57" s="67">
        <v>0</v>
      </c>
      <c r="AG57" s="129" t="e">
        <v>#DIV/0!</v>
      </c>
      <c r="AH57" s="129">
        <v>0</v>
      </c>
      <c r="AI57" s="67">
        <v>0</v>
      </c>
      <c r="AJ57" s="67">
        <v>0</v>
      </c>
      <c r="AK57" s="129" t="e">
        <v>#DIV/0!</v>
      </c>
      <c r="AL57" s="129">
        <v>0</v>
      </c>
      <c r="AM57" s="129">
        <v>0.0161428571428571</v>
      </c>
      <c r="AN57" s="67">
        <v>2.8</v>
      </c>
      <c r="AO57" s="67">
        <v>112.25</v>
      </c>
      <c r="AP57" s="129">
        <v>0.0249443207126949</v>
      </c>
      <c r="AQ57" s="129">
        <v>0.0266666666666667</v>
      </c>
      <c r="AR57" s="129">
        <v>0.03</v>
      </c>
    </row>
    <row r="58" customFormat="1" ht="22.5" customHeight="1" spans="1:44">
      <c r="A58" s="72">
        <v>12388</v>
      </c>
      <c r="B58" s="62" t="s">
        <v>114</v>
      </c>
      <c r="C58" s="63">
        <f>_xlfn.XLOOKUP(A58,[1]分配表!J:J,[1]分配表!L:L)</f>
        <v>46105</v>
      </c>
      <c r="D58" s="63">
        <f>IF(_xlfn.XLOOKUP(A58,[1]分配表!J:J,[1]分配表!M:M,"未出单")=0,"未出单",_xlfn.XLOOKUP(A58,[1]分配表!J:J,[1]分配表!M:M,"未出单"))</f>
        <v>46125</v>
      </c>
      <c r="E58" s="64" t="s">
        <v>70</v>
      </c>
      <c r="F58" s="126" t="str">
        <f>_xlfn.XLOOKUP(A58,[1]分配表!A:A,[1]分配表!C:C)</f>
        <v>俞东旭</v>
      </c>
      <c r="G58" s="126" t="str">
        <f>IF(_xlfn.XLOOKUP($A58,[1]分配表!$A:$A,[1]分配表!D:D)=0,"未分类",_xlfn.XLOOKUP($A58,[1]分配表!$A:$A,[1]分配表!D:D))</f>
        <v>车身外扩件</v>
      </c>
      <c r="H58" s="126" t="str">
        <f>_xlfn.XLOOKUP(A58,[1]分配表!J:J,[1]分配表!I:I)</f>
        <v>原开品</v>
      </c>
      <c r="I58" s="65">
        <f>COUNTIFS([1]月销售数据!L:L,A58,[1]月销售数据!M:M,"&gt;=2026-4-1",[1]月销售数据!M:M,"&lt;=2026-4-30")</f>
        <v>4</v>
      </c>
      <c r="J58" s="65">
        <f>COUNTIFS([1]月销售数据!L:L,A58,[1]月销售数据!M:M,"&gt;=2026-5-1",[1]月销售数据!M:M,"&lt;=2026-5-31")</f>
        <v>3</v>
      </c>
      <c r="K58" s="127" t="s">
        <v>58</v>
      </c>
      <c r="L58" s="127" t="s">
        <v>58</v>
      </c>
      <c r="M58" s="127" t="s">
        <v>53</v>
      </c>
      <c r="N58" s="127" t="s">
        <v>53</v>
      </c>
      <c r="O58" s="65">
        <v>1</v>
      </c>
      <c r="P58" s="65">
        <v>0</v>
      </c>
      <c r="Q58" s="67">
        <v>35</v>
      </c>
      <c r="R58" s="110">
        <v>0</v>
      </c>
      <c r="S58" s="65">
        <v>10</v>
      </c>
      <c r="T58" s="65">
        <v>11</v>
      </c>
      <c r="U58" s="65">
        <v>11</v>
      </c>
      <c r="V58" s="65">
        <f t="shared" si="0"/>
        <v>11</v>
      </c>
      <c r="W58" s="71">
        <v>0.0909090909090909</v>
      </c>
      <c r="X58" s="128">
        <v>0</v>
      </c>
      <c r="Y58" s="65">
        <v>0</v>
      </c>
      <c r="Z58" s="67">
        <v>0</v>
      </c>
      <c r="AA58" s="67">
        <v>0</v>
      </c>
      <c r="AB58" s="129" t="e">
        <v>#DIV/0!</v>
      </c>
      <c r="AC58" s="129">
        <v>0</v>
      </c>
      <c r="AD58" s="65">
        <v>0</v>
      </c>
      <c r="AE58" s="67">
        <v>0</v>
      </c>
      <c r="AF58" s="67">
        <v>0.66</v>
      </c>
      <c r="AG58" s="129" t="e">
        <v>#DIV/0!</v>
      </c>
      <c r="AH58" s="129" t="e">
        <v>#DIV/0!</v>
      </c>
      <c r="AI58" s="67">
        <v>0</v>
      </c>
      <c r="AJ58" s="67">
        <v>0</v>
      </c>
      <c r="AK58" s="129" t="e">
        <v>#DIV/0!</v>
      </c>
      <c r="AL58" s="129">
        <v>0</v>
      </c>
      <c r="AM58" s="129">
        <v>0.00371428571428571</v>
      </c>
      <c r="AN58" s="67">
        <v>0</v>
      </c>
      <c r="AO58" s="67">
        <v>0</v>
      </c>
      <c r="AP58" s="129" t="e">
        <v>#DIV/0!</v>
      </c>
      <c r="AQ58" s="129" t="e">
        <v>#DIV/0!</v>
      </c>
      <c r="AR58" s="129" t="e">
        <v>#DIV/0!</v>
      </c>
    </row>
    <row r="59" customFormat="1" ht="22.5" customHeight="1" spans="1:44">
      <c r="A59" s="72">
        <v>12474</v>
      </c>
      <c r="B59" s="62" t="s">
        <v>115</v>
      </c>
      <c r="C59" s="63">
        <f>_xlfn.XLOOKUP(A59,[1]分配表!J:J,[1]分配表!L:L)</f>
        <v>46108</v>
      </c>
      <c r="D59" s="63">
        <f>IF(_xlfn.XLOOKUP(A59,[1]分配表!J:J,[1]分配表!M:M,"未出单")=0,"未出单",_xlfn.XLOOKUP(A59,[1]分配表!J:J,[1]分配表!M:M,"未出单"))</f>
        <v>46116</v>
      </c>
      <c r="E59" s="64" t="s">
        <v>57</v>
      </c>
      <c r="F59" s="126" t="str">
        <f>_xlfn.XLOOKUP(A59,[1]分配表!A:A,[1]分配表!C:C)</f>
        <v>张潇</v>
      </c>
      <c r="G59" s="126" t="str">
        <f>IF(_xlfn.XLOOKUP($A59,[1]分配表!$A:$A,[1]分配表!D:D)=0,"未分类",_xlfn.XLOOKUP($A59,[1]分配表!$A:$A,[1]分配表!D:D))</f>
        <v>饰条</v>
      </c>
      <c r="H59" s="126" t="str">
        <f>_xlfn.XLOOKUP(A59,[1]分配表!J:J,[1]分配表!I:I)</f>
        <v>拓展品</v>
      </c>
      <c r="I59" s="65">
        <f>COUNTIFS([1]月销售数据!L:L,A59,[1]月销售数据!M:M,"&gt;=2026-4-1",[1]月销售数据!M:M,"&lt;=2026-4-30")</f>
        <v>4</v>
      </c>
      <c r="J59" s="65">
        <f>COUNTIFS([1]月销售数据!L:L,A59,[1]月销售数据!M:M,"&gt;=2026-5-1",[1]月销售数据!M:M,"&lt;=2026-5-31")</f>
        <v>1</v>
      </c>
      <c r="K59" s="127" t="s">
        <v>46</v>
      </c>
      <c r="L59" s="127" t="s">
        <v>46</v>
      </c>
      <c r="M59" s="127" t="s">
        <v>48</v>
      </c>
      <c r="N59" s="127" t="s">
        <v>48</v>
      </c>
      <c r="O59" s="65">
        <v>14</v>
      </c>
      <c r="P59" s="65">
        <v>9</v>
      </c>
      <c r="Q59" s="67">
        <v>1206.5</v>
      </c>
      <c r="R59" s="110">
        <v>769.5</v>
      </c>
      <c r="S59" s="65">
        <v>1</v>
      </c>
      <c r="T59" s="65">
        <v>0</v>
      </c>
      <c r="U59" s="65">
        <v>15</v>
      </c>
      <c r="V59" s="65">
        <f t="shared" si="0"/>
        <v>9</v>
      </c>
      <c r="W59" s="71">
        <v>0.933333333333333</v>
      </c>
      <c r="X59" s="128">
        <v>1</v>
      </c>
      <c r="Y59" s="65">
        <v>7</v>
      </c>
      <c r="Z59" s="67">
        <v>652.87</v>
      </c>
      <c r="AA59" s="67">
        <v>16.08</v>
      </c>
      <c r="AB59" s="129">
        <v>0.0246297118875121</v>
      </c>
      <c r="AC59" s="129">
        <v>0.013327807708247</v>
      </c>
      <c r="AD59" s="65">
        <v>4</v>
      </c>
      <c r="AE59" s="67">
        <v>367.86</v>
      </c>
      <c r="AF59" s="67">
        <v>23.25</v>
      </c>
      <c r="AG59" s="129">
        <v>0.063203392595009</v>
      </c>
      <c r="AH59" s="129">
        <v>0.0302144249512671</v>
      </c>
      <c r="AI59" s="67">
        <v>18.36</v>
      </c>
      <c r="AJ59" s="67">
        <v>918.12</v>
      </c>
      <c r="AK59" s="129">
        <v>0.0199973859626193</v>
      </c>
      <c r="AL59" s="129">
        <v>0.0152175714877746</v>
      </c>
      <c r="AM59" s="129">
        <v>0.0332532117695814</v>
      </c>
      <c r="AN59" s="67">
        <v>5.54</v>
      </c>
      <c r="AO59" s="67">
        <v>277.12</v>
      </c>
      <c r="AP59" s="129">
        <v>0.0199913394919169</v>
      </c>
      <c r="AQ59" s="129">
        <v>0.00719948018193632</v>
      </c>
      <c r="AR59" s="129">
        <v>0.0549707602339181</v>
      </c>
    </row>
    <row r="60" customFormat="1" ht="22.5" customHeight="1" spans="1:44">
      <c r="A60" s="72">
        <v>12429</v>
      </c>
      <c r="B60" s="62" t="s">
        <v>116</v>
      </c>
      <c r="C60" s="63">
        <f>_xlfn.XLOOKUP(A60,[1]分配表!J:J,[1]分配表!L:L)</f>
        <v>46108</v>
      </c>
      <c r="D60" s="63">
        <f>IF(_xlfn.XLOOKUP(A60,[1]分配表!J:J,[1]分配表!M:M,"未出单")=0,"未出单",_xlfn.XLOOKUP(A60,[1]分配表!J:J,[1]分配表!M:M,"未出单"))</f>
        <v>46111</v>
      </c>
      <c r="E60" s="64" t="s">
        <v>70</v>
      </c>
      <c r="F60" s="126" t="str">
        <f>_xlfn.XLOOKUP(A60,[1]分配表!A:A,[1]分配表!C:C)</f>
        <v>俞东旭</v>
      </c>
      <c r="G60" s="126" t="str">
        <f>IF(_xlfn.XLOOKUP($A60,[1]分配表!$A:$A,[1]分配表!D:D)=0,"未分类",_xlfn.XLOOKUP($A60,[1]分配表!$A:$A,[1]分配表!D:D))</f>
        <v>车门系统</v>
      </c>
      <c r="H60" s="126" t="str">
        <f>_xlfn.XLOOKUP(A60,[1]分配表!J:J,[1]分配表!I:I)</f>
        <v>拓展品</v>
      </c>
      <c r="I60" s="65">
        <f>COUNTIFS([1]月销售数据!L:L,A60,[1]月销售数据!M:M,"&gt;=2026-4-1",[1]月销售数据!M:M,"&lt;=2026-4-30")</f>
        <v>3</v>
      </c>
      <c r="J60" s="65">
        <f>COUNTIFS([1]月销售数据!L:L,A60,[1]月销售数据!M:M,"&gt;=2026-5-1",[1]月销售数据!M:M,"&lt;=2026-5-31")</f>
        <v>1</v>
      </c>
      <c r="K60" s="127" t="s">
        <v>46</v>
      </c>
      <c r="L60" s="127" t="s">
        <v>46</v>
      </c>
      <c r="M60" s="127" t="s">
        <v>77</v>
      </c>
      <c r="N60" s="127" t="s">
        <v>48</v>
      </c>
      <c r="O60" s="65">
        <v>0</v>
      </c>
      <c r="P60" s="65">
        <v>3</v>
      </c>
      <c r="Q60" s="67">
        <v>0</v>
      </c>
      <c r="R60" s="110">
        <v>765</v>
      </c>
      <c r="S60" s="65">
        <v>0</v>
      </c>
      <c r="T60" s="65">
        <v>0</v>
      </c>
      <c r="U60" s="65">
        <v>0</v>
      </c>
      <c r="V60" s="65">
        <f t="shared" si="0"/>
        <v>3</v>
      </c>
      <c r="W60" s="71">
        <v>0</v>
      </c>
      <c r="X60" s="128">
        <v>1</v>
      </c>
      <c r="Y60" s="65">
        <v>0</v>
      </c>
      <c r="Z60" s="67">
        <v>0</v>
      </c>
      <c r="AA60" s="67">
        <v>0</v>
      </c>
      <c r="AB60" s="129" t="e">
        <v>#DIV/0!</v>
      </c>
      <c r="AC60" s="129" t="e">
        <v>#DIV/0!</v>
      </c>
      <c r="AD60" s="65">
        <v>0</v>
      </c>
      <c r="AE60" s="67">
        <v>0</v>
      </c>
      <c r="AF60" s="67">
        <v>0</v>
      </c>
      <c r="AG60" s="129" t="e">
        <v>#DIV/0!</v>
      </c>
      <c r="AH60" s="129">
        <v>0</v>
      </c>
      <c r="AI60" s="67">
        <v>0</v>
      </c>
      <c r="AJ60" s="67">
        <v>0</v>
      </c>
      <c r="AK60" s="129" t="e">
        <v>#DIV/0!</v>
      </c>
      <c r="AL60" s="129" t="e">
        <v>#DIV/0!</v>
      </c>
      <c r="AM60" s="129" t="e">
        <v>#DIV/0!</v>
      </c>
      <c r="AN60" s="67">
        <v>0</v>
      </c>
      <c r="AO60" s="67">
        <v>0</v>
      </c>
      <c r="AP60" s="129" t="e">
        <v>#DIV/0!</v>
      </c>
      <c r="AQ60" s="129">
        <v>0</v>
      </c>
      <c r="AR60" s="129">
        <v>0.0077516339869281</v>
      </c>
    </row>
    <row r="61" customFormat="1" ht="22.5" customHeight="1" spans="1:44">
      <c r="A61" s="72">
        <v>12424</v>
      </c>
      <c r="B61" s="62" t="s">
        <v>117</v>
      </c>
      <c r="C61" s="63">
        <f>_xlfn.XLOOKUP(A61,[1]分配表!J:J,[1]分配表!L:L)</f>
        <v>46108</v>
      </c>
      <c r="D61" s="63">
        <f>IF(_xlfn.XLOOKUP(A61,[1]分配表!J:J,[1]分配表!M:M,"未出单")=0,"未出单",_xlfn.XLOOKUP(A61,[1]分配表!J:J,[1]分配表!M:M,"未出单"))</f>
        <v>46176</v>
      </c>
      <c r="E61" s="64" t="s">
        <v>70</v>
      </c>
      <c r="F61" s="126" t="str">
        <f>_xlfn.XLOOKUP(A61,[1]分配表!A:A,[1]分配表!C:C)</f>
        <v>俞东旭</v>
      </c>
      <c r="G61" s="126" t="str">
        <f>IF(_xlfn.XLOOKUP($A61,[1]分配表!$A:$A,[1]分配表!D:D)=0,"未分类",_xlfn.XLOOKUP($A61,[1]分配表!$A:$A,[1]分配表!D:D))</f>
        <v>车门系统</v>
      </c>
      <c r="H61" s="126" t="str">
        <f>_xlfn.XLOOKUP(A61,[1]分配表!J:J,[1]分配表!I:I)</f>
        <v>拓展品</v>
      </c>
      <c r="I61" s="65">
        <f>COUNTIFS([1]月销售数据!L:L,A61,[1]月销售数据!M:M,"&gt;=2026-4-1",[1]月销售数据!M:M,"&lt;=2026-4-30")</f>
        <v>5</v>
      </c>
      <c r="J61" s="65">
        <f>COUNTIFS([1]月销售数据!L:L,A61,[1]月销售数据!M:M,"&gt;=2026-5-1",[1]月销售数据!M:M,"&lt;=2026-5-31")</f>
        <v>4</v>
      </c>
      <c r="K61" s="127" t="s">
        <v>103</v>
      </c>
      <c r="L61" s="127" t="s">
        <v>103</v>
      </c>
      <c r="M61" s="127" t="s">
        <v>47</v>
      </c>
      <c r="N61" s="127" t="s">
        <v>47</v>
      </c>
      <c r="O61" s="65">
        <v>0</v>
      </c>
      <c r="P61" s="65">
        <v>0</v>
      </c>
      <c r="Q61" s="67">
        <v>0</v>
      </c>
      <c r="R61" s="110">
        <v>0</v>
      </c>
      <c r="S61" s="65">
        <v>0</v>
      </c>
      <c r="T61" s="65">
        <v>0</v>
      </c>
      <c r="U61" s="65">
        <v>0</v>
      </c>
      <c r="V61" s="65">
        <f t="shared" si="0"/>
        <v>0</v>
      </c>
      <c r="W61" s="71">
        <v>0</v>
      </c>
      <c r="X61" s="128" t="s">
        <v>106</v>
      </c>
      <c r="Y61" s="65">
        <v>0</v>
      </c>
      <c r="Z61" s="67">
        <v>0</v>
      </c>
      <c r="AA61" s="67">
        <v>12.29</v>
      </c>
      <c r="AB61" s="129" t="e">
        <v>#DIV/0!</v>
      </c>
      <c r="AC61" s="129" t="e">
        <v>#DIV/0!</v>
      </c>
      <c r="AD61" s="65">
        <v>0</v>
      </c>
      <c r="AE61" s="67">
        <v>0</v>
      </c>
      <c r="AF61" s="67">
        <v>50.73</v>
      </c>
      <c r="AG61" s="129" t="e">
        <v>#DIV/0!</v>
      </c>
      <c r="AH61" s="129" t="e">
        <v>#DIV/0!</v>
      </c>
      <c r="AI61" s="67">
        <v>0</v>
      </c>
      <c r="AJ61" s="67">
        <v>0</v>
      </c>
      <c r="AK61" s="129" t="e">
        <v>#DIV/0!</v>
      </c>
      <c r="AL61" s="129" t="e">
        <v>#DIV/0!</v>
      </c>
      <c r="AM61" s="129" t="e">
        <v>#DIV/0!</v>
      </c>
      <c r="AN61" s="67">
        <v>0</v>
      </c>
      <c r="AO61" s="67">
        <v>0</v>
      </c>
      <c r="AP61" s="129" t="e">
        <v>#DIV/0!</v>
      </c>
      <c r="AQ61" s="129" t="e">
        <v>#DIV/0!</v>
      </c>
      <c r="AR61" s="129" t="e">
        <v>#DIV/0!</v>
      </c>
    </row>
    <row r="62" customFormat="1" ht="22.5" customHeight="1" spans="1:44">
      <c r="A62" s="72">
        <v>12386</v>
      </c>
      <c r="B62" s="62" t="s">
        <v>118</v>
      </c>
      <c r="C62" s="63">
        <f>_xlfn.XLOOKUP(A62,[1]分配表!J:J,[1]分配表!L:L)</f>
        <v>46108</v>
      </c>
      <c r="D62" s="63">
        <f>IF(_xlfn.XLOOKUP(A62,[1]分配表!J:J,[1]分配表!M:M,"未出单")=0,"未出单",_xlfn.XLOOKUP(A62,[1]分配表!J:J,[1]分配表!M:M,"未出单"))</f>
        <v>46123</v>
      </c>
      <c r="E62" s="64" t="s">
        <v>70</v>
      </c>
      <c r="F62" s="126" t="str">
        <f>_xlfn.XLOOKUP(A62,[1]分配表!A:A,[1]分配表!C:C)</f>
        <v>俞东旭</v>
      </c>
      <c r="G62" s="126" t="str">
        <f>IF(_xlfn.XLOOKUP($A62,[1]分配表!$A:$A,[1]分配表!D:D)=0,"未分类",_xlfn.XLOOKUP($A62,[1]分配表!$A:$A,[1]分配表!D:D))</f>
        <v>车门系统</v>
      </c>
      <c r="H62" s="126" t="str">
        <f>_xlfn.XLOOKUP(A62,[1]分配表!J:J,[1]分配表!I:I)</f>
        <v>拓展品</v>
      </c>
      <c r="I62" s="65">
        <f>COUNTIFS([1]月销售数据!L:L,A62,[1]月销售数据!M:M,"&gt;=2026-4-1",[1]月销售数据!M:M,"&lt;=2026-4-30")</f>
        <v>4</v>
      </c>
      <c r="J62" s="65">
        <f>COUNTIFS([1]月销售数据!L:L,A62,[1]月销售数据!M:M,"&gt;=2026-5-1",[1]月销售数据!M:M,"&lt;=2026-5-31")</f>
        <v>3</v>
      </c>
      <c r="K62" s="127" t="s">
        <v>58</v>
      </c>
      <c r="L62" s="127" t="s">
        <v>58</v>
      </c>
      <c r="M62" s="127" t="s">
        <v>53</v>
      </c>
      <c r="N62" s="127" t="s">
        <v>53</v>
      </c>
      <c r="O62" s="65">
        <v>1</v>
      </c>
      <c r="P62" s="65">
        <v>5</v>
      </c>
      <c r="Q62" s="67">
        <v>30.59</v>
      </c>
      <c r="R62" s="110">
        <v>152.35</v>
      </c>
      <c r="S62" s="65">
        <v>25</v>
      </c>
      <c r="T62" s="65">
        <v>21</v>
      </c>
      <c r="U62" s="65">
        <v>26</v>
      </c>
      <c r="V62" s="65">
        <f t="shared" si="0"/>
        <v>26</v>
      </c>
      <c r="W62" s="71">
        <v>0.0384615384615385</v>
      </c>
      <c r="X62" s="128">
        <v>0.192307692307692</v>
      </c>
      <c r="Y62" s="65">
        <v>0</v>
      </c>
      <c r="Z62" s="67">
        <v>0</v>
      </c>
      <c r="AA62" s="67">
        <v>0</v>
      </c>
      <c r="AB62" s="129" t="e">
        <v>#DIV/0!</v>
      </c>
      <c r="AC62" s="129">
        <v>0</v>
      </c>
      <c r="AD62" s="65">
        <v>0</v>
      </c>
      <c r="AE62" s="67">
        <v>0</v>
      </c>
      <c r="AF62" s="67">
        <v>0</v>
      </c>
      <c r="AG62" s="129" t="e">
        <v>#DIV/0!</v>
      </c>
      <c r="AH62" s="129">
        <v>0</v>
      </c>
      <c r="AI62" s="67">
        <v>0.66</v>
      </c>
      <c r="AJ62" s="67">
        <v>33.05</v>
      </c>
      <c r="AK62" s="129">
        <v>0.0199697428139183</v>
      </c>
      <c r="AL62" s="129">
        <v>0.0215756783262504</v>
      </c>
      <c r="AM62" s="129">
        <v>0.0215756783262504</v>
      </c>
      <c r="AN62" s="67">
        <v>5.1</v>
      </c>
      <c r="AO62" s="67">
        <v>164.71</v>
      </c>
      <c r="AP62" s="129">
        <v>0.030963511626495</v>
      </c>
      <c r="AQ62" s="129">
        <v>0.0334755497210371</v>
      </c>
      <c r="AR62" s="129">
        <v>0.0338693797177552</v>
      </c>
    </row>
    <row r="63" customFormat="1" ht="22.5" customHeight="1" spans="1:44">
      <c r="A63" s="72">
        <v>12426</v>
      </c>
      <c r="B63" s="62" t="s">
        <v>119</v>
      </c>
      <c r="C63" s="63">
        <f>_xlfn.XLOOKUP(A63,[1]分配表!J:J,[1]分配表!L:L)</f>
        <v>46108</v>
      </c>
      <c r="D63" s="63">
        <f>IF(_xlfn.XLOOKUP(A63,[1]分配表!J:J,[1]分配表!M:M,"未出单")=0,"未出单",_xlfn.XLOOKUP(A63,[1]分配表!J:J,[1]分配表!M:M,"未出单"))</f>
        <v>46115</v>
      </c>
      <c r="E63" s="64" t="s">
        <v>52</v>
      </c>
      <c r="F63" s="126" t="str">
        <f>_xlfn.XLOOKUP(A63,[1]分配表!A:A,[1]分配表!C:C)</f>
        <v>胡煜星</v>
      </c>
      <c r="G63" s="126" t="str">
        <f>IF(_xlfn.XLOOKUP($A63,[1]分配表!$A:$A,[1]分配表!D:D)=0,"未分类",_xlfn.XLOOKUP($A63,[1]分配表!$A:$A,[1]分配表!D:D))</f>
        <v>车门系统</v>
      </c>
      <c r="H63" s="126" t="str">
        <f>_xlfn.XLOOKUP(A63,[1]分配表!J:J,[1]分配表!I:I)</f>
        <v>原开品</v>
      </c>
      <c r="I63" s="65">
        <f>COUNTIFS([1]月销售数据!L:L,A63,[1]月销售数据!M:M,"&gt;=2026-4-1",[1]月销售数据!M:M,"&lt;=2026-4-30")</f>
        <v>2</v>
      </c>
      <c r="J63" s="65">
        <f>COUNTIFS([1]月销售数据!L:L,A63,[1]月销售数据!M:M,"&gt;=2026-5-1",[1]月销售数据!M:M,"&lt;=2026-5-31")</f>
        <v>1</v>
      </c>
      <c r="K63" s="127" t="s">
        <v>46</v>
      </c>
      <c r="L63" s="127" t="s">
        <v>46</v>
      </c>
      <c r="M63" s="127" t="s">
        <v>48</v>
      </c>
      <c r="N63" s="127" t="s">
        <v>48</v>
      </c>
      <c r="O63" s="65">
        <v>16</v>
      </c>
      <c r="P63" s="65">
        <v>24</v>
      </c>
      <c r="Q63" s="67">
        <v>1033.5</v>
      </c>
      <c r="R63" s="110">
        <v>1560</v>
      </c>
      <c r="S63" s="65">
        <v>0</v>
      </c>
      <c r="T63" s="65">
        <v>0</v>
      </c>
      <c r="U63" s="65">
        <v>16</v>
      </c>
      <c r="V63" s="65">
        <f t="shared" si="0"/>
        <v>24</v>
      </c>
      <c r="W63" s="71">
        <v>1</v>
      </c>
      <c r="X63" s="128">
        <v>1</v>
      </c>
      <c r="Y63" s="65">
        <v>0</v>
      </c>
      <c r="Z63" s="67">
        <v>0</v>
      </c>
      <c r="AA63" s="67">
        <v>0</v>
      </c>
      <c r="AB63" s="129" t="e">
        <v>#DIV/0!</v>
      </c>
      <c r="AC63" s="129">
        <v>0</v>
      </c>
      <c r="AD63" s="65">
        <v>0</v>
      </c>
      <c r="AE63" s="67">
        <v>0</v>
      </c>
      <c r="AF63" s="67">
        <v>0</v>
      </c>
      <c r="AG63" s="129" t="e">
        <v>#DIV/0!</v>
      </c>
      <c r="AH63" s="129">
        <v>0</v>
      </c>
      <c r="AI63" s="67">
        <v>22.12</v>
      </c>
      <c r="AJ63" s="67">
        <v>1106.16</v>
      </c>
      <c r="AK63" s="129">
        <v>0.0199971071092789</v>
      </c>
      <c r="AL63" s="129">
        <v>0.0214029995162071</v>
      </c>
      <c r="AM63" s="129">
        <v>0.0235607160135462</v>
      </c>
      <c r="AN63" s="67">
        <v>33.29</v>
      </c>
      <c r="AO63" s="67">
        <v>1663.78</v>
      </c>
      <c r="AP63" s="129">
        <v>0.0200086549904434</v>
      </c>
      <c r="AQ63" s="129">
        <v>0.0213397435897436</v>
      </c>
      <c r="AR63" s="129">
        <v>0.0223846153846154</v>
      </c>
    </row>
    <row r="64" customFormat="1" ht="22.5" customHeight="1" spans="1:44">
      <c r="A64" s="72">
        <v>12483</v>
      </c>
      <c r="B64" s="62" t="s">
        <v>120</v>
      </c>
      <c r="C64" s="63">
        <f>_xlfn.XLOOKUP(A64,[1]分配表!J:J,[1]分配表!L:L)</f>
        <v>46108</v>
      </c>
      <c r="D64" s="63">
        <f>IF(_xlfn.XLOOKUP(A64,[1]分配表!J:J,[1]分配表!M:M,"未出单")=0,"未出单",_xlfn.XLOOKUP(A64,[1]分配表!J:J,[1]分配表!M:M,"未出单"))</f>
        <v>46111</v>
      </c>
      <c r="E64" s="64" t="s">
        <v>52</v>
      </c>
      <c r="F64" s="126" t="str">
        <f>_xlfn.XLOOKUP(A64,[1]分配表!A:A,[1]分配表!C:C)</f>
        <v>胡煜星</v>
      </c>
      <c r="G64" s="126" t="str">
        <f>IF(_xlfn.XLOOKUP($A64,[1]分配表!$A:$A,[1]分配表!D:D)=0,"未分类",_xlfn.XLOOKUP($A64,[1]分配表!$A:$A,[1]分配表!D:D))</f>
        <v>其他</v>
      </c>
      <c r="H64" s="126" t="str">
        <f>_xlfn.XLOOKUP(A64,[1]分配表!J:J,[1]分配表!I:I)</f>
        <v>原开品</v>
      </c>
      <c r="I64" s="65">
        <f>COUNTIFS([1]月销售数据!L:L,A64,[1]月销售数据!M:M,"&gt;=2026-4-1",[1]月销售数据!M:M,"&lt;=2026-4-30")</f>
        <v>2</v>
      </c>
      <c r="J64" s="65">
        <f>COUNTIFS([1]月销售数据!L:L,A64,[1]月销售数据!M:M,"&gt;=2026-5-1",[1]月销售数据!M:M,"&lt;=2026-5-31")</f>
        <v>2</v>
      </c>
      <c r="K64" s="127" t="s">
        <v>46</v>
      </c>
      <c r="L64" s="127" t="s">
        <v>46</v>
      </c>
      <c r="M64" s="127" t="s">
        <v>48</v>
      </c>
      <c r="N64" s="127" t="s">
        <v>48</v>
      </c>
      <c r="O64" s="65">
        <v>9</v>
      </c>
      <c r="P64" s="65">
        <v>6</v>
      </c>
      <c r="Q64" s="67">
        <v>1076.4</v>
      </c>
      <c r="R64" s="110">
        <v>725.4</v>
      </c>
      <c r="S64" s="65">
        <v>0</v>
      </c>
      <c r="T64" s="65">
        <v>0</v>
      </c>
      <c r="U64" s="65">
        <v>9</v>
      </c>
      <c r="V64" s="65">
        <f t="shared" si="0"/>
        <v>6</v>
      </c>
      <c r="W64" s="71">
        <v>1</v>
      </c>
      <c r="X64" s="128">
        <v>1</v>
      </c>
      <c r="Y64" s="65">
        <v>0</v>
      </c>
      <c r="Z64" s="67">
        <v>0</v>
      </c>
      <c r="AA64" s="67">
        <v>0</v>
      </c>
      <c r="AB64" s="129" t="e">
        <v>#DIV/0!</v>
      </c>
      <c r="AC64" s="129">
        <v>0</v>
      </c>
      <c r="AD64" s="65">
        <v>1</v>
      </c>
      <c r="AE64" s="67">
        <v>126.65</v>
      </c>
      <c r="AF64" s="67">
        <v>6.67</v>
      </c>
      <c r="AG64" s="129">
        <v>0.0526648243189893</v>
      </c>
      <c r="AH64" s="129">
        <v>0.00919492693686242</v>
      </c>
      <c r="AI64" s="67">
        <v>25.49</v>
      </c>
      <c r="AJ64" s="67">
        <v>1275.3</v>
      </c>
      <c r="AK64" s="129">
        <v>0.0199874539324081</v>
      </c>
      <c r="AL64" s="129">
        <v>0.0236807878112226</v>
      </c>
      <c r="AM64" s="129">
        <v>0.0250371609067261</v>
      </c>
      <c r="AN64" s="67">
        <v>5.31</v>
      </c>
      <c r="AO64" s="67">
        <v>265.91</v>
      </c>
      <c r="AP64" s="129">
        <v>0.0199691624985897</v>
      </c>
      <c r="AQ64" s="129">
        <v>0.00732009925558313</v>
      </c>
      <c r="AR64" s="129">
        <v>0.0231320650675489</v>
      </c>
    </row>
    <row r="65" customFormat="1" ht="22.5" customHeight="1" spans="1:61">
      <c r="A65" s="72">
        <v>12484</v>
      </c>
      <c r="B65" s="62" t="s">
        <v>121</v>
      </c>
      <c r="C65" s="63">
        <f>_xlfn.XLOOKUP(A65,[1]分配表!J:J,[1]分配表!L:L)</f>
        <v>46108</v>
      </c>
      <c r="D65" s="63">
        <f>IF(_xlfn.XLOOKUP(A65,[1]分配表!J:J,[1]分配表!M:M,"未出单")=0,"未出单",_xlfn.XLOOKUP(A65,[1]分配表!J:J,[1]分配表!M:M,"未出单"))</f>
        <v>46111</v>
      </c>
      <c r="E65" s="64" t="s">
        <v>52</v>
      </c>
      <c r="F65" s="126" t="str">
        <f>_xlfn.XLOOKUP(A65,[1]分配表!A:A,[1]分配表!C:C)</f>
        <v>胡煜星</v>
      </c>
      <c r="G65" s="126" t="str">
        <f>IF(_xlfn.XLOOKUP($A65,[1]分配表!$A:$A,[1]分配表!D:D)=0,"未分类",_xlfn.XLOOKUP($A65,[1]分配表!$A:$A,[1]分配表!D:D))</f>
        <v>其他</v>
      </c>
      <c r="H65" s="126" t="str">
        <f>_xlfn.XLOOKUP(A65,[1]分配表!J:J,[1]分配表!I:I)</f>
        <v>原开品</v>
      </c>
      <c r="I65" s="65">
        <f>COUNTIFS([1]月销售数据!L:L,A65,[1]月销售数据!M:M,"&gt;=2026-4-1",[1]月销售数据!M:M,"&lt;=2026-4-30")</f>
        <v>3</v>
      </c>
      <c r="J65" s="65">
        <f>COUNTIFS([1]月销售数据!L:L,A65,[1]月销售数据!M:M,"&gt;=2026-5-1",[1]月销售数据!M:M,"&lt;=2026-5-31")</f>
        <v>2</v>
      </c>
      <c r="K65" s="127" t="s">
        <v>46</v>
      </c>
      <c r="L65" s="127" t="s">
        <v>46</v>
      </c>
      <c r="M65" s="127" t="s">
        <v>48</v>
      </c>
      <c r="N65" s="127" t="s">
        <v>48</v>
      </c>
      <c r="O65" s="65">
        <v>11</v>
      </c>
      <c r="P65" s="65">
        <v>11</v>
      </c>
      <c r="Q65" s="67">
        <v>1210.5</v>
      </c>
      <c r="R65" s="110">
        <v>1272.2</v>
      </c>
      <c r="S65" s="65">
        <v>1</v>
      </c>
      <c r="T65" s="65">
        <v>5</v>
      </c>
      <c r="U65" s="65">
        <v>12</v>
      </c>
      <c r="V65" s="65">
        <f t="shared" si="0"/>
        <v>16</v>
      </c>
      <c r="W65" s="71">
        <v>0.916666666666667</v>
      </c>
      <c r="X65" s="128">
        <v>0.6875</v>
      </c>
      <c r="Y65" s="65">
        <v>0</v>
      </c>
      <c r="Z65" s="67">
        <v>0</v>
      </c>
      <c r="AA65" s="67">
        <v>0</v>
      </c>
      <c r="AB65" s="129" t="e">
        <v>#DIV/0!</v>
      </c>
      <c r="AC65" s="129">
        <v>0</v>
      </c>
      <c r="AD65" s="65">
        <v>2</v>
      </c>
      <c r="AE65" s="67">
        <v>235.29</v>
      </c>
      <c r="AF65" s="67">
        <v>13.7</v>
      </c>
      <c r="AG65" s="129">
        <v>0.0582260189553317</v>
      </c>
      <c r="AH65" s="129">
        <v>0.0107687470523503</v>
      </c>
      <c r="AI65" s="67">
        <v>23.61</v>
      </c>
      <c r="AJ65" s="67">
        <v>1181.37</v>
      </c>
      <c r="AK65" s="129">
        <v>0.0199852713375149</v>
      </c>
      <c r="AL65" s="129">
        <v>0.0195043370508055</v>
      </c>
      <c r="AM65" s="129">
        <v>0.027699297810822</v>
      </c>
      <c r="AN65" s="67">
        <v>10.04</v>
      </c>
      <c r="AO65" s="67">
        <v>501.82</v>
      </c>
      <c r="AP65" s="129">
        <v>0.0200071738870511</v>
      </c>
      <c r="AQ65" s="129">
        <v>0.007891840905518</v>
      </c>
      <c r="AR65" s="129">
        <v>0.0252004401823613</v>
      </c>
    </row>
    <row r="66" customFormat="1" ht="22.5" customHeight="1" spans="1:61">
      <c r="A66" s="72">
        <v>12414</v>
      </c>
      <c r="B66" s="62" t="s">
        <v>122</v>
      </c>
      <c r="C66" s="63">
        <f>_xlfn.XLOOKUP(A66,[1]分配表!J:J,[1]分配表!L:L)</f>
        <v>46108</v>
      </c>
      <c r="D66" s="63">
        <f>IF(_xlfn.XLOOKUP(A66,[1]分配表!J:J,[1]分配表!M:M,"未出单")=0,"未出单",_xlfn.XLOOKUP(A66,[1]分配表!J:J,[1]分配表!M:M,"未出单"))</f>
        <v>46156</v>
      </c>
      <c r="E66" s="64" t="s">
        <v>70</v>
      </c>
      <c r="F66" s="126" t="str">
        <f>_xlfn.XLOOKUP(A66,[1]分配表!A:A,[1]分配表!C:C)</f>
        <v>俞东旭</v>
      </c>
      <c r="G66" s="126" t="str">
        <f>IF(_xlfn.XLOOKUP($A66,[1]分配表!$A:$A,[1]分配表!D:D)=0,"未分类",_xlfn.XLOOKUP($A66,[1]分配表!$A:$A,[1]分配表!D:D))</f>
        <v>车门系统</v>
      </c>
      <c r="H66" s="126" t="str">
        <f>_xlfn.XLOOKUP(A66,[1]分配表!J:J,[1]分配表!I:I)</f>
        <v>拓展品</v>
      </c>
      <c r="I66" s="65">
        <f>COUNTIFS([1]月销售数据!L:L,A66,[1]月销售数据!M:M,"&gt;=2026-4-1",[1]月销售数据!M:M,"&lt;=2026-4-30")</f>
        <v>6</v>
      </c>
      <c r="J66" s="65">
        <f>COUNTIFS([1]月销售数据!L:L,A66,[1]月销售数据!M:M,"&gt;=2026-5-1",[1]月销售数据!M:M,"&lt;=2026-5-31")</f>
        <v>3</v>
      </c>
      <c r="K66" s="127" t="s">
        <v>103</v>
      </c>
      <c r="L66" s="127" t="s">
        <v>58</v>
      </c>
      <c r="M66" s="127" t="s">
        <v>47</v>
      </c>
      <c r="N66" s="127" t="s">
        <v>47</v>
      </c>
      <c r="O66" s="65">
        <v>0</v>
      </c>
      <c r="P66" s="65">
        <v>1</v>
      </c>
      <c r="Q66" s="67">
        <v>0</v>
      </c>
      <c r="R66" s="110">
        <v>250</v>
      </c>
      <c r="S66" s="65">
        <v>0</v>
      </c>
      <c r="T66" s="65">
        <v>0</v>
      </c>
      <c r="U66" s="65">
        <v>0</v>
      </c>
      <c r="V66" s="65">
        <f t="shared" ref="V66:V129" si="1">T66+P66</f>
        <v>1</v>
      </c>
      <c r="W66" s="71">
        <v>0</v>
      </c>
      <c r="X66" s="128">
        <v>1</v>
      </c>
      <c r="Y66" s="65">
        <v>0</v>
      </c>
      <c r="Z66" s="67">
        <v>0</v>
      </c>
      <c r="AA66" s="67">
        <v>4.1</v>
      </c>
      <c r="AB66" s="129" t="e">
        <v>#DIV/0!</v>
      </c>
      <c r="AC66" s="129" t="e">
        <v>#DIV/0!</v>
      </c>
      <c r="AD66" s="65">
        <v>0</v>
      </c>
      <c r="AE66" s="67">
        <v>0</v>
      </c>
      <c r="AF66" s="67">
        <v>10.75</v>
      </c>
      <c r="AG66" s="129" t="e">
        <v>#DIV/0!</v>
      </c>
      <c r="AH66" s="129">
        <v>0.043</v>
      </c>
      <c r="AI66" s="67">
        <v>0</v>
      </c>
      <c r="AJ66" s="67">
        <v>0</v>
      </c>
      <c r="AK66" s="129" t="e">
        <v>#DIV/0!</v>
      </c>
      <c r="AL66" s="129" t="e">
        <v>#DIV/0!</v>
      </c>
      <c r="AM66" s="129" t="e">
        <v>#DIV/0!</v>
      </c>
      <c r="AN66" s="67">
        <v>5.42</v>
      </c>
      <c r="AO66" s="67">
        <v>270.75</v>
      </c>
      <c r="AP66" s="129">
        <v>0.0200184672206833</v>
      </c>
      <c r="AQ66" s="129">
        <v>0.02168</v>
      </c>
      <c r="AR66" s="129">
        <v>0.06744</v>
      </c>
    </row>
    <row r="67" customFormat="1" ht="22.5" customHeight="1" spans="1:61">
      <c r="A67" s="72">
        <v>12422</v>
      </c>
      <c r="B67" s="62" t="s">
        <v>123</v>
      </c>
      <c r="C67" s="63">
        <f>_xlfn.XLOOKUP(A67,[1]分配表!J:J,[1]分配表!L:L)</f>
        <v>46108</v>
      </c>
      <c r="D67" s="63">
        <f>IF(_xlfn.XLOOKUP(A67,[1]分配表!J:J,[1]分配表!M:M,"未出单")=0,"未出单",_xlfn.XLOOKUP(A67,[1]分配表!J:J,[1]分配表!M:M,"未出单"))</f>
        <v>46141</v>
      </c>
      <c r="E67" s="64" t="s">
        <v>70</v>
      </c>
      <c r="F67" s="126" t="str">
        <f>_xlfn.XLOOKUP(A67,[1]分配表!A:A,[1]分配表!C:C)</f>
        <v>俞东旭</v>
      </c>
      <c r="G67" s="126" t="str">
        <f>IF(_xlfn.XLOOKUP($A67,[1]分配表!$A:$A,[1]分配表!D:D)=0,"未分类",_xlfn.XLOOKUP($A67,[1]分配表!$A:$A,[1]分配表!D:D))</f>
        <v>车门系统</v>
      </c>
      <c r="H67" s="126" t="str">
        <f>_xlfn.XLOOKUP(A67,[1]分配表!J:J,[1]分配表!I:I)</f>
        <v>拓展品</v>
      </c>
      <c r="I67" s="65">
        <f>COUNTIFS([1]月销售数据!L:L,A67,[1]月销售数据!M:M,"&gt;=2026-4-1",[1]月销售数据!M:M,"&lt;=2026-4-30")</f>
        <v>6</v>
      </c>
      <c r="J67" s="65">
        <f>COUNTIFS([1]月销售数据!L:L,A67,[1]月销售数据!M:M,"&gt;=2026-5-1",[1]月销售数据!M:M,"&lt;=2026-5-31")</f>
        <v>3</v>
      </c>
      <c r="K67" s="127" t="s">
        <v>58</v>
      </c>
      <c r="L67" s="127" t="s">
        <v>58</v>
      </c>
      <c r="M67" s="127" t="s">
        <v>47</v>
      </c>
      <c r="N67" s="127" t="s">
        <v>47</v>
      </c>
      <c r="O67" s="65">
        <v>1</v>
      </c>
      <c r="P67" s="65">
        <v>0</v>
      </c>
      <c r="Q67" s="67">
        <v>250</v>
      </c>
      <c r="R67" s="110">
        <v>0</v>
      </c>
      <c r="S67" s="65">
        <v>0</v>
      </c>
      <c r="T67" s="65">
        <v>0</v>
      </c>
      <c r="U67" s="65">
        <v>1</v>
      </c>
      <c r="V67" s="65">
        <f t="shared" si="1"/>
        <v>0</v>
      </c>
      <c r="W67" s="71">
        <v>1</v>
      </c>
      <c r="X67" s="128" t="s">
        <v>106</v>
      </c>
      <c r="Y67" s="65">
        <v>0</v>
      </c>
      <c r="Z67" s="67">
        <v>0</v>
      </c>
      <c r="AA67" s="67">
        <v>5.66</v>
      </c>
      <c r="AB67" s="129" t="e">
        <v>#DIV/0!</v>
      </c>
      <c r="AC67" s="129">
        <v>0.02264</v>
      </c>
      <c r="AD67" s="65">
        <v>0</v>
      </c>
      <c r="AE67" s="67">
        <v>0</v>
      </c>
      <c r="AF67" s="67">
        <v>3.29</v>
      </c>
      <c r="AG67" s="129" t="e">
        <v>#DIV/0!</v>
      </c>
      <c r="AH67" s="129" t="e">
        <v>#DIV/0!</v>
      </c>
      <c r="AI67" s="67">
        <v>0</v>
      </c>
      <c r="AJ67" s="67">
        <v>0</v>
      </c>
      <c r="AK67" s="129" t="e">
        <v>#DIV/0!</v>
      </c>
      <c r="AL67" s="129">
        <v>0</v>
      </c>
      <c r="AM67" s="129">
        <v>0.02264</v>
      </c>
      <c r="AN67" s="67">
        <v>0</v>
      </c>
      <c r="AO67" s="67">
        <v>0</v>
      </c>
      <c r="AP67" s="129" t="e">
        <v>#DIV/0!</v>
      </c>
      <c r="AQ67" s="129" t="e">
        <v>#DIV/0!</v>
      </c>
      <c r="AR67" s="129" t="e">
        <v>#DIV/0!</v>
      </c>
    </row>
    <row r="68" customFormat="1" ht="22.5" customHeight="1" spans="1:61">
      <c r="A68" s="72">
        <v>12213</v>
      </c>
      <c r="B68" s="62" t="s">
        <v>124</v>
      </c>
      <c r="C68" s="63">
        <f>_xlfn.XLOOKUP(A68,[1]分配表!J:J,[1]分配表!L:L)</f>
        <v>46108</v>
      </c>
      <c r="D68" s="63">
        <f>IF(_xlfn.XLOOKUP(A68,[1]分配表!J:J,[1]分配表!M:M,"未出单")=0,"未出单",_xlfn.XLOOKUP(A68,[1]分配表!J:J,[1]分配表!M:M,"未出单"))</f>
        <v>46114</v>
      </c>
      <c r="E68" s="64" t="s">
        <v>57</v>
      </c>
      <c r="F68" s="126" t="str">
        <f>_xlfn.XLOOKUP(A68,[1]分配表!A:A,[1]分配表!C:C)</f>
        <v>张潇</v>
      </c>
      <c r="G68" s="126" t="str">
        <f>IF(_xlfn.XLOOKUP($A68,[1]分配表!$A:$A,[1]分配表!D:D)=0,"未分类",_xlfn.XLOOKUP($A68,[1]分配表!$A:$A,[1]分配表!D:D))</f>
        <v>机盖及附件</v>
      </c>
      <c r="H68" s="126" t="str">
        <f>_xlfn.XLOOKUP(A68,[1]分配表!J:J,[1]分配表!I:I)</f>
        <v>原开品</v>
      </c>
      <c r="I68" s="65">
        <f>COUNTIFS([1]月销售数据!L:L,A68,[1]月销售数据!M:M,"&gt;=2026-4-1",[1]月销售数据!M:M,"&lt;=2026-4-30")</f>
        <v>4</v>
      </c>
      <c r="J68" s="65">
        <f>COUNTIFS([1]月销售数据!L:L,A68,[1]月销售数据!M:M,"&gt;=2026-5-1",[1]月销售数据!M:M,"&lt;=2026-5-31")</f>
        <v>1</v>
      </c>
      <c r="K68" s="127" t="s">
        <v>46</v>
      </c>
      <c r="L68" s="127" t="s">
        <v>46</v>
      </c>
      <c r="M68" s="127" t="s">
        <v>53</v>
      </c>
      <c r="N68" s="127" t="s">
        <v>53</v>
      </c>
      <c r="O68" s="65">
        <v>73</v>
      </c>
      <c r="P68" s="65">
        <v>46</v>
      </c>
      <c r="Q68" s="67">
        <v>2555</v>
      </c>
      <c r="R68" s="110">
        <v>1610</v>
      </c>
      <c r="S68" s="65">
        <v>41</v>
      </c>
      <c r="T68" s="65">
        <v>19</v>
      </c>
      <c r="U68" s="65">
        <v>114</v>
      </c>
      <c r="V68" s="65">
        <f t="shared" si="1"/>
        <v>65</v>
      </c>
      <c r="W68" s="71">
        <v>0.640350877192982</v>
      </c>
      <c r="X68" s="128">
        <v>0.707692307692308</v>
      </c>
      <c r="Y68" s="65">
        <v>38</v>
      </c>
      <c r="Z68" s="67">
        <v>1439.4</v>
      </c>
      <c r="AA68" s="67">
        <v>47.59</v>
      </c>
      <c r="AB68" s="129">
        <v>0.0330623871057385</v>
      </c>
      <c r="AC68" s="129">
        <v>0.0186262230919765</v>
      </c>
      <c r="AD68" s="65">
        <v>20</v>
      </c>
      <c r="AE68" s="67">
        <v>761.31</v>
      </c>
      <c r="AF68" s="67">
        <v>54.77</v>
      </c>
      <c r="AG68" s="129">
        <v>0.0719417845555687</v>
      </c>
      <c r="AH68" s="129">
        <v>0.0340186335403727</v>
      </c>
      <c r="AI68" s="67">
        <v>43.18</v>
      </c>
      <c r="AJ68" s="67">
        <v>2156.66</v>
      </c>
      <c r="AK68" s="129">
        <v>0.020021700221639</v>
      </c>
      <c r="AL68" s="129">
        <v>0.0169001956947162</v>
      </c>
      <c r="AM68" s="129">
        <v>0.0382818003913894</v>
      </c>
      <c r="AN68" s="67">
        <v>19.65</v>
      </c>
      <c r="AO68" s="67">
        <v>983.05</v>
      </c>
      <c r="AP68" s="129">
        <v>0.0199888103351813</v>
      </c>
      <c r="AQ68" s="129">
        <v>0.0122049689440994</v>
      </c>
      <c r="AR68" s="129">
        <v>0.0485465838509317</v>
      </c>
    </row>
    <row r="69" customFormat="1" ht="22.5" customHeight="1" spans="1:61">
      <c r="A69" s="72">
        <v>12461</v>
      </c>
      <c r="B69" s="62" t="s">
        <v>125</v>
      </c>
      <c r="C69" s="63">
        <f>_xlfn.XLOOKUP(A69,[1]分配表!J:J,[1]分配表!L:L)</f>
        <v>46119</v>
      </c>
      <c r="D69" s="63">
        <f>IF(_xlfn.XLOOKUP(A69,[1]分配表!J:J,[1]分配表!M:M,"未出单")=0,"未出单",_xlfn.XLOOKUP(A69,[1]分配表!J:J,[1]分配表!M:M,"未出单"))</f>
        <v>46124</v>
      </c>
      <c r="E69" s="64" t="s">
        <v>70</v>
      </c>
      <c r="F69" s="126" t="str">
        <f>_xlfn.XLOOKUP(A69,[1]分配表!A:A,[1]分配表!C:C)</f>
        <v>俞东旭</v>
      </c>
      <c r="G69" s="126" t="str">
        <f>IF(_xlfn.XLOOKUP($A69,[1]分配表!$A:$A,[1]分配表!D:D)=0,"未分类",_xlfn.XLOOKUP($A69,[1]分配表!$A:$A,[1]分配表!D:D))</f>
        <v>车身外扩件</v>
      </c>
      <c r="H69" s="126" t="str">
        <f>_xlfn.XLOOKUP(A69,[1]分配表!J:J,[1]分配表!I:I)</f>
        <v>拓展品</v>
      </c>
      <c r="I69" s="65">
        <f>COUNTIFS([1]月销售数据!L:L,A69,[1]月销售数据!M:M,"&gt;=2026-4-1",[1]月销售数据!M:M,"&lt;=2026-4-30")</f>
        <v>2</v>
      </c>
      <c r="J69" s="65">
        <f>COUNTIFS([1]月销售数据!L:L,A69,[1]月销售数据!M:M,"&gt;=2026-5-1",[1]月销售数据!M:M,"&lt;=2026-5-31")</f>
        <v>3</v>
      </c>
      <c r="K69" s="65" t="s">
        <v>46</v>
      </c>
      <c r="L69" s="127" t="s">
        <v>46</v>
      </c>
      <c r="M69" s="65" t="s">
        <v>53</v>
      </c>
      <c r="N69" s="127" t="s">
        <v>53</v>
      </c>
      <c r="O69" s="65">
        <v>9</v>
      </c>
      <c r="P69" s="65">
        <v>11</v>
      </c>
      <c r="Q69" s="67">
        <v>1071</v>
      </c>
      <c r="R69" s="110">
        <v>1309</v>
      </c>
      <c r="S69" s="65">
        <v>12</v>
      </c>
      <c r="T69" s="65">
        <v>4</v>
      </c>
      <c r="U69" s="65"/>
      <c r="V69" s="65">
        <f t="shared" si="1"/>
        <v>15</v>
      </c>
      <c r="W69" s="129">
        <v>0.428571428571429</v>
      </c>
      <c r="X69" s="128">
        <v>0.733333333333333</v>
      </c>
      <c r="Y69" s="65">
        <v>0</v>
      </c>
      <c r="Z69" s="67">
        <v>0</v>
      </c>
      <c r="AA69" s="67">
        <v>0</v>
      </c>
      <c r="AB69" s="129" t="e">
        <v>#DIV/0!</v>
      </c>
      <c r="AC69" s="129">
        <v>0</v>
      </c>
      <c r="AD69" s="65">
        <v>0</v>
      </c>
      <c r="AE69" s="67">
        <v>0</v>
      </c>
      <c r="AF69" s="67">
        <v>0</v>
      </c>
      <c r="AG69" s="129" t="e">
        <v>#DIV/0!</v>
      </c>
      <c r="AH69" s="129">
        <v>0</v>
      </c>
      <c r="AI69" s="67">
        <v>23.03</v>
      </c>
      <c r="AJ69" s="67">
        <v>1151.1</v>
      </c>
      <c r="AK69" s="129">
        <v>0.0200069498740335</v>
      </c>
      <c r="AL69" s="129">
        <v>0.0215032679738562</v>
      </c>
      <c r="AM69" s="129">
        <v>0.0236414565826331</v>
      </c>
      <c r="AN69" s="67">
        <v>27.88</v>
      </c>
      <c r="AO69" s="67">
        <v>1393.86</v>
      </c>
      <c r="AP69" s="129">
        <v>0.020002008810067</v>
      </c>
      <c r="AQ69" s="129">
        <v>0.0212987012987013</v>
      </c>
      <c r="AR69" s="129">
        <v>0.0255996944232238</v>
      </c>
      <c r="AS69" s="127"/>
      <c r="AT69" s="65"/>
      <c r="AU69" s="65"/>
      <c r="AV69" s="67"/>
      <c r="AW69" s="128"/>
      <c r="AX69" s="65"/>
      <c r="AY69" s="65"/>
      <c r="AZ69" s="65"/>
      <c r="BA69" s="67"/>
      <c r="BB69" s="67"/>
      <c r="BC69" s="128"/>
      <c r="BD69" s="128"/>
      <c r="BE69" s="67"/>
      <c r="BF69" s="67"/>
      <c r="BG69" s="129"/>
      <c r="BH69" s="128"/>
      <c r="BI69" s="128"/>
    </row>
    <row r="70" customFormat="1" ht="22.5" customHeight="1" spans="1:61">
      <c r="A70" s="72">
        <v>12489</v>
      </c>
      <c r="B70" s="62" t="s">
        <v>126</v>
      </c>
      <c r="C70" s="63">
        <f>_xlfn.XLOOKUP(A70,[1]分配表!J:J,[1]分配表!L:L)</f>
        <v>46122</v>
      </c>
      <c r="D70" s="63">
        <f>IF(_xlfn.XLOOKUP(A70,[1]分配表!J:J,[1]分配表!M:M,"未出单")=0,"未出单",_xlfn.XLOOKUP(A70,[1]分配表!J:J,[1]分配表!M:M,"未出单"))</f>
        <v>46126</v>
      </c>
      <c r="E70" s="64" t="s">
        <v>70</v>
      </c>
      <c r="F70" s="126" t="str">
        <f>_xlfn.XLOOKUP(A70,[1]分配表!A:A,[1]分配表!C:C)</f>
        <v>俞东旭</v>
      </c>
      <c r="G70" s="126" t="str">
        <f>IF(_xlfn.XLOOKUP($A70,[1]分配表!$A:$A,[1]分配表!D:D)=0,"未分类",_xlfn.XLOOKUP($A70,[1]分配表!$A:$A,[1]分配表!D:D))</f>
        <v>挡泥板</v>
      </c>
      <c r="H70" s="126" t="str">
        <f>_xlfn.XLOOKUP(A70,[1]分配表!J:J,[1]分配表!I:I)</f>
        <v>原开品</v>
      </c>
      <c r="I70" s="65">
        <f>COUNTIFS([1]月销售数据!L:L,A70,[1]月销售数据!M:M,"&gt;=2026-4-1",[1]月销售数据!M:M,"&lt;=2026-4-30")</f>
        <v>2</v>
      </c>
      <c r="J70" s="65">
        <f>COUNTIFS([1]月销售数据!L:L,A70,[1]月销售数据!M:M,"&gt;=2026-5-1",[1]月销售数据!M:M,"&lt;=2026-5-31")</f>
        <v>3</v>
      </c>
      <c r="K70" s="65" t="s">
        <v>46</v>
      </c>
      <c r="L70" s="127" t="s">
        <v>46</v>
      </c>
      <c r="M70" s="65" t="s">
        <v>53</v>
      </c>
      <c r="N70" s="127" t="s">
        <v>53</v>
      </c>
      <c r="O70" s="65">
        <v>10</v>
      </c>
      <c r="P70" s="65">
        <v>20</v>
      </c>
      <c r="Q70" s="67">
        <v>450</v>
      </c>
      <c r="R70" s="110">
        <v>900</v>
      </c>
      <c r="S70" s="65">
        <v>12</v>
      </c>
      <c r="T70" s="65">
        <v>16</v>
      </c>
      <c r="U70" s="65"/>
      <c r="V70" s="65">
        <f t="shared" si="1"/>
        <v>36</v>
      </c>
      <c r="W70" s="129">
        <v>0.454545454545455</v>
      </c>
      <c r="X70" s="128">
        <v>0.555555555555556</v>
      </c>
      <c r="Y70" s="65">
        <v>0</v>
      </c>
      <c r="Z70" s="67">
        <v>0</v>
      </c>
      <c r="AA70" s="67">
        <v>0</v>
      </c>
      <c r="AB70" s="129" t="e">
        <v>#DIV/0!</v>
      </c>
      <c r="AC70" s="129">
        <v>0</v>
      </c>
      <c r="AD70" s="65">
        <v>0</v>
      </c>
      <c r="AE70" s="67">
        <v>0</v>
      </c>
      <c r="AF70" s="67">
        <v>0</v>
      </c>
      <c r="AG70" s="129" t="e">
        <v>#DIV/0!</v>
      </c>
      <c r="AH70" s="129">
        <v>0</v>
      </c>
      <c r="AI70" s="67">
        <v>7.68</v>
      </c>
      <c r="AJ70" s="67">
        <v>383.8</v>
      </c>
      <c r="AK70" s="129">
        <v>0.0200104220948411</v>
      </c>
      <c r="AL70" s="129">
        <v>0.0170666666666667</v>
      </c>
      <c r="AM70" s="129">
        <v>0.0193777777777778</v>
      </c>
      <c r="AN70" s="67">
        <v>19.25</v>
      </c>
      <c r="AO70" s="67">
        <v>962.53</v>
      </c>
      <c r="AP70" s="129">
        <v>0.0199993766428059</v>
      </c>
      <c r="AQ70" s="129">
        <v>0.0213888888888889</v>
      </c>
      <c r="AR70" s="129">
        <v>0.0258</v>
      </c>
    </row>
    <row r="71" customFormat="1" ht="22.5" customHeight="1" spans="1:61">
      <c r="A71" s="72">
        <v>12480</v>
      </c>
      <c r="B71" s="62" t="s">
        <v>127</v>
      </c>
      <c r="C71" s="63">
        <f>_xlfn.XLOOKUP(A71,[1]分配表!J:J,[1]分配表!L:L)</f>
        <v>46135</v>
      </c>
      <c r="D71" s="63">
        <f>IF(_xlfn.XLOOKUP(A71,[1]分配表!J:J,[1]分配表!M:M,"未出单")=0,"未出单",_xlfn.XLOOKUP(A71,[1]分配表!J:J,[1]分配表!M:M,"未出单"))</f>
        <v>46139</v>
      </c>
      <c r="E71" s="64" t="s">
        <v>57</v>
      </c>
      <c r="F71" s="126" t="str">
        <f>_xlfn.XLOOKUP(A71,[1]分配表!A:A,[1]分配表!C:C)</f>
        <v>张潇</v>
      </c>
      <c r="G71" s="126" t="str">
        <f>IF(_xlfn.XLOOKUP($A71,[1]分配表!$A:$A,[1]分配表!D:D)=0,"未分类",_xlfn.XLOOKUP($A71,[1]分配表!$A:$A,[1]分配表!D:D))</f>
        <v>牌照板支架</v>
      </c>
      <c r="H71" s="126" t="str">
        <f>_xlfn.XLOOKUP(A71,[1]分配表!J:J,[1]分配表!I:I)</f>
        <v>原开品</v>
      </c>
      <c r="I71" s="65">
        <f>COUNTIFS([1]月销售数据!L:L,A71,[1]月销售数据!M:M,"&gt;=2026-4-1",[1]月销售数据!M:M,"&lt;=2026-4-30")</f>
        <v>3</v>
      </c>
      <c r="J71" s="65">
        <f>COUNTIFS([1]月销售数据!L:L,A71,[1]月销售数据!M:M,"&gt;=2026-5-1",[1]月销售数据!M:M,"&lt;=2026-5-31")</f>
        <v>2</v>
      </c>
      <c r="K71" s="65" t="s">
        <v>46</v>
      </c>
      <c r="L71" s="127" t="s">
        <v>46</v>
      </c>
      <c r="M71" s="65" t="s">
        <v>48</v>
      </c>
      <c r="N71" s="127" t="s">
        <v>53</v>
      </c>
      <c r="O71" s="65">
        <v>1</v>
      </c>
      <c r="P71" s="65">
        <v>1</v>
      </c>
      <c r="Q71" s="67">
        <v>45</v>
      </c>
      <c r="R71" s="110">
        <v>45</v>
      </c>
      <c r="S71" s="65">
        <v>0</v>
      </c>
      <c r="T71" s="65">
        <v>8</v>
      </c>
      <c r="U71" s="65"/>
      <c r="V71" s="65">
        <f t="shared" si="1"/>
        <v>9</v>
      </c>
      <c r="W71" s="129">
        <v>1</v>
      </c>
      <c r="X71" s="128">
        <v>0.111111111111111</v>
      </c>
      <c r="Y71" s="65">
        <v>1</v>
      </c>
      <c r="Z71" s="67">
        <v>48.15</v>
      </c>
      <c r="AA71" s="67">
        <v>2.44</v>
      </c>
      <c r="AB71" s="129">
        <v>0.05067497403946</v>
      </c>
      <c r="AC71" s="129">
        <v>0.0542222222222222</v>
      </c>
      <c r="AD71" s="65">
        <v>1</v>
      </c>
      <c r="AE71" s="67">
        <v>48.71</v>
      </c>
      <c r="AF71" s="67">
        <v>5.04</v>
      </c>
      <c r="AG71" s="129">
        <v>0.103469513446931</v>
      </c>
      <c r="AH71" s="129">
        <v>0.112</v>
      </c>
      <c r="AI71" s="67">
        <v>0</v>
      </c>
      <c r="AJ71" s="67">
        <v>0</v>
      </c>
      <c r="AK71" s="129" t="e">
        <v>#DIV/0!</v>
      </c>
      <c r="AL71" s="129">
        <v>0</v>
      </c>
      <c r="AM71" s="129">
        <v>0.0542222222222222</v>
      </c>
      <c r="AN71" s="67">
        <v>0.97</v>
      </c>
      <c r="AO71" s="67">
        <v>48.71</v>
      </c>
      <c r="AP71" s="129">
        <v>0.0199137754054609</v>
      </c>
      <c r="AQ71" s="129">
        <v>0.0215555555555556</v>
      </c>
      <c r="AR71" s="129">
        <v>0.133555555555556</v>
      </c>
    </row>
    <row r="72" customFormat="1" ht="22.5" customHeight="1" spans="1:61">
      <c r="A72" s="72">
        <v>12558</v>
      </c>
      <c r="B72" s="62" t="s">
        <v>128</v>
      </c>
      <c r="C72" s="63">
        <f>_xlfn.XLOOKUP(A72,[1]分配表!J:J,[1]分配表!L:L)</f>
        <v>46135</v>
      </c>
      <c r="D72" s="63">
        <f>IF(_xlfn.XLOOKUP(A72,[1]分配表!J:J,[1]分配表!M:M,"未出单")=0,"未出单",_xlfn.XLOOKUP(A72,[1]分配表!J:J,[1]分配表!M:M,"未出单"))</f>
        <v>46155</v>
      </c>
      <c r="E72" s="64" t="s">
        <v>45</v>
      </c>
      <c r="F72" s="126" t="str">
        <f>_xlfn.XLOOKUP(A72,[1]分配表!A:A,[1]分配表!C:C)</f>
        <v>朱培源</v>
      </c>
      <c r="G72" s="126" t="str">
        <f>IF(_xlfn.XLOOKUP($A72,[1]分配表!$A:$A,[1]分配表!D:D)=0,"未分类",_xlfn.XLOOKUP($A72,[1]分配表!$A:$A,[1]分配表!D:D))</f>
        <v>挡泥板</v>
      </c>
      <c r="H72" s="126" t="str">
        <f>_xlfn.XLOOKUP(A72,[1]分配表!J:J,[1]分配表!I:I)</f>
        <v>原开品</v>
      </c>
      <c r="I72" s="65">
        <f>COUNTIFS([1]月销售数据!L:L,A72,[1]月销售数据!M:M,"&gt;=2026-4-1",[1]月销售数据!M:M,"&lt;=2026-4-30")</f>
        <v>1</v>
      </c>
      <c r="J72" s="65">
        <f>COUNTIFS([1]月销售数据!L:L,A72,[1]月销售数据!M:M,"&gt;=2026-5-1",[1]月销售数据!M:M,"&lt;=2026-5-31")</f>
        <v>2</v>
      </c>
      <c r="K72" s="65" t="s">
        <v>103</v>
      </c>
      <c r="L72" s="127" t="s">
        <v>58</v>
      </c>
      <c r="M72" s="65" t="s">
        <v>47</v>
      </c>
      <c r="N72" s="127" t="s">
        <v>48</v>
      </c>
      <c r="O72" s="65">
        <v>0</v>
      </c>
      <c r="P72" s="65">
        <v>4</v>
      </c>
      <c r="Q72" s="67">
        <v>0</v>
      </c>
      <c r="R72" s="110">
        <v>340</v>
      </c>
      <c r="S72" s="65">
        <v>0</v>
      </c>
      <c r="T72" s="65">
        <v>27</v>
      </c>
      <c r="U72" s="65"/>
      <c r="V72" s="65">
        <f t="shared" si="1"/>
        <v>31</v>
      </c>
      <c r="W72" s="129">
        <v>0</v>
      </c>
      <c r="X72" s="128">
        <v>0.129032258064516</v>
      </c>
      <c r="Y72" s="65">
        <v>0</v>
      </c>
      <c r="Z72" s="67">
        <v>0</v>
      </c>
      <c r="AA72" s="67">
        <v>0</v>
      </c>
      <c r="AB72" s="129" t="e">
        <v>#DIV/0!</v>
      </c>
      <c r="AC72" s="129" t="e">
        <v>#DIV/0!</v>
      </c>
      <c r="AD72" s="65">
        <v>1</v>
      </c>
      <c r="AE72" s="67">
        <v>90.95</v>
      </c>
      <c r="AF72" s="67">
        <v>13.26</v>
      </c>
      <c r="AG72" s="129">
        <v>0.145794392523364</v>
      </c>
      <c r="AH72" s="129">
        <v>0.039</v>
      </c>
      <c r="AI72" s="67">
        <v>0</v>
      </c>
      <c r="AJ72" s="67">
        <v>0</v>
      </c>
      <c r="AK72" s="129" t="e">
        <v>#DIV/0!</v>
      </c>
      <c r="AL72" s="129" t="e">
        <v>#DIV/0!</v>
      </c>
      <c r="AM72" s="129" t="e">
        <v>#DIV/0!</v>
      </c>
      <c r="AN72" s="67">
        <v>0</v>
      </c>
      <c r="AO72" s="67">
        <v>0</v>
      </c>
      <c r="AP72" s="129" t="e">
        <v>#DIV/0!</v>
      </c>
      <c r="AQ72" s="129">
        <v>0</v>
      </c>
      <c r="AR72" s="129">
        <v>0.0432647058823529</v>
      </c>
    </row>
    <row r="73" customFormat="1" ht="22.5" customHeight="1" spans="1:61">
      <c r="A73" s="72">
        <v>12473</v>
      </c>
      <c r="B73" s="62" t="s">
        <v>129</v>
      </c>
      <c r="C73" s="63">
        <f>_xlfn.XLOOKUP(A73,[1]分配表!J:J,[1]分配表!L:L)</f>
        <v>46135</v>
      </c>
      <c r="D73" s="63">
        <f>IF(_xlfn.XLOOKUP(A73,[1]分配表!J:J,[1]分配表!M:M,"未出单")=0,"未出单",_xlfn.XLOOKUP(A73,[1]分配表!J:J,[1]分配表!M:M,"未出单"))</f>
        <v>46154</v>
      </c>
      <c r="E73" s="64" t="s">
        <v>57</v>
      </c>
      <c r="F73" s="126" t="str">
        <f>_xlfn.XLOOKUP(A73,[1]分配表!A:A,[1]分配表!C:C)</f>
        <v>张潇</v>
      </c>
      <c r="G73" s="126" t="str">
        <f>IF(_xlfn.XLOOKUP($A73,[1]分配表!$A:$A,[1]分配表!D:D)=0,"未分类",_xlfn.XLOOKUP($A73,[1]分配表!$A:$A,[1]分配表!D:D))</f>
        <v>机盖及附件</v>
      </c>
      <c r="H73" s="126" t="str">
        <f>_xlfn.XLOOKUP(A73,[1]分配表!J:J,[1]分配表!I:I)</f>
        <v>原开品</v>
      </c>
      <c r="I73" s="65">
        <f>COUNTIFS([1]月销售数据!L:L,A73,[1]月销售数据!M:M,"&gt;=2026-4-1",[1]月销售数据!M:M,"&lt;=2026-4-30")</f>
        <v>3</v>
      </c>
      <c r="J73" s="65">
        <f>COUNTIFS([1]月销售数据!L:L,A73,[1]月销售数据!M:M,"&gt;=2026-5-1",[1]月销售数据!M:M,"&lt;=2026-5-31")</f>
        <v>2</v>
      </c>
      <c r="K73" s="65" t="s">
        <v>103</v>
      </c>
      <c r="L73" s="127" t="s">
        <v>58</v>
      </c>
      <c r="M73" s="65" t="s">
        <v>47</v>
      </c>
      <c r="N73" s="127" t="s">
        <v>48</v>
      </c>
      <c r="O73" s="65">
        <v>0</v>
      </c>
      <c r="P73" s="65">
        <v>14</v>
      </c>
      <c r="Q73" s="67">
        <v>0</v>
      </c>
      <c r="R73" s="110">
        <v>1388.6</v>
      </c>
      <c r="S73" s="65">
        <v>0</v>
      </c>
      <c r="T73" s="65">
        <v>3</v>
      </c>
      <c r="U73" s="65"/>
      <c r="V73" s="65">
        <f t="shared" si="1"/>
        <v>17</v>
      </c>
      <c r="W73" s="129">
        <v>0</v>
      </c>
      <c r="X73" s="128">
        <v>0.823529411764706</v>
      </c>
      <c r="Y73" s="65">
        <v>0</v>
      </c>
      <c r="Z73" s="67">
        <v>0</v>
      </c>
      <c r="AA73" s="67">
        <v>0</v>
      </c>
      <c r="AB73" s="129" t="e">
        <v>#DIV/0!</v>
      </c>
      <c r="AC73" s="129" t="e">
        <v>#DIV/0!</v>
      </c>
      <c r="AD73" s="65">
        <v>0</v>
      </c>
      <c r="AE73" s="67">
        <v>0</v>
      </c>
      <c r="AF73" s="67">
        <v>0</v>
      </c>
      <c r="AG73" s="129" t="e">
        <v>#DIV/0!</v>
      </c>
      <c r="AH73" s="129">
        <v>0</v>
      </c>
      <c r="AI73" s="67">
        <v>0</v>
      </c>
      <c r="AJ73" s="67">
        <v>0</v>
      </c>
      <c r="AK73" s="129" t="e">
        <v>#DIV/0!</v>
      </c>
      <c r="AL73" s="129" t="e">
        <v>#DIV/0!</v>
      </c>
      <c r="AM73" s="129" t="e">
        <v>#DIV/0!</v>
      </c>
      <c r="AN73" s="67">
        <v>29.54</v>
      </c>
      <c r="AO73" s="67">
        <v>1478.02</v>
      </c>
      <c r="AP73" s="129">
        <v>0.0199861977510453</v>
      </c>
      <c r="AQ73" s="129">
        <v>0.0212732248307648</v>
      </c>
      <c r="AR73" s="129">
        <v>0.0214604637764655</v>
      </c>
    </row>
    <row r="74" customFormat="1" ht="22.5" customHeight="1" spans="1:61">
      <c r="A74" s="72">
        <v>12464</v>
      </c>
      <c r="B74" s="62" t="s">
        <v>130</v>
      </c>
      <c r="C74" s="63">
        <f>_xlfn.XLOOKUP(A74,[1]分配表!J:J,[1]分配表!L:L)</f>
        <v>46135</v>
      </c>
      <c r="D74" s="63">
        <f>IF(_xlfn.XLOOKUP(A74,[1]分配表!J:J,[1]分配表!M:M,"未出单")=0,"未出单",_xlfn.XLOOKUP(A74,[1]分配表!J:J,[1]分配表!M:M,"未出单"))</f>
        <v>46135</v>
      </c>
      <c r="E74" s="64" t="s">
        <v>70</v>
      </c>
      <c r="F74" s="126" t="str">
        <f>_xlfn.XLOOKUP(A74,[1]分配表!A:A,[1]分配表!C:C)</f>
        <v>俞东旭</v>
      </c>
      <c r="G74" s="126" t="str">
        <f>IF(_xlfn.XLOOKUP($A74,[1]分配表!$A:$A,[1]分配表!D:D)=0,"未分类",_xlfn.XLOOKUP($A74,[1]分配表!$A:$A,[1]分配表!D:D))</f>
        <v>车身外扩件</v>
      </c>
      <c r="H74" s="126" t="str">
        <f>_xlfn.XLOOKUP(A74,[1]分配表!J:J,[1]分配表!I:I)</f>
        <v>原开品</v>
      </c>
      <c r="I74" s="65">
        <f>COUNTIFS([1]月销售数据!L:L,A74,[1]月销售数据!M:M,"&gt;=2026-4-1",[1]月销售数据!M:M,"&lt;=2026-4-30")</f>
        <v>2</v>
      </c>
      <c r="J74" s="65">
        <f>COUNTIFS([1]月销售数据!L:L,A74,[1]月销售数据!M:M,"&gt;=2026-5-1",[1]月销售数据!M:M,"&lt;=2026-5-31")</f>
        <v>2</v>
      </c>
      <c r="K74" s="65" t="s">
        <v>46</v>
      </c>
      <c r="L74" s="127" t="s">
        <v>46</v>
      </c>
      <c r="M74" s="65" t="s">
        <v>48</v>
      </c>
      <c r="N74" s="127" t="s">
        <v>53</v>
      </c>
      <c r="O74" s="65">
        <v>5</v>
      </c>
      <c r="P74" s="65">
        <v>5</v>
      </c>
      <c r="Q74" s="67">
        <v>625</v>
      </c>
      <c r="R74" s="110">
        <v>625</v>
      </c>
      <c r="S74" s="65">
        <v>1</v>
      </c>
      <c r="T74" s="65">
        <v>3</v>
      </c>
      <c r="U74" s="65"/>
      <c r="V74" s="65">
        <f t="shared" si="1"/>
        <v>8</v>
      </c>
      <c r="W74" s="129">
        <v>0.833333333333333</v>
      </c>
      <c r="X74" s="128">
        <v>0.625</v>
      </c>
      <c r="Y74" s="65">
        <v>3</v>
      </c>
      <c r="Z74" s="67">
        <v>400.62</v>
      </c>
      <c r="AA74" s="67">
        <v>62.29</v>
      </c>
      <c r="AB74" s="129">
        <v>0.15548399980031</v>
      </c>
      <c r="AC74" s="129">
        <v>0.099664</v>
      </c>
      <c r="AD74" s="65">
        <v>3</v>
      </c>
      <c r="AE74" s="67">
        <v>402.97</v>
      </c>
      <c r="AF74" s="67">
        <v>117.21</v>
      </c>
      <c r="AG74" s="129">
        <v>0.290865324962156</v>
      </c>
      <c r="AH74" s="129">
        <v>0.187536</v>
      </c>
      <c r="AI74" s="67">
        <v>8.01</v>
      </c>
      <c r="AJ74" s="67">
        <v>400.31</v>
      </c>
      <c r="AK74" s="129">
        <v>0.0200094926432015</v>
      </c>
      <c r="AL74" s="129">
        <v>0.012816</v>
      </c>
      <c r="AM74" s="129">
        <v>0.11248</v>
      </c>
      <c r="AN74" s="67">
        <v>8.04</v>
      </c>
      <c r="AO74" s="67">
        <v>402.03</v>
      </c>
      <c r="AP74" s="129">
        <v>0.0199985075740616</v>
      </c>
      <c r="AQ74" s="129">
        <v>0.012864</v>
      </c>
      <c r="AR74" s="129">
        <v>0.205984</v>
      </c>
    </row>
    <row r="75" customFormat="1" ht="22.5" customHeight="1" spans="1:61">
      <c r="A75" s="72">
        <v>12540</v>
      </c>
      <c r="B75" s="62" t="s">
        <v>131</v>
      </c>
      <c r="C75" s="63">
        <f>_xlfn.XLOOKUP(A75,[1]分配表!J:J,[1]分配表!L:L)</f>
        <v>46135</v>
      </c>
      <c r="D75" s="63">
        <f>IF(_xlfn.XLOOKUP(A75,[1]分配表!J:J,[1]分配表!M:M,"未出单")=0,"未出单",_xlfn.XLOOKUP(A75,[1]分配表!J:J,[1]分配表!M:M,"未出单"))</f>
        <v>46157</v>
      </c>
      <c r="E75" s="64" t="s">
        <v>52</v>
      </c>
      <c r="F75" s="126" t="str">
        <f>_xlfn.XLOOKUP(A75,[1]分配表!A:A,[1]分配表!C:C)</f>
        <v>胡煜星</v>
      </c>
      <c r="G75" s="126" t="str">
        <f>IF(_xlfn.XLOOKUP($A75,[1]分配表!$A:$A,[1]分配表!D:D)=0,"未分类",_xlfn.XLOOKUP($A75,[1]分配表!$A:$A,[1]分配表!D:D))</f>
        <v>其他</v>
      </c>
      <c r="H75" s="126" t="str">
        <f>_xlfn.XLOOKUP(A75,[1]分配表!J:J,[1]分配表!I:I)</f>
        <v>原开品</v>
      </c>
      <c r="I75" s="65">
        <f>COUNTIFS([1]月销售数据!L:L,A75,[1]月销售数据!M:M,"&gt;=2026-4-1",[1]月销售数据!M:M,"&lt;=2026-4-30")</f>
        <v>1</v>
      </c>
      <c r="J75" s="65">
        <f>COUNTIFS([1]月销售数据!L:L,A75,[1]月销售数据!M:M,"&gt;=2026-5-1",[1]月销售数据!M:M,"&lt;=2026-5-31")</f>
        <v>5</v>
      </c>
      <c r="K75" s="65" t="s">
        <v>103</v>
      </c>
      <c r="L75" s="127" t="s">
        <v>58</v>
      </c>
      <c r="M75" s="65" t="s">
        <v>47</v>
      </c>
      <c r="N75" s="127" t="s">
        <v>77</v>
      </c>
      <c r="O75" s="65">
        <v>0</v>
      </c>
      <c r="P75" s="65">
        <v>4</v>
      </c>
      <c r="Q75" s="67">
        <v>0</v>
      </c>
      <c r="R75" s="110">
        <v>252</v>
      </c>
      <c r="S75" s="65">
        <v>0</v>
      </c>
      <c r="T75" s="65">
        <v>0</v>
      </c>
      <c r="U75" s="65"/>
      <c r="V75" s="65">
        <f t="shared" si="1"/>
        <v>4</v>
      </c>
      <c r="W75" s="129">
        <v>0</v>
      </c>
      <c r="X75" s="128">
        <v>1</v>
      </c>
      <c r="Y75" s="65">
        <v>0</v>
      </c>
      <c r="Z75" s="67">
        <v>0</v>
      </c>
      <c r="AA75" s="67">
        <v>0</v>
      </c>
      <c r="AB75" s="129" t="e">
        <v>#DIV/0!</v>
      </c>
      <c r="AC75" s="129" t="e">
        <v>#DIV/0!</v>
      </c>
      <c r="AD75" s="65">
        <v>0</v>
      </c>
      <c r="AE75" s="67">
        <v>0</v>
      </c>
      <c r="AF75" s="67">
        <v>4.66</v>
      </c>
      <c r="AG75" s="129" t="e">
        <v>#DIV/0!</v>
      </c>
      <c r="AH75" s="129">
        <v>0.0184920634920635</v>
      </c>
      <c r="AI75" s="67">
        <v>0</v>
      </c>
      <c r="AJ75" s="67">
        <v>0</v>
      </c>
      <c r="AK75" s="129" t="e">
        <v>#DIV/0!</v>
      </c>
      <c r="AL75" s="129" t="e">
        <v>#DIV/0!</v>
      </c>
      <c r="AM75" s="129" t="e">
        <v>#DIV/0!</v>
      </c>
      <c r="AN75" s="67">
        <v>1.54</v>
      </c>
      <c r="AO75" s="67">
        <v>77.04</v>
      </c>
      <c r="AP75" s="129">
        <v>0.0199896157840083</v>
      </c>
      <c r="AQ75" s="129">
        <v>0.00611111111111111</v>
      </c>
      <c r="AR75" s="129">
        <v>0.0271825396825397</v>
      </c>
    </row>
    <row r="76" customFormat="1" ht="22.5" customHeight="1" spans="1:61">
      <c r="A76" s="72">
        <v>12541</v>
      </c>
      <c r="B76" s="62" t="s">
        <v>132</v>
      </c>
      <c r="C76" s="63">
        <f>_xlfn.XLOOKUP(A76,[1]分配表!J:J,[1]分配表!L:L)</f>
        <v>46135</v>
      </c>
      <c r="D76" s="63">
        <f>IF(_xlfn.XLOOKUP(A76,[1]分配表!J:J,[1]分配表!M:M,"未出单")=0,"未出单",_xlfn.XLOOKUP(A76,[1]分配表!J:J,[1]分配表!M:M,"未出单"))</f>
        <v>46140</v>
      </c>
      <c r="E76" s="64" t="s">
        <v>52</v>
      </c>
      <c r="F76" s="126" t="str">
        <f>_xlfn.XLOOKUP(A76,[1]分配表!A:A,[1]分配表!C:C)</f>
        <v>胡煜星</v>
      </c>
      <c r="G76" s="126" t="str">
        <f>IF(_xlfn.XLOOKUP($A76,[1]分配表!$A:$A,[1]分配表!D:D)=0,"未分类",_xlfn.XLOOKUP($A76,[1]分配表!$A:$A,[1]分配表!D:D))</f>
        <v>其他</v>
      </c>
      <c r="H76" s="126" t="str">
        <f>_xlfn.XLOOKUP(A76,[1]分配表!J:J,[1]分配表!I:I)</f>
        <v>原开品</v>
      </c>
      <c r="I76" s="65">
        <f>COUNTIFS([1]月销售数据!L:L,A76,[1]月销售数据!M:M,"&gt;=2026-4-1",[1]月销售数据!M:M,"&lt;=2026-4-30")</f>
        <v>1</v>
      </c>
      <c r="J76" s="65">
        <f>COUNTIFS([1]月销售数据!L:L,A76,[1]月销售数据!M:M,"&gt;=2026-5-1",[1]月销售数据!M:M,"&lt;=2026-5-31")</f>
        <v>3</v>
      </c>
      <c r="K76" s="65" t="s">
        <v>46</v>
      </c>
      <c r="L76" s="127" t="s">
        <v>46</v>
      </c>
      <c r="M76" s="65" t="s">
        <v>53</v>
      </c>
      <c r="N76" s="127" t="s">
        <v>48</v>
      </c>
      <c r="O76" s="65">
        <v>1</v>
      </c>
      <c r="P76" s="65">
        <v>7</v>
      </c>
      <c r="Q76" s="67">
        <v>150</v>
      </c>
      <c r="R76" s="110">
        <v>1050</v>
      </c>
      <c r="S76" s="65">
        <v>0</v>
      </c>
      <c r="T76" s="65">
        <v>6</v>
      </c>
      <c r="U76" s="65"/>
      <c r="V76" s="65">
        <f t="shared" si="1"/>
        <v>13</v>
      </c>
      <c r="W76" s="129">
        <v>1</v>
      </c>
      <c r="X76" s="128">
        <v>0.538461538461538</v>
      </c>
      <c r="Y76" s="65">
        <v>0</v>
      </c>
      <c r="Z76" s="67">
        <v>0</v>
      </c>
      <c r="AA76" s="67">
        <v>4.82</v>
      </c>
      <c r="AB76" s="129" t="e">
        <v>#DIV/0!</v>
      </c>
      <c r="AC76" s="129">
        <v>0.0321333333333333</v>
      </c>
      <c r="AD76" s="65">
        <v>1</v>
      </c>
      <c r="AE76" s="67">
        <v>159</v>
      </c>
      <c r="AF76" s="67">
        <v>17.58</v>
      </c>
      <c r="AG76" s="129">
        <v>0.110566037735849</v>
      </c>
      <c r="AH76" s="129">
        <v>0.0167428571428571</v>
      </c>
      <c r="AI76" s="67">
        <v>3.26</v>
      </c>
      <c r="AJ76" s="67">
        <v>163.13</v>
      </c>
      <c r="AK76" s="129">
        <v>0.0199840617912095</v>
      </c>
      <c r="AL76" s="129">
        <v>0.0217333333333333</v>
      </c>
      <c r="AM76" s="129">
        <v>0.0555333333333333</v>
      </c>
      <c r="AN76" s="67">
        <v>16</v>
      </c>
      <c r="AO76" s="67">
        <v>799.88</v>
      </c>
      <c r="AP76" s="129">
        <v>0.0200030004500675</v>
      </c>
      <c r="AQ76" s="129">
        <v>0.0152380952380952</v>
      </c>
      <c r="AR76" s="129">
        <v>0.0362285714285714</v>
      </c>
    </row>
    <row r="77" customFormat="1" ht="22.5" customHeight="1" spans="1:61">
      <c r="A77" s="72">
        <v>12542</v>
      </c>
      <c r="B77" s="62" t="s">
        <v>133</v>
      </c>
      <c r="C77" s="63">
        <f>_xlfn.XLOOKUP(A77,[1]分配表!J:J,[1]分配表!L:L)</f>
        <v>46135</v>
      </c>
      <c r="D77" s="63" t="str">
        <f>IF(_xlfn.XLOOKUP(A77,[1]分配表!J:J,[1]分配表!M:M,"未出单")=0,"未出单",_xlfn.XLOOKUP(A77,[1]分配表!J:J,[1]分配表!M:M,"未出单"))</f>
        <v>未出单</v>
      </c>
      <c r="E77" s="64" t="s">
        <v>52</v>
      </c>
      <c r="F77" s="126" t="str">
        <f>_xlfn.XLOOKUP(A77,[1]分配表!A:A,[1]分配表!C:C)</f>
        <v>胡煜星</v>
      </c>
      <c r="G77" s="126" t="str">
        <f>IF(_xlfn.XLOOKUP($A77,[1]分配表!$A:$A,[1]分配表!D:D)=0,"未分类",_xlfn.XLOOKUP($A77,[1]分配表!$A:$A,[1]分配表!D:D))</f>
        <v>其他</v>
      </c>
      <c r="H77" s="126" t="str">
        <f>_xlfn.XLOOKUP(A77,[1]分配表!J:J,[1]分配表!I:I)</f>
        <v>原开品</v>
      </c>
      <c r="I77" s="65">
        <f>COUNTIFS([1]月销售数据!L:L,A77,[1]月销售数据!M:M,"&gt;=2026-4-1",[1]月销售数据!M:M,"&lt;=2026-4-30")</f>
        <v>1</v>
      </c>
      <c r="J77" s="65">
        <f>COUNTIFS([1]月销售数据!L:L,A77,[1]月销售数据!M:M,"&gt;=2026-5-1",[1]月销售数据!M:M,"&lt;=2026-5-31")</f>
        <v>6</v>
      </c>
      <c r="K77" s="65" t="s">
        <v>103</v>
      </c>
      <c r="L77" s="127" t="s">
        <v>103</v>
      </c>
      <c r="M77" s="65" t="s">
        <v>47</v>
      </c>
      <c r="N77" s="127" t="s">
        <v>77</v>
      </c>
      <c r="O77" s="65">
        <v>0</v>
      </c>
      <c r="P77" s="65">
        <v>0</v>
      </c>
      <c r="Q77" s="67">
        <v>0</v>
      </c>
      <c r="R77" s="110">
        <v>0</v>
      </c>
      <c r="S77" s="65">
        <v>0</v>
      </c>
      <c r="T77" s="65">
        <v>1</v>
      </c>
      <c r="U77" s="65"/>
      <c r="V77" s="65">
        <f t="shared" si="1"/>
        <v>1</v>
      </c>
      <c r="W77" s="129">
        <v>0</v>
      </c>
      <c r="X77" s="128">
        <v>0</v>
      </c>
      <c r="Y77" s="65">
        <v>0</v>
      </c>
      <c r="Z77" s="67">
        <v>0</v>
      </c>
      <c r="AA77" s="67">
        <v>0</v>
      </c>
      <c r="AB77" s="129" t="e">
        <v>#DIV/0!</v>
      </c>
      <c r="AC77" s="129" t="e">
        <v>#DIV/0!</v>
      </c>
      <c r="AD77" s="65">
        <v>0</v>
      </c>
      <c r="AE77" s="67">
        <v>0</v>
      </c>
      <c r="AF77" s="67">
        <v>14.51</v>
      </c>
      <c r="AG77" s="129" t="e">
        <v>#DIV/0!</v>
      </c>
      <c r="AH77" s="129" t="e">
        <v>#DIV/0!</v>
      </c>
      <c r="AI77" s="67">
        <v>0</v>
      </c>
      <c r="AJ77" s="67">
        <v>0</v>
      </c>
      <c r="AK77" s="129" t="e">
        <v>#DIV/0!</v>
      </c>
      <c r="AL77" s="129" t="e">
        <v>#DIV/0!</v>
      </c>
      <c r="AM77" s="129" t="e">
        <v>#DIV/0!</v>
      </c>
      <c r="AN77" s="67">
        <v>0</v>
      </c>
      <c r="AO77" s="67">
        <v>0</v>
      </c>
      <c r="AP77" s="129" t="e">
        <v>#DIV/0!</v>
      </c>
      <c r="AQ77" s="129" t="e">
        <v>#DIV/0!</v>
      </c>
      <c r="AR77" s="129" t="e">
        <v>#DIV/0!</v>
      </c>
    </row>
    <row r="78" customFormat="1" ht="22.5" customHeight="1" spans="1:61">
      <c r="A78" s="72">
        <v>12543</v>
      </c>
      <c r="B78" s="62" t="s">
        <v>134</v>
      </c>
      <c r="C78" s="63">
        <f>_xlfn.XLOOKUP(A78,[1]分配表!J:J,[1]分配表!L:L)</f>
        <v>46135</v>
      </c>
      <c r="D78" s="63">
        <f>IF(_xlfn.XLOOKUP(A78,[1]分配表!J:J,[1]分配表!M:M,"未出单")=0,"未出单",_xlfn.XLOOKUP(A78,[1]分配表!J:J,[1]分配表!M:M,"未出单"))</f>
        <v>46144</v>
      </c>
      <c r="E78" s="64" t="s">
        <v>52</v>
      </c>
      <c r="F78" s="126" t="str">
        <f>_xlfn.XLOOKUP(A78,[1]分配表!A:A,[1]分配表!C:C)</f>
        <v>胡煜星</v>
      </c>
      <c r="G78" s="126" t="str">
        <f>IF(_xlfn.XLOOKUP($A78,[1]分配表!$A:$A,[1]分配表!D:D)=0,"未分类",_xlfn.XLOOKUP($A78,[1]分配表!$A:$A,[1]分配表!D:D))</f>
        <v>其他</v>
      </c>
      <c r="H78" s="126" t="str">
        <f>_xlfn.XLOOKUP(A78,[1]分配表!J:J,[1]分配表!I:I)</f>
        <v>原开品</v>
      </c>
      <c r="I78" s="65">
        <f>COUNTIFS([1]月销售数据!L:L,A78,[1]月销售数据!M:M,"&gt;=2026-4-1",[1]月销售数据!M:M,"&lt;=2026-4-30")</f>
        <v>1</v>
      </c>
      <c r="J78" s="65">
        <f>COUNTIFS([1]月销售数据!L:L,A78,[1]月销售数据!M:M,"&gt;=2026-5-1",[1]月销售数据!M:M,"&lt;=2026-5-31")</f>
        <v>2</v>
      </c>
      <c r="K78" s="65" t="s">
        <v>103</v>
      </c>
      <c r="L78" s="127" t="s">
        <v>58</v>
      </c>
      <c r="M78" s="65" t="s">
        <v>47</v>
      </c>
      <c r="N78" s="127" t="s">
        <v>47</v>
      </c>
      <c r="O78" s="65">
        <v>0</v>
      </c>
      <c r="P78" s="65">
        <v>2</v>
      </c>
      <c r="Q78" s="67">
        <v>0</v>
      </c>
      <c r="R78" s="110">
        <v>300</v>
      </c>
      <c r="S78" s="65">
        <v>0</v>
      </c>
      <c r="T78" s="65">
        <v>0</v>
      </c>
      <c r="U78" s="65"/>
      <c r="V78" s="65">
        <f t="shared" si="1"/>
        <v>2</v>
      </c>
      <c r="W78" s="129">
        <v>0</v>
      </c>
      <c r="X78" s="128">
        <v>1</v>
      </c>
      <c r="Y78" s="65">
        <v>0</v>
      </c>
      <c r="Z78" s="67">
        <v>0</v>
      </c>
      <c r="AA78" s="67">
        <v>0</v>
      </c>
      <c r="AB78" s="129" t="e">
        <v>#DIV/0!</v>
      </c>
      <c r="AC78" s="129" t="e">
        <v>#DIV/0!</v>
      </c>
      <c r="AD78" s="65">
        <v>0</v>
      </c>
      <c r="AE78" s="67">
        <v>0</v>
      </c>
      <c r="AF78" s="67">
        <v>0</v>
      </c>
      <c r="AG78" s="129" t="e">
        <v>#DIV/0!</v>
      </c>
      <c r="AH78" s="129">
        <v>0</v>
      </c>
      <c r="AI78" s="67">
        <v>0</v>
      </c>
      <c r="AJ78" s="67">
        <v>0</v>
      </c>
      <c r="AK78" s="129" t="e">
        <v>#DIV/0!</v>
      </c>
      <c r="AL78" s="129" t="e">
        <v>#DIV/0!</v>
      </c>
      <c r="AM78" s="129" t="e">
        <v>#DIV/0!</v>
      </c>
      <c r="AN78" s="67">
        <v>3.23</v>
      </c>
      <c r="AO78" s="67">
        <v>161.25</v>
      </c>
      <c r="AP78" s="129">
        <v>0.020031007751938</v>
      </c>
      <c r="AQ78" s="129">
        <v>0.0107666666666667</v>
      </c>
      <c r="AR78" s="129">
        <v>0.0193</v>
      </c>
    </row>
    <row r="79" customFormat="1" ht="22.5" customHeight="1" spans="1:61">
      <c r="A79" s="72">
        <v>12544</v>
      </c>
      <c r="B79" s="62" t="s">
        <v>135</v>
      </c>
      <c r="C79" s="63">
        <f>_xlfn.XLOOKUP(A79,[1]分配表!J:J,[1]分配表!L:L)</f>
        <v>46135</v>
      </c>
      <c r="D79" s="63">
        <f>IF(_xlfn.XLOOKUP(A79,[1]分配表!J:J,[1]分配表!M:M,"未出单")=0,"未出单",_xlfn.XLOOKUP(A79,[1]分配表!J:J,[1]分配表!M:M,"未出单"))</f>
        <v>46142</v>
      </c>
      <c r="E79" s="64" t="s">
        <v>57</v>
      </c>
      <c r="F79" s="126" t="str">
        <f>_xlfn.XLOOKUP(A79,[1]分配表!A:A,[1]分配表!C:C)</f>
        <v>张潇</v>
      </c>
      <c r="G79" s="126" t="str">
        <f>IF(_xlfn.XLOOKUP($A79,[1]分配表!$A:$A,[1]分配表!D:D)=0,"未分类",_xlfn.XLOOKUP($A79,[1]分配表!$A:$A,[1]分配表!D:D))</f>
        <v>其他</v>
      </c>
      <c r="H79" s="126" t="str">
        <f>_xlfn.XLOOKUP(A79,[1]分配表!J:J,[1]分配表!I:I)</f>
        <v>原开品</v>
      </c>
      <c r="I79" s="65">
        <f>COUNTIFS([1]月销售数据!L:L,A79,[1]月销售数据!M:M,"&gt;=2026-4-1",[1]月销售数据!M:M,"&lt;=2026-4-30")</f>
        <v>3</v>
      </c>
      <c r="J79" s="65">
        <f>COUNTIFS([1]月销售数据!L:L,A79,[1]月销售数据!M:M,"&gt;=2026-5-1",[1]月销售数据!M:M,"&lt;=2026-5-31")</f>
        <v>1</v>
      </c>
      <c r="K79" s="65" t="s">
        <v>46</v>
      </c>
      <c r="L79" s="127" t="s">
        <v>46</v>
      </c>
      <c r="M79" s="65" t="s">
        <v>47</v>
      </c>
      <c r="N79" s="127" t="s">
        <v>48</v>
      </c>
      <c r="O79" s="65">
        <v>1</v>
      </c>
      <c r="P79" s="65">
        <v>8</v>
      </c>
      <c r="Q79" s="67">
        <v>150</v>
      </c>
      <c r="R79" s="110">
        <v>1200</v>
      </c>
      <c r="S79" s="65">
        <v>0</v>
      </c>
      <c r="T79" s="65">
        <v>1</v>
      </c>
      <c r="U79" s="65"/>
      <c r="V79" s="65">
        <f t="shared" si="1"/>
        <v>9</v>
      </c>
      <c r="W79" s="129">
        <v>1</v>
      </c>
      <c r="X79" s="128">
        <v>0.888888888888889</v>
      </c>
      <c r="Y79" s="65">
        <v>0</v>
      </c>
      <c r="Z79" s="67">
        <v>0</v>
      </c>
      <c r="AA79" s="67">
        <v>0.92</v>
      </c>
      <c r="AB79" s="129" t="e">
        <v>#DIV/0!</v>
      </c>
      <c r="AC79" s="129">
        <v>0.00613333333333333</v>
      </c>
      <c r="AD79" s="65">
        <v>3</v>
      </c>
      <c r="AE79" s="67">
        <v>470.06</v>
      </c>
      <c r="AF79" s="67">
        <v>9.1</v>
      </c>
      <c r="AG79" s="129">
        <v>0.0193592307365017</v>
      </c>
      <c r="AH79" s="129">
        <v>0.00758333333333333</v>
      </c>
      <c r="AI79" s="67">
        <v>3.23</v>
      </c>
      <c r="AJ79" s="67">
        <v>161.63</v>
      </c>
      <c r="AK79" s="129">
        <v>0.0199839138773742</v>
      </c>
      <c r="AL79" s="129">
        <v>0.0215333333333333</v>
      </c>
      <c r="AM79" s="129">
        <v>0.0301333333333333</v>
      </c>
      <c r="AN79" s="67">
        <v>16.15</v>
      </c>
      <c r="AO79" s="67">
        <v>807.69</v>
      </c>
      <c r="AP79" s="129">
        <v>0.019995295224653</v>
      </c>
      <c r="AQ79" s="129">
        <v>0.0134583333333333</v>
      </c>
      <c r="AR79" s="129">
        <v>0.0283083333333333</v>
      </c>
    </row>
    <row r="80" customFormat="1" ht="22.5" customHeight="1" spans="1:61">
      <c r="A80" s="72">
        <v>12612</v>
      </c>
      <c r="B80" s="62" t="s">
        <v>136</v>
      </c>
      <c r="C80" s="63">
        <f>_xlfn.XLOOKUP(A80,[1]分配表!J:J,[1]分配表!L:L)</f>
        <v>46140</v>
      </c>
      <c r="D80" s="63">
        <f>IF(_xlfn.XLOOKUP(A80,[1]分配表!J:J,[1]分配表!M:M,"未出单")=0,"未出单",_xlfn.XLOOKUP(A80,[1]分配表!J:J,[1]分配表!M:M,"未出单"))</f>
        <v>46160</v>
      </c>
      <c r="E80" s="64" t="s">
        <v>81</v>
      </c>
      <c r="F80" s="126" t="str">
        <f>_xlfn.XLOOKUP(A80,[1]分配表!A:A,[1]分配表!C:C)</f>
        <v>章鹏</v>
      </c>
      <c r="G80" s="126" t="str">
        <f>IF(_xlfn.XLOOKUP($A80,[1]分配表!$A:$A,[1]分配表!D:D)=0,"未分类",_xlfn.XLOOKUP($A80,[1]分配表!$A:$A,[1]分配表!D:D))</f>
        <v>其他</v>
      </c>
      <c r="H80" s="126" t="str">
        <f>_xlfn.XLOOKUP(A80,[1]分配表!J:J,[1]分配表!I:I)</f>
        <v>原开品</v>
      </c>
      <c r="I80" s="65">
        <f>COUNTIFS([1]月销售数据!L:L,A80,[1]月销售数据!M:M,"&gt;=2026-4-1",[1]月销售数据!M:M,"&lt;=2026-4-30")</f>
        <v>1</v>
      </c>
      <c r="J80" s="65">
        <f>COUNTIFS([1]月销售数据!L:L,A80,[1]月销售数据!M:M,"&gt;=2026-5-1",[1]月销售数据!M:M,"&lt;=2026-5-31")</f>
        <v>2</v>
      </c>
      <c r="K80" s="65" t="s">
        <v>103</v>
      </c>
      <c r="L80" s="127" t="s">
        <v>58</v>
      </c>
      <c r="M80" s="65" t="s">
        <v>137</v>
      </c>
      <c r="N80" s="127" t="s">
        <v>48</v>
      </c>
      <c r="O80" s="65">
        <v>0</v>
      </c>
      <c r="P80" s="65">
        <v>2</v>
      </c>
      <c r="Q80" s="67">
        <v>0</v>
      </c>
      <c r="R80" s="110">
        <v>330</v>
      </c>
      <c r="S80" s="65">
        <v>0</v>
      </c>
      <c r="T80" s="65">
        <v>0</v>
      </c>
      <c r="U80" s="65"/>
      <c r="V80" s="65">
        <f t="shared" si="1"/>
        <v>2</v>
      </c>
      <c r="W80" s="129">
        <v>0</v>
      </c>
      <c r="X80" s="128">
        <v>1</v>
      </c>
      <c r="Y80" s="65">
        <v>0</v>
      </c>
      <c r="Z80" s="67">
        <v>0</v>
      </c>
      <c r="AA80" s="67">
        <v>0</v>
      </c>
      <c r="AB80" s="129" t="e">
        <v>#DIV/0!</v>
      </c>
      <c r="AC80" s="129" t="e">
        <v>#DIV/0!</v>
      </c>
      <c r="AD80" s="65">
        <v>0</v>
      </c>
      <c r="AE80" s="67">
        <v>0</v>
      </c>
      <c r="AF80" s="67">
        <v>1.65</v>
      </c>
      <c r="AG80" s="129" t="e">
        <v>#DIV/0!</v>
      </c>
      <c r="AH80" s="129">
        <v>0.005</v>
      </c>
      <c r="AI80" s="67">
        <v>0</v>
      </c>
      <c r="AJ80" s="67">
        <v>0</v>
      </c>
      <c r="AK80" s="129" t="e">
        <v>#DIV/0!</v>
      </c>
      <c r="AL80" s="129" t="e">
        <v>#DIV/0!</v>
      </c>
      <c r="AM80" s="129" t="e">
        <v>#DIV/0!</v>
      </c>
      <c r="AN80" s="67">
        <v>7.14</v>
      </c>
      <c r="AO80" s="67">
        <v>357.39</v>
      </c>
      <c r="AP80" s="129">
        <v>0.0199781751028288</v>
      </c>
      <c r="AQ80" s="129">
        <v>0.0216363636363636</v>
      </c>
      <c r="AR80" s="129">
        <v>0.0266363636363636</v>
      </c>
    </row>
    <row r="81" customFormat="1" ht="22.5" customHeight="1" spans="1:44">
      <c r="A81" s="72">
        <v>12651</v>
      </c>
      <c r="B81" s="62" t="s">
        <v>138</v>
      </c>
      <c r="C81" s="63">
        <f>_xlfn.XLOOKUP(A81,[1]分配表!J:J,[1]分配表!L:L)</f>
        <v>46140</v>
      </c>
      <c r="D81" s="63">
        <f>IF(_xlfn.XLOOKUP(A81,[1]分配表!J:J,[1]分配表!M:M,"未出单")=0,"未出单",_xlfn.XLOOKUP(A81,[1]分配表!J:J,[1]分配表!M:M,"未出单"))</f>
        <v>46142</v>
      </c>
      <c r="E81" s="64" t="s">
        <v>57</v>
      </c>
      <c r="F81" s="126" t="str">
        <f>_xlfn.XLOOKUP(A81,[1]分配表!A:A,[1]分配表!C:C)</f>
        <v>张潇</v>
      </c>
      <c r="G81" s="126" t="str">
        <f>IF(_xlfn.XLOOKUP($A81,[1]分配表!$A:$A,[1]分配表!D:D)=0,"未分类",_xlfn.XLOOKUP($A81,[1]分配表!$A:$A,[1]分配表!D:D))</f>
        <v>机盖及附件</v>
      </c>
      <c r="H81" s="126" t="str">
        <f>_xlfn.XLOOKUP(A81,[1]分配表!J:J,[1]分配表!I:I)</f>
        <v>原开品</v>
      </c>
      <c r="I81" s="65">
        <f>COUNTIFS([1]月销售数据!L:L,A81,[1]月销售数据!M:M,"&gt;=2026-4-1",[1]月销售数据!M:M,"&lt;=2026-4-30")</f>
        <v>1</v>
      </c>
      <c r="J81" s="65">
        <f>COUNTIFS([1]月销售数据!L:L,A81,[1]月销售数据!M:M,"&gt;=2026-5-1",[1]月销售数据!M:M,"&lt;=2026-5-31")</f>
        <v>3</v>
      </c>
      <c r="K81" s="65" t="s">
        <v>46</v>
      </c>
      <c r="L81" s="127" t="s">
        <v>46</v>
      </c>
      <c r="M81" s="65" t="s">
        <v>137</v>
      </c>
      <c r="N81" s="127" t="s">
        <v>53</v>
      </c>
      <c r="O81" s="65">
        <v>2</v>
      </c>
      <c r="P81" s="65">
        <v>8</v>
      </c>
      <c r="Q81" s="67">
        <v>178</v>
      </c>
      <c r="R81" s="110">
        <v>712</v>
      </c>
      <c r="S81" s="65">
        <v>5</v>
      </c>
      <c r="T81" s="65">
        <v>9</v>
      </c>
      <c r="U81" s="65"/>
      <c r="V81" s="65">
        <f t="shared" si="1"/>
        <v>17</v>
      </c>
      <c r="W81" s="129">
        <v>0.285714285714286</v>
      </c>
      <c r="X81" s="128">
        <v>0.470588235294118</v>
      </c>
      <c r="Y81" s="65">
        <v>0</v>
      </c>
      <c r="Z81" s="67">
        <v>0</v>
      </c>
      <c r="AA81" s="67">
        <v>0</v>
      </c>
      <c r="AB81" s="129" t="e">
        <v>#DIV/0!</v>
      </c>
      <c r="AC81" s="129">
        <v>0</v>
      </c>
      <c r="AD81" s="65">
        <v>0</v>
      </c>
      <c r="AE81" s="67">
        <v>0</v>
      </c>
      <c r="AF81" s="67">
        <v>13.07</v>
      </c>
      <c r="AG81" s="129" t="e">
        <v>#DIV/0!</v>
      </c>
      <c r="AH81" s="129">
        <v>0.0183567415730337</v>
      </c>
      <c r="AI81" s="67">
        <v>3.7</v>
      </c>
      <c r="AJ81" s="67">
        <v>184.9</v>
      </c>
      <c r="AK81" s="129">
        <v>0.0200108166576528</v>
      </c>
      <c r="AL81" s="129">
        <v>0.0207865168539326</v>
      </c>
      <c r="AM81" s="129">
        <v>0.0207865168539326</v>
      </c>
      <c r="AN81" s="67">
        <v>5.72</v>
      </c>
      <c r="AO81" s="67">
        <v>286.36</v>
      </c>
      <c r="AP81" s="129">
        <v>0.0199748568235787</v>
      </c>
      <c r="AQ81" s="129">
        <v>0.00803370786516854</v>
      </c>
      <c r="AR81" s="129">
        <v>0.028061797752809</v>
      </c>
    </row>
    <row r="82" customFormat="1" ht="22.5" customHeight="1" spans="1:44">
      <c r="A82" s="72">
        <v>12604</v>
      </c>
      <c r="B82" s="62" t="s">
        <v>139</v>
      </c>
      <c r="C82" s="63">
        <f>_xlfn.XLOOKUP(A82,[1]分配表!J:J,[1]分配表!L:L)</f>
        <v>46141</v>
      </c>
      <c r="D82" s="63">
        <f>IF(_xlfn.XLOOKUP(A82,[1]分配表!J:J,[1]分配表!M:M,"未出单")=0,"未出单",_xlfn.XLOOKUP(A82,[1]分配表!J:J,[1]分配表!M:M,"未出单"))</f>
        <v>46152</v>
      </c>
      <c r="E82" s="64" t="s">
        <v>76</v>
      </c>
      <c r="F82" s="126" t="str">
        <f>_xlfn.XLOOKUP(A82,[1]分配表!A:A,[1]分配表!C:C)</f>
        <v>王偲涵</v>
      </c>
      <c r="G82" s="126" t="str">
        <f>IF(_xlfn.XLOOKUP($A82,[1]分配表!$A:$A,[1]分配表!D:D)=0,"未分类",_xlfn.XLOOKUP($A82,[1]分配表!$A:$A,[1]分配表!D:D))</f>
        <v>车身外扩件</v>
      </c>
      <c r="H82" s="126" t="str">
        <f>_xlfn.XLOOKUP(A82,[1]分配表!J:J,[1]分配表!I:I)</f>
        <v>原开品</v>
      </c>
      <c r="I82" s="65">
        <f>COUNTIFS([1]月销售数据!L:L,A82,[1]月销售数据!M:M,"&gt;=2026-4-1",[1]月销售数据!M:M,"&lt;=2026-4-30")</f>
        <v>1</v>
      </c>
      <c r="J82" s="65">
        <f>COUNTIFS([1]月销售数据!L:L,A82,[1]月销售数据!M:M,"&gt;=2026-5-1",[1]月销售数据!M:M,"&lt;=2026-5-31")</f>
        <v>1</v>
      </c>
      <c r="K82" s="65" t="s">
        <v>103</v>
      </c>
      <c r="L82" s="127" t="s">
        <v>58</v>
      </c>
      <c r="M82" s="65" t="s">
        <v>137</v>
      </c>
      <c r="N82" s="127" t="s">
        <v>47</v>
      </c>
      <c r="O82" s="65">
        <v>0</v>
      </c>
      <c r="P82" s="65">
        <v>2</v>
      </c>
      <c r="Q82" s="67">
        <v>0</v>
      </c>
      <c r="R82" s="110">
        <v>284</v>
      </c>
      <c r="S82" s="65">
        <v>0</v>
      </c>
      <c r="T82" s="65">
        <v>7</v>
      </c>
      <c r="U82" s="65"/>
      <c r="V82" s="65">
        <f t="shared" si="1"/>
        <v>9</v>
      </c>
      <c r="W82" s="129">
        <v>0</v>
      </c>
      <c r="X82" s="128">
        <v>0.222222222222222</v>
      </c>
      <c r="Y82" s="65">
        <v>0</v>
      </c>
      <c r="Z82" s="67">
        <v>0</v>
      </c>
      <c r="AA82" s="67">
        <v>0</v>
      </c>
      <c r="AB82" s="129" t="e">
        <v>#DIV/0!</v>
      </c>
      <c r="AC82" s="129" t="e">
        <v>#DIV/0!</v>
      </c>
      <c r="AD82" s="65">
        <v>0</v>
      </c>
      <c r="AE82" s="67">
        <v>0</v>
      </c>
      <c r="AF82" s="67">
        <v>9.11</v>
      </c>
      <c r="AG82" s="129" t="e">
        <v>#DIV/0!</v>
      </c>
      <c r="AH82" s="129">
        <v>0.0320774647887324</v>
      </c>
      <c r="AI82" s="67">
        <v>0</v>
      </c>
      <c r="AJ82" s="67">
        <v>0</v>
      </c>
      <c r="AK82" s="129" t="e">
        <v>#DIV/0!</v>
      </c>
      <c r="AL82" s="129" t="e">
        <v>#DIV/0!</v>
      </c>
      <c r="AM82" s="129" t="e">
        <v>#DIV/0!</v>
      </c>
      <c r="AN82" s="67">
        <v>0</v>
      </c>
      <c r="AO82" s="67">
        <v>0</v>
      </c>
      <c r="AP82" s="129" t="e">
        <v>#DIV/0!</v>
      </c>
      <c r="AQ82" s="129">
        <v>0</v>
      </c>
      <c r="AR82" s="129">
        <v>0.0636267605633803</v>
      </c>
    </row>
    <row r="83" customFormat="1" ht="22.5" customHeight="1" spans="1:44">
      <c r="A83" s="72">
        <v>12526</v>
      </c>
      <c r="B83" s="62" t="s">
        <v>140</v>
      </c>
      <c r="C83" s="63">
        <f>_xlfn.XLOOKUP(A83,[1]分配表!J:J,[1]分配表!L:L)</f>
        <v>46141</v>
      </c>
      <c r="D83" s="63">
        <f>IF(_xlfn.XLOOKUP(A83,[1]分配表!J:J,[1]分配表!M:M,"未出单")=0,"未出单",_xlfn.XLOOKUP(A83,[1]分配表!J:J,[1]分配表!M:M,"未出单"))</f>
        <v>46154</v>
      </c>
      <c r="E83" s="64" t="s">
        <v>76</v>
      </c>
      <c r="F83" s="126" t="str">
        <f>_xlfn.XLOOKUP(A83,[1]分配表!A:A,[1]分配表!C:C)</f>
        <v>王偲涵</v>
      </c>
      <c r="G83" s="126" t="str">
        <f>IF(_xlfn.XLOOKUP($A83,[1]分配表!$A:$A,[1]分配表!D:D)=0,"未分类",_xlfn.XLOOKUP($A83,[1]分配表!$A:$A,[1]分配表!D:D))</f>
        <v>车身外扩件</v>
      </c>
      <c r="H83" s="126" t="str">
        <f>_xlfn.XLOOKUP(A83,[1]分配表!J:J,[1]分配表!I:I)</f>
        <v>原开品</v>
      </c>
      <c r="I83" s="65">
        <f>COUNTIFS([1]月销售数据!L:L,A83,[1]月销售数据!M:M,"&gt;=2026-4-1",[1]月销售数据!M:M,"&lt;=2026-4-30")</f>
        <v>1</v>
      </c>
      <c r="J83" s="65">
        <f>COUNTIFS([1]月销售数据!L:L,A83,[1]月销售数据!M:M,"&gt;=2026-5-1",[1]月销售数据!M:M,"&lt;=2026-5-31")</f>
        <v>2</v>
      </c>
      <c r="K83" s="65" t="s">
        <v>103</v>
      </c>
      <c r="L83" s="127" t="s">
        <v>58</v>
      </c>
      <c r="M83" s="65" t="s">
        <v>137</v>
      </c>
      <c r="N83" s="127" t="s">
        <v>48</v>
      </c>
      <c r="O83" s="65">
        <v>0</v>
      </c>
      <c r="P83" s="65">
        <v>4</v>
      </c>
      <c r="Q83" s="67">
        <v>0</v>
      </c>
      <c r="R83" s="110">
        <v>620</v>
      </c>
      <c r="S83" s="65">
        <v>0</v>
      </c>
      <c r="T83" s="65">
        <v>0</v>
      </c>
      <c r="U83" s="65"/>
      <c r="V83" s="65">
        <f t="shared" si="1"/>
        <v>4</v>
      </c>
      <c r="W83" s="129">
        <v>0</v>
      </c>
      <c r="X83" s="128">
        <v>1</v>
      </c>
      <c r="Y83" s="65">
        <v>0</v>
      </c>
      <c r="Z83" s="67">
        <v>0</v>
      </c>
      <c r="AA83" s="67">
        <v>0</v>
      </c>
      <c r="AB83" s="129" t="e">
        <v>#DIV/0!</v>
      </c>
      <c r="AC83" s="129" t="e">
        <v>#DIV/0!</v>
      </c>
      <c r="AD83" s="65">
        <v>3</v>
      </c>
      <c r="AE83" s="67">
        <v>500.66</v>
      </c>
      <c r="AF83" s="67">
        <v>47.55</v>
      </c>
      <c r="AG83" s="129">
        <v>0.0949746334838014</v>
      </c>
      <c r="AH83" s="129">
        <v>0.0766935483870968</v>
      </c>
      <c r="AI83" s="67">
        <v>0</v>
      </c>
      <c r="AJ83" s="67">
        <v>0</v>
      </c>
      <c r="AK83" s="129" t="e">
        <v>#DIV/0!</v>
      </c>
      <c r="AL83" s="129" t="e">
        <v>#DIV/0!</v>
      </c>
      <c r="AM83" s="129" t="e">
        <v>#DIV/0!</v>
      </c>
      <c r="AN83" s="67">
        <v>0</v>
      </c>
      <c r="AO83" s="67">
        <v>0</v>
      </c>
      <c r="AP83" s="129" t="e">
        <v>#DIV/0!</v>
      </c>
      <c r="AQ83" s="129">
        <v>0</v>
      </c>
      <c r="AR83" s="129">
        <v>0.0807741935483871</v>
      </c>
    </row>
    <row r="84" customFormat="1" ht="22.5" customHeight="1" spans="1:44">
      <c r="A84" s="72">
        <v>12590</v>
      </c>
      <c r="B84" s="62" t="s">
        <v>141</v>
      </c>
      <c r="C84" s="63">
        <f>_xlfn.XLOOKUP(A84,[1]分配表!J:J,[1]分配表!L:L)</f>
        <v>46141</v>
      </c>
      <c r="D84" s="63">
        <f>IF(_xlfn.XLOOKUP(A84,[1]分配表!J:J,[1]分配表!M:M,"未出单")=0,"未出单",_xlfn.XLOOKUP(A84,[1]分配表!J:J,[1]分配表!M:M,"未出单"))</f>
        <v>46143</v>
      </c>
      <c r="E84" s="64" t="s">
        <v>76</v>
      </c>
      <c r="F84" s="126" t="str">
        <f>_xlfn.XLOOKUP(A84,[1]分配表!A:A,[1]分配表!C:C)</f>
        <v>王偲涵</v>
      </c>
      <c r="G84" s="126" t="str">
        <f>IF(_xlfn.XLOOKUP($A84,[1]分配表!$A:$A,[1]分配表!D:D)=0,"未分类",_xlfn.XLOOKUP($A84,[1]分配表!$A:$A,[1]分配表!D:D))</f>
        <v>车身外扩件</v>
      </c>
      <c r="H84" s="126" t="str">
        <f>_xlfn.XLOOKUP(A84,[1]分配表!J:J,[1]分配表!I:I)</f>
        <v>原开品</v>
      </c>
      <c r="I84" s="65">
        <f>COUNTIFS([1]月销售数据!L:L,A84,[1]月销售数据!M:M,"&gt;=2026-4-1",[1]月销售数据!M:M,"&lt;=2026-4-30")</f>
        <v>1</v>
      </c>
      <c r="J84" s="65">
        <f>COUNTIFS([1]月销售数据!L:L,A84,[1]月销售数据!M:M,"&gt;=2026-5-1",[1]月销售数据!M:M,"&lt;=2026-5-31")</f>
        <v>2</v>
      </c>
      <c r="K84" s="65" t="s">
        <v>103</v>
      </c>
      <c r="L84" s="127" t="s">
        <v>46</v>
      </c>
      <c r="M84" s="65" t="s">
        <v>137</v>
      </c>
      <c r="N84" s="127" t="s">
        <v>48</v>
      </c>
      <c r="O84" s="65">
        <v>0</v>
      </c>
      <c r="P84" s="65">
        <v>6</v>
      </c>
      <c r="Q84" s="67">
        <v>0</v>
      </c>
      <c r="R84" s="110">
        <v>750</v>
      </c>
      <c r="S84" s="65">
        <v>2</v>
      </c>
      <c r="T84" s="65">
        <v>3</v>
      </c>
      <c r="U84" s="65"/>
      <c r="V84" s="65">
        <f t="shared" si="1"/>
        <v>9</v>
      </c>
      <c r="W84" s="129">
        <v>0</v>
      </c>
      <c r="X84" s="128">
        <v>0.666666666666667</v>
      </c>
      <c r="Y84" s="65">
        <v>0</v>
      </c>
      <c r="Z84" s="67">
        <v>0</v>
      </c>
      <c r="AA84" s="67">
        <v>0</v>
      </c>
      <c r="AB84" s="129" t="e">
        <v>#DIV/0!</v>
      </c>
      <c r="AC84" s="129" t="e">
        <v>#DIV/0!</v>
      </c>
      <c r="AD84" s="65">
        <v>4</v>
      </c>
      <c r="AE84" s="67">
        <v>539.99</v>
      </c>
      <c r="AF84" s="67">
        <v>66.31</v>
      </c>
      <c r="AG84" s="129">
        <v>0.122798570343895</v>
      </c>
      <c r="AH84" s="129">
        <v>0.0884133333333333</v>
      </c>
      <c r="AI84" s="67">
        <v>0</v>
      </c>
      <c r="AJ84" s="67">
        <v>0</v>
      </c>
      <c r="AK84" s="129" t="e">
        <v>#DIV/0!</v>
      </c>
      <c r="AL84" s="129" t="e">
        <v>#DIV/0!</v>
      </c>
      <c r="AM84" s="129" t="e">
        <v>#DIV/0!</v>
      </c>
      <c r="AN84" s="67">
        <v>0</v>
      </c>
      <c r="AO84" s="67">
        <v>0</v>
      </c>
      <c r="AP84" s="129" t="e">
        <v>#DIV/0!</v>
      </c>
      <c r="AQ84" s="129">
        <v>0</v>
      </c>
      <c r="AR84" s="129">
        <v>0.0935333333333333</v>
      </c>
    </row>
    <row r="85" customFormat="1" ht="22.5" customHeight="1" spans="1:44">
      <c r="A85" s="72">
        <v>12586</v>
      </c>
      <c r="B85" s="62" t="s">
        <v>142</v>
      </c>
      <c r="C85" s="63">
        <f>_xlfn.XLOOKUP(A85,[1]分配表!J:J,[1]分配表!L:L)</f>
        <v>46141</v>
      </c>
      <c r="D85" s="63">
        <f>IF(_xlfn.XLOOKUP(A85,[1]分配表!J:J,[1]分配表!M:M,"未出单")=0,"未出单",_xlfn.XLOOKUP(A85,[1]分配表!J:J,[1]分配表!M:M,"未出单"))</f>
        <v>46142</v>
      </c>
      <c r="E85" s="64" t="s">
        <v>45</v>
      </c>
      <c r="F85" s="126" t="str">
        <f>_xlfn.XLOOKUP(A85,[1]分配表!A:A,[1]分配表!C:C)</f>
        <v>朱培源</v>
      </c>
      <c r="G85" s="126" t="str">
        <f>IF(_xlfn.XLOOKUP($A85,[1]分配表!$A:$A,[1]分配表!D:D)=0,"未分类",_xlfn.XLOOKUP($A85,[1]分配表!$A:$A,[1]分配表!D:D))</f>
        <v>机盖及附件</v>
      </c>
      <c r="H85" s="126" t="str">
        <f>_xlfn.XLOOKUP(A85,[1]分配表!J:J,[1]分配表!I:I)</f>
        <v>原开品</v>
      </c>
      <c r="I85" s="65">
        <f>COUNTIFS([1]月销售数据!L:L,A85,[1]月销售数据!M:M,"&gt;=2026-4-1",[1]月销售数据!M:M,"&lt;=2026-4-30")</f>
        <v>1</v>
      </c>
      <c r="J85" s="65">
        <f>COUNTIFS([1]月销售数据!L:L,A85,[1]月销售数据!M:M,"&gt;=2026-5-1",[1]月销售数据!M:M,"&lt;=2026-5-31")</f>
        <v>4</v>
      </c>
      <c r="K85" s="65" t="s">
        <v>46</v>
      </c>
      <c r="L85" s="127" t="s">
        <v>46</v>
      </c>
      <c r="M85" s="65" t="s">
        <v>137</v>
      </c>
      <c r="N85" s="127" t="s">
        <v>48</v>
      </c>
      <c r="O85" s="65">
        <v>1</v>
      </c>
      <c r="P85" s="65">
        <v>11</v>
      </c>
      <c r="Q85" s="67">
        <v>70</v>
      </c>
      <c r="R85" s="110">
        <v>769.74</v>
      </c>
      <c r="S85" s="65">
        <v>1</v>
      </c>
      <c r="T85" s="65">
        <v>1</v>
      </c>
      <c r="U85" s="65"/>
      <c r="V85" s="65">
        <f t="shared" si="1"/>
        <v>12</v>
      </c>
      <c r="W85" s="129">
        <v>0.5</v>
      </c>
      <c r="X85" s="128">
        <v>0.916666666666667</v>
      </c>
      <c r="Y85" s="65">
        <v>1</v>
      </c>
      <c r="Z85" s="67">
        <v>75.6</v>
      </c>
      <c r="AA85" s="67">
        <v>0.35</v>
      </c>
      <c r="AB85" s="129">
        <v>0.00462962962962963</v>
      </c>
      <c r="AC85" s="129">
        <v>0.005</v>
      </c>
      <c r="AD85" s="65">
        <v>0</v>
      </c>
      <c r="AE85" s="67">
        <v>0</v>
      </c>
      <c r="AF85" s="67">
        <v>0</v>
      </c>
      <c r="AG85" s="129" t="e">
        <v>#DIV/0!</v>
      </c>
      <c r="AH85" s="129">
        <v>0</v>
      </c>
      <c r="AI85" s="67">
        <v>0</v>
      </c>
      <c r="AJ85" s="67">
        <v>0</v>
      </c>
      <c r="AK85" s="129" t="e">
        <v>#DIV/0!</v>
      </c>
      <c r="AL85" s="129">
        <v>0</v>
      </c>
      <c r="AM85" s="129">
        <v>0.005</v>
      </c>
      <c r="AN85" s="67">
        <v>0</v>
      </c>
      <c r="AO85" s="67">
        <v>0</v>
      </c>
      <c r="AP85" s="129" t="e">
        <v>#DIV/0!</v>
      </c>
      <c r="AQ85" s="129">
        <v>0</v>
      </c>
      <c r="AR85" s="129">
        <v>0.0017538389586094</v>
      </c>
    </row>
    <row r="86" customFormat="1" ht="22.5" customHeight="1" spans="1:44">
      <c r="A86" s="72">
        <v>12615</v>
      </c>
      <c r="B86" s="62" t="s">
        <v>143</v>
      </c>
      <c r="C86" s="63">
        <f>_xlfn.XLOOKUP(A86,[1]分配表!J:J,[1]分配表!L:L)</f>
        <v>46141</v>
      </c>
      <c r="D86" s="63">
        <f>IF(_xlfn.XLOOKUP(A86,[1]分配表!J:J,[1]分配表!M:M,"未出单")=0,"未出单",_xlfn.XLOOKUP(A86,[1]分配表!J:J,[1]分配表!M:M,"未出单"))</f>
        <v>46150</v>
      </c>
      <c r="E86" s="64" t="s">
        <v>76</v>
      </c>
      <c r="F86" s="126" t="str">
        <f>_xlfn.XLOOKUP(A86,[1]分配表!A:A,[1]分配表!C:C)</f>
        <v>王偲涵</v>
      </c>
      <c r="G86" s="126" t="str">
        <f>IF(_xlfn.XLOOKUP($A86,[1]分配表!$A:$A,[1]分配表!D:D)=0,"未分类",_xlfn.XLOOKUP($A86,[1]分配表!$A:$A,[1]分配表!D:D))</f>
        <v>其他</v>
      </c>
      <c r="H86" s="126" t="str">
        <f>_xlfn.XLOOKUP(A86,[1]分配表!J:J,[1]分配表!I:I)</f>
        <v>原开品</v>
      </c>
      <c r="I86" s="65">
        <f>COUNTIFS([1]月销售数据!L:L,A86,[1]月销售数据!M:M,"&gt;=2026-4-1",[1]月销售数据!M:M,"&lt;=2026-4-30")</f>
        <v>1</v>
      </c>
      <c r="J86" s="65">
        <f>COUNTIFS([1]月销售数据!L:L,A86,[1]月销售数据!M:M,"&gt;=2026-5-1",[1]月销售数据!M:M,"&lt;=2026-5-31")</f>
        <v>2</v>
      </c>
      <c r="K86" s="65" t="s">
        <v>103</v>
      </c>
      <c r="L86" s="127" t="s">
        <v>58</v>
      </c>
      <c r="M86" s="65" t="s">
        <v>137</v>
      </c>
      <c r="N86" s="127" t="s">
        <v>77</v>
      </c>
      <c r="O86" s="65">
        <v>0</v>
      </c>
      <c r="P86" s="65">
        <v>1</v>
      </c>
      <c r="Q86" s="67">
        <v>0</v>
      </c>
      <c r="R86" s="110">
        <v>95</v>
      </c>
      <c r="S86" s="65">
        <v>0</v>
      </c>
      <c r="T86" s="65">
        <v>0</v>
      </c>
      <c r="U86" s="65"/>
      <c r="V86" s="65">
        <f t="shared" si="1"/>
        <v>1</v>
      </c>
      <c r="W86" s="129">
        <v>0</v>
      </c>
      <c r="X86" s="128">
        <v>1</v>
      </c>
      <c r="Y86" s="65">
        <v>0</v>
      </c>
      <c r="Z86" s="67">
        <v>0</v>
      </c>
      <c r="AA86" s="67">
        <v>0</v>
      </c>
      <c r="AB86" s="129" t="e">
        <v>#DIV/0!</v>
      </c>
      <c r="AC86" s="129" t="e">
        <v>#DIV/0!</v>
      </c>
      <c r="AD86" s="65">
        <v>0</v>
      </c>
      <c r="AE86" s="67">
        <v>0</v>
      </c>
      <c r="AF86" s="67">
        <v>0</v>
      </c>
      <c r="AG86" s="129" t="e">
        <v>#DIV/0!</v>
      </c>
      <c r="AH86" s="129">
        <v>0</v>
      </c>
      <c r="AI86" s="67">
        <v>0</v>
      </c>
      <c r="AJ86" s="67">
        <v>0</v>
      </c>
      <c r="AK86" s="129" t="e">
        <v>#DIV/0!</v>
      </c>
      <c r="AL86" s="129" t="e">
        <v>#DIV/0!</v>
      </c>
      <c r="AM86" s="129" t="e">
        <v>#DIV/0!</v>
      </c>
      <c r="AN86" s="67">
        <v>0</v>
      </c>
      <c r="AO86" s="67">
        <v>0</v>
      </c>
      <c r="AP86" s="129" t="e">
        <v>#DIV/0!</v>
      </c>
      <c r="AQ86" s="129">
        <v>0</v>
      </c>
      <c r="AR86" s="129">
        <v>0</v>
      </c>
    </row>
    <row r="87" customFormat="1" ht="22.5" customHeight="1" spans="1:44">
      <c r="A87" s="72">
        <v>12616</v>
      </c>
      <c r="B87" s="62" t="s">
        <v>144</v>
      </c>
      <c r="C87" s="63">
        <f>_xlfn.XLOOKUP(A87,[1]分配表!J:J,[1]分配表!L:L)</f>
        <v>46141</v>
      </c>
      <c r="D87" s="63">
        <f>IF(_xlfn.XLOOKUP(A87,[1]分配表!J:J,[1]分配表!M:M,"未出单")=0,"未出单",_xlfn.XLOOKUP(A87,[1]分配表!J:J,[1]分配表!M:M,"未出单"))</f>
        <v>46145</v>
      </c>
      <c r="E87" s="64" t="s">
        <v>76</v>
      </c>
      <c r="F87" s="126" t="str">
        <f>_xlfn.XLOOKUP(A87,[1]分配表!A:A,[1]分配表!C:C)</f>
        <v>王偲涵</v>
      </c>
      <c r="G87" s="126" t="str">
        <f>IF(_xlfn.XLOOKUP($A87,[1]分配表!$A:$A,[1]分配表!D:D)=0,"未分类",_xlfn.XLOOKUP($A87,[1]分配表!$A:$A,[1]分配表!D:D))</f>
        <v>其他</v>
      </c>
      <c r="H87" s="126" t="str">
        <f>_xlfn.XLOOKUP(A87,[1]分配表!J:J,[1]分配表!I:I)</f>
        <v>原开品</v>
      </c>
      <c r="I87" s="65">
        <f>COUNTIFS([1]月销售数据!L:L,A87,[1]月销售数据!M:M,"&gt;=2026-4-1",[1]月销售数据!M:M,"&lt;=2026-4-30")</f>
        <v>1</v>
      </c>
      <c r="J87" s="65">
        <f>COUNTIFS([1]月销售数据!L:L,A87,[1]月销售数据!M:M,"&gt;=2026-5-1",[1]月销售数据!M:M,"&lt;=2026-5-31")</f>
        <v>2</v>
      </c>
      <c r="K87" s="65" t="s">
        <v>103</v>
      </c>
      <c r="L87" s="127" t="s">
        <v>46</v>
      </c>
      <c r="M87" s="65" t="s">
        <v>137</v>
      </c>
      <c r="N87" s="127" t="s">
        <v>77</v>
      </c>
      <c r="O87" s="65">
        <v>0</v>
      </c>
      <c r="P87" s="65">
        <v>3</v>
      </c>
      <c r="Q87" s="67">
        <v>0</v>
      </c>
      <c r="R87" s="110">
        <v>285</v>
      </c>
      <c r="S87" s="65">
        <v>0</v>
      </c>
      <c r="T87" s="65">
        <v>1</v>
      </c>
      <c r="U87" s="65"/>
      <c r="V87" s="65">
        <f t="shared" si="1"/>
        <v>4</v>
      </c>
      <c r="W87" s="129">
        <v>0</v>
      </c>
      <c r="X87" s="128">
        <v>0.75</v>
      </c>
      <c r="Y87" s="65">
        <v>0</v>
      </c>
      <c r="Z87" s="67">
        <v>0</v>
      </c>
      <c r="AA87" s="67">
        <v>0</v>
      </c>
      <c r="AB87" s="129" t="e">
        <v>#DIV/0!</v>
      </c>
      <c r="AC87" s="129" t="e">
        <v>#DIV/0!</v>
      </c>
      <c r="AD87" s="65">
        <v>0</v>
      </c>
      <c r="AE87" s="67">
        <v>0</v>
      </c>
      <c r="AF87" s="67">
        <v>0</v>
      </c>
      <c r="AG87" s="129" t="e">
        <v>#DIV/0!</v>
      </c>
      <c r="AH87" s="129">
        <v>0</v>
      </c>
      <c r="AI87" s="67">
        <v>0</v>
      </c>
      <c r="AJ87" s="67">
        <v>0</v>
      </c>
      <c r="AK87" s="129" t="e">
        <v>#DIV/0!</v>
      </c>
      <c r="AL87" s="129" t="e">
        <v>#DIV/0!</v>
      </c>
      <c r="AM87" s="129" t="e">
        <v>#DIV/0!</v>
      </c>
      <c r="AN87" s="67">
        <v>6.13</v>
      </c>
      <c r="AO87" s="67">
        <v>306.61</v>
      </c>
      <c r="AP87" s="129">
        <v>0.0199928247610972</v>
      </c>
      <c r="AQ87" s="129">
        <v>0.0215087719298246</v>
      </c>
      <c r="AR87" s="129">
        <v>0.0223859649122807</v>
      </c>
    </row>
    <row r="88" customFormat="1" ht="22.5" customHeight="1" spans="1:44">
      <c r="A88" s="72">
        <v>12572</v>
      </c>
      <c r="B88" s="62" t="s">
        <v>145</v>
      </c>
      <c r="C88" s="63">
        <f>_xlfn.XLOOKUP(A88,[1]分配表!J:J,[1]分配表!L:L)</f>
        <v>46141</v>
      </c>
      <c r="D88" s="63">
        <f>IF(_xlfn.XLOOKUP(A88,[1]分配表!J:J,[1]分配表!M:M,"未出单")=0,"未出单",_xlfn.XLOOKUP(A88,[1]分配表!J:J,[1]分配表!M:M,"未出单"))</f>
        <v>46147</v>
      </c>
      <c r="E88" s="64" t="s">
        <v>52</v>
      </c>
      <c r="F88" s="126" t="str">
        <f>_xlfn.XLOOKUP(A88,[1]分配表!A:A,[1]分配表!C:C)</f>
        <v>胡煜星</v>
      </c>
      <c r="G88" s="126" t="str">
        <f>IF(_xlfn.XLOOKUP($A88,[1]分配表!$A:$A,[1]分配表!D:D)=0,"未分类",_xlfn.XLOOKUP($A88,[1]分配表!$A:$A,[1]分配表!D:D))</f>
        <v>其他</v>
      </c>
      <c r="H88" s="126" t="str">
        <f>_xlfn.XLOOKUP(A88,[1]分配表!J:J,[1]分配表!I:I)</f>
        <v>拓展品</v>
      </c>
      <c r="I88" s="65">
        <f>COUNTIFS([1]月销售数据!L:L,A88,[1]月销售数据!M:M,"&gt;=2026-4-1",[1]月销售数据!M:M,"&lt;=2026-4-30")</f>
        <v>1</v>
      </c>
      <c r="J88" s="65">
        <f>COUNTIFS([1]月销售数据!L:L,A88,[1]月销售数据!M:M,"&gt;=2026-5-1",[1]月销售数据!M:M,"&lt;=2026-5-31")</f>
        <v>2</v>
      </c>
      <c r="K88" s="65" t="s">
        <v>103</v>
      </c>
      <c r="L88" s="127" t="s">
        <v>46</v>
      </c>
      <c r="M88" s="65" t="s">
        <v>137</v>
      </c>
      <c r="N88" s="127" t="s">
        <v>48</v>
      </c>
      <c r="O88" s="65">
        <v>0</v>
      </c>
      <c r="P88" s="65">
        <v>4</v>
      </c>
      <c r="Q88" s="67">
        <v>0</v>
      </c>
      <c r="R88" s="110">
        <v>240</v>
      </c>
      <c r="S88" s="65">
        <v>0</v>
      </c>
      <c r="T88" s="65">
        <v>7</v>
      </c>
      <c r="U88" s="65"/>
      <c r="V88" s="65">
        <f t="shared" si="1"/>
        <v>11</v>
      </c>
      <c r="W88" s="129">
        <v>0</v>
      </c>
      <c r="X88" s="128">
        <v>0.363636363636364</v>
      </c>
      <c r="Y88" s="65">
        <v>0</v>
      </c>
      <c r="Z88" s="67">
        <v>0</v>
      </c>
      <c r="AA88" s="67">
        <v>0</v>
      </c>
      <c r="AB88" s="129" t="e">
        <v>#DIV/0!</v>
      </c>
      <c r="AC88" s="129" t="e">
        <v>#DIV/0!</v>
      </c>
      <c r="AD88" s="65">
        <v>1</v>
      </c>
      <c r="AE88" s="67">
        <v>64.95</v>
      </c>
      <c r="AF88" s="67">
        <v>6.01</v>
      </c>
      <c r="AG88" s="129">
        <v>0.0925327174749807</v>
      </c>
      <c r="AH88" s="129">
        <v>0.0250416666666667</v>
      </c>
      <c r="AI88" s="67">
        <v>0</v>
      </c>
      <c r="AJ88" s="67">
        <v>0</v>
      </c>
      <c r="AK88" s="129" t="e">
        <v>#DIV/0!</v>
      </c>
      <c r="AL88" s="129" t="e">
        <v>#DIV/0!</v>
      </c>
      <c r="AM88" s="129" t="e">
        <v>#DIV/0!</v>
      </c>
      <c r="AN88" s="67">
        <v>0</v>
      </c>
      <c r="AO88" s="67">
        <v>0</v>
      </c>
      <c r="AP88" s="129" t="e">
        <v>#DIV/0!</v>
      </c>
      <c r="AQ88" s="129">
        <v>0</v>
      </c>
      <c r="AR88" s="129">
        <v>0.0250416666666667</v>
      </c>
    </row>
    <row r="89" customFormat="1" ht="22.5" customHeight="1" spans="1:44">
      <c r="A89" s="72">
        <v>12573</v>
      </c>
      <c r="B89" s="62" t="s">
        <v>146</v>
      </c>
      <c r="C89" s="63">
        <f>_xlfn.XLOOKUP(A89,[1]分配表!J:J,[1]分配表!L:L)</f>
        <v>46141</v>
      </c>
      <c r="D89" s="63">
        <f>IF(_xlfn.XLOOKUP(A89,[1]分配表!J:J,[1]分配表!M:M,"未出单")=0,"未出单",_xlfn.XLOOKUP(A89,[1]分配表!J:J,[1]分配表!M:M,"未出单"))</f>
        <v>46152</v>
      </c>
      <c r="E89" s="64" t="s">
        <v>52</v>
      </c>
      <c r="F89" s="126" t="str">
        <f>_xlfn.XLOOKUP(A89,[1]分配表!A:A,[1]分配表!C:C)</f>
        <v>胡煜星</v>
      </c>
      <c r="G89" s="126" t="str">
        <f>IF(_xlfn.XLOOKUP($A89,[1]分配表!$A:$A,[1]分配表!D:D)=0,"未分类",_xlfn.XLOOKUP($A89,[1]分配表!$A:$A,[1]分配表!D:D))</f>
        <v>其他</v>
      </c>
      <c r="H89" s="126" t="str">
        <f>_xlfn.XLOOKUP(A89,[1]分配表!J:J,[1]分配表!I:I)</f>
        <v>拓展品</v>
      </c>
      <c r="I89" s="65">
        <f>COUNTIFS([1]月销售数据!L:L,A89,[1]月销售数据!M:M,"&gt;=2026-4-1",[1]月销售数据!M:M,"&lt;=2026-4-30")</f>
        <v>1</v>
      </c>
      <c r="J89" s="65">
        <f>COUNTIFS([1]月销售数据!L:L,A89,[1]月销售数据!M:M,"&gt;=2026-5-1",[1]月销售数据!M:M,"&lt;=2026-5-31")</f>
        <v>2</v>
      </c>
      <c r="K89" s="65" t="s">
        <v>103</v>
      </c>
      <c r="L89" s="127" t="s">
        <v>58</v>
      </c>
      <c r="M89" s="65" t="s">
        <v>137</v>
      </c>
      <c r="N89" s="127" t="s">
        <v>48</v>
      </c>
      <c r="O89" s="65">
        <v>0</v>
      </c>
      <c r="P89" s="65">
        <v>4</v>
      </c>
      <c r="Q89" s="67">
        <v>0</v>
      </c>
      <c r="R89" s="110">
        <v>240</v>
      </c>
      <c r="S89" s="65">
        <v>0</v>
      </c>
      <c r="T89" s="65">
        <v>7</v>
      </c>
      <c r="U89" s="65"/>
      <c r="V89" s="65">
        <f t="shared" si="1"/>
        <v>11</v>
      </c>
      <c r="W89" s="129">
        <v>0</v>
      </c>
      <c r="X89" s="128">
        <v>0.363636363636364</v>
      </c>
      <c r="Y89" s="65">
        <v>0</v>
      </c>
      <c r="Z89" s="67">
        <v>0</v>
      </c>
      <c r="AA89" s="67">
        <v>0</v>
      </c>
      <c r="AB89" s="129" t="e">
        <v>#DIV/0!</v>
      </c>
      <c r="AC89" s="129" t="e">
        <v>#DIV/0!</v>
      </c>
      <c r="AD89" s="65">
        <v>2</v>
      </c>
      <c r="AE89" s="67">
        <v>128.78</v>
      </c>
      <c r="AF89" s="67">
        <v>5.51</v>
      </c>
      <c r="AG89" s="129">
        <v>0.0427861469172232</v>
      </c>
      <c r="AH89" s="129">
        <v>0.0229583333333333</v>
      </c>
      <c r="AI89" s="67">
        <v>0</v>
      </c>
      <c r="AJ89" s="67">
        <v>0</v>
      </c>
      <c r="AK89" s="129" t="e">
        <v>#DIV/0!</v>
      </c>
      <c r="AL89" s="129" t="e">
        <v>#DIV/0!</v>
      </c>
      <c r="AM89" s="129" t="e">
        <v>#DIV/0!</v>
      </c>
      <c r="AN89" s="67">
        <v>7.69</v>
      </c>
      <c r="AO89" s="67">
        <v>256.51</v>
      </c>
      <c r="AP89" s="129">
        <v>0.0299793380375034</v>
      </c>
      <c r="AQ89" s="129">
        <v>0.0320416666666667</v>
      </c>
      <c r="AR89" s="129">
        <v>0.0557083333333333</v>
      </c>
    </row>
    <row r="90" customFormat="1" ht="22.5" customHeight="1" spans="1:44">
      <c r="A90" s="72">
        <v>12650</v>
      </c>
      <c r="B90" s="62" t="s">
        <v>147</v>
      </c>
      <c r="C90" s="63">
        <f>_xlfn.XLOOKUP(A90,[1]分配表!J:J,[1]分配表!L:L)</f>
        <v>46141</v>
      </c>
      <c r="D90" s="63">
        <f>IF(_xlfn.XLOOKUP(A90,[1]分配表!J:J,[1]分配表!M:M,"未出单")=0,"未出单",_xlfn.XLOOKUP(A90,[1]分配表!J:J,[1]分配表!M:M,"未出单"))</f>
        <v>46158</v>
      </c>
      <c r="E90" s="64" t="s">
        <v>57</v>
      </c>
      <c r="F90" s="126" t="str">
        <f>_xlfn.XLOOKUP(A90,[1]分配表!A:A,[1]分配表!C:C)</f>
        <v>张潇</v>
      </c>
      <c r="G90" s="126" t="str">
        <f>IF(_xlfn.XLOOKUP($A90,[1]分配表!$A:$A,[1]分配表!D:D)=0,"未分类",_xlfn.XLOOKUP($A90,[1]分配表!$A:$A,[1]分配表!D:D))</f>
        <v>其他</v>
      </c>
      <c r="H90" s="126" t="str">
        <f>_xlfn.XLOOKUP(A90,[1]分配表!J:J,[1]分配表!I:I)</f>
        <v>原开品</v>
      </c>
      <c r="I90" s="65">
        <f>COUNTIFS([1]月销售数据!L:L,A90,[1]月销售数据!M:M,"&gt;=2026-4-1",[1]月销售数据!M:M,"&lt;=2026-4-30")</f>
        <v>1</v>
      </c>
      <c r="J90" s="65">
        <f>COUNTIFS([1]月销售数据!L:L,A90,[1]月销售数据!M:M,"&gt;=2026-5-1",[1]月销售数据!M:M,"&lt;=2026-5-31")</f>
        <v>3</v>
      </c>
      <c r="K90" s="65" t="s">
        <v>103</v>
      </c>
      <c r="L90" s="127" t="s">
        <v>58</v>
      </c>
      <c r="M90" s="65" t="s">
        <v>137</v>
      </c>
      <c r="N90" s="127" t="s">
        <v>47</v>
      </c>
      <c r="O90" s="65">
        <v>0</v>
      </c>
      <c r="P90" s="65">
        <v>2</v>
      </c>
      <c r="Q90" s="67">
        <v>0</v>
      </c>
      <c r="R90" s="110">
        <v>159.8</v>
      </c>
      <c r="S90" s="65">
        <v>0</v>
      </c>
      <c r="T90" s="65">
        <v>1</v>
      </c>
      <c r="U90" s="65"/>
      <c r="V90" s="65">
        <f t="shared" si="1"/>
        <v>3</v>
      </c>
      <c r="W90" s="129">
        <v>0</v>
      </c>
      <c r="X90" s="128">
        <v>0.666666666666667</v>
      </c>
      <c r="Y90" s="65">
        <v>0</v>
      </c>
      <c r="Z90" s="67">
        <v>0</v>
      </c>
      <c r="AA90" s="67">
        <v>0</v>
      </c>
      <c r="AB90" s="129" t="e">
        <v>#DIV/0!</v>
      </c>
      <c r="AC90" s="129" t="e">
        <v>#DIV/0!</v>
      </c>
      <c r="AD90" s="65">
        <v>1</v>
      </c>
      <c r="AE90" s="67">
        <v>84.29</v>
      </c>
      <c r="AF90" s="67">
        <v>33.6</v>
      </c>
      <c r="AG90" s="129">
        <v>0.398623798789892</v>
      </c>
      <c r="AH90" s="129">
        <v>0.21026282853567</v>
      </c>
      <c r="AI90" s="67">
        <v>0</v>
      </c>
      <c r="AJ90" s="67">
        <v>0</v>
      </c>
      <c r="AK90" s="129" t="e">
        <v>#DIV/0!</v>
      </c>
      <c r="AL90" s="129" t="e">
        <v>#DIV/0!</v>
      </c>
      <c r="AM90" s="129" t="e">
        <v>#DIV/0!</v>
      </c>
      <c r="AN90" s="67">
        <v>0</v>
      </c>
      <c r="AO90" s="67">
        <v>0</v>
      </c>
      <c r="AP90" s="129" t="e">
        <v>#DIV/0!</v>
      </c>
      <c r="AQ90" s="129">
        <v>0</v>
      </c>
      <c r="AR90" s="129">
        <v>0.217897371714643</v>
      </c>
    </row>
    <row r="91" customFormat="1" ht="22.5" customHeight="1" spans="1:44">
      <c r="A91" s="72">
        <v>12649</v>
      </c>
      <c r="B91" s="62" t="s">
        <v>148</v>
      </c>
      <c r="C91" s="63">
        <f>_xlfn.XLOOKUP(A91,[1]分配表!J:J,[1]分配表!L:L)</f>
        <v>46141</v>
      </c>
      <c r="D91" s="63">
        <f>IF(_xlfn.XLOOKUP(A91,[1]分配表!J:J,[1]分配表!M:M,"未出单")=0,"未出单",_xlfn.XLOOKUP(A91,[1]分配表!J:J,[1]分配表!M:M,"未出单"))</f>
        <v>46153</v>
      </c>
      <c r="E91" s="64" t="s">
        <v>57</v>
      </c>
      <c r="F91" s="126" t="str">
        <f>_xlfn.XLOOKUP(A91,[1]分配表!A:A,[1]分配表!C:C)</f>
        <v>张潇</v>
      </c>
      <c r="G91" s="126" t="str">
        <f>IF(_xlfn.XLOOKUP($A91,[1]分配表!$A:$A,[1]分配表!D:D)=0,"未分类",_xlfn.XLOOKUP($A91,[1]分配表!$A:$A,[1]分配表!D:D))</f>
        <v>其他</v>
      </c>
      <c r="H91" s="126" t="str">
        <f>_xlfn.XLOOKUP(A91,[1]分配表!J:J,[1]分配表!I:I)</f>
        <v>原开品</v>
      </c>
      <c r="I91" s="65">
        <f>COUNTIFS([1]月销售数据!L:L,A91,[1]月销售数据!M:M,"&gt;=2026-4-1",[1]月销售数据!M:M,"&lt;=2026-4-30")</f>
        <v>1</v>
      </c>
      <c r="J91" s="65">
        <f>COUNTIFS([1]月销售数据!L:L,A91,[1]月销售数据!M:M,"&gt;=2026-5-1",[1]月销售数据!M:M,"&lt;=2026-5-31")</f>
        <v>3</v>
      </c>
      <c r="K91" s="65" t="s">
        <v>103</v>
      </c>
      <c r="L91" s="127" t="s">
        <v>58</v>
      </c>
      <c r="M91" s="65" t="s">
        <v>137</v>
      </c>
      <c r="N91" s="127" t="s">
        <v>48</v>
      </c>
      <c r="O91" s="65">
        <v>0</v>
      </c>
      <c r="P91" s="65">
        <v>4</v>
      </c>
      <c r="Q91" s="67">
        <v>0</v>
      </c>
      <c r="R91" s="110">
        <v>480</v>
      </c>
      <c r="S91" s="65">
        <v>0</v>
      </c>
      <c r="T91" s="65">
        <v>1</v>
      </c>
      <c r="U91" s="65"/>
      <c r="V91" s="65">
        <f t="shared" si="1"/>
        <v>5</v>
      </c>
      <c r="W91" s="129">
        <v>0</v>
      </c>
      <c r="X91" s="128">
        <v>0.8</v>
      </c>
      <c r="Y91" s="65">
        <v>0</v>
      </c>
      <c r="Z91" s="67">
        <v>0</v>
      </c>
      <c r="AA91" s="67">
        <v>0</v>
      </c>
      <c r="AB91" s="129" t="e">
        <v>#DIV/0!</v>
      </c>
      <c r="AC91" s="129" t="e">
        <v>#DIV/0!</v>
      </c>
      <c r="AD91" s="65">
        <v>0</v>
      </c>
      <c r="AE91" s="67">
        <v>0</v>
      </c>
      <c r="AF91" s="67">
        <v>10.06</v>
      </c>
      <c r="AG91" s="129" t="e">
        <v>#DIV/0!</v>
      </c>
      <c r="AH91" s="129">
        <v>0.0209583333333333</v>
      </c>
      <c r="AI91" s="67">
        <v>0</v>
      </c>
      <c r="AJ91" s="67">
        <v>0</v>
      </c>
      <c r="AK91" s="129" t="e">
        <v>#DIV/0!</v>
      </c>
      <c r="AL91" s="129" t="e">
        <v>#DIV/0!</v>
      </c>
      <c r="AM91" s="129" t="e">
        <v>#DIV/0!</v>
      </c>
      <c r="AN91" s="67">
        <v>4.97</v>
      </c>
      <c r="AO91" s="67">
        <v>248.4</v>
      </c>
      <c r="AP91" s="129">
        <v>0.0200080515297907</v>
      </c>
      <c r="AQ91" s="129">
        <v>0.0103541666666667</v>
      </c>
      <c r="AR91" s="129">
        <v>0.0543958333333333</v>
      </c>
    </row>
    <row r="92" customFormat="1" ht="22.5" customHeight="1" spans="1:44">
      <c r="A92" s="72">
        <v>12632</v>
      </c>
      <c r="B92" s="62" t="s">
        <v>149</v>
      </c>
      <c r="C92" s="63">
        <f>_xlfn.XLOOKUP(A92,[1]分配表!J:J,[1]分配表!L:L)</f>
        <v>46142</v>
      </c>
      <c r="D92" s="63" t="str">
        <f>IF(_xlfn.XLOOKUP(A92,[1]分配表!J:J,[1]分配表!M:M,"未出单")=0,"未出单",_xlfn.XLOOKUP(A92,[1]分配表!J:J,[1]分配表!M:M,"未出单"))</f>
        <v>未出单</v>
      </c>
      <c r="E92" s="64" t="s">
        <v>70</v>
      </c>
      <c r="F92" s="126" t="str">
        <f>_xlfn.XLOOKUP(A92,[1]分配表!A:A,[1]分配表!C:C)</f>
        <v>俞东旭</v>
      </c>
      <c r="G92" s="126" t="str">
        <f>IF(_xlfn.XLOOKUP($A92,[1]分配表!$A:$A,[1]分配表!D:D)=0,"未分类",_xlfn.XLOOKUP($A92,[1]分配表!$A:$A,[1]分配表!D:D))</f>
        <v>车门系统</v>
      </c>
      <c r="H92" s="126" t="str">
        <f>_xlfn.XLOOKUP(A92,[1]分配表!J:J,[1]分配表!I:I)</f>
        <v>拓展品</v>
      </c>
      <c r="I92" s="65">
        <f>COUNTIFS([1]月销售数据!L:L,A92,[1]月销售数据!M:M,"&gt;=2026-4-1",[1]月销售数据!M:M,"&lt;=2026-4-30")</f>
        <v>1</v>
      </c>
      <c r="J92" s="65">
        <f>COUNTIFS([1]月销售数据!L:L,A92,[1]月销售数据!M:M,"&gt;=2026-5-1",[1]月销售数据!M:M,"&lt;=2026-5-31")</f>
        <v>2</v>
      </c>
      <c r="K92" s="65" t="s">
        <v>103</v>
      </c>
      <c r="L92" s="127" t="s">
        <v>103</v>
      </c>
      <c r="M92" s="65" t="s">
        <v>137</v>
      </c>
      <c r="N92" s="127" t="s">
        <v>47</v>
      </c>
      <c r="O92" s="65">
        <v>0</v>
      </c>
      <c r="P92" s="65">
        <v>0</v>
      </c>
      <c r="Q92" s="67">
        <v>0</v>
      </c>
      <c r="R92" s="110">
        <v>0</v>
      </c>
      <c r="S92" s="65">
        <v>0</v>
      </c>
      <c r="T92" s="65">
        <v>0</v>
      </c>
      <c r="U92" s="65"/>
      <c r="V92" s="65">
        <f t="shared" si="1"/>
        <v>0</v>
      </c>
      <c r="W92" s="129">
        <v>0</v>
      </c>
      <c r="X92" s="128" t="s">
        <v>106</v>
      </c>
      <c r="Y92" s="65">
        <v>0</v>
      </c>
      <c r="Z92" s="67">
        <v>0</v>
      </c>
      <c r="AA92" s="67">
        <v>0</v>
      </c>
      <c r="AB92" s="129" t="e">
        <v>#DIV/0!</v>
      </c>
      <c r="AC92" s="129" t="e">
        <v>#DIV/0!</v>
      </c>
      <c r="AD92" s="65">
        <v>0</v>
      </c>
      <c r="AE92" s="67">
        <v>0</v>
      </c>
      <c r="AF92" s="67">
        <v>0</v>
      </c>
      <c r="AG92" s="129" t="e">
        <v>#DIV/0!</v>
      </c>
      <c r="AH92" s="129" t="e">
        <v>#DIV/0!</v>
      </c>
      <c r="AI92" s="67">
        <v>0</v>
      </c>
      <c r="AJ92" s="67">
        <v>0</v>
      </c>
      <c r="AK92" s="129" t="e">
        <v>#DIV/0!</v>
      </c>
      <c r="AL92" s="129" t="e">
        <v>#DIV/0!</v>
      </c>
      <c r="AM92" s="129" t="e">
        <v>#DIV/0!</v>
      </c>
      <c r="AN92" s="67">
        <v>0</v>
      </c>
      <c r="AO92" s="67">
        <v>0</v>
      </c>
      <c r="AP92" s="129" t="e">
        <v>#DIV/0!</v>
      </c>
      <c r="AQ92" s="129" t="e">
        <v>#DIV/0!</v>
      </c>
      <c r="AR92" s="129" t="e">
        <v>#DIV/0!</v>
      </c>
    </row>
    <row r="93" customFormat="1" ht="22.5" customHeight="1" spans="1:44">
      <c r="A93" s="72">
        <v>12631</v>
      </c>
      <c r="B93" s="62" t="s">
        <v>150</v>
      </c>
      <c r="C93" s="63">
        <f>_xlfn.XLOOKUP(A93,[1]分配表!J:J,[1]分配表!L:L)</f>
        <v>46142</v>
      </c>
      <c r="D93" s="63">
        <f>IF(_xlfn.XLOOKUP(A93,[1]分配表!J:J,[1]分配表!M:M,"未出单")=0,"未出单",_xlfn.XLOOKUP(A93,[1]分配表!J:J,[1]分配表!M:M,"未出单"))</f>
        <v>46142</v>
      </c>
      <c r="E93" s="64" t="s">
        <v>70</v>
      </c>
      <c r="F93" s="126" t="str">
        <f>_xlfn.XLOOKUP(A93,[1]分配表!A:A,[1]分配表!C:C)</f>
        <v>俞东旭</v>
      </c>
      <c r="G93" s="126" t="str">
        <f>IF(_xlfn.XLOOKUP($A93,[1]分配表!$A:$A,[1]分配表!D:D)=0,"未分类",_xlfn.XLOOKUP($A93,[1]分配表!$A:$A,[1]分配表!D:D))</f>
        <v>车门系统</v>
      </c>
      <c r="H93" s="126" t="str">
        <f>_xlfn.XLOOKUP(A93,[1]分配表!J:J,[1]分配表!I:I)</f>
        <v>拓展品</v>
      </c>
      <c r="I93" s="65">
        <f>COUNTIFS([1]月销售数据!L:L,A93,[1]月销售数据!M:M,"&gt;=2026-4-1",[1]月销售数据!M:M,"&lt;=2026-4-30")</f>
        <v>1</v>
      </c>
      <c r="J93" s="65">
        <f>COUNTIFS([1]月销售数据!L:L,A93,[1]月销售数据!M:M,"&gt;=2026-5-1",[1]月销售数据!M:M,"&lt;=2026-5-31")</f>
        <v>2</v>
      </c>
      <c r="K93" s="65" t="s">
        <v>103</v>
      </c>
      <c r="L93" s="127" t="s">
        <v>46</v>
      </c>
      <c r="M93" s="65" t="s">
        <v>137</v>
      </c>
      <c r="N93" s="127" t="s">
        <v>48</v>
      </c>
      <c r="O93" s="65">
        <v>1</v>
      </c>
      <c r="P93" s="65">
        <v>17</v>
      </c>
      <c r="Q93" s="67">
        <v>125</v>
      </c>
      <c r="R93" s="110">
        <v>2125</v>
      </c>
      <c r="S93" s="65">
        <v>0</v>
      </c>
      <c r="T93" s="65">
        <v>0</v>
      </c>
      <c r="U93" s="65"/>
      <c r="V93" s="65">
        <f t="shared" si="1"/>
        <v>17</v>
      </c>
      <c r="W93" s="129">
        <v>1</v>
      </c>
      <c r="X93" s="128">
        <v>1</v>
      </c>
      <c r="Y93" s="65">
        <v>0</v>
      </c>
      <c r="Z93" s="67">
        <v>0</v>
      </c>
      <c r="AA93" s="67">
        <v>0</v>
      </c>
      <c r="AB93" s="129" t="e">
        <v>#DIV/0!</v>
      </c>
      <c r="AC93" s="129">
        <v>0</v>
      </c>
      <c r="AD93" s="65">
        <v>0</v>
      </c>
      <c r="AE93" s="67">
        <v>0</v>
      </c>
      <c r="AF93" s="67">
        <v>0</v>
      </c>
      <c r="AG93" s="129" t="e">
        <v>#DIV/0!</v>
      </c>
      <c r="AH93" s="129">
        <v>0</v>
      </c>
      <c r="AI93" s="67">
        <v>0</v>
      </c>
      <c r="AJ93" s="67">
        <v>0</v>
      </c>
      <c r="AK93" s="129" t="e">
        <v>#DIV/0!</v>
      </c>
      <c r="AL93" s="129">
        <v>0</v>
      </c>
      <c r="AM93" s="129">
        <v>0</v>
      </c>
      <c r="AN93" s="67">
        <v>0</v>
      </c>
      <c r="AO93" s="67">
        <v>0</v>
      </c>
      <c r="AP93" s="129" t="e">
        <v>#DIV/0!</v>
      </c>
      <c r="AQ93" s="129">
        <v>0</v>
      </c>
      <c r="AR93" s="129">
        <v>0.00211764705882353</v>
      </c>
    </row>
    <row r="94" customFormat="1" ht="22.5" customHeight="1" spans="1:44">
      <c r="A94" s="72">
        <v>12630</v>
      </c>
      <c r="B94" s="62" t="s">
        <v>151</v>
      </c>
      <c r="C94" s="63">
        <f>_xlfn.XLOOKUP(A94,[1]分配表!J:J,[1]分配表!L:L)</f>
        <v>46142</v>
      </c>
      <c r="D94" s="63">
        <f>IF(_xlfn.XLOOKUP(A94,[1]分配表!J:J,[1]分配表!M:M,"未出单")=0,"未出单",_xlfn.XLOOKUP(A94,[1]分配表!J:J,[1]分配表!M:M,"未出单"))</f>
        <v>46144</v>
      </c>
      <c r="E94" s="64" t="s">
        <v>70</v>
      </c>
      <c r="F94" s="126" t="str">
        <f>_xlfn.XLOOKUP(A94,[1]分配表!A:A,[1]分配表!C:C)</f>
        <v>俞东旭</v>
      </c>
      <c r="G94" s="126" t="str">
        <f>IF(_xlfn.XLOOKUP($A94,[1]分配表!$A:$A,[1]分配表!D:D)=0,"未分类",_xlfn.XLOOKUP($A94,[1]分配表!$A:$A,[1]分配表!D:D))</f>
        <v>车门系统</v>
      </c>
      <c r="H94" s="126" t="str">
        <f>_xlfn.XLOOKUP(A94,[1]分配表!J:J,[1]分配表!I:I)</f>
        <v>原开品</v>
      </c>
      <c r="I94" s="65">
        <f>COUNTIFS([1]月销售数据!L:L,A94,[1]月销售数据!M:M,"&gt;=2026-4-1",[1]月销售数据!M:M,"&lt;=2026-4-30")</f>
        <v>1</v>
      </c>
      <c r="J94" s="65">
        <f>COUNTIFS([1]月销售数据!L:L,A94,[1]月销售数据!M:M,"&gt;=2026-5-1",[1]月销售数据!M:M,"&lt;=2026-5-31")</f>
        <v>2</v>
      </c>
      <c r="K94" s="65" t="s">
        <v>103</v>
      </c>
      <c r="L94" s="127" t="s">
        <v>46</v>
      </c>
      <c r="M94" s="65" t="s">
        <v>137</v>
      </c>
      <c r="N94" s="127" t="s">
        <v>48</v>
      </c>
      <c r="O94" s="65">
        <v>0</v>
      </c>
      <c r="P94" s="65">
        <v>4</v>
      </c>
      <c r="Q94" s="67">
        <v>0</v>
      </c>
      <c r="R94" s="110">
        <v>980</v>
      </c>
      <c r="S94" s="65">
        <v>0</v>
      </c>
      <c r="T94" s="65">
        <v>0</v>
      </c>
      <c r="U94" s="65"/>
      <c r="V94" s="65">
        <f t="shared" si="1"/>
        <v>4</v>
      </c>
      <c r="W94" s="129">
        <v>0</v>
      </c>
      <c r="X94" s="128">
        <v>1</v>
      </c>
      <c r="Y94" s="65">
        <v>0</v>
      </c>
      <c r="Z94" s="67">
        <v>0</v>
      </c>
      <c r="AA94" s="67">
        <v>0</v>
      </c>
      <c r="AB94" s="129" t="e">
        <v>#DIV/0!</v>
      </c>
      <c r="AC94" s="129" t="e">
        <v>#DIV/0!</v>
      </c>
      <c r="AD94" s="65">
        <v>0</v>
      </c>
      <c r="AE94" s="67">
        <v>0</v>
      </c>
      <c r="AF94" s="67">
        <v>0</v>
      </c>
      <c r="AG94" s="129" t="e">
        <v>#DIV/0!</v>
      </c>
      <c r="AH94" s="129">
        <v>0</v>
      </c>
      <c r="AI94" s="67">
        <v>0</v>
      </c>
      <c r="AJ94" s="67">
        <v>0</v>
      </c>
      <c r="AK94" s="129" t="e">
        <v>#DIV/0!</v>
      </c>
      <c r="AL94" s="129" t="e">
        <v>#DIV/0!</v>
      </c>
      <c r="AM94" s="129" t="e">
        <v>#DIV/0!</v>
      </c>
      <c r="AN94" s="67">
        <v>0</v>
      </c>
      <c r="AO94" s="67">
        <v>0</v>
      </c>
      <c r="AP94" s="129" t="e">
        <v>#DIV/0!</v>
      </c>
      <c r="AQ94" s="129">
        <v>0</v>
      </c>
      <c r="AR94" s="129">
        <v>0</v>
      </c>
    </row>
    <row r="95" customFormat="1" ht="22.5" customHeight="1" spans="1:44">
      <c r="A95" s="72">
        <v>12587</v>
      </c>
      <c r="B95" s="62" t="s">
        <v>152</v>
      </c>
      <c r="C95" s="63">
        <f>_xlfn.XLOOKUP(A95,[1]分配表!J:J,[1]分配表!L:L)</f>
        <v>46142</v>
      </c>
      <c r="D95" s="63">
        <f>IF(_xlfn.XLOOKUP(A95,[1]分配表!J:J,[1]分配表!M:M,"未出单")=0,"未出单",_xlfn.XLOOKUP(A95,[1]分配表!J:J,[1]分配表!M:M,"未出单"))</f>
        <v>46144</v>
      </c>
      <c r="E95" s="64" t="s">
        <v>81</v>
      </c>
      <c r="F95" s="126" t="str">
        <f>_xlfn.XLOOKUP(A95,[1]分配表!A:A,[1]分配表!C:C)</f>
        <v>章鹏</v>
      </c>
      <c r="G95" s="126" t="str">
        <f>IF(_xlfn.XLOOKUP($A95,[1]分配表!$A:$A,[1]分配表!D:D)=0,"未分类",_xlfn.XLOOKUP($A95,[1]分配表!$A:$A,[1]分配表!D:D))</f>
        <v>饰条</v>
      </c>
      <c r="H95" s="126" t="str">
        <f>_xlfn.XLOOKUP(A95,[1]分配表!J:J,[1]分配表!I:I)</f>
        <v>拓展品</v>
      </c>
      <c r="I95" s="65">
        <f>COUNTIFS([1]月销售数据!L:L,A95,[1]月销售数据!M:M,"&gt;=2026-4-1",[1]月销售数据!M:M,"&lt;=2026-4-30")</f>
        <v>1</v>
      </c>
      <c r="J95" s="65">
        <f>COUNTIFS([1]月销售数据!L:L,A95,[1]月销售数据!M:M,"&gt;=2026-5-1",[1]月销售数据!M:M,"&lt;=2026-5-31")</f>
        <v>2</v>
      </c>
      <c r="K95" s="65" t="s">
        <v>103</v>
      </c>
      <c r="L95" s="127" t="s">
        <v>46</v>
      </c>
      <c r="M95" s="65" t="s">
        <v>137</v>
      </c>
      <c r="N95" s="127" t="s">
        <v>53</v>
      </c>
      <c r="O95" s="65">
        <v>1</v>
      </c>
      <c r="P95" s="65">
        <v>11</v>
      </c>
      <c r="Q95" s="67">
        <v>38</v>
      </c>
      <c r="R95" s="110">
        <v>468.87</v>
      </c>
      <c r="S95" s="65">
        <v>0</v>
      </c>
      <c r="T95" s="65">
        <v>8</v>
      </c>
      <c r="U95" s="65"/>
      <c r="V95" s="65">
        <f t="shared" si="1"/>
        <v>19</v>
      </c>
      <c r="W95" s="129">
        <v>1</v>
      </c>
      <c r="X95" s="128">
        <v>0.578947368421053</v>
      </c>
      <c r="Y95" s="65">
        <v>1</v>
      </c>
      <c r="Z95" s="67">
        <v>41.14</v>
      </c>
      <c r="AA95" s="67">
        <v>0.69</v>
      </c>
      <c r="AB95" s="129">
        <v>0.0167719980554205</v>
      </c>
      <c r="AC95" s="129">
        <v>0.0181578947368421</v>
      </c>
      <c r="AD95" s="65">
        <v>9</v>
      </c>
      <c r="AE95" s="67">
        <v>401.05</v>
      </c>
      <c r="AF95" s="67">
        <v>17.51</v>
      </c>
      <c r="AG95" s="129">
        <v>0.043660391472385</v>
      </c>
      <c r="AH95" s="129">
        <v>0.0373451063194489</v>
      </c>
      <c r="AI95" s="67">
        <v>0</v>
      </c>
      <c r="AJ95" s="67">
        <v>0</v>
      </c>
      <c r="AK95" s="129" t="e">
        <v>#DIV/0!</v>
      </c>
      <c r="AL95" s="129">
        <v>0</v>
      </c>
      <c r="AM95" s="129">
        <v>0.0181578947368421</v>
      </c>
      <c r="AN95" s="67">
        <v>0</v>
      </c>
      <c r="AO95" s="67">
        <v>0</v>
      </c>
      <c r="AP95" s="129" t="e">
        <v>#DIV/0!</v>
      </c>
      <c r="AQ95" s="129">
        <v>0</v>
      </c>
      <c r="AR95" s="129">
        <v>0.0380702540149722</v>
      </c>
    </row>
    <row r="96" customFormat="1" ht="22.5" customHeight="1" spans="1:44">
      <c r="A96" s="72">
        <v>12569</v>
      </c>
      <c r="B96" s="62" t="s">
        <v>153</v>
      </c>
      <c r="C96" s="63">
        <f>_xlfn.XLOOKUP(A96,[1]分配表!J:J,[1]分配表!L:L)</f>
        <v>46142</v>
      </c>
      <c r="D96" s="63">
        <f>IF(_xlfn.XLOOKUP(A96,[1]分配表!J:J,[1]分配表!M:M,"未出单")=0,"未出单",_xlfn.XLOOKUP(A96,[1]分配表!J:J,[1]分配表!M:M,"未出单"))</f>
        <v>46173</v>
      </c>
      <c r="E96" s="64" t="s">
        <v>57</v>
      </c>
      <c r="F96" s="126" t="str">
        <f>_xlfn.XLOOKUP(A96,[1]分配表!A:A,[1]分配表!C:C)</f>
        <v>张潇</v>
      </c>
      <c r="G96" s="126" t="str">
        <f>IF(_xlfn.XLOOKUP($A96,[1]分配表!$A:$A,[1]分配表!D:D)=0,"未分类",_xlfn.XLOOKUP($A96,[1]分配表!$A:$A,[1]分配表!D:D))</f>
        <v>其他</v>
      </c>
      <c r="H96" s="126" t="str">
        <f>_xlfn.XLOOKUP(A96,[1]分配表!J:J,[1]分配表!I:I)</f>
        <v>原开品</v>
      </c>
      <c r="I96" s="65">
        <f>COUNTIFS([1]月销售数据!L:L,A96,[1]月销售数据!M:M,"&gt;=2026-4-1",[1]月销售数据!M:M,"&lt;=2026-4-30")</f>
        <v>1</v>
      </c>
      <c r="J96" s="65">
        <f>COUNTIFS([1]月销售数据!L:L,A96,[1]月销售数据!M:M,"&gt;=2026-5-1",[1]月销售数据!M:M,"&lt;=2026-5-31")</f>
        <v>4</v>
      </c>
      <c r="K96" s="65" t="s">
        <v>103</v>
      </c>
      <c r="L96" s="127" t="s">
        <v>103</v>
      </c>
      <c r="M96" s="65" t="s">
        <v>137</v>
      </c>
      <c r="N96" s="127" t="s">
        <v>53</v>
      </c>
      <c r="O96" s="65">
        <v>0</v>
      </c>
      <c r="P96" s="65">
        <v>1</v>
      </c>
      <c r="Q96" s="67">
        <v>0</v>
      </c>
      <c r="R96" s="110">
        <v>45</v>
      </c>
      <c r="S96" s="65">
        <v>0</v>
      </c>
      <c r="T96" s="65">
        <v>11</v>
      </c>
      <c r="U96" s="65"/>
      <c r="V96" s="65">
        <f t="shared" si="1"/>
        <v>12</v>
      </c>
      <c r="W96" s="129">
        <v>0</v>
      </c>
      <c r="X96" s="128">
        <v>0.0833333333333333</v>
      </c>
      <c r="Y96" s="65">
        <v>0</v>
      </c>
      <c r="Z96" s="67">
        <v>0</v>
      </c>
      <c r="AA96" s="67">
        <v>0</v>
      </c>
      <c r="AB96" s="129" t="e">
        <v>#DIV/0!</v>
      </c>
      <c r="AC96" s="129" t="e">
        <v>#DIV/0!</v>
      </c>
      <c r="AD96" s="65">
        <v>0</v>
      </c>
      <c r="AE96" s="67">
        <v>0</v>
      </c>
      <c r="AF96" s="67">
        <v>51.23</v>
      </c>
      <c r="AG96" s="129" t="e">
        <v>#DIV/0!</v>
      </c>
      <c r="AH96" s="129">
        <v>1.13844444444444</v>
      </c>
      <c r="AI96" s="67">
        <v>0</v>
      </c>
      <c r="AJ96" s="67">
        <v>0</v>
      </c>
      <c r="AK96" s="129" t="e">
        <v>#DIV/0!</v>
      </c>
      <c r="AL96" s="129" t="e">
        <v>#DIV/0!</v>
      </c>
      <c r="AM96" s="129" t="e">
        <v>#DIV/0!</v>
      </c>
      <c r="AN96" s="67">
        <v>1</v>
      </c>
      <c r="AO96" s="67">
        <v>49.84</v>
      </c>
      <c r="AP96" s="129">
        <v>0.0200642054574639</v>
      </c>
      <c r="AQ96" s="129">
        <v>0.0222222222222222</v>
      </c>
      <c r="AR96" s="129">
        <v>1.20688888888889</v>
      </c>
    </row>
    <row r="97" customFormat="1" ht="22.5" customHeight="1" spans="1:44">
      <c r="A97" s="72">
        <v>12575</v>
      </c>
      <c r="B97" s="62" t="s">
        <v>154</v>
      </c>
      <c r="C97" s="63">
        <f>_xlfn.XLOOKUP(A97,[1]分配表!J:J,[1]分配表!L:L)</f>
        <v>46142</v>
      </c>
      <c r="D97" s="63">
        <f>IF(_xlfn.XLOOKUP(A97,[1]分配表!J:J,[1]分配表!M:M,"未出单")=0,"未出单",_xlfn.XLOOKUP(A97,[1]分配表!J:J,[1]分配表!M:M,"未出单"))</f>
        <v>46147</v>
      </c>
      <c r="E97" s="64" t="s">
        <v>52</v>
      </c>
      <c r="F97" s="126" t="str">
        <f>_xlfn.XLOOKUP(A97,[1]分配表!A:A,[1]分配表!C:C)</f>
        <v>胡煜星</v>
      </c>
      <c r="G97" s="126" t="str">
        <f>IF(_xlfn.XLOOKUP($A97,[1]分配表!$A:$A,[1]分配表!D:D)=0,"未分类",_xlfn.XLOOKUP($A97,[1]分配表!$A:$A,[1]分配表!D:D))</f>
        <v>其他</v>
      </c>
      <c r="H97" s="126" t="str">
        <f>_xlfn.XLOOKUP(A97,[1]分配表!J:J,[1]分配表!I:I)</f>
        <v>拓展品</v>
      </c>
      <c r="I97" s="65">
        <f>COUNTIFS([1]月销售数据!L:L,A97,[1]月销售数据!M:M,"&gt;=2026-4-1",[1]月销售数据!M:M,"&lt;=2026-4-30")</f>
        <v>1</v>
      </c>
      <c r="J97" s="65">
        <f>COUNTIFS([1]月销售数据!L:L,A97,[1]月销售数据!M:M,"&gt;=2026-5-1",[1]月销售数据!M:M,"&lt;=2026-5-31")</f>
        <v>2</v>
      </c>
      <c r="K97" s="65" t="s">
        <v>103</v>
      </c>
      <c r="L97" s="127" t="s">
        <v>46</v>
      </c>
      <c r="M97" s="65" t="s">
        <v>137</v>
      </c>
      <c r="N97" s="127" t="s">
        <v>47</v>
      </c>
      <c r="O97" s="65">
        <v>0</v>
      </c>
      <c r="P97" s="65">
        <v>2</v>
      </c>
      <c r="Q97" s="67">
        <v>0</v>
      </c>
      <c r="R97" s="110">
        <v>130</v>
      </c>
      <c r="S97" s="65">
        <v>0</v>
      </c>
      <c r="T97" s="65">
        <v>0</v>
      </c>
      <c r="U97" s="65"/>
      <c r="V97" s="65">
        <f t="shared" si="1"/>
        <v>2</v>
      </c>
      <c r="W97" s="129">
        <v>0</v>
      </c>
      <c r="X97" s="128">
        <v>1</v>
      </c>
      <c r="Y97" s="65">
        <v>0</v>
      </c>
      <c r="Z97" s="67">
        <v>0</v>
      </c>
      <c r="AA97" s="67">
        <v>0</v>
      </c>
      <c r="AB97" s="129" t="e">
        <v>#DIV/0!</v>
      </c>
      <c r="AC97" s="129" t="e">
        <v>#DIV/0!</v>
      </c>
      <c r="AD97" s="65">
        <v>0</v>
      </c>
      <c r="AE97" s="67">
        <v>0</v>
      </c>
      <c r="AF97" s="67">
        <v>2.11</v>
      </c>
      <c r="AG97" s="129" t="e">
        <v>#DIV/0!</v>
      </c>
      <c r="AH97" s="129">
        <v>0.0162307692307692</v>
      </c>
      <c r="AI97" s="67">
        <v>0</v>
      </c>
      <c r="AJ97" s="67">
        <v>0</v>
      </c>
      <c r="AK97" s="129" t="e">
        <v>#DIV/0!</v>
      </c>
      <c r="AL97" s="129" t="e">
        <v>#DIV/0!</v>
      </c>
      <c r="AM97" s="129" t="e">
        <v>#DIV/0!</v>
      </c>
      <c r="AN97" s="67">
        <v>0</v>
      </c>
      <c r="AO97" s="67">
        <v>0</v>
      </c>
      <c r="AP97" s="129" t="e">
        <v>#DIV/0!</v>
      </c>
      <c r="AQ97" s="129">
        <v>0</v>
      </c>
      <c r="AR97" s="129">
        <v>0.0379230769230769</v>
      </c>
    </row>
    <row r="98" customFormat="1" ht="22.5" customHeight="1" spans="1:44">
      <c r="A98" s="72">
        <v>12574</v>
      </c>
      <c r="B98" s="62" t="s">
        <v>155</v>
      </c>
      <c r="C98" s="63">
        <f>_xlfn.XLOOKUP(A98,[1]分配表!J:J,[1]分配表!L:L)</f>
        <v>46142</v>
      </c>
      <c r="D98" s="63">
        <f>IF(_xlfn.XLOOKUP(A98,[1]分配表!J:J,[1]分配表!M:M,"未出单")=0,"未出单",_xlfn.XLOOKUP(A98,[1]分配表!J:J,[1]分配表!M:M,"未出单"))</f>
        <v>46157</v>
      </c>
      <c r="E98" s="64" t="s">
        <v>52</v>
      </c>
      <c r="F98" s="126" t="str">
        <f>_xlfn.XLOOKUP(A98,[1]分配表!A:A,[1]分配表!C:C)</f>
        <v>胡煜星</v>
      </c>
      <c r="G98" s="126" t="str">
        <f>IF(_xlfn.XLOOKUP($A98,[1]分配表!$A:$A,[1]分配表!D:D)=0,"未分类",_xlfn.XLOOKUP($A98,[1]分配表!$A:$A,[1]分配表!D:D))</f>
        <v>其他</v>
      </c>
      <c r="H98" s="126" t="str">
        <f>_xlfn.XLOOKUP(A98,[1]分配表!J:J,[1]分配表!I:I)</f>
        <v>拓展品</v>
      </c>
      <c r="I98" s="65">
        <f>COUNTIFS([1]月销售数据!L:L,A98,[1]月销售数据!M:M,"&gt;=2026-4-1",[1]月销售数据!M:M,"&lt;=2026-4-30")</f>
        <v>1</v>
      </c>
      <c r="J98" s="65">
        <f>COUNTIFS([1]月销售数据!L:L,A98,[1]月销售数据!M:M,"&gt;=2026-5-1",[1]月销售数据!M:M,"&lt;=2026-5-31")</f>
        <v>3</v>
      </c>
      <c r="K98" s="65" t="s">
        <v>103</v>
      </c>
      <c r="L98" s="127" t="s">
        <v>58</v>
      </c>
      <c r="M98" s="65" t="s">
        <v>137</v>
      </c>
      <c r="N98" s="127" t="s">
        <v>47</v>
      </c>
      <c r="O98" s="65">
        <v>0</v>
      </c>
      <c r="P98" s="65">
        <v>4</v>
      </c>
      <c r="Q98" s="67">
        <v>0</v>
      </c>
      <c r="R98" s="110">
        <v>260</v>
      </c>
      <c r="S98" s="65">
        <v>0</v>
      </c>
      <c r="T98" s="65">
        <v>1</v>
      </c>
      <c r="U98" s="65"/>
      <c r="V98" s="65">
        <f t="shared" si="1"/>
        <v>5</v>
      </c>
      <c r="W98" s="129">
        <v>0</v>
      </c>
      <c r="X98" s="128">
        <v>0.8</v>
      </c>
      <c r="Y98" s="65">
        <v>0</v>
      </c>
      <c r="Z98" s="67">
        <v>0</v>
      </c>
      <c r="AA98" s="67">
        <v>0</v>
      </c>
      <c r="AB98" s="129" t="e">
        <v>#DIV/0!</v>
      </c>
      <c r="AC98" s="129" t="e">
        <v>#DIV/0!</v>
      </c>
      <c r="AD98" s="65">
        <v>1</v>
      </c>
      <c r="AE98" s="67">
        <v>70.47</v>
      </c>
      <c r="AF98" s="67">
        <v>4.68</v>
      </c>
      <c r="AG98" s="129">
        <v>0.0664112388250319</v>
      </c>
      <c r="AH98" s="129">
        <v>0.018</v>
      </c>
      <c r="AI98" s="67">
        <v>0</v>
      </c>
      <c r="AJ98" s="67">
        <v>0</v>
      </c>
      <c r="AK98" s="129" t="e">
        <v>#DIV/0!</v>
      </c>
      <c r="AL98" s="129" t="e">
        <v>#DIV/0!</v>
      </c>
      <c r="AM98" s="129" t="e">
        <v>#DIV/0!</v>
      </c>
      <c r="AN98" s="67">
        <v>0</v>
      </c>
      <c r="AO98" s="67">
        <v>0</v>
      </c>
      <c r="AP98" s="129" t="e">
        <v>#DIV/0!</v>
      </c>
      <c r="AQ98" s="129">
        <v>0</v>
      </c>
      <c r="AR98" s="129">
        <v>0.0244230769230769</v>
      </c>
    </row>
    <row r="99" customFormat="1" ht="22.5" customHeight="1" spans="1:44">
      <c r="A99" s="72">
        <v>12629</v>
      </c>
      <c r="B99" s="62" t="s">
        <v>156</v>
      </c>
      <c r="C99" s="63">
        <f>_xlfn.XLOOKUP(A99,[1]分配表!J:J,[1]分配表!L:L)</f>
        <v>46142</v>
      </c>
      <c r="D99" s="63">
        <f>IF(_xlfn.XLOOKUP(A99,[1]分配表!J:J,[1]分配表!M:M,"未出单")=0,"未出单",_xlfn.XLOOKUP(A99,[1]分配表!J:J,[1]分配表!M:M,"未出单"))</f>
        <v>46146</v>
      </c>
      <c r="E99" s="64" t="s">
        <v>76</v>
      </c>
      <c r="F99" s="126" t="str">
        <f>_xlfn.XLOOKUP(A99,[1]分配表!A:A,[1]分配表!C:C)</f>
        <v>王偲涵</v>
      </c>
      <c r="G99" s="126" t="str">
        <f>IF(_xlfn.XLOOKUP($A99,[1]分配表!$A:$A,[1]分配表!D:D)=0,"未分类",_xlfn.XLOOKUP($A99,[1]分配表!$A:$A,[1]分配表!D:D))</f>
        <v>挡泥板</v>
      </c>
      <c r="H99" s="126" t="str">
        <f>_xlfn.XLOOKUP(A99,[1]分配表!J:J,[1]分配表!I:I)</f>
        <v>原开品</v>
      </c>
      <c r="I99" s="65">
        <f>COUNTIFS([1]月销售数据!L:L,A99,[1]月销售数据!M:M,"&gt;=2026-4-1",[1]月销售数据!M:M,"&lt;=2026-4-30")</f>
        <v>1</v>
      </c>
      <c r="J99" s="65">
        <f>COUNTIFS([1]月销售数据!L:L,A99,[1]月销售数据!M:M,"&gt;=2026-5-1",[1]月销售数据!M:M,"&lt;=2026-5-31")</f>
        <v>2</v>
      </c>
      <c r="K99" s="65" t="s">
        <v>103</v>
      </c>
      <c r="L99" s="127" t="s">
        <v>46</v>
      </c>
      <c r="M99" s="65" t="s">
        <v>137</v>
      </c>
      <c r="N99" s="127" t="s">
        <v>53</v>
      </c>
      <c r="O99" s="65">
        <v>0</v>
      </c>
      <c r="P99" s="65">
        <v>7</v>
      </c>
      <c r="Q99" s="67">
        <v>0</v>
      </c>
      <c r="R99" s="110">
        <v>245</v>
      </c>
      <c r="S99" s="65">
        <v>0</v>
      </c>
      <c r="T99" s="65">
        <v>74</v>
      </c>
      <c r="U99" s="65"/>
      <c r="V99" s="65">
        <f t="shared" si="1"/>
        <v>81</v>
      </c>
      <c r="W99" s="129">
        <v>0</v>
      </c>
      <c r="X99" s="128">
        <v>0.0864197530864197</v>
      </c>
      <c r="Y99" s="65">
        <v>0</v>
      </c>
      <c r="Z99" s="67">
        <v>0</v>
      </c>
      <c r="AA99" s="67">
        <v>0</v>
      </c>
      <c r="AB99" s="129" t="e">
        <v>#DIV/0!</v>
      </c>
      <c r="AC99" s="129" t="e">
        <v>#DIV/0!</v>
      </c>
      <c r="AD99" s="65">
        <v>3</v>
      </c>
      <c r="AE99" s="67">
        <v>112.09</v>
      </c>
      <c r="AF99" s="67">
        <v>19.57</v>
      </c>
      <c r="AG99" s="129">
        <v>0.174591845838166</v>
      </c>
      <c r="AH99" s="129">
        <v>0.0798775510204082</v>
      </c>
      <c r="AI99" s="67">
        <v>0</v>
      </c>
      <c r="AJ99" s="67">
        <v>0</v>
      </c>
      <c r="AK99" s="129" t="e">
        <v>#DIV/0!</v>
      </c>
      <c r="AL99" s="129" t="e">
        <v>#DIV/0!</v>
      </c>
      <c r="AM99" s="129" t="e">
        <v>#DIV/0!</v>
      </c>
      <c r="AN99" s="67">
        <v>0</v>
      </c>
      <c r="AO99" s="67">
        <v>0</v>
      </c>
      <c r="AP99" s="129" t="e">
        <v>#DIV/0!</v>
      </c>
      <c r="AQ99" s="129">
        <v>0</v>
      </c>
      <c r="AR99" s="129">
        <v>0.084530612244898</v>
      </c>
    </row>
    <row r="100" customFormat="1" ht="22.5" customHeight="1" spans="1:44">
      <c r="A100" s="72">
        <v>12591</v>
      </c>
      <c r="B100" s="62" t="s">
        <v>157</v>
      </c>
      <c r="C100" s="63">
        <f>_xlfn.XLOOKUP(A100,[1]分配表!J:J,[1]分配表!L:L)</f>
        <v>46142</v>
      </c>
      <c r="D100" s="63">
        <f>IF(_xlfn.XLOOKUP(A100,[1]分配表!J:J,[1]分配表!M:M,"未出单")=0,"未出单",_xlfn.XLOOKUP(A100,[1]分配表!J:J,[1]分配表!M:M,"未出单"))</f>
        <v>46152</v>
      </c>
      <c r="E100" s="64" t="s">
        <v>76</v>
      </c>
      <c r="F100" s="126" t="str">
        <f>_xlfn.XLOOKUP(A100,[1]分配表!A:A,[1]分配表!C:C)</f>
        <v>王偲涵</v>
      </c>
      <c r="G100" s="126" t="str">
        <f>IF(_xlfn.XLOOKUP($A100,[1]分配表!$A:$A,[1]分配表!D:D)=0,"未分类",_xlfn.XLOOKUP($A100,[1]分配表!$A:$A,[1]分配表!D:D))</f>
        <v>车身外扩件</v>
      </c>
      <c r="H100" s="126" t="str">
        <f>_xlfn.XLOOKUP(A100,[1]分配表!J:J,[1]分配表!I:I)</f>
        <v>原开品</v>
      </c>
      <c r="I100" s="65">
        <f>COUNTIFS([1]月销售数据!L:L,A100,[1]月销售数据!M:M,"&gt;=2026-4-1",[1]月销售数据!M:M,"&lt;=2026-4-30")</f>
        <v>1</v>
      </c>
      <c r="J100" s="65">
        <f>COUNTIFS([1]月销售数据!L:L,A100,[1]月销售数据!M:M,"&gt;=2026-5-1",[1]月销售数据!M:M,"&lt;=2026-5-31")</f>
        <v>2</v>
      </c>
      <c r="K100" s="65" t="s">
        <v>103</v>
      </c>
      <c r="L100" s="127" t="s">
        <v>58</v>
      </c>
      <c r="M100" s="65" t="s">
        <v>137</v>
      </c>
      <c r="N100" s="127" t="s">
        <v>53</v>
      </c>
      <c r="O100" s="65">
        <v>0</v>
      </c>
      <c r="P100" s="65">
        <v>6</v>
      </c>
      <c r="Q100" s="67">
        <v>0</v>
      </c>
      <c r="R100" s="110">
        <v>750</v>
      </c>
      <c r="S100" s="65">
        <v>0</v>
      </c>
      <c r="T100" s="65">
        <v>5</v>
      </c>
      <c r="U100" s="65"/>
      <c r="V100" s="65">
        <f t="shared" si="1"/>
        <v>11</v>
      </c>
      <c r="W100" s="129">
        <v>0</v>
      </c>
      <c r="X100" s="128">
        <v>0.545454545454545</v>
      </c>
      <c r="Y100" s="65">
        <v>0</v>
      </c>
      <c r="Z100" s="67">
        <v>0</v>
      </c>
      <c r="AA100" s="67">
        <v>0</v>
      </c>
      <c r="AB100" s="129" t="e">
        <v>#DIV/0!</v>
      </c>
      <c r="AC100" s="129" t="e">
        <v>#DIV/0!</v>
      </c>
      <c r="AD100" s="65">
        <v>5</v>
      </c>
      <c r="AE100" s="67">
        <v>676.88</v>
      </c>
      <c r="AF100" s="67">
        <v>38.75</v>
      </c>
      <c r="AG100" s="129">
        <v>0.0572479612338967</v>
      </c>
      <c r="AH100" s="129">
        <v>0.0516666666666667</v>
      </c>
      <c r="AI100" s="67">
        <v>0</v>
      </c>
      <c r="AJ100" s="67">
        <v>0</v>
      </c>
      <c r="AK100" s="129" t="e">
        <v>#DIV/0!</v>
      </c>
      <c r="AL100" s="129" t="e">
        <v>#DIV/0!</v>
      </c>
      <c r="AM100" s="129" t="e">
        <v>#DIV/0!</v>
      </c>
      <c r="AN100" s="67">
        <v>0</v>
      </c>
      <c r="AO100" s="67">
        <v>0</v>
      </c>
      <c r="AP100" s="129" t="e">
        <v>#DIV/0!</v>
      </c>
      <c r="AQ100" s="129">
        <v>0</v>
      </c>
      <c r="AR100" s="129">
        <v>0.05264</v>
      </c>
    </row>
    <row r="101" customFormat="1" ht="22.5" customHeight="1" spans="1:44">
      <c r="A101" s="72">
        <v>12606</v>
      </c>
      <c r="B101" s="62" t="s">
        <v>158</v>
      </c>
      <c r="C101" s="63">
        <f>_xlfn.XLOOKUP(A101,[1]分配表!J:J,[1]分配表!L:L)</f>
        <v>46142</v>
      </c>
      <c r="D101" s="63" t="str">
        <f>IF(_xlfn.XLOOKUP(A101,[1]分配表!J:J,[1]分配表!M:M,"未出单")=0,"未出单",_xlfn.XLOOKUP(A101,[1]分配表!J:J,[1]分配表!M:M,"未出单"))</f>
        <v>未出单</v>
      </c>
      <c r="E101" s="64" t="s">
        <v>76</v>
      </c>
      <c r="F101" s="126" t="str">
        <f>_xlfn.XLOOKUP(A101,[1]分配表!A:A,[1]分配表!C:C)</f>
        <v>王偲涵</v>
      </c>
      <c r="G101" s="126" t="str">
        <f>IF(_xlfn.XLOOKUP($A101,[1]分配表!$A:$A,[1]分配表!D:D)=0,"未分类",_xlfn.XLOOKUP($A101,[1]分配表!$A:$A,[1]分配表!D:D))</f>
        <v>车身外扩件</v>
      </c>
      <c r="H101" s="126" t="str">
        <f>_xlfn.XLOOKUP(A101,[1]分配表!J:J,[1]分配表!I:I)</f>
        <v>原开品</v>
      </c>
      <c r="I101" s="65">
        <f>COUNTIFS([1]月销售数据!L:L,A101,[1]月销售数据!M:M,"&gt;=2026-4-1",[1]月销售数据!M:M,"&lt;=2026-4-30")</f>
        <v>1</v>
      </c>
      <c r="J101" s="65">
        <f>COUNTIFS([1]月销售数据!L:L,A101,[1]月销售数据!M:M,"&gt;=2026-5-1",[1]月销售数据!M:M,"&lt;=2026-5-31")</f>
        <v>3</v>
      </c>
      <c r="K101" s="65" t="s">
        <v>103</v>
      </c>
      <c r="L101" s="127" t="s">
        <v>103</v>
      </c>
      <c r="M101" s="65" t="s">
        <v>137</v>
      </c>
      <c r="N101" s="127" t="s">
        <v>77</v>
      </c>
      <c r="O101" s="65">
        <v>0</v>
      </c>
      <c r="P101" s="65">
        <v>0</v>
      </c>
      <c r="Q101" s="67">
        <v>0</v>
      </c>
      <c r="R101" s="110">
        <v>0</v>
      </c>
      <c r="S101" s="65">
        <v>0</v>
      </c>
      <c r="T101" s="65">
        <v>0</v>
      </c>
      <c r="U101" s="65"/>
      <c r="V101" s="65">
        <f t="shared" si="1"/>
        <v>0</v>
      </c>
      <c r="W101" s="129">
        <v>0</v>
      </c>
      <c r="X101" s="128" t="s">
        <v>106</v>
      </c>
      <c r="Y101" s="65">
        <v>0</v>
      </c>
      <c r="Z101" s="67">
        <v>0</v>
      </c>
      <c r="AA101" s="67">
        <v>0</v>
      </c>
      <c r="AB101" s="129" t="e">
        <v>#DIV/0!</v>
      </c>
      <c r="AC101" s="129" t="e">
        <v>#DIV/0!</v>
      </c>
      <c r="AD101" s="65">
        <v>0</v>
      </c>
      <c r="AE101" s="67">
        <v>0</v>
      </c>
      <c r="AF101" s="67">
        <v>7.93</v>
      </c>
      <c r="AG101" s="129" t="e">
        <v>#DIV/0!</v>
      </c>
      <c r="AH101" s="129" t="e">
        <v>#DIV/0!</v>
      </c>
      <c r="AI101" s="67">
        <v>0</v>
      </c>
      <c r="AJ101" s="67">
        <v>0</v>
      </c>
      <c r="AK101" s="129" t="e">
        <v>#DIV/0!</v>
      </c>
      <c r="AL101" s="129" t="e">
        <v>#DIV/0!</v>
      </c>
      <c r="AM101" s="129" t="e">
        <v>#DIV/0!</v>
      </c>
      <c r="AN101" s="67">
        <v>0</v>
      </c>
      <c r="AO101" s="67">
        <v>0</v>
      </c>
      <c r="AP101" s="129" t="e">
        <v>#DIV/0!</v>
      </c>
      <c r="AQ101" s="129" t="e">
        <v>#DIV/0!</v>
      </c>
      <c r="AR101" s="129" t="e">
        <v>#DIV/0!</v>
      </c>
    </row>
    <row r="102" customFormat="1" ht="22.5" customHeight="1" spans="1:44">
      <c r="A102" s="72">
        <v>12614</v>
      </c>
      <c r="B102" s="62" t="s">
        <v>159</v>
      </c>
      <c r="C102" s="63">
        <f>_xlfn.XLOOKUP(A102,[1]分配表!J:J,[1]分配表!L:L)</f>
        <v>46142</v>
      </c>
      <c r="D102" s="63">
        <f>IF(_xlfn.XLOOKUP(A102,[1]分配表!J:J,[1]分配表!M:M,"未出单")=0,"未出单",_xlfn.XLOOKUP(A102,[1]分配表!J:J,[1]分配表!M:M,"未出单"))</f>
        <v>46153</v>
      </c>
      <c r="E102" s="64" t="s">
        <v>45</v>
      </c>
      <c r="F102" s="126" t="str">
        <f>_xlfn.XLOOKUP(A102,[1]分配表!A:A,[1]分配表!C:C)</f>
        <v>朱培源</v>
      </c>
      <c r="G102" s="126" t="str">
        <f>IF(_xlfn.XLOOKUP($A102,[1]分配表!$A:$A,[1]分配表!D:D)=0,"未分类",_xlfn.XLOOKUP($A102,[1]分配表!$A:$A,[1]分配表!D:D))</f>
        <v>挡泥板</v>
      </c>
      <c r="H102" s="126" t="str">
        <f>_xlfn.XLOOKUP(A102,[1]分配表!J:J,[1]分配表!I:I)</f>
        <v>原开品</v>
      </c>
      <c r="I102" s="65">
        <f>COUNTIFS([1]月销售数据!L:L,A102,[1]月销售数据!M:M,"&gt;=2026-4-1",[1]月销售数据!M:M,"&lt;=2026-4-30")</f>
        <v>1</v>
      </c>
      <c r="J102" s="65">
        <f>COUNTIFS([1]月销售数据!L:L,A102,[1]月销售数据!M:M,"&gt;=2026-5-1",[1]月销售数据!M:M,"&lt;=2026-5-31")</f>
        <v>1</v>
      </c>
      <c r="K102" s="65" t="s">
        <v>103</v>
      </c>
      <c r="L102" s="127" t="s">
        <v>58</v>
      </c>
      <c r="M102" s="65" t="s">
        <v>137</v>
      </c>
      <c r="N102" s="127" t="s">
        <v>48</v>
      </c>
      <c r="O102" s="65">
        <v>0</v>
      </c>
      <c r="P102" s="65">
        <v>8</v>
      </c>
      <c r="Q102" s="67">
        <v>0</v>
      </c>
      <c r="R102" s="110">
        <v>1032</v>
      </c>
      <c r="S102" s="65">
        <v>0</v>
      </c>
      <c r="T102" s="65">
        <v>20</v>
      </c>
      <c r="U102" s="65"/>
      <c r="V102" s="65">
        <f t="shared" si="1"/>
        <v>28</v>
      </c>
      <c r="W102" s="129">
        <v>0</v>
      </c>
      <c r="X102" s="128">
        <v>0.285714285714286</v>
      </c>
      <c r="Y102" s="65">
        <v>0</v>
      </c>
      <c r="Z102" s="67">
        <v>0</v>
      </c>
      <c r="AA102" s="67">
        <v>0</v>
      </c>
      <c r="AB102" s="129" t="e">
        <v>#DIV/0!</v>
      </c>
      <c r="AC102" s="129" t="e">
        <v>#DIV/0!</v>
      </c>
      <c r="AD102" s="65">
        <v>0</v>
      </c>
      <c r="AE102" s="67">
        <v>0</v>
      </c>
      <c r="AF102" s="67">
        <v>0</v>
      </c>
      <c r="AG102" s="129" t="e">
        <v>#DIV/0!</v>
      </c>
      <c r="AH102" s="129">
        <v>0</v>
      </c>
      <c r="AI102" s="67">
        <v>0</v>
      </c>
      <c r="AJ102" s="67">
        <v>0</v>
      </c>
      <c r="AK102" s="129" t="e">
        <v>#DIV/0!</v>
      </c>
      <c r="AL102" s="129" t="e">
        <v>#DIV/0!</v>
      </c>
      <c r="AM102" s="129" t="e">
        <v>#DIV/0!</v>
      </c>
      <c r="AN102" s="67">
        <v>0</v>
      </c>
      <c r="AO102" s="67">
        <v>0</v>
      </c>
      <c r="AP102" s="129" t="e">
        <v>#DIV/0!</v>
      </c>
      <c r="AQ102" s="129">
        <v>0</v>
      </c>
      <c r="AR102" s="129">
        <v>0.0116279069767442</v>
      </c>
    </row>
    <row r="103" customFormat="1" ht="22.5" customHeight="1" spans="1:44">
      <c r="A103" s="72">
        <v>12532</v>
      </c>
      <c r="B103" s="62" t="s">
        <v>160</v>
      </c>
      <c r="C103" s="63">
        <f>_xlfn.XLOOKUP(A103,[1]分配表!J:J,[1]分配表!L:L)</f>
        <v>46151</v>
      </c>
      <c r="D103" s="63" t="str">
        <f>IF(_xlfn.XLOOKUP(A103,[1]分配表!J:J,[1]分配表!M:M,"未出单")=0,"未出单",_xlfn.XLOOKUP(A103,[1]分配表!J:J,[1]分配表!M:M,"未出单"))</f>
        <v>未出单</v>
      </c>
      <c r="E103" s="64" t="s">
        <v>161</v>
      </c>
      <c r="F103" s="126" t="str">
        <f>_xlfn.XLOOKUP(A103,[1]分配表!A:A,[1]分配表!C:C)</f>
        <v>朱培源</v>
      </c>
      <c r="G103" s="126" t="str">
        <f>IF(_xlfn.XLOOKUP($A103,[1]分配表!$A:$A,[1]分配表!D:D)=0,"未分类",_xlfn.XLOOKUP($A103,[1]分配表!$A:$A,[1]分配表!D:D))</f>
        <v>挡泥板</v>
      </c>
      <c r="H103" s="126" t="str">
        <f>_xlfn.XLOOKUP(A103,[1]分配表!J:J,[1]分配表!I:I)</f>
        <v>原开品</v>
      </c>
      <c r="I103" s="65"/>
      <c r="J103" s="65">
        <f>COUNTIFS([1]月销售数据!L:L,A103,[1]月销售数据!M:M,"&gt;=2026-5-1",[1]月销售数据!M:M,"&lt;=2026-5-31")</f>
        <v>2</v>
      </c>
      <c r="K103" s="65"/>
      <c r="L103" s="127" t="s">
        <v>103</v>
      </c>
      <c r="M103" s="65"/>
      <c r="N103" s="127" t="s">
        <v>53</v>
      </c>
      <c r="O103" s="65"/>
      <c r="P103" s="65">
        <v>0</v>
      </c>
      <c r="Q103" s="65"/>
      <c r="R103" s="110">
        <v>0</v>
      </c>
      <c r="S103" s="65"/>
      <c r="T103" s="65">
        <v>2</v>
      </c>
      <c r="U103" s="65"/>
      <c r="V103" s="65">
        <f t="shared" si="1"/>
        <v>2</v>
      </c>
      <c r="W103" s="129"/>
      <c r="X103" s="128">
        <v>0</v>
      </c>
      <c r="Y103" s="65"/>
      <c r="Z103" s="67"/>
      <c r="AA103" s="67"/>
      <c r="AB103" s="129"/>
      <c r="AC103" s="129"/>
      <c r="AD103" s="65">
        <v>0</v>
      </c>
      <c r="AE103" s="67">
        <v>0</v>
      </c>
      <c r="AF103" s="67">
        <v>42.49</v>
      </c>
      <c r="AG103" s="129" t="e">
        <v>#DIV/0!</v>
      </c>
      <c r="AH103" s="129" t="e">
        <v>#DIV/0!</v>
      </c>
      <c r="AI103" s="67"/>
      <c r="AJ103" s="67"/>
      <c r="AK103" s="129"/>
      <c r="AL103" s="129"/>
      <c r="AM103" s="129"/>
      <c r="AN103" s="67">
        <v>0</v>
      </c>
      <c r="AO103" s="67">
        <v>0</v>
      </c>
      <c r="AP103" s="129" t="e">
        <v>#DIV/0!</v>
      </c>
      <c r="AQ103" s="129" t="e">
        <v>#DIV/0!</v>
      </c>
      <c r="AR103" s="129" t="e">
        <v>#DIV/0!</v>
      </c>
    </row>
    <row r="104" customFormat="1" ht="22.5" customHeight="1" spans="1:44">
      <c r="A104" s="72">
        <v>12713</v>
      </c>
      <c r="B104" s="62" t="s">
        <v>162</v>
      </c>
      <c r="C104" s="63">
        <f>_xlfn.XLOOKUP(A104,[1]分配表!J:J,[1]分配表!L:L)</f>
        <v>46151</v>
      </c>
      <c r="D104" s="63">
        <f>IF(_xlfn.XLOOKUP(A104,[1]分配表!J:J,[1]分配表!M:M,"未出单")=0,"未出单",_xlfn.XLOOKUP(A104,[1]分配表!J:J,[1]分配表!M:M,"未出单"))</f>
        <v>46153</v>
      </c>
      <c r="E104" s="64" t="s">
        <v>161</v>
      </c>
      <c r="F104" s="126" t="str">
        <f>_xlfn.XLOOKUP(A104,[1]分配表!A:A,[1]分配表!C:C)</f>
        <v>朱培源</v>
      </c>
      <c r="G104" s="126" t="str">
        <f>IF(_xlfn.XLOOKUP($A104,[1]分配表!$A:$A,[1]分配表!D:D)=0,"未分类",_xlfn.XLOOKUP($A104,[1]分配表!$A:$A,[1]分配表!D:D))</f>
        <v>机盖及附件</v>
      </c>
      <c r="H104" s="126" t="str">
        <f>_xlfn.XLOOKUP(A104,[1]分配表!J:J,[1]分配表!I:I)</f>
        <v>原开品</v>
      </c>
      <c r="I104" s="65"/>
      <c r="J104" s="65">
        <f>COUNTIFS([1]月销售数据!L:L,A104,[1]月销售数据!M:M,"&gt;=2026-5-1",[1]月销售数据!M:M,"&lt;=2026-5-31")</f>
        <v>2</v>
      </c>
      <c r="K104" s="65"/>
      <c r="L104" s="127" t="s">
        <v>46</v>
      </c>
      <c r="M104" s="65"/>
      <c r="N104" s="127" t="s">
        <v>47</v>
      </c>
      <c r="O104" s="65"/>
      <c r="P104" s="65">
        <v>5</v>
      </c>
      <c r="Q104" s="65"/>
      <c r="R104" s="110">
        <v>695</v>
      </c>
      <c r="S104" s="65"/>
      <c r="T104" s="65">
        <v>3</v>
      </c>
      <c r="U104" s="65"/>
      <c r="V104" s="65">
        <f t="shared" si="1"/>
        <v>8</v>
      </c>
      <c r="W104" s="129"/>
      <c r="X104" s="128">
        <v>0.625</v>
      </c>
      <c r="Y104" s="65"/>
      <c r="Z104" s="67"/>
      <c r="AA104" s="67"/>
      <c r="AB104" s="129"/>
      <c r="AC104" s="129"/>
      <c r="AD104" s="65">
        <v>3</v>
      </c>
      <c r="AE104" s="67">
        <v>438.11</v>
      </c>
      <c r="AF104" s="67">
        <v>4.61</v>
      </c>
      <c r="AG104" s="129">
        <v>0.010522471525416</v>
      </c>
      <c r="AH104" s="129">
        <v>0.00663309352517986</v>
      </c>
      <c r="AI104" s="67"/>
      <c r="AJ104" s="67"/>
      <c r="AK104" s="129"/>
      <c r="AL104" s="129"/>
      <c r="AM104" s="129"/>
      <c r="AN104" s="67">
        <v>2.99</v>
      </c>
      <c r="AO104" s="67">
        <v>149.56</v>
      </c>
      <c r="AP104" s="129">
        <v>0.0199919764642953</v>
      </c>
      <c r="AQ104" s="129">
        <v>0.0043021582733813</v>
      </c>
      <c r="AR104" s="129">
        <v>0.0117122302158273</v>
      </c>
    </row>
    <row r="105" customFormat="1" ht="22.5" customHeight="1" spans="1:44">
      <c r="A105" s="72">
        <v>12732</v>
      </c>
      <c r="B105" s="62" t="s">
        <v>163</v>
      </c>
      <c r="C105" s="63">
        <f>_xlfn.XLOOKUP(A105,[1]分配表!J:J,[1]分配表!L:L)</f>
        <v>46151</v>
      </c>
      <c r="D105" s="63">
        <f>IF(_xlfn.XLOOKUP(A105,[1]分配表!J:J,[1]分配表!M:M,"未出单")=0,"未出单",_xlfn.XLOOKUP(A105,[1]分配表!J:J,[1]分配表!M:M,"未出单"))</f>
        <v>46160</v>
      </c>
      <c r="E105" s="64" t="s">
        <v>161</v>
      </c>
      <c r="F105" s="126" t="str">
        <f>_xlfn.XLOOKUP(A105,[1]分配表!A:A,[1]分配表!C:C)</f>
        <v>章鹏</v>
      </c>
      <c r="G105" s="126" t="str">
        <f>IF(_xlfn.XLOOKUP($A105,[1]分配表!$A:$A,[1]分配表!D:D)=0,"未分类",_xlfn.XLOOKUP($A105,[1]分配表!$A:$A,[1]分配表!D:D))</f>
        <v>其他</v>
      </c>
      <c r="H105" s="126" t="str">
        <f>_xlfn.XLOOKUP(A105,[1]分配表!J:J,[1]分配表!I:I)</f>
        <v>原开品</v>
      </c>
      <c r="I105" s="65"/>
      <c r="J105" s="65">
        <f>COUNTIFS([1]月销售数据!L:L,A105,[1]月销售数据!M:M,"&gt;=2026-5-1",[1]月销售数据!M:M,"&lt;=2026-5-31")</f>
        <v>2</v>
      </c>
      <c r="K105" s="65"/>
      <c r="L105" s="127" t="s">
        <v>58</v>
      </c>
      <c r="M105" s="65"/>
      <c r="N105" s="127" t="s">
        <v>47</v>
      </c>
      <c r="O105" s="65"/>
      <c r="P105" s="65">
        <v>1</v>
      </c>
      <c r="Q105" s="65"/>
      <c r="R105" s="110">
        <v>109</v>
      </c>
      <c r="S105" s="65"/>
      <c r="T105" s="65">
        <v>0</v>
      </c>
      <c r="U105" s="65"/>
      <c r="V105" s="65">
        <f t="shared" si="1"/>
        <v>1</v>
      </c>
      <c r="W105" s="129"/>
      <c r="X105" s="128">
        <v>1</v>
      </c>
      <c r="Y105" s="65"/>
      <c r="Z105" s="67"/>
      <c r="AA105" s="67"/>
      <c r="AB105" s="129"/>
      <c r="AC105" s="129"/>
      <c r="AD105" s="65">
        <v>0</v>
      </c>
      <c r="AE105" s="67">
        <v>0</v>
      </c>
      <c r="AF105" s="67">
        <v>7.99</v>
      </c>
      <c r="AG105" s="129" t="e">
        <v>#DIV/0!</v>
      </c>
      <c r="AH105" s="129">
        <v>0.073302752293578</v>
      </c>
      <c r="AI105" s="67"/>
      <c r="AJ105" s="67"/>
      <c r="AK105" s="129"/>
      <c r="AL105" s="129"/>
      <c r="AM105" s="129"/>
      <c r="AN105" s="67">
        <v>0</v>
      </c>
      <c r="AO105" s="67">
        <v>0</v>
      </c>
      <c r="AP105" s="129" t="e">
        <v>#DIV/0!</v>
      </c>
      <c r="AQ105" s="129">
        <v>0</v>
      </c>
      <c r="AR105" s="129">
        <v>0.073302752293578</v>
      </c>
    </row>
    <row r="106" customFormat="1" ht="22.5" customHeight="1" spans="1:44">
      <c r="A106" s="72">
        <v>12658</v>
      </c>
      <c r="B106" s="62" t="s">
        <v>164</v>
      </c>
      <c r="C106" s="63">
        <f>_xlfn.XLOOKUP(A106,[1]分配表!J:J,[1]分配表!L:L)</f>
        <v>46151</v>
      </c>
      <c r="D106" s="63">
        <f>IF(_xlfn.XLOOKUP(A106,[1]分配表!J:J,[1]分配表!M:M,"未出单")=0,"未出单",_xlfn.XLOOKUP(A106,[1]分配表!J:J,[1]分配表!M:M,"未出单"))</f>
        <v>46153</v>
      </c>
      <c r="E106" s="64" t="s">
        <v>161</v>
      </c>
      <c r="F106" s="126" t="str">
        <f>_xlfn.XLOOKUP(A106,[1]分配表!A:A,[1]分配表!C:C)</f>
        <v>张潇</v>
      </c>
      <c r="G106" s="126" t="str">
        <f>IF(_xlfn.XLOOKUP($A106,[1]分配表!$A:$A,[1]分配表!D:D)=0,"未分类",_xlfn.XLOOKUP($A106,[1]分配表!$A:$A,[1]分配表!D:D))</f>
        <v>机盖及附件</v>
      </c>
      <c r="H106" s="126" t="str">
        <f>_xlfn.XLOOKUP(A106,[1]分配表!J:J,[1]分配表!I:I)</f>
        <v>拓展品</v>
      </c>
      <c r="I106" s="65"/>
      <c r="J106" s="65">
        <f>COUNTIFS([1]月销售数据!L:L,A106,[1]月销售数据!M:M,"&gt;=2026-5-1",[1]月销售数据!M:M,"&lt;=2026-5-31")</f>
        <v>2</v>
      </c>
      <c r="K106" s="65"/>
      <c r="L106" s="127" t="s">
        <v>46</v>
      </c>
      <c r="M106" s="65"/>
      <c r="N106" s="127" t="s">
        <v>53</v>
      </c>
      <c r="O106" s="65"/>
      <c r="P106" s="65">
        <v>11</v>
      </c>
      <c r="Q106" s="65"/>
      <c r="R106" s="110">
        <v>1023</v>
      </c>
      <c r="S106" s="65"/>
      <c r="T106" s="65">
        <v>6</v>
      </c>
      <c r="U106" s="65"/>
      <c r="V106" s="65">
        <f t="shared" si="1"/>
        <v>17</v>
      </c>
      <c r="W106" s="129"/>
      <c r="X106" s="128">
        <v>0.647058823529412</v>
      </c>
      <c r="Y106" s="65"/>
      <c r="Z106" s="67"/>
      <c r="AA106" s="67"/>
      <c r="AB106" s="129"/>
      <c r="AC106" s="129"/>
      <c r="AD106" s="65">
        <v>5</v>
      </c>
      <c r="AE106" s="67">
        <v>461.02</v>
      </c>
      <c r="AF106" s="67">
        <v>36.45</v>
      </c>
      <c r="AG106" s="129">
        <v>0.0790638150188712</v>
      </c>
      <c r="AH106" s="129">
        <v>0.0356304985337243</v>
      </c>
      <c r="AI106" s="67"/>
      <c r="AJ106" s="67"/>
      <c r="AK106" s="129"/>
      <c r="AL106" s="129"/>
      <c r="AM106" s="129"/>
      <c r="AN106" s="67">
        <v>9.63</v>
      </c>
      <c r="AO106" s="67">
        <v>275.09</v>
      </c>
      <c r="AP106" s="129">
        <v>0.0350067250717947</v>
      </c>
      <c r="AQ106" s="129">
        <v>0.00941348973607038</v>
      </c>
      <c r="AR106" s="129">
        <v>0.0502541544477028</v>
      </c>
    </row>
    <row r="107" customFormat="1" ht="22.5" customHeight="1" spans="1:44">
      <c r="A107" s="72">
        <v>12741</v>
      </c>
      <c r="B107" s="62" t="s">
        <v>165</v>
      </c>
      <c r="C107" s="63">
        <f>_xlfn.XLOOKUP(A107,[1]分配表!J:J,[1]分配表!L:L)</f>
        <v>46151</v>
      </c>
      <c r="D107" s="63">
        <f>IF(_xlfn.XLOOKUP(A107,[1]分配表!J:J,[1]分配表!M:M,"未出单")=0,"未出单",_xlfn.XLOOKUP(A107,[1]分配表!J:J,[1]分配表!M:M,"未出单"))</f>
        <v>46163</v>
      </c>
      <c r="E107" s="64" t="s">
        <v>161</v>
      </c>
      <c r="F107" s="126" t="str">
        <f>_xlfn.XLOOKUP(A107,[1]分配表!A:A,[1]分配表!C:C)</f>
        <v>胡煜星</v>
      </c>
      <c r="G107" s="126" t="str">
        <f>IF(_xlfn.XLOOKUP($A107,[1]分配表!$A:$A,[1]分配表!D:D)=0,"未分类",_xlfn.XLOOKUP($A107,[1]分配表!$A:$A,[1]分配表!D:D))</f>
        <v>其他</v>
      </c>
      <c r="H107" s="126" t="str">
        <f>_xlfn.XLOOKUP(A107,[1]分配表!J:J,[1]分配表!I:I)</f>
        <v>原开品</v>
      </c>
      <c r="I107" s="65"/>
      <c r="J107" s="65">
        <f>COUNTIFS([1]月销售数据!L:L,A107,[1]月销售数据!M:M,"&gt;=2026-5-1",[1]月销售数据!M:M,"&lt;=2026-5-31")</f>
        <v>5</v>
      </c>
      <c r="K107" s="65"/>
      <c r="L107" s="127" t="s">
        <v>58</v>
      </c>
      <c r="M107" s="65"/>
      <c r="N107" s="127" t="s">
        <v>53</v>
      </c>
      <c r="O107" s="65"/>
      <c r="P107" s="65">
        <v>1</v>
      </c>
      <c r="Q107" s="65"/>
      <c r="R107" s="110">
        <v>96</v>
      </c>
      <c r="S107" s="65"/>
      <c r="T107" s="65">
        <v>2</v>
      </c>
      <c r="U107" s="65"/>
      <c r="V107" s="65">
        <f t="shared" si="1"/>
        <v>3</v>
      </c>
      <c r="W107" s="129"/>
      <c r="X107" s="128">
        <v>0.333333333333333</v>
      </c>
      <c r="Y107" s="65"/>
      <c r="Z107" s="67"/>
      <c r="AA107" s="67"/>
      <c r="AB107" s="129"/>
      <c r="AC107" s="129"/>
      <c r="AD107" s="65">
        <v>0</v>
      </c>
      <c r="AE107" s="67">
        <v>0</v>
      </c>
      <c r="AF107" s="67">
        <v>13.14</v>
      </c>
      <c r="AG107" s="129" t="e">
        <v>#DIV/0!</v>
      </c>
      <c r="AH107" s="129">
        <v>0.136875</v>
      </c>
      <c r="AI107" s="67"/>
      <c r="AJ107" s="67"/>
      <c r="AK107" s="129"/>
      <c r="AL107" s="129"/>
      <c r="AM107" s="129"/>
      <c r="AN107" s="67">
        <v>0</v>
      </c>
      <c r="AO107" s="67">
        <v>0</v>
      </c>
      <c r="AP107" s="129" t="e">
        <v>#DIV/0!</v>
      </c>
      <c r="AQ107" s="129">
        <v>0</v>
      </c>
      <c r="AR107" s="129">
        <v>0.144479166666667</v>
      </c>
    </row>
    <row r="108" customFormat="1" ht="22.5" customHeight="1" spans="1:44">
      <c r="A108" s="72">
        <v>12740</v>
      </c>
      <c r="B108" s="62" t="s">
        <v>166</v>
      </c>
      <c r="C108" s="63">
        <f>_xlfn.XLOOKUP(A108,[1]分配表!J:J,[1]分配表!L:L)</f>
        <v>46151</v>
      </c>
      <c r="D108" s="63">
        <f>IF(_xlfn.XLOOKUP(A108,[1]分配表!J:J,[1]分配表!M:M,"未出单")=0,"未出单",_xlfn.XLOOKUP(A108,[1]分配表!J:J,[1]分配表!M:M,"未出单"))</f>
        <v>46162</v>
      </c>
      <c r="E108" s="64" t="s">
        <v>161</v>
      </c>
      <c r="F108" s="126" t="str">
        <f>_xlfn.XLOOKUP(A108,[1]分配表!A:A,[1]分配表!C:C)</f>
        <v>胡煜星</v>
      </c>
      <c r="G108" s="126" t="str">
        <f>IF(_xlfn.XLOOKUP($A108,[1]分配表!$A:$A,[1]分配表!D:D)=0,"未分类",_xlfn.XLOOKUP($A108,[1]分配表!$A:$A,[1]分配表!D:D))</f>
        <v>其他</v>
      </c>
      <c r="H108" s="126" t="str">
        <f>_xlfn.XLOOKUP(A108,[1]分配表!J:J,[1]分配表!I:I)</f>
        <v>原开品</v>
      </c>
      <c r="I108" s="65"/>
      <c r="J108" s="65">
        <f>COUNTIFS([1]月销售数据!L:L,A108,[1]月销售数据!M:M,"&gt;=2026-5-1",[1]月销售数据!M:M,"&lt;=2026-5-31")</f>
        <v>5</v>
      </c>
      <c r="K108" s="127"/>
      <c r="L108" s="127" t="s">
        <v>58</v>
      </c>
      <c r="M108" s="127"/>
      <c r="N108" s="127" t="s">
        <v>48</v>
      </c>
      <c r="O108" s="65"/>
      <c r="P108" s="65">
        <v>3</v>
      </c>
      <c r="Q108" s="67"/>
      <c r="R108" s="110">
        <v>297</v>
      </c>
      <c r="S108" s="65"/>
      <c r="T108" s="65">
        <v>0</v>
      </c>
      <c r="U108" s="65"/>
      <c r="V108" s="65">
        <f t="shared" si="1"/>
        <v>3</v>
      </c>
      <c r="W108" s="128"/>
      <c r="X108" s="128">
        <v>1</v>
      </c>
      <c r="Y108" s="65"/>
      <c r="Z108" s="67"/>
      <c r="AA108" s="67"/>
      <c r="AB108" s="128"/>
      <c r="AC108" s="128"/>
      <c r="AD108" s="65">
        <v>0</v>
      </c>
      <c r="AE108" s="67">
        <v>0</v>
      </c>
      <c r="AF108" s="67">
        <v>0</v>
      </c>
      <c r="AG108" s="129" t="e">
        <v>#DIV/0!</v>
      </c>
      <c r="AH108" s="129">
        <v>0</v>
      </c>
      <c r="AI108" s="67"/>
      <c r="AJ108" s="67"/>
      <c r="AK108" s="129"/>
      <c r="AL108" s="128"/>
      <c r="AM108" s="128"/>
      <c r="AN108" s="67">
        <v>0</v>
      </c>
      <c r="AO108" s="67">
        <v>0</v>
      </c>
      <c r="AP108" s="129" t="e">
        <v>#DIV/0!</v>
      </c>
      <c r="AQ108" s="129">
        <v>0</v>
      </c>
      <c r="AR108" s="129">
        <v>0.00265993265993266</v>
      </c>
    </row>
    <row r="109" customFormat="1" ht="22.5" customHeight="1" spans="1:44">
      <c r="A109" s="72">
        <v>12743</v>
      </c>
      <c r="B109" s="62" t="s">
        <v>167</v>
      </c>
      <c r="C109" s="63">
        <f>_xlfn.XLOOKUP(A109,[1]分配表!J:J,[1]分配表!L:L)</f>
        <v>46151</v>
      </c>
      <c r="D109" s="63">
        <f>IF(_xlfn.XLOOKUP(A109,[1]分配表!J:J,[1]分配表!M:M,"未出单")=0,"未出单",_xlfn.XLOOKUP(A109,[1]分配表!J:J,[1]分配表!M:M,"未出单"))</f>
        <v>46151</v>
      </c>
      <c r="E109" s="64" t="s">
        <v>161</v>
      </c>
      <c r="F109" s="126" t="str">
        <f>_xlfn.XLOOKUP(A109,[1]分配表!A:A,[1]分配表!C:C)</f>
        <v>张潇</v>
      </c>
      <c r="G109" s="126" t="str">
        <f>IF(_xlfn.XLOOKUP($A109,[1]分配表!$A:$A,[1]分配表!D:D)=0,"未分类",_xlfn.XLOOKUP($A109,[1]分配表!$A:$A,[1]分配表!D:D))</f>
        <v>其他</v>
      </c>
      <c r="H109" s="126" t="str">
        <f>_xlfn.XLOOKUP(A109,[1]分配表!J:J,[1]分配表!I:I)</f>
        <v>原开品</v>
      </c>
      <c r="I109" s="65"/>
      <c r="J109" s="65">
        <f>COUNTIFS([1]月销售数据!L:L,A109,[1]月销售数据!M:M,"&gt;=2026-5-1",[1]月销售数据!M:M,"&lt;=2026-5-31")</f>
        <v>2</v>
      </c>
      <c r="K109" s="127"/>
      <c r="L109" s="127" t="s">
        <v>46</v>
      </c>
      <c r="M109" s="127"/>
      <c r="N109" s="127" t="s">
        <v>48</v>
      </c>
      <c r="O109" s="65"/>
      <c r="P109" s="65">
        <v>2</v>
      </c>
      <c r="Q109" s="67"/>
      <c r="R109" s="110">
        <v>240</v>
      </c>
      <c r="S109" s="65"/>
      <c r="T109" s="65">
        <v>2</v>
      </c>
      <c r="U109" s="65"/>
      <c r="V109" s="65">
        <f t="shared" si="1"/>
        <v>4</v>
      </c>
      <c r="W109" s="128"/>
      <c r="X109" s="128">
        <v>0.5</v>
      </c>
      <c r="Y109" s="65"/>
      <c r="Z109" s="67"/>
      <c r="AA109" s="67"/>
      <c r="AB109" s="128"/>
      <c r="AC109" s="128"/>
      <c r="AD109" s="65">
        <v>0</v>
      </c>
      <c r="AE109" s="67">
        <v>0</v>
      </c>
      <c r="AF109" s="67">
        <v>0</v>
      </c>
      <c r="AG109" s="129" t="e">
        <v>#DIV/0!</v>
      </c>
      <c r="AH109" s="129">
        <v>0</v>
      </c>
      <c r="AI109" s="67"/>
      <c r="AJ109" s="67"/>
      <c r="AK109" s="129"/>
      <c r="AL109" s="128"/>
      <c r="AM109" s="128"/>
      <c r="AN109" s="67">
        <v>5.27</v>
      </c>
      <c r="AO109" s="67">
        <v>263.4</v>
      </c>
      <c r="AP109" s="129">
        <v>0.0200075930144267</v>
      </c>
      <c r="AQ109" s="129">
        <v>0.0219583333333333</v>
      </c>
      <c r="AR109" s="129">
        <v>0.0357083333333333</v>
      </c>
    </row>
    <row r="110" customFormat="1" ht="22.5" customHeight="1" spans="1:44">
      <c r="A110" s="72">
        <v>12742</v>
      </c>
      <c r="B110" s="62" t="s">
        <v>168</v>
      </c>
      <c r="C110" s="63">
        <f>_xlfn.XLOOKUP(A110,[1]分配表!J:J,[1]分配表!L:L)</f>
        <v>46151</v>
      </c>
      <c r="D110" s="63" t="str">
        <f>IF(_xlfn.XLOOKUP(A110,[1]分配表!J:J,[1]分配表!M:M,"未出单")=0,"未出单",_xlfn.XLOOKUP(A110,[1]分配表!J:J,[1]分配表!M:M,"未出单"))</f>
        <v>未出单</v>
      </c>
      <c r="E110" s="64" t="s">
        <v>161</v>
      </c>
      <c r="F110" s="126" t="str">
        <f>_xlfn.XLOOKUP(A110,[1]分配表!A:A,[1]分配表!C:C)</f>
        <v>张潇</v>
      </c>
      <c r="G110" s="126" t="str">
        <f>IF(_xlfn.XLOOKUP($A110,[1]分配表!$A:$A,[1]分配表!D:D)=0,"未分类",_xlfn.XLOOKUP($A110,[1]分配表!$A:$A,[1]分配表!D:D))</f>
        <v>其他</v>
      </c>
      <c r="H110" s="126" t="str">
        <f>_xlfn.XLOOKUP(A110,[1]分配表!J:J,[1]分配表!I:I)</f>
        <v>原开品</v>
      </c>
      <c r="I110" s="65"/>
      <c r="J110" s="65">
        <f>COUNTIFS([1]月销售数据!L:L,A110,[1]月销售数据!M:M,"&gt;=2026-5-1",[1]月销售数据!M:M,"&lt;=2026-5-31")</f>
        <v>3</v>
      </c>
      <c r="K110" s="127"/>
      <c r="L110" s="127" t="s">
        <v>103</v>
      </c>
      <c r="M110" s="127"/>
      <c r="N110" s="127" t="s">
        <v>47</v>
      </c>
      <c r="O110" s="65"/>
      <c r="P110" s="65">
        <v>0</v>
      </c>
      <c r="Q110" s="67"/>
      <c r="R110" s="110">
        <v>0</v>
      </c>
      <c r="S110" s="65"/>
      <c r="T110" s="65">
        <v>0</v>
      </c>
      <c r="U110" s="65"/>
      <c r="V110" s="65">
        <f t="shared" si="1"/>
        <v>0</v>
      </c>
      <c r="W110" s="128"/>
      <c r="X110" s="128" t="s">
        <v>106</v>
      </c>
      <c r="Y110" s="65"/>
      <c r="Z110" s="67"/>
      <c r="AA110" s="67"/>
      <c r="AB110" s="128"/>
      <c r="AC110" s="128"/>
      <c r="AD110" s="65">
        <v>0</v>
      </c>
      <c r="AE110" s="67">
        <v>0</v>
      </c>
      <c r="AF110" s="67">
        <v>17.17</v>
      </c>
      <c r="AG110" s="129" t="e">
        <v>#DIV/0!</v>
      </c>
      <c r="AH110" s="129" t="e">
        <v>#DIV/0!</v>
      </c>
      <c r="AI110" s="67"/>
      <c r="AJ110" s="67"/>
      <c r="AK110" s="129"/>
      <c r="AL110" s="128"/>
      <c r="AM110" s="128"/>
      <c r="AN110" s="67">
        <v>0</v>
      </c>
      <c r="AO110" s="67">
        <v>0</v>
      </c>
      <c r="AP110" s="129" t="e">
        <v>#DIV/0!</v>
      </c>
      <c r="AQ110" s="129" t="e">
        <v>#DIV/0!</v>
      </c>
      <c r="AR110" s="129" t="e">
        <v>#DIV/0!</v>
      </c>
    </row>
    <row r="111" customFormat="1" ht="22.5" customHeight="1" spans="1:44">
      <c r="A111" s="72">
        <v>12595</v>
      </c>
      <c r="B111" s="62" t="s">
        <v>169</v>
      </c>
      <c r="C111" s="63">
        <f>_xlfn.XLOOKUP(A111,[1]分配表!J:J,[1]分配表!L:L)</f>
        <v>46153</v>
      </c>
      <c r="D111" s="63">
        <f>IF(_xlfn.XLOOKUP(A111,[1]分配表!J:J,[1]分配表!M:M,"未出单")=0,"未出单",_xlfn.XLOOKUP(A111,[1]分配表!J:J,[1]分配表!M:M,"未出单"))</f>
        <v>46156</v>
      </c>
      <c r="E111" s="64" t="s">
        <v>161</v>
      </c>
      <c r="F111" s="126" t="str">
        <f>_xlfn.XLOOKUP(A111,[1]分配表!A:A,[1]分配表!C:C)</f>
        <v>王偲涵</v>
      </c>
      <c r="G111" s="126" t="str">
        <f>IF(_xlfn.XLOOKUP($A111,[1]分配表!$A:$A,[1]分配表!D:D)=0,"未分类",_xlfn.XLOOKUP($A111,[1]分配表!$A:$A,[1]分配表!D:D))</f>
        <v>车身外扩件</v>
      </c>
      <c r="H111" s="126" t="str">
        <f>_xlfn.XLOOKUP(A111,[1]分配表!J:J,[1]分配表!I:I)</f>
        <v>拓展品</v>
      </c>
      <c r="I111" s="65"/>
      <c r="J111" s="65">
        <f>COUNTIFS([1]月销售数据!L:L,A111,[1]月销售数据!M:M,"&gt;=2026-5-1",[1]月销售数据!M:M,"&lt;=2026-5-31")</f>
        <v>2</v>
      </c>
      <c r="K111" s="127"/>
      <c r="L111" s="127" t="s">
        <v>46</v>
      </c>
      <c r="M111" s="127"/>
      <c r="N111" s="127" t="s">
        <v>53</v>
      </c>
      <c r="O111" s="65"/>
      <c r="P111" s="65">
        <v>6</v>
      </c>
      <c r="Q111" s="67"/>
      <c r="R111" s="110">
        <v>570</v>
      </c>
      <c r="S111" s="65"/>
      <c r="T111" s="65">
        <v>2</v>
      </c>
      <c r="U111" s="65"/>
      <c r="V111" s="65">
        <f t="shared" si="1"/>
        <v>8</v>
      </c>
      <c r="W111" s="128"/>
      <c r="X111" s="128">
        <v>0.75</v>
      </c>
      <c r="Y111" s="65"/>
      <c r="Z111" s="67"/>
      <c r="AA111" s="67"/>
      <c r="AB111" s="128"/>
      <c r="AC111" s="128"/>
      <c r="AD111" s="65">
        <v>3</v>
      </c>
      <c r="AE111" s="67">
        <v>307.38</v>
      </c>
      <c r="AF111" s="67">
        <v>72.23</v>
      </c>
      <c r="AG111" s="129">
        <v>0.234986010800963</v>
      </c>
      <c r="AH111" s="129">
        <v>0.126719298245614</v>
      </c>
      <c r="AI111" s="67"/>
      <c r="AJ111" s="67"/>
      <c r="AK111" s="129"/>
      <c r="AL111" s="128"/>
      <c r="AM111" s="128"/>
      <c r="AN111" s="67">
        <v>6.11</v>
      </c>
      <c r="AO111" s="67">
        <v>305.66</v>
      </c>
      <c r="AP111" s="129">
        <v>0.0199895308512727</v>
      </c>
      <c r="AQ111" s="129">
        <v>0.010719298245614</v>
      </c>
      <c r="AR111" s="129">
        <v>0.137438596491228</v>
      </c>
    </row>
    <row r="112" customFormat="1" ht="22.5" customHeight="1" spans="1:44">
      <c r="A112" s="72">
        <v>12588</v>
      </c>
      <c r="B112" s="62" t="s">
        <v>170</v>
      </c>
      <c r="C112" s="63">
        <f>_xlfn.XLOOKUP(A112,[1]分配表!J:J,[1]分配表!L:L)</f>
        <v>46153</v>
      </c>
      <c r="D112" s="63">
        <f>IF(_xlfn.XLOOKUP(A112,[1]分配表!J:J,[1]分配表!M:M,"未出单")=0,"未出单",_xlfn.XLOOKUP(A112,[1]分配表!J:J,[1]分配表!M:M,"未出单"))</f>
        <v>46168</v>
      </c>
      <c r="E112" s="64" t="s">
        <v>161</v>
      </c>
      <c r="F112" s="126" t="str">
        <f>_xlfn.XLOOKUP(A112,[1]分配表!A:A,[1]分配表!C:C)</f>
        <v>王偲涵</v>
      </c>
      <c r="G112" s="126" t="str">
        <f>IF(_xlfn.XLOOKUP($A112,[1]分配表!$A:$A,[1]分配表!D:D)=0,"未分类",_xlfn.XLOOKUP($A112,[1]分配表!$A:$A,[1]分配表!D:D))</f>
        <v>车身外扩件</v>
      </c>
      <c r="H112" s="126" t="str">
        <f>_xlfn.XLOOKUP(A112,[1]分配表!J:J,[1]分配表!I:I)</f>
        <v>原开品</v>
      </c>
      <c r="I112" s="65"/>
      <c r="J112" s="65">
        <f>COUNTIFS([1]月销售数据!L:L,A112,[1]月销售数据!M:M,"&gt;=2026-5-1",[1]月销售数据!M:M,"&lt;=2026-5-31")</f>
        <v>2</v>
      </c>
      <c r="K112" s="127"/>
      <c r="L112" s="127" t="s">
        <v>58</v>
      </c>
      <c r="M112" s="127"/>
      <c r="N112" s="127" t="s">
        <v>53</v>
      </c>
      <c r="O112" s="65"/>
      <c r="P112" s="65">
        <v>2</v>
      </c>
      <c r="Q112" s="67"/>
      <c r="R112" s="110">
        <v>210</v>
      </c>
      <c r="S112" s="65"/>
      <c r="T112" s="65">
        <v>29</v>
      </c>
      <c r="U112" s="65"/>
      <c r="V112" s="65">
        <f t="shared" si="1"/>
        <v>31</v>
      </c>
      <c r="W112" s="128"/>
      <c r="X112" s="128">
        <v>0.0645161290322581</v>
      </c>
      <c r="Y112" s="65"/>
      <c r="Z112" s="67"/>
      <c r="AA112" s="67"/>
      <c r="AB112" s="128"/>
      <c r="AC112" s="128"/>
      <c r="AD112" s="65">
        <v>1</v>
      </c>
      <c r="AE112" s="67">
        <v>105</v>
      </c>
      <c r="AF112" s="67">
        <v>76.72</v>
      </c>
      <c r="AG112" s="129">
        <v>0.730666666666667</v>
      </c>
      <c r="AH112" s="129">
        <v>0.365333333333333</v>
      </c>
      <c r="AI112" s="67"/>
      <c r="AJ112" s="67"/>
      <c r="AK112" s="129"/>
      <c r="AL112" s="128"/>
      <c r="AM112" s="128"/>
      <c r="AN112" s="67">
        <v>0</v>
      </c>
      <c r="AO112" s="67">
        <v>0</v>
      </c>
      <c r="AP112" s="129" t="e">
        <v>#DIV/0!</v>
      </c>
      <c r="AQ112" s="129">
        <v>0</v>
      </c>
      <c r="AR112" s="129">
        <v>0.366571428571429</v>
      </c>
    </row>
    <row r="113" customFormat="1" ht="22.5" customHeight="1" spans="1:44">
      <c r="A113" s="72">
        <v>12596</v>
      </c>
      <c r="B113" s="62" t="s">
        <v>171</v>
      </c>
      <c r="C113" s="63">
        <f>_xlfn.XLOOKUP(A113,[1]分配表!J:J,[1]分配表!L:L)</f>
        <v>46153</v>
      </c>
      <c r="D113" s="63">
        <f>IF(_xlfn.XLOOKUP(A113,[1]分配表!J:J,[1]分配表!M:M,"未出单")=0,"未出单",_xlfn.XLOOKUP(A113,[1]分配表!J:J,[1]分配表!M:M,"未出单"))</f>
        <v>46157</v>
      </c>
      <c r="E113" s="64" t="s">
        <v>161</v>
      </c>
      <c r="F113" s="126" t="str">
        <f>_xlfn.XLOOKUP(A113,[1]分配表!A:A,[1]分配表!C:C)</f>
        <v>俞东旭</v>
      </c>
      <c r="G113" s="126" t="str">
        <f>IF(_xlfn.XLOOKUP($A113,[1]分配表!$A:$A,[1]分配表!D:D)=0,"未分类",_xlfn.XLOOKUP($A113,[1]分配表!$A:$A,[1]分配表!D:D))</f>
        <v>车身外扩件</v>
      </c>
      <c r="H113" s="126" t="str">
        <f>_xlfn.XLOOKUP(A113,[1]分配表!J:J,[1]分配表!I:I)</f>
        <v>拓展品</v>
      </c>
      <c r="I113" s="65"/>
      <c r="J113" s="65">
        <f>COUNTIFS([1]月销售数据!L:L,A113,[1]月销售数据!M:M,"&gt;=2026-5-1",[1]月销售数据!M:M,"&lt;=2026-5-31")</f>
        <v>2</v>
      </c>
      <c r="K113" s="127"/>
      <c r="L113" s="127" t="s">
        <v>46</v>
      </c>
      <c r="M113" s="127"/>
      <c r="N113" s="127" t="s">
        <v>48</v>
      </c>
      <c r="O113" s="65"/>
      <c r="P113" s="65">
        <v>7</v>
      </c>
      <c r="Q113" s="67"/>
      <c r="R113" s="110">
        <v>805</v>
      </c>
      <c r="S113" s="65"/>
      <c r="T113" s="65">
        <v>4</v>
      </c>
      <c r="U113" s="65"/>
      <c r="V113" s="65">
        <f t="shared" si="1"/>
        <v>11</v>
      </c>
      <c r="W113" s="128"/>
      <c r="X113" s="128">
        <v>0.636363636363636</v>
      </c>
      <c r="Y113" s="65"/>
      <c r="Z113" s="67"/>
      <c r="AA113" s="67"/>
      <c r="AB113" s="128"/>
      <c r="AC113" s="128"/>
      <c r="AD113" s="65">
        <v>4</v>
      </c>
      <c r="AE113" s="67">
        <v>494.7</v>
      </c>
      <c r="AF113" s="67">
        <v>86.27</v>
      </c>
      <c r="AG113" s="129">
        <v>0.174388518293915</v>
      </c>
      <c r="AH113" s="129">
        <v>0.107167701863354</v>
      </c>
      <c r="AI113" s="67"/>
      <c r="AJ113" s="67"/>
      <c r="AK113" s="129"/>
      <c r="AL113" s="128"/>
      <c r="AM113" s="128"/>
      <c r="AN113" s="67">
        <v>0</v>
      </c>
      <c r="AO113" s="67">
        <v>0</v>
      </c>
      <c r="AP113" s="129" t="e">
        <v>#DIV/0!</v>
      </c>
      <c r="AQ113" s="129">
        <v>0</v>
      </c>
      <c r="AR113" s="129">
        <v>0.108335403726708</v>
      </c>
    </row>
    <row r="114" customFormat="1" ht="22.5" customHeight="1" spans="1:44">
      <c r="A114" s="72">
        <v>12589</v>
      </c>
      <c r="B114" s="62" t="s">
        <v>172</v>
      </c>
      <c r="C114" s="63">
        <f>_xlfn.XLOOKUP(A114,[1]分配表!J:J,[1]分配表!L:L)</f>
        <v>46153</v>
      </c>
      <c r="D114" s="63">
        <f>IF(_xlfn.XLOOKUP(A114,[1]分配表!J:J,[1]分配表!M:M,"未出单")=0,"未出单",_xlfn.XLOOKUP(A114,[1]分配表!J:J,[1]分配表!M:M,"未出单"))</f>
        <v>46167</v>
      </c>
      <c r="E114" s="64" t="s">
        <v>161</v>
      </c>
      <c r="F114" s="126" t="str">
        <f>_xlfn.XLOOKUP(A114,[1]分配表!A:A,[1]分配表!C:C)</f>
        <v>俞东旭</v>
      </c>
      <c r="G114" s="126" t="str">
        <f>IF(_xlfn.XLOOKUP($A114,[1]分配表!$A:$A,[1]分配表!D:D)=0,"未分类",_xlfn.XLOOKUP($A114,[1]分配表!$A:$A,[1]分配表!D:D))</f>
        <v>车身外扩件</v>
      </c>
      <c r="H114" s="126" t="str">
        <f>_xlfn.XLOOKUP(A114,[1]分配表!J:J,[1]分配表!I:I)</f>
        <v>原开品</v>
      </c>
      <c r="I114" s="65"/>
      <c r="J114" s="65">
        <f>COUNTIFS([1]月销售数据!L:L,A114,[1]月销售数据!M:M,"&gt;=2026-5-1",[1]月销售数据!M:M,"&lt;=2026-5-31")</f>
        <v>2</v>
      </c>
      <c r="K114" s="127"/>
      <c r="L114" s="127" t="s">
        <v>58</v>
      </c>
      <c r="M114" s="127"/>
      <c r="N114" s="127" t="s">
        <v>48</v>
      </c>
      <c r="O114" s="65"/>
      <c r="P114" s="65">
        <v>2</v>
      </c>
      <c r="Q114" s="67"/>
      <c r="R114" s="110">
        <v>250</v>
      </c>
      <c r="S114" s="65"/>
      <c r="T114" s="65">
        <v>8</v>
      </c>
      <c r="U114" s="65"/>
      <c r="V114" s="65">
        <f t="shared" si="1"/>
        <v>10</v>
      </c>
      <c r="W114" s="128"/>
      <c r="X114" s="128">
        <v>0.2</v>
      </c>
      <c r="Y114" s="65"/>
      <c r="Z114" s="67"/>
      <c r="AA114" s="67"/>
      <c r="AB114" s="128"/>
      <c r="AC114" s="128"/>
      <c r="AD114" s="65">
        <v>2</v>
      </c>
      <c r="AE114" s="67">
        <v>265.63</v>
      </c>
      <c r="AF114" s="67">
        <v>41.59</v>
      </c>
      <c r="AG114" s="129">
        <v>0.156571170425027</v>
      </c>
      <c r="AH114" s="129">
        <v>0.16636</v>
      </c>
      <c r="AI114" s="67"/>
      <c r="AJ114" s="67"/>
      <c r="AK114" s="129"/>
      <c r="AL114" s="128"/>
      <c r="AM114" s="128"/>
      <c r="AN114" s="67">
        <v>0</v>
      </c>
      <c r="AO114" s="67">
        <v>0</v>
      </c>
      <c r="AP114" s="129" t="e">
        <v>#DIV/0!</v>
      </c>
      <c r="AQ114" s="129">
        <v>0</v>
      </c>
      <c r="AR114" s="129">
        <v>0.1696</v>
      </c>
    </row>
    <row r="115" customFormat="1" ht="22.5" customHeight="1" spans="1:44">
      <c r="A115" s="72">
        <v>12597</v>
      </c>
      <c r="B115" s="62" t="s">
        <v>173</v>
      </c>
      <c r="C115" s="63">
        <f>_xlfn.XLOOKUP(A115,[1]分配表!J:J,[1]分配表!L:L)</f>
        <v>46153</v>
      </c>
      <c r="D115" s="63">
        <f>IF(_xlfn.XLOOKUP(A115,[1]分配表!J:J,[1]分配表!M:M,"未出单")=0,"未出单",_xlfn.XLOOKUP(A115,[1]分配表!J:J,[1]分配表!M:M,"未出单"))</f>
        <v>46164</v>
      </c>
      <c r="E115" s="64" t="s">
        <v>161</v>
      </c>
      <c r="F115" s="126" t="str">
        <f>_xlfn.XLOOKUP(A115,[1]分配表!A:A,[1]分配表!C:C)</f>
        <v>王偲涵</v>
      </c>
      <c r="G115" s="126" t="str">
        <f>IF(_xlfn.XLOOKUP($A115,[1]分配表!$A:$A,[1]分配表!D:D)=0,"未分类",_xlfn.XLOOKUP($A115,[1]分配表!$A:$A,[1]分配表!D:D))</f>
        <v>车身外扩件</v>
      </c>
      <c r="H115" s="126" t="str">
        <f>_xlfn.XLOOKUP(A115,[1]分配表!J:J,[1]分配表!I:I)</f>
        <v>拓展品</v>
      </c>
      <c r="I115" s="65"/>
      <c r="J115" s="65">
        <f>COUNTIFS([1]月销售数据!L:L,A115,[1]月销售数据!M:M,"&gt;=2026-5-1",[1]月销售数据!M:M,"&lt;=2026-5-31")</f>
        <v>2</v>
      </c>
      <c r="K115" s="127"/>
      <c r="L115" s="127" t="s">
        <v>58</v>
      </c>
      <c r="M115" s="127"/>
      <c r="N115" s="127" t="s">
        <v>48</v>
      </c>
      <c r="O115" s="65"/>
      <c r="P115" s="65">
        <v>2</v>
      </c>
      <c r="Q115" s="67"/>
      <c r="R115" s="110">
        <v>230</v>
      </c>
      <c r="S115" s="65"/>
      <c r="T115" s="65">
        <v>1</v>
      </c>
      <c r="U115" s="65"/>
      <c r="V115" s="65">
        <f t="shared" si="1"/>
        <v>3</v>
      </c>
      <c r="W115" s="128"/>
      <c r="X115" s="128">
        <v>0.666666666666667</v>
      </c>
      <c r="Y115" s="65"/>
      <c r="Z115" s="67"/>
      <c r="AA115" s="67"/>
      <c r="AB115" s="128"/>
      <c r="AC115" s="128"/>
      <c r="AD115" s="65">
        <v>0</v>
      </c>
      <c r="AE115" s="67">
        <v>0</v>
      </c>
      <c r="AF115" s="67">
        <v>15.93</v>
      </c>
      <c r="AG115" s="129" t="e">
        <v>#DIV/0!</v>
      </c>
      <c r="AH115" s="129">
        <v>0.0692608695652174</v>
      </c>
      <c r="AI115" s="67"/>
      <c r="AJ115" s="67"/>
      <c r="AK115" s="129"/>
      <c r="AL115" s="128"/>
      <c r="AM115" s="128"/>
      <c r="AN115" s="67">
        <v>0</v>
      </c>
      <c r="AO115" s="67">
        <v>0</v>
      </c>
      <c r="AP115" s="129" t="e">
        <v>#DIV/0!</v>
      </c>
      <c r="AQ115" s="129">
        <v>0</v>
      </c>
      <c r="AR115" s="129">
        <v>0.0800434782608696</v>
      </c>
    </row>
    <row r="116" customFormat="1" ht="22.5" customHeight="1" spans="1:44">
      <c r="A116" s="72">
        <v>12598</v>
      </c>
      <c r="B116" s="62" t="s">
        <v>174</v>
      </c>
      <c r="C116" s="63">
        <f>_xlfn.XLOOKUP(A116,[1]分配表!J:J,[1]分配表!L:L)</f>
        <v>46153</v>
      </c>
      <c r="D116" s="63">
        <f>IF(_xlfn.XLOOKUP(A116,[1]分配表!J:J,[1]分配表!M:M,"未出单")=0,"未出单",_xlfn.XLOOKUP(A116,[1]分配表!J:J,[1]分配表!M:M,"未出单"))</f>
        <v>46168</v>
      </c>
      <c r="E116" s="64" t="s">
        <v>161</v>
      </c>
      <c r="F116" s="126" t="str">
        <f>_xlfn.XLOOKUP(A116,[1]分配表!A:A,[1]分配表!C:C)</f>
        <v>王偲涵</v>
      </c>
      <c r="G116" s="126" t="str">
        <f>IF(_xlfn.XLOOKUP($A116,[1]分配表!$A:$A,[1]分配表!D:D)=0,"未分类",_xlfn.XLOOKUP($A116,[1]分配表!$A:$A,[1]分配表!D:D))</f>
        <v>车身外扩件</v>
      </c>
      <c r="H116" s="126" t="str">
        <f>_xlfn.XLOOKUP(A116,[1]分配表!J:J,[1]分配表!I:I)</f>
        <v>拓展品</v>
      </c>
      <c r="I116" s="65"/>
      <c r="J116" s="65">
        <f>COUNTIFS([1]月销售数据!L:L,A116,[1]月销售数据!M:M,"&gt;=2026-5-1",[1]月销售数据!M:M,"&lt;=2026-5-31")</f>
        <v>2</v>
      </c>
      <c r="K116" s="127"/>
      <c r="L116" s="127" t="s">
        <v>58</v>
      </c>
      <c r="M116" s="127"/>
      <c r="N116" s="127" t="s">
        <v>53</v>
      </c>
      <c r="O116" s="65"/>
      <c r="P116" s="65">
        <v>1</v>
      </c>
      <c r="Q116" s="67"/>
      <c r="R116" s="110">
        <v>100</v>
      </c>
      <c r="S116" s="65"/>
      <c r="T116" s="65">
        <v>9</v>
      </c>
      <c r="U116" s="65"/>
      <c r="V116" s="65">
        <f t="shared" si="1"/>
        <v>10</v>
      </c>
      <c r="W116" s="128"/>
      <c r="X116" s="128">
        <v>0.1</v>
      </c>
      <c r="Y116" s="65"/>
      <c r="Z116" s="67"/>
      <c r="AA116" s="67"/>
      <c r="AB116" s="128"/>
      <c r="AC116" s="128"/>
      <c r="AD116" s="65">
        <v>0</v>
      </c>
      <c r="AE116" s="67">
        <v>0</v>
      </c>
      <c r="AF116" s="67">
        <v>4.24</v>
      </c>
      <c r="AG116" s="129" t="e">
        <v>#DIV/0!</v>
      </c>
      <c r="AH116" s="129">
        <v>0.0424</v>
      </c>
      <c r="AI116" s="67"/>
      <c r="AJ116" s="67"/>
      <c r="AK116" s="129"/>
      <c r="AL116" s="128"/>
      <c r="AM116" s="128"/>
      <c r="AN116" s="67">
        <v>0</v>
      </c>
      <c r="AO116" s="67">
        <v>0</v>
      </c>
      <c r="AP116" s="129" t="e">
        <v>#DIV/0!</v>
      </c>
      <c r="AQ116" s="129">
        <v>0</v>
      </c>
      <c r="AR116" s="129">
        <v>0.0446</v>
      </c>
    </row>
    <row r="117" customFormat="1" ht="22.5" customHeight="1" spans="1:44">
      <c r="A117" s="72">
        <v>12069</v>
      </c>
      <c r="B117" s="62" t="s">
        <v>175</v>
      </c>
      <c r="C117" s="63">
        <f>_xlfn.XLOOKUP(A117,[1]分配表!J:J,[1]分配表!L:L)</f>
        <v>46155</v>
      </c>
      <c r="D117" s="63" t="str">
        <f>IF(_xlfn.XLOOKUP(A117,[1]分配表!J:J,[1]分配表!M:M,"未出单")=0,"未出单",_xlfn.XLOOKUP(A117,[1]分配表!J:J,[1]分配表!M:M,"未出单"))</f>
        <v>未出单</v>
      </c>
      <c r="E117" s="64" t="s">
        <v>161</v>
      </c>
      <c r="F117" s="126" t="str">
        <f>_xlfn.XLOOKUP(A117,[1]分配表!A:A,[1]分配表!C:C)</f>
        <v>朱培源</v>
      </c>
      <c r="G117" s="126" t="str">
        <f>IF(_xlfn.XLOOKUP($A117,[1]分配表!$A:$A,[1]分配表!D:D)=0,"未分类",_xlfn.XLOOKUP($A117,[1]分配表!$A:$A,[1]分配表!D:D))</f>
        <v>其他</v>
      </c>
      <c r="H117" s="126" t="str">
        <f>_xlfn.XLOOKUP(A117,[1]分配表!J:J,[1]分配表!I:I)</f>
        <v>原开品</v>
      </c>
      <c r="I117" s="65"/>
      <c r="J117" s="65">
        <f>COUNTIFS([1]月销售数据!L:L,A117,[1]月销售数据!M:M,"&gt;=2026-5-1",[1]月销售数据!M:M,"&lt;=2026-5-31")</f>
        <v>2</v>
      </c>
      <c r="K117" s="127"/>
      <c r="L117" s="127" t="s">
        <v>103</v>
      </c>
      <c r="M117" s="127"/>
      <c r="N117" s="127" t="s">
        <v>47</v>
      </c>
      <c r="O117" s="65"/>
      <c r="P117" s="65">
        <v>0</v>
      </c>
      <c r="Q117" s="67"/>
      <c r="R117" s="110">
        <v>0</v>
      </c>
      <c r="S117" s="65"/>
      <c r="T117" s="65">
        <v>0</v>
      </c>
      <c r="U117" s="65"/>
      <c r="V117" s="65">
        <f t="shared" si="1"/>
        <v>0</v>
      </c>
      <c r="W117" s="128"/>
      <c r="X117" s="128" t="s">
        <v>106</v>
      </c>
      <c r="Y117" s="65"/>
      <c r="Z117" s="67"/>
      <c r="AA117" s="67"/>
      <c r="AB117" s="128"/>
      <c r="AC117" s="128"/>
      <c r="AD117" s="65">
        <v>0</v>
      </c>
      <c r="AE117" s="67">
        <v>0</v>
      </c>
      <c r="AF117" s="67">
        <v>0</v>
      </c>
      <c r="AG117" s="129" t="e">
        <v>#DIV/0!</v>
      </c>
      <c r="AH117" s="129" t="e">
        <v>#DIV/0!</v>
      </c>
      <c r="AI117" s="67"/>
      <c r="AJ117" s="67"/>
      <c r="AK117" s="129"/>
      <c r="AL117" s="128"/>
      <c r="AM117" s="128"/>
      <c r="AN117" s="67">
        <v>0</v>
      </c>
      <c r="AO117" s="67">
        <v>0</v>
      </c>
      <c r="AP117" s="129" t="e">
        <v>#DIV/0!</v>
      </c>
      <c r="AQ117" s="129" t="e">
        <v>#DIV/0!</v>
      </c>
      <c r="AR117" s="129" t="e">
        <v>#DIV/0!</v>
      </c>
    </row>
    <row r="118" customFormat="1" ht="22.5" customHeight="1" spans="1:44">
      <c r="A118" s="72">
        <v>12833</v>
      </c>
      <c r="B118" s="62" t="s">
        <v>176</v>
      </c>
      <c r="C118" s="63">
        <f>_xlfn.XLOOKUP(A118,[1]分配表!J:J,[1]分配表!L:L)</f>
        <v>46157</v>
      </c>
      <c r="D118" s="63">
        <f>IF(_xlfn.XLOOKUP(A118,[1]分配表!J:J,[1]分配表!M:M,"未出单")=0,"未出单",_xlfn.XLOOKUP(A118,[1]分配表!J:J,[1]分配表!M:M,"未出单"))</f>
        <v>46158</v>
      </c>
      <c r="E118" s="64" t="s">
        <v>161</v>
      </c>
      <c r="F118" s="126" t="str">
        <f>_xlfn.XLOOKUP(A118,[1]分配表!A:A,[1]分配表!C:C)</f>
        <v>朱培源</v>
      </c>
      <c r="G118" s="126" t="str">
        <f>IF(_xlfn.XLOOKUP($A118,[1]分配表!$A:$A,[1]分配表!D:D)=0,"未分类",_xlfn.XLOOKUP($A118,[1]分配表!$A:$A,[1]分配表!D:D))</f>
        <v>挡泥板</v>
      </c>
      <c r="H118" s="126" t="str">
        <f>_xlfn.XLOOKUP(A118,[1]分配表!J:J,[1]分配表!I:I)</f>
        <v>原开品</v>
      </c>
      <c r="I118" s="65"/>
      <c r="J118" s="65">
        <f>COUNTIFS([1]月销售数据!L:L,A118,[1]月销售数据!M:M,"&gt;=2026-5-1",[1]月销售数据!M:M,"&lt;=2026-5-31")</f>
        <v>2</v>
      </c>
      <c r="K118" s="127"/>
      <c r="L118" s="127" t="s">
        <v>46</v>
      </c>
      <c r="M118" s="127"/>
      <c r="N118" s="127" t="s">
        <v>48</v>
      </c>
      <c r="O118" s="65"/>
      <c r="P118" s="65">
        <v>25</v>
      </c>
      <c r="Q118" s="67"/>
      <c r="R118" s="110">
        <v>2200</v>
      </c>
      <c r="S118" s="65"/>
      <c r="T118" s="65">
        <v>7</v>
      </c>
      <c r="U118" s="65"/>
      <c r="V118" s="65">
        <f t="shared" si="1"/>
        <v>32</v>
      </c>
      <c r="W118" s="128"/>
      <c r="X118" s="128">
        <v>0.78125</v>
      </c>
      <c r="Y118" s="65"/>
      <c r="Z118" s="67"/>
      <c r="AA118" s="67"/>
      <c r="AB118" s="128"/>
      <c r="AC118" s="128"/>
      <c r="AD118" s="65">
        <v>2</v>
      </c>
      <c r="AE118" s="67">
        <v>190.52</v>
      </c>
      <c r="AF118" s="67">
        <v>14.81</v>
      </c>
      <c r="AG118" s="129">
        <v>0.0777346210371615</v>
      </c>
      <c r="AH118" s="129">
        <v>0.00673181818181818</v>
      </c>
      <c r="AI118" s="67"/>
      <c r="AJ118" s="67"/>
      <c r="AK118" s="129"/>
      <c r="AL118" s="128"/>
      <c r="AM118" s="128"/>
      <c r="AN118" s="67">
        <v>16.94</v>
      </c>
      <c r="AO118" s="67">
        <v>845.79</v>
      </c>
      <c r="AP118" s="129">
        <v>0.0200286123032904</v>
      </c>
      <c r="AQ118" s="129">
        <v>0.0077</v>
      </c>
      <c r="AR118" s="129">
        <v>0.0170727272727273</v>
      </c>
    </row>
    <row r="119" customFormat="1" ht="22.5" customHeight="1" spans="1:44">
      <c r="A119" s="72">
        <v>12519</v>
      </c>
      <c r="B119" s="62" t="s">
        <v>177</v>
      </c>
      <c r="C119" s="63">
        <f>_xlfn.XLOOKUP(A119,[1]分配表!J:J,[1]分配表!L:L)</f>
        <v>46160</v>
      </c>
      <c r="D119" s="63">
        <f>IF(_xlfn.XLOOKUP(A119,[1]分配表!J:J,[1]分配表!M:M,"未出单")=0,"未出单",_xlfn.XLOOKUP(A119,[1]分配表!J:J,[1]分配表!M:M,"未出单"))</f>
        <v>46162</v>
      </c>
      <c r="E119" s="64" t="s">
        <v>161</v>
      </c>
      <c r="F119" s="126" t="str">
        <f>_xlfn.XLOOKUP(A119,[1]分配表!A:A,[1]分配表!C:C)</f>
        <v>王偲涵</v>
      </c>
      <c r="G119" s="126" t="str">
        <f>IF(_xlfn.XLOOKUP($A119,[1]分配表!$A:$A,[1]分配表!D:D)=0,"未分类",_xlfn.XLOOKUP($A119,[1]分配表!$A:$A,[1]分配表!D:D))</f>
        <v>机盖及附件</v>
      </c>
      <c r="H119" s="126" t="str">
        <f>_xlfn.XLOOKUP(A119,[1]分配表!J:J,[1]分配表!I:I)</f>
        <v>原开品</v>
      </c>
      <c r="I119" s="65"/>
      <c r="J119" s="65">
        <f>COUNTIFS([1]月销售数据!L:L,A119,[1]月销售数据!M:M,"&gt;=2026-5-1",[1]月销售数据!M:M,"&lt;=2026-5-31")</f>
        <v>3</v>
      </c>
      <c r="K119" s="127"/>
      <c r="L119" s="127" t="s">
        <v>46</v>
      </c>
      <c r="M119" s="127"/>
      <c r="N119" s="127" t="s">
        <v>48</v>
      </c>
      <c r="O119" s="65"/>
      <c r="P119" s="65">
        <v>3</v>
      </c>
      <c r="Q119" s="67"/>
      <c r="R119" s="110">
        <v>327</v>
      </c>
      <c r="S119" s="65"/>
      <c r="T119" s="65">
        <v>0</v>
      </c>
      <c r="U119" s="65"/>
      <c r="V119" s="65">
        <f t="shared" si="1"/>
        <v>3</v>
      </c>
      <c r="W119" s="128"/>
      <c r="X119" s="128">
        <v>1</v>
      </c>
      <c r="Y119" s="65"/>
      <c r="Z119" s="67"/>
      <c r="AA119" s="67"/>
      <c r="AB119" s="128"/>
      <c r="AC119" s="128"/>
      <c r="AD119" s="65">
        <v>0</v>
      </c>
      <c r="AE119" s="67">
        <v>0</v>
      </c>
      <c r="AF119" s="67">
        <v>0</v>
      </c>
      <c r="AG119" s="129" t="e">
        <v>#DIV/0!</v>
      </c>
      <c r="AH119" s="129">
        <v>0</v>
      </c>
      <c r="AI119" s="67"/>
      <c r="AJ119" s="67"/>
      <c r="AK119" s="129"/>
      <c r="AL119" s="128"/>
      <c r="AM119" s="128"/>
      <c r="AN119" s="67">
        <v>0</v>
      </c>
      <c r="AO119" s="67">
        <v>0</v>
      </c>
      <c r="AP119" s="129" t="e">
        <v>#DIV/0!</v>
      </c>
      <c r="AQ119" s="129">
        <v>0</v>
      </c>
      <c r="AR119" s="129">
        <v>0.0018348623853211</v>
      </c>
    </row>
    <row r="120" customFormat="1" ht="22.5" customHeight="1" spans="1:44">
      <c r="A120" s="72">
        <v>12686</v>
      </c>
      <c r="B120" s="62" t="s">
        <v>178</v>
      </c>
      <c r="C120" s="63">
        <f>_xlfn.XLOOKUP(A120,[1]分配表!J:J,[1]分配表!L:L)</f>
        <v>46160</v>
      </c>
      <c r="D120" s="63">
        <f>IF(_xlfn.XLOOKUP(A120,[1]分配表!J:J,[1]分配表!M:M,"未出单")=0,"未出单",_xlfn.XLOOKUP(A120,[1]分配表!J:J,[1]分配表!M:M,"未出单"))</f>
        <v>46161</v>
      </c>
      <c r="E120" s="64" t="s">
        <v>161</v>
      </c>
      <c r="F120" s="126" t="str">
        <f>_xlfn.XLOOKUP(A120,[1]分配表!A:A,[1]分配表!C:C)</f>
        <v>王偲涵</v>
      </c>
      <c r="G120" s="126" t="str">
        <f>IF(_xlfn.XLOOKUP($A120,[1]分配表!$A:$A,[1]分配表!D:D)=0,"未分类",_xlfn.XLOOKUP($A120,[1]分配表!$A:$A,[1]分配表!D:D))</f>
        <v>车门系统</v>
      </c>
      <c r="H120" s="126" t="str">
        <f>_xlfn.XLOOKUP(A120,[1]分配表!J:J,[1]分配表!I:I)</f>
        <v>原开品</v>
      </c>
      <c r="I120" s="65"/>
      <c r="J120" s="65">
        <f>COUNTIFS([1]月销售数据!L:L,A120,[1]月销售数据!M:M,"&gt;=2026-5-1",[1]月销售数据!M:M,"&lt;=2026-5-31")</f>
        <v>3</v>
      </c>
      <c r="K120" s="127"/>
      <c r="L120" s="127" t="s">
        <v>46</v>
      </c>
      <c r="M120" s="127"/>
      <c r="N120" s="127" t="s">
        <v>48</v>
      </c>
      <c r="O120" s="65"/>
      <c r="P120" s="65">
        <v>7</v>
      </c>
      <c r="Q120" s="67"/>
      <c r="R120" s="110">
        <v>385</v>
      </c>
      <c r="S120" s="65"/>
      <c r="T120" s="65">
        <v>0</v>
      </c>
      <c r="U120" s="65"/>
      <c r="V120" s="65">
        <f t="shared" si="1"/>
        <v>7</v>
      </c>
      <c r="W120" s="128"/>
      <c r="X120" s="128">
        <v>1</v>
      </c>
      <c r="Y120" s="65"/>
      <c r="Z120" s="67"/>
      <c r="AA120" s="67"/>
      <c r="AB120" s="128"/>
      <c r="AC120" s="128"/>
      <c r="AD120" s="65">
        <v>0</v>
      </c>
      <c r="AE120" s="67">
        <v>0</v>
      </c>
      <c r="AF120" s="67">
        <v>0</v>
      </c>
      <c r="AG120" s="129" t="e">
        <v>#DIV/0!</v>
      </c>
      <c r="AH120" s="129">
        <v>0</v>
      </c>
      <c r="AI120" s="67"/>
      <c r="AJ120" s="67"/>
      <c r="AK120" s="129"/>
      <c r="AL120" s="128"/>
      <c r="AM120" s="128"/>
      <c r="AN120" s="67">
        <v>0</v>
      </c>
      <c r="AO120" s="67">
        <v>0</v>
      </c>
      <c r="AP120" s="129" t="e">
        <v>#DIV/0!</v>
      </c>
      <c r="AQ120" s="129">
        <v>0</v>
      </c>
      <c r="AR120" s="129">
        <v>0.00114285714285714</v>
      </c>
    </row>
    <row r="121" customFormat="1" ht="22.5" customHeight="1" spans="1:44">
      <c r="A121" s="72">
        <v>12687</v>
      </c>
      <c r="B121" s="62" t="s">
        <v>179</v>
      </c>
      <c r="C121" s="63">
        <f>_xlfn.XLOOKUP(A121,[1]分配表!J:J,[1]分配表!L:L)</f>
        <v>46160</v>
      </c>
      <c r="D121" s="63">
        <f>IF(_xlfn.XLOOKUP(A121,[1]分配表!J:J,[1]分配表!M:M,"未出单")=0,"未出单",_xlfn.XLOOKUP(A121,[1]分配表!J:J,[1]分配表!M:M,"未出单"))</f>
        <v>46161</v>
      </c>
      <c r="E121" s="64" t="s">
        <v>161</v>
      </c>
      <c r="F121" s="126" t="str">
        <f>_xlfn.XLOOKUP(A121,[1]分配表!A:A,[1]分配表!C:C)</f>
        <v>王偲涵</v>
      </c>
      <c r="G121" s="126" t="str">
        <f>IF(_xlfn.XLOOKUP($A121,[1]分配表!$A:$A,[1]分配表!D:D)=0,"未分类",_xlfn.XLOOKUP($A121,[1]分配表!$A:$A,[1]分配表!D:D))</f>
        <v>车门系统</v>
      </c>
      <c r="H121" s="126" t="str">
        <f>_xlfn.XLOOKUP(A121,[1]分配表!J:J,[1]分配表!I:I)</f>
        <v>原开品</v>
      </c>
      <c r="I121" s="65"/>
      <c r="J121" s="65">
        <f>COUNTIFS([1]月销售数据!L:L,A121,[1]月销售数据!M:M,"&gt;=2026-5-1",[1]月销售数据!M:M,"&lt;=2026-5-31")</f>
        <v>3</v>
      </c>
      <c r="K121" s="127"/>
      <c r="L121" s="127" t="s">
        <v>46</v>
      </c>
      <c r="M121" s="127"/>
      <c r="N121" s="127" t="s">
        <v>48</v>
      </c>
      <c r="O121" s="65"/>
      <c r="P121" s="65">
        <v>4</v>
      </c>
      <c r="Q121" s="67"/>
      <c r="R121" s="110">
        <v>220</v>
      </c>
      <c r="S121" s="65"/>
      <c r="T121" s="65">
        <v>0</v>
      </c>
      <c r="U121" s="65"/>
      <c r="V121" s="65">
        <f t="shared" si="1"/>
        <v>4</v>
      </c>
      <c r="W121" s="128"/>
      <c r="X121" s="128">
        <v>1</v>
      </c>
      <c r="Y121" s="65"/>
      <c r="Z121" s="67"/>
      <c r="AA121" s="67"/>
      <c r="AB121" s="128"/>
      <c r="AC121" s="128"/>
      <c r="AD121" s="65">
        <v>0</v>
      </c>
      <c r="AE121" s="67">
        <v>0</v>
      </c>
      <c r="AF121" s="67">
        <v>0</v>
      </c>
      <c r="AG121" s="129" t="e">
        <v>#DIV/0!</v>
      </c>
      <c r="AH121" s="129">
        <v>0</v>
      </c>
      <c r="AI121" s="67"/>
      <c r="AJ121" s="67"/>
      <c r="AK121" s="129"/>
      <c r="AL121" s="128"/>
      <c r="AM121" s="128"/>
      <c r="AN121" s="67">
        <v>0</v>
      </c>
      <c r="AO121" s="67">
        <v>0</v>
      </c>
      <c r="AP121" s="129" t="e">
        <v>#DIV/0!</v>
      </c>
      <c r="AQ121" s="129">
        <v>0</v>
      </c>
      <c r="AR121" s="129">
        <v>0.00190909090909091</v>
      </c>
    </row>
    <row r="122" customFormat="1" ht="22.5" customHeight="1" spans="1:44">
      <c r="A122" s="72">
        <v>12701</v>
      </c>
      <c r="B122" s="62" t="s">
        <v>180</v>
      </c>
      <c r="C122" s="63">
        <f>_xlfn.XLOOKUP(A122,[1]分配表!J:J,[1]分配表!L:L)</f>
        <v>46160</v>
      </c>
      <c r="D122" s="63">
        <f>IF(_xlfn.XLOOKUP(A122,[1]分配表!J:J,[1]分配表!M:M,"未出单")=0,"未出单",_xlfn.XLOOKUP(A122,[1]分配表!J:J,[1]分配表!M:M,"未出单"))</f>
        <v>46161</v>
      </c>
      <c r="E122" s="64" t="s">
        <v>161</v>
      </c>
      <c r="F122" s="126" t="str">
        <f>_xlfn.XLOOKUP(A122,[1]分配表!A:A,[1]分配表!C:C)</f>
        <v>章鹏</v>
      </c>
      <c r="G122" s="126" t="str">
        <f>IF(_xlfn.XLOOKUP($A122,[1]分配表!$A:$A,[1]分配表!D:D)=0,"未分类",_xlfn.XLOOKUP($A122,[1]分配表!$A:$A,[1]分配表!D:D))</f>
        <v>饰条</v>
      </c>
      <c r="H122" s="126" t="str">
        <f>_xlfn.XLOOKUP(A122,[1]分配表!J:J,[1]分配表!I:I)</f>
        <v>原开品</v>
      </c>
      <c r="I122" s="65"/>
      <c r="J122" s="65">
        <f>COUNTIFS([1]月销售数据!L:L,A122,[1]月销售数据!M:M,"&gt;=2026-5-1",[1]月销售数据!M:M,"&lt;=2026-5-31")</f>
        <v>1</v>
      </c>
      <c r="K122" s="127"/>
      <c r="L122" s="127" t="s">
        <v>46</v>
      </c>
      <c r="M122" s="127"/>
      <c r="N122" s="127" t="s">
        <v>48</v>
      </c>
      <c r="O122" s="65"/>
      <c r="P122" s="65">
        <v>6</v>
      </c>
      <c r="Q122" s="67"/>
      <c r="R122" s="110">
        <v>570</v>
      </c>
      <c r="S122" s="65"/>
      <c r="T122" s="65">
        <v>0</v>
      </c>
      <c r="U122" s="65"/>
      <c r="V122" s="65">
        <f t="shared" si="1"/>
        <v>6</v>
      </c>
      <c r="W122" s="128"/>
      <c r="X122" s="128">
        <v>1</v>
      </c>
      <c r="Y122" s="65"/>
      <c r="Z122" s="67"/>
      <c r="AA122" s="67"/>
      <c r="AB122" s="128"/>
      <c r="AC122" s="128"/>
      <c r="AD122" s="65">
        <v>0</v>
      </c>
      <c r="AE122" s="67">
        <v>0</v>
      </c>
      <c r="AF122" s="67">
        <v>0.7</v>
      </c>
      <c r="AG122" s="129" t="e">
        <v>#DIV/0!</v>
      </c>
      <c r="AH122" s="129">
        <v>0.0012280701754386</v>
      </c>
      <c r="AI122" s="67"/>
      <c r="AJ122" s="67"/>
      <c r="AK122" s="129"/>
      <c r="AL122" s="128"/>
      <c r="AM122" s="128"/>
      <c r="AN122" s="67">
        <v>0</v>
      </c>
      <c r="AO122" s="67">
        <v>0</v>
      </c>
      <c r="AP122" s="129" t="e">
        <v>#DIV/0!</v>
      </c>
      <c r="AQ122" s="129">
        <v>0</v>
      </c>
      <c r="AR122" s="129">
        <v>0.00284210526315789</v>
      </c>
    </row>
    <row r="123" customFormat="1" ht="22.5" customHeight="1" spans="1:44">
      <c r="A123" s="72">
        <v>12700</v>
      </c>
      <c r="B123" s="62" t="s">
        <v>181</v>
      </c>
      <c r="C123" s="63">
        <f>_xlfn.XLOOKUP(A123,[1]分配表!J:J,[1]分配表!L:L)</f>
        <v>46160</v>
      </c>
      <c r="D123" s="63">
        <f>IF(_xlfn.XLOOKUP(A123,[1]分配表!J:J,[1]分配表!M:M,"未出单")=0,"未出单",_xlfn.XLOOKUP(A123,[1]分配表!J:J,[1]分配表!M:M,"未出单"))</f>
        <v>46161</v>
      </c>
      <c r="E123" s="64" t="s">
        <v>161</v>
      </c>
      <c r="F123" s="126" t="str">
        <f>_xlfn.XLOOKUP(A123,[1]分配表!A:A,[1]分配表!C:C)</f>
        <v>章鹏</v>
      </c>
      <c r="G123" s="126" t="str">
        <f>IF(_xlfn.XLOOKUP($A123,[1]分配表!$A:$A,[1]分配表!D:D)=0,"未分类",_xlfn.XLOOKUP($A123,[1]分配表!$A:$A,[1]分配表!D:D))</f>
        <v>饰条</v>
      </c>
      <c r="H123" s="126" t="str">
        <f>_xlfn.XLOOKUP(A123,[1]分配表!J:J,[1]分配表!I:I)</f>
        <v>原开品</v>
      </c>
      <c r="I123" s="65"/>
      <c r="J123" s="65">
        <f>COUNTIFS([1]月销售数据!L:L,A123,[1]月销售数据!M:M,"&gt;=2026-5-1",[1]月销售数据!M:M,"&lt;=2026-5-31")</f>
        <v>1</v>
      </c>
      <c r="K123" s="127"/>
      <c r="L123" s="127" t="s">
        <v>46</v>
      </c>
      <c r="M123" s="127"/>
      <c r="N123" s="127" t="s">
        <v>48</v>
      </c>
      <c r="O123" s="65"/>
      <c r="P123" s="65">
        <v>6</v>
      </c>
      <c r="Q123" s="67"/>
      <c r="R123" s="110">
        <v>570</v>
      </c>
      <c r="S123" s="65"/>
      <c r="T123" s="65">
        <v>0</v>
      </c>
      <c r="U123" s="65"/>
      <c r="V123" s="65">
        <f t="shared" si="1"/>
        <v>6</v>
      </c>
      <c r="W123" s="128"/>
      <c r="X123" s="128">
        <v>1</v>
      </c>
      <c r="Y123" s="65"/>
      <c r="Z123" s="67"/>
      <c r="AA123" s="67"/>
      <c r="AB123" s="128"/>
      <c r="AC123" s="128"/>
      <c r="AD123" s="65">
        <v>1</v>
      </c>
      <c r="AE123" s="67">
        <v>103.12</v>
      </c>
      <c r="AF123" s="67">
        <v>1.9</v>
      </c>
      <c r="AG123" s="129">
        <v>0.0184251357641583</v>
      </c>
      <c r="AH123" s="129">
        <v>0.00333333333333333</v>
      </c>
      <c r="AI123" s="67"/>
      <c r="AJ123" s="67"/>
      <c r="AK123" s="129"/>
      <c r="AL123" s="128"/>
      <c r="AM123" s="128"/>
      <c r="AN123" s="67">
        <v>0</v>
      </c>
      <c r="AO123" s="67">
        <v>0</v>
      </c>
      <c r="AP123" s="129" t="e">
        <v>#DIV/0!</v>
      </c>
      <c r="AQ123" s="129">
        <v>0</v>
      </c>
      <c r="AR123" s="129">
        <v>0.00473684210526316</v>
      </c>
    </row>
    <row r="124" customFormat="1" ht="22.5" customHeight="1" spans="1:44">
      <c r="A124" s="72">
        <v>12779</v>
      </c>
      <c r="B124" s="62" t="s">
        <v>182</v>
      </c>
      <c r="C124" s="63">
        <f>_xlfn.XLOOKUP(A124,[1]分配表!J:J,[1]分配表!L:L)</f>
        <v>46160</v>
      </c>
      <c r="D124" s="63">
        <f>IF(_xlfn.XLOOKUP(A124,[1]分配表!J:J,[1]分配表!M:M,"未出单")=0,"未出单",_xlfn.XLOOKUP(A124,[1]分配表!J:J,[1]分配表!M:M,"未出单"))</f>
        <v>46174</v>
      </c>
      <c r="E124" s="64" t="s">
        <v>161</v>
      </c>
      <c r="F124" s="126" t="str">
        <f>_xlfn.XLOOKUP(A124,[1]分配表!A:A,[1]分配表!C:C)</f>
        <v>朱培源</v>
      </c>
      <c r="G124" s="126" t="str">
        <f>IF(_xlfn.XLOOKUP($A124,[1]分配表!$A:$A,[1]分配表!D:D)=0,"未分类",_xlfn.XLOOKUP($A124,[1]分配表!$A:$A,[1]分配表!D:D))</f>
        <v>挡泥板</v>
      </c>
      <c r="H124" s="126" t="str">
        <f>_xlfn.XLOOKUP(A124,[1]分配表!J:J,[1]分配表!I:I)</f>
        <v>原开品</v>
      </c>
      <c r="I124" s="65"/>
      <c r="J124" s="65">
        <f>COUNTIFS([1]月销售数据!L:L,A124,[1]月销售数据!M:M,"&gt;=2026-5-1",[1]月销售数据!M:M,"&lt;=2026-5-31")</f>
        <v>2</v>
      </c>
      <c r="K124" s="127"/>
      <c r="L124" s="127" t="s">
        <v>103</v>
      </c>
      <c r="M124" s="127"/>
      <c r="N124" s="127" t="s">
        <v>77</v>
      </c>
      <c r="O124" s="65"/>
      <c r="P124" s="65">
        <v>0</v>
      </c>
      <c r="Q124" s="67"/>
      <c r="R124" s="110">
        <v>0</v>
      </c>
      <c r="S124" s="65"/>
      <c r="T124" s="65">
        <v>5</v>
      </c>
      <c r="U124" s="65"/>
      <c r="V124" s="65">
        <f t="shared" si="1"/>
        <v>5</v>
      </c>
      <c r="W124" s="128"/>
      <c r="X124" s="128">
        <v>0</v>
      </c>
      <c r="Y124" s="65"/>
      <c r="Z124" s="67"/>
      <c r="AA124" s="67"/>
      <c r="AB124" s="128"/>
      <c r="AC124" s="128"/>
      <c r="AD124" s="65">
        <v>0</v>
      </c>
      <c r="AE124" s="67">
        <v>0</v>
      </c>
      <c r="AF124" s="67">
        <v>7.93</v>
      </c>
      <c r="AG124" s="129" t="e">
        <v>#DIV/0!</v>
      </c>
      <c r="AH124" s="129" t="e">
        <v>#DIV/0!</v>
      </c>
      <c r="AI124" s="67"/>
      <c r="AJ124" s="67"/>
      <c r="AK124" s="129"/>
      <c r="AL124" s="128"/>
      <c r="AM124" s="128"/>
      <c r="AN124" s="67">
        <v>0</v>
      </c>
      <c r="AO124" s="67">
        <v>0</v>
      </c>
      <c r="AP124" s="129" t="e">
        <v>#DIV/0!</v>
      </c>
      <c r="AQ124" s="129" t="e">
        <v>#DIV/0!</v>
      </c>
      <c r="AR124" s="129" t="e">
        <v>#DIV/0!</v>
      </c>
    </row>
    <row r="125" customFormat="1" ht="22.5" customHeight="1" spans="1:44">
      <c r="A125" s="72">
        <v>12602</v>
      </c>
      <c r="B125" s="62" t="s">
        <v>183</v>
      </c>
      <c r="C125" s="63">
        <f>_xlfn.XLOOKUP(A125,[1]分配表!J:J,[1]分配表!L:L)</f>
        <v>46162</v>
      </c>
      <c r="D125" s="63">
        <f>IF(_xlfn.XLOOKUP(A125,[1]分配表!J:J,[1]分配表!M:M,"未出单")=0,"未出单",_xlfn.XLOOKUP(A125,[1]分配表!J:J,[1]分配表!M:M,"未出单"))</f>
        <v>46167</v>
      </c>
      <c r="E125" s="64" t="s">
        <v>161</v>
      </c>
      <c r="F125" s="126" t="str">
        <f>_xlfn.XLOOKUP(A125,[1]分配表!A:A,[1]分配表!C:C)</f>
        <v>王偲涵</v>
      </c>
      <c r="G125" s="126" t="str">
        <f>IF(_xlfn.XLOOKUP($A125,[1]分配表!$A:$A,[1]分配表!D:D)=0,"未分类",_xlfn.XLOOKUP($A125,[1]分配表!$A:$A,[1]分配表!D:D))</f>
        <v>车身外扩件</v>
      </c>
      <c r="H125" s="126" t="str">
        <f>_xlfn.XLOOKUP(A125,[1]分配表!J:J,[1]分配表!I:I)</f>
        <v>原开品</v>
      </c>
      <c r="I125" s="65"/>
      <c r="J125" s="65">
        <f>COUNTIFS([1]月销售数据!L:L,A125,[1]月销售数据!M:M,"&gt;=2026-5-1",[1]月销售数据!M:M,"&lt;=2026-5-31")</f>
        <v>2</v>
      </c>
      <c r="K125" s="127"/>
      <c r="L125" s="127" t="s">
        <v>46</v>
      </c>
      <c r="M125" s="127"/>
      <c r="N125" s="127" t="s">
        <v>53</v>
      </c>
      <c r="O125" s="65"/>
      <c r="P125" s="65">
        <v>2</v>
      </c>
      <c r="Q125" s="67"/>
      <c r="R125" s="110">
        <v>234</v>
      </c>
      <c r="S125" s="65"/>
      <c r="T125" s="65">
        <v>2</v>
      </c>
      <c r="U125" s="65"/>
      <c r="V125" s="65">
        <f t="shared" si="1"/>
        <v>4</v>
      </c>
      <c r="W125" s="128"/>
      <c r="X125" s="128">
        <v>0.5</v>
      </c>
      <c r="Y125" s="65"/>
      <c r="Z125" s="67"/>
      <c r="AA125" s="67"/>
      <c r="AB125" s="128"/>
      <c r="AC125" s="128"/>
      <c r="AD125" s="65">
        <v>0</v>
      </c>
      <c r="AE125" s="67">
        <v>0</v>
      </c>
      <c r="AF125" s="67">
        <v>38.26</v>
      </c>
      <c r="AG125" s="129" t="e">
        <v>#DIV/0!</v>
      </c>
      <c r="AH125" s="129">
        <v>0.163504273504273</v>
      </c>
      <c r="AI125" s="67"/>
      <c r="AJ125" s="67"/>
      <c r="AK125" s="129"/>
      <c r="AL125" s="128"/>
      <c r="AM125" s="128"/>
      <c r="AN125" s="67">
        <v>0</v>
      </c>
      <c r="AO125" s="67">
        <v>0</v>
      </c>
      <c r="AP125" s="129" t="e">
        <v>#DIV/0!</v>
      </c>
      <c r="AQ125" s="129">
        <v>0</v>
      </c>
      <c r="AR125" s="129">
        <v>0.163504273504273</v>
      </c>
    </row>
    <row r="126" customFormat="1" ht="22.5" customHeight="1" spans="1:44">
      <c r="A126" s="72">
        <v>12786</v>
      </c>
      <c r="B126" s="62" t="s">
        <v>184</v>
      </c>
      <c r="C126" s="63">
        <f>_xlfn.XLOOKUP(A126,[1]分配表!J:J,[1]分配表!L:L)</f>
        <v>46162</v>
      </c>
      <c r="D126" s="63">
        <f>IF(_xlfn.XLOOKUP(A126,[1]分配表!J:J,[1]分配表!M:M,"未出单")=0,"未出单",_xlfn.XLOOKUP(A126,[1]分配表!J:J,[1]分配表!M:M,"未出单"))</f>
        <v>46164</v>
      </c>
      <c r="E126" s="64" t="s">
        <v>161</v>
      </c>
      <c r="F126" s="126" t="str">
        <f>_xlfn.XLOOKUP(A126,[1]分配表!A:A,[1]分配表!C:C)</f>
        <v>胡煜星</v>
      </c>
      <c r="G126" s="126" t="str">
        <f>IF(_xlfn.XLOOKUP($A126,[1]分配表!$A:$A,[1]分配表!D:D)=0,"未分类",_xlfn.XLOOKUP($A126,[1]分配表!$A:$A,[1]分配表!D:D))</f>
        <v>车身外扩件</v>
      </c>
      <c r="H126" s="126" t="str">
        <f>_xlfn.XLOOKUP(A126,[1]分配表!J:J,[1]分配表!I:I)</f>
        <v>原开品</v>
      </c>
      <c r="I126" s="65"/>
      <c r="J126" s="65">
        <f>COUNTIFS([1]月销售数据!L:L,A126,[1]月销售数据!M:M,"&gt;=2026-5-1",[1]月销售数据!M:M,"&lt;=2026-5-31")</f>
        <v>1</v>
      </c>
      <c r="K126" s="127"/>
      <c r="L126" s="127" t="s">
        <v>46</v>
      </c>
      <c r="M126" s="127"/>
      <c r="N126" s="127" t="s">
        <v>48</v>
      </c>
      <c r="O126" s="65"/>
      <c r="P126" s="65">
        <v>1</v>
      </c>
      <c r="Q126" s="67"/>
      <c r="R126" s="110">
        <v>150</v>
      </c>
      <c r="S126" s="65"/>
      <c r="T126" s="65">
        <v>0</v>
      </c>
      <c r="U126" s="65"/>
      <c r="V126" s="65">
        <f t="shared" si="1"/>
        <v>1</v>
      </c>
      <c r="W126" s="128"/>
      <c r="X126" s="128">
        <v>1</v>
      </c>
      <c r="Y126" s="65"/>
      <c r="Z126" s="67"/>
      <c r="AA126" s="67"/>
      <c r="AB126" s="128"/>
      <c r="AC126" s="128"/>
      <c r="AD126" s="65">
        <v>0</v>
      </c>
      <c r="AE126" s="67">
        <v>0</v>
      </c>
      <c r="AF126" s="67">
        <v>6.17</v>
      </c>
      <c r="AG126" s="129" t="e">
        <v>#DIV/0!</v>
      </c>
      <c r="AH126" s="129">
        <v>0.0411333333333333</v>
      </c>
      <c r="AI126" s="67"/>
      <c r="AJ126" s="67"/>
      <c r="AK126" s="129"/>
      <c r="AL126" s="128"/>
      <c r="AM126" s="128"/>
      <c r="AN126" s="67">
        <v>0</v>
      </c>
      <c r="AO126" s="67">
        <v>0</v>
      </c>
      <c r="AP126" s="129" t="e">
        <v>#DIV/0!</v>
      </c>
      <c r="AQ126" s="129">
        <v>0</v>
      </c>
      <c r="AR126" s="129">
        <v>0.0411333333333333</v>
      </c>
    </row>
    <row r="127" customFormat="1" ht="22.5" customHeight="1" spans="1:44">
      <c r="A127" s="72">
        <v>12840</v>
      </c>
      <c r="B127" s="62" t="s">
        <v>185</v>
      </c>
      <c r="C127" s="63">
        <f>_xlfn.XLOOKUP(A127,[1]分配表!J:J,[1]分配表!L:L)</f>
        <v>46162</v>
      </c>
      <c r="D127" s="63">
        <f>IF(_xlfn.XLOOKUP(A127,[1]分配表!J:J,[1]分配表!M:M,"未出单")=0,"未出单",_xlfn.XLOOKUP(A127,[1]分配表!J:J,[1]分配表!M:M,"未出单"))</f>
        <v>46171</v>
      </c>
      <c r="E127" s="64" t="s">
        <v>161</v>
      </c>
      <c r="F127" s="126" t="str">
        <f>_xlfn.XLOOKUP(A127,[1]分配表!A:A,[1]分配表!C:C)</f>
        <v>胡煜星</v>
      </c>
      <c r="G127" s="126" t="str">
        <f>IF(_xlfn.XLOOKUP($A127,[1]分配表!$A:$A,[1]分配表!D:D)=0,"未分类",_xlfn.XLOOKUP($A127,[1]分配表!$A:$A,[1]分配表!D:D))</f>
        <v>车身外扩件</v>
      </c>
      <c r="H127" s="126" t="str">
        <f>_xlfn.XLOOKUP(A127,[1]分配表!J:J,[1]分配表!I:I)</f>
        <v>原开品</v>
      </c>
      <c r="I127" s="65"/>
      <c r="J127" s="65">
        <f>COUNTIFS([1]月销售数据!L:L,A127,[1]月销售数据!M:M,"&gt;=2026-5-1",[1]月销售数据!M:M,"&lt;=2026-5-31")</f>
        <v>1</v>
      </c>
      <c r="K127" s="127"/>
      <c r="L127" s="127" t="s">
        <v>103</v>
      </c>
      <c r="M127" s="127"/>
      <c r="N127" s="127" t="s">
        <v>47</v>
      </c>
      <c r="O127" s="65"/>
      <c r="P127" s="65">
        <v>1</v>
      </c>
      <c r="Q127" s="67"/>
      <c r="R127" s="110">
        <v>140</v>
      </c>
      <c r="S127" s="65"/>
      <c r="T127" s="65">
        <v>0</v>
      </c>
      <c r="U127" s="65"/>
      <c r="V127" s="65">
        <f t="shared" si="1"/>
        <v>1</v>
      </c>
      <c r="W127" s="128"/>
      <c r="X127" s="128">
        <v>1</v>
      </c>
      <c r="Y127" s="65"/>
      <c r="Z127" s="67"/>
      <c r="AA127" s="67"/>
      <c r="AB127" s="128"/>
      <c r="AC127" s="128"/>
      <c r="AD127" s="65">
        <v>0</v>
      </c>
      <c r="AE127" s="67">
        <v>0</v>
      </c>
      <c r="AF127" s="67">
        <v>15.23</v>
      </c>
      <c r="AG127" s="129" t="e">
        <v>#DIV/0!</v>
      </c>
      <c r="AH127" s="129">
        <v>0.108785714285714</v>
      </c>
      <c r="AI127" s="67"/>
      <c r="AJ127" s="67"/>
      <c r="AK127" s="129"/>
      <c r="AL127" s="128"/>
      <c r="AM127" s="128"/>
      <c r="AN127" s="67">
        <v>0</v>
      </c>
      <c r="AO127" s="67">
        <v>0</v>
      </c>
      <c r="AP127" s="129" t="e">
        <v>#DIV/0!</v>
      </c>
      <c r="AQ127" s="129">
        <v>0</v>
      </c>
      <c r="AR127" s="129">
        <v>0.121071428571429</v>
      </c>
    </row>
    <row r="128" customFormat="1" ht="22.5" customHeight="1" spans="1:44">
      <c r="A128" s="72">
        <v>12892</v>
      </c>
      <c r="B128" s="62" t="s">
        <v>186</v>
      </c>
      <c r="C128" s="63">
        <f>_xlfn.XLOOKUP(A128,[1]分配表!J:J,[1]分配表!L:L)</f>
        <v>46162</v>
      </c>
      <c r="D128" s="63">
        <f>IF(_xlfn.XLOOKUP(A128,[1]分配表!J:J,[1]分配表!M:M,"未出单")=0,"未出单",_xlfn.XLOOKUP(A128,[1]分配表!J:J,[1]分配表!M:M,"未出单"))</f>
        <v>46168</v>
      </c>
      <c r="E128" s="64" t="s">
        <v>161</v>
      </c>
      <c r="F128" s="126" t="str">
        <f>_xlfn.XLOOKUP(A128,[1]分配表!A:A,[1]分配表!C:C)</f>
        <v>章鹏</v>
      </c>
      <c r="G128" s="126" t="str">
        <f>IF(_xlfn.XLOOKUP($A128,[1]分配表!$A:$A,[1]分配表!D:D)=0,"未分类",_xlfn.XLOOKUP($A128,[1]分配表!$A:$A,[1]分配表!D:D))</f>
        <v>挡泥板</v>
      </c>
      <c r="H128" s="126" t="str">
        <f>_xlfn.XLOOKUP(A128,[1]分配表!J:J,[1]分配表!I:I)</f>
        <v>拓展品</v>
      </c>
      <c r="I128" s="65"/>
      <c r="J128" s="65">
        <f>COUNTIFS([1]月销售数据!L:L,A128,[1]月销售数据!M:M,"&gt;=2026-5-1",[1]月销售数据!M:M,"&lt;=2026-5-31")</f>
        <v>1</v>
      </c>
      <c r="K128" s="127"/>
      <c r="L128" s="127" t="s">
        <v>46</v>
      </c>
      <c r="M128" s="127"/>
      <c r="N128" s="127" t="s">
        <v>53</v>
      </c>
      <c r="O128" s="65"/>
      <c r="P128" s="65">
        <v>1</v>
      </c>
      <c r="Q128" s="67"/>
      <c r="R128" s="110">
        <v>71</v>
      </c>
      <c r="S128" s="65"/>
      <c r="T128" s="65">
        <v>3</v>
      </c>
      <c r="U128" s="65"/>
      <c r="V128" s="65">
        <f t="shared" si="1"/>
        <v>4</v>
      </c>
      <c r="W128" s="128"/>
      <c r="X128" s="128">
        <v>0.25</v>
      </c>
      <c r="Y128" s="65"/>
      <c r="Z128" s="67"/>
      <c r="AA128" s="67"/>
      <c r="AB128" s="128"/>
      <c r="AC128" s="128"/>
      <c r="AD128" s="65">
        <v>0</v>
      </c>
      <c r="AE128" s="67">
        <v>0</v>
      </c>
      <c r="AF128" s="67">
        <v>4.48</v>
      </c>
      <c r="AG128" s="129" t="e">
        <v>#DIV/0!</v>
      </c>
      <c r="AH128" s="129">
        <v>0.0630985915492958</v>
      </c>
      <c r="AI128" s="67"/>
      <c r="AJ128" s="67"/>
      <c r="AK128" s="129"/>
      <c r="AL128" s="128"/>
      <c r="AM128" s="128"/>
      <c r="AN128" s="67">
        <v>0</v>
      </c>
      <c r="AO128" s="67">
        <v>0</v>
      </c>
      <c r="AP128" s="129" t="e">
        <v>#DIV/0!</v>
      </c>
      <c r="AQ128" s="129">
        <v>0</v>
      </c>
      <c r="AR128" s="129">
        <v>0.0630985915492958</v>
      </c>
    </row>
    <row r="129" customFormat="1" ht="22.5" customHeight="1" spans="1:44">
      <c r="A129" s="72">
        <v>12781</v>
      </c>
      <c r="B129" s="62" t="s">
        <v>187</v>
      </c>
      <c r="C129" s="63">
        <f>_xlfn.XLOOKUP(A129,[1]分配表!J:J,[1]分配表!L:L)</f>
        <v>46162</v>
      </c>
      <c r="D129" s="63">
        <f>IF(_xlfn.XLOOKUP(A129,[1]分配表!J:J,[1]分配表!M:M,"未出单")=0,"未出单",_xlfn.XLOOKUP(A129,[1]分配表!J:J,[1]分配表!M:M,"未出单"))</f>
        <v>46170</v>
      </c>
      <c r="E129" s="64" t="s">
        <v>161</v>
      </c>
      <c r="F129" s="126" t="str">
        <f>_xlfn.XLOOKUP(A129,[1]分配表!A:A,[1]分配表!C:C)</f>
        <v>王偲涵</v>
      </c>
      <c r="G129" s="126" t="str">
        <f>IF(_xlfn.XLOOKUP($A129,[1]分配表!$A:$A,[1]分配表!D:D)=0,"未分类",_xlfn.XLOOKUP($A129,[1]分配表!$A:$A,[1]分配表!D:D))</f>
        <v>车门系统</v>
      </c>
      <c r="H129" s="126" t="str">
        <f>_xlfn.XLOOKUP(A129,[1]分配表!J:J,[1]分配表!I:I)</f>
        <v>拓展品</v>
      </c>
      <c r="I129" s="65"/>
      <c r="J129" s="65">
        <f>COUNTIFS([1]月销售数据!L:L,A129,[1]月销售数据!M:M,"&gt;=2026-5-1",[1]月销售数据!M:M,"&lt;=2026-5-31")</f>
        <v>2</v>
      </c>
      <c r="K129" s="127"/>
      <c r="L129" s="127" t="s">
        <v>58</v>
      </c>
      <c r="M129" s="127"/>
      <c r="N129" s="127" t="s">
        <v>47</v>
      </c>
      <c r="O129" s="65"/>
      <c r="P129" s="65">
        <v>1</v>
      </c>
      <c r="Q129" s="67"/>
      <c r="R129" s="110">
        <v>189.05</v>
      </c>
      <c r="S129" s="65"/>
      <c r="T129" s="65">
        <v>0</v>
      </c>
      <c r="U129" s="65"/>
      <c r="V129" s="65">
        <f t="shared" si="1"/>
        <v>1</v>
      </c>
      <c r="W129" s="128"/>
      <c r="X129" s="128">
        <v>1</v>
      </c>
      <c r="Y129" s="65"/>
      <c r="Z129" s="67"/>
      <c r="AA129" s="67"/>
      <c r="AB129" s="128"/>
      <c r="AC129" s="128"/>
      <c r="AD129" s="65">
        <v>0</v>
      </c>
      <c r="AE129" s="67">
        <v>0</v>
      </c>
      <c r="AF129" s="67">
        <v>0</v>
      </c>
      <c r="AG129" s="129" t="e">
        <v>#DIV/0!</v>
      </c>
      <c r="AH129" s="129">
        <v>0</v>
      </c>
      <c r="AI129" s="67"/>
      <c r="AJ129" s="67"/>
      <c r="AK129" s="129"/>
      <c r="AL129" s="128"/>
      <c r="AM129" s="128"/>
      <c r="AN129" s="67">
        <v>0</v>
      </c>
      <c r="AO129" s="67">
        <v>0</v>
      </c>
      <c r="AP129" s="129" t="e">
        <v>#DIV/0!</v>
      </c>
      <c r="AQ129" s="129">
        <v>0</v>
      </c>
      <c r="AR129" s="129">
        <v>0</v>
      </c>
    </row>
    <row r="130" customFormat="1" ht="22.5" customHeight="1" spans="1:44">
      <c r="A130" s="72">
        <v>12778</v>
      </c>
      <c r="B130" s="62" t="s">
        <v>188</v>
      </c>
      <c r="C130" s="63">
        <f>_xlfn.XLOOKUP(A130,[1]分配表!J:J,[1]分配表!L:L)</f>
        <v>46162</v>
      </c>
      <c r="D130" s="63">
        <f>IF(_xlfn.XLOOKUP(A130,[1]分配表!J:J,[1]分配表!M:M,"未出单")=0,"未出单",_xlfn.XLOOKUP(A130,[1]分配表!J:J,[1]分配表!M:M,"未出单"))</f>
        <v>46170</v>
      </c>
      <c r="E130" s="64" t="s">
        <v>161</v>
      </c>
      <c r="F130" s="126" t="str">
        <f>_xlfn.XLOOKUP(A130,[1]分配表!A:A,[1]分配表!C:C)</f>
        <v>王偲涵</v>
      </c>
      <c r="G130" s="126" t="str">
        <f>IF(_xlfn.XLOOKUP($A130,[1]分配表!$A:$A,[1]分配表!D:D)=0,"未分类",_xlfn.XLOOKUP($A130,[1]分配表!$A:$A,[1]分配表!D:D))</f>
        <v>车门系统</v>
      </c>
      <c r="H130" s="126" t="str">
        <f>_xlfn.XLOOKUP(A130,[1]分配表!J:J,[1]分配表!I:I)</f>
        <v>拓展品</v>
      </c>
      <c r="I130" s="65"/>
      <c r="J130" s="65">
        <f>COUNTIFS([1]月销售数据!L:L,A130,[1]月销售数据!M:M,"&gt;=2026-5-1",[1]月销售数据!M:M,"&lt;=2026-5-31")</f>
        <v>2</v>
      </c>
      <c r="K130" s="127"/>
      <c r="L130" s="127" t="s">
        <v>58</v>
      </c>
      <c r="M130" s="127"/>
      <c r="N130" s="127" t="s">
        <v>47</v>
      </c>
      <c r="O130" s="65"/>
      <c r="P130" s="65">
        <v>1</v>
      </c>
      <c r="Q130" s="67"/>
      <c r="R130" s="110">
        <v>189.05</v>
      </c>
      <c r="S130" s="65"/>
      <c r="T130" s="65">
        <v>0</v>
      </c>
      <c r="U130" s="65"/>
      <c r="V130" s="65">
        <f t="shared" ref="V130:V144" si="2">T130+P130</f>
        <v>1</v>
      </c>
      <c r="W130" s="128"/>
      <c r="X130" s="128">
        <v>1</v>
      </c>
      <c r="Y130" s="65"/>
      <c r="Z130" s="67"/>
      <c r="AA130" s="67"/>
      <c r="AB130" s="128"/>
      <c r="AC130" s="128"/>
      <c r="AD130" s="65">
        <v>0</v>
      </c>
      <c r="AE130" s="67">
        <v>0</v>
      </c>
      <c r="AF130" s="67">
        <v>0</v>
      </c>
      <c r="AG130" s="129" t="e">
        <v>#DIV/0!</v>
      </c>
      <c r="AH130" s="129">
        <v>0</v>
      </c>
      <c r="AI130" s="67"/>
      <c r="AJ130" s="67"/>
      <c r="AK130" s="129"/>
      <c r="AL130" s="128"/>
      <c r="AM130" s="128"/>
      <c r="AN130" s="67">
        <v>0</v>
      </c>
      <c r="AO130" s="67">
        <v>0</v>
      </c>
      <c r="AP130" s="129" t="e">
        <v>#DIV/0!</v>
      </c>
      <c r="AQ130" s="129">
        <v>0</v>
      </c>
      <c r="AR130" s="129">
        <v>0.00222163448823063</v>
      </c>
    </row>
    <row r="131" customFormat="1" ht="22.5" customHeight="1" spans="1:44">
      <c r="A131" s="72">
        <v>12714</v>
      </c>
      <c r="B131" s="62" t="s">
        <v>189</v>
      </c>
      <c r="C131" s="63">
        <f>_xlfn.XLOOKUP(A131,[1]分配表!J:J,[1]分配表!L:L)</f>
        <v>46162</v>
      </c>
      <c r="D131" s="63">
        <f>IF(_xlfn.XLOOKUP(A131,[1]分配表!J:J,[1]分配表!M:M,"未出单")=0,"未出单",_xlfn.XLOOKUP(A131,[1]分配表!J:J,[1]分配表!M:M,"未出单"))</f>
        <v>46164</v>
      </c>
      <c r="E131" s="64" t="s">
        <v>161</v>
      </c>
      <c r="F131" s="126" t="str">
        <f>_xlfn.XLOOKUP(A131,[1]分配表!A:A,[1]分配表!C:C)</f>
        <v>章鹏</v>
      </c>
      <c r="G131" s="126" t="str">
        <f>IF(_xlfn.XLOOKUP($A131,[1]分配表!$A:$A,[1]分配表!D:D)=0,"未分类",_xlfn.XLOOKUP($A131,[1]分配表!$A:$A,[1]分配表!D:D))</f>
        <v>挡泥板</v>
      </c>
      <c r="H131" s="126" t="str">
        <f>_xlfn.XLOOKUP(A131,[1]分配表!J:J,[1]分配表!I:I)</f>
        <v>原开品</v>
      </c>
      <c r="I131" s="65"/>
      <c r="J131" s="65">
        <f>COUNTIFS([1]月销售数据!L:L,A131,[1]月销售数据!M:M,"&gt;=2026-5-1",[1]月销售数据!M:M,"&lt;=2026-5-31")</f>
        <v>1</v>
      </c>
      <c r="K131" s="127"/>
      <c r="L131" s="127" t="s">
        <v>46</v>
      </c>
      <c r="M131" s="127"/>
      <c r="N131" s="127" t="s">
        <v>48</v>
      </c>
      <c r="O131" s="65"/>
      <c r="P131" s="65">
        <v>2</v>
      </c>
      <c r="Q131" s="67"/>
      <c r="R131" s="110">
        <v>210</v>
      </c>
      <c r="S131" s="65"/>
      <c r="T131" s="65">
        <v>11</v>
      </c>
      <c r="U131" s="65"/>
      <c r="V131" s="65">
        <f t="shared" si="2"/>
        <v>13</v>
      </c>
      <c r="W131" s="128"/>
      <c r="X131" s="128">
        <v>0.153846153846154</v>
      </c>
      <c r="Y131" s="65"/>
      <c r="Z131" s="67"/>
      <c r="AA131" s="67"/>
      <c r="AB131" s="128"/>
      <c r="AC131" s="128"/>
      <c r="AD131" s="65">
        <v>1</v>
      </c>
      <c r="AE131" s="67">
        <v>115.24</v>
      </c>
      <c r="AF131" s="67">
        <v>15.42</v>
      </c>
      <c r="AG131" s="129">
        <v>0.133807705657758</v>
      </c>
      <c r="AH131" s="129">
        <v>0.0734285714285714</v>
      </c>
      <c r="AI131" s="67"/>
      <c r="AJ131" s="67"/>
      <c r="AK131" s="129"/>
      <c r="AL131" s="128"/>
      <c r="AM131" s="128"/>
      <c r="AN131" s="67">
        <v>0</v>
      </c>
      <c r="AO131" s="67">
        <v>0</v>
      </c>
      <c r="AP131" s="129" t="e">
        <v>#DIV/0!</v>
      </c>
      <c r="AQ131" s="129">
        <v>0</v>
      </c>
      <c r="AR131" s="129">
        <v>0.0748095238095238</v>
      </c>
    </row>
    <row r="132" customFormat="1" ht="22.5" customHeight="1" spans="1:44">
      <c r="A132" s="72">
        <v>12761</v>
      </c>
      <c r="B132" s="62" t="s">
        <v>190</v>
      </c>
      <c r="C132" s="63">
        <f>_xlfn.XLOOKUP(A132,[1]分配表!J:J,[1]分配表!L:L)</f>
        <v>46162</v>
      </c>
      <c r="D132" s="63">
        <f>IF(_xlfn.XLOOKUP(A132,[1]分配表!J:J,[1]分配表!M:M,"未出单")=0,"未出单",_xlfn.XLOOKUP(A132,[1]分配表!J:J,[1]分配表!M:M,"未出单"))</f>
        <v>46167</v>
      </c>
      <c r="E132" s="64" t="s">
        <v>161</v>
      </c>
      <c r="F132" s="126" t="str">
        <f>_xlfn.XLOOKUP(A132,[1]分配表!A:A,[1]分配表!C:C)</f>
        <v>朱培源</v>
      </c>
      <c r="G132" s="126" t="str">
        <f>IF(_xlfn.XLOOKUP($A132,[1]分配表!$A:$A,[1]分配表!D:D)=0,"未分类",_xlfn.XLOOKUP($A132,[1]分配表!$A:$A,[1]分配表!D:D))</f>
        <v>挡泥板</v>
      </c>
      <c r="H132" s="126" t="str">
        <f>_xlfn.XLOOKUP(A132,[1]分配表!J:J,[1]分配表!I:I)</f>
        <v>原开品</v>
      </c>
      <c r="I132" s="65"/>
      <c r="J132" s="65">
        <f>COUNTIFS([1]月销售数据!L:L,A132,[1]月销售数据!M:M,"&gt;=2026-5-1",[1]月销售数据!M:M,"&lt;=2026-5-31")</f>
        <v>1</v>
      </c>
      <c r="K132" s="127"/>
      <c r="L132" s="127" t="s">
        <v>46</v>
      </c>
      <c r="M132" s="127"/>
      <c r="N132" s="127" t="s">
        <v>48</v>
      </c>
      <c r="O132" s="65"/>
      <c r="P132" s="65">
        <v>5</v>
      </c>
      <c r="Q132" s="67"/>
      <c r="R132" s="110">
        <v>750</v>
      </c>
      <c r="S132" s="65"/>
      <c r="T132" s="65">
        <v>0</v>
      </c>
      <c r="U132" s="65"/>
      <c r="V132" s="65">
        <f t="shared" si="2"/>
        <v>5</v>
      </c>
      <c r="W132" s="128"/>
      <c r="X132" s="128">
        <v>1</v>
      </c>
      <c r="Y132" s="65"/>
      <c r="Z132" s="67"/>
      <c r="AA132" s="67"/>
      <c r="AB132" s="128"/>
      <c r="AC132" s="128"/>
      <c r="AD132" s="65">
        <v>2</v>
      </c>
      <c r="AE132" s="67">
        <v>324.76</v>
      </c>
      <c r="AF132" s="67">
        <v>26.73</v>
      </c>
      <c r="AG132" s="129">
        <v>0.0823069343515211</v>
      </c>
      <c r="AH132" s="129">
        <v>0.03564</v>
      </c>
      <c r="AI132" s="67"/>
      <c r="AJ132" s="67"/>
      <c r="AK132" s="129"/>
      <c r="AL132" s="128"/>
      <c r="AM132" s="128"/>
      <c r="AN132" s="67">
        <v>0</v>
      </c>
      <c r="AO132" s="67">
        <v>0</v>
      </c>
      <c r="AP132" s="129" t="e">
        <v>#DIV/0!</v>
      </c>
      <c r="AQ132" s="129">
        <v>0</v>
      </c>
      <c r="AR132" s="129">
        <v>0.0374666666666667</v>
      </c>
    </row>
    <row r="133" customFormat="1" ht="22.5" customHeight="1" spans="1:44">
      <c r="A133" s="72">
        <v>12771</v>
      </c>
      <c r="B133" s="62" t="s">
        <v>191</v>
      </c>
      <c r="C133" s="63">
        <f>_xlfn.XLOOKUP(A133,[1]分配表!J:J,[1]分配表!L:L)</f>
        <v>46162</v>
      </c>
      <c r="D133" s="63">
        <f>IF(_xlfn.XLOOKUP(A133,[1]分配表!J:J,[1]分配表!M:M,"未出单")=0,"未出单",_xlfn.XLOOKUP(A133,[1]分配表!J:J,[1]分配表!M:M,"未出单"))</f>
        <v>46169</v>
      </c>
      <c r="E133" s="64" t="s">
        <v>161</v>
      </c>
      <c r="F133" s="126" t="str">
        <f>_xlfn.XLOOKUP(A133,[1]分配表!A:A,[1]分配表!C:C)</f>
        <v>朱培源</v>
      </c>
      <c r="G133" s="126" t="str">
        <f>IF(_xlfn.XLOOKUP($A133,[1]分配表!$A:$A,[1]分配表!D:D)=0,"未分类",_xlfn.XLOOKUP($A133,[1]分配表!$A:$A,[1]分配表!D:D))</f>
        <v>挡泥板</v>
      </c>
      <c r="H133" s="126" t="str">
        <f>_xlfn.XLOOKUP(A133,[1]分配表!J:J,[1]分配表!I:I)</f>
        <v>原开品</v>
      </c>
      <c r="I133" s="65"/>
      <c r="J133" s="65">
        <f>COUNTIFS([1]月销售数据!L:L,A133,[1]月销售数据!M:M,"&gt;=2026-5-1",[1]月销售数据!M:M,"&lt;=2026-5-31")</f>
        <v>1</v>
      </c>
      <c r="K133" s="127"/>
      <c r="L133" s="127" t="s">
        <v>46</v>
      </c>
      <c r="M133" s="127"/>
      <c r="N133" s="127" t="s">
        <v>47</v>
      </c>
      <c r="O133" s="65"/>
      <c r="P133" s="65">
        <v>1</v>
      </c>
      <c r="Q133" s="67"/>
      <c r="R133" s="110">
        <v>130</v>
      </c>
      <c r="S133" s="65"/>
      <c r="T133" s="65">
        <v>39</v>
      </c>
      <c r="U133" s="65"/>
      <c r="V133" s="65">
        <f t="shared" si="2"/>
        <v>40</v>
      </c>
      <c r="W133" s="128"/>
      <c r="X133" s="128">
        <v>0.025</v>
      </c>
      <c r="Y133" s="65"/>
      <c r="Z133" s="67"/>
      <c r="AA133" s="67"/>
      <c r="AB133" s="128"/>
      <c r="AC133" s="128"/>
      <c r="AD133" s="65">
        <v>0</v>
      </c>
      <c r="AE133" s="67">
        <v>0</v>
      </c>
      <c r="AF133" s="67">
        <v>8.13</v>
      </c>
      <c r="AG133" s="129" t="e">
        <v>#DIV/0!</v>
      </c>
      <c r="AH133" s="129">
        <v>0.0625384615384615</v>
      </c>
      <c r="AI133" s="67"/>
      <c r="AJ133" s="67"/>
      <c r="AK133" s="129"/>
      <c r="AL133" s="128"/>
      <c r="AM133" s="128"/>
      <c r="AN133" s="67">
        <v>0</v>
      </c>
      <c r="AO133" s="67">
        <v>0</v>
      </c>
      <c r="AP133" s="129" t="e">
        <v>#DIV/0!</v>
      </c>
      <c r="AQ133" s="129">
        <v>0</v>
      </c>
      <c r="AR133" s="129">
        <v>0.0843076923076923</v>
      </c>
    </row>
    <row r="134" customFormat="1" ht="22.5" customHeight="1" spans="1:44">
      <c r="A134" s="72">
        <v>12715</v>
      </c>
      <c r="B134" s="62" t="s">
        <v>192</v>
      </c>
      <c r="C134" s="63">
        <f>_xlfn.XLOOKUP(A134,[1]分配表!J:J,[1]分配表!L:L)</f>
        <v>46162</v>
      </c>
      <c r="D134" s="63">
        <f>IF(_xlfn.XLOOKUP(A134,[1]分配表!J:J,[1]分配表!M:M,"未出单")=0,"未出单",_xlfn.XLOOKUP(A134,[1]分配表!J:J,[1]分配表!M:M,"未出单"))</f>
        <v>46162</v>
      </c>
      <c r="E134" s="64" t="s">
        <v>161</v>
      </c>
      <c r="F134" s="126" t="str">
        <f>_xlfn.XLOOKUP(A134,[1]分配表!A:A,[1]分配表!C:C)</f>
        <v>张潇</v>
      </c>
      <c r="G134" s="126" t="str">
        <f>IF(_xlfn.XLOOKUP($A134,[1]分配表!$A:$A,[1]分配表!D:D)=0,"未分类",_xlfn.XLOOKUP($A134,[1]分配表!$A:$A,[1]分配表!D:D))</f>
        <v>挡泥板</v>
      </c>
      <c r="H134" s="126" t="str">
        <f>_xlfn.XLOOKUP(A134,[1]分配表!J:J,[1]分配表!I:I)</f>
        <v>原开品</v>
      </c>
      <c r="I134" s="65"/>
      <c r="J134" s="65">
        <f>COUNTIFS([1]月销售数据!L:L,A134,[1]月销售数据!M:M,"&gt;=2026-5-1",[1]月销售数据!M:M,"&lt;=2026-5-31")</f>
        <v>2</v>
      </c>
      <c r="K134" s="127"/>
      <c r="L134" s="127" t="s">
        <v>46</v>
      </c>
      <c r="M134" s="127"/>
      <c r="N134" s="127" t="s">
        <v>48</v>
      </c>
      <c r="O134" s="65"/>
      <c r="P134" s="65">
        <v>5</v>
      </c>
      <c r="Q134" s="67"/>
      <c r="R134" s="110">
        <v>373.7</v>
      </c>
      <c r="S134" s="65"/>
      <c r="T134" s="65">
        <v>41</v>
      </c>
      <c r="U134" s="65"/>
      <c r="V134" s="65">
        <f t="shared" si="2"/>
        <v>46</v>
      </c>
      <c r="W134" s="128"/>
      <c r="X134" s="128">
        <v>0.108695652173913</v>
      </c>
      <c r="Y134" s="65"/>
      <c r="Z134" s="67"/>
      <c r="AA134" s="67"/>
      <c r="AB134" s="128"/>
      <c r="AC134" s="128"/>
      <c r="AD134" s="65">
        <v>4</v>
      </c>
      <c r="AE134" s="67">
        <v>312.39</v>
      </c>
      <c r="AF134" s="67">
        <v>65.43</v>
      </c>
      <c r="AG134" s="129">
        <v>0.209449726303659</v>
      </c>
      <c r="AH134" s="129">
        <v>0.175086968156275</v>
      </c>
      <c r="AI134" s="67"/>
      <c r="AJ134" s="67"/>
      <c r="AK134" s="129"/>
      <c r="AL134" s="128"/>
      <c r="AM134" s="128"/>
      <c r="AN134" s="67">
        <v>0</v>
      </c>
      <c r="AO134" s="67">
        <v>0</v>
      </c>
      <c r="AP134" s="129" t="e">
        <v>#DIV/0!</v>
      </c>
      <c r="AQ134" s="129">
        <v>0</v>
      </c>
      <c r="AR134" s="129">
        <v>0.176799571849077</v>
      </c>
    </row>
    <row r="135" customFormat="1" ht="22.5" customHeight="1" spans="1:44">
      <c r="A135" s="72">
        <v>12762</v>
      </c>
      <c r="B135" s="62" t="s">
        <v>193</v>
      </c>
      <c r="C135" s="63">
        <f>_xlfn.XLOOKUP(A135,[1]分配表!J:J,[1]分配表!L:L)</f>
        <v>46162</v>
      </c>
      <c r="D135" s="63">
        <f>IF(_xlfn.XLOOKUP(A135,[1]分配表!J:J,[1]分配表!M:M,"未出单")=0,"未出单",_xlfn.XLOOKUP(A135,[1]分配表!J:J,[1]分配表!M:M,"未出单"))</f>
        <v>46170</v>
      </c>
      <c r="E135" s="64" t="s">
        <v>161</v>
      </c>
      <c r="F135" s="126" t="str">
        <f>_xlfn.XLOOKUP(A135,[1]分配表!A:A,[1]分配表!C:C)</f>
        <v>张潇</v>
      </c>
      <c r="G135" s="126" t="str">
        <f>IF(_xlfn.XLOOKUP($A135,[1]分配表!$A:$A,[1]分配表!D:D)=0,"未分类",_xlfn.XLOOKUP($A135,[1]分配表!$A:$A,[1]分配表!D:D))</f>
        <v>挡泥板</v>
      </c>
      <c r="H135" s="126" t="str">
        <f>_xlfn.XLOOKUP(A135,[1]分配表!J:J,[1]分配表!I:I)</f>
        <v>原开品</v>
      </c>
      <c r="I135" s="65"/>
      <c r="J135" s="65">
        <f>COUNTIFS([1]月销售数据!L:L,A135,[1]月销售数据!M:M,"&gt;=2026-5-1",[1]月销售数据!M:M,"&lt;=2026-5-31")</f>
        <v>2</v>
      </c>
      <c r="K135" s="127"/>
      <c r="L135" s="127" t="s">
        <v>103</v>
      </c>
      <c r="M135" s="127"/>
      <c r="N135" s="127" t="s">
        <v>47</v>
      </c>
      <c r="O135" s="65"/>
      <c r="P135" s="65">
        <v>3</v>
      </c>
      <c r="Q135" s="67"/>
      <c r="R135" s="110">
        <v>211.8</v>
      </c>
      <c r="S135" s="65"/>
      <c r="T135" s="65">
        <v>34</v>
      </c>
      <c r="U135" s="65"/>
      <c r="V135" s="65">
        <f t="shared" si="2"/>
        <v>37</v>
      </c>
      <c r="W135" s="128"/>
      <c r="X135" s="128">
        <v>0.0810810810810811</v>
      </c>
      <c r="Y135" s="65"/>
      <c r="Z135" s="67"/>
      <c r="AA135" s="67"/>
      <c r="AB135" s="128"/>
      <c r="AC135" s="128"/>
      <c r="AD135" s="65">
        <v>1</v>
      </c>
      <c r="AE135" s="67">
        <v>75.96</v>
      </c>
      <c r="AF135" s="67">
        <v>52.17</v>
      </c>
      <c r="AG135" s="129">
        <v>0.686808846761453</v>
      </c>
      <c r="AH135" s="129">
        <v>0.246317280453258</v>
      </c>
      <c r="AI135" s="67"/>
      <c r="AJ135" s="67"/>
      <c r="AK135" s="129"/>
      <c r="AL135" s="128"/>
      <c r="AM135" s="128"/>
      <c r="AN135" s="67">
        <v>0</v>
      </c>
      <c r="AO135" s="67">
        <v>0</v>
      </c>
      <c r="AP135" s="129" t="e">
        <v>#DIV/0!</v>
      </c>
      <c r="AQ135" s="129">
        <v>0</v>
      </c>
      <c r="AR135" s="129">
        <v>0.248300283286119</v>
      </c>
    </row>
    <row r="136" customFormat="1" ht="22.5" customHeight="1" spans="1:44">
      <c r="A136" s="72">
        <v>12726</v>
      </c>
      <c r="B136" s="62" t="s">
        <v>194</v>
      </c>
      <c r="C136" s="63">
        <f>_xlfn.XLOOKUP(A136,[1]分配表!J:J,[1]分配表!L:L)</f>
        <v>46163</v>
      </c>
      <c r="D136" s="63" t="str">
        <f>IF(_xlfn.XLOOKUP(A136,[1]分配表!J:J,[1]分配表!M:M,"未出单")=0,"未出单",_xlfn.XLOOKUP(A136,[1]分配表!J:J,[1]分配表!M:M,"未出单"))</f>
        <v>未出单</v>
      </c>
      <c r="E136" s="64" t="s">
        <v>161</v>
      </c>
      <c r="F136" s="126" t="str">
        <f>_xlfn.XLOOKUP(A136,[1]分配表!A:A,[1]分配表!C:C)</f>
        <v>朱培源</v>
      </c>
      <c r="G136" s="126" t="str">
        <f>IF(_xlfn.XLOOKUP($A136,[1]分配表!$A:$A,[1]分配表!D:D)=0,"未分类",_xlfn.XLOOKUP($A136,[1]分配表!$A:$A,[1]分配表!D:D))</f>
        <v>车身外扩件</v>
      </c>
      <c r="H136" s="126" t="str">
        <f>_xlfn.XLOOKUP(A136,[1]分配表!J:J,[1]分配表!I:I)</f>
        <v>拓展品</v>
      </c>
      <c r="I136" s="65"/>
      <c r="J136" s="65">
        <f>COUNTIFS([1]月销售数据!L:L,A136,[1]月销售数据!M:M,"&gt;=2026-5-1",[1]月销售数据!M:M,"&lt;=2026-5-31")</f>
        <v>1</v>
      </c>
      <c r="K136" s="127"/>
      <c r="L136" s="127" t="s">
        <v>103</v>
      </c>
      <c r="M136" s="127"/>
      <c r="N136" s="127" t="s">
        <v>53</v>
      </c>
      <c r="O136" s="65"/>
      <c r="P136" s="65">
        <v>0</v>
      </c>
      <c r="Q136" s="67"/>
      <c r="R136" s="110">
        <v>0</v>
      </c>
      <c r="S136" s="65"/>
      <c r="T136" s="65">
        <v>1</v>
      </c>
      <c r="U136" s="65"/>
      <c r="V136" s="65">
        <f t="shared" si="2"/>
        <v>1</v>
      </c>
      <c r="W136" s="128"/>
      <c r="X136" s="128">
        <v>0</v>
      </c>
      <c r="Y136" s="65"/>
      <c r="Z136" s="67"/>
      <c r="AA136" s="67"/>
      <c r="AB136" s="128"/>
      <c r="AC136" s="128"/>
      <c r="AD136" s="65">
        <v>0</v>
      </c>
      <c r="AE136" s="67">
        <v>0</v>
      </c>
      <c r="AF136" s="67">
        <v>20.35</v>
      </c>
      <c r="AG136" s="129" t="e">
        <v>#DIV/0!</v>
      </c>
      <c r="AH136" s="129" t="e">
        <v>#DIV/0!</v>
      </c>
      <c r="AI136" s="67"/>
      <c r="AJ136" s="67"/>
      <c r="AK136" s="129"/>
      <c r="AL136" s="128"/>
      <c r="AM136" s="128"/>
      <c r="AN136" s="67">
        <v>0</v>
      </c>
      <c r="AO136" s="67">
        <v>0</v>
      </c>
      <c r="AP136" s="129" t="e">
        <v>#DIV/0!</v>
      </c>
      <c r="AQ136" s="129" t="e">
        <v>#DIV/0!</v>
      </c>
      <c r="AR136" s="129" t="e">
        <v>#DIV/0!</v>
      </c>
    </row>
    <row r="137" customFormat="1" ht="22.5" customHeight="1" spans="1:44">
      <c r="A137" s="72">
        <v>12605</v>
      </c>
      <c r="B137" s="62" t="s">
        <v>195</v>
      </c>
      <c r="C137" s="63">
        <f>_xlfn.XLOOKUP(A137,[1]分配表!J:J,[1]分配表!L:L)</f>
        <v>46163</v>
      </c>
      <c r="D137" s="63">
        <f>IF(_xlfn.XLOOKUP(A137,[1]分配表!J:J,[1]分配表!M:M,"未出单")=0,"未出单",_xlfn.XLOOKUP(A137,[1]分配表!J:J,[1]分配表!M:M,"未出单"))</f>
        <v>46166</v>
      </c>
      <c r="E137" s="64" t="s">
        <v>161</v>
      </c>
      <c r="F137" s="126" t="str">
        <f>_xlfn.XLOOKUP(A137,[1]分配表!A:A,[1]分配表!C:C)</f>
        <v>王偲涵</v>
      </c>
      <c r="G137" s="126" t="str">
        <f>IF(_xlfn.XLOOKUP($A137,[1]分配表!$A:$A,[1]分配表!D:D)=0,"未分类",_xlfn.XLOOKUP($A137,[1]分配表!$A:$A,[1]分配表!D:D))</f>
        <v>车身外扩件</v>
      </c>
      <c r="H137" s="126" t="str">
        <f>_xlfn.XLOOKUP(A137,[1]分配表!J:J,[1]分配表!I:I)</f>
        <v>拓展品</v>
      </c>
      <c r="I137" s="65"/>
      <c r="J137" s="65">
        <f>COUNTIFS([1]月销售数据!L:L,A137,[1]月销售数据!M:M,"&gt;=2026-5-1",[1]月销售数据!M:M,"&lt;=2026-5-31")</f>
        <v>1</v>
      </c>
      <c r="K137" s="127"/>
      <c r="L137" s="127" t="s">
        <v>46</v>
      </c>
      <c r="M137" s="127"/>
      <c r="N137" s="127" t="s">
        <v>48</v>
      </c>
      <c r="O137" s="65"/>
      <c r="P137" s="65">
        <v>1</v>
      </c>
      <c r="Q137" s="67"/>
      <c r="R137" s="110">
        <v>180</v>
      </c>
      <c r="S137" s="65"/>
      <c r="T137" s="65">
        <v>0</v>
      </c>
      <c r="U137" s="65"/>
      <c r="V137" s="65">
        <f t="shared" si="2"/>
        <v>1</v>
      </c>
      <c r="W137" s="128"/>
      <c r="X137" s="128">
        <v>1</v>
      </c>
      <c r="Y137" s="65"/>
      <c r="Z137" s="67"/>
      <c r="AA137" s="67"/>
      <c r="AB137" s="128"/>
      <c r="AC137" s="128"/>
      <c r="AD137" s="65">
        <v>0</v>
      </c>
      <c r="AE137" s="67">
        <v>0</v>
      </c>
      <c r="AF137" s="67">
        <v>1.73</v>
      </c>
      <c r="AG137" s="129" t="e">
        <v>#DIV/0!</v>
      </c>
      <c r="AH137" s="129">
        <v>0.00961111111111111</v>
      </c>
      <c r="AI137" s="67"/>
      <c r="AJ137" s="67"/>
      <c r="AK137" s="129"/>
      <c r="AL137" s="128"/>
      <c r="AM137" s="128"/>
      <c r="AN137" s="67">
        <v>0</v>
      </c>
      <c r="AO137" s="67">
        <v>0</v>
      </c>
      <c r="AP137" s="129" t="e">
        <v>#DIV/0!</v>
      </c>
      <c r="AQ137" s="129">
        <v>0</v>
      </c>
      <c r="AR137" s="129">
        <v>0.0110555555555556</v>
      </c>
    </row>
    <row r="138" customFormat="1" ht="22.5" customHeight="1" spans="1:44">
      <c r="A138" s="72">
        <v>12708</v>
      </c>
      <c r="B138" s="62" t="s">
        <v>196</v>
      </c>
      <c r="C138" s="63">
        <f>_xlfn.XLOOKUP(A138,[1]分配表!J:J,[1]分配表!L:L)</f>
        <v>46163</v>
      </c>
      <c r="D138" s="63" t="str">
        <f>IF(_xlfn.XLOOKUP(A138,[1]分配表!J:J,[1]分配表!M:M,"未出单")=0,"未出单",_xlfn.XLOOKUP(A138,[1]分配表!J:J,[1]分配表!M:M,"未出单"))</f>
        <v>未出单</v>
      </c>
      <c r="E138" s="64" t="s">
        <v>161</v>
      </c>
      <c r="F138" s="126" t="str">
        <f>_xlfn.XLOOKUP(A138,[1]分配表!A:A,[1]分配表!C:C)</f>
        <v>章鹏</v>
      </c>
      <c r="G138" s="126" t="str">
        <f>IF(_xlfn.XLOOKUP($A138,[1]分配表!$A:$A,[1]分配表!D:D)=0,"未分类",_xlfn.XLOOKUP($A138,[1]分配表!$A:$A,[1]分配表!D:D))</f>
        <v>车身外扩件</v>
      </c>
      <c r="H138" s="126" t="str">
        <f>_xlfn.XLOOKUP(A138,[1]分配表!J:J,[1]分配表!I:I)</f>
        <v>原开品</v>
      </c>
      <c r="I138" s="65"/>
      <c r="J138" s="65">
        <f>COUNTIFS([1]月销售数据!L:L,A138,[1]月销售数据!M:M,"&gt;=2026-5-1",[1]月销售数据!M:M,"&lt;=2026-5-31")</f>
        <v>1</v>
      </c>
      <c r="K138" s="127"/>
      <c r="L138" s="127" t="s">
        <v>103</v>
      </c>
      <c r="M138" s="127"/>
      <c r="N138" s="127" t="s">
        <v>53</v>
      </c>
      <c r="O138" s="65"/>
      <c r="P138" s="65">
        <v>0</v>
      </c>
      <c r="Q138" s="67"/>
      <c r="R138" s="110">
        <v>0</v>
      </c>
      <c r="S138" s="65"/>
      <c r="T138" s="65">
        <v>2</v>
      </c>
      <c r="U138" s="65"/>
      <c r="V138" s="65">
        <f t="shared" si="2"/>
        <v>2</v>
      </c>
      <c r="W138" s="128"/>
      <c r="X138" s="128">
        <v>0</v>
      </c>
      <c r="Y138" s="65"/>
      <c r="Z138" s="67"/>
      <c r="AA138" s="67"/>
      <c r="AB138" s="128"/>
      <c r="AC138" s="128"/>
      <c r="AD138" s="65">
        <v>0</v>
      </c>
      <c r="AE138" s="67">
        <v>0</v>
      </c>
      <c r="AF138" s="67">
        <v>2</v>
      </c>
      <c r="AG138" s="129" t="e">
        <v>#DIV/0!</v>
      </c>
      <c r="AH138" s="129" t="e">
        <v>#DIV/0!</v>
      </c>
      <c r="AI138" s="67"/>
      <c r="AJ138" s="67"/>
      <c r="AK138" s="129"/>
      <c r="AL138" s="128"/>
      <c r="AM138" s="128"/>
      <c r="AN138" s="67">
        <v>0</v>
      </c>
      <c r="AO138" s="67">
        <v>0</v>
      </c>
      <c r="AP138" s="129" t="e">
        <v>#DIV/0!</v>
      </c>
      <c r="AQ138" s="129" t="e">
        <v>#DIV/0!</v>
      </c>
      <c r="AR138" s="129" t="e">
        <v>#DIV/0!</v>
      </c>
    </row>
    <row r="139" customFormat="1" ht="22.5" customHeight="1" spans="1:44">
      <c r="A139" s="72">
        <v>12527</v>
      </c>
      <c r="B139" s="62" t="s">
        <v>197</v>
      </c>
      <c r="C139" s="63">
        <f>_xlfn.XLOOKUP(A139,[1]分配表!J:J,[1]分配表!L:L)</f>
        <v>46163</v>
      </c>
      <c r="D139" s="63" t="str">
        <f>IF(_xlfn.XLOOKUP(A139,[1]分配表!J:J,[1]分配表!M:M,"未出单")=0,"未出单",_xlfn.XLOOKUP(A139,[1]分配表!J:J,[1]分配表!M:M,"未出单"))</f>
        <v>未出单</v>
      </c>
      <c r="E139" s="64" t="s">
        <v>161</v>
      </c>
      <c r="F139" s="126" t="str">
        <f>_xlfn.XLOOKUP(A139,[1]分配表!A:A,[1]分配表!C:C)</f>
        <v>章鹏</v>
      </c>
      <c r="G139" s="126" t="str">
        <f>IF(_xlfn.XLOOKUP($A139,[1]分配表!$A:$A,[1]分配表!D:D)=0,"未分类",_xlfn.XLOOKUP($A139,[1]分配表!$A:$A,[1]分配表!D:D))</f>
        <v>车身外扩件</v>
      </c>
      <c r="H139" s="126" t="str">
        <f>_xlfn.XLOOKUP(A139,[1]分配表!J:J,[1]分配表!I:I)</f>
        <v>原开品</v>
      </c>
      <c r="I139" s="65"/>
      <c r="J139" s="65">
        <f>COUNTIFS([1]月销售数据!L:L,A139,[1]月销售数据!M:M,"&gt;=2026-5-1",[1]月销售数据!M:M,"&lt;=2026-5-31")</f>
        <v>1</v>
      </c>
      <c r="K139" s="127"/>
      <c r="L139" s="127" t="s">
        <v>103</v>
      </c>
      <c r="M139" s="127"/>
      <c r="N139" s="127" t="s">
        <v>47</v>
      </c>
      <c r="O139" s="65"/>
      <c r="P139" s="65">
        <v>0</v>
      </c>
      <c r="Q139" s="67"/>
      <c r="R139" s="110">
        <v>0</v>
      </c>
      <c r="S139" s="65"/>
      <c r="T139" s="65">
        <v>1</v>
      </c>
      <c r="U139" s="65"/>
      <c r="V139" s="65">
        <f t="shared" si="2"/>
        <v>1</v>
      </c>
      <c r="W139" s="128"/>
      <c r="X139" s="128">
        <v>0</v>
      </c>
      <c r="Y139" s="65"/>
      <c r="Z139" s="67"/>
      <c r="AA139" s="67"/>
      <c r="AB139" s="128"/>
      <c r="AC139" s="128"/>
      <c r="AD139" s="65">
        <v>0</v>
      </c>
      <c r="AE139" s="67">
        <v>0</v>
      </c>
      <c r="AF139" s="67">
        <v>8.74</v>
      </c>
      <c r="AG139" s="129" t="e">
        <v>#DIV/0!</v>
      </c>
      <c r="AH139" s="129" t="e">
        <v>#DIV/0!</v>
      </c>
      <c r="AI139" s="67"/>
      <c r="AJ139" s="67"/>
      <c r="AK139" s="129"/>
      <c r="AL139" s="128"/>
      <c r="AM139" s="128"/>
      <c r="AN139" s="67">
        <v>0</v>
      </c>
      <c r="AO139" s="67">
        <v>0</v>
      </c>
      <c r="AP139" s="129" t="e">
        <v>#DIV/0!</v>
      </c>
      <c r="AQ139" s="129" t="e">
        <v>#DIV/0!</v>
      </c>
      <c r="AR139" s="129" t="e">
        <v>#DIV/0!</v>
      </c>
    </row>
    <row r="140" customFormat="1" ht="22.5" customHeight="1" spans="1:44">
      <c r="A140" s="72">
        <v>12839</v>
      </c>
      <c r="B140" s="62" t="s">
        <v>198</v>
      </c>
      <c r="C140" s="63">
        <f>_xlfn.XLOOKUP(A140,[1]分配表!J:J,[1]分配表!L:L)</f>
        <v>46163</v>
      </c>
      <c r="D140" s="63">
        <f>IF(_xlfn.XLOOKUP(A140,[1]分配表!J:J,[1]分配表!M:M,"未出单")=0,"未出单",_xlfn.XLOOKUP(A140,[1]分配表!J:J,[1]分配表!M:M,"未出单"))</f>
        <v>46174</v>
      </c>
      <c r="E140" s="64" t="s">
        <v>161</v>
      </c>
      <c r="F140" s="126" t="str">
        <f>_xlfn.XLOOKUP(A140,[1]分配表!A:A,[1]分配表!C:C)</f>
        <v>张潇</v>
      </c>
      <c r="G140" s="126" t="str">
        <f>IF(_xlfn.XLOOKUP($A140,[1]分配表!$A:$A,[1]分配表!D:D)=0,"未分类",_xlfn.XLOOKUP($A140,[1]分配表!$A:$A,[1]分配表!D:D))</f>
        <v>车门系统</v>
      </c>
      <c r="H140" s="126" t="str">
        <f>_xlfn.XLOOKUP(A140,[1]分配表!J:J,[1]分配表!I:I)</f>
        <v>原开品</v>
      </c>
      <c r="I140" s="65"/>
      <c r="J140" s="65">
        <f>COUNTIFS([1]月销售数据!L:L,A140,[1]月销售数据!M:M,"&gt;=2026-5-1",[1]月销售数据!M:M,"&lt;=2026-5-31")</f>
        <v>2</v>
      </c>
      <c r="K140" s="127"/>
      <c r="L140" s="127" t="s">
        <v>103</v>
      </c>
      <c r="M140" s="127"/>
      <c r="N140" s="127" t="s">
        <v>47</v>
      </c>
      <c r="O140" s="65"/>
      <c r="P140" s="65">
        <v>0</v>
      </c>
      <c r="Q140" s="67"/>
      <c r="R140" s="110">
        <v>0</v>
      </c>
      <c r="S140" s="65"/>
      <c r="T140" s="65">
        <v>0</v>
      </c>
      <c r="U140" s="65"/>
      <c r="V140" s="65">
        <f t="shared" si="2"/>
        <v>0</v>
      </c>
      <c r="W140" s="128"/>
      <c r="X140" s="128" t="s">
        <v>106</v>
      </c>
      <c r="Y140" s="65"/>
      <c r="Z140" s="67"/>
      <c r="AA140" s="67"/>
      <c r="AB140" s="128"/>
      <c r="AC140" s="128"/>
      <c r="AD140" s="65">
        <v>0</v>
      </c>
      <c r="AE140" s="67">
        <v>0</v>
      </c>
      <c r="AF140" s="67">
        <v>7.9</v>
      </c>
      <c r="AG140" s="129" t="e">
        <v>#DIV/0!</v>
      </c>
      <c r="AH140" s="129" t="e">
        <v>#DIV/0!</v>
      </c>
      <c r="AI140" s="67"/>
      <c r="AJ140" s="67"/>
      <c r="AK140" s="129"/>
      <c r="AL140" s="128"/>
      <c r="AM140" s="128"/>
      <c r="AN140" s="67">
        <v>0</v>
      </c>
      <c r="AO140" s="67">
        <v>0</v>
      </c>
      <c r="AP140" s="129" t="e">
        <v>#DIV/0!</v>
      </c>
      <c r="AQ140" s="129" t="e">
        <v>#DIV/0!</v>
      </c>
      <c r="AR140" s="129" t="e">
        <v>#DIV/0!</v>
      </c>
    </row>
    <row r="141" customFormat="1" ht="22.5" customHeight="1" spans="1:44">
      <c r="A141" s="72">
        <v>12795</v>
      </c>
      <c r="B141" s="62" t="s">
        <v>199</v>
      </c>
      <c r="C141" s="63">
        <f>_xlfn.XLOOKUP(A141,[1]分配表!J:J,[1]分配表!L:L)</f>
        <v>46163</v>
      </c>
      <c r="D141" s="63" t="str">
        <f>IF(_xlfn.XLOOKUP(A141,[1]分配表!J:J,[1]分配表!M:M,"未出单")=0,"未出单",_xlfn.XLOOKUP(A141,[1]分配表!J:J,[1]分配表!M:M,"未出单"))</f>
        <v>未出单</v>
      </c>
      <c r="E141" s="64" t="s">
        <v>161</v>
      </c>
      <c r="F141" s="126" t="str">
        <f>_xlfn.XLOOKUP(A141,[1]分配表!A:A,[1]分配表!C:C)</f>
        <v>朱培源</v>
      </c>
      <c r="G141" s="126" t="str">
        <f>IF(_xlfn.XLOOKUP($A141,[1]分配表!$A:$A,[1]分配表!D:D)=0,"未分类",_xlfn.XLOOKUP($A141,[1]分配表!$A:$A,[1]分配表!D:D))</f>
        <v>牌照板支架</v>
      </c>
      <c r="H141" s="126" t="str">
        <f>_xlfn.XLOOKUP(A141,[1]分配表!J:J,[1]分配表!I:I)</f>
        <v>原开品</v>
      </c>
      <c r="I141" s="65"/>
      <c r="J141" s="65">
        <f>COUNTIFS([1]月销售数据!L:L,A141,[1]月销售数据!M:M,"&gt;=2026-5-1",[1]月销售数据!M:M,"&lt;=2026-5-31")</f>
        <v>1</v>
      </c>
      <c r="K141" s="127"/>
      <c r="L141" s="127" t="s">
        <v>103</v>
      </c>
      <c r="M141" s="127"/>
      <c r="N141" s="127" t="s">
        <v>47</v>
      </c>
      <c r="O141" s="65"/>
      <c r="P141" s="65">
        <v>0</v>
      </c>
      <c r="Q141" s="67"/>
      <c r="R141" s="110">
        <v>0</v>
      </c>
      <c r="S141" s="65"/>
      <c r="T141" s="65">
        <v>1</v>
      </c>
      <c r="U141" s="65"/>
      <c r="V141" s="65">
        <f t="shared" si="2"/>
        <v>1</v>
      </c>
      <c r="W141" s="128"/>
      <c r="X141" s="128">
        <v>0</v>
      </c>
      <c r="Y141" s="65"/>
      <c r="Z141" s="67"/>
      <c r="AA141" s="67"/>
      <c r="AB141" s="128"/>
      <c r="AC141" s="128"/>
      <c r="AD141" s="65">
        <v>0</v>
      </c>
      <c r="AE141" s="67">
        <v>0</v>
      </c>
      <c r="AF141" s="67">
        <v>0.9</v>
      </c>
      <c r="AG141" s="129" t="e">
        <v>#DIV/0!</v>
      </c>
      <c r="AH141" s="129" t="e">
        <v>#DIV/0!</v>
      </c>
      <c r="AI141" s="67"/>
      <c r="AJ141" s="67"/>
      <c r="AK141" s="129"/>
      <c r="AL141" s="128"/>
      <c r="AM141" s="128"/>
      <c r="AN141" s="67">
        <v>0</v>
      </c>
      <c r="AO141" s="67">
        <v>0</v>
      </c>
      <c r="AP141" s="129" t="e">
        <v>#DIV/0!</v>
      </c>
      <c r="AQ141" s="129" t="e">
        <v>#DIV/0!</v>
      </c>
      <c r="AR141" s="129" t="e">
        <v>#DIV/0!</v>
      </c>
    </row>
    <row r="142" customFormat="1" ht="22.5" customHeight="1" spans="1:44">
      <c r="A142" s="72">
        <v>12835</v>
      </c>
      <c r="B142" s="62" t="s">
        <v>200</v>
      </c>
      <c r="C142" s="63">
        <f>_xlfn.XLOOKUP(A142,[1]分配表!J:J,[1]分配表!L:L)</f>
        <v>46170</v>
      </c>
      <c r="D142" s="63">
        <f>IF(_xlfn.XLOOKUP(A142,[1]分配表!J:J,[1]分配表!M:M,"未出单")=0,"未出单",_xlfn.XLOOKUP(A142,[1]分配表!J:J,[1]分配表!M:M,"未出单"))</f>
        <v>46174</v>
      </c>
      <c r="E142" s="64" t="s">
        <v>161</v>
      </c>
      <c r="F142" s="126" t="str">
        <f>_xlfn.XLOOKUP(A142,[1]分配表!A:A,[1]分配表!C:C)</f>
        <v>胡煜星</v>
      </c>
      <c r="G142" s="126" t="str">
        <f>IF(_xlfn.XLOOKUP($A142,[1]分配表!$A:$A,[1]分配表!D:D)=0,"未分类",_xlfn.XLOOKUP($A142,[1]分配表!$A:$A,[1]分配表!D:D))</f>
        <v>车身外扩件</v>
      </c>
      <c r="H142" s="126" t="str">
        <f>_xlfn.XLOOKUP(A142,[1]分配表!J:J,[1]分配表!I:I)</f>
        <v>原开品</v>
      </c>
      <c r="I142" s="65"/>
      <c r="J142" s="65">
        <f>COUNTIFS([1]月销售数据!L:L,A142,[1]月销售数据!M:M,"&gt;=2026-5-1",[1]月销售数据!M:M,"&lt;=2026-5-31")</f>
        <v>1</v>
      </c>
      <c r="K142" s="127"/>
      <c r="L142" s="127" t="s">
        <v>103</v>
      </c>
      <c r="M142" s="127"/>
      <c r="N142" s="127" t="s">
        <v>47</v>
      </c>
      <c r="O142" s="65"/>
      <c r="P142" s="65">
        <v>0</v>
      </c>
      <c r="Q142" s="67"/>
      <c r="R142" s="110">
        <v>0</v>
      </c>
      <c r="S142" s="65"/>
      <c r="T142" s="65">
        <v>0</v>
      </c>
      <c r="U142" s="65"/>
      <c r="V142" s="65">
        <f t="shared" si="2"/>
        <v>0</v>
      </c>
      <c r="W142" s="128"/>
      <c r="X142" s="128" t="s">
        <v>106</v>
      </c>
      <c r="Y142" s="65"/>
      <c r="Z142" s="67"/>
      <c r="AA142" s="67"/>
      <c r="AB142" s="128"/>
      <c r="AC142" s="128"/>
      <c r="AD142" s="65">
        <v>0</v>
      </c>
      <c r="AE142" s="67">
        <v>0</v>
      </c>
      <c r="AF142" s="67">
        <v>0</v>
      </c>
      <c r="AG142" s="129" t="e">
        <v>#DIV/0!</v>
      </c>
      <c r="AH142" s="129" t="e">
        <v>#DIV/0!</v>
      </c>
      <c r="AI142" s="67"/>
      <c r="AJ142" s="67"/>
      <c r="AK142" s="129"/>
      <c r="AL142" s="128"/>
      <c r="AM142" s="128"/>
      <c r="AN142" s="67">
        <v>0</v>
      </c>
      <c r="AO142" s="67">
        <v>0</v>
      </c>
      <c r="AP142" s="129" t="e">
        <v>#DIV/0!</v>
      </c>
      <c r="AQ142" s="129" t="e">
        <v>#DIV/0!</v>
      </c>
      <c r="AR142" s="129" t="e">
        <v>#DIV/0!</v>
      </c>
    </row>
    <row r="143" customFormat="1" ht="22.5" customHeight="1" spans="1:44">
      <c r="A143" s="72">
        <v>12725</v>
      </c>
      <c r="B143" s="62" t="s">
        <v>201</v>
      </c>
      <c r="C143" s="63">
        <f>_xlfn.XLOOKUP(A143,[1]分配表!J:J,[1]分配表!L:L)</f>
        <v>46170</v>
      </c>
      <c r="D143" s="63" t="str">
        <f>IF(_xlfn.XLOOKUP(A143,[1]分配表!J:J,[1]分配表!M:M,"未出单")=0,"未出单",_xlfn.XLOOKUP(A143,[1]分配表!J:J,[1]分配表!M:M,"未出单"))</f>
        <v>未出单</v>
      </c>
      <c r="E143" s="64" t="s">
        <v>161</v>
      </c>
      <c r="F143" s="126" t="str">
        <f>_xlfn.XLOOKUP(A143,[1]分配表!A:A,[1]分配表!C:C)</f>
        <v>王偲涵</v>
      </c>
      <c r="G143" s="126" t="str">
        <f>IF(_xlfn.XLOOKUP($A143,[1]分配表!$A:$A,[1]分配表!D:D)=0,"未分类",_xlfn.XLOOKUP($A143,[1]分配表!$A:$A,[1]分配表!D:D))</f>
        <v>车身外扩件</v>
      </c>
      <c r="H143" s="126" t="str">
        <f>_xlfn.XLOOKUP(A143,[1]分配表!J:J,[1]分配表!I:I)</f>
        <v>拓展品</v>
      </c>
      <c r="I143" s="65"/>
      <c r="J143" s="65">
        <f>COUNTIFS([1]月销售数据!L:L,A143,[1]月销售数据!M:M,"&gt;=2026-5-1",[1]月销售数据!M:M,"&lt;=2026-5-31")</f>
        <v>1</v>
      </c>
      <c r="K143" s="127"/>
      <c r="L143" s="127" t="s">
        <v>103</v>
      </c>
      <c r="M143" s="127"/>
      <c r="N143" s="127" t="s">
        <v>47</v>
      </c>
      <c r="O143" s="65"/>
      <c r="P143" s="65">
        <v>0</v>
      </c>
      <c r="Q143" s="67"/>
      <c r="R143" s="110">
        <v>0</v>
      </c>
      <c r="S143" s="65"/>
      <c r="T143" s="65">
        <v>0</v>
      </c>
      <c r="U143" s="65"/>
      <c r="V143" s="65">
        <f t="shared" si="2"/>
        <v>0</v>
      </c>
      <c r="W143" s="128"/>
      <c r="X143" s="128" t="s">
        <v>106</v>
      </c>
      <c r="Y143" s="65"/>
      <c r="Z143" s="67"/>
      <c r="AA143" s="67"/>
      <c r="AB143" s="128"/>
      <c r="AC143" s="128"/>
      <c r="AD143" s="65">
        <v>0</v>
      </c>
      <c r="AE143" s="67">
        <v>0</v>
      </c>
      <c r="AF143" s="67">
        <v>2.03</v>
      </c>
      <c r="AG143" s="129" t="e">
        <v>#DIV/0!</v>
      </c>
      <c r="AH143" s="129" t="e">
        <v>#DIV/0!</v>
      </c>
      <c r="AI143" s="67"/>
      <c r="AJ143" s="67"/>
      <c r="AK143" s="129"/>
      <c r="AL143" s="128"/>
      <c r="AM143" s="128"/>
      <c r="AN143" s="67">
        <v>0</v>
      </c>
      <c r="AO143" s="67">
        <v>0</v>
      </c>
      <c r="AP143" s="129" t="e">
        <v>#DIV/0!</v>
      </c>
      <c r="AQ143" s="129" t="e">
        <v>#DIV/0!</v>
      </c>
      <c r="AR143" s="129" t="e">
        <v>#DIV/0!</v>
      </c>
    </row>
    <row r="144" customFormat="1" ht="22.5" customHeight="1" spans="1:44">
      <c r="A144" s="72">
        <v>12813</v>
      </c>
      <c r="B144" s="62" t="s">
        <v>202</v>
      </c>
      <c r="C144" s="63">
        <f>_xlfn.XLOOKUP(A144,[1]分配表!J:J,[1]分配表!L:L)</f>
        <v>46170</v>
      </c>
      <c r="D144" s="63" t="str">
        <f>IF(_xlfn.XLOOKUP(A144,[1]分配表!J:J,[1]分配表!M:M,"未出单")=0,"未出单",_xlfn.XLOOKUP(A144,[1]分配表!J:J,[1]分配表!M:M,"未出单"))</f>
        <v>未出单</v>
      </c>
      <c r="E144" s="64" t="s">
        <v>161</v>
      </c>
      <c r="F144" s="126" t="str">
        <f>_xlfn.XLOOKUP(A144,[1]分配表!A:A,[1]分配表!C:C)</f>
        <v>王偲涵</v>
      </c>
      <c r="G144" s="126" t="str">
        <f>IF(_xlfn.XLOOKUP($A144,[1]分配表!$A:$A,[1]分配表!D:D)=0,"未分类",_xlfn.XLOOKUP($A144,[1]分配表!$A:$A,[1]分配表!D:D))</f>
        <v>车身外扩件</v>
      </c>
      <c r="H144" s="126" t="str">
        <f>_xlfn.XLOOKUP(A144,[1]分配表!J:J,[1]分配表!I:I)</f>
        <v>原开品</v>
      </c>
      <c r="I144" s="65"/>
      <c r="J144" s="65">
        <f>COUNTIFS([1]月销售数据!L:L,A144,[1]月销售数据!M:M,"&gt;=2026-5-1",[1]月销售数据!M:M,"&lt;=2026-5-31")</f>
        <v>1</v>
      </c>
      <c r="K144" s="127"/>
      <c r="L144" s="127" t="s">
        <v>103</v>
      </c>
      <c r="M144" s="127"/>
      <c r="N144" s="127" t="s">
        <v>47</v>
      </c>
      <c r="O144" s="65"/>
      <c r="P144" s="65">
        <v>0</v>
      </c>
      <c r="Q144" s="67"/>
      <c r="R144" s="110">
        <v>0</v>
      </c>
      <c r="S144" s="65"/>
      <c r="T144" s="65">
        <v>0</v>
      </c>
      <c r="U144" s="65"/>
      <c r="V144" s="65">
        <f t="shared" si="2"/>
        <v>0</v>
      </c>
      <c r="W144" s="128"/>
      <c r="X144" s="128" t="s">
        <v>106</v>
      </c>
      <c r="Y144" s="65"/>
      <c r="Z144" s="67"/>
      <c r="AA144" s="67"/>
      <c r="AB144" s="128"/>
      <c r="AC144" s="128"/>
      <c r="AD144" s="65">
        <v>0</v>
      </c>
      <c r="AE144" s="67">
        <v>0</v>
      </c>
      <c r="AF144" s="67">
        <v>0</v>
      </c>
      <c r="AG144" s="129" t="e">
        <v>#DIV/0!</v>
      </c>
      <c r="AH144" s="129" t="e">
        <v>#DIV/0!</v>
      </c>
      <c r="AI144" s="67"/>
      <c r="AJ144" s="67"/>
      <c r="AK144" s="129"/>
      <c r="AL144" s="128"/>
      <c r="AM144" s="128"/>
      <c r="AN144" s="67">
        <v>0</v>
      </c>
      <c r="AO144" s="67">
        <v>0</v>
      </c>
      <c r="AP144" s="129" t="e">
        <v>#DIV/0!</v>
      </c>
      <c r="AQ144" s="129" t="e">
        <v>#DIV/0!</v>
      </c>
      <c r="AR144" s="129" t="e">
        <v>#DIV/0!</v>
      </c>
    </row>
    <row r="145" customFormat="1" spans="2:44">
      <c r="B145" s="33"/>
      <c r="C145"/>
      <c r="D145"/>
      <c r="E145" s="34"/>
      <c r="F145" s="33"/>
      <c r="G145" s="33"/>
      <c r="H145" s="107"/>
      <c r="I145" s="107"/>
      <c r="J145" s="107"/>
      <c r="K145" s="107"/>
      <c r="L145" s="107"/>
      <c r="M145" s="107"/>
      <c r="N145" s="107"/>
      <c r="O145" s="35"/>
      <c r="P145" s="35"/>
      <c r="Q145" s="37"/>
      <c r="R145" s="108"/>
      <c r="S145" s="35"/>
      <c r="T145" s="35"/>
      <c r="U145" s="35"/>
      <c r="V145" s="35"/>
      <c r="W145" s="109"/>
      <c r="X145" s="109"/>
      <c r="Y145"/>
      <c r="Z145" s="67"/>
      <c r="AA145" s="67"/>
      <c r="AB145" s="75"/>
      <c r="AC145" s="75"/>
      <c r="AD145" s="75"/>
      <c r="AE145" s="67"/>
      <c r="AF145" s="67"/>
      <c r="AG145" s="75"/>
      <c r="AH145" s="75"/>
      <c r="AI145" s="67"/>
      <c r="AJ145" s="110"/>
      <c r="AK145" s="111"/>
      <c r="AL145" s="111"/>
      <c r="AM145" s="75"/>
      <c r="AN145" s="112"/>
      <c r="AO145" s="112"/>
      <c r="AP145" s="75"/>
      <c r="AQ145" s="75"/>
      <c r="AR145" s="75"/>
    </row>
    <row r="146" customFormat="1" spans="2:44">
      <c r="B146" s="33"/>
      <c r="C146"/>
      <c r="D146"/>
      <c r="E146" s="34"/>
      <c r="F146" s="33"/>
      <c r="G146" s="33"/>
      <c r="H146" s="107"/>
      <c r="I146" s="107"/>
      <c r="J146" s="107"/>
      <c r="K146" s="107"/>
      <c r="L146" s="107"/>
      <c r="M146" s="107"/>
      <c r="N146" s="107"/>
      <c r="O146" s="35"/>
      <c r="P146" s="35"/>
      <c r="Q146" s="37"/>
      <c r="R146" s="108"/>
      <c r="S146" s="35"/>
      <c r="T146" s="35"/>
      <c r="U146" s="35"/>
      <c r="V146" s="35"/>
      <c r="W146" s="109"/>
      <c r="X146" s="109"/>
      <c r="Y146"/>
      <c r="Z146" s="67"/>
      <c r="AA146" s="67"/>
      <c r="AB146" s="75"/>
      <c r="AC146" s="75"/>
      <c r="AD146" s="75"/>
      <c r="AE146" s="67"/>
      <c r="AF146" s="67"/>
      <c r="AG146" s="75"/>
      <c r="AH146" s="75"/>
      <c r="AI146" s="67"/>
      <c r="AJ146" s="110"/>
      <c r="AK146" s="111"/>
      <c r="AL146" s="111"/>
      <c r="AM146" s="75"/>
      <c r="AN146" s="112"/>
      <c r="AO146" s="112"/>
      <c r="AP146" s="75"/>
      <c r="AQ146" s="75"/>
      <c r="AR146" s="75"/>
    </row>
    <row r="147" customFormat="1" spans="2:44">
      <c r="B147" s="33"/>
      <c r="C147"/>
      <c r="D147"/>
      <c r="E147" s="34"/>
      <c r="F147" s="33"/>
      <c r="G147" s="33"/>
      <c r="H147" s="107"/>
      <c r="I147" s="107"/>
      <c r="J147" s="107"/>
      <c r="K147" s="107"/>
      <c r="L147" s="107"/>
      <c r="M147" s="107"/>
      <c r="N147" s="107"/>
      <c r="O147" s="35"/>
      <c r="P147" s="35"/>
      <c r="Q147" s="37"/>
      <c r="R147" s="108"/>
      <c r="S147" s="35"/>
      <c r="T147" s="35"/>
      <c r="U147" s="35"/>
      <c r="V147" s="35"/>
      <c r="W147" s="109"/>
      <c r="X147" s="109"/>
      <c r="Y147"/>
      <c r="Z147" s="67"/>
      <c r="AA147" s="67"/>
      <c r="AB147" s="75"/>
      <c r="AC147" s="75"/>
      <c r="AD147" s="75"/>
      <c r="AE147" s="67"/>
      <c r="AF147" s="67"/>
      <c r="AG147" s="75"/>
      <c r="AH147" s="75"/>
      <c r="AI147" s="67"/>
      <c r="AJ147" s="110"/>
      <c r="AK147" s="111"/>
      <c r="AL147" s="111"/>
      <c r="AM147" s="75"/>
      <c r="AN147" s="112"/>
      <c r="AO147" s="112"/>
      <c r="AP147" s="75"/>
      <c r="AQ147" s="75"/>
      <c r="AR147" s="75"/>
    </row>
    <row r="148" customFormat="1" spans="2:44">
      <c r="B148" s="33"/>
      <c r="C148"/>
      <c r="D148"/>
      <c r="E148" s="34"/>
      <c r="F148" s="33"/>
      <c r="G148" s="33"/>
      <c r="H148" s="107"/>
      <c r="I148" s="107"/>
      <c r="J148" s="107"/>
      <c r="K148" s="107"/>
      <c r="L148" s="107"/>
      <c r="M148" s="107"/>
      <c r="N148" s="107"/>
      <c r="O148" s="35"/>
      <c r="P148" s="35"/>
      <c r="Q148" s="37"/>
      <c r="R148" s="108"/>
      <c r="S148" s="35"/>
      <c r="T148" s="35"/>
      <c r="U148" s="35"/>
      <c r="V148" s="35"/>
      <c r="W148" s="109"/>
      <c r="X148" s="109"/>
      <c r="Y148"/>
      <c r="Z148" s="67"/>
      <c r="AA148" s="67"/>
      <c r="AB148" s="75"/>
      <c r="AC148" s="75"/>
      <c r="AD148" s="75"/>
      <c r="AE148" s="67"/>
      <c r="AF148" s="67"/>
      <c r="AG148" s="75"/>
      <c r="AH148" s="75"/>
      <c r="AI148" s="67"/>
      <c r="AJ148" s="110"/>
      <c r="AK148" s="111"/>
      <c r="AL148" s="111"/>
      <c r="AM148" s="75"/>
      <c r="AN148" s="112"/>
      <c r="AO148" s="112"/>
      <c r="AP148" s="75"/>
      <c r="AQ148" s="75"/>
      <c r="AR148" s="75"/>
    </row>
    <row r="149" customFormat="1" spans="2:44">
      <c r="B149" s="33"/>
      <c r="C149"/>
      <c r="D149"/>
      <c r="E149" s="34"/>
      <c r="F149" s="33"/>
      <c r="G149" s="33"/>
      <c r="H149" s="107"/>
      <c r="I149" s="107"/>
      <c r="J149" s="107"/>
      <c r="K149" s="107"/>
      <c r="L149" s="107"/>
      <c r="M149" s="107"/>
      <c r="N149" s="107"/>
      <c r="O149" s="35"/>
      <c r="P149" s="35"/>
      <c r="Q149" s="37"/>
      <c r="R149" s="108"/>
      <c r="S149" s="35"/>
      <c r="T149" s="35"/>
      <c r="U149" s="35"/>
      <c r="V149" s="35"/>
      <c r="W149" s="109"/>
      <c r="X149" s="109"/>
      <c r="Y149"/>
      <c r="Z149" s="67"/>
      <c r="AA149" s="67"/>
      <c r="AB149" s="75"/>
      <c r="AC149" s="75"/>
      <c r="AD149" s="75"/>
      <c r="AE149" s="67"/>
      <c r="AF149" s="67"/>
      <c r="AG149" s="75"/>
      <c r="AH149" s="75"/>
      <c r="AI149" s="67"/>
      <c r="AJ149" s="110"/>
      <c r="AK149" s="111"/>
      <c r="AL149" s="111"/>
      <c r="AM149" s="75"/>
      <c r="AN149" s="112"/>
      <c r="AO149" s="112"/>
      <c r="AP149" s="75"/>
      <c r="AQ149" s="75"/>
      <c r="AR149" s="75"/>
    </row>
    <row r="150" customFormat="1" spans="2:44">
      <c r="B150" s="33"/>
      <c r="C150"/>
      <c r="D150"/>
      <c r="E150" s="34"/>
      <c r="F150" s="33"/>
      <c r="G150" s="33"/>
      <c r="H150" s="107"/>
      <c r="I150" s="107"/>
      <c r="J150" s="107"/>
      <c r="K150" s="107"/>
      <c r="L150" s="107"/>
      <c r="M150" s="107"/>
      <c r="N150" s="107"/>
      <c r="O150" s="35"/>
      <c r="P150" s="35"/>
      <c r="Q150" s="37"/>
      <c r="R150" s="108"/>
      <c r="S150" s="35"/>
      <c r="T150" s="35"/>
      <c r="U150" s="35"/>
      <c r="V150" s="35"/>
      <c r="W150" s="109"/>
      <c r="X150" s="109"/>
      <c r="Y150"/>
      <c r="Z150" s="67"/>
      <c r="AA150" s="67"/>
      <c r="AB150" s="75"/>
      <c r="AC150" s="75"/>
      <c r="AD150" s="75"/>
      <c r="AE150" s="67"/>
      <c r="AF150" s="67"/>
      <c r="AG150" s="75"/>
      <c r="AH150" s="75"/>
      <c r="AI150" s="67"/>
      <c r="AJ150" s="110"/>
      <c r="AK150" s="111"/>
      <c r="AL150" s="111"/>
      <c r="AM150" s="75"/>
      <c r="AN150" s="112"/>
      <c r="AO150" s="112"/>
      <c r="AP150" s="75"/>
      <c r="AQ150" s="75"/>
      <c r="AR150" s="75"/>
    </row>
    <row r="151" customFormat="1" spans="2:44">
      <c r="B151" s="33"/>
      <c r="C151"/>
      <c r="D151"/>
      <c r="E151" s="34"/>
      <c r="F151" s="33"/>
      <c r="G151" s="33"/>
      <c r="H151" s="107"/>
      <c r="I151" s="107"/>
      <c r="J151" s="107"/>
      <c r="K151" s="107"/>
      <c r="L151" s="107"/>
      <c r="M151" s="107"/>
      <c r="N151" s="107"/>
      <c r="O151" s="35"/>
      <c r="P151" s="35"/>
      <c r="Q151" s="37"/>
      <c r="R151" s="108"/>
      <c r="S151" s="35"/>
      <c r="T151" s="35"/>
      <c r="U151" s="35"/>
      <c r="V151" s="35"/>
      <c r="W151" s="109"/>
      <c r="X151" s="109"/>
      <c r="Y151"/>
      <c r="Z151" s="67"/>
      <c r="AA151" s="67"/>
      <c r="AB151" s="75"/>
      <c r="AC151" s="75"/>
      <c r="AD151" s="75"/>
      <c r="AE151" s="67"/>
      <c r="AF151" s="67"/>
      <c r="AG151" s="75"/>
      <c r="AH151" s="75"/>
      <c r="AI151" s="67"/>
      <c r="AJ151" s="110"/>
      <c r="AK151" s="111"/>
      <c r="AL151" s="111"/>
      <c r="AM151" s="75"/>
      <c r="AN151" s="112"/>
      <c r="AO151" s="112"/>
      <c r="AP151" s="75"/>
      <c r="AQ151" s="75"/>
      <c r="AR151" s="75"/>
    </row>
    <row r="152" customFormat="1" spans="2:44">
      <c r="B152" s="33"/>
      <c r="C152"/>
      <c r="D152"/>
      <c r="E152" s="34"/>
      <c r="F152" s="33"/>
      <c r="G152" s="33"/>
      <c r="H152" s="107"/>
      <c r="I152" s="107"/>
      <c r="J152" s="107"/>
      <c r="K152" s="107"/>
      <c r="L152" s="107"/>
      <c r="M152" s="107"/>
      <c r="N152" s="107"/>
      <c r="O152" s="35"/>
      <c r="P152" s="35"/>
      <c r="Q152" s="37"/>
      <c r="R152" s="108"/>
      <c r="S152" s="35"/>
      <c r="T152" s="35"/>
      <c r="U152" s="35"/>
      <c r="V152" s="35"/>
      <c r="W152" s="109"/>
      <c r="X152" s="109"/>
      <c r="Y152"/>
      <c r="Z152" s="67"/>
      <c r="AA152" s="67"/>
      <c r="AB152" s="75"/>
      <c r="AC152" s="75"/>
      <c r="AD152" s="75"/>
      <c r="AE152" s="67"/>
      <c r="AF152" s="67"/>
      <c r="AG152" s="75"/>
      <c r="AH152" s="75"/>
      <c r="AI152" s="67"/>
      <c r="AJ152" s="110"/>
      <c r="AK152" s="111"/>
      <c r="AL152" s="111"/>
      <c r="AM152" s="75"/>
      <c r="AN152" s="112"/>
      <c r="AO152" s="112"/>
      <c r="AP152" s="75"/>
      <c r="AQ152" s="75"/>
      <c r="AR152" s="75"/>
    </row>
    <row r="153" customFormat="1" spans="2:44">
      <c r="B153" s="33"/>
      <c r="C153"/>
      <c r="D153"/>
      <c r="E153" s="34"/>
      <c r="F153" s="33"/>
      <c r="G153" s="33"/>
      <c r="H153" s="107"/>
      <c r="I153" s="107"/>
      <c r="J153" s="107"/>
      <c r="K153" s="107"/>
      <c r="L153" s="107"/>
      <c r="M153" s="107"/>
      <c r="N153" s="107"/>
      <c r="O153" s="35"/>
      <c r="P153" s="35"/>
      <c r="Q153" s="37"/>
      <c r="R153" s="108"/>
      <c r="S153" s="35"/>
      <c r="T153" s="35"/>
      <c r="U153" s="35"/>
      <c r="V153" s="35"/>
      <c r="W153" s="109"/>
      <c r="X153" s="109"/>
      <c r="Y153"/>
      <c r="Z153" s="67"/>
      <c r="AA153" s="67"/>
      <c r="AB153" s="75"/>
      <c r="AC153" s="75"/>
      <c r="AD153" s="75"/>
      <c r="AE153" s="67"/>
      <c r="AF153" s="67"/>
      <c r="AG153" s="75"/>
      <c r="AH153" s="75"/>
      <c r="AI153" s="67"/>
      <c r="AJ153" s="110"/>
      <c r="AK153" s="111"/>
      <c r="AL153" s="111"/>
      <c r="AM153" s="75"/>
      <c r="AN153" s="112"/>
      <c r="AO153" s="112"/>
      <c r="AP153" s="75"/>
      <c r="AQ153" s="75"/>
      <c r="AR153" s="75"/>
    </row>
    <row r="154" customFormat="1" spans="2:44">
      <c r="B154" s="33"/>
      <c r="C154"/>
      <c r="D154"/>
      <c r="E154" s="34"/>
      <c r="F154" s="33"/>
      <c r="G154" s="33"/>
      <c r="H154" s="107"/>
      <c r="I154" s="107"/>
      <c r="J154" s="107"/>
      <c r="K154" s="107"/>
      <c r="L154" s="107"/>
      <c r="M154" s="107"/>
      <c r="N154" s="107"/>
      <c r="O154" s="35"/>
      <c r="P154" s="35"/>
      <c r="Q154" s="37"/>
      <c r="R154" s="108"/>
      <c r="S154" s="35"/>
      <c r="T154" s="35"/>
      <c r="U154" s="35"/>
      <c r="V154" s="35"/>
      <c r="W154" s="109"/>
      <c r="X154" s="109"/>
      <c r="Y154"/>
      <c r="Z154" s="67"/>
      <c r="AA154" s="67"/>
      <c r="AB154" s="75"/>
      <c r="AC154" s="75"/>
      <c r="AD154" s="75"/>
      <c r="AE154" s="67"/>
      <c r="AF154" s="67"/>
      <c r="AG154" s="75"/>
      <c r="AH154" s="75"/>
      <c r="AI154" s="67"/>
      <c r="AJ154" s="110"/>
      <c r="AK154" s="111"/>
      <c r="AL154" s="111"/>
      <c r="AM154" s="75"/>
      <c r="AN154" s="112"/>
      <c r="AO154" s="112"/>
      <c r="AP154" s="75"/>
      <c r="AQ154" s="75"/>
      <c r="AR154" s="75"/>
    </row>
    <row r="155" customFormat="1" spans="2:44">
      <c r="B155" s="33"/>
      <c r="C155"/>
      <c r="D155"/>
      <c r="E155" s="34"/>
      <c r="F155" s="33"/>
      <c r="G155" s="33"/>
      <c r="H155" s="107"/>
      <c r="I155" s="107"/>
      <c r="J155" s="107"/>
      <c r="K155" s="107"/>
      <c r="L155" s="107"/>
      <c r="M155" s="107"/>
      <c r="N155" s="107"/>
      <c r="O155" s="35"/>
      <c r="P155" s="35"/>
      <c r="Q155" s="37"/>
      <c r="R155" s="108"/>
      <c r="S155" s="35"/>
      <c r="T155" s="35"/>
      <c r="U155" s="35"/>
      <c r="V155" s="35"/>
      <c r="W155" s="109"/>
      <c r="X155" s="109"/>
      <c r="Y155"/>
      <c r="Z155" s="67"/>
      <c r="AA155" s="67"/>
      <c r="AB155" s="75"/>
      <c r="AC155" s="75"/>
      <c r="AD155" s="75"/>
      <c r="AE155" s="67"/>
      <c r="AF155" s="67"/>
      <c r="AG155" s="75"/>
      <c r="AH155" s="75"/>
      <c r="AI155" s="67"/>
      <c r="AJ155" s="110"/>
      <c r="AK155" s="111"/>
      <c r="AL155" s="111"/>
      <c r="AM155" s="75"/>
      <c r="AN155" s="112"/>
      <c r="AO155" s="112"/>
      <c r="AP155" s="75"/>
      <c r="AQ155" s="75"/>
      <c r="AR155" s="75"/>
    </row>
    <row r="156" customFormat="1" spans="2:44">
      <c r="B156" s="33"/>
      <c r="C156"/>
      <c r="D156"/>
      <c r="E156" s="34"/>
      <c r="F156" s="33"/>
      <c r="G156" s="33"/>
      <c r="H156" s="107"/>
      <c r="I156" s="107"/>
      <c r="J156" s="107"/>
      <c r="K156" s="107"/>
      <c r="L156" s="107"/>
      <c r="M156" s="107"/>
      <c r="N156" s="107"/>
      <c r="O156" s="35"/>
      <c r="P156" s="35"/>
      <c r="Q156" s="37"/>
      <c r="R156" s="108"/>
      <c r="S156" s="35"/>
      <c r="T156" s="35"/>
      <c r="U156" s="35"/>
      <c r="V156" s="35"/>
      <c r="W156" s="109"/>
      <c r="X156" s="109"/>
      <c r="Y156"/>
      <c r="Z156" s="67"/>
      <c r="AA156" s="67"/>
      <c r="AB156" s="75"/>
      <c r="AC156" s="75"/>
      <c r="AD156" s="75"/>
      <c r="AE156" s="67"/>
      <c r="AF156" s="67"/>
      <c r="AG156" s="75"/>
      <c r="AH156" s="75"/>
      <c r="AI156" s="67"/>
      <c r="AJ156" s="110"/>
      <c r="AK156" s="111"/>
      <c r="AL156" s="111"/>
      <c r="AM156" s="75"/>
      <c r="AN156" s="112"/>
      <c r="AO156" s="112"/>
      <c r="AP156" s="75"/>
      <c r="AQ156" s="75"/>
      <c r="AR156" s="75"/>
    </row>
    <row r="157" customFormat="1" spans="2:44">
      <c r="B157" s="33"/>
      <c r="C157"/>
      <c r="D157"/>
      <c r="E157" s="34"/>
      <c r="F157" s="33"/>
      <c r="G157" s="33"/>
      <c r="H157" s="107"/>
      <c r="I157" s="107"/>
      <c r="J157" s="107"/>
      <c r="K157" s="107"/>
      <c r="L157" s="107"/>
      <c r="M157" s="107"/>
      <c r="N157" s="107"/>
      <c r="O157" s="35"/>
      <c r="P157" s="35"/>
      <c r="Q157" s="37"/>
      <c r="R157" s="108"/>
      <c r="S157" s="35"/>
      <c r="T157" s="35"/>
      <c r="U157" s="35"/>
      <c r="V157" s="35"/>
      <c r="W157" s="109"/>
      <c r="X157" s="109"/>
      <c r="Y157"/>
      <c r="Z157" s="67"/>
      <c r="AA157" s="67"/>
      <c r="AB157" s="75"/>
      <c r="AC157" s="75"/>
      <c r="AD157" s="75"/>
      <c r="AE157" s="67"/>
      <c r="AF157" s="67"/>
      <c r="AG157" s="75"/>
      <c r="AH157" s="75"/>
      <c r="AI157" s="67"/>
      <c r="AJ157" s="110"/>
      <c r="AK157" s="111"/>
      <c r="AL157" s="111"/>
      <c r="AM157" s="75"/>
      <c r="AN157" s="112"/>
      <c r="AO157" s="112"/>
      <c r="AP157" s="75"/>
      <c r="AQ157" s="75"/>
      <c r="AR157" s="75"/>
    </row>
  </sheetData>
  <autoFilter xmlns:etc="http://www.wps.cn/officeDocument/2017/etCustomData" ref="A1:BI144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8"/>
  <sheetViews>
    <sheetView workbookViewId="0">
      <selection activeCell="B91" sqref="B91"/>
    </sheetView>
  </sheetViews>
  <sheetFormatPr defaultColWidth="8.8" defaultRowHeight="13.5"/>
  <cols>
    <col min="1" max="1" width="13.0083333333333" customWidth="1"/>
    <col min="2" max="2" width="33.2666666666667" customWidth="1"/>
    <col min="3" max="3" width="16.6416666666667" customWidth="1"/>
    <col min="4" max="4" width="16.6416666666667" style="73" customWidth="1"/>
    <col min="5" max="5" width="26.8166666666667" customWidth="1"/>
    <col min="6" max="6" width="14.6416666666667" customWidth="1"/>
    <col min="7" max="7" width="17.0083333333333" style="74" customWidth="1"/>
    <col min="8" max="8" width="17.0083333333333" customWidth="1"/>
    <col min="9" max="9" width="12.2666666666667" customWidth="1"/>
    <col min="10" max="10" width="12" customWidth="1"/>
    <col min="11" max="11" width="13.0083333333333" customWidth="1"/>
    <col min="12" max="14" width="15.0083333333333" customWidth="1"/>
    <col min="15" max="15" width="13.0083333333333" customWidth="1"/>
    <col min="16" max="17" width="15.0083333333333" customWidth="1"/>
    <col min="18" max="18" width="11.7416666666667" customWidth="1"/>
    <col min="19" max="19" width="12.4583333333333" customWidth="1"/>
    <col min="20" max="24" width="11.7416666666667" customWidth="1"/>
    <col min="25" max="25" width="11.7416666666667" style="75" customWidth="1"/>
  </cols>
  <sheetData>
    <row r="1" ht="22.5" customHeight="1" spans="1:39">
      <c r="A1" s="76" t="s">
        <v>203</v>
      </c>
      <c r="B1" s="76" t="s">
        <v>204</v>
      </c>
      <c r="C1" s="77" t="s">
        <v>1</v>
      </c>
      <c r="D1" s="78" t="s">
        <v>205</v>
      </c>
      <c r="E1" s="79" t="s">
        <v>206</v>
      </c>
      <c r="F1" s="76" t="s">
        <v>207</v>
      </c>
      <c r="G1" s="80" t="s">
        <v>208</v>
      </c>
      <c r="H1" s="77" t="s">
        <v>3</v>
      </c>
      <c r="I1" s="77" t="s">
        <v>209</v>
      </c>
      <c r="J1" s="81" t="s">
        <v>6</v>
      </c>
      <c r="K1" s="81" t="s">
        <v>7</v>
      </c>
      <c r="L1" s="77" t="s">
        <v>210</v>
      </c>
      <c r="M1" s="77" t="s">
        <v>211</v>
      </c>
      <c r="N1" s="77" t="s">
        <v>212</v>
      </c>
      <c r="O1" s="82" t="s">
        <v>213</v>
      </c>
      <c r="P1" s="83" t="s">
        <v>214</v>
      </c>
      <c r="Q1" s="84" t="s">
        <v>215</v>
      </c>
      <c r="R1" s="76" t="s">
        <v>216</v>
      </c>
      <c r="S1" s="85" t="s">
        <v>217</v>
      </c>
      <c r="T1" s="85" t="s">
        <v>218</v>
      </c>
      <c r="U1" s="86" t="s">
        <v>219</v>
      </c>
      <c r="V1" s="86" t="s">
        <v>220</v>
      </c>
      <c r="W1" s="87" t="s">
        <v>221</v>
      </c>
      <c r="X1" s="87" t="s">
        <v>222</v>
      </c>
      <c r="Y1" s="87" t="s">
        <v>223</v>
      </c>
      <c r="Z1" s="88"/>
      <c r="AA1" s="88"/>
      <c r="AB1" s="89"/>
      <c r="AC1" s="88"/>
      <c r="AD1" s="88"/>
      <c r="AE1" s="88"/>
      <c r="AF1" s="88"/>
      <c r="AG1" s="88"/>
      <c r="AH1" s="88"/>
      <c r="AI1" s="88"/>
      <c r="AJ1" s="89"/>
      <c r="AK1" s="90"/>
      <c r="AL1" s="90"/>
      <c r="AM1" s="90"/>
    </row>
    <row r="2" ht="22.5" customHeight="1" spans="1:39">
      <c r="A2" s="91" t="s">
        <v>224</v>
      </c>
      <c r="B2" s="92" t="s">
        <v>225</v>
      </c>
      <c r="C2" s="92" t="s">
        <v>226</v>
      </c>
      <c r="D2" s="93"/>
      <c r="E2" s="92"/>
      <c r="F2" s="92">
        <v>96</v>
      </c>
      <c r="G2" s="92"/>
      <c r="H2" s="92"/>
      <c r="I2" s="92"/>
      <c r="J2" s="91" t="s">
        <v>227</v>
      </c>
      <c r="K2" s="92"/>
      <c r="L2" s="94">
        <v>205973</v>
      </c>
      <c r="M2" s="94">
        <v>2434</v>
      </c>
      <c r="N2" s="94">
        <v>164</v>
      </c>
      <c r="O2" s="95">
        <v>1503.67</v>
      </c>
      <c r="P2" s="95">
        <v>13463.19</v>
      </c>
      <c r="Q2" s="95">
        <v>49402.6</v>
      </c>
      <c r="R2" s="96">
        <v>8.95355363876382</v>
      </c>
      <c r="S2" s="97">
        <v>0.0673788003286771</v>
      </c>
      <c r="T2" s="97">
        <v>0.0118170828215349</v>
      </c>
      <c r="U2" s="96">
        <v>0.617777321281841</v>
      </c>
      <c r="V2" s="96">
        <v>9.16871951219513</v>
      </c>
      <c r="W2" s="97">
        <v>0.111687497539588</v>
      </c>
      <c r="X2" s="98">
        <v>0.0304370620169789</v>
      </c>
      <c r="Y2" s="98">
        <v>0</v>
      </c>
    </row>
    <row r="3" ht="22.5" customHeight="1" spans="1:39">
      <c r="A3" s="99" t="s">
        <v>224</v>
      </c>
      <c r="B3" s="100" t="s">
        <v>228</v>
      </c>
      <c r="C3" s="100" t="s">
        <v>124</v>
      </c>
      <c r="D3" s="101" t="s">
        <v>229</v>
      </c>
      <c r="E3" s="100" t="s">
        <v>230</v>
      </c>
      <c r="F3" s="102">
        <v>46114</v>
      </c>
      <c r="G3" s="103">
        <v>46108</v>
      </c>
      <c r="H3" s="103">
        <v>46114</v>
      </c>
      <c r="I3" s="103" t="s">
        <v>57</v>
      </c>
      <c r="J3" s="103" t="s">
        <v>231</v>
      </c>
      <c r="K3" s="103" t="s">
        <v>232</v>
      </c>
      <c r="L3" s="100">
        <v>5489</v>
      </c>
      <c r="M3" s="100">
        <v>149</v>
      </c>
      <c r="N3" s="100">
        <v>20</v>
      </c>
      <c r="O3" s="104">
        <v>54.77</v>
      </c>
      <c r="P3" s="104">
        <v>761.31</v>
      </c>
      <c r="Q3" s="104">
        <v>1610</v>
      </c>
      <c r="R3" s="105">
        <v>13.9001278071937</v>
      </c>
      <c r="S3" s="106">
        <v>0.134228187919463</v>
      </c>
      <c r="T3" s="106">
        <v>0.0271451994898889</v>
      </c>
      <c r="U3" s="105">
        <v>0.36758389261745</v>
      </c>
      <c r="V3" s="105">
        <v>2.7385</v>
      </c>
      <c r="W3" s="106">
        <v>0.0719417845555687</v>
      </c>
      <c r="X3" s="106">
        <v>0.0340186335403727</v>
      </c>
      <c r="Y3" s="106"/>
    </row>
    <row r="4" ht="22.5" customHeight="1" spans="1:39">
      <c r="A4" s="99" t="s">
        <v>224</v>
      </c>
      <c r="B4" s="100" t="s">
        <v>233</v>
      </c>
      <c r="C4" s="100" t="s">
        <v>73</v>
      </c>
      <c r="D4" s="101" t="s">
        <v>234</v>
      </c>
      <c r="E4" s="100" t="s">
        <v>230</v>
      </c>
      <c r="F4" s="102">
        <v>46162</v>
      </c>
      <c r="G4" s="103">
        <v>46092</v>
      </c>
      <c r="H4" s="103">
        <v>46099</v>
      </c>
      <c r="I4" s="103" t="s">
        <v>57</v>
      </c>
      <c r="J4" s="103" t="s">
        <v>231</v>
      </c>
      <c r="K4" s="103" t="s">
        <v>232</v>
      </c>
      <c r="L4" s="100">
        <v>3667</v>
      </c>
      <c r="M4" s="100">
        <v>48</v>
      </c>
      <c r="N4" s="100">
        <v>11</v>
      </c>
      <c r="O4" s="104">
        <v>15.82</v>
      </c>
      <c r="P4" s="104">
        <v>329.67</v>
      </c>
      <c r="Q4" s="104">
        <v>1594.6</v>
      </c>
      <c r="R4" s="105">
        <v>20.838811630847</v>
      </c>
      <c r="S4" s="106">
        <v>0.229166666666667</v>
      </c>
      <c r="T4" s="106">
        <v>0.013089719116444</v>
      </c>
      <c r="U4" s="105">
        <v>0.329583333333333</v>
      </c>
      <c r="V4" s="105">
        <v>1.43818181818182</v>
      </c>
      <c r="W4" s="106">
        <v>0.0479873813207147</v>
      </c>
      <c r="X4" s="106">
        <v>0.00992098331870062</v>
      </c>
      <c r="Y4" s="106"/>
    </row>
    <row r="5" ht="22.5" customHeight="1" spans="1:39">
      <c r="A5" s="99" t="s">
        <v>224</v>
      </c>
      <c r="B5" s="100" t="s">
        <v>235</v>
      </c>
      <c r="C5" s="100" t="s">
        <v>152</v>
      </c>
      <c r="D5" s="101" t="s">
        <v>236</v>
      </c>
      <c r="E5" s="100" t="s">
        <v>230</v>
      </c>
      <c r="F5" s="102">
        <v>46142</v>
      </c>
      <c r="G5" s="103">
        <v>46142</v>
      </c>
      <c r="H5" s="103">
        <v>46144</v>
      </c>
      <c r="I5" s="103" t="s">
        <v>81</v>
      </c>
      <c r="J5" s="103" t="s">
        <v>237</v>
      </c>
      <c r="K5" s="103" t="s">
        <v>238</v>
      </c>
      <c r="L5" s="100">
        <v>7891</v>
      </c>
      <c r="M5" s="100">
        <v>52</v>
      </c>
      <c r="N5" s="100">
        <v>9</v>
      </c>
      <c r="O5" s="104">
        <v>16.82</v>
      </c>
      <c r="P5" s="104">
        <v>401.05</v>
      </c>
      <c r="Q5" s="104">
        <v>468.87</v>
      </c>
      <c r="R5" s="105">
        <v>23.8436385255648</v>
      </c>
      <c r="S5" s="106">
        <v>0.173076923076923</v>
      </c>
      <c r="T5" s="106">
        <v>0.00658978583196046</v>
      </c>
      <c r="U5" s="105">
        <v>0.323461538461538</v>
      </c>
      <c r="V5" s="105">
        <v>1.86888888888889</v>
      </c>
      <c r="W5" s="106">
        <v>0.0419399077421768</v>
      </c>
      <c r="X5" s="106">
        <v>0.0358734830550046</v>
      </c>
      <c r="Y5" s="106"/>
    </row>
    <row r="6" ht="22.5" customHeight="1" spans="1:39">
      <c r="A6" s="99" t="s">
        <v>224</v>
      </c>
      <c r="B6" s="100" t="s">
        <v>239</v>
      </c>
      <c r="C6" s="100" t="s">
        <v>74</v>
      </c>
      <c r="D6" s="101" t="s">
        <v>240</v>
      </c>
      <c r="E6" s="100" t="s">
        <v>241</v>
      </c>
      <c r="F6" s="102">
        <v>46104</v>
      </c>
      <c r="G6" s="103">
        <v>46092</v>
      </c>
      <c r="H6" s="103">
        <v>46104</v>
      </c>
      <c r="I6" s="103" t="s">
        <v>57</v>
      </c>
      <c r="J6" s="103" t="s">
        <v>237</v>
      </c>
      <c r="K6" s="103" t="s">
        <v>232</v>
      </c>
      <c r="L6" s="100">
        <v>2250</v>
      </c>
      <c r="M6" s="100">
        <v>40</v>
      </c>
      <c r="N6" s="100">
        <v>9</v>
      </c>
      <c r="O6" s="104">
        <v>12.5</v>
      </c>
      <c r="P6" s="104">
        <v>110.33</v>
      </c>
      <c r="Q6" s="104">
        <v>342.2</v>
      </c>
      <c r="R6" s="105">
        <v>8.8264</v>
      </c>
      <c r="S6" s="106">
        <v>0.225</v>
      </c>
      <c r="T6" s="106">
        <v>0.0177777777777778</v>
      </c>
      <c r="U6" s="105">
        <v>0.3125</v>
      </c>
      <c r="V6" s="105">
        <v>1.38888888888889</v>
      </c>
      <c r="W6" s="106">
        <v>0.113296474213722</v>
      </c>
      <c r="X6" s="106">
        <v>0.0365283459964933</v>
      </c>
      <c r="Y6" s="106"/>
    </row>
    <row r="7" ht="22.5" customHeight="1" spans="1:39">
      <c r="A7" s="99" t="s">
        <v>224</v>
      </c>
      <c r="B7" s="100" t="s">
        <v>242</v>
      </c>
      <c r="C7" s="100" t="s">
        <v>79</v>
      </c>
      <c r="D7" s="101" t="s">
        <v>243</v>
      </c>
      <c r="E7" s="100" t="s">
        <v>230</v>
      </c>
      <c r="F7" s="102">
        <v>46092</v>
      </c>
      <c r="G7" s="103">
        <v>46092</v>
      </c>
      <c r="H7" s="103">
        <v>46095</v>
      </c>
      <c r="I7" s="103" t="s">
        <v>57</v>
      </c>
      <c r="J7" s="103" t="s">
        <v>237</v>
      </c>
      <c r="K7" s="103" t="s">
        <v>232</v>
      </c>
      <c r="L7" s="100">
        <v>12650</v>
      </c>
      <c r="M7" s="100">
        <v>62</v>
      </c>
      <c r="N7" s="100">
        <v>8</v>
      </c>
      <c r="O7" s="104">
        <v>24.46</v>
      </c>
      <c r="P7" s="104">
        <v>973.25</v>
      </c>
      <c r="Q7" s="104">
        <v>1596</v>
      </c>
      <c r="R7" s="105">
        <v>39.7894521668029</v>
      </c>
      <c r="S7" s="106">
        <v>0.129032258064516</v>
      </c>
      <c r="T7" s="106">
        <v>0.00490118577075099</v>
      </c>
      <c r="U7" s="105">
        <v>0.394516129032258</v>
      </c>
      <c r="V7" s="105">
        <v>3.0575</v>
      </c>
      <c r="W7" s="106">
        <v>0.0251322887233496</v>
      </c>
      <c r="X7" s="106">
        <v>0.0153258145363409</v>
      </c>
      <c r="Y7" s="106"/>
    </row>
    <row r="8" ht="22.5" customHeight="1" spans="1:39">
      <c r="A8" s="99" t="s">
        <v>224</v>
      </c>
      <c r="B8" s="100" t="s">
        <v>244</v>
      </c>
      <c r="C8" s="100" t="s">
        <v>74</v>
      </c>
      <c r="D8" s="101" t="s">
        <v>245</v>
      </c>
      <c r="E8" s="100" t="s">
        <v>246</v>
      </c>
      <c r="F8" s="102">
        <v>46104</v>
      </c>
      <c r="G8" s="103">
        <v>46092</v>
      </c>
      <c r="H8" s="103">
        <v>46104</v>
      </c>
      <c r="I8" s="103" t="s">
        <v>57</v>
      </c>
      <c r="J8" s="103" t="s">
        <v>237</v>
      </c>
      <c r="K8" s="103" t="s">
        <v>232</v>
      </c>
      <c r="L8" s="100">
        <v>2843</v>
      </c>
      <c r="M8" s="100">
        <v>39</v>
      </c>
      <c r="N8" s="100">
        <v>8</v>
      </c>
      <c r="O8" s="104">
        <v>12.42</v>
      </c>
      <c r="P8" s="104">
        <v>97.49</v>
      </c>
      <c r="Q8" s="104">
        <v>342.2</v>
      </c>
      <c r="R8" s="105">
        <v>7.84943639291465</v>
      </c>
      <c r="S8" s="106">
        <v>0.205128205128205</v>
      </c>
      <c r="T8" s="106">
        <v>0.0137179036229335</v>
      </c>
      <c r="U8" s="105">
        <v>0.318461538461538</v>
      </c>
      <c r="V8" s="105">
        <v>1.5525</v>
      </c>
      <c r="W8" s="106">
        <v>0.127397681813519</v>
      </c>
      <c r="X8" s="106">
        <v>0.0362945645821157</v>
      </c>
      <c r="Y8" s="106"/>
    </row>
    <row r="9" ht="22.5" customHeight="1" spans="1:39">
      <c r="A9" s="99" t="s">
        <v>224</v>
      </c>
      <c r="B9" s="100" t="s">
        <v>247</v>
      </c>
      <c r="C9" s="100" t="s">
        <v>56</v>
      </c>
      <c r="D9" s="101" t="s">
        <v>248</v>
      </c>
      <c r="E9" s="100" t="s">
        <v>249</v>
      </c>
      <c r="F9" s="102">
        <v>46097</v>
      </c>
      <c r="G9" s="103">
        <v>46085</v>
      </c>
      <c r="H9" s="103">
        <v>46100</v>
      </c>
      <c r="I9" s="103" t="s">
        <v>57</v>
      </c>
      <c r="J9" s="103" t="s">
        <v>250</v>
      </c>
      <c r="K9" s="103" t="s">
        <v>232</v>
      </c>
      <c r="L9" s="100">
        <v>1351</v>
      </c>
      <c r="M9" s="100">
        <v>27</v>
      </c>
      <c r="N9" s="100">
        <v>7</v>
      </c>
      <c r="O9" s="104">
        <v>10.56</v>
      </c>
      <c r="P9" s="104">
        <v>226</v>
      </c>
      <c r="Q9" s="104">
        <v>448.96</v>
      </c>
      <c r="R9" s="105">
        <v>21.4015151515152</v>
      </c>
      <c r="S9" s="106">
        <v>0.259259259259259</v>
      </c>
      <c r="T9" s="106">
        <v>0.0199851961509993</v>
      </c>
      <c r="U9" s="105">
        <v>0.391111111111111</v>
      </c>
      <c r="V9" s="105">
        <v>1.50857142857143</v>
      </c>
      <c r="W9" s="106">
        <v>0.0467256637168142</v>
      </c>
      <c r="X9" s="106">
        <v>0.0235210263720599</v>
      </c>
      <c r="Y9" s="106"/>
    </row>
    <row r="10" ht="22.5" customHeight="1" spans="1:39">
      <c r="A10" s="99" t="s">
        <v>224</v>
      </c>
      <c r="B10" s="100" t="s">
        <v>251</v>
      </c>
      <c r="C10" s="100" t="s">
        <v>62</v>
      </c>
      <c r="D10" s="101" t="s">
        <v>252</v>
      </c>
      <c r="E10" s="100" t="s">
        <v>246</v>
      </c>
      <c r="F10" s="102">
        <v>46095</v>
      </c>
      <c r="G10" s="103">
        <v>46085</v>
      </c>
      <c r="H10" s="103">
        <v>46086</v>
      </c>
      <c r="I10" s="103" t="s">
        <v>52</v>
      </c>
      <c r="J10" s="103" t="s">
        <v>253</v>
      </c>
      <c r="K10" s="103" t="s">
        <v>232</v>
      </c>
      <c r="L10" s="100">
        <v>1298</v>
      </c>
      <c r="M10" s="100">
        <v>61</v>
      </c>
      <c r="N10" s="100">
        <v>6</v>
      </c>
      <c r="O10" s="104">
        <v>25.14</v>
      </c>
      <c r="P10" s="104">
        <v>579.93</v>
      </c>
      <c r="Q10" s="104">
        <v>3323</v>
      </c>
      <c r="R10" s="105">
        <v>23.0680190930788</v>
      </c>
      <c r="S10" s="106">
        <v>0.0983606557377049</v>
      </c>
      <c r="T10" s="106">
        <v>0.0469953775038521</v>
      </c>
      <c r="U10" s="105">
        <v>0.412131147540984</v>
      </c>
      <c r="V10" s="105">
        <v>4.19</v>
      </c>
      <c r="W10" s="106">
        <v>0.0433500594899384</v>
      </c>
      <c r="X10" s="106">
        <v>0.00756545290400241</v>
      </c>
      <c r="Y10" s="106"/>
    </row>
    <row r="11" ht="22.5" customHeight="1" spans="1:39">
      <c r="A11" s="99" t="s">
        <v>224</v>
      </c>
      <c r="B11" s="100" t="s">
        <v>254</v>
      </c>
      <c r="C11" s="100" t="s">
        <v>157</v>
      </c>
      <c r="D11" s="101" t="s">
        <v>255</v>
      </c>
      <c r="E11" s="100" t="s">
        <v>230</v>
      </c>
      <c r="F11" s="102">
        <v>46143</v>
      </c>
      <c r="G11" s="103">
        <v>46142</v>
      </c>
      <c r="H11" s="103">
        <v>46152</v>
      </c>
      <c r="I11" s="103" t="s">
        <v>76</v>
      </c>
      <c r="J11" s="103" t="s">
        <v>256</v>
      </c>
      <c r="K11" s="103" t="s">
        <v>232</v>
      </c>
      <c r="L11" s="100">
        <v>4464</v>
      </c>
      <c r="M11" s="100">
        <v>82</v>
      </c>
      <c r="N11" s="100">
        <v>5</v>
      </c>
      <c r="O11" s="104">
        <v>38.28</v>
      </c>
      <c r="P11" s="104">
        <v>676.88</v>
      </c>
      <c r="Q11" s="104">
        <v>750</v>
      </c>
      <c r="R11" s="105">
        <v>17.6823406478579</v>
      </c>
      <c r="S11" s="106">
        <v>0.0609756097560976</v>
      </c>
      <c r="T11" s="106">
        <v>0.0183691756272401</v>
      </c>
      <c r="U11" s="105">
        <v>0.466829268292683</v>
      </c>
      <c r="V11" s="105">
        <v>7.656</v>
      </c>
      <c r="W11" s="106">
        <v>0.0565535988653823</v>
      </c>
      <c r="X11" s="106">
        <v>0.05104</v>
      </c>
      <c r="Y11" s="106"/>
    </row>
    <row r="12" ht="22.5" customHeight="1" spans="1:39">
      <c r="A12" s="99" t="s">
        <v>224</v>
      </c>
      <c r="B12" s="100" t="s">
        <v>257</v>
      </c>
      <c r="C12" s="100" t="s">
        <v>164</v>
      </c>
      <c r="D12" s="101" t="s">
        <v>258</v>
      </c>
      <c r="E12" s="100" t="s">
        <v>246</v>
      </c>
      <c r="F12" s="102">
        <v>46148</v>
      </c>
      <c r="G12" s="103">
        <v>46151</v>
      </c>
      <c r="H12" s="103">
        <v>46153</v>
      </c>
      <c r="I12" s="103" t="s">
        <v>57</v>
      </c>
      <c r="J12" s="103" t="s">
        <v>231</v>
      </c>
      <c r="K12" s="103" t="s">
        <v>238</v>
      </c>
      <c r="L12" s="100">
        <v>2945</v>
      </c>
      <c r="M12" s="100">
        <v>48</v>
      </c>
      <c r="N12" s="100">
        <v>5</v>
      </c>
      <c r="O12" s="104">
        <v>34.05</v>
      </c>
      <c r="P12" s="104">
        <v>461.02</v>
      </c>
      <c r="Q12" s="104">
        <v>1023</v>
      </c>
      <c r="R12" s="105">
        <v>13.5395007342144</v>
      </c>
      <c r="S12" s="106">
        <v>0.104166666666667</v>
      </c>
      <c r="T12" s="106">
        <v>0.0162988115449915</v>
      </c>
      <c r="U12" s="105">
        <v>0.709375</v>
      </c>
      <c r="V12" s="105">
        <v>6.81</v>
      </c>
      <c r="W12" s="106">
        <v>0.0738579671163941</v>
      </c>
      <c r="X12" s="106">
        <v>0.0332844574780059</v>
      </c>
      <c r="Y12" s="106"/>
    </row>
    <row r="13" ht="22.5" customHeight="1" spans="1:39">
      <c r="A13" s="99" t="s">
        <v>224</v>
      </c>
      <c r="B13" s="100" t="s">
        <v>259</v>
      </c>
      <c r="C13" s="100" t="s">
        <v>68</v>
      </c>
      <c r="D13" s="101" t="s">
        <v>260</v>
      </c>
      <c r="E13" s="100" t="s">
        <v>230</v>
      </c>
      <c r="F13" s="102">
        <v>46092</v>
      </c>
      <c r="G13" s="103">
        <v>46091</v>
      </c>
      <c r="H13" s="103">
        <v>46106</v>
      </c>
      <c r="I13" s="103" t="s">
        <v>57</v>
      </c>
      <c r="J13" s="103" t="s">
        <v>237</v>
      </c>
      <c r="K13" s="103" t="s">
        <v>232</v>
      </c>
      <c r="L13" s="100">
        <v>2580</v>
      </c>
      <c r="M13" s="100">
        <v>18</v>
      </c>
      <c r="N13" s="100">
        <v>5</v>
      </c>
      <c r="O13" s="104">
        <v>6.11</v>
      </c>
      <c r="P13" s="104">
        <v>199.94</v>
      </c>
      <c r="Q13" s="104">
        <v>261.82</v>
      </c>
      <c r="R13" s="105">
        <v>32.7234042553191</v>
      </c>
      <c r="S13" s="106">
        <v>0.277777777777778</v>
      </c>
      <c r="T13" s="106">
        <v>0.00697674418604651</v>
      </c>
      <c r="U13" s="105">
        <v>0.339444444444444</v>
      </c>
      <c r="V13" s="105">
        <v>1.222</v>
      </c>
      <c r="W13" s="106">
        <v>0.0305591677503251</v>
      </c>
      <c r="X13" s="106">
        <v>0.0233366434955313</v>
      </c>
      <c r="Y13" s="106"/>
    </row>
    <row r="14" ht="22.5" customHeight="1" spans="1:39">
      <c r="A14" s="99" t="s">
        <v>224</v>
      </c>
      <c r="B14" s="100" t="s">
        <v>261</v>
      </c>
      <c r="C14" s="100" t="s">
        <v>141</v>
      </c>
      <c r="D14" s="101" t="s">
        <v>262</v>
      </c>
      <c r="E14" s="100" t="s">
        <v>230</v>
      </c>
      <c r="F14" s="102">
        <v>46143</v>
      </c>
      <c r="G14" s="103">
        <v>46141</v>
      </c>
      <c r="H14" s="103">
        <v>46143</v>
      </c>
      <c r="I14" s="103" t="s">
        <v>76</v>
      </c>
      <c r="J14" s="103" t="s">
        <v>256</v>
      </c>
      <c r="K14" s="103" t="s">
        <v>232</v>
      </c>
      <c r="L14" s="100">
        <v>5011</v>
      </c>
      <c r="M14" s="100">
        <v>98</v>
      </c>
      <c r="N14" s="100">
        <v>4</v>
      </c>
      <c r="O14" s="104">
        <v>66.31</v>
      </c>
      <c r="P14" s="104">
        <v>539.99</v>
      </c>
      <c r="Q14" s="104">
        <v>750</v>
      </c>
      <c r="R14" s="105">
        <v>8.14341728246117</v>
      </c>
      <c r="S14" s="106">
        <v>0.0408163265306122</v>
      </c>
      <c r="T14" s="106">
        <v>0.0195569746557573</v>
      </c>
      <c r="U14" s="105">
        <v>0.676632653061225</v>
      </c>
      <c r="V14" s="105">
        <v>16.5775</v>
      </c>
      <c r="W14" s="106">
        <v>0.122798570343895</v>
      </c>
      <c r="X14" s="106">
        <v>0.0884133333333333</v>
      </c>
      <c r="Y14" s="106"/>
    </row>
    <row r="15" ht="22.5" customHeight="1" spans="1:39">
      <c r="A15" s="99" t="s">
        <v>224</v>
      </c>
      <c r="B15" s="100" t="s">
        <v>263</v>
      </c>
      <c r="C15" s="100" t="s">
        <v>171</v>
      </c>
      <c r="D15" s="101" t="s">
        <v>264</v>
      </c>
      <c r="E15" s="100" t="s">
        <v>230</v>
      </c>
      <c r="F15" s="102">
        <v>46154</v>
      </c>
      <c r="G15" s="103">
        <v>46153</v>
      </c>
      <c r="H15" s="103">
        <v>46157</v>
      </c>
      <c r="I15" s="103" t="s">
        <v>70</v>
      </c>
      <c r="J15" s="103" t="s">
        <v>256</v>
      </c>
      <c r="K15" s="103" t="s">
        <v>238</v>
      </c>
      <c r="L15" s="100">
        <v>3481</v>
      </c>
      <c r="M15" s="100">
        <v>82</v>
      </c>
      <c r="N15" s="100">
        <v>4</v>
      </c>
      <c r="O15" s="104">
        <v>85.56</v>
      </c>
      <c r="P15" s="104">
        <v>494.7</v>
      </c>
      <c r="Q15" s="104">
        <v>805</v>
      </c>
      <c r="R15" s="105">
        <v>5.78190743338008</v>
      </c>
      <c r="S15" s="106">
        <v>0.0487804878048781</v>
      </c>
      <c r="T15" s="106">
        <v>0.0235564492961793</v>
      </c>
      <c r="U15" s="105">
        <v>1.04341463414634</v>
      </c>
      <c r="V15" s="105">
        <v>21.39</v>
      </c>
      <c r="W15" s="106">
        <v>0.172953305033354</v>
      </c>
      <c r="X15" s="106">
        <v>0.106285714285714</v>
      </c>
      <c r="Y15" s="106"/>
    </row>
    <row r="16" ht="22.5" customHeight="1" spans="1:39">
      <c r="A16" s="99" t="s">
        <v>224</v>
      </c>
      <c r="B16" s="100" t="s">
        <v>265</v>
      </c>
      <c r="C16" s="100" t="s">
        <v>115</v>
      </c>
      <c r="D16" s="101" t="s">
        <v>266</v>
      </c>
      <c r="E16" s="100" t="s">
        <v>230</v>
      </c>
      <c r="F16" s="102">
        <v>46109</v>
      </c>
      <c r="G16" s="103">
        <v>46108</v>
      </c>
      <c r="H16" s="103">
        <v>46116</v>
      </c>
      <c r="I16" s="103" t="s">
        <v>57</v>
      </c>
      <c r="J16" s="103" t="s">
        <v>237</v>
      </c>
      <c r="K16" s="103" t="s">
        <v>238</v>
      </c>
      <c r="L16" s="100">
        <v>2725</v>
      </c>
      <c r="M16" s="100">
        <v>59</v>
      </c>
      <c r="N16" s="100">
        <v>4</v>
      </c>
      <c r="O16" s="104">
        <v>23.25</v>
      </c>
      <c r="P16" s="104">
        <v>367.86</v>
      </c>
      <c r="Q16" s="104">
        <v>769.5</v>
      </c>
      <c r="R16" s="105">
        <v>15.821935483871</v>
      </c>
      <c r="S16" s="106">
        <v>0.0677966101694915</v>
      </c>
      <c r="T16" s="106">
        <v>0.021651376146789</v>
      </c>
      <c r="U16" s="105">
        <v>0.394067796610169</v>
      </c>
      <c r="V16" s="105">
        <v>5.8125</v>
      </c>
      <c r="W16" s="106">
        <v>0.063203392595009</v>
      </c>
      <c r="X16" s="106">
        <v>0.0302144249512671</v>
      </c>
      <c r="Y16" s="106"/>
    </row>
    <row r="17" ht="22.5" customHeight="1" spans="1:25">
      <c r="A17" s="99" t="s">
        <v>224</v>
      </c>
      <c r="B17" s="100" t="s">
        <v>267</v>
      </c>
      <c r="C17" s="100" t="s">
        <v>130</v>
      </c>
      <c r="D17" s="101" t="s">
        <v>268</v>
      </c>
      <c r="E17" s="100" t="s">
        <v>230</v>
      </c>
      <c r="F17" s="102">
        <v>46136</v>
      </c>
      <c r="G17" s="103">
        <v>46135</v>
      </c>
      <c r="H17" s="103">
        <v>46135</v>
      </c>
      <c r="I17" s="103" t="s">
        <v>70</v>
      </c>
      <c r="J17" s="103" t="s">
        <v>256</v>
      </c>
      <c r="K17" s="103" t="s">
        <v>232</v>
      </c>
      <c r="L17" s="100">
        <v>46651</v>
      </c>
      <c r="M17" s="100">
        <v>132</v>
      </c>
      <c r="N17" s="100">
        <v>3</v>
      </c>
      <c r="O17" s="104">
        <v>117.21</v>
      </c>
      <c r="P17" s="104">
        <v>402.97</v>
      </c>
      <c r="Q17" s="104">
        <v>625</v>
      </c>
      <c r="R17" s="105">
        <v>3.4380172340244</v>
      </c>
      <c r="S17" s="106">
        <v>0.0227272727272727</v>
      </c>
      <c r="T17" s="106">
        <v>0.00282952133930677</v>
      </c>
      <c r="U17" s="105">
        <v>0.887954545454545</v>
      </c>
      <c r="V17" s="105">
        <v>39.07</v>
      </c>
      <c r="W17" s="106">
        <v>0.290865324962156</v>
      </c>
      <c r="X17" s="106">
        <v>0.187536</v>
      </c>
      <c r="Y17" s="106"/>
    </row>
    <row r="18" ht="22.5" customHeight="1" spans="1:25">
      <c r="A18" s="99" t="s">
        <v>224</v>
      </c>
      <c r="B18" s="100" t="s">
        <v>269</v>
      </c>
      <c r="C18" s="100" t="s">
        <v>140</v>
      </c>
      <c r="D18" s="101" t="s">
        <v>270</v>
      </c>
      <c r="E18" s="100" t="s">
        <v>230</v>
      </c>
      <c r="F18" s="102">
        <v>46143</v>
      </c>
      <c r="G18" s="103">
        <v>46141</v>
      </c>
      <c r="H18" s="103">
        <v>46154</v>
      </c>
      <c r="I18" s="103" t="s">
        <v>76</v>
      </c>
      <c r="J18" s="103" t="s">
        <v>256</v>
      </c>
      <c r="K18" s="103" t="s">
        <v>232</v>
      </c>
      <c r="L18" s="100">
        <v>6191</v>
      </c>
      <c r="M18" s="100">
        <v>73</v>
      </c>
      <c r="N18" s="100">
        <v>3</v>
      </c>
      <c r="O18" s="104">
        <v>47.55</v>
      </c>
      <c r="P18" s="104">
        <v>500.66</v>
      </c>
      <c r="Q18" s="104">
        <v>620</v>
      </c>
      <c r="R18" s="105">
        <v>10.52912723449</v>
      </c>
      <c r="S18" s="106">
        <v>0.0410958904109589</v>
      </c>
      <c r="T18" s="106">
        <v>0.0117913099660798</v>
      </c>
      <c r="U18" s="105">
        <v>0.651369863013699</v>
      </c>
      <c r="V18" s="105">
        <v>15.85</v>
      </c>
      <c r="W18" s="106">
        <v>0.0949746334838014</v>
      </c>
      <c r="X18" s="106">
        <v>0.0766935483870968</v>
      </c>
      <c r="Y18" s="106"/>
    </row>
    <row r="19" ht="22.5" customHeight="1" spans="1:25">
      <c r="A19" s="99" t="s">
        <v>224</v>
      </c>
      <c r="B19" s="100" t="s">
        <v>271</v>
      </c>
      <c r="C19" s="100" t="s">
        <v>169</v>
      </c>
      <c r="D19" s="101" t="s">
        <v>272</v>
      </c>
      <c r="E19" s="100" t="s">
        <v>230</v>
      </c>
      <c r="F19" s="102">
        <v>46154</v>
      </c>
      <c r="G19" s="103">
        <v>46153</v>
      </c>
      <c r="H19" s="103">
        <v>46156</v>
      </c>
      <c r="I19" s="103" t="s">
        <v>76</v>
      </c>
      <c r="J19" s="103" t="s">
        <v>256</v>
      </c>
      <c r="K19" s="103" t="s">
        <v>238</v>
      </c>
      <c r="L19" s="100">
        <v>4548</v>
      </c>
      <c r="M19" s="100">
        <v>59</v>
      </c>
      <c r="N19" s="100">
        <v>3</v>
      </c>
      <c r="O19" s="104">
        <v>72.23</v>
      </c>
      <c r="P19" s="104">
        <v>307.38</v>
      </c>
      <c r="Q19" s="104">
        <v>570</v>
      </c>
      <c r="R19" s="105">
        <v>4.25557247681019</v>
      </c>
      <c r="S19" s="106">
        <v>0.0508474576271186</v>
      </c>
      <c r="T19" s="106">
        <v>0.0129727352682498</v>
      </c>
      <c r="U19" s="105">
        <v>1.22423728813559</v>
      </c>
      <c r="V19" s="105">
        <v>24.0766666666667</v>
      </c>
      <c r="W19" s="106">
        <v>0.234986010800963</v>
      </c>
      <c r="X19" s="106">
        <v>0.126719298245614</v>
      </c>
      <c r="Y19" s="106"/>
    </row>
    <row r="20" ht="22.5" customHeight="1" spans="1:25">
      <c r="A20" s="99" t="s">
        <v>224</v>
      </c>
      <c r="B20" s="100" t="s">
        <v>273</v>
      </c>
      <c r="C20" s="100" t="s">
        <v>97</v>
      </c>
      <c r="D20" s="101" t="s">
        <v>274</v>
      </c>
      <c r="E20" s="100" t="s">
        <v>246</v>
      </c>
      <c r="F20" s="102">
        <v>46141</v>
      </c>
      <c r="G20" s="103">
        <v>46097</v>
      </c>
      <c r="H20" s="103">
        <v>46104</v>
      </c>
      <c r="I20" s="103" t="s">
        <v>52</v>
      </c>
      <c r="J20" s="103" t="s">
        <v>253</v>
      </c>
      <c r="K20" s="103" t="s">
        <v>232</v>
      </c>
      <c r="L20" s="100">
        <v>393</v>
      </c>
      <c r="M20" s="100">
        <v>49</v>
      </c>
      <c r="N20" s="100">
        <v>3</v>
      </c>
      <c r="O20" s="104">
        <v>26.37</v>
      </c>
      <c r="P20" s="104">
        <v>310.69</v>
      </c>
      <c r="Q20" s="104">
        <v>883.02</v>
      </c>
      <c r="R20" s="105">
        <v>11.7819491846796</v>
      </c>
      <c r="S20" s="106">
        <v>0.0612244897959184</v>
      </c>
      <c r="T20" s="106">
        <v>0.124681933842239</v>
      </c>
      <c r="U20" s="105">
        <v>0.538163265306122</v>
      </c>
      <c r="V20" s="105">
        <v>8.79</v>
      </c>
      <c r="W20" s="106">
        <v>0.0848755994721427</v>
      </c>
      <c r="X20" s="106">
        <v>0.0298634232520215</v>
      </c>
      <c r="Y20" s="106"/>
    </row>
    <row r="21" ht="22.5" customHeight="1" spans="1:25">
      <c r="A21" s="99" t="s">
        <v>224</v>
      </c>
      <c r="B21" s="100" t="s">
        <v>275</v>
      </c>
      <c r="C21" s="100" t="s">
        <v>156</v>
      </c>
      <c r="D21" s="101" t="s">
        <v>276</v>
      </c>
      <c r="E21" s="100" t="s">
        <v>230</v>
      </c>
      <c r="F21" s="102">
        <v>46143</v>
      </c>
      <c r="G21" s="103">
        <v>46142</v>
      </c>
      <c r="H21" s="103">
        <v>46146</v>
      </c>
      <c r="I21" s="103" t="s">
        <v>76</v>
      </c>
      <c r="J21" s="103" t="s">
        <v>277</v>
      </c>
      <c r="K21" s="103" t="s">
        <v>232</v>
      </c>
      <c r="L21" s="100">
        <v>800</v>
      </c>
      <c r="M21" s="100">
        <v>48</v>
      </c>
      <c r="N21" s="100">
        <v>3</v>
      </c>
      <c r="O21" s="104">
        <v>19.57</v>
      </c>
      <c r="P21" s="104">
        <v>112.09</v>
      </c>
      <c r="Q21" s="104">
        <v>245</v>
      </c>
      <c r="R21" s="105">
        <v>5.72764435360245</v>
      </c>
      <c r="S21" s="106">
        <v>0.0625</v>
      </c>
      <c r="T21" s="106">
        <v>0.06</v>
      </c>
      <c r="U21" s="105">
        <v>0.407708333333333</v>
      </c>
      <c r="V21" s="105">
        <v>6.52333333333333</v>
      </c>
      <c r="W21" s="106">
        <v>0.174591845838166</v>
      </c>
      <c r="X21" s="106">
        <v>0.0798775510204082</v>
      </c>
      <c r="Y21" s="106"/>
    </row>
    <row r="22" ht="22.5" customHeight="1" spans="1:25">
      <c r="A22" s="99" t="s">
        <v>224</v>
      </c>
      <c r="B22" s="100" t="s">
        <v>278</v>
      </c>
      <c r="C22" s="100" t="s">
        <v>135</v>
      </c>
      <c r="D22" s="101" t="s">
        <v>279</v>
      </c>
      <c r="E22" s="100" t="s">
        <v>230</v>
      </c>
      <c r="F22" s="102">
        <v>46142</v>
      </c>
      <c r="G22" s="103">
        <v>46135</v>
      </c>
      <c r="H22" s="103">
        <v>46142</v>
      </c>
      <c r="I22" s="103" t="s">
        <v>57</v>
      </c>
      <c r="J22" s="103" t="s">
        <v>253</v>
      </c>
      <c r="K22" s="103" t="s">
        <v>232</v>
      </c>
      <c r="L22" s="100">
        <v>662</v>
      </c>
      <c r="M22" s="100">
        <v>20</v>
      </c>
      <c r="N22" s="100">
        <v>3</v>
      </c>
      <c r="O22" s="104">
        <v>9.1</v>
      </c>
      <c r="P22" s="104">
        <v>470.06</v>
      </c>
      <c r="Q22" s="104">
        <v>1200</v>
      </c>
      <c r="R22" s="105">
        <v>51.6549450549451</v>
      </c>
      <c r="S22" s="106">
        <v>0.15</v>
      </c>
      <c r="T22" s="106">
        <v>0.0302114803625378</v>
      </c>
      <c r="U22" s="105">
        <v>0.455</v>
      </c>
      <c r="V22" s="105">
        <v>3.03333333333333</v>
      </c>
      <c r="W22" s="106">
        <v>0.0193592307365017</v>
      </c>
      <c r="X22" s="106">
        <v>0.00758333333333333</v>
      </c>
      <c r="Y22" s="106"/>
    </row>
    <row r="23" ht="22.5" customHeight="1" spans="1:25">
      <c r="A23" s="99" t="s">
        <v>224</v>
      </c>
      <c r="B23" s="100" t="s">
        <v>280</v>
      </c>
      <c r="C23" s="100" t="s">
        <v>162</v>
      </c>
      <c r="D23" s="101" t="s">
        <v>281</v>
      </c>
      <c r="E23" s="100" t="s">
        <v>230</v>
      </c>
      <c r="F23" s="102">
        <v>46151</v>
      </c>
      <c r="G23" s="103">
        <v>46151</v>
      </c>
      <c r="H23" s="103">
        <v>46153</v>
      </c>
      <c r="I23" s="103" t="s">
        <v>45</v>
      </c>
      <c r="J23" s="103" t="s">
        <v>231</v>
      </c>
      <c r="K23" s="103" t="s">
        <v>232</v>
      </c>
      <c r="L23" s="100">
        <v>384</v>
      </c>
      <c r="M23" s="100">
        <v>13</v>
      </c>
      <c r="N23" s="100">
        <v>3</v>
      </c>
      <c r="O23" s="104">
        <v>4.61</v>
      </c>
      <c r="P23" s="104">
        <v>438.11</v>
      </c>
      <c r="Q23" s="104">
        <v>695</v>
      </c>
      <c r="R23" s="105">
        <v>95.0347071583514</v>
      </c>
      <c r="S23" s="106">
        <v>0.230769230769231</v>
      </c>
      <c r="T23" s="106">
        <v>0.0338541666666667</v>
      </c>
      <c r="U23" s="105">
        <v>0.354615384615385</v>
      </c>
      <c r="V23" s="105">
        <v>1.53666666666667</v>
      </c>
      <c r="W23" s="106">
        <v>0.010522471525416</v>
      </c>
      <c r="X23" s="106">
        <v>0.00663309352517986</v>
      </c>
      <c r="Y23" s="106"/>
    </row>
    <row r="24" ht="22.5" customHeight="1" spans="1:25">
      <c r="A24" s="99" t="s">
        <v>224</v>
      </c>
      <c r="B24" s="100" t="s">
        <v>282</v>
      </c>
      <c r="C24" s="100" t="s">
        <v>190</v>
      </c>
      <c r="D24" s="101" t="s">
        <v>283</v>
      </c>
      <c r="E24" s="100" t="s">
        <v>230</v>
      </c>
      <c r="F24" s="102">
        <v>46163</v>
      </c>
      <c r="G24" s="103">
        <v>46162</v>
      </c>
      <c r="H24" s="103">
        <v>46167</v>
      </c>
      <c r="I24" s="103" t="s">
        <v>45</v>
      </c>
      <c r="J24" s="103" t="s">
        <v>277</v>
      </c>
      <c r="K24" s="103" t="s">
        <v>232</v>
      </c>
      <c r="L24" s="100">
        <v>909</v>
      </c>
      <c r="M24" s="100">
        <v>71</v>
      </c>
      <c r="N24" s="100">
        <v>2</v>
      </c>
      <c r="O24" s="104">
        <v>26.73</v>
      </c>
      <c r="P24" s="104">
        <v>324.76</v>
      </c>
      <c r="Q24" s="104">
        <v>750</v>
      </c>
      <c r="R24" s="105">
        <v>12.149644594089</v>
      </c>
      <c r="S24" s="106">
        <v>0.028169014084507</v>
      </c>
      <c r="T24" s="106">
        <v>0.0781078107810781</v>
      </c>
      <c r="U24" s="105">
        <v>0.376478873239437</v>
      </c>
      <c r="V24" s="105">
        <v>13.365</v>
      </c>
      <c r="W24" s="106">
        <v>0.0823069343515211</v>
      </c>
      <c r="X24" s="106">
        <v>0.03564</v>
      </c>
      <c r="Y24" s="106"/>
    </row>
    <row r="25" ht="22.5" customHeight="1" spans="1:25">
      <c r="A25" s="99" t="s">
        <v>224</v>
      </c>
      <c r="B25" s="100" t="s">
        <v>284</v>
      </c>
      <c r="C25" s="100" t="s">
        <v>85</v>
      </c>
      <c r="D25" s="101" t="s">
        <v>285</v>
      </c>
      <c r="E25" s="100" t="s">
        <v>246</v>
      </c>
      <c r="F25" s="102">
        <v>46123</v>
      </c>
      <c r="G25" s="103">
        <v>46092</v>
      </c>
      <c r="H25" s="103">
        <v>46096</v>
      </c>
      <c r="I25" s="103" t="s">
        <v>70</v>
      </c>
      <c r="J25" s="103" t="s">
        <v>250</v>
      </c>
      <c r="K25" s="103" t="s">
        <v>232</v>
      </c>
      <c r="L25" s="100">
        <v>634</v>
      </c>
      <c r="M25" s="100">
        <v>40</v>
      </c>
      <c r="N25" s="100">
        <v>2</v>
      </c>
      <c r="O25" s="104">
        <v>24.32</v>
      </c>
      <c r="P25" s="104">
        <v>1030.16</v>
      </c>
      <c r="Q25" s="104">
        <v>1428</v>
      </c>
      <c r="R25" s="105">
        <v>42.358552631579</v>
      </c>
      <c r="S25" s="106">
        <v>0.05</v>
      </c>
      <c r="T25" s="106">
        <v>0.0630914826498423</v>
      </c>
      <c r="U25" s="105">
        <v>0.608</v>
      </c>
      <c r="V25" s="105">
        <v>12.16</v>
      </c>
      <c r="W25" s="106">
        <v>0.0236079832259067</v>
      </c>
      <c r="X25" s="106">
        <v>0.01703081232493</v>
      </c>
      <c r="Y25" s="106"/>
    </row>
    <row r="26" ht="22.5" customHeight="1" spans="1:25">
      <c r="A26" s="99" t="s">
        <v>224</v>
      </c>
      <c r="B26" s="100" t="s">
        <v>286</v>
      </c>
      <c r="C26" s="100" t="s">
        <v>172</v>
      </c>
      <c r="D26" s="101" t="s">
        <v>287</v>
      </c>
      <c r="E26" s="100" t="s">
        <v>230</v>
      </c>
      <c r="F26" s="102">
        <v>46154</v>
      </c>
      <c r="G26" s="103">
        <v>46153</v>
      </c>
      <c r="H26" s="103">
        <v>46167</v>
      </c>
      <c r="I26" s="103" t="s">
        <v>70</v>
      </c>
      <c r="J26" s="103" t="s">
        <v>256</v>
      </c>
      <c r="K26" s="103" t="s">
        <v>232</v>
      </c>
      <c r="L26" s="100">
        <v>2565</v>
      </c>
      <c r="M26" s="100">
        <v>31</v>
      </c>
      <c r="N26" s="100">
        <v>2</v>
      </c>
      <c r="O26" s="104">
        <v>41.59</v>
      </c>
      <c r="P26" s="104">
        <v>265.63</v>
      </c>
      <c r="Q26" s="104">
        <v>250</v>
      </c>
      <c r="R26" s="105">
        <v>6.38687184419332</v>
      </c>
      <c r="S26" s="106">
        <v>0.0645161290322581</v>
      </c>
      <c r="T26" s="106">
        <v>0.0120857699805068</v>
      </c>
      <c r="U26" s="105">
        <v>1.34161290322581</v>
      </c>
      <c r="V26" s="105">
        <v>20.795</v>
      </c>
      <c r="W26" s="106">
        <v>0.156571170425027</v>
      </c>
      <c r="X26" s="106">
        <v>0.16636</v>
      </c>
      <c r="Y26" s="106"/>
    </row>
    <row r="27" ht="22.5" customHeight="1" spans="1:25">
      <c r="A27" s="99" t="s">
        <v>224</v>
      </c>
      <c r="B27" s="100" t="s">
        <v>288</v>
      </c>
      <c r="C27" s="100" t="s">
        <v>121</v>
      </c>
      <c r="D27" s="101" t="s">
        <v>289</v>
      </c>
      <c r="E27" s="100" t="s">
        <v>230</v>
      </c>
      <c r="F27" s="102">
        <v>46142</v>
      </c>
      <c r="G27" s="103">
        <v>46108</v>
      </c>
      <c r="H27" s="103">
        <v>46111</v>
      </c>
      <c r="I27" s="103" t="s">
        <v>52</v>
      </c>
      <c r="J27" s="103" t="s">
        <v>253</v>
      </c>
      <c r="K27" s="103" t="s">
        <v>232</v>
      </c>
      <c r="L27" s="100">
        <v>259</v>
      </c>
      <c r="M27" s="100">
        <v>28</v>
      </c>
      <c r="N27" s="100">
        <v>2</v>
      </c>
      <c r="O27" s="104">
        <v>13.7</v>
      </c>
      <c r="P27" s="104">
        <v>235.29</v>
      </c>
      <c r="Q27" s="104">
        <v>1272.2</v>
      </c>
      <c r="R27" s="105">
        <v>17.1744525547445</v>
      </c>
      <c r="S27" s="106">
        <v>0.0714285714285714</v>
      </c>
      <c r="T27" s="106">
        <v>0.108108108108108</v>
      </c>
      <c r="U27" s="105">
        <v>0.489285714285714</v>
      </c>
      <c r="V27" s="105">
        <v>6.85</v>
      </c>
      <c r="W27" s="106">
        <v>0.0582260189553317</v>
      </c>
      <c r="X27" s="106">
        <v>0.0107687470523503</v>
      </c>
      <c r="Y27" s="106"/>
    </row>
    <row r="28" ht="22.5" customHeight="1" spans="1:25">
      <c r="A28" s="99" t="s">
        <v>224</v>
      </c>
      <c r="B28" s="100" t="s">
        <v>290</v>
      </c>
      <c r="C28" s="100" t="s">
        <v>192</v>
      </c>
      <c r="D28" s="101" t="s">
        <v>291</v>
      </c>
      <c r="E28" s="100" t="s">
        <v>230</v>
      </c>
      <c r="F28" s="102">
        <v>46162</v>
      </c>
      <c r="G28" s="103">
        <v>46162</v>
      </c>
      <c r="H28" s="103">
        <v>46162</v>
      </c>
      <c r="I28" s="103" t="s">
        <v>57</v>
      </c>
      <c r="J28" s="103" t="s">
        <v>277</v>
      </c>
      <c r="K28" s="103" t="s">
        <v>232</v>
      </c>
      <c r="L28" s="100">
        <v>570</v>
      </c>
      <c r="M28" s="100">
        <v>27</v>
      </c>
      <c r="N28" s="100">
        <v>2</v>
      </c>
      <c r="O28" s="104">
        <v>43.53</v>
      </c>
      <c r="P28" s="104">
        <v>160.49</v>
      </c>
      <c r="Q28" s="104">
        <v>373.7</v>
      </c>
      <c r="R28" s="105">
        <v>3.68688260969446</v>
      </c>
      <c r="S28" s="106">
        <v>0.0740740740740741</v>
      </c>
      <c r="T28" s="106">
        <v>0.0473684210526316</v>
      </c>
      <c r="U28" s="105">
        <v>1.61222222222222</v>
      </c>
      <c r="V28" s="105">
        <v>21.765</v>
      </c>
      <c r="W28" s="106">
        <v>0.271231852451866</v>
      </c>
      <c r="X28" s="106">
        <v>0.116483810543216</v>
      </c>
      <c r="Y28" s="106"/>
    </row>
    <row r="29" ht="22.5" customHeight="1" spans="1:25">
      <c r="A29" s="99" t="s">
        <v>224</v>
      </c>
      <c r="B29" s="100" t="s">
        <v>292</v>
      </c>
      <c r="C29" s="100" t="s">
        <v>176</v>
      </c>
      <c r="D29" s="101" t="s">
        <v>293</v>
      </c>
      <c r="E29" s="100" t="s">
        <v>230</v>
      </c>
      <c r="F29" s="102">
        <v>46160</v>
      </c>
      <c r="G29" s="103">
        <v>46157</v>
      </c>
      <c r="H29" s="103">
        <v>46158</v>
      </c>
      <c r="I29" s="103" t="s">
        <v>45</v>
      </c>
      <c r="J29" s="103" t="s">
        <v>277</v>
      </c>
      <c r="K29" s="103" t="s">
        <v>232</v>
      </c>
      <c r="L29" s="100">
        <v>162</v>
      </c>
      <c r="M29" s="100">
        <v>27</v>
      </c>
      <c r="N29" s="100">
        <v>2</v>
      </c>
      <c r="O29" s="104">
        <v>14.81</v>
      </c>
      <c r="P29" s="104">
        <v>190.52</v>
      </c>
      <c r="Q29" s="104">
        <v>2200</v>
      </c>
      <c r="R29" s="105">
        <v>12.8642808912897</v>
      </c>
      <c r="S29" s="106">
        <v>0.0740740740740741</v>
      </c>
      <c r="T29" s="106">
        <v>0.166666666666667</v>
      </c>
      <c r="U29" s="105">
        <v>0.548518518518519</v>
      </c>
      <c r="V29" s="105">
        <v>7.405</v>
      </c>
      <c r="W29" s="106">
        <v>0.0777346210371615</v>
      </c>
      <c r="X29" s="106">
        <v>0.00673181818181818</v>
      </c>
      <c r="Y29" s="106"/>
    </row>
    <row r="30" ht="22.5" customHeight="1" spans="1:25">
      <c r="A30" s="99" t="s">
        <v>224</v>
      </c>
      <c r="B30" s="100" t="s">
        <v>294</v>
      </c>
      <c r="C30" s="100" t="s">
        <v>56</v>
      </c>
      <c r="D30" s="101" t="s">
        <v>295</v>
      </c>
      <c r="E30" s="100" t="s">
        <v>241</v>
      </c>
      <c r="F30" s="102">
        <v>46097</v>
      </c>
      <c r="G30" s="103">
        <v>46085</v>
      </c>
      <c r="H30" s="103">
        <v>46100</v>
      </c>
      <c r="I30" s="103" t="s">
        <v>57</v>
      </c>
      <c r="J30" s="103" t="s">
        <v>250</v>
      </c>
      <c r="K30" s="103" t="s">
        <v>232</v>
      </c>
      <c r="L30" s="100">
        <v>1557</v>
      </c>
      <c r="M30" s="100">
        <v>18</v>
      </c>
      <c r="N30" s="100">
        <v>2</v>
      </c>
      <c r="O30" s="104">
        <v>8.03</v>
      </c>
      <c r="P30" s="104">
        <v>60.96</v>
      </c>
      <c r="Q30" s="104">
        <v>448.96</v>
      </c>
      <c r="R30" s="105">
        <v>7.59153175591532</v>
      </c>
      <c r="S30" s="106">
        <v>0.111111111111111</v>
      </c>
      <c r="T30" s="106">
        <v>0.0115606936416185</v>
      </c>
      <c r="U30" s="105">
        <v>0.446111111111111</v>
      </c>
      <c r="V30" s="105">
        <v>4.015</v>
      </c>
      <c r="W30" s="106">
        <v>0.131725721784777</v>
      </c>
      <c r="X30" s="106">
        <v>0.0178857804704205</v>
      </c>
      <c r="Y30" s="106"/>
    </row>
    <row r="31" ht="22.5" customHeight="1" spans="1:25">
      <c r="A31" s="99" t="s">
        <v>224</v>
      </c>
      <c r="B31" s="100" t="s">
        <v>288</v>
      </c>
      <c r="C31" s="100" t="s">
        <v>146</v>
      </c>
      <c r="D31" s="101" t="s">
        <v>296</v>
      </c>
      <c r="E31" s="100" t="s">
        <v>230</v>
      </c>
      <c r="F31" s="102">
        <v>46142</v>
      </c>
      <c r="G31" s="103">
        <v>46141</v>
      </c>
      <c r="H31" s="103">
        <v>46152</v>
      </c>
      <c r="I31" s="103" t="s">
        <v>52</v>
      </c>
      <c r="J31" s="103" t="s">
        <v>253</v>
      </c>
      <c r="K31" s="103" t="s">
        <v>238</v>
      </c>
      <c r="L31" s="100">
        <v>3334</v>
      </c>
      <c r="M31" s="100">
        <v>11</v>
      </c>
      <c r="N31" s="100">
        <v>2</v>
      </c>
      <c r="O31" s="104">
        <v>5.51</v>
      </c>
      <c r="P31" s="104">
        <v>128.78</v>
      </c>
      <c r="Q31" s="104">
        <v>240</v>
      </c>
      <c r="R31" s="105">
        <v>23.3720508166969</v>
      </c>
      <c r="S31" s="106">
        <v>0.181818181818182</v>
      </c>
      <c r="T31" s="106">
        <v>0.00329934013197361</v>
      </c>
      <c r="U31" s="105">
        <v>0.500909090909091</v>
      </c>
      <c r="V31" s="105">
        <v>2.755</v>
      </c>
      <c r="W31" s="106">
        <v>0.0427861469172232</v>
      </c>
      <c r="X31" s="106">
        <v>0.0229583333333333</v>
      </c>
      <c r="Y31" s="106"/>
    </row>
    <row r="32" ht="22.5" customHeight="1" spans="1:25">
      <c r="A32" s="99" t="s">
        <v>224</v>
      </c>
      <c r="B32" s="100" t="s">
        <v>297</v>
      </c>
      <c r="C32" s="100" t="s">
        <v>74</v>
      </c>
      <c r="D32" s="101" t="s">
        <v>298</v>
      </c>
      <c r="E32" s="100" t="s">
        <v>230</v>
      </c>
      <c r="F32" s="102">
        <v>46104</v>
      </c>
      <c r="G32" s="103">
        <v>46092</v>
      </c>
      <c r="H32" s="103">
        <v>46104</v>
      </c>
      <c r="I32" s="103" t="s">
        <v>57</v>
      </c>
      <c r="J32" s="103" t="s">
        <v>237</v>
      </c>
      <c r="K32" s="103" t="s">
        <v>232</v>
      </c>
      <c r="L32" s="100">
        <v>1783</v>
      </c>
      <c r="M32" s="100">
        <v>9</v>
      </c>
      <c r="N32" s="100">
        <v>2</v>
      </c>
      <c r="O32" s="104">
        <v>2.94</v>
      </c>
      <c r="P32" s="104">
        <v>24.14</v>
      </c>
      <c r="Q32" s="104">
        <v>342.2</v>
      </c>
      <c r="R32" s="105">
        <v>8.2108843537415</v>
      </c>
      <c r="S32" s="106">
        <v>0.222222222222222</v>
      </c>
      <c r="T32" s="106">
        <v>0.00504767246214246</v>
      </c>
      <c r="U32" s="105">
        <v>0.326666666666667</v>
      </c>
      <c r="V32" s="105">
        <v>1.47</v>
      </c>
      <c r="W32" s="106">
        <v>0.12178956089478</v>
      </c>
      <c r="X32" s="106">
        <v>0.00859146697837522</v>
      </c>
      <c r="Y32" s="106"/>
    </row>
    <row r="33" ht="22.5" customHeight="1" spans="1:25">
      <c r="A33" s="99" t="s">
        <v>224</v>
      </c>
      <c r="B33" s="100" t="s">
        <v>299</v>
      </c>
      <c r="C33" s="100" t="s">
        <v>86</v>
      </c>
      <c r="D33" s="101" t="s">
        <v>300</v>
      </c>
      <c r="E33" s="100" t="s">
        <v>230</v>
      </c>
      <c r="F33" s="102">
        <v>46094</v>
      </c>
      <c r="G33" s="103">
        <v>46093</v>
      </c>
      <c r="H33" s="103">
        <v>46100</v>
      </c>
      <c r="I33" s="103" t="s">
        <v>57</v>
      </c>
      <c r="J33" s="103" t="s">
        <v>231</v>
      </c>
      <c r="K33" s="103" t="s">
        <v>232</v>
      </c>
      <c r="L33" s="100">
        <v>117</v>
      </c>
      <c r="M33" s="100">
        <v>2</v>
      </c>
      <c r="N33" s="100">
        <v>2</v>
      </c>
      <c r="O33" s="104">
        <v>0.7</v>
      </c>
      <c r="P33" s="104">
        <v>303.19</v>
      </c>
      <c r="Q33" s="104">
        <v>413</v>
      </c>
      <c r="R33" s="105">
        <v>433.128571428571</v>
      </c>
      <c r="S33" s="106">
        <v>1</v>
      </c>
      <c r="T33" s="106">
        <v>0.0170940170940171</v>
      </c>
      <c r="U33" s="105">
        <v>0.35</v>
      </c>
      <c r="V33" s="105">
        <v>0.35</v>
      </c>
      <c r="W33" s="106">
        <v>0.00230878327121607</v>
      </c>
      <c r="X33" s="106">
        <v>0.00169491525423729</v>
      </c>
      <c r="Y33" s="106"/>
    </row>
    <row r="34" ht="22.5" customHeight="1" spans="1:25">
      <c r="A34" s="99" t="s">
        <v>224</v>
      </c>
      <c r="B34" s="100" t="s">
        <v>271</v>
      </c>
      <c r="C34" s="100" t="s">
        <v>170</v>
      </c>
      <c r="D34" s="101" t="s">
        <v>301</v>
      </c>
      <c r="E34" s="100" t="s">
        <v>230</v>
      </c>
      <c r="F34" s="102">
        <v>46154</v>
      </c>
      <c r="G34" s="103">
        <v>46153</v>
      </c>
      <c r="H34" s="103">
        <v>46168</v>
      </c>
      <c r="I34" s="103" t="s">
        <v>76</v>
      </c>
      <c r="J34" s="103" t="s">
        <v>256</v>
      </c>
      <c r="K34" s="103" t="s">
        <v>232</v>
      </c>
      <c r="L34" s="100">
        <v>13684</v>
      </c>
      <c r="M34" s="100">
        <v>61</v>
      </c>
      <c r="N34" s="100">
        <v>1</v>
      </c>
      <c r="O34" s="104">
        <v>76.72</v>
      </c>
      <c r="P34" s="104">
        <v>105</v>
      </c>
      <c r="Q34" s="104">
        <v>210</v>
      </c>
      <c r="R34" s="105">
        <v>1.36861313868613</v>
      </c>
      <c r="S34" s="106">
        <v>0.0163934426229508</v>
      </c>
      <c r="T34" s="106">
        <v>0.00445776088862906</v>
      </c>
      <c r="U34" s="105">
        <v>1.25770491803279</v>
      </c>
      <c r="V34" s="105">
        <v>76.72</v>
      </c>
      <c r="W34" s="106">
        <v>0.730666666666667</v>
      </c>
      <c r="X34" s="106">
        <v>0.365333333333333</v>
      </c>
      <c r="Y34" s="106"/>
    </row>
    <row r="35" ht="22.5" customHeight="1" spans="1:25">
      <c r="A35" s="99" t="s">
        <v>224</v>
      </c>
      <c r="B35" s="100" t="s">
        <v>302</v>
      </c>
      <c r="C35" s="100" t="s">
        <v>147</v>
      </c>
      <c r="D35" s="101" t="s">
        <v>303</v>
      </c>
      <c r="E35" s="100" t="s">
        <v>230</v>
      </c>
      <c r="F35" s="102">
        <v>46142</v>
      </c>
      <c r="G35" s="103">
        <v>46141</v>
      </c>
      <c r="H35" s="103">
        <v>46158</v>
      </c>
      <c r="I35" s="103" t="s">
        <v>57</v>
      </c>
      <c r="J35" s="103" t="s">
        <v>253</v>
      </c>
      <c r="K35" s="103" t="s">
        <v>232</v>
      </c>
      <c r="L35" s="100">
        <v>674</v>
      </c>
      <c r="M35" s="100">
        <v>35</v>
      </c>
      <c r="N35" s="100">
        <v>1</v>
      </c>
      <c r="O35" s="104">
        <v>33.6</v>
      </c>
      <c r="P35" s="104">
        <v>84.29</v>
      </c>
      <c r="Q35" s="104">
        <v>159.8</v>
      </c>
      <c r="R35" s="105">
        <v>2.50863095238095</v>
      </c>
      <c r="S35" s="106">
        <v>0.0285714285714286</v>
      </c>
      <c r="T35" s="106">
        <v>0.0519287833827893</v>
      </c>
      <c r="U35" s="105">
        <v>0.96</v>
      </c>
      <c r="V35" s="105">
        <v>33.6</v>
      </c>
      <c r="W35" s="106">
        <v>0.398623798789892</v>
      </c>
      <c r="X35" s="106">
        <v>0.21026282853567</v>
      </c>
      <c r="Y35" s="106"/>
    </row>
    <row r="36" ht="22.5" customHeight="1" spans="1:25">
      <c r="A36" s="99" t="s">
        <v>224</v>
      </c>
      <c r="B36" s="100" t="s">
        <v>304</v>
      </c>
      <c r="C36" s="100" t="s">
        <v>132</v>
      </c>
      <c r="D36" s="101" t="s">
        <v>305</v>
      </c>
      <c r="E36" s="100" t="s">
        <v>230</v>
      </c>
      <c r="F36" s="102">
        <v>46137</v>
      </c>
      <c r="G36" s="103">
        <v>46135</v>
      </c>
      <c r="H36" s="103">
        <v>46140</v>
      </c>
      <c r="I36" s="103" t="s">
        <v>52</v>
      </c>
      <c r="J36" s="103" t="s">
        <v>253</v>
      </c>
      <c r="K36" s="103" t="s">
        <v>232</v>
      </c>
      <c r="L36" s="100">
        <v>2061</v>
      </c>
      <c r="M36" s="100">
        <v>32</v>
      </c>
      <c r="N36" s="100">
        <v>1</v>
      </c>
      <c r="O36" s="104">
        <v>17.58</v>
      </c>
      <c r="P36" s="104">
        <v>159</v>
      </c>
      <c r="Q36" s="104">
        <v>1050</v>
      </c>
      <c r="R36" s="105">
        <v>9.04436860068259</v>
      </c>
      <c r="S36" s="106">
        <v>0.03125</v>
      </c>
      <c r="T36" s="106">
        <v>0.0155264434740417</v>
      </c>
      <c r="U36" s="105">
        <v>0.549375</v>
      </c>
      <c r="V36" s="105">
        <v>17.58</v>
      </c>
      <c r="W36" s="106">
        <v>0.110566037735849</v>
      </c>
      <c r="X36" s="106">
        <v>0.0167428571428571</v>
      </c>
      <c r="Y36" s="106"/>
    </row>
    <row r="37" ht="22.5" customHeight="1" spans="1:25">
      <c r="A37" s="99" t="s">
        <v>224</v>
      </c>
      <c r="B37" s="100" t="s">
        <v>306</v>
      </c>
      <c r="C37" s="100" t="s">
        <v>51</v>
      </c>
      <c r="D37" s="101" t="s">
        <v>307</v>
      </c>
      <c r="E37" s="100" t="s">
        <v>241</v>
      </c>
      <c r="F37" s="102">
        <v>46087</v>
      </c>
      <c r="G37" s="103">
        <v>46085</v>
      </c>
      <c r="H37" s="103">
        <v>46089</v>
      </c>
      <c r="I37" s="103" t="s">
        <v>52</v>
      </c>
      <c r="J37" s="103" t="s">
        <v>250</v>
      </c>
      <c r="K37" s="103" t="s">
        <v>232</v>
      </c>
      <c r="L37" s="100">
        <v>3310</v>
      </c>
      <c r="M37" s="100">
        <v>28</v>
      </c>
      <c r="N37" s="100">
        <v>1</v>
      </c>
      <c r="O37" s="104">
        <v>14.77</v>
      </c>
      <c r="P37" s="104">
        <v>42.65</v>
      </c>
      <c r="Q37" s="104">
        <v>160</v>
      </c>
      <c r="R37" s="105">
        <v>2.88761002031144</v>
      </c>
      <c r="S37" s="106">
        <v>0.0357142857142857</v>
      </c>
      <c r="T37" s="106">
        <v>0.00845921450151057</v>
      </c>
      <c r="U37" s="105">
        <v>0.5275</v>
      </c>
      <c r="V37" s="105">
        <v>14.77</v>
      </c>
      <c r="W37" s="106">
        <v>0.34630715123095</v>
      </c>
      <c r="X37" s="106">
        <v>0.0923125</v>
      </c>
      <c r="Y37" s="106"/>
    </row>
    <row r="38" ht="22.5" customHeight="1" spans="1:25">
      <c r="A38" s="99" t="s">
        <v>224</v>
      </c>
      <c r="B38" s="100" t="s">
        <v>308</v>
      </c>
      <c r="C38" s="100" t="s">
        <v>73</v>
      </c>
      <c r="D38" s="101" t="s">
        <v>309</v>
      </c>
      <c r="E38" s="100" t="s">
        <v>310</v>
      </c>
      <c r="F38" s="102">
        <v>46162</v>
      </c>
      <c r="G38" s="103">
        <v>46092</v>
      </c>
      <c r="H38" s="103">
        <v>46099</v>
      </c>
      <c r="I38" s="103" t="s">
        <v>57</v>
      </c>
      <c r="J38" s="103" t="s">
        <v>231</v>
      </c>
      <c r="K38" s="103" t="s">
        <v>232</v>
      </c>
      <c r="L38" s="100">
        <v>2262</v>
      </c>
      <c r="M38" s="100">
        <v>27</v>
      </c>
      <c r="N38" s="100">
        <v>1</v>
      </c>
      <c r="O38" s="104">
        <v>9.78</v>
      </c>
      <c r="P38" s="104">
        <v>30.45</v>
      </c>
      <c r="Q38" s="104">
        <v>1594.6</v>
      </c>
      <c r="R38" s="105">
        <v>3.11349693251534</v>
      </c>
      <c r="S38" s="106">
        <v>0.037037037037037</v>
      </c>
      <c r="T38" s="106">
        <v>0.0119363395225464</v>
      </c>
      <c r="U38" s="105">
        <v>0.362222222222222</v>
      </c>
      <c r="V38" s="105">
        <v>9.78</v>
      </c>
      <c r="W38" s="106">
        <v>0.321182266009852</v>
      </c>
      <c r="X38" s="106">
        <v>0.00613319954847611</v>
      </c>
      <c r="Y38" s="106"/>
    </row>
    <row r="39" ht="22.5" customHeight="1" spans="1:25">
      <c r="A39" s="99" t="s">
        <v>224</v>
      </c>
      <c r="B39" s="100" t="s">
        <v>311</v>
      </c>
      <c r="C39" s="100" t="s">
        <v>193</v>
      </c>
      <c r="D39" s="101" t="s">
        <v>312</v>
      </c>
      <c r="E39" s="100" t="s">
        <v>241</v>
      </c>
      <c r="F39" s="102">
        <v>46167</v>
      </c>
      <c r="G39" s="103">
        <v>46162</v>
      </c>
      <c r="H39" s="103">
        <v>46170</v>
      </c>
      <c r="I39" s="103" t="s">
        <v>57</v>
      </c>
      <c r="J39" s="103" t="s">
        <v>277</v>
      </c>
      <c r="K39" s="103" t="s">
        <v>232</v>
      </c>
      <c r="L39" s="100">
        <v>1205</v>
      </c>
      <c r="M39" s="100">
        <v>21</v>
      </c>
      <c r="N39" s="100">
        <v>1</v>
      </c>
      <c r="O39" s="104">
        <v>15.4</v>
      </c>
      <c r="P39" s="104">
        <v>75.96</v>
      </c>
      <c r="Q39" s="104">
        <v>211.8</v>
      </c>
      <c r="R39" s="105">
        <v>4.93246753246753</v>
      </c>
      <c r="S39" s="106">
        <v>0.0476190476190476</v>
      </c>
      <c r="T39" s="106">
        <v>0.0174273858921162</v>
      </c>
      <c r="U39" s="105">
        <v>0.733333333333333</v>
      </c>
      <c r="V39" s="105">
        <v>15.4</v>
      </c>
      <c r="W39" s="106">
        <v>0.202738283307004</v>
      </c>
      <c r="X39" s="106">
        <v>0.072710103871577</v>
      </c>
      <c r="Y39" s="106"/>
    </row>
    <row r="40" ht="22.5" customHeight="1" spans="1:25">
      <c r="A40" s="99" t="s">
        <v>224</v>
      </c>
      <c r="B40" s="100" t="s">
        <v>313</v>
      </c>
      <c r="C40" s="100" t="s">
        <v>192</v>
      </c>
      <c r="D40" s="101" t="s">
        <v>314</v>
      </c>
      <c r="E40" s="100" t="s">
        <v>241</v>
      </c>
      <c r="F40" s="102">
        <v>46167</v>
      </c>
      <c r="G40" s="103">
        <v>46162</v>
      </c>
      <c r="H40" s="103">
        <v>46162</v>
      </c>
      <c r="I40" s="103" t="s">
        <v>57</v>
      </c>
      <c r="J40" s="103" t="s">
        <v>277</v>
      </c>
      <c r="K40" s="103" t="s">
        <v>232</v>
      </c>
      <c r="L40" s="100">
        <v>939</v>
      </c>
      <c r="M40" s="100">
        <v>21</v>
      </c>
      <c r="N40" s="100">
        <v>1</v>
      </c>
      <c r="O40" s="104">
        <v>14.42</v>
      </c>
      <c r="P40" s="104">
        <v>82</v>
      </c>
      <c r="Q40" s="104">
        <v>373.7</v>
      </c>
      <c r="R40" s="105">
        <v>5.68654646324549</v>
      </c>
      <c r="S40" s="106">
        <v>0.0476190476190476</v>
      </c>
      <c r="T40" s="106">
        <v>0.0223642172523962</v>
      </c>
      <c r="U40" s="105">
        <v>0.686666666666667</v>
      </c>
      <c r="V40" s="105">
        <v>14.42</v>
      </c>
      <c r="W40" s="106">
        <v>0.175853658536585</v>
      </c>
      <c r="X40" s="106">
        <v>0.0385871019534386</v>
      </c>
      <c r="Y40" s="106"/>
    </row>
    <row r="41" ht="22.5" customHeight="1" spans="1:25">
      <c r="A41" s="99" t="s">
        <v>224</v>
      </c>
      <c r="B41" s="100" t="s">
        <v>315</v>
      </c>
      <c r="C41" s="100" t="s">
        <v>128</v>
      </c>
      <c r="D41" s="101" t="s">
        <v>316</v>
      </c>
      <c r="E41" s="100" t="s">
        <v>230</v>
      </c>
      <c r="F41" s="102">
        <v>46136</v>
      </c>
      <c r="G41" s="103">
        <v>46135</v>
      </c>
      <c r="H41" s="103">
        <v>46155</v>
      </c>
      <c r="I41" s="103" t="s">
        <v>45</v>
      </c>
      <c r="J41" s="103" t="s">
        <v>277</v>
      </c>
      <c r="K41" s="103" t="s">
        <v>232</v>
      </c>
      <c r="L41" s="100">
        <v>2454</v>
      </c>
      <c r="M41" s="100">
        <v>16</v>
      </c>
      <c r="N41" s="100">
        <v>1</v>
      </c>
      <c r="O41" s="104">
        <v>13.26</v>
      </c>
      <c r="P41" s="104">
        <v>90.95</v>
      </c>
      <c r="Q41" s="104">
        <v>340</v>
      </c>
      <c r="R41" s="105">
        <v>6.85897435897436</v>
      </c>
      <c r="S41" s="106">
        <v>0.0625</v>
      </c>
      <c r="T41" s="106">
        <v>0.006519967400163</v>
      </c>
      <c r="U41" s="105">
        <v>0.82875</v>
      </c>
      <c r="V41" s="105">
        <v>13.26</v>
      </c>
      <c r="W41" s="106">
        <v>0.145794392523364</v>
      </c>
      <c r="X41" s="106">
        <v>0.039</v>
      </c>
      <c r="Y41" s="106"/>
    </row>
    <row r="42" ht="22.5" customHeight="1" spans="1:25">
      <c r="A42" s="99" t="s">
        <v>224</v>
      </c>
      <c r="B42" s="100" t="s">
        <v>317</v>
      </c>
      <c r="C42" s="100" t="s">
        <v>189</v>
      </c>
      <c r="D42" s="101" t="s">
        <v>318</v>
      </c>
      <c r="E42" s="100" t="s">
        <v>230</v>
      </c>
      <c r="F42" s="102">
        <v>46163</v>
      </c>
      <c r="G42" s="103">
        <v>46162</v>
      </c>
      <c r="H42" s="103">
        <v>46164</v>
      </c>
      <c r="I42" s="103" t="s">
        <v>81</v>
      </c>
      <c r="J42" s="103" t="s">
        <v>277</v>
      </c>
      <c r="K42" s="103" t="s">
        <v>232</v>
      </c>
      <c r="L42" s="100">
        <v>944</v>
      </c>
      <c r="M42" s="100">
        <v>16</v>
      </c>
      <c r="N42" s="100">
        <v>1</v>
      </c>
      <c r="O42" s="104">
        <v>15.42</v>
      </c>
      <c r="P42" s="104">
        <v>115.24</v>
      </c>
      <c r="Q42" s="104">
        <v>210</v>
      </c>
      <c r="R42" s="105">
        <v>7.47341115434501</v>
      </c>
      <c r="S42" s="106">
        <v>0.0625</v>
      </c>
      <c r="T42" s="106">
        <v>0.0169491525423729</v>
      </c>
      <c r="U42" s="105">
        <v>0.96375</v>
      </c>
      <c r="V42" s="105">
        <v>15.42</v>
      </c>
      <c r="W42" s="106">
        <v>0.133807705657758</v>
      </c>
      <c r="X42" s="106">
        <v>0.0734285714285714</v>
      </c>
      <c r="Y42" s="106"/>
    </row>
    <row r="43" ht="22.5" customHeight="1" spans="1:25">
      <c r="A43" s="99" t="s">
        <v>224</v>
      </c>
      <c r="B43" s="100" t="s">
        <v>319</v>
      </c>
      <c r="C43" s="100" t="s">
        <v>120</v>
      </c>
      <c r="D43" s="101" t="s">
        <v>320</v>
      </c>
      <c r="E43" s="100" t="s">
        <v>230</v>
      </c>
      <c r="F43" s="102">
        <v>46142</v>
      </c>
      <c r="G43" s="103">
        <v>46108</v>
      </c>
      <c r="H43" s="103">
        <v>46111</v>
      </c>
      <c r="I43" s="103" t="s">
        <v>52</v>
      </c>
      <c r="J43" s="103" t="s">
        <v>253</v>
      </c>
      <c r="K43" s="103" t="s">
        <v>232</v>
      </c>
      <c r="L43" s="100">
        <v>627</v>
      </c>
      <c r="M43" s="100">
        <v>16</v>
      </c>
      <c r="N43" s="100">
        <v>1</v>
      </c>
      <c r="O43" s="104">
        <v>6.67</v>
      </c>
      <c r="P43" s="104">
        <v>126.65</v>
      </c>
      <c r="Q43" s="104">
        <v>725.4</v>
      </c>
      <c r="R43" s="105">
        <v>18.9880059970015</v>
      </c>
      <c r="S43" s="106">
        <v>0.0625</v>
      </c>
      <c r="T43" s="106">
        <v>0.025518341307815</v>
      </c>
      <c r="U43" s="105">
        <v>0.416875</v>
      </c>
      <c r="V43" s="105">
        <v>6.67</v>
      </c>
      <c r="W43" s="106">
        <v>0.0526648243189893</v>
      </c>
      <c r="X43" s="106">
        <v>0.00919492693686242</v>
      </c>
      <c r="Y43" s="106"/>
    </row>
    <row r="44" ht="22.5" customHeight="1" spans="1:25">
      <c r="A44" s="99" t="s">
        <v>224</v>
      </c>
      <c r="B44" s="100" t="s">
        <v>321</v>
      </c>
      <c r="C44" s="100" t="s">
        <v>127</v>
      </c>
      <c r="D44" s="101" t="s">
        <v>322</v>
      </c>
      <c r="E44" s="100" t="s">
        <v>230</v>
      </c>
      <c r="F44" s="102">
        <v>46136</v>
      </c>
      <c r="G44" s="103">
        <v>46135</v>
      </c>
      <c r="H44" s="103">
        <v>46139</v>
      </c>
      <c r="I44" s="103" t="s">
        <v>57</v>
      </c>
      <c r="J44" s="103" t="s">
        <v>323</v>
      </c>
      <c r="K44" s="103" t="s">
        <v>232</v>
      </c>
      <c r="L44" s="100">
        <v>741</v>
      </c>
      <c r="M44" s="100">
        <v>14</v>
      </c>
      <c r="N44" s="100">
        <v>1</v>
      </c>
      <c r="O44" s="104">
        <v>5.04</v>
      </c>
      <c r="P44" s="104">
        <v>48.71</v>
      </c>
      <c r="Q44" s="104">
        <v>45</v>
      </c>
      <c r="R44" s="105">
        <v>9.66468253968254</v>
      </c>
      <c r="S44" s="106">
        <v>0.0714285714285714</v>
      </c>
      <c r="T44" s="106">
        <v>0.0188933873144399</v>
      </c>
      <c r="U44" s="105">
        <v>0.36</v>
      </c>
      <c r="V44" s="105">
        <v>5.04</v>
      </c>
      <c r="W44" s="106">
        <v>0.103469513446931</v>
      </c>
      <c r="X44" s="106">
        <v>0.112</v>
      </c>
      <c r="Y44" s="106"/>
    </row>
    <row r="45" ht="22.5" customHeight="1" spans="1:25">
      <c r="A45" s="99" t="s">
        <v>224</v>
      </c>
      <c r="B45" s="100" t="s">
        <v>324</v>
      </c>
      <c r="C45" s="100" t="s">
        <v>89</v>
      </c>
      <c r="D45" s="101" t="s">
        <v>325</v>
      </c>
      <c r="E45" s="100" t="s">
        <v>230</v>
      </c>
      <c r="F45" s="102">
        <v>46098</v>
      </c>
      <c r="G45" s="103">
        <v>46097</v>
      </c>
      <c r="H45" s="103">
        <v>46103</v>
      </c>
      <c r="I45" s="103" t="s">
        <v>52</v>
      </c>
      <c r="J45" s="103" t="s">
        <v>250</v>
      </c>
      <c r="K45" s="103" t="s">
        <v>232</v>
      </c>
      <c r="L45" s="100">
        <v>152</v>
      </c>
      <c r="M45" s="100">
        <v>13</v>
      </c>
      <c r="N45" s="100">
        <v>1</v>
      </c>
      <c r="O45" s="104">
        <v>6.78</v>
      </c>
      <c r="P45" s="104">
        <v>501.86</v>
      </c>
      <c r="Q45" s="104">
        <v>920</v>
      </c>
      <c r="R45" s="105">
        <v>74.0206489675516</v>
      </c>
      <c r="S45" s="106">
        <v>0.0769230769230769</v>
      </c>
      <c r="T45" s="106">
        <v>0.0855263157894737</v>
      </c>
      <c r="U45" s="105">
        <v>0.521538461538462</v>
      </c>
      <c r="V45" s="105">
        <v>6.78</v>
      </c>
      <c r="W45" s="106">
        <v>0.013509743753238</v>
      </c>
      <c r="X45" s="106">
        <v>0.0073695652173913</v>
      </c>
      <c r="Y45" s="106"/>
    </row>
    <row r="46" ht="22.5" customHeight="1" spans="1:25">
      <c r="A46" s="99" t="s">
        <v>224</v>
      </c>
      <c r="B46" s="100" t="s">
        <v>288</v>
      </c>
      <c r="C46" s="100" t="s">
        <v>145</v>
      </c>
      <c r="D46" s="101" t="s">
        <v>326</v>
      </c>
      <c r="E46" s="100" t="s">
        <v>230</v>
      </c>
      <c r="F46" s="102">
        <v>46142</v>
      </c>
      <c r="G46" s="103">
        <v>46141</v>
      </c>
      <c r="H46" s="103">
        <v>46147</v>
      </c>
      <c r="I46" s="103" t="s">
        <v>52</v>
      </c>
      <c r="J46" s="103" t="s">
        <v>253</v>
      </c>
      <c r="K46" s="103" t="s">
        <v>238</v>
      </c>
      <c r="L46" s="100">
        <v>546</v>
      </c>
      <c r="M46" s="100">
        <v>12</v>
      </c>
      <c r="N46" s="100">
        <v>1</v>
      </c>
      <c r="O46" s="104">
        <v>6.01</v>
      </c>
      <c r="P46" s="104">
        <v>64.95</v>
      </c>
      <c r="Q46" s="104">
        <v>240</v>
      </c>
      <c r="R46" s="105">
        <v>10.8069883527454</v>
      </c>
      <c r="S46" s="106">
        <v>0.0833333333333333</v>
      </c>
      <c r="T46" s="106">
        <v>0.021978021978022</v>
      </c>
      <c r="U46" s="105">
        <v>0.500833333333333</v>
      </c>
      <c r="V46" s="105">
        <v>6.01</v>
      </c>
      <c r="W46" s="106">
        <v>0.0925327174749807</v>
      </c>
      <c r="X46" s="106">
        <v>0.0250416666666667</v>
      </c>
      <c r="Y46" s="106"/>
    </row>
    <row r="47" ht="22.5" customHeight="1" spans="1:25">
      <c r="A47" s="99" t="s">
        <v>224</v>
      </c>
      <c r="B47" s="100" t="s">
        <v>327</v>
      </c>
      <c r="C47" s="100" t="s">
        <v>107</v>
      </c>
      <c r="D47" s="101" t="s">
        <v>328</v>
      </c>
      <c r="E47" s="100" t="s">
        <v>230</v>
      </c>
      <c r="F47" s="102">
        <v>46104</v>
      </c>
      <c r="G47" s="103">
        <v>46104</v>
      </c>
      <c r="H47" s="103">
        <v>46134</v>
      </c>
      <c r="I47" s="103" t="s">
        <v>57</v>
      </c>
      <c r="J47" s="103" t="s">
        <v>277</v>
      </c>
      <c r="K47" s="103" t="s">
        <v>232</v>
      </c>
      <c r="L47" s="100">
        <v>561</v>
      </c>
      <c r="M47" s="100">
        <v>11</v>
      </c>
      <c r="N47" s="100">
        <v>1</v>
      </c>
      <c r="O47" s="104">
        <v>4.98</v>
      </c>
      <c r="P47" s="104">
        <v>129</v>
      </c>
      <c r="Q47" s="104">
        <v>645</v>
      </c>
      <c r="R47" s="105">
        <v>25.9036144578313</v>
      </c>
      <c r="S47" s="106">
        <v>0.0909090909090909</v>
      </c>
      <c r="T47" s="106">
        <v>0.0196078431372549</v>
      </c>
      <c r="U47" s="105">
        <v>0.452727272727273</v>
      </c>
      <c r="V47" s="105">
        <v>4.98</v>
      </c>
      <c r="W47" s="106">
        <v>0.0386046511627907</v>
      </c>
      <c r="X47" s="106">
        <v>0.00772093023255814</v>
      </c>
      <c r="Y47" s="106"/>
    </row>
    <row r="48" ht="22.5" customHeight="1" spans="1:25">
      <c r="A48" s="99" t="s">
        <v>224</v>
      </c>
      <c r="B48" s="100" t="s">
        <v>329</v>
      </c>
      <c r="C48" s="100" t="s">
        <v>192</v>
      </c>
      <c r="D48" s="101" t="s">
        <v>330</v>
      </c>
      <c r="E48" s="100" t="s">
        <v>246</v>
      </c>
      <c r="F48" s="102">
        <v>46167</v>
      </c>
      <c r="G48" s="103">
        <v>46162</v>
      </c>
      <c r="H48" s="103">
        <v>46162</v>
      </c>
      <c r="I48" s="103" t="s">
        <v>57</v>
      </c>
      <c r="J48" s="103" t="s">
        <v>277</v>
      </c>
      <c r="K48" s="103" t="s">
        <v>232</v>
      </c>
      <c r="L48" s="100">
        <v>540</v>
      </c>
      <c r="M48" s="100">
        <v>11</v>
      </c>
      <c r="N48" s="100">
        <v>1</v>
      </c>
      <c r="O48" s="104">
        <v>7.48</v>
      </c>
      <c r="P48" s="104">
        <v>69.9</v>
      </c>
      <c r="Q48" s="104">
        <v>373.7</v>
      </c>
      <c r="R48" s="105">
        <v>9.34491978609626</v>
      </c>
      <c r="S48" s="106">
        <v>0.0909090909090909</v>
      </c>
      <c r="T48" s="106">
        <v>0.0203703703703704</v>
      </c>
      <c r="U48" s="105">
        <v>0.68</v>
      </c>
      <c r="V48" s="105">
        <v>7.48</v>
      </c>
      <c r="W48" s="106">
        <v>0.107010014306152</v>
      </c>
      <c r="X48" s="106">
        <v>0.02001605565962</v>
      </c>
      <c r="Y48" s="106"/>
    </row>
    <row r="49" ht="22.5" customHeight="1" spans="1:25">
      <c r="A49" s="99" t="s">
        <v>224</v>
      </c>
      <c r="B49" s="100" t="s">
        <v>319</v>
      </c>
      <c r="C49" s="100" t="s">
        <v>155</v>
      </c>
      <c r="D49" s="101" t="s">
        <v>331</v>
      </c>
      <c r="E49" s="100" t="s">
        <v>230</v>
      </c>
      <c r="F49" s="102">
        <v>46142</v>
      </c>
      <c r="G49" s="103">
        <v>46142</v>
      </c>
      <c r="H49" s="103">
        <v>46157</v>
      </c>
      <c r="I49" s="103" t="s">
        <v>52</v>
      </c>
      <c r="J49" s="103" t="s">
        <v>253</v>
      </c>
      <c r="K49" s="103" t="s">
        <v>238</v>
      </c>
      <c r="L49" s="100">
        <v>158</v>
      </c>
      <c r="M49" s="100">
        <v>9</v>
      </c>
      <c r="N49" s="100">
        <v>1</v>
      </c>
      <c r="O49" s="104">
        <v>4.68</v>
      </c>
      <c r="P49" s="104">
        <v>70.47</v>
      </c>
      <c r="Q49" s="104">
        <v>260</v>
      </c>
      <c r="R49" s="105">
        <v>15.0576923076923</v>
      </c>
      <c r="S49" s="106">
        <v>0.111111111111111</v>
      </c>
      <c r="T49" s="106">
        <v>0.0569620253164557</v>
      </c>
      <c r="U49" s="105">
        <v>0.52</v>
      </c>
      <c r="V49" s="105">
        <v>4.68</v>
      </c>
      <c r="W49" s="106">
        <v>0.0664112388250319</v>
      </c>
      <c r="X49" s="106">
        <v>0.018</v>
      </c>
      <c r="Y49" s="106"/>
    </row>
    <row r="50" ht="22.5" customHeight="1" spans="1:25">
      <c r="A50" s="99" t="s">
        <v>224</v>
      </c>
      <c r="B50" s="100" t="s">
        <v>332</v>
      </c>
      <c r="C50" s="100" t="s">
        <v>72</v>
      </c>
      <c r="D50" s="101" t="s">
        <v>333</v>
      </c>
      <c r="E50" s="100" t="s">
        <v>249</v>
      </c>
      <c r="F50" s="102">
        <v>46170</v>
      </c>
      <c r="G50" s="103">
        <v>46092</v>
      </c>
      <c r="H50" s="103">
        <v>46100</v>
      </c>
      <c r="I50" s="103" t="s">
        <v>57</v>
      </c>
      <c r="J50" s="103" t="s">
        <v>231</v>
      </c>
      <c r="K50" s="103" t="s">
        <v>232</v>
      </c>
      <c r="L50" s="100">
        <v>1651</v>
      </c>
      <c r="M50" s="100">
        <v>6</v>
      </c>
      <c r="N50" s="100">
        <v>1</v>
      </c>
      <c r="O50" s="104">
        <v>4.03</v>
      </c>
      <c r="P50" s="104">
        <v>77.69</v>
      </c>
      <c r="Q50" s="104">
        <v>664.3</v>
      </c>
      <c r="R50" s="105">
        <v>19.2779156327543</v>
      </c>
      <c r="S50" s="106">
        <v>0.166666666666667</v>
      </c>
      <c r="T50" s="106">
        <v>0.00363416111447608</v>
      </c>
      <c r="U50" s="105">
        <v>0.671666666666667</v>
      </c>
      <c r="V50" s="105">
        <v>4.03</v>
      </c>
      <c r="W50" s="106">
        <v>0.0518728279057794</v>
      </c>
      <c r="X50" s="106">
        <v>0.00606653620352251</v>
      </c>
      <c r="Y50" s="106"/>
    </row>
    <row r="51" ht="22.5" customHeight="1" spans="1:25">
      <c r="A51" s="99" t="s">
        <v>224</v>
      </c>
      <c r="B51" s="100" t="s">
        <v>334</v>
      </c>
      <c r="C51" s="100" t="s">
        <v>181</v>
      </c>
      <c r="D51" s="101" t="s">
        <v>335</v>
      </c>
      <c r="E51" s="100" t="s">
        <v>230</v>
      </c>
      <c r="F51" s="102">
        <v>46161</v>
      </c>
      <c r="G51" s="103">
        <v>46160</v>
      </c>
      <c r="H51" s="103">
        <v>46161</v>
      </c>
      <c r="I51" s="103" t="s">
        <v>81</v>
      </c>
      <c r="J51" s="103" t="s">
        <v>237</v>
      </c>
      <c r="K51" s="103" t="s">
        <v>232</v>
      </c>
      <c r="L51" s="100">
        <v>27</v>
      </c>
      <c r="M51" s="100">
        <v>6</v>
      </c>
      <c r="N51" s="100">
        <v>1</v>
      </c>
      <c r="O51" s="104">
        <v>1.9</v>
      </c>
      <c r="P51" s="104">
        <v>103.12</v>
      </c>
      <c r="Q51" s="104">
        <v>570</v>
      </c>
      <c r="R51" s="105">
        <v>54.2736842105263</v>
      </c>
      <c r="S51" s="106">
        <v>0.166666666666667</v>
      </c>
      <c r="T51" s="106">
        <v>0.222222222222222</v>
      </c>
      <c r="U51" s="105">
        <v>0.316666666666667</v>
      </c>
      <c r="V51" s="105">
        <v>1.9</v>
      </c>
      <c r="W51" s="106">
        <v>0.0184251357641583</v>
      </c>
      <c r="X51" s="106">
        <v>0.00333333333333333</v>
      </c>
      <c r="Y51" s="106"/>
    </row>
    <row r="52" ht="22.5" customHeight="1" spans="1:25">
      <c r="A52" s="99" t="s">
        <v>224</v>
      </c>
      <c r="B52" s="100" t="s">
        <v>336</v>
      </c>
      <c r="C52" s="100" t="s">
        <v>94</v>
      </c>
      <c r="D52" s="101" t="s">
        <v>337</v>
      </c>
      <c r="E52" s="100" t="s">
        <v>230</v>
      </c>
      <c r="F52" s="102">
        <v>46100</v>
      </c>
      <c r="G52" s="103">
        <v>46097</v>
      </c>
      <c r="H52" s="103">
        <v>46100</v>
      </c>
      <c r="I52" s="103" t="s">
        <v>45</v>
      </c>
      <c r="J52" s="103" t="s">
        <v>277</v>
      </c>
      <c r="K52" s="103" t="s">
        <v>232</v>
      </c>
      <c r="L52" s="100">
        <v>3570</v>
      </c>
      <c r="M52" s="100">
        <v>47</v>
      </c>
      <c r="N52" s="100">
        <v>0</v>
      </c>
      <c r="O52" s="104">
        <v>29.68</v>
      </c>
      <c r="P52" s="104">
        <v>0</v>
      </c>
      <c r="Q52" s="104">
        <v>267</v>
      </c>
      <c r="R52" s="105">
        <v>0</v>
      </c>
      <c r="S52" s="106">
        <v>0</v>
      </c>
      <c r="T52" s="106">
        <v>0.0131652661064426</v>
      </c>
      <c r="U52" s="105">
        <v>0.631489361702128</v>
      </c>
      <c r="V52" s="105" t="e">
        <v>#DIV/0!</v>
      </c>
      <c r="W52" s="106" t="e">
        <v>#DIV/0!</v>
      </c>
      <c r="X52" s="106">
        <v>0.111161048689139</v>
      </c>
      <c r="Y52" s="106"/>
    </row>
    <row r="53" ht="22.5" customHeight="1" spans="1:25">
      <c r="A53" s="99" t="s">
        <v>224</v>
      </c>
      <c r="B53" s="100" t="s">
        <v>338</v>
      </c>
      <c r="C53" s="100" t="s">
        <v>153</v>
      </c>
      <c r="D53" s="101" t="s">
        <v>339</v>
      </c>
      <c r="E53" s="100" t="s">
        <v>246</v>
      </c>
      <c r="F53" s="102">
        <v>46153</v>
      </c>
      <c r="G53" s="103">
        <v>46142</v>
      </c>
      <c r="H53" s="103">
        <v>46173</v>
      </c>
      <c r="I53" s="103" t="s">
        <v>57</v>
      </c>
      <c r="J53" s="103" t="s">
        <v>253</v>
      </c>
      <c r="K53" s="103" t="s">
        <v>232</v>
      </c>
      <c r="L53" s="100">
        <v>3277</v>
      </c>
      <c r="M53" s="100">
        <v>47</v>
      </c>
      <c r="N53" s="100">
        <v>0</v>
      </c>
      <c r="O53" s="104">
        <v>23.68</v>
      </c>
      <c r="P53" s="104">
        <v>0</v>
      </c>
      <c r="Q53" s="104">
        <v>45</v>
      </c>
      <c r="R53" s="105">
        <v>0</v>
      </c>
      <c r="S53" s="106">
        <v>0</v>
      </c>
      <c r="T53" s="106">
        <v>0.0143423863289594</v>
      </c>
      <c r="U53" s="105">
        <v>0.503829787234043</v>
      </c>
      <c r="V53" s="105" t="e">
        <v>#DIV/0!</v>
      </c>
      <c r="W53" s="106" t="e">
        <v>#DIV/0!</v>
      </c>
      <c r="X53" s="106">
        <v>0.526222222222222</v>
      </c>
      <c r="Y53" s="106"/>
    </row>
    <row r="54" ht="22.5" customHeight="1" spans="1:25">
      <c r="A54" s="99" t="s">
        <v>224</v>
      </c>
      <c r="B54" s="100" t="s">
        <v>340</v>
      </c>
      <c r="C54" s="100" t="s">
        <v>194</v>
      </c>
      <c r="D54" s="101" t="s">
        <v>341</v>
      </c>
      <c r="E54" s="100" t="s">
        <v>230</v>
      </c>
      <c r="F54" s="102">
        <v>46163</v>
      </c>
      <c r="G54" s="103">
        <v>46163</v>
      </c>
      <c r="H54" s="103" t="s">
        <v>103</v>
      </c>
      <c r="I54" s="103" t="s">
        <v>45</v>
      </c>
      <c r="J54" s="103" t="s">
        <v>256</v>
      </c>
      <c r="K54" s="103" t="s">
        <v>238</v>
      </c>
      <c r="L54" s="100">
        <v>2876</v>
      </c>
      <c r="M54" s="100">
        <v>44</v>
      </c>
      <c r="N54" s="100">
        <v>0</v>
      </c>
      <c r="O54" s="104">
        <v>20.35</v>
      </c>
      <c r="P54" s="104">
        <v>0</v>
      </c>
      <c r="Q54" s="104">
        <v>0</v>
      </c>
      <c r="R54" s="105">
        <v>0</v>
      </c>
      <c r="S54" s="106">
        <v>0</v>
      </c>
      <c r="T54" s="106">
        <v>0.0152990264255911</v>
      </c>
      <c r="U54" s="105">
        <v>0.4625</v>
      </c>
      <c r="V54" s="105" t="e">
        <v>#DIV/0!</v>
      </c>
      <c r="W54" s="106" t="e">
        <v>#DIV/0!</v>
      </c>
      <c r="X54" s="106" t="e">
        <v>#DIV/0!</v>
      </c>
      <c r="Y54" s="106"/>
    </row>
    <row r="55" ht="22.5" customHeight="1" spans="1:25">
      <c r="A55" s="99" t="s">
        <v>224</v>
      </c>
      <c r="B55" s="100" t="s">
        <v>342</v>
      </c>
      <c r="C55" s="100" t="s">
        <v>168</v>
      </c>
      <c r="D55" s="101" t="s">
        <v>343</v>
      </c>
      <c r="E55" s="100" t="s">
        <v>230</v>
      </c>
      <c r="F55" s="102">
        <v>46151</v>
      </c>
      <c r="G55" s="103">
        <v>46151</v>
      </c>
      <c r="H55" s="103" t="s">
        <v>103</v>
      </c>
      <c r="I55" s="103" t="s">
        <v>57</v>
      </c>
      <c r="J55" s="103" t="s">
        <v>253</v>
      </c>
      <c r="K55" s="103" t="s">
        <v>232</v>
      </c>
      <c r="L55" s="100">
        <v>3731</v>
      </c>
      <c r="M55" s="100">
        <v>40</v>
      </c>
      <c r="N55" s="100">
        <v>0</v>
      </c>
      <c r="O55" s="104">
        <v>17.17</v>
      </c>
      <c r="P55" s="104">
        <v>0</v>
      </c>
      <c r="Q55" s="104">
        <v>0</v>
      </c>
      <c r="R55" s="105">
        <v>0</v>
      </c>
      <c r="S55" s="106">
        <v>0</v>
      </c>
      <c r="T55" s="106">
        <v>0.0107209863307424</v>
      </c>
      <c r="U55" s="105">
        <v>0.42925</v>
      </c>
      <c r="V55" s="105" t="e">
        <v>#DIV/0!</v>
      </c>
      <c r="W55" s="106" t="e">
        <v>#DIV/0!</v>
      </c>
      <c r="X55" s="106" t="e">
        <v>#DIV/0!</v>
      </c>
      <c r="Y55" s="106"/>
    </row>
    <row r="56" customFormat="1" ht="22.5" customHeight="1" spans="1:25">
      <c r="A56" s="99" t="s">
        <v>224</v>
      </c>
      <c r="B56" s="100" t="s">
        <v>344</v>
      </c>
      <c r="C56" s="100" t="s">
        <v>183</v>
      </c>
      <c r="D56" s="101" t="s">
        <v>345</v>
      </c>
      <c r="E56" s="100" t="s">
        <v>230</v>
      </c>
      <c r="F56" s="102">
        <v>46162</v>
      </c>
      <c r="G56" s="103">
        <v>46162</v>
      </c>
      <c r="H56" s="103">
        <v>46167</v>
      </c>
      <c r="I56" s="103" t="s">
        <v>76</v>
      </c>
      <c r="J56" s="103" t="s">
        <v>256</v>
      </c>
      <c r="K56" s="103" t="s">
        <v>232</v>
      </c>
      <c r="L56" s="100">
        <v>2151</v>
      </c>
      <c r="M56" s="100">
        <v>40</v>
      </c>
      <c r="N56" s="100">
        <v>0</v>
      </c>
      <c r="O56" s="104">
        <v>38.26</v>
      </c>
      <c r="P56" s="104">
        <v>0</v>
      </c>
      <c r="Q56" s="104">
        <v>234</v>
      </c>
      <c r="R56" s="105">
        <v>0</v>
      </c>
      <c r="S56" s="106">
        <v>0</v>
      </c>
      <c r="T56" s="106">
        <v>0.0185960018596002</v>
      </c>
      <c r="U56" s="105">
        <v>0.9565</v>
      </c>
      <c r="V56" s="105" t="e">
        <v>#DIV/0!</v>
      </c>
      <c r="W56" s="106" t="e">
        <v>#DIV/0!</v>
      </c>
      <c r="X56" s="106">
        <v>0.163504273504273</v>
      </c>
      <c r="Y56" s="106"/>
    </row>
    <row r="57" customFormat="1" ht="22.5" customHeight="1" spans="1:25">
      <c r="A57" s="99" t="s">
        <v>224</v>
      </c>
      <c r="B57" s="100" t="s">
        <v>346</v>
      </c>
      <c r="C57" s="100" t="s">
        <v>185</v>
      </c>
      <c r="D57" s="101" t="s">
        <v>347</v>
      </c>
      <c r="E57" s="100" t="s">
        <v>230</v>
      </c>
      <c r="F57" s="102">
        <v>46162</v>
      </c>
      <c r="G57" s="103">
        <v>46162</v>
      </c>
      <c r="H57" s="103">
        <v>46171</v>
      </c>
      <c r="I57" s="103" t="s">
        <v>52</v>
      </c>
      <c r="J57" s="103" t="s">
        <v>256</v>
      </c>
      <c r="K57" s="103" t="s">
        <v>232</v>
      </c>
      <c r="L57" s="100">
        <v>1588</v>
      </c>
      <c r="M57" s="100">
        <v>35</v>
      </c>
      <c r="N57" s="100">
        <v>0</v>
      </c>
      <c r="O57" s="104">
        <v>15.23</v>
      </c>
      <c r="P57" s="104">
        <v>0</v>
      </c>
      <c r="Q57" s="104">
        <v>140</v>
      </c>
      <c r="R57" s="105">
        <v>0</v>
      </c>
      <c r="S57" s="106">
        <v>0</v>
      </c>
      <c r="T57" s="106">
        <v>0.0220403022670025</v>
      </c>
      <c r="U57" s="105">
        <v>0.435142857142857</v>
      </c>
      <c r="V57" s="105" t="e">
        <v>#DIV/0!</v>
      </c>
      <c r="W57" s="106" t="e">
        <v>#DIV/0!</v>
      </c>
      <c r="X57" s="106">
        <v>0.108785714285714</v>
      </c>
      <c r="Y57" s="106"/>
    </row>
    <row r="58" customFormat="1" ht="22.5" customHeight="1" spans="1:25">
      <c r="A58" s="99" t="s">
        <v>224</v>
      </c>
      <c r="B58" s="100" t="s">
        <v>261</v>
      </c>
      <c r="C58" s="100" t="s">
        <v>173</v>
      </c>
      <c r="D58" s="101" t="s">
        <v>348</v>
      </c>
      <c r="E58" s="100" t="s">
        <v>230</v>
      </c>
      <c r="F58" s="102">
        <v>46143</v>
      </c>
      <c r="G58" s="103">
        <v>46153</v>
      </c>
      <c r="H58" s="103">
        <v>46164</v>
      </c>
      <c r="I58" s="103" t="s">
        <v>76</v>
      </c>
      <c r="J58" s="103" t="s">
        <v>256</v>
      </c>
      <c r="K58" s="103" t="s">
        <v>238</v>
      </c>
      <c r="L58" s="100">
        <v>1142</v>
      </c>
      <c r="M58" s="100">
        <v>27</v>
      </c>
      <c r="N58" s="100">
        <v>0</v>
      </c>
      <c r="O58" s="104">
        <v>15.93</v>
      </c>
      <c r="P58" s="104">
        <v>0</v>
      </c>
      <c r="Q58" s="104">
        <v>230</v>
      </c>
      <c r="R58" s="105">
        <v>0</v>
      </c>
      <c r="S58" s="106">
        <v>0</v>
      </c>
      <c r="T58" s="106">
        <v>0.0236427320490368</v>
      </c>
      <c r="U58" s="105">
        <v>0.59</v>
      </c>
      <c r="V58" s="105" t="e">
        <v>#DIV/0!</v>
      </c>
      <c r="W58" s="106" t="e">
        <v>#DIV/0!</v>
      </c>
      <c r="X58" s="106">
        <v>0.0692608695652174</v>
      </c>
      <c r="Y58" s="106"/>
    </row>
    <row r="59" customFormat="1" ht="22.5" customHeight="1" spans="1:25">
      <c r="A59" s="99" t="s">
        <v>224</v>
      </c>
      <c r="B59" s="100" t="s">
        <v>349</v>
      </c>
      <c r="C59" s="100" t="s">
        <v>193</v>
      </c>
      <c r="D59" s="101" t="s">
        <v>350</v>
      </c>
      <c r="E59" s="100" t="s">
        <v>230</v>
      </c>
      <c r="F59" s="102">
        <v>46162</v>
      </c>
      <c r="G59" s="103">
        <v>46162</v>
      </c>
      <c r="H59" s="103">
        <v>46170</v>
      </c>
      <c r="I59" s="103" t="s">
        <v>57</v>
      </c>
      <c r="J59" s="103" t="s">
        <v>277</v>
      </c>
      <c r="K59" s="103" t="s">
        <v>232</v>
      </c>
      <c r="L59" s="100">
        <v>870</v>
      </c>
      <c r="M59" s="100">
        <v>25</v>
      </c>
      <c r="N59" s="100">
        <v>0</v>
      </c>
      <c r="O59" s="104">
        <v>35.97</v>
      </c>
      <c r="P59" s="104">
        <v>0</v>
      </c>
      <c r="Q59" s="104">
        <v>211.8</v>
      </c>
      <c r="R59" s="105">
        <v>0</v>
      </c>
      <c r="S59" s="106">
        <v>0</v>
      </c>
      <c r="T59" s="106">
        <v>0.028735632183908</v>
      </c>
      <c r="U59" s="105">
        <v>1.4388</v>
      </c>
      <c r="V59" s="105" t="e">
        <v>#DIV/0!</v>
      </c>
      <c r="W59" s="106" t="e">
        <v>#DIV/0!</v>
      </c>
      <c r="X59" s="106">
        <v>0.169830028328612</v>
      </c>
      <c r="Y59" s="106"/>
    </row>
    <row r="60" customFormat="1" ht="22.5" customHeight="1" spans="1:25">
      <c r="A60" s="99" t="s">
        <v>224</v>
      </c>
      <c r="B60" s="100" t="s">
        <v>351</v>
      </c>
      <c r="C60" s="100" t="s">
        <v>165</v>
      </c>
      <c r="D60" s="101" t="s">
        <v>352</v>
      </c>
      <c r="E60" s="100" t="s">
        <v>230</v>
      </c>
      <c r="F60" s="102">
        <v>46151</v>
      </c>
      <c r="G60" s="103">
        <v>46151</v>
      </c>
      <c r="H60" s="103">
        <v>46163</v>
      </c>
      <c r="I60" s="103" t="s">
        <v>52</v>
      </c>
      <c r="J60" s="103" t="s">
        <v>253</v>
      </c>
      <c r="K60" s="103" t="s">
        <v>232</v>
      </c>
      <c r="L60" s="100">
        <v>101</v>
      </c>
      <c r="M60" s="100">
        <v>22</v>
      </c>
      <c r="N60" s="100">
        <v>0</v>
      </c>
      <c r="O60" s="104">
        <v>13.14</v>
      </c>
      <c r="P60" s="104">
        <v>0</v>
      </c>
      <c r="Q60" s="104">
        <v>96</v>
      </c>
      <c r="R60" s="105">
        <v>0</v>
      </c>
      <c r="S60" s="106">
        <v>0</v>
      </c>
      <c r="T60" s="106">
        <v>0.217821782178218</v>
      </c>
      <c r="U60" s="105">
        <v>0.597272727272727</v>
      </c>
      <c r="V60" s="105" t="e">
        <v>#DIV/0!</v>
      </c>
      <c r="W60" s="106" t="e">
        <v>#DIV/0!</v>
      </c>
      <c r="X60" s="106">
        <v>0.136875</v>
      </c>
      <c r="Y60" s="106"/>
    </row>
    <row r="61" customFormat="1" ht="22.5" customHeight="1" spans="1:25">
      <c r="A61" s="99" t="s">
        <v>224</v>
      </c>
      <c r="B61" s="100" t="s">
        <v>353</v>
      </c>
      <c r="C61" s="100" t="s">
        <v>158</v>
      </c>
      <c r="D61" s="101" t="s">
        <v>354</v>
      </c>
      <c r="E61" s="100" t="s">
        <v>230</v>
      </c>
      <c r="F61" s="102">
        <v>46143</v>
      </c>
      <c r="G61" s="103">
        <v>46142</v>
      </c>
      <c r="H61" s="103" t="s">
        <v>103</v>
      </c>
      <c r="I61" s="103" t="s">
        <v>76</v>
      </c>
      <c r="J61" s="103" t="s">
        <v>256</v>
      </c>
      <c r="K61" s="103" t="s">
        <v>232</v>
      </c>
      <c r="L61" s="100">
        <v>1098</v>
      </c>
      <c r="M61" s="100">
        <v>20</v>
      </c>
      <c r="N61" s="100">
        <v>0</v>
      </c>
      <c r="O61" s="104">
        <v>7.55</v>
      </c>
      <c r="P61" s="104">
        <v>0</v>
      </c>
      <c r="Q61" s="104">
        <v>0</v>
      </c>
      <c r="R61" s="105">
        <v>0</v>
      </c>
      <c r="S61" s="106">
        <v>0</v>
      </c>
      <c r="T61" s="106">
        <v>0.0182149362477231</v>
      </c>
      <c r="U61" s="105">
        <v>0.3775</v>
      </c>
      <c r="V61" s="105" t="e">
        <v>#DIV/0!</v>
      </c>
      <c r="W61" s="106" t="e">
        <v>#DIV/0!</v>
      </c>
      <c r="X61" s="106" t="e">
        <v>#DIV/0!</v>
      </c>
      <c r="Y61" s="106"/>
    </row>
    <row r="62" customFormat="1" ht="22.5" customHeight="1" spans="1:25">
      <c r="A62" s="99" t="s">
        <v>224</v>
      </c>
      <c r="B62" s="100" t="s">
        <v>278</v>
      </c>
      <c r="C62" s="100" t="s">
        <v>148</v>
      </c>
      <c r="D62" s="101" t="s">
        <v>355</v>
      </c>
      <c r="E62" s="100" t="s">
        <v>230</v>
      </c>
      <c r="F62" s="102">
        <v>46142</v>
      </c>
      <c r="G62" s="103">
        <v>46141</v>
      </c>
      <c r="H62" s="103">
        <v>46153</v>
      </c>
      <c r="I62" s="103" t="s">
        <v>57</v>
      </c>
      <c r="J62" s="103" t="s">
        <v>253</v>
      </c>
      <c r="K62" s="103" t="s">
        <v>232</v>
      </c>
      <c r="L62" s="100">
        <v>270</v>
      </c>
      <c r="M62" s="100">
        <v>20</v>
      </c>
      <c r="N62" s="100">
        <v>0</v>
      </c>
      <c r="O62" s="104">
        <v>10.06</v>
      </c>
      <c r="P62" s="104">
        <v>0</v>
      </c>
      <c r="Q62" s="104">
        <v>480</v>
      </c>
      <c r="R62" s="105">
        <v>0</v>
      </c>
      <c r="S62" s="106">
        <v>0</v>
      </c>
      <c r="T62" s="106">
        <v>0.0740740740740741</v>
      </c>
      <c r="U62" s="105">
        <v>0.503</v>
      </c>
      <c r="V62" s="105" t="e">
        <v>#DIV/0!</v>
      </c>
      <c r="W62" s="106" t="e">
        <v>#DIV/0!</v>
      </c>
      <c r="X62" s="106">
        <v>0.0209583333333333</v>
      </c>
      <c r="Y62" s="106"/>
    </row>
    <row r="63" customFormat="1" ht="22.5" customHeight="1" spans="1:25">
      <c r="A63" s="99" t="s">
        <v>224</v>
      </c>
      <c r="B63" s="100" t="s">
        <v>356</v>
      </c>
      <c r="C63" s="100" t="s">
        <v>139</v>
      </c>
      <c r="D63" s="101" t="s">
        <v>357</v>
      </c>
      <c r="E63" s="100" t="s">
        <v>230</v>
      </c>
      <c r="F63" s="102">
        <v>46143</v>
      </c>
      <c r="G63" s="103">
        <v>46141</v>
      </c>
      <c r="H63" s="103">
        <v>46152</v>
      </c>
      <c r="I63" s="103" t="s">
        <v>76</v>
      </c>
      <c r="J63" s="103" t="s">
        <v>256</v>
      </c>
      <c r="K63" s="103" t="s">
        <v>232</v>
      </c>
      <c r="L63" s="100">
        <v>892</v>
      </c>
      <c r="M63" s="100">
        <v>19</v>
      </c>
      <c r="N63" s="100">
        <v>0</v>
      </c>
      <c r="O63" s="104">
        <v>9.11</v>
      </c>
      <c r="P63" s="104">
        <v>0</v>
      </c>
      <c r="Q63" s="104">
        <v>284</v>
      </c>
      <c r="R63" s="105">
        <v>0</v>
      </c>
      <c r="S63" s="106">
        <v>0</v>
      </c>
      <c r="T63" s="106">
        <v>0.0213004484304933</v>
      </c>
      <c r="U63" s="105">
        <v>0.479473684210526</v>
      </c>
      <c r="V63" s="105" t="e">
        <v>#DIV/0!</v>
      </c>
      <c r="W63" s="106" t="e">
        <v>#DIV/0!</v>
      </c>
      <c r="X63" s="106">
        <v>0.0320774647887324</v>
      </c>
      <c r="Y63" s="106"/>
    </row>
    <row r="64" customFormat="1" ht="22.5" customHeight="1" spans="1:25">
      <c r="A64" s="99" t="s">
        <v>224</v>
      </c>
      <c r="B64" s="100" t="s">
        <v>358</v>
      </c>
      <c r="C64" s="100" t="s">
        <v>133</v>
      </c>
      <c r="D64" s="101" t="s">
        <v>359</v>
      </c>
      <c r="E64" s="100" t="s">
        <v>230</v>
      </c>
      <c r="F64" s="102">
        <v>46137</v>
      </c>
      <c r="G64" s="103">
        <v>46135</v>
      </c>
      <c r="H64" s="103" t="s">
        <v>103</v>
      </c>
      <c r="I64" s="103" t="s">
        <v>52</v>
      </c>
      <c r="J64" s="103" t="s">
        <v>253</v>
      </c>
      <c r="K64" s="103" t="s">
        <v>232</v>
      </c>
      <c r="L64" s="100">
        <v>1015</v>
      </c>
      <c r="M64" s="100">
        <v>18</v>
      </c>
      <c r="N64" s="100">
        <v>0</v>
      </c>
      <c r="O64" s="104">
        <v>14.51</v>
      </c>
      <c r="P64" s="104">
        <v>0</v>
      </c>
      <c r="Q64" s="104">
        <v>0</v>
      </c>
      <c r="R64" s="105">
        <v>0</v>
      </c>
      <c r="S64" s="106">
        <v>0</v>
      </c>
      <c r="T64" s="106">
        <v>0.0177339901477833</v>
      </c>
      <c r="U64" s="105">
        <v>0.806111111111111</v>
      </c>
      <c r="V64" s="105" t="e">
        <v>#DIV/0!</v>
      </c>
      <c r="W64" s="106" t="e">
        <v>#DIV/0!</v>
      </c>
      <c r="X64" s="106" t="e">
        <v>#DIV/0!</v>
      </c>
      <c r="Y64" s="106"/>
    </row>
    <row r="65" customFormat="1" ht="22.5" customHeight="1" spans="1:25">
      <c r="A65" s="99" t="s">
        <v>224</v>
      </c>
      <c r="B65" s="100" t="s">
        <v>257</v>
      </c>
      <c r="C65" s="100" t="s">
        <v>138</v>
      </c>
      <c r="D65" s="101" t="s">
        <v>360</v>
      </c>
      <c r="E65" s="100" t="s">
        <v>246</v>
      </c>
      <c r="F65" s="102">
        <v>46148</v>
      </c>
      <c r="G65" s="103">
        <v>46140</v>
      </c>
      <c r="H65" s="103">
        <v>46142</v>
      </c>
      <c r="I65" s="103" t="s">
        <v>57</v>
      </c>
      <c r="J65" s="103" t="s">
        <v>231</v>
      </c>
      <c r="K65" s="103" t="s">
        <v>232</v>
      </c>
      <c r="L65" s="100">
        <v>1820</v>
      </c>
      <c r="M65" s="100">
        <v>14</v>
      </c>
      <c r="N65" s="100">
        <v>0</v>
      </c>
      <c r="O65" s="104">
        <v>10.21</v>
      </c>
      <c r="P65" s="104">
        <v>0</v>
      </c>
      <c r="Q65" s="104">
        <v>712</v>
      </c>
      <c r="R65" s="105">
        <v>0</v>
      </c>
      <c r="S65" s="106">
        <v>0</v>
      </c>
      <c r="T65" s="106">
        <v>0.00769230769230769</v>
      </c>
      <c r="U65" s="105">
        <v>0.729285714285714</v>
      </c>
      <c r="V65" s="105" t="e">
        <v>#DIV/0!</v>
      </c>
      <c r="W65" s="106" t="e">
        <v>#DIV/0!</v>
      </c>
      <c r="X65" s="106">
        <v>0.0143398876404494</v>
      </c>
      <c r="Y65" s="106"/>
    </row>
    <row r="66" customFormat="1" ht="22.5" customHeight="1" spans="1:25">
      <c r="A66" s="99" t="s">
        <v>224</v>
      </c>
      <c r="B66" s="100" t="s">
        <v>361</v>
      </c>
      <c r="C66" s="100" t="s">
        <v>163</v>
      </c>
      <c r="D66" s="101" t="s">
        <v>362</v>
      </c>
      <c r="E66" s="100" t="s">
        <v>230</v>
      </c>
      <c r="F66" s="102">
        <v>46151</v>
      </c>
      <c r="G66" s="103">
        <v>46151</v>
      </c>
      <c r="H66" s="103">
        <v>46160</v>
      </c>
      <c r="I66" s="103" t="s">
        <v>81</v>
      </c>
      <c r="J66" s="103" t="s">
        <v>253</v>
      </c>
      <c r="K66" s="103" t="s">
        <v>232</v>
      </c>
      <c r="L66" s="100">
        <v>131</v>
      </c>
      <c r="M66" s="100">
        <v>14</v>
      </c>
      <c r="N66" s="100">
        <v>0</v>
      </c>
      <c r="O66" s="104">
        <v>7.99</v>
      </c>
      <c r="P66" s="104">
        <v>0</v>
      </c>
      <c r="Q66" s="104">
        <v>109</v>
      </c>
      <c r="R66" s="105">
        <v>0</v>
      </c>
      <c r="S66" s="106">
        <v>0</v>
      </c>
      <c r="T66" s="106">
        <v>0.106870229007634</v>
      </c>
      <c r="U66" s="105">
        <v>0.570714285714286</v>
      </c>
      <c r="V66" s="105" t="e">
        <v>#DIV/0!</v>
      </c>
      <c r="W66" s="106" t="e">
        <v>#DIV/0!</v>
      </c>
      <c r="X66" s="106">
        <v>0.073302752293578</v>
      </c>
      <c r="Y66" s="106"/>
    </row>
    <row r="67" customFormat="1" ht="22.5" customHeight="1" spans="1:25">
      <c r="A67" s="99" t="s">
        <v>224</v>
      </c>
      <c r="B67" s="100" t="s">
        <v>363</v>
      </c>
      <c r="C67" s="100" t="s">
        <v>184</v>
      </c>
      <c r="D67" s="101" t="s">
        <v>364</v>
      </c>
      <c r="E67" s="100" t="s">
        <v>230</v>
      </c>
      <c r="F67" s="102">
        <v>46162</v>
      </c>
      <c r="G67" s="103">
        <v>46162</v>
      </c>
      <c r="H67" s="103">
        <v>46164</v>
      </c>
      <c r="I67" s="103" t="s">
        <v>52</v>
      </c>
      <c r="J67" s="103" t="s">
        <v>256</v>
      </c>
      <c r="K67" s="103" t="s">
        <v>232</v>
      </c>
      <c r="L67" s="100">
        <v>765</v>
      </c>
      <c r="M67" s="100">
        <v>12</v>
      </c>
      <c r="N67" s="100">
        <v>0</v>
      </c>
      <c r="O67" s="104">
        <v>6.17</v>
      </c>
      <c r="P67" s="104">
        <v>0</v>
      </c>
      <c r="Q67" s="104">
        <v>150</v>
      </c>
      <c r="R67" s="105">
        <v>0</v>
      </c>
      <c r="S67" s="106">
        <v>0</v>
      </c>
      <c r="T67" s="106">
        <v>0.0156862745098039</v>
      </c>
      <c r="U67" s="105">
        <v>0.514166666666667</v>
      </c>
      <c r="V67" s="105" t="e">
        <v>#DIV/0!</v>
      </c>
      <c r="W67" s="106" t="e">
        <v>#DIV/0!</v>
      </c>
      <c r="X67" s="106">
        <v>0.0411333333333333</v>
      </c>
      <c r="Y67" s="106"/>
    </row>
    <row r="68" customFormat="1" ht="22.5" customHeight="1" spans="1:25">
      <c r="A68" s="99" t="s">
        <v>224</v>
      </c>
      <c r="B68" s="100" t="s">
        <v>365</v>
      </c>
      <c r="C68" s="100" t="s">
        <v>182</v>
      </c>
      <c r="D68" s="101" t="s">
        <v>366</v>
      </c>
      <c r="E68" s="100" t="s">
        <v>230</v>
      </c>
      <c r="F68" s="102">
        <v>46161</v>
      </c>
      <c r="G68" s="103">
        <v>46160</v>
      </c>
      <c r="H68" s="103">
        <v>46174</v>
      </c>
      <c r="I68" s="103" t="s">
        <v>45</v>
      </c>
      <c r="J68" s="103" t="s">
        <v>277</v>
      </c>
      <c r="K68" s="103" t="s">
        <v>232</v>
      </c>
      <c r="L68" s="100">
        <v>346</v>
      </c>
      <c r="M68" s="100">
        <v>12</v>
      </c>
      <c r="N68" s="100">
        <v>0</v>
      </c>
      <c r="O68" s="104">
        <v>6.21</v>
      </c>
      <c r="P68" s="104">
        <v>0</v>
      </c>
      <c r="Q68" s="104">
        <v>0</v>
      </c>
      <c r="R68" s="105">
        <v>0</v>
      </c>
      <c r="S68" s="106">
        <v>0</v>
      </c>
      <c r="T68" s="106">
        <v>0.0346820809248555</v>
      </c>
      <c r="U68" s="105">
        <v>0.5175</v>
      </c>
      <c r="V68" s="105" t="e">
        <v>#DIV/0!</v>
      </c>
      <c r="W68" s="106" t="e">
        <v>#DIV/0!</v>
      </c>
      <c r="X68" s="106" t="e">
        <v>#DIV/0!</v>
      </c>
      <c r="Y68" s="106"/>
    </row>
    <row r="69" customFormat="1" ht="22.5" customHeight="1" spans="1:25">
      <c r="A69" s="99" t="s">
        <v>224</v>
      </c>
      <c r="B69" s="100" t="s">
        <v>367</v>
      </c>
      <c r="C69" s="100" t="s">
        <v>198</v>
      </c>
      <c r="D69" s="101" t="s">
        <v>368</v>
      </c>
      <c r="E69" s="100" t="s">
        <v>246</v>
      </c>
      <c r="F69" s="102">
        <v>46167</v>
      </c>
      <c r="G69" s="103">
        <v>46163</v>
      </c>
      <c r="H69" s="103">
        <v>46174</v>
      </c>
      <c r="I69" s="103" t="s">
        <v>57</v>
      </c>
      <c r="J69" s="103" t="s">
        <v>250</v>
      </c>
      <c r="K69" s="103" t="s">
        <v>232</v>
      </c>
      <c r="L69" s="100">
        <v>4280</v>
      </c>
      <c r="M69" s="100">
        <v>11</v>
      </c>
      <c r="N69" s="100">
        <v>0</v>
      </c>
      <c r="O69" s="104">
        <v>5.51</v>
      </c>
      <c r="P69" s="104">
        <v>0</v>
      </c>
      <c r="Q69" s="104">
        <v>0</v>
      </c>
      <c r="R69" s="105">
        <v>0</v>
      </c>
      <c r="S69" s="106">
        <v>0</v>
      </c>
      <c r="T69" s="106">
        <v>0.00257009345794393</v>
      </c>
      <c r="U69" s="105">
        <v>0.500909090909091</v>
      </c>
      <c r="V69" s="105" t="e">
        <v>#DIV/0!</v>
      </c>
      <c r="W69" s="106" t="e">
        <v>#DIV/0!</v>
      </c>
      <c r="X69" s="106" t="e">
        <v>#DIV/0!</v>
      </c>
      <c r="Y69" s="106"/>
    </row>
    <row r="70" customFormat="1" ht="22.5" customHeight="1" spans="1:25">
      <c r="A70" s="99" t="s">
        <v>224</v>
      </c>
      <c r="B70" s="100" t="s">
        <v>369</v>
      </c>
      <c r="C70" s="100" t="s">
        <v>191</v>
      </c>
      <c r="D70" s="101" t="s">
        <v>370</v>
      </c>
      <c r="E70" s="100" t="s">
        <v>230</v>
      </c>
      <c r="F70" s="102">
        <v>46169</v>
      </c>
      <c r="G70" s="103">
        <v>46162</v>
      </c>
      <c r="H70" s="103">
        <v>46169</v>
      </c>
      <c r="I70" s="103" t="s">
        <v>45</v>
      </c>
      <c r="J70" s="103" t="s">
        <v>277</v>
      </c>
      <c r="K70" s="103" t="s">
        <v>232</v>
      </c>
      <c r="L70" s="100">
        <v>73</v>
      </c>
      <c r="M70" s="100">
        <v>11</v>
      </c>
      <c r="N70" s="100">
        <v>0</v>
      </c>
      <c r="O70" s="104">
        <v>8.13</v>
      </c>
      <c r="P70" s="104">
        <v>0</v>
      </c>
      <c r="Q70" s="104">
        <v>130</v>
      </c>
      <c r="R70" s="105">
        <v>0</v>
      </c>
      <c r="S70" s="106">
        <v>0</v>
      </c>
      <c r="T70" s="106">
        <v>0.150684931506849</v>
      </c>
      <c r="U70" s="105">
        <v>0.739090909090909</v>
      </c>
      <c r="V70" s="105" t="e">
        <v>#DIV/0!</v>
      </c>
      <c r="W70" s="106" t="e">
        <v>#DIV/0!</v>
      </c>
      <c r="X70" s="106">
        <v>0.0625384615384615</v>
      </c>
      <c r="Y70" s="106"/>
    </row>
    <row r="71" customFormat="1" ht="22.5" customHeight="1" spans="1:25">
      <c r="A71" s="99" t="s">
        <v>224</v>
      </c>
      <c r="B71" s="100" t="s">
        <v>371</v>
      </c>
      <c r="C71" s="100" t="s">
        <v>174</v>
      </c>
      <c r="D71" s="101" t="s">
        <v>372</v>
      </c>
      <c r="E71" s="100" t="s">
        <v>230</v>
      </c>
      <c r="F71" s="102">
        <v>46154</v>
      </c>
      <c r="G71" s="103">
        <v>46153</v>
      </c>
      <c r="H71" s="103">
        <v>46168</v>
      </c>
      <c r="I71" s="103" t="s">
        <v>76</v>
      </c>
      <c r="J71" s="103" t="s">
        <v>256</v>
      </c>
      <c r="K71" s="103" t="s">
        <v>238</v>
      </c>
      <c r="L71" s="100">
        <v>750</v>
      </c>
      <c r="M71" s="100">
        <v>10</v>
      </c>
      <c r="N71" s="100">
        <v>0</v>
      </c>
      <c r="O71" s="104">
        <v>4.24</v>
      </c>
      <c r="P71" s="104">
        <v>0</v>
      </c>
      <c r="Q71" s="104">
        <v>100</v>
      </c>
      <c r="R71" s="105">
        <v>0</v>
      </c>
      <c r="S71" s="106">
        <v>0</v>
      </c>
      <c r="T71" s="106">
        <v>0.0133333333333333</v>
      </c>
      <c r="U71" s="105">
        <v>0.424</v>
      </c>
      <c r="V71" s="105" t="e">
        <v>#DIV/0!</v>
      </c>
      <c r="W71" s="106" t="e">
        <v>#DIV/0!</v>
      </c>
      <c r="X71" s="106">
        <v>0.0424</v>
      </c>
      <c r="Y71" s="106"/>
    </row>
    <row r="72" customFormat="1" ht="22.5" customHeight="1" spans="1:25">
      <c r="A72" s="99" t="s">
        <v>224</v>
      </c>
      <c r="B72" s="100" t="s">
        <v>373</v>
      </c>
      <c r="C72" s="100" t="s">
        <v>131</v>
      </c>
      <c r="D72" s="101" t="s">
        <v>374</v>
      </c>
      <c r="E72" s="100" t="s">
        <v>230</v>
      </c>
      <c r="F72" s="102">
        <v>46137</v>
      </c>
      <c r="G72" s="103">
        <v>46135</v>
      </c>
      <c r="H72" s="103">
        <v>46157</v>
      </c>
      <c r="I72" s="103" t="s">
        <v>52</v>
      </c>
      <c r="J72" s="103" t="s">
        <v>253</v>
      </c>
      <c r="K72" s="103" t="s">
        <v>232</v>
      </c>
      <c r="L72" s="100">
        <v>1692</v>
      </c>
      <c r="M72" s="100">
        <v>9</v>
      </c>
      <c r="N72" s="100">
        <v>0</v>
      </c>
      <c r="O72" s="104">
        <v>4.66</v>
      </c>
      <c r="P72" s="104">
        <v>0</v>
      </c>
      <c r="Q72" s="104">
        <v>252</v>
      </c>
      <c r="R72" s="105">
        <v>0</v>
      </c>
      <c r="S72" s="106">
        <v>0</v>
      </c>
      <c r="T72" s="106">
        <v>0.00531914893617021</v>
      </c>
      <c r="U72" s="105">
        <v>0.517777777777778</v>
      </c>
      <c r="V72" s="105" t="e">
        <v>#DIV/0!</v>
      </c>
      <c r="W72" s="106" t="e">
        <v>#DIV/0!</v>
      </c>
      <c r="X72" s="106">
        <v>0.0184920634920635</v>
      </c>
      <c r="Y72" s="106"/>
    </row>
    <row r="73" customFormat="1" ht="22.5" customHeight="1" spans="1:25">
      <c r="A73" s="99" t="s">
        <v>224</v>
      </c>
      <c r="B73" s="100" t="s">
        <v>375</v>
      </c>
      <c r="C73" s="100" t="s">
        <v>197</v>
      </c>
      <c r="D73" s="101" t="s">
        <v>376</v>
      </c>
      <c r="E73" s="100" t="s">
        <v>230</v>
      </c>
      <c r="F73" s="102">
        <v>46164</v>
      </c>
      <c r="G73" s="103">
        <v>46163</v>
      </c>
      <c r="H73" s="103" t="s">
        <v>103</v>
      </c>
      <c r="I73" s="103" t="s">
        <v>81</v>
      </c>
      <c r="J73" s="103" t="s">
        <v>256</v>
      </c>
      <c r="K73" s="103" t="s">
        <v>232</v>
      </c>
      <c r="L73" s="100">
        <v>1202</v>
      </c>
      <c r="M73" s="100">
        <v>9</v>
      </c>
      <c r="N73" s="100">
        <v>0</v>
      </c>
      <c r="O73" s="104">
        <v>8.74</v>
      </c>
      <c r="P73" s="104">
        <v>0</v>
      </c>
      <c r="Q73" s="104">
        <v>0</v>
      </c>
      <c r="R73" s="105">
        <v>0</v>
      </c>
      <c r="S73" s="106">
        <v>0</v>
      </c>
      <c r="T73" s="106">
        <v>0.00748752079866889</v>
      </c>
      <c r="U73" s="105">
        <v>0.971111111111111</v>
      </c>
      <c r="V73" s="105" t="e">
        <v>#DIV/0!</v>
      </c>
      <c r="W73" s="106" t="e">
        <v>#DIV/0!</v>
      </c>
      <c r="X73" s="106" t="e">
        <v>#DIV/0!</v>
      </c>
      <c r="Y73" s="106"/>
    </row>
    <row r="74" customFormat="1" ht="22.5" customHeight="1" spans="1:25">
      <c r="A74" s="99" t="s">
        <v>224</v>
      </c>
      <c r="B74" s="100" t="s">
        <v>377</v>
      </c>
      <c r="C74" s="100" t="s">
        <v>186</v>
      </c>
      <c r="D74" s="101" t="s">
        <v>378</v>
      </c>
      <c r="E74" s="100" t="s">
        <v>230</v>
      </c>
      <c r="F74" s="102">
        <v>46163</v>
      </c>
      <c r="G74" s="103">
        <v>46162</v>
      </c>
      <c r="H74" s="103">
        <v>46168</v>
      </c>
      <c r="I74" s="103" t="s">
        <v>81</v>
      </c>
      <c r="J74" s="103" t="s">
        <v>277</v>
      </c>
      <c r="K74" s="103" t="s">
        <v>238</v>
      </c>
      <c r="L74" s="100">
        <v>406</v>
      </c>
      <c r="M74" s="100">
        <v>7</v>
      </c>
      <c r="N74" s="100">
        <v>0</v>
      </c>
      <c r="O74" s="104">
        <v>4.48</v>
      </c>
      <c r="P74" s="104">
        <v>0</v>
      </c>
      <c r="Q74" s="104">
        <v>71</v>
      </c>
      <c r="R74" s="105">
        <v>0</v>
      </c>
      <c r="S74" s="106">
        <v>0</v>
      </c>
      <c r="T74" s="106">
        <v>0.0172413793103448</v>
      </c>
      <c r="U74" s="105">
        <v>0.64</v>
      </c>
      <c r="V74" s="105" t="e">
        <v>#DIV/0!</v>
      </c>
      <c r="W74" s="106" t="e">
        <v>#DIV/0!</v>
      </c>
      <c r="X74" s="106">
        <v>0.0630985915492958</v>
      </c>
      <c r="Y74" s="106"/>
    </row>
    <row r="75" customFormat="1" ht="22.5" customHeight="1" spans="1:25">
      <c r="A75" s="99" t="s">
        <v>224</v>
      </c>
      <c r="B75" s="100" t="s">
        <v>379</v>
      </c>
      <c r="C75" s="100" t="s">
        <v>196</v>
      </c>
      <c r="D75" s="101" t="s">
        <v>380</v>
      </c>
      <c r="E75" s="100" t="s">
        <v>230</v>
      </c>
      <c r="F75" s="102">
        <v>46164</v>
      </c>
      <c r="G75" s="103">
        <v>46163</v>
      </c>
      <c r="H75" s="103" t="s">
        <v>103</v>
      </c>
      <c r="I75" s="103" t="s">
        <v>81</v>
      </c>
      <c r="J75" s="103" t="s">
        <v>256</v>
      </c>
      <c r="K75" s="103" t="s">
        <v>232</v>
      </c>
      <c r="L75" s="100">
        <v>174</v>
      </c>
      <c r="M75" s="100">
        <v>5</v>
      </c>
      <c r="N75" s="100">
        <v>0</v>
      </c>
      <c r="O75" s="104">
        <v>2</v>
      </c>
      <c r="P75" s="104">
        <v>0</v>
      </c>
      <c r="Q75" s="104">
        <v>0</v>
      </c>
      <c r="R75" s="105">
        <v>0</v>
      </c>
      <c r="S75" s="106">
        <v>0</v>
      </c>
      <c r="T75" s="106">
        <v>0.028735632183908</v>
      </c>
      <c r="U75" s="105">
        <v>0.4</v>
      </c>
      <c r="V75" s="105" t="e">
        <v>#DIV/0!</v>
      </c>
      <c r="W75" s="106" t="e">
        <v>#DIV/0!</v>
      </c>
      <c r="X75" s="106" t="e">
        <v>#DIV/0!</v>
      </c>
      <c r="Y75" s="106"/>
    </row>
    <row r="76" customFormat="1" ht="22.5" customHeight="1" spans="1:25">
      <c r="A76" s="99" t="s">
        <v>224</v>
      </c>
      <c r="B76" s="100" t="s">
        <v>319</v>
      </c>
      <c r="C76" s="100" t="s">
        <v>154</v>
      </c>
      <c r="D76" s="101" t="s">
        <v>381</v>
      </c>
      <c r="E76" s="100" t="s">
        <v>230</v>
      </c>
      <c r="F76" s="102">
        <v>46142</v>
      </c>
      <c r="G76" s="103">
        <v>46142</v>
      </c>
      <c r="H76" s="103">
        <v>46147</v>
      </c>
      <c r="I76" s="103" t="s">
        <v>52</v>
      </c>
      <c r="J76" s="103" t="s">
        <v>253</v>
      </c>
      <c r="K76" s="103" t="s">
        <v>238</v>
      </c>
      <c r="L76" s="100">
        <v>165</v>
      </c>
      <c r="M76" s="100">
        <v>5</v>
      </c>
      <c r="N76" s="100">
        <v>0</v>
      </c>
      <c r="O76" s="104">
        <v>2.11</v>
      </c>
      <c r="P76" s="104">
        <v>0</v>
      </c>
      <c r="Q76" s="104">
        <v>130</v>
      </c>
      <c r="R76" s="105">
        <v>0</v>
      </c>
      <c r="S76" s="106">
        <v>0</v>
      </c>
      <c r="T76" s="106">
        <v>0.0303030303030303</v>
      </c>
      <c r="U76" s="105">
        <v>0.422</v>
      </c>
      <c r="V76" s="105" t="e">
        <v>#DIV/0!</v>
      </c>
      <c r="W76" s="106" t="e">
        <v>#DIV/0!</v>
      </c>
      <c r="X76" s="106">
        <v>0.0162307692307692</v>
      </c>
      <c r="Y76" s="106"/>
    </row>
    <row r="77" customFormat="1" ht="22.5" customHeight="1" spans="1:25">
      <c r="A77" s="99" t="s">
        <v>224</v>
      </c>
      <c r="B77" s="100" t="s">
        <v>382</v>
      </c>
      <c r="C77" s="100" t="s">
        <v>138</v>
      </c>
      <c r="D77" s="101" t="s">
        <v>383</v>
      </c>
      <c r="E77" s="100" t="s">
        <v>230</v>
      </c>
      <c r="F77" s="102">
        <v>46141</v>
      </c>
      <c r="G77" s="103">
        <v>46140</v>
      </c>
      <c r="H77" s="103">
        <v>46142</v>
      </c>
      <c r="I77" s="103" t="s">
        <v>57</v>
      </c>
      <c r="J77" s="103" t="s">
        <v>231</v>
      </c>
      <c r="K77" s="103" t="s">
        <v>232</v>
      </c>
      <c r="L77" s="100">
        <v>335</v>
      </c>
      <c r="M77" s="100">
        <v>4</v>
      </c>
      <c r="N77" s="100">
        <v>0</v>
      </c>
      <c r="O77" s="104">
        <v>2.86</v>
      </c>
      <c r="P77" s="104">
        <v>0</v>
      </c>
      <c r="Q77" s="104">
        <v>712</v>
      </c>
      <c r="R77" s="105">
        <v>0</v>
      </c>
      <c r="S77" s="106">
        <v>0</v>
      </c>
      <c r="T77" s="106">
        <v>0.0119402985074627</v>
      </c>
      <c r="U77" s="105">
        <v>0.715</v>
      </c>
      <c r="V77" s="105" t="e">
        <v>#DIV/0!</v>
      </c>
      <c r="W77" s="106" t="e">
        <v>#DIV/0!</v>
      </c>
      <c r="X77" s="106">
        <v>0.00401685393258427</v>
      </c>
      <c r="Y77" s="106"/>
    </row>
    <row r="78" customFormat="1" ht="22.5" customHeight="1" spans="1:25">
      <c r="A78" s="99" t="s">
        <v>224</v>
      </c>
      <c r="B78" s="100" t="s">
        <v>384</v>
      </c>
      <c r="C78" s="100" t="s">
        <v>136</v>
      </c>
      <c r="D78" s="101" t="s">
        <v>385</v>
      </c>
      <c r="E78" s="100" t="s">
        <v>230</v>
      </c>
      <c r="F78" s="102">
        <v>46142</v>
      </c>
      <c r="G78" s="103">
        <v>46140</v>
      </c>
      <c r="H78" s="103">
        <v>46160</v>
      </c>
      <c r="I78" s="103" t="s">
        <v>81</v>
      </c>
      <c r="J78" s="103" t="s">
        <v>253</v>
      </c>
      <c r="K78" s="103" t="s">
        <v>232</v>
      </c>
      <c r="L78" s="100">
        <v>213</v>
      </c>
      <c r="M78" s="100">
        <v>4</v>
      </c>
      <c r="N78" s="100">
        <v>0</v>
      </c>
      <c r="O78" s="104">
        <v>1.65</v>
      </c>
      <c r="P78" s="104">
        <v>0</v>
      </c>
      <c r="Q78" s="104">
        <v>330</v>
      </c>
      <c r="R78" s="105">
        <v>0</v>
      </c>
      <c r="S78" s="106">
        <v>0</v>
      </c>
      <c r="T78" s="106">
        <v>0.0187793427230047</v>
      </c>
      <c r="U78" s="105">
        <v>0.4125</v>
      </c>
      <c r="V78" s="105" t="e">
        <v>#DIV/0!</v>
      </c>
      <c r="W78" s="106" t="e">
        <v>#DIV/0!</v>
      </c>
      <c r="X78" s="106">
        <v>0.005</v>
      </c>
      <c r="Y78" s="106"/>
    </row>
    <row r="79" customFormat="1" ht="22.5" customHeight="1" spans="1:25">
      <c r="A79" s="99" t="s">
        <v>224</v>
      </c>
      <c r="B79" s="100" t="s">
        <v>382</v>
      </c>
      <c r="C79" s="100" t="s">
        <v>164</v>
      </c>
      <c r="D79" s="101" t="s">
        <v>386</v>
      </c>
      <c r="E79" s="100" t="s">
        <v>230</v>
      </c>
      <c r="F79" s="102">
        <v>46141</v>
      </c>
      <c r="G79" s="103">
        <v>46151</v>
      </c>
      <c r="H79" s="103">
        <v>46153</v>
      </c>
      <c r="I79" s="103" t="s">
        <v>57</v>
      </c>
      <c r="J79" s="103" t="s">
        <v>231</v>
      </c>
      <c r="K79" s="103" t="s">
        <v>238</v>
      </c>
      <c r="L79" s="100">
        <v>208</v>
      </c>
      <c r="M79" s="100">
        <v>4</v>
      </c>
      <c r="N79" s="100">
        <v>0</v>
      </c>
      <c r="O79" s="104">
        <v>2.4</v>
      </c>
      <c r="P79" s="104">
        <v>0</v>
      </c>
      <c r="Q79" s="104">
        <v>1023</v>
      </c>
      <c r="R79" s="105">
        <v>0</v>
      </c>
      <c r="S79" s="106">
        <v>0</v>
      </c>
      <c r="T79" s="106">
        <v>0.0192307692307692</v>
      </c>
      <c r="U79" s="105">
        <v>0.6</v>
      </c>
      <c r="V79" s="105" t="e">
        <v>#DIV/0!</v>
      </c>
      <c r="W79" s="106" t="e">
        <v>#DIV/0!</v>
      </c>
      <c r="X79" s="106">
        <v>0.00234604105571848</v>
      </c>
      <c r="Y79" s="106"/>
    </row>
    <row r="80" customFormat="1" ht="22.5" customHeight="1" spans="1:25">
      <c r="A80" s="99" t="s">
        <v>224</v>
      </c>
      <c r="B80" s="100" t="s">
        <v>387</v>
      </c>
      <c r="C80" s="100" t="s">
        <v>152</v>
      </c>
      <c r="D80" s="101" t="s">
        <v>388</v>
      </c>
      <c r="E80" s="100" t="s">
        <v>246</v>
      </c>
      <c r="F80" s="102">
        <v>46153</v>
      </c>
      <c r="G80" s="103">
        <v>46142</v>
      </c>
      <c r="H80" s="103">
        <v>46144</v>
      </c>
      <c r="I80" s="103" t="s">
        <v>81</v>
      </c>
      <c r="J80" s="103" t="s">
        <v>237</v>
      </c>
      <c r="K80" s="103" t="s">
        <v>238</v>
      </c>
      <c r="L80" s="100">
        <v>2840</v>
      </c>
      <c r="M80" s="100">
        <v>3</v>
      </c>
      <c r="N80" s="100">
        <v>0</v>
      </c>
      <c r="O80" s="104">
        <v>0.69</v>
      </c>
      <c r="P80" s="104">
        <v>0</v>
      </c>
      <c r="Q80" s="104">
        <v>468.87</v>
      </c>
      <c r="R80" s="105">
        <v>0</v>
      </c>
      <c r="S80" s="106">
        <v>0</v>
      </c>
      <c r="T80" s="106">
        <v>0.00105633802816901</v>
      </c>
      <c r="U80" s="105">
        <v>0.23</v>
      </c>
      <c r="V80" s="105" t="e">
        <v>#DIV/0!</v>
      </c>
      <c r="W80" s="106" t="e">
        <v>#DIV/0!</v>
      </c>
      <c r="X80" s="106">
        <v>0.0014716232644443</v>
      </c>
      <c r="Y80" s="106"/>
    </row>
    <row r="81" customFormat="1" ht="22.5" customHeight="1" spans="1:25">
      <c r="A81" s="99" t="s">
        <v>224</v>
      </c>
      <c r="B81" s="100" t="s">
        <v>389</v>
      </c>
      <c r="C81" s="100" t="s">
        <v>78</v>
      </c>
      <c r="D81" s="101" t="s">
        <v>390</v>
      </c>
      <c r="E81" s="100" t="s">
        <v>246</v>
      </c>
      <c r="F81" s="102">
        <v>46159</v>
      </c>
      <c r="G81" s="103">
        <v>46092</v>
      </c>
      <c r="H81" s="103">
        <v>46112</v>
      </c>
      <c r="I81" s="103" t="s">
        <v>76</v>
      </c>
      <c r="J81" s="103" t="s">
        <v>237</v>
      </c>
      <c r="K81" s="103" t="s">
        <v>238</v>
      </c>
      <c r="L81" s="100">
        <v>2823</v>
      </c>
      <c r="M81" s="100">
        <v>3</v>
      </c>
      <c r="N81" s="100">
        <v>0</v>
      </c>
      <c r="O81" s="104">
        <v>2.24</v>
      </c>
      <c r="P81" s="104">
        <v>0</v>
      </c>
      <c r="Q81" s="104">
        <v>34</v>
      </c>
      <c r="R81" s="105">
        <v>0</v>
      </c>
      <c r="S81" s="106">
        <v>0</v>
      </c>
      <c r="T81" s="106">
        <v>0.00106269925611052</v>
      </c>
      <c r="U81" s="105">
        <v>0.746666666666667</v>
      </c>
      <c r="V81" s="105" t="e">
        <v>#DIV/0!</v>
      </c>
      <c r="W81" s="106" t="e">
        <v>#DIV/0!</v>
      </c>
      <c r="X81" s="106">
        <v>0.0658823529411765</v>
      </c>
      <c r="Y81" s="106"/>
    </row>
    <row r="82" customFormat="1" ht="22.5" customHeight="1" spans="1:25">
      <c r="A82" s="99" t="s">
        <v>224</v>
      </c>
      <c r="B82" s="100" t="s">
        <v>391</v>
      </c>
      <c r="C82" s="100" t="s">
        <v>198</v>
      </c>
      <c r="D82" s="101" t="s">
        <v>392</v>
      </c>
      <c r="E82" s="100" t="s">
        <v>230</v>
      </c>
      <c r="F82" s="102">
        <v>46163</v>
      </c>
      <c r="G82" s="103">
        <v>46163</v>
      </c>
      <c r="H82" s="103">
        <v>46174</v>
      </c>
      <c r="I82" s="103" t="s">
        <v>57</v>
      </c>
      <c r="J82" s="103" t="s">
        <v>250</v>
      </c>
      <c r="K82" s="103" t="s">
        <v>232</v>
      </c>
      <c r="L82" s="100">
        <v>86</v>
      </c>
      <c r="M82" s="100">
        <v>3</v>
      </c>
      <c r="N82" s="100">
        <v>0</v>
      </c>
      <c r="O82" s="104">
        <v>2.39</v>
      </c>
      <c r="P82" s="104">
        <v>0</v>
      </c>
      <c r="Q82" s="104">
        <v>0</v>
      </c>
      <c r="R82" s="105">
        <v>0</v>
      </c>
      <c r="S82" s="106">
        <v>0</v>
      </c>
      <c r="T82" s="106">
        <v>0.0348837209302326</v>
      </c>
      <c r="U82" s="105">
        <v>0.796666666666667</v>
      </c>
      <c r="V82" s="105" t="e">
        <v>#DIV/0!</v>
      </c>
      <c r="W82" s="106" t="e">
        <v>#DIV/0!</v>
      </c>
      <c r="X82" s="106" t="e">
        <v>#DIV/0!</v>
      </c>
      <c r="Y82" s="106"/>
    </row>
    <row r="83" customFormat="1" ht="22.5" customHeight="1" spans="1:25">
      <c r="A83" s="99" t="s">
        <v>224</v>
      </c>
      <c r="B83" s="100" t="s">
        <v>393</v>
      </c>
      <c r="C83" s="100" t="s">
        <v>73</v>
      </c>
      <c r="D83" s="101" t="s">
        <v>394</v>
      </c>
      <c r="E83" s="100" t="s">
        <v>246</v>
      </c>
      <c r="F83" s="102">
        <v>46162</v>
      </c>
      <c r="G83" s="103">
        <v>46092</v>
      </c>
      <c r="H83" s="103">
        <v>46099</v>
      </c>
      <c r="I83" s="103" t="s">
        <v>57</v>
      </c>
      <c r="J83" s="103" t="s">
        <v>231</v>
      </c>
      <c r="K83" s="103" t="s">
        <v>232</v>
      </c>
      <c r="L83" s="100">
        <v>397</v>
      </c>
      <c r="M83" s="100">
        <v>2</v>
      </c>
      <c r="N83" s="100">
        <v>0</v>
      </c>
      <c r="O83" s="104">
        <v>0.76</v>
      </c>
      <c r="P83" s="104">
        <v>0</v>
      </c>
      <c r="Q83" s="104">
        <v>1594.6</v>
      </c>
      <c r="R83" s="105">
        <v>0</v>
      </c>
      <c r="S83" s="106">
        <v>0</v>
      </c>
      <c r="T83" s="106">
        <v>0.00503778337531486</v>
      </c>
      <c r="U83" s="105">
        <v>0.38</v>
      </c>
      <c r="V83" s="105" t="e">
        <v>#DIV/0!</v>
      </c>
      <c r="W83" s="106" t="e">
        <v>#DIV/0!</v>
      </c>
      <c r="X83" s="106">
        <v>0.000476608553869309</v>
      </c>
      <c r="Y83" s="106"/>
    </row>
    <row r="84" customFormat="1" ht="22.5" customHeight="1" spans="1:25">
      <c r="A84" s="99" t="s">
        <v>224</v>
      </c>
      <c r="B84" s="100" t="s">
        <v>344</v>
      </c>
      <c r="C84" s="100" t="s">
        <v>201</v>
      </c>
      <c r="D84" s="101" t="s">
        <v>395</v>
      </c>
      <c r="E84" s="100" t="s">
        <v>230</v>
      </c>
      <c r="F84" s="102">
        <v>46162</v>
      </c>
      <c r="G84" s="103">
        <v>46170</v>
      </c>
      <c r="H84" s="103" t="s">
        <v>103</v>
      </c>
      <c r="I84" s="103" t="s">
        <v>76</v>
      </c>
      <c r="J84" s="103" t="s">
        <v>256</v>
      </c>
      <c r="K84" s="103" t="s">
        <v>238</v>
      </c>
      <c r="L84" s="100">
        <v>340</v>
      </c>
      <c r="M84" s="100">
        <v>2</v>
      </c>
      <c r="N84" s="100">
        <v>0</v>
      </c>
      <c r="O84" s="104">
        <v>2.03</v>
      </c>
      <c r="P84" s="104">
        <v>0</v>
      </c>
      <c r="Q84" s="104">
        <v>0</v>
      </c>
      <c r="R84" s="105">
        <v>0</v>
      </c>
      <c r="S84" s="106">
        <v>0</v>
      </c>
      <c r="T84" s="106">
        <v>0.00588235294117647</v>
      </c>
      <c r="U84" s="105">
        <v>1.015</v>
      </c>
      <c r="V84" s="105" t="e">
        <v>#DIV/0!</v>
      </c>
      <c r="W84" s="106" t="e">
        <v>#DIV/0!</v>
      </c>
      <c r="X84" s="106" t="e">
        <v>#DIV/0!</v>
      </c>
      <c r="Y84" s="106"/>
    </row>
    <row r="85" customFormat="1" ht="22.5" customHeight="1" spans="1:25">
      <c r="A85" s="99" t="s">
        <v>224</v>
      </c>
      <c r="B85" s="100" t="s">
        <v>396</v>
      </c>
      <c r="C85" s="100" t="s">
        <v>195</v>
      </c>
      <c r="D85" s="101" t="s">
        <v>397</v>
      </c>
      <c r="E85" s="100" t="s">
        <v>246</v>
      </c>
      <c r="F85" s="102">
        <v>46170</v>
      </c>
      <c r="G85" s="103">
        <v>46163</v>
      </c>
      <c r="H85" s="103">
        <v>46166</v>
      </c>
      <c r="I85" s="103" t="s">
        <v>76</v>
      </c>
      <c r="J85" s="103" t="s">
        <v>256</v>
      </c>
      <c r="K85" s="103" t="s">
        <v>238</v>
      </c>
      <c r="L85" s="100">
        <v>233</v>
      </c>
      <c r="M85" s="100">
        <v>2</v>
      </c>
      <c r="N85" s="100">
        <v>0</v>
      </c>
      <c r="O85" s="104">
        <v>1.73</v>
      </c>
      <c r="P85" s="104">
        <v>0</v>
      </c>
      <c r="Q85" s="104">
        <v>180</v>
      </c>
      <c r="R85" s="105">
        <v>0</v>
      </c>
      <c r="S85" s="106">
        <v>0</v>
      </c>
      <c r="T85" s="106">
        <v>0.00858369098712446</v>
      </c>
      <c r="U85" s="105">
        <v>0.865</v>
      </c>
      <c r="V85" s="105" t="e">
        <v>#DIV/0!</v>
      </c>
      <c r="W85" s="106" t="e">
        <v>#DIV/0!</v>
      </c>
      <c r="X85" s="106">
        <v>0.00961111111111111</v>
      </c>
      <c r="Y85" s="106"/>
    </row>
    <row r="86" customFormat="1" ht="22.5" customHeight="1" spans="1:25">
      <c r="A86" s="99" t="s">
        <v>224</v>
      </c>
      <c r="B86" s="100" t="s">
        <v>398</v>
      </c>
      <c r="C86" s="100" t="s">
        <v>199</v>
      </c>
      <c r="D86" s="101" t="s">
        <v>399</v>
      </c>
      <c r="E86" s="100" t="s">
        <v>230</v>
      </c>
      <c r="F86" s="102">
        <v>46163</v>
      </c>
      <c r="G86" s="103">
        <v>46163</v>
      </c>
      <c r="H86" s="103" t="s">
        <v>103</v>
      </c>
      <c r="I86" s="103" t="s">
        <v>45</v>
      </c>
      <c r="J86" s="103" t="s">
        <v>323</v>
      </c>
      <c r="K86" s="103" t="s">
        <v>232</v>
      </c>
      <c r="L86" s="100">
        <v>38</v>
      </c>
      <c r="M86" s="100">
        <v>2</v>
      </c>
      <c r="N86" s="100">
        <v>0</v>
      </c>
      <c r="O86" s="104">
        <v>0.9</v>
      </c>
      <c r="P86" s="104">
        <v>0</v>
      </c>
      <c r="Q86" s="104">
        <v>0</v>
      </c>
      <c r="R86" s="105">
        <v>0</v>
      </c>
      <c r="S86" s="106">
        <v>0</v>
      </c>
      <c r="T86" s="106">
        <v>0.0526315789473684</v>
      </c>
      <c r="U86" s="105">
        <v>0.45</v>
      </c>
      <c r="V86" s="105" t="e">
        <v>#DIV/0!</v>
      </c>
      <c r="W86" s="106" t="e">
        <v>#DIV/0!</v>
      </c>
      <c r="X86" s="106" t="e">
        <v>#DIV/0!</v>
      </c>
      <c r="Y86" s="106"/>
    </row>
    <row r="87" customFormat="1" ht="22.5" customHeight="1" spans="1:25">
      <c r="A87" s="99" t="s">
        <v>224</v>
      </c>
      <c r="B87" s="100" t="s">
        <v>334</v>
      </c>
      <c r="C87" s="100" t="s">
        <v>180</v>
      </c>
      <c r="D87" s="101" t="s">
        <v>400</v>
      </c>
      <c r="E87" s="100" t="s">
        <v>230</v>
      </c>
      <c r="F87" s="102">
        <v>46161</v>
      </c>
      <c r="G87" s="103">
        <v>46160</v>
      </c>
      <c r="H87" s="103">
        <v>46161</v>
      </c>
      <c r="I87" s="103" t="s">
        <v>81</v>
      </c>
      <c r="J87" s="103" t="s">
        <v>237</v>
      </c>
      <c r="K87" s="103" t="s">
        <v>232</v>
      </c>
      <c r="L87" s="100">
        <v>24</v>
      </c>
      <c r="M87" s="100">
        <v>2</v>
      </c>
      <c r="N87" s="100">
        <v>0</v>
      </c>
      <c r="O87" s="104">
        <v>0.7</v>
      </c>
      <c r="P87" s="104">
        <v>0</v>
      </c>
      <c r="Q87" s="104">
        <v>570</v>
      </c>
      <c r="R87" s="105">
        <v>0</v>
      </c>
      <c r="S87" s="106">
        <v>0</v>
      </c>
      <c r="T87" s="106">
        <v>0.0833333333333333</v>
      </c>
      <c r="U87" s="105">
        <v>0.35</v>
      </c>
      <c r="V87" s="105" t="e">
        <v>#DIV/0!</v>
      </c>
      <c r="W87" s="106" t="e">
        <v>#DIV/0!</v>
      </c>
      <c r="X87" s="106">
        <v>0.0012280701754386</v>
      </c>
      <c r="Y87" s="106"/>
    </row>
    <row r="88" customFormat="1" ht="22.5" customHeight="1" spans="1:25">
      <c r="A88" s="99" t="s">
        <v>224</v>
      </c>
      <c r="B88" s="100" t="s">
        <v>259</v>
      </c>
      <c r="C88" s="100" t="s">
        <v>67</v>
      </c>
      <c r="D88" s="101" t="s">
        <v>401</v>
      </c>
      <c r="E88" s="100" t="s">
        <v>230</v>
      </c>
      <c r="F88" s="102">
        <v>46092</v>
      </c>
      <c r="G88" s="103">
        <v>46091</v>
      </c>
      <c r="H88" s="103">
        <v>46101</v>
      </c>
      <c r="I88" s="103" t="s">
        <v>57</v>
      </c>
      <c r="J88" s="103" t="s">
        <v>237</v>
      </c>
      <c r="K88" s="103" t="s">
        <v>232</v>
      </c>
      <c r="L88" s="100">
        <v>860</v>
      </c>
      <c r="M88" s="100">
        <v>1</v>
      </c>
      <c r="N88" s="100">
        <v>0</v>
      </c>
      <c r="O88" s="104">
        <v>0.36</v>
      </c>
      <c r="P88" s="104">
        <v>0</v>
      </c>
      <c r="Q88" s="104">
        <v>38</v>
      </c>
      <c r="R88" s="105">
        <v>0</v>
      </c>
      <c r="S88" s="106">
        <v>0</v>
      </c>
      <c r="T88" s="106">
        <v>0.00116279069767442</v>
      </c>
      <c r="U88" s="105">
        <v>0.36</v>
      </c>
      <c r="V88" s="105" t="e">
        <v>#DIV/0!</v>
      </c>
      <c r="W88" s="106" t="e">
        <v>#DIV/0!</v>
      </c>
      <c r="X88" s="106">
        <v>0.00947368421052631</v>
      </c>
      <c r="Y88" s="106"/>
    </row>
    <row r="89" customFormat="1" ht="22.5" customHeight="1" spans="1:25">
      <c r="A89" s="99" t="s">
        <v>224</v>
      </c>
      <c r="B89" s="100" t="s">
        <v>402</v>
      </c>
      <c r="C89" s="100" t="s">
        <v>193</v>
      </c>
      <c r="D89" s="101" t="s">
        <v>403</v>
      </c>
      <c r="E89" s="100" t="s">
        <v>404</v>
      </c>
      <c r="F89" s="102">
        <v>46167</v>
      </c>
      <c r="G89" s="103">
        <v>46162</v>
      </c>
      <c r="H89" s="103">
        <v>46170</v>
      </c>
      <c r="I89" s="103" t="s">
        <v>57</v>
      </c>
      <c r="J89" s="103" t="s">
        <v>277</v>
      </c>
      <c r="K89" s="103" t="s">
        <v>232</v>
      </c>
      <c r="L89" s="100">
        <v>334</v>
      </c>
      <c r="M89" s="100">
        <v>1</v>
      </c>
      <c r="N89" s="100">
        <v>0</v>
      </c>
      <c r="O89" s="104">
        <v>0.8</v>
      </c>
      <c r="P89" s="104">
        <v>0</v>
      </c>
      <c r="Q89" s="104">
        <v>211.8</v>
      </c>
      <c r="R89" s="105">
        <v>0</v>
      </c>
      <c r="S89" s="106">
        <v>0</v>
      </c>
      <c r="T89" s="106">
        <v>0.0029940119760479</v>
      </c>
      <c r="U89" s="105">
        <v>0.8</v>
      </c>
      <c r="V89" s="105" t="e">
        <v>#DIV/0!</v>
      </c>
      <c r="W89" s="106" t="e">
        <v>#DIV/0!</v>
      </c>
      <c r="X89" s="106">
        <v>0.00377714825306893</v>
      </c>
      <c r="Y89" s="106"/>
    </row>
    <row r="90" customFormat="1" ht="22.5" customHeight="1" spans="1:25">
      <c r="A90" s="99" t="s">
        <v>224</v>
      </c>
      <c r="B90" s="100" t="s">
        <v>389</v>
      </c>
      <c r="C90" s="100" t="s">
        <v>75</v>
      </c>
      <c r="D90" s="101" t="s">
        <v>405</v>
      </c>
      <c r="E90" s="100" t="s">
        <v>246</v>
      </c>
      <c r="F90" s="102">
        <v>46159</v>
      </c>
      <c r="G90" s="103">
        <v>46092</v>
      </c>
      <c r="H90" s="103">
        <v>46096</v>
      </c>
      <c r="I90" s="103" t="s">
        <v>76</v>
      </c>
      <c r="J90" s="103" t="s">
        <v>237</v>
      </c>
      <c r="K90" s="103" t="s">
        <v>238</v>
      </c>
      <c r="L90" s="100">
        <v>73</v>
      </c>
      <c r="M90" s="100">
        <v>0</v>
      </c>
      <c r="N90" s="100">
        <v>0</v>
      </c>
      <c r="O90" s="104">
        <v>0</v>
      </c>
      <c r="P90" s="104">
        <v>0</v>
      </c>
      <c r="Q90" s="104">
        <v>141</v>
      </c>
      <c r="R90" s="105" t="e">
        <v>#DIV/0!</v>
      </c>
      <c r="S90" s="106" t="e">
        <v>#DIV/0!</v>
      </c>
      <c r="T90" s="106">
        <v>0</v>
      </c>
      <c r="U90" s="105" t="e">
        <v>#DIV/0!</v>
      </c>
      <c r="V90" s="105" t="e">
        <v>#DIV/0!</v>
      </c>
      <c r="W90" s="106" t="e">
        <v>#DIV/0!</v>
      </c>
      <c r="X90" s="106">
        <v>0</v>
      </c>
      <c r="Y90" s="106"/>
    </row>
    <row r="91" customFormat="1" ht="22.5" customHeight="1" spans="1:25">
      <c r="A91" s="99" t="s">
        <v>224</v>
      </c>
      <c r="B91" s="100" t="s">
        <v>406</v>
      </c>
      <c r="C91" s="100" t="s">
        <v>200</v>
      </c>
      <c r="D91" s="101" t="s">
        <v>407</v>
      </c>
      <c r="E91" s="100" t="s">
        <v>230</v>
      </c>
      <c r="F91" s="102">
        <v>46170</v>
      </c>
      <c r="G91" s="103">
        <v>46170</v>
      </c>
      <c r="H91" s="103">
        <v>46174</v>
      </c>
      <c r="I91" s="103" t="s">
        <v>52</v>
      </c>
      <c r="J91" s="103" t="s">
        <v>256</v>
      </c>
      <c r="K91" s="103" t="s">
        <v>232</v>
      </c>
      <c r="L91" s="100">
        <v>46</v>
      </c>
      <c r="M91" s="100">
        <v>0</v>
      </c>
      <c r="N91" s="100">
        <v>0</v>
      </c>
      <c r="O91" s="104">
        <v>0</v>
      </c>
      <c r="P91" s="104">
        <v>0</v>
      </c>
      <c r="Q91" s="104">
        <v>0</v>
      </c>
      <c r="R91" s="105" t="e">
        <v>#DIV/0!</v>
      </c>
      <c r="S91" s="106" t="e">
        <v>#DIV/0!</v>
      </c>
      <c r="T91" s="106">
        <v>0</v>
      </c>
      <c r="U91" s="105" t="e">
        <v>#DIV/0!</v>
      </c>
      <c r="V91" s="105" t="e">
        <v>#DIV/0!</v>
      </c>
      <c r="W91" s="106" t="e">
        <v>#DIV/0!</v>
      </c>
      <c r="X91" s="106" t="e">
        <v>#DIV/0!</v>
      </c>
      <c r="Y91" s="106"/>
    </row>
    <row r="92" customFormat="1" ht="22.5" customHeight="1" spans="1:25">
      <c r="A92" s="99" t="s">
        <v>224</v>
      </c>
      <c r="B92" s="100" t="s">
        <v>408</v>
      </c>
      <c r="C92" s="100" t="s">
        <v>202</v>
      </c>
      <c r="D92" s="101" t="s">
        <v>409</v>
      </c>
      <c r="E92" s="100" t="s">
        <v>230</v>
      </c>
      <c r="F92" s="102">
        <v>46170</v>
      </c>
      <c r="G92" s="103">
        <v>46170</v>
      </c>
      <c r="H92" s="103" t="s">
        <v>103</v>
      </c>
      <c r="I92" s="103" t="s">
        <v>76</v>
      </c>
      <c r="J92" s="103" t="s">
        <v>256</v>
      </c>
      <c r="K92" s="103" t="s">
        <v>232</v>
      </c>
      <c r="L92" s="100">
        <v>37</v>
      </c>
      <c r="M92" s="100">
        <v>0</v>
      </c>
      <c r="N92" s="100">
        <v>0</v>
      </c>
      <c r="O92" s="104">
        <v>0</v>
      </c>
      <c r="P92" s="104">
        <v>0</v>
      </c>
      <c r="Q92" s="104">
        <v>0</v>
      </c>
      <c r="R92" s="105" t="e">
        <v>#DIV/0!</v>
      </c>
      <c r="S92" s="106" t="e">
        <v>#DIV/0!</v>
      </c>
      <c r="T92" s="106">
        <v>0</v>
      </c>
      <c r="U92" s="105" t="e">
        <v>#DIV/0!</v>
      </c>
      <c r="V92" s="105" t="e">
        <v>#DIV/0!</v>
      </c>
      <c r="W92" s="106" t="e">
        <v>#DIV/0!</v>
      </c>
      <c r="X92" s="106" t="e">
        <v>#DIV/0!</v>
      </c>
      <c r="Y92" s="106"/>
    </row>
    <row r="93" customFormat="1" ht="22.5" customHeight="1" spans="1:25">
      <c r="A93" s="99" t="s">
        <v>224</v>
      </c>
      <c r="B93" s="100" t="s">
        <v>410</v>
      </c>
      <c r="C93" s="100" t="s">
        <v>166</v>
      </c>
      <c r="D93" s="101" t="s">
        <v>411</v>
      </c>
      <c r="E93" s="100" t="s">
        <v>230</v>
      </c>
      <c r="F93" s="102">
        <v>46151</v>
      </c>
      <c r="G93" s="103">
        <v>46151</v>
      </c>
      <c r="H93" s="103">
        <v>46162</v>
      </c>
      <c r="I93" s="103" t="s">
        <v>52</v>
      </c>
      <c r="J93" s="103" t="s">
        <v>253</v>
      </c>
      <c r="K93" s="103" t="s">
        <v>232</v>
      </c>
      <c r="L93" s="100">
        <v>1</v>
      </c>
      <c r="M93" s="100">
        <v>0</v>
      </c>
      <c r="N93" s="100">
        <v>0</v>
      </c>
      <c r="O93" s="104">
        <v>0</v>
      </c>
      <c r="P93" s="104">
        <v>0</v>
      </c>
      <c r="Q93" s="104">
        <v>297</v>
      </c>
      <c r="R93" s="105" t="e">
        <v>#DIV/0!</v>
      </c>
      <c r="S93" s="106" t="e">
        <v>#DIV/0!</v>
      </c>
      <c r="T93" s="106">
        <v>0</v>
      </c>
      <c r="U93" s="105" t="e">
        <v>#DIV/0!</v>
      </c>
      <c r="V93" s="105" t="e">
        <v>#DIV/0!</v>
      </c>
      <c r="W93" s="106" t="e">
        <v>#DIV/0!</v>
      </c>
      <c r="X93" s="106">
        <v>0</v>
      </c>
      <c r="Y93" s="106"/>
    </row>
    <row r="94" customFormat="1" ht="22.5" customHeight="1" spans="1:25">
      <c r="A94" s="99" t="s">
        <v>224</v>
      </c>
      <c r="B94" s="100" t="s">
        <v>412</v>
      </c>
      <c r="C94" s="100" t="s">
        <v>109</v>
      </c>
      <c r="D94" s="101" t="s">
        <v>413</v>
      </c>
      <c r="E94" s="100" t="s">
        <v>246</v>
      </c>
      <c r="F94" s="102">
        <v>46175</v>
      </c>
      <c r="G94" s="103">
        <v>46104</v>
      </c>
      <c r="H94" s="103">
        <v>46118</v>
      </c>
      <c r="I94" s="103" t="s">
        <v>57</v>
      </c>
      <c r="J94" s="103" t="s">
        <v>253</v>
      </c>
      <c r="K94" s="103" t="s">
        <v>232</v>
      </c>
      <c r="L94" s="100">
        <v>0</v>
      </c>
      <c r="M94" s="100">
        <v>0</v>
      </c>
      <c r="N94" s="100">
        <v>0</v>
      </c>
      <c r="O94" s="104">
        <v>0</v>
      </c>
      <c r="P94" s="104">
        <v>0</v>
      </c>
      <c r="Q94" s="104">
        <v>278</v>
      </c>
      <c r="R94" s="105" t="e">
        <v>#DIV/0!</v>
      </c>
      <c r="S94" s="106" t="e">
        <v>#DIV/0!</v>
      </c>
      <c r="T94" s="106" t="e">
        <v>#DIV/0!</v>
      </c>
      <c r="U94" s="105" t="e">
        <v>#DIV/0!</v>
      </c>
      <c r="V94" s="105" t="e">
        <v>#DIV/0!</v>
      </c>
      <c r="W94" s="106" t="e">
        <v>#DIV/0!</v>
      </c>
      <c r="X94" s="106">
        <v>0</v>
      </c>
      <c r="Y94" s="106"/>
    </row>
    <row r="95" customFormat="1" ht="22.5" customHeight="1" spans="1:25">
      <c r="A95" s="99" t="s">
        <v>224</v>
      </c>
      <c r="B95" s="100" t="s">
        <v>412</v>
      </c>
      <c r="C95" s="100" t="s">
        <v>110</v>
      </c>
      <c r="D95" s="101" t="s">
        <v>414</v>
      </c>
      <c r="E95" s="100" t="s">
        <v>246</v>
      </c>
      <c r="F95" s="102">
        <v>46175</v>
      </c>
      <c r="G95" s="103">
        <v>46104</v>
      </c>
      <c r="H95" s="103">
        <v>46114</v>
      </c>
      <c r="I95" s="103" t="s">
        <v>57</v>
      </c>
      <c r="J95" s="103" t="s">
        <v>253</v>
      </c>
      <c r="K95" s="103" t="s">
        <v>238</v>
      </c>
      <c r="L95" s="100">
        <v>0</v>
      </c>
      <c r="M95" s="100">
        <v>0</v>
      </c>
      <c r="N95" s="100">
        <v>0</v>
      </c>
      <c r="O95" s="104">
        <v>0</v>
      </c>
      <c r="P95" s="104">
        <v>0</v>
      </c>
      <c r="Q95" s="104">
        <v>392</v>
      </c>
      <c r="R95" s="105" t="e">
        <v>#DIV/0!</v>
      </c>
      <c r="S95" s="106" t="e">
        <v>#DIV/0!</v>
      </c>
      <c r="T95" s="106" t="e">
        <v>#DIV/0!</v>
      </c>
      <c r="U95" s="105" t="e">
        <v>#DIV/0!</v>
      </c>
      <c r="V95" s="105" t="e">
        <v>#DIV/0!</v>
      </c>
      <c r="W95" s="106" t="e">
        <v>#DIV/0!</v>
      </c>
      <c r="X95" s="106">
        <v>0</v>
      </c>
      <c r="Y95" s="106"/>
    </row>
    <row r="96" customFormat="1" ht="22.5" customHeight="1" spans="1:25">
      <c r="A96" s="99" t="s">
        <v>224</v>
      </c>
      <c r="B96" s="100" t="s">
        <v>415</v>
      </c>
      <c r="C96" s="100" t="s">
        <v>61</v>
      </c>
      <c r="D96" s="101" t="s">
        <v>416</v>
      </c>
      <c r="E96" s="100" t="s">
        <v>230</v>
      </c>
      <c r="F96" s="102">
        <v>46099</v>
      </c>
      <c r="G96" s="103">
        <v>46085</v>
      </c>
      <c r="H96" s="103">
        <v>46091</v>
      </c>
      <c r="I96" s="103" t="s">
        <v>52</v>
      </c>
      <c r="J96" s="103" t="s">
        <v>253</v>
      </c>
      <c r="K96" s="103" t="s">
        <v>232</v>
      </c>
      <c r="L96" s="100">
        <v>0</v>
      </c>
      <c r="M96" s="100">
        <v>0</v>
      </c>
      <c r="N96" s="100">
        <v>0</v>
      </c>
      <c r="O96" s="104">
        <v>0</v>
      </c>
      <c r="P96" s="104">
        <v>0</v>
      </c>
      <c r="Q96" s="104">
        <v>1454</v>
      </c>
      <c r="R96" s="105" t="e">
        <v>#DIV/0!</v>
      </c>
      <c r="S96" s="106" t="e">
        <v>#DIV/0!</v>
      </c>
      <c r="T96" s="106" t="e">
        <v>#DIV/0!</v>
      </c>
      <c r="U96" s="105" t="e">
        <v>#DIV/0!</v>
      </c>
      <c r="V96" s="105" t="e">
        <v>#DIV/0!</v>
      </c>
      <c r="W96" s="106" t="e">
        <v>#DIV/0!</v>
      </c>
      <c r="X96" s="106">
        <v>0</v>
      </c>
      <c r="Y96" s="106"/>
    </row>
    <row r="97" customFormat="1" ht="22.5" customHeight="1" spans="1:25">
      <c r="A97" s="99" t="s">
        <v>224</v>
      </c>
      <c r="B97" s="100" t="s">
        <v>417</v>
      </c>
      <c r="C97" s="100" t="s">
        <v>159</v>
      </c>
      <c r="D97" s="101" t="s">
        <v>418</v>
      </c>
      <c r="E97" s="100" t="s">
        <v>230</v>
      </c>
      <c r="F97" s="102">
        <v>46147</v>
      </c>
      <c r="G97" s="103">
        <v>46142</v>
      </c>
      <c r="H97" s="103">
        <v>46153</v>
      </c>
      <c r="I97" s="103" t="s">
        <v>45</v>
      </c>
      <c r="J97" s="103" t="s">
        <v>277</v>
      </c>
      <c r="K97" s="103" t="s">
        <v>232</v>
      </c>
      <c r="L97" s="100">
        <v>0</v>
      </c>
      <c r="M97" s="100">
        <v>0</v>
      </c>
      <c r="N97" s="100">
        <v>0</v>
      </c>
      <c r="O97" s="104">
        <v>0</v>
      </c>
      <c r="P97" s="104">
        <v>0</v>
      </c>
      <c r="Q97" s="104">
        <v>1032</v>
      </c>
      <c r="R97" s="105" t="e">
        <v>#DIV/0!</v>
      </c>
      <c r="S97" s="106" t="e">
        <v>#DIV/0!</v>
      </c>
      <c r="T97" s="106" t="e">
        <v>#DIV/0!</v>
      </c>
      <c r="U97" s="105" t="e">
        <v>#DIV/0!</v>
      </c>
      <c r="V97" s="105" t="e">
        <v>#DIV/0!</v>
      </c>
      <c r="W97" s="106" t="e">
        <v>#DIV/0!</v>
      </c>
      <c r="X97" s="106">
        <v>0</v>
      </c>
      <c r="Y97" s="106"/>
    </row>
    <row r="98" customFormat="1" ht="22.5" customHeight="1" spans="1:25">
      <c r="A98" s="99" t="s">
        <v>224</v>
      </c>
      <c r="B98" s="100" t="s">
        <v>419</v>
      </c>
      <c r="C98" s="100" t="s">
        <v>124</v>
      </c>
      <c r="D98" s="101" t="s">
        <v>420</v>
      </c>
      <c r="E98" s="100" t="s">
        <v>241</v>
      </c>
      <c r="F98" s="102">
        <v>46178</v>
      </c>
      <c r="G98" s="103">
        <v>46108</v>
      </c>
      <c r="H98" s="103">
        <v>46114</v>
      </c>
      <c r="I98" s="103" t="s">
        <v>57</v>
      </c>
      <c r="J98" s="103" t="s">
        <v>231</v>
      </c>
      <c r="K98" s="103" t="s">
        <v>232</v>
      </c>
      <c r="L98" s="100">
        <v>0</v>
      </c>
      <c r="M98" s="100">
        <v>0</v>
      </c>
      <c r="N98" s="100">
        <v>0</v>
      </c>
      <c r="O98" s="104">
        <v>0</v>
      </c>
      <c r="P98" s="104">
        <v>0</v>
      </c>
      <c r="Q98" s="104">
        <v>1610</v>
      </c>
      <c r="R98" s="105" t="e">
        <v>#DIV/0!</v>
      </c>
      <c r="S98" s="106" t="e">
        <v>#DIV/0!</v>
      </c>
      <c r="T98" s="106" t="e">
        <v>#DIV/0!</v>
      </c>
      <c r="U98" s="105" t="e">
        <v>#DIV/0!</v>
      </c>
      <c r="V98" s="105" t="e">
        <v>#DIV/0!</v>
      </c>
      <c r="W98" s="106" t="e">
        <v>#DIV/0!</v>
      </c>
      <c r="X98" s="106">
        <v>0</v>
      </c>
      <c r="Y98" s="106"/>
    </row>
  </sheetData>
  <mergeCells count="3">
    <mergeCell ref="C2:E2"/>
    <mergeCell ref="F2:I2"/>
    <mergeCell ref="J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0"/>
  <sheetViews>
    <sheetView tabSelected="1" workbookViewId="0">
      <selection activeCell="G6" sqref="G6"/>
    </sheetView>
  </sheetViews>
  <sheetFormatPr defaultColWidth="8.8" defaultRowHeight="13.5"/>
  <cols>
    <col min="2" max="2" width="8.8" style="33"/>
    <col min="3" max="3" width="9.875"/>
    <col min="4" max="4" width="11.45" customWidth="1"/>
    <col min="5" max="5" width="8.8" style="34"/>
    <col min="10" max="11" width="8.8" style="35" customWidth="1"/>
    <col min="12" max="14" width="8.8" style="35"/>
    <col min="15" max="15" width="12.1833333333333" style="36" customWidth="1"/>
    <col min="16" max="19" width="12.1833333333333" style="37" customWidth="1"/>
    <col min="20" max="20" width="14.55" style="38" customWidth="1"/>
    <col min="21" max="23" width="14.55" style="35" customWidth="1"/>
    <col min="24" max="24" width="14.55" style="39" customWidth="1"/>
    <col min="25" max="25" width="12.6416666666667" style="40" customWidth="1"/>
    <col min="26" max="27" width="12.6416666666667" style="41" customWidth="1"/>
    <col min="28" max="28" width="12.6416666666667" style="42" customWidth="1"/>
    <col min="29" max="29" width="12.6416666666667" style="43" customWidth="1"/>
    <col min="30" max="31" width="9.09166666666667" style="35"/>
    <col min="32" max="34" width="8.8" style="35"/>
    <col min="35" max="37" width="8.8" style="44"/>
  </cols>
  <sheetData>
    <row r="1" ht="22.5" customHeight="1" spans="1:37">
      <c r="A1" s="45" t="s">
        <v>0</v>
      </c>
      <c r="B1" s="46" t="s">
        <v>1</v>
      </c>
      <c r="C1" s="47" t="s">
        <v>2</v>
      </c>
      <c r="D1" s="47" t="s">
        <v>3</v>
      </c>
      <c r="E1" s="48" t="s">
        <v>421</v>
      </c>
      <c r="F1" s="48" t="s">
        <v>4</v>
      </c>
      <c r="G1" s="49" t="s">
        <v>5</v>
      </c>
      <c r="H1" s="47" t="s">
        <v>6</v>
      </c>
      <c r="I1" s="47" t="s">
        <v>7</v>
      </c>
      <c r="J1" s="50" t="s">
        <v>422</v>
      </c>
      <c r="K1" s="50" t="s">
        <v>423</v>
      </c>
      <c r="L1" s="50" t="s">
        <v>424</v>
      </c>
      <c r="M1" s="50" t="s">
        <v>14</v>
      </c>
      <c r="N1" s="50" t="s">
        <v>15</v>
      </c>
      <c r="O1" s="51" t="s">
        <v>425</v>
      </c>
      <c r="P1" s="52" t="s">
        <v>426</v>
      </c>
      <c r="Q1" s="52" t="s">
        <v>427</v>
      </c>
      <c r="R1" s="52" t="s">
        <v>16</v>
      </c>
      <c r="S1" s="52" t="s">
        <v>17</v>
      </c>
      <c r="T1" s="53" t="s">
        <v>428</v>
      </c>
      <c r="U1" s="54" t="s">
        <v>429</v>
      </c>
      <c r="V1" s="54" t="s">
        <v>430</v>
      </c>
      <c r="W1" s="54" t="s">
        <v>18</v>
      </c>
      <c r="X1" s="55" t="s">
        <v>19</v>
      </c>
      <c r="Y1" s="56" t="s">
        <v>431</v>
      </c>
      <c r="Z1" s="57" t="s">
        <v>432</v>
      </c>
      <c r="AA1" s="57" t="s">
        <v>433</v>
      </c>
      <c r="AB1" s="58" t="s">
        <v>22</v>
      </c>
      <c r="AC1" s="59" t="s">
        <v>23</v>
      </c>
      <c r="AD1" s="60" t="s">
        <v>434</v>
      </c>
      <c r="AE1" s="60" t="s">
        <v>435</v>
      </c>
      <c r="AF1" s="60" t="s">
        <v>436</v>
      </c>
      <c r="AG1" s="60" t="s">
        <v>20</v>
      </c>
      <c r="AH1" s="60" t="s">
        <v>21</v>
      </c>
      <c r="AI1"/>
      <c r="AJ1"/>
      <c r="AK1"/>
    </row>
    <row r="2" ht="22.5" customHeight="1" spans="1:37">
      <c r="A2" s="61">
        <v>11547</v>
      </c>
      <c r="B2" s="62" t="s">
        <v>437</v>
      </c>
      <c r="C2" s="63">
        <v>46026</v>
      </c>
      <c r="D2" s="63">
        <v>46075</v>
      </c>
      <c r="E2" s="64" t="s">
        <v>45</v>
      </c>
      <c r="F2" s="64" t="s">
        <v>45</v>
      </c>
      <c r="G2" s="64" t="s">
        <v>45</v>
      </c>
      <c r="H2" s="64" t="s">
        <v>231</v>
      </c>
      <c r="I2" s="64" t="s">
        <v>232</v>
      </c>
      <c r="J2" s="65">
        <v>0</v>
      </c>
      <c r="K2" s="65">
        <v>1</v>
      </c>
      <c r="L2" s="65">
        <v>2</v>
      </c>
      <c r="M2" s="65">
        <v>6</v>
      </c>
      <c r="N2" s="65">
        <f>_xlfn.XLOOKUP($A2,[1]月销售数据!$P:$P,[1]月销售数据!$V:$V)</f>
        <v>2</v>
      </c>
      <c r="O2" s="66">
        <v>0</v>
      </c>
      <c r="P2" s="67">
        <v>59</v>
      </c>
      <c r="Q2" s="67">
        <v>118</v>
      </c>
      <c r="R2" s="67">
        <v>348</v>
      </c>
      <c r="S2" s="67">
        <f>_xlfn.XLOOKUP($A2,[1]月销售数据!$P:$P,[1]月销售数据!$AA:$AA)</f>
        <v>118</v>
      </c>
      <c r="T2" s="68">
        <v>2</v>
      </c>
      <c r="U2" s="65">
        <v>1</v>
      </c>
      <c r="V2" s="65">
        <v>1</v>
      </c>
      <c r="W2" s="65">
        <v>0</v>
      </c>
      <c r="X2" s="65">
        <v>2</v>
      </c>
      <c r="Y2" s="69">
        <v>0</v>
      </c>
      <c r="Z2" s="70">
        <v>0.5</v>
      </c>
      <c r="AA2" s="70">
        <v>0.666666666666667</v>
      </c>
      <c r="AB2" s="71">
        <v>1</v>
      </c>
      <c r="AC2" s="70">
        <v>0.5</v>
      </c>
      <c r="AD2" s="65">
        <v>2</v>
      </c>
      <c r="AE2" s="65">
        <v>2</v>
      </c>
      <c r="AF2" s="65">
        <f t="shared" ref="AF2:AF65" si="0">V2+L2</f>
        <v>3</v>
      </c>
      <c r="AG2" s="65">
        <v>6</v>
      </c>
      <c r="AH2" s="65">
        <v>4</v>
      </c>
      <c r="AI2"/>
      <c r="AJ2"/>
      <c r="AK2"/>
    </row>
    <row r="3" ht="22.5" customHeight="1" spans="1:37">
      <c r="A3" s="61">
        <v>11650</v>
      </c>
      <c r="B3" s="62" t="s">
        <v>438</v>
      </c>
      <c r="C3" s="63">
        <v>46026</v>
      </c>
      <c r="D3" s="63">
        <v>46029</v>
      </c>
      <c r="E3" s="64" t="s">
        <v>45</v>
      </c>
      <c r="F3" s="64" t="s">
        <v>45</v>
      </c>
      <c r="G3" s="64" t="s">
        <v>45</v>
      </c>
      <c r="H3" s="64" t="s">
        <v>277</v>
      </c>
      <c r="I3" s="64" t="s">
        <v>232</v>
      </c>
      <c r="J3" s="65">
        <v>7</v>
      </c>
      <c r="K3" s="65">
        <v>11</v>
      </c>
      <c r="L3" s="65">
        <v>14</v>
      </c>
      <c r="M3" s="65">
        <v>14</v>
      </c>
      <c r="N3" s="65">
        <f>_xlfn.XLOOKUP(A3,[1]月销售数据!$P:$P,[1]月销售数据!$V:$V)</f>
        <v>12</v>
      </c>
      <c r="O3" s="66">
        <v>1050</v>
      </c>
      <c r="P3" s="67">
        <v>1594.5</v>
      </c>
      <c r="Q3" s="67">
        <v>2100</v>
      </c>
      <c r="R3" s="67">
        <v>2064.8</v>
      </c>
      <c r="S3" s="67">
        <f>_xlfn.XLOOKUP($A3,[1]月销售数据!$P:$P,[1]月销售数据!$AA:$AA)</f>
        <v>1779.8</v>
      </c>
      <c r="T3" s="68">
        <v>0</v>
      </c>
      <c r="U3" s="65">
        <v>0</v>
      </c>
      <c r="V3" s="65">
        <v>0</v>
      </c>
      <c r="W3" s="65">
        <v>0</v>
      </c>
      <c r="X3" s="65">
        <v>6</v>
      </c>
      <c r="Y3" s="69">
        <v>1</v>
      </c>
      <c r="Z3" s="70">
        <v>1</v>
      </c>
      <c r="AA3" s="70">
        <v>1</v>
      </c>
      <c r="AB3" s="71">
        <v>1</v>
      </c>
      <c r="AC3" s="70">
        <v>0.666666666666667</v>
      </c>
      <c r="AD3" s="65">
        <v>7</v>
      </c>
      <c r="AE3" s="65">
        <v>11</v>
      </c>
      <c r="AF3" s="65">
        <f t="shared" si="0"/>
        <v>14</v>
      </c>
      <c r="AG3" s="65">
        <v>14</v>
      </c>
      <c r="AH3" s="65">
        <v>18</v>
      </c>
      <c r="AI3"/>
      <c r="AJ3"/>
      <c r="AK3"/>
    </row>
    <row r="4" ht="22.5" customHeight="1" spans="1:37">
      <c r="A4" s="61">
        <v>11674</v>
      </c>
      <c r="B4" s="62" t="s">
        <v>439</v>
      </c>
      <c r="C4" s="63">
        <v>46026</v>
      </c>
      <c r="D4" s="63">
        <v>46028</v>
      </c>
      <c r="E4" s="64" t="s">
        <v>45</v>
      </c>
      <c r="F4" s="64" t="s">
        <v>45</v>
      </c>
      <c r="G4" s="64" t="s">
        <v>45</v>
      </c>
      <c r="H4" s="64" t="s">
        <v>231</v>
      </c>
      <c r="I4" s="64" t="s">
        <v>232</v>
      </c>
      <c r="J4" s="65">
        <v>3</v>
      </c>
      <c r="K4" s="65">
        <v>11</v>
      </c>
      <c r="L4" s="65">
        <v>16</v>
      </c>
      <c r="M4" s="65">
        <v>17</v>
      </c>
      <c r="N4" s="65">
        <f>_xlfn.XLOOKUP(A4,[1]月销售数据!$P:$P,[1]月销售数据!$V:$V)</f>
        <v>6</v>
      </c>
      <c r="O4" s="66">
        <v>197.52</v>
      </c>
      <c r="P4" s="67">
        <v>741.82</v>
      </c>
      <c r="Q4" s="67">
        <v>1086.81</v>
      </c>
      <c r="R4" s="67">
        <v>1240.72</v>
      </c>
      <c r="S4" s="67">
        <f>_xlfn.XLOOKUP($A4,[1]月销售数据!$P:$P,[1]月销售数据!$AA:$AA)</f>
        <v>497.36</v>
      </c>
      <c r="T4" s="68">
        <v>1</v>
      </c>
      <c r="U4" s="65">
        <v>1</v>
      </c>
      <c r="V4" s="65">
        <v>6</v>
      </c>
      <c r="W4" s="65">
        <v>6</v>
      </c>
      <c r="X4" s="65">
        <v>3</v>
      </c>
      <c r="Y4" s="69">
        <v>0.75</v>
      </c>
      <c r="Z4" s="70">
        <v>0.916666666666667</v>
      </c>
      <c r="AA4" s="70">
        <v>0.727272727272727</v>
      </c>
      <c r="AB4" s="71">
        <v>0.739130434782609</v>
      </c>
      <c r="AC4" s="70">
        <v>0.666666666666667</v>
      </c>
      <c r="AD4" s="65">
        <v>4</v>
      </c>
      <c r="AE4" s="65">
        <v>12</v>
      </c>
      <c r="AF4" s="65">
        <f t="shared" si="0"/>
        <v>22</v>
      </c>
      <c r="AG4" s="65">
        <v>23</v>
      </c>
      <c r="AH4" s="65">
        <v>9</v>
      </c>
      <c r="AI4"/>
      <c r="AJ4"/>
      <c r="AK4"/>
    </row>
    <row r="5" ht="22.5" customHeight="1" spans="1:37">
      <c r="A5" s="61">
        <v>11668</v>
      </c>
      <c r="B5" s="62" t="s">
        <v>440</v>
      </c>
      <c r="C5" s="63">
        <v>46026</v>
      </c>
      <c r="D5" s="63">
        <v>46030</v>
      </c>
      <c r="E5" s="64" t="s">
        <v>45</v>
      </c>
      <c r="F5" s="64" t="s">
        <v>45</v>
      </c>
      <c r="G5" s="64" t="s">
        <v>45</v>
      </c>
      <c r="H5" s="64" t="s">
        <v>231</v>
      </c>
      <c r="I5" s="64" t="s">
        <v>232</v>
      </c>
      <c r="J5" s="65">
        <v>2</v>
      </c>
      <c r="K5" s="65">
        <v>2</v>
      </c>
      <c r="L5" s="65">
        <v>7</v>
      </c>
      <c r="M5" s="65">
        <v>5</v>
      </c>
      <c r="N5" s="65">
        <f>_xlfn.XLOOKUP(A5,[1]月销售数据!$P:$P,[1]月销售数据!$V:$V)</f>
        <v>5</v>
      </c>
      <c r="O5" s="66">
        <v>270</v>
      </c>
      <c r="P5" s="67">
        <v>270</v>
      </c>
      <c r="Q5" s="67">
        <v>938.25</v>
      </c>
      <c r="R5" s="67">
        <v>668.25</v>
      </c>
      <c r="S5" s="67">
        <f>_xlfn.XLOOKUP($A5,[1]月销售数据!$P:$P,[1]月销售数据!$AA:$AA)</f>
        <v>675</v>
      </c>
      <c r="T5" s="68">
        <v>0</v>
      </c>
      <c r="U5" s="65">
        <v>2</v>
      </c>
      <c r="V5" s="65">
        <v>6</v>
      </c>
      <c r="W5" s="65">
        <v>4</v>
      </c>
      <c r="X5" s="65">
        <v>1</v>
      </c>
      <c r="Y5" s="69">
        <v>1</v>
      </c>
      <c r="Z5" s="70">
        <v>0.5</v>
      </c>
      <c r="AA5" s="70">
        <v>0.538461538461538</v>
      </c>
      <c r="AB5" s="71">
        <v>0.555555555555556</v>
      </c>
      <c r="AC5" s="70">
        <v>0.833333333333333</v>
      </c>
      <c r="AD5" s="65">
        <v>2</v>
      </c>
      <c r="AE5" s="65">
        <v>4</v>
      </c>
      <c r="AF5" s="65">
        <f t="shared" si="0"/>
        <v>13</v>
      </c>
      <c r="AG5" s="65">
        <v>9</v>
      </c>
      <c r="AH5" s="65">
        <v>6</v>
      </c>
      <c r="AI5"/>
      <c r="AJ5"/>
      <c r="AK5"/>
    </row>
    <row r="6" ht="22.5" customHeight="1" spans="1:37">
      <c r="A6" s="61">
        <v>11681</v>
      </c>
      <c r="B6" s="62" t="s">
        <v>441</v>
      </c>
      <c r="C6" s="63">
        <v>46027</v>
      </c>
      <c r="D6" s="63">
        <v>46031</v>
      </c>
      <c r="E6" s="64" t="s">
        <v>52</v>
      </c>
      <c r="F6" s="64" t="s">
        <v>52</v>
      </c>
      <c r="G6" s="64" t="s">
        <v>52</v>
      </c>
      <c r="H6" s="64" t="s">
        <v>250</v>
      </c>
      <c r="I6" s="64" t="s">
        <v>238</v>
      </c>
      <c r="J6" s="65">
        <v>1</v>
      </c>
      <c r="K6" s="65">
        <v>0</v>
      </c>
      <c r="L6" s="65">
        <v>1</v>
      </c>
      <c r="M6" s="65">
        <v>1</v>
      </c>
      <c r="N6" s="65">
        <f>_xlfn.XLOOKUP(A6,[1]月销售数据!$P:$P,[1]月销售数据!$V:$V)</f>
        <v>1</v>
      </c>
      <c r="O6" s="66">
        <v>289</v>
      </c>
      <c r="P6" s="67">
        <v>0</v>
      </c>
      <c r="Q6" s="67">
        <v>350</v>
      </c>
      <c r="R6" s="67">
        <v>350</v>
      </c>
      <c r="S6" s="67">
        <f>_xlfn.XLOOKUP($A6,[1]月销售数据!$P:$P,[1]月销售数据!$AA:$AA)</f>
        <v>320</v>
      </c>
      <c r="T6" s="68">
        <v>0</v>
      </c>
      <c r="U6" s="65">
        <v>0</v>
      </c>
      <c r="V6" s="65">
        <v>0</v>
      </c>
      <c r="W6" s="65">
        <v>0</v>
      </c>
      <c r="X6" s="65">
        <v>0</v>
      </c>
      <c r="Y6" s="69">
        <v>1</v>
      </c>
      <c r="Z6" s="70">
        <v>0</v>
      </c>
      <c r="AA6" s="70">
        <v>1</v>
      </c>
      <c r="AB6" s="71">
        <v>1</v>
      </c>
      <c r="AC6" s="70">
        <v>1</v>
      </c>
      <c r="AD6" s="65">
        <v>1</v>
      </c>
      <c r="AE6" s="65">
        <v>0</v>
      </c>
      <c r="AF6" s="65">
        <f t="shared" si="0"/>
        <v>1</v>
      </c>
      <c r="AG6" s="65">
        <v>1</v>
      </c>
      <c r="AH6" s="65">
        <v>1</v>
      </c>
      <c r="AI6"/>
      <c r="AJ6"/>
      <c r="AK6"/>
    </row>
    <row r="7" ht="22.5" customHeight="1" spans="1:37">
      <c r="A7" s="61">
        <v>11742</v>
      </c>
      <c r="B7" s="62" t="s">
        <v>442</v>
      </c>
      <c r="C7" s="63">
        <v>46029</v>
      </c>
      <c r="D7" s="63">
        <v>46033</v>
      </c>
      <c r="E7" s="64" t="s">
        <v>70</v>
      </c>
      <c r="F7" s="64" t="s">
        <v>70</v>
      </c>
      <c r="G7" s="64" t="s">
        <v>70</v>
      </c>
      <c r="H7" s="64" t="s">
        <v>277</v>
      </c>
      <c r="I7" s="64" t="s">
        <v>232</v>
      </c>
      <c r="J7" s="65">
        <v>3</v>
      </c>
      <c r="K7" s="65">
        <v>1</v>
      </c>
      <c r="L7" s="65">
        <v>11</v>
      </c>
      <c r="M7" s="65">
        <v>13</v>
      </c>
      <c r="N7" s="65">
        <f>_xlfn.XLOOKUP(A7,[1]月销售数据!$P:$P,[1]月销售数据!$V:$V)</f>
        <v>8</v>
      </c>
      <c r="O7" s="66">
        <v>387</v>
      </c>
      <c r="P7" s="67">
        <v>105</v>
      </c>
      <c r="Q7" s="67">
        <v>1243</v>
      </c>
      <c r="R7" s="67">
        <v>1430</v>
      </c>
      <c r="S7" s="67">
        <f>_xlfn.XLOOKUP($A7,[1]月销售数据!$P:$P,[1]月销售数据!$AA:$AA)</f>
        <v>880</v>
      </c>
      <c r="T7" s="68">
        <v>5</v>
      </c>
      <c r="U7" s="65">
        <v>9</v>
      </c>
      <c r="V7" s="65">
        <v>1</v>
      </c>
      <c r="W7" s="65">
        <v>1</v>
      </c>
      <c r="X7" s="65">
        <v>0</v>
      </c>
      <c r="Y7" s="69">
        <v>0.375</v>
      </c>
      <c r="Z7" s="70">
        <v>0.1</v>
      </c>
      <c r="AA7" s="70">
        <v>0.916666666666667</v>
      </c>
      <c r="AB7" s="71">
        <v>0.928571428571429</v>
      </c>
      <c r="AC7" s="70">
        <v>1</v>
      </c>
      <c r="AD7" s="65">
        <v>8</v>
      </c>
      <c r="AE7" s="65">
        <v>10</v>
      </c>
      <c r="AF7" s="65">
        <f t="shared" si="0"/>
        <v>12</v>
      </c>
      <c r="AG7" s="65">
        <v>14</v>
      </c>
      <c r="AH7" s="65">
        <v>8</v>
      </c>
      <c r="AI7"/>
      <c r="AJ7"/>
      <c r="AK7"/>
    </row>
    <row r="8" ht="22.5" customHeight="1" spans="1:37">
      <c r="A8" s="61">
        <v>11603</v>
      </c>
      <c r="B8" s="62" t="s">
        <v>443</v>
      </c>
      <c r="C8" s="63">
        <v>46031</v>
      </c>
      <c r="D8" s="63">
        <v>46041</v>
      </c>
      <c r="E8" s="64" t="s">
        <v>45</v>
      </c>
      <c r="F8" s="64" t="s">
        <v>45</v>
      </c>
      <c r="G8" s="64" t="s">
        <v>45</v>
      </c>
      <c r="H8" s="64" t="s">
        <v>277</v>
      </c>
      <c r="I8" s="64" t="s">
        <v>232</v>
      </c>
      <c r="J8" s="65">
        <v>4</v>
      </c>
      <c r="K8" s="65">
        <v>2</v>
      </c>
      <c r="L8" s="65">
        <v>7</v>
      </c>
      <c r="M8" s="65">
        <v>2</v>
      </c>
      <c r="N8" s="65">
        <f>_xlfn.XLOOKUP(A8,[1]月销售数据!$P:$P,[1]月销售数据!$V:$V)</f>
        <v>1</v>
      </c>
      <c r="O8" s="66">
        <v>396</v>
      </c>
      <c r="P8" s="67">
        <v>238</v>
      </c>
      <c r="Q8" s="67">
        <v>803.44</v>
      </c>
      <c r="R8" s="67">
        <v>238</v>
      </c>
      <c r="S8" s="67">
        <f>_xlfn.XLOOKUP($A8,[1]月销售数据!$P:$P,[1]月销售数据!$AA:$AA)</f>
        <v>119</v>
      </c>
      <c r="T8" s="68">
        <v>0</v>
      </c>
      <c r="U8" s="65">
        <v>0</v>
      </c>
      <c r="V8" s="65">
        <v>0</v>
      </c>
      <c r="W8" s="65">
        <v>0</v>
      </c>
      <c r="X8" s="65">
        <v>0</v>
      </c>
      <c r="Y8" s="69">
        <v>1</v>
      </c>
      <c r="Z8" s="70">
        <v>1</v>
      </c>
      <c r="AA8" s="70">
        <v>1</v>
      </c>
      <c r="AB8" s="71">
        <v>1</v>
      </c>
      <c r="AC8" s="70">
        <v>1</v>
      </c>
      <c r="AD8" s="65">
        <v>4</v>
      </c>
      <c r="AE8" s="65">
        <v>2</v>
      </c>
      <c r="AF8" s="65">
        <f t="shared" si="0"/>
        <v>7</v>
      </c>
      <c r="AG8" s="65">
        <v>2</v>
      </c>
      <c r="AH8" s="65">
        <v>1</v>
      </c>
      <c r="AI8"/>
      <c r="AJ8"/>
      <c r="AK8"/>
    </row>
    <row r="9" ht="22.5" customHeight="1" spans="1:37">
      <c r="A9" s="61">
        <v>11704</v>
      </c>
      <c r="B9" s="62" t="s">
        <v>444</v>
      </c>
      <c r="C9" s="63">
        <v>46034</v>
      </c>
      <c r="D9" s="63">
        <v>46070</v>
      </c>
      <c r="E9" s="64" t="s">
        <v>70</v>
      </c>
      <c r="F9" s="64" t="s">
        <v>70</v>
      </c>
      <c r="G9" s="64" t="s">
        <v>70</v>
      </c>
      <c r="H9" s="64" t="s">
        <v>256</v>
      </c>
      <c r="I9" s="64" t="s">
        <v>238</v>
      </c>
      <c r="J9" s="65">
        <v>0</v>
      </c>
      <c r="K9" s="65">
        <v>2</v>
      </c>
      <c r="L9" s="65">
        <v>6</v>
      </c>
      <c r="M9" s="65">
        <v>4</v>
      </c>
      <c r="N9" s="65">
        <f>_xlfn.XLOOKUP(A9,[1]月销售数据!$P:$P,[1]月销售数据!$V:$V)</f>
        <v>3</v>
      </c>
      <c r="O9" s="66">
        <v>0</v>
      </c>
      <c r="P9" s="67">
        <v>204</v>
      </c>
      <c r="Q9" s="67">
        <v>612</v>
      </c>
      <c r="R9" s="67">
        <v>401</v>
      </c>
      <c r="S9" s="67">
        <f>_xlfn.XLOOKUP($A9,[1]月销售数据!$P:$P,[1]月销售数据!$AA:$AA)</f>
        <v>289.6</v>
      </c>
      <c r="T9" s="68">
        <v>3</v>
      </c>
      <c r="U9" s="65">
        <v>8</v>
      </c>
      <c r="V9" s="65">
        <v>8</v>
      </c>
      <c r="W9" s="65">
        <v>8</v>
      </c>
      <c r="X9" s="65">
        <v>10</v>
      </c>
      <c r="Y9" s="69">
        <v>0</v>
      </c>
      <c r="Z9" s="70">
        <v>0.2</v>
      </c>
      <c r="AA9" s="70">
        <v>0.428571428571429</v>
      </c>
      <c r="AB9" s="71">
        <v>0.333333333333333</v>
      </c>
      <c r="AC9" s="70">
        <v>0.230769230769231</v>
      </c>
      <c r="AD9" s="65">
        <v>3</v>
      </c>
      <c r="AE9" s="65">
        <v>10</v>
      </c>
      <c r="AF9" s="65">
        <f t="shared" si="0"/>
        <v>14</v>
      </c>
      <c r="AG9" s="65">
        <v>12</v>
      </c>
      <c r="AH9" s="65">
        <v>13</v>
      </c>
      <c r="AI9"/>
      <c r="AJ9"/>
      <c r="AK9"/>
    </row>
    <row r="10" ht="22.5" customHeight="1" spans="1:37">
      <c r="A10" s="61">
        <v>11699</v>
      </c>
      <c r="B10" s="62" t="s">
        <v>445</v>
      </c>
      <c r="C10" s="63">
        <v>46034</v>
      </c>
      <c r="D10" s="63">
        <v>46044</v>
      </c>
      <c r="E10" s="64" t="s">
        <v>70</v>
      </c>
      <c r="F10" s="64" t="s">
        <v>70</v>
      </c>
      <c r="G10" s="64" t="s">
        <v>70</v>
      </c>
      <c r="H10" s="64" t="s">
        <v>256</v>
      </c>
      <c r="I10" s="64" t="s">
        <v>232</v>
      </c>
      <c r="J10" s="65">
        <v>4</v>
      </c>
      <c r="K10" s="65">
        <v>2</v>
      </c>
      <c r="L10" s="65">
        <v>5</v>
      </c>
      <c r="M10" s="65">
        <v>4</v>
      </c>
      <c r="N10" s="65">
        <f>_xlfn.XLOOKUP(A10,[1]月销售数据!$P:$P,[1]月销售数据!$V:$V)</f>
        <v>4</v>
      </c>
      <c r="O10" s="66">
        <v>440</v>
      </c>
      <c r="P10" s="67">
        <v>220</v>
      </c>
      <c r="Q10" s="67">
        <v>550</v>
      </c>
      <c r="R10" s="67">
        <v>445</v>
      </c>
      <c r="S10" s="67">
        <f>_xlfn.XLOOKUP($A10,[1]月销售数据!$P:$P,[1]月销售数据!$AA:$AA)</f>
        <v>445</v>
      </c>
      <c r="T10" s="68">
        <v>5</v>
      </c>
      <c r="U10" s="65">
        <v>12</v>
      </c>
      <c r="V10" s="65">
        <v>10</v>
      </c>
      <c r="W10" s="65">
        <v>13</v>
      </c>
      <c r="X10" s="65">
        <v>10</v>
      </c>
      <c r="Y10" s="69">
        <v>0.444444444444444</v>
      </c>
      <c r="Z10" s="70">
        <v>0.142857142857143</v>
      </c>
      <c r="AA10" s="70">
        <v>0.333333333333333</v>
      </c>
      <c r="AB10" s="71">
        <v>0.235294117647059</v>
      </c>
      <c r="AC10" s="70">
        <v>0.285714285714286</v>
      </c>
      <c r="AD10" s="65">
        <v>9</v>
      </c>
      <c r="AE10" s="65">
        <v>14</v>
      </c>
      <c r="AF10" s="65">
        <f t="shared" si="0"/>
        <v>15</v>
      </c>
      <c r="AG10" s="65">
        <v>17</v>
      </c>
      <c r="AH10" s="65">
        <v>14</v>
      </c>
      <c r="AI10"/>
      <c r="AJ10"/>
      <c r="AK10"/>
    </row>
    <row r="11" ht="22.5" customHeight="1" spans="1:37">
      <c r="A11" s="61">
        <v>11982</v>
      </c>
      <c r="B11" s="62" t="s">
        <v>446</v>
      </c>
      <c r="C11" s="63">
        <v>46034</v>
      </c>
      <c r="D11" s="63">
        <v>46036</v>
      </c>
      <c r="E11" s="64" t="s">
        <v>45</v>
      </c>
      <c r="F11" s="64" t="s">
        <v>45</v>
      </c>
      <c r="G11" s="64" t="s">
        <v>45</v>
      </c>
      <c r="H11" s="64" t="s">
        <v>231</v>
      </c>
      <c r="I11" s="64" t="s">
        <v>232</v>
      </c>
      <c r="J11" s="65">
        <v>3</v>
      </c>
      <c r="K11" s="65">
        <v>6</v>
      </c>
      <c r="L11" s="65">
        <v>6</v>
      </c>
      <c r="M11" s="65">
        <v>8</v>
      </c>
      <c r="N11" s="65">
        <f>_xlfn.XLOOKUP(A11,[1]月销售数据!$P:$P,[1]月销售数据!$V:$V)</f>
        <v>10</v>
      </c>
      <c r="O11" s="66">
        <v>465</v>
      </c>
      <c r="P11" s="67">
        <v>915.99</v>
      </c>
      <c r="Q11" s="67">
        <v>922.64</v>
      </c>
      <c r="R11" s="67">
        <v>1212.99</v>
      </c>
      <c r="S11" s="67">
        <f>_xlfn.XLOOKUP($A11,[1]月销售数据!$P:$P,[1]月销售数据!$AA:$AA)</f>
        <v>1516.94</v>
      </c>
      <c r="T11" s="68">
        <v>3</v>
      </c>
      <c r="U11" s="65">
        <v>2</v>
      </c>
      <c r="V11" s="65">
        <v>3</v>
      </c>
      <c r="W11" s="65">
        <v>4</v>
      </c>
      <c r="X11" s="65">
        <v>2</v>
      </c>
      <c r="Y11" s="69">
        <v>0.5</v>
      </c>
      <c r="Z11" s="70">
        <v>0.75</v>
      </c>
      <c r="AA11" s="70">
        <v>0.666666666666667</v>
      </c>
      <c r="AB11" s="71">
        <v>0.666666666666667</v>
      </c>
      <c r="AC11" s="70">
        <v>0.833333333333333</v>
      </c>
      <c r="AD11" s="65">
        <v>6</v>
      </c>
      <c r="AE11" s="65">
        <v>8</v>
      </c>
      <c r="AF11" s="65">
        <f t="shared" si="0"/>
        <v>9</v>
      </c>
      <c r="AG11" s="65">
        <v>12</v>
      </c>
      <c r="AH11" s="65">
        <v>12</v>
      </c>
      <c r="AI11"/>
      <c r="AJ11"/>
      <c r="AK11"/>
    </row>
    <row r="12" ht="22.5" customHeight="1" spans="1:37">
      <c r="A12" s="61">
        <v>11911</v>
      </c>
      <c r="B12" s="62" t="s">
        <v>447</v>
      </c>
      <c r="C12" s="63">
        <v>46034</v>
      </c>
      <c r="D12" s="63">
        <v>46043</v>
      </c>
      <c r="E12" s="64" t="s">
        <v>52</v>
      </c>
      <c r="F12" s="64" t="s">
        <v>52</v>
      </c>
      <c r="G12" s="64" t="s">
        <v>52</v>
      </c>
      <c r="H12" s="64" t="s">
        <v>250</v>
      </c>
      <c r="I12" s="64" t="s">
        <v>232</v>
      </c>
      <c r="J12" s="65">
        <v>4</v>
      </c>
      <c r="K12" s="65">
        <v>16</v>
      </c>
      <c r="L12" s="65">
        <v>33</v>
      </c>
      <c r="M12" s="65">
        <v>33</v>
      </c>
      <c r="N12" s="65">
        <f>_xlfn.XLOOKUP(A12,[1]月销售数据!$P:$P,[1]月销售数据!$V:$V)</f>
        <v>29</v>
      </c>
      <c r="O12" s="66">
        <v>248.64</v>
      </c>
      <c r="P12" s="67">
        <v>994.56</v>
      </c>
      <c r="Q12" s="67">
        <v>2050.78</v>
      </c>
      <c r="R12" s="67">
        <v>2048.78</v>
      </c>
      <c r="S12" s="67">
        <f>_xlfn.XLOOKUP($A12,[1]月销售数据!$P:$P,[1]月销售数据!$AA:$AA)</f>
        <v>1820.46</v>
      </c>
      <c r="T12" s="68">
        <v>21</v>
      </c>
      <c r="U12" s="65">
        <v>53</v>
      </c>
      <c r="V12" s="65">
        <v>80</v>
      </c>
      <c r="W12" s="65">
        <v>80</v>
      </c>
      <c r="X12" s="65">
        <v>85</v>
      </c>
      <c r="Y12" s="69">
        <v>0.16</v>
      </c>
      <c r="Z12" s="70">
        <v>0.231884057971014</v>
      </c>
      <c r="AA12" s="70">
        <v>0.292035398230089</v>
      </c>
      <c r="AB12" s="71">
        <v>0.292035398230089</v>
      </c>
      <c r="AC12" s="70">
        <v>0.254385964912281</v>
      </c>
      <c r="AD12" s="65">
        <v>25</v>
      </c>
      <c r="AE12" s="65">
        <v>69</v>
      </c>
      <c r="AF12" s="65">
        <f t="shared" si="0"/>
        <v>113</v>
      </c>
      <c r="AG12" s="65">
        <v>113</v>
      </c>
      <c r="AH12" s="65">
        <v>114</v>
      </c>
      <c r="AI12"/>
      <c r="AJ12"/>
      <c r="AK12"/>
    </row>
    <row r="13" ht="22.5" customHeight="1" spans="1:37">
      <c r="A13" s="61">
        <v>11848</v>
      </c>
      <c r="B13" s="62" t="s">
        <v>448</v>
      </c>
      <c r="C13" s="63">
        <v>46034</v>
      </c>
      <c r="D13" s="63">
        <v>46054</v>
      </c>
      <c r="E13" s="64" t="s">
        <v>52</v>
      </c>
      <c r="F13" s="64" t="s">
        <v>52</v>
      </c>
      <c r="G13" s="64" t="s">
        <v>52</v>
      </c>
      <c r="H13" s="64" t="s">
        <v>250</v>
      </c>
      <c r="I13" s="64" t="s">
        <v>238</v>
      </c>
      <c r="J13" s="65">
        <v>0</v>
      </c>
      <c r="K13" s="65">
        <v>3</v>
      </c>
      <c r="L13" s="65">
        <v>7</v>
      </c>
      <c r="M13" s="65">
        <v>6</v>
      </c>
      <c r="N13" s="65">
        <f>_xlfn.XLOOKUP(A13,[1]月销售数据!$P:$P,[1]月销售数据!$V:$V)</f>
        <v>8</v>
      </c>
      <c r="O13" s="66">
        <v>0</v>
      </c>
      <c r="P13" s="67">
        <v>165</v>
      </c>
      <c r="Q13" s="67">
        <v>385</v>
      </c>
      <c r="R13" s="67">
        <v>305.8</v>
      </c>
      <c r="S13" s="67">
        <f>_xlfn.XLOOKUP($A13,[1]月销售数据!$P:$P,[1]月销售数据!$AA:$AA)</f>
        <v>396</v>
      </c>
      <c r="T13" s="68">
        <v>0</v>
      </c>
      <c r="U13" s="65">
        <v>0</v>
      </c>
      <c r="V13" s="65">
        <v>2</v>
      </c>
      <c r="W13" s="65">
        <v>3</v>
      </c>
      <c r="X13" s="65">
        <v>4</v>
      </c>
      <c r="Y13" s="69">
        <v>0</v>
      </c>
      <c r="Z13" s="70">
        <v>1</v>
      </c>
      <c r="AA13" s="70">
        <v>0.777777777777778</v>
      </c>
      <c r="AB13" s="71">
        <v>0.666666666666667</v>
      </c>
      <c r="AC13" s="70">
        <v>0.666666666666667</v>
      </c>
      <c r="AD13" s="65">
        <v>0</v>
      </c>
      <c r="AE13" s="65">
        <v>3</v>
      </c>
      <c r="AF13" s="65">
        <f t="shared" si="0"/>
        <v>9</v>
      </c>
      <c r="AG13" s="65">
        <v>9</v>
      </c>
      <c r="AH13" s="65">
        <v>12</v>
      </c>
      <c r="AI13"/>
      <c r="AJ13"/>
      <c r="AK13"/>
    </row>
    <row r="14" ht="22.5" customHeight="1" spans="1:37">
      <c r="A14" s="61">
        <v>11875</v>
      </c>
      <c r="B14" s="62" t="s">
        <v>449</v>
      </c>
      <c r="C14" s="63">
        <v>46034</v>
      </c>
      <c r="D14" s="63">
        <v>46041</v>
      </c>
      <c r="E14" s="64" t="s">
        <v>52</v>
      </c>
      <c r="F14" s="64" t="s">
        <v>52</v>
      </c>
      <c r="G14" s="64" t="s">
        <v>52</v>
      </c>
      <c r="H14" s="64" t="s">
        <v>250</v>
      </c>
      <c r="I14" s="64" t="s">
        <v>238</v>
      </c>
      <c r="J14" s="65">
        <v>10</v>
      </c>
      <c r="K14" s="65">
        <v>10</v>
      </c>
      <c r="L14" s="65">
        <v>20</v>
      </c>
      <c r="M14" s="65">
        <v>6</v>
      </c>
      <c r="N14" s="65">
        <f>_xlfn.XLOOKUP(A14,[1]月销售数据!$P:$P,[1]月销售数据!$V:$V)</f>
        <v>0</v>
      </c>
      <c r="O14" s="66">
        <v>2300</v>
      </c>
      <c r="P14" s="67">
        <v>2320.34</v>
      </c>
      <c r="Q14" s="67">
        <v>4838.64</v>
      </c>
      <c r="R14" s="67">
        <v>1437.44</v>
      </c>
      <c r="S14" s="67">
        <f>_xlfn.XLOOKUP($A14,[1]月销售数据!$P:$P,[1]月销售数据!$AA:$AA)</f>
        <v>0</v>
      </c>
      <c r="T14" s="68">
        <v>0</v>
      </c>
      <c r="U14" s="65">
        <v>0</v>
      </c>
      <c r="V14" s="65">
        <v>0</v>
      </c>
      <c r="W14" s="65">
        <v>0</v>
      </c>
      <c r="X14" s="65">
        <v>0</v>
      </c>
      <c r="Y14" s="69">
        <v>1</v>
      </c>
      <c r="Z14" s="70">
        <v>1</v>
      </c>
      <c r="AA14" s="70">
        <v>1</v>
      </c>
      <c r="AB14" s="71">
        <v>1</v>
      </c>
      <c r="AC14" s="70" t="s">
        <v>106</v>
      </c>
      <c r="AD14" s="65">
        <v>10</v>
      </c>
      <c r="AE14" s="65">
        <v>10</v>
      </c>
      <c r="AF14" s="65">
        <f t="shared" si="0"/>
        <v>20</v>
      </c>
      <c r="AG14" s="65">
        <v>6</v>
      </c>
      <c r="AH14" s="65">
        <v>0</v>
      </c>
      <c r="AI14"/>
      <c r="AJ14"/>
      <c r="AK14"/>
    </row>
    <row r="15" ht="22.5" customHeight="1" spans="1:37">
      <c r="A15" s="61">
        <v>11833</v>
      </c>
      <c r="B15" s="62" t="s">
        <v>450</v>
      </c>
      <c r="C15" s="63">
        <v>46034</v>
      </c>
      <c r="D15" s="63">
        <v>46040</v>
      </c>
      <c r="E15" s="64" t="s">
        <v>70</v>
      </c>
      <c r="F15" s="64" t="s">
        <v>70</v>
      </c>
      <c r="G15" s="64" t="s">
        <v>70</v>
      </c>
      <c r="H15" s="64" t="s">
        <v>253</v>
      </c>
      <c r="I15" s="64" t="s">
        <v>232</v>
      </c>
      <c r="J15" s="65">
        <v>1</v>
      </c>
      <c r="K15" s="65">
        <v>8</v>
      </c>
      <c r="L15" s="65">
        <v>11</v>
      </c>
      <c r="M15" s="65">
        <v>5</v>
      </c>
      <c r="N15" s="65">
        <f>_xlfn.XLOOKUP(A15,[1]月销售数据!$P:$P,[1]月销售数据!$V:$V)</f>
        <v>9</v>
      </c>
      <c r="O15" s="66">
        <v>158</v>
      </c>
      <c r="P15" s="67">
        <v>360</v>
      </c>
      <c r="Q15" s="67">
        <v>490.5</v>
      </c>
      <c r="R15" s="67">
        <v>222.75</v>
      </c>
      <c r="S15" s="67">
        <f>_xlfn.XLOOKUP($A15,[1]月销售数据!$P:$P,[1]月销售数据!$AA:$AA)</f>
        <v>405</v>
      </c>
      <c r="T15" s="68">
        <v>1</v>
      </c>
      <c r="U15" s="65">
        <v>1</v>
      </c>
      <c r="V15" s="65">
        <v>0</v>
      </c>
      <c r="W15" s="65">
        <v>0</v>
      </c>
      <c r="X15" s="65">
        <v>1</v>
      </c>
      <c r="Y15" s="69">
        <v>0.5</v>
      </c>
      <c r="Z15" s="70">
        <v>0.888888888888889</v>
      </c>
      <c r="AA15" s="70">
        <v>1</v>
      </c>
      <c r="AB15" s="71">
        <v>1</v>
      </c>
      <c r="AC15" s="70">
        <v>0.9</v>
      </c>
      <c r="AD15" s="65">
        <v>2</v>
      </c>
      <c r="AE15" s="65">
        <v>9</v>
      </c>
      <c r="AF15" s="65">
        <f t="shared" si="0"/>
        <v>11</v>
      </c>
      <c r="AG15" s="65">
        <v>5</v>
      </c>
      <c r="AH15" s="65">
        <v>10</v>
      </c>
      <c r="AI15"/>
      <c r="AJ15"/>
      <c r="AK15"/>
    </row>
    <row r="16" ht="22.5" customHeight="1" spans="1:37">
      <c r="A16" s="61">
        <v>11683</v>
      </c>
      <c r="B16" s="62" t="s">
        <v>451</v>
      </c>
      <c r="C16" s="63">
        <v>46041</v>
      </c>
      <c r="D16" s="63" t="s">
        <v>103</v>
      </c>
      <c r="E16" s="64" t="s">
        <v>52</v>
      </c>
      <c r="F16" s="64" t="s">
        <v>52</v>
      </c>
      <c r="G16" s="64" t="s">
        <v>52</v>
      </c>
      <c r="H16" s="64" t="s">
        <v>250</v>
      </c>
      <c r="I16" s="64" t="s">
        <v>238</v>
      </c>
      <c r="J16" s="65">
        <v>0</v>
      </c>
      <c r="K16" s="65">
        <v>0</v>
      </c>
      <c r="L16" s="65">
        <v>0</v>
      </c>
      <c r="M16" s="65">
        <v>0</v>
      </c>
      <c r="N16" s="65">
        <f>_xlfn.XLOOKUP(A16,[1]月销售数据!$P:$P,[1]月销售数据!$V:$V)</f>
        <v>0</v>
      </c>
      <c r="O16" s="66">
        <v>0</v>
      </c>
      <c r="P16" s="67">
        <v>0</v>
      </c>
      <c r="Q16" s="67">
        <v>0</v>
      </c>
      <c r="R16" s="67">
        <v>0</v>
      </c>
      <c r="S16" s="67">
        <f>_xlfn.XLOOKUP($A16,[1]月销售数据!$P:$P,[1]月销售数据!$AA:$AA)</f>
        <v>0</v>
      </c>
      <c r="T16" s="68">
        <v>0</v>
      </c>
      <c r="U16" s="65">
        <v>0</v>
      </c>
      <c r="V16" s="65">
        <v>0</v>
      </c>
      <c r="W16" s="65">
        <v>0</v>
      </c>
      <c r="X16" s="65">
        <v>0</v>
      </c>
      <c r="Y16" s="69">
        <v>0</v>
      </c>
      <c r="Z16" s="70">
        <v>0</v>
      </c>
      <c r="AA16" s="70" t="s">
        <v>106</v>
      </c>
      <c r="AB16" s="71">
        <v>0</v>
      </c>
      <c r="AC16" s="70" t="s">
        <v>106</v>
      </c>
      <c r="AD16" s="65">
        <v>0</v>
      </c>
      <c r="AE16" s="65">
        <v>0</v>
      </c>
      <c r="AF16" s="65">
        <f t="shared" si="0"/>
        <v>0</v>
      </c>
      <c r="AG16" s="65">
        <v>0</v>
      </c>
      <c r="AH16" s="65">
        <v>0</v>
      </c>
      <c r="AI16"/>
      <c r="AJ16"/>
      <c r="AK16"/>
    </row>
    <row r="17" ht="22.5" customHeight="1" spans="1:37">
      <c r="A17" s="61">
        <v>11733</v>
      </c>
      <c r="B17" s="62" t="s">
        <v>452</v>
      </c>
      <c r="C17" s="63">
        <v>46041</v>
      </c>
      <c r="D17" s="63">
        <v>46066</v>
      </c>
      <c r="E17" s="64" t="s">
        <v>70</v>
      </c>
      <c r="F17" s="64" t="s">
        <v>70</v>
      </c>
      <c r="G17" s="64" t="s">
        <v>70</v>
      </c>
      <c r="H17" s="64" t="s">
        <v>250</v>
      </c>
      <c r="I17" s="64" t="s">
        <v>232</v>
      </c>
      <c r="J17" s="65">
        <v>0</v>
      </c>
      <c r="K17" s="65">
        <v>5</v>
      </c>
      <c r="L17" s="65">
        <v>4</v>
      </c>
      <c r="M17" s="65">
        <v>6</v>
      </c>
      <c r="N17" s="65">
        <f>_xlfn.XLOOKUP(A17,[1]月销售数据!$P:$P,[1]月销售数据!$V:$V)</f>
        <v>3</v>
      </c>
      <c r="O17" s="66">
        <v>0</v>
      </c>
      <c r="P17" s="67">
        <v>175</v>
      </c>
      <c r="Q17" s="67">
        <v>140</v>
      </c>
      <c r="R17" s="67">
        <v>216</v>
      </c>
      <c r="S17" s="67">
        <f>_xlfn.XLOOKUP($A17,[1]月销售数据!$P:$P,[1]月销售数据!$AA:$AA)</f>
        <v>107</v>
      </c>
      <c r="T17" s="68">
        <v>0</v>
      </c>
      <c r="U17" s="65">
        <v>0</v>
      </c>
      <c r="V17" s="65">
        <v>0</v>
      </c>
      <c r="W17" s="65">
        <v>0</v>
      </c>
      <c r="X17" s="65">
        <v>0</v>
      </c>
      <c r="Y17" s="69">
        <v>0</v>
      </c>
      <c r="Z17" s="70">
        <v>1</v>
      </c>
      <c r="AA17" s="70">
        <v>1</v>
      </c>
      <c r="AB17" s="71">
        <v>1</v>
      </c>
      <c r="AC17" s="70">
        <v>1</v>
      </c>
      <c r="AD17" s="65">
        <v>0</v>
      </c>
      <c r="AE17" s="65">
        <v>5</v>
      </c>
      <c r="AF17" s="65">
        <f t="shared" si="0"/>
        <v>4</v>
      </c>
      <c r="AG17" s="65">
        <v>6</v>
      </c>
      <c r="AH17" s="65">
        <v>3</v>
      </c>
      <c r="AI17"/>
      <c r="AJ17"/>
      <c r="AK17"/>
    </row>
    <row r="18" ht="22.5" customHeight="1" spans="1:37">
      <c r="A18" s="61">
        <v>11751</v>
      </c>
      <c r="B18" s="62" t="s">
        <v>453</v>
      </c>
      <c r="C18" s="63">
        <v>46041</v>
      </c>
      <c r="D18" s="63">
        <v>46043</v>
      </c>
      <c r="E18" s="64" t="s">
        <v>76</v>
      </c>
      <c r="F18" s="64" t="s">
        <v>76</v>
      </c>
      <c r="G18" s="64" t="s">
        <v>76</v>
      </c>
      <c r="H18" s="64" t="s">
        <v>237</v>
      </c>
      <c r="I18" s="64" t="s">
        <v>232</v>
      </c>
      <c r="J18" s="65">
        <v>2</v>
      </c>
      <c r="K18" s="65">
        <v>24</v>
      </c>
      <c r="L18" s="65">
        <v>40</v>
      </c>
      <c r="M18" s="65">
        <v>28</v>
      </c>
      <c r="N18" s="65">
        <f>_xlfn.XLOOKUP(A18,[1]月销售数据!$P:$P,[1]月销售数据!$V:$V)</f>
        <v>19</v>
      </c>
      <c r="O18" s="66">
        <v>138</v>
      </c>
      <c r="P18" s="67">
        <v>1652.55</v>
      </c>
      <c r="Q18" s="67">
        <v>2761.5</v>
      </c>
      <c r="R18" s="67">
        <v>2054.96</v>
      </c>
      <c r="S18" s="67">
        <f>_xlfn.XLOOKUP($A18,[1]月销售数据!$P:$P,[1]月销售数据!$AA:$AA)</f>
        <v>1387.5</v>
      </c>
      <c r="T18" s="68">
        <v>6</v>
      </c>
      <c r="U18" s="65">
        <v>10</v>
      </c>
      <c r="V18" s="65">
        <v>9</v>
      </c>
      <c r="W18" s="65">
        <v>8</v>
      </c>
      <c r="X18" s="65">
        <v>17</v>
      </c>
      <c r="Y18" s="69">
        <v>0.25</v>
      </c>
      <c r="Z18" s="70">
        <v>0.705882352941177</v>
      </c>
      <c r="AA18" s="70">
        <v>0.816326530612245</v>
      </c>
      <c r="AB18" s="71">
        <v>0.777777777777778</v>
      </c>
      <c r="AC18" s="70">
        <v>0.527777777777778</v>
      </c>
      <c r="AD18" s="65">
        <v>8</v>
      </c>
      <c r="AE18" s="65">
        <v>34</v>
      </c>
      <c r="AF18" s="65">
        <f t="shared" si="0"/>
        <v>49</v>
      </c>
      <c r="AG18" s="65">
        <v>36</v>
      </c>
      <c r="AH18" s="65">
        <v>36</v>
      </c>
      <c r="AI18"/>
      <c r="AJ18"/>
      <c r="AK18"/>
    </row>
    <row r="19" ht="22.5" customHeight="1" spans="1:37">
      <c r="A19" s="61">
        <v>11830</v>
      </c>
      <c r="B19" s="62" t="s">
        <v>454</v>
      </c>
      <c r="C19" s="63">
        <v>46041</v>
      </c>
      <c r="D19" s="63">
        <v>46054</v>
      </c>
      <c r="E19" s="64" t="s">
        <v>76</v>
      </c>
      <c r="F19" s="64" t="s">
        <v>76</v>
      </c>
      <c r="G19" s="64" t="s">
        <v>76</v>
      </c>
      <c r="H19" s="64" t="s">
        <v>237</v>
      </c>
      <c r="I19" s="64" t="s">
        <v>232</v>
      </c>
      <c r="J19" s="65">
        <v>0</v>
      </c>
      <c r="K19" s="65">
        <v>21</v>
      </c>
      <c r="L19" s="65">
        <v>22</v>
      </c>
      <c r="M19" s="65">
        <v>13</v>
      </c>
      <c r="N19" s="65">
        <f>_xlfn.XLOOKUP(A19,[1]月销售数据!$P:$P,[1]月销售数据!$V:$V)</f>
        <v>7</v>
      </c>
      <c r="O19" s="66">
        <v>0</v>
      </c>
      <c r="P19" s="67">
        <v>1239</v>
      </c>
      <c r="Q19" s="67">
        <v>1298</v>
      </c>
      <c r="R19" s="67">
        <v>767</v>
      </c>
      <c r="S19" s="67">
        <f>_xlfn.XLOOKUP($A19,[1]月销售数据!$P:$P,[1]月销售数据!$AA:$AA)</f>
        <v>399.5</v>
      </c>
      <c r="T19" s="68">
        <v>0</v>
      </c>
      <c r="U19" s="65">
        <v>1</v>
      </c>
      <c r="V19" s="65">
        <v>0</v>
      </c>
      <c r="W19" s="65">
        <v>3</v>
      </c>
      <c r="X19" s="65">
        <v>3</v>
      </c>
      <c r="Y19" s="69">
        <v>0</v>
      </c>
      <c r="Z19" s="70">
        <v>0.954545454545455</v>
      </c>
      <c r="AA19" s="70">
        <v>1</v>
      </c>
      <c r="AB19" s="71">
        <v>0.8125</v>
      </c>
      <c r="AC19" s="70">
        <v>0.7</v>
      </c>
      <c r="AD19" s="65">
        <v>0</v>
      </c>
      <c r="AE19" s="65">
        <v>22</v>
      </c>
      <c r="AF19" s="65">
        <f t="shared" si="0"/>
        <v>22</v>
      </c>
      <c r="AG19" s="65">
        <v>16</v>
      </c>
      <c r="AH19" s="65">
        <v>10</v>
      </c>
      <c r="AI19"/>
      <c r="AJ19"/>
      <c r="AK19"/>
    </row>
    <row r="20" ht="22.5" customHeight="1" spans="1:37">
      <c r="A20" s="61">
        <v>11736</v>
      </c>
      <c r="B20" s="62" t="s">
        <v>455</v>
      </c>
      <c r="C20" s="63">
        <v>46042</v>
      </c>
      <c r="D20" s="63">
        <v>46065</v>
      </c>
      <c r="E20" s="64" t="s">
        <v>70</v>
      </c>
      <c r="F20" s="64" t="s">
        <v>70</v>
      </c>
      <c r="G20" s="64" t="s">
        <v>70</v>
      </c>
      <c r="H20" s="64" t="s">
        <v>277</v>
      </c>
      <c r="I20" s="64" t="s">
        <v>232</v>
      </c>
      <c r="J20" s="65">
        <v>0</v>
      </c>
      <c r="K20" s="65">
        <v>8</v>
      </c>
      <c r="L20" s="65">
        <v>13</v>
      </c>
      <c r="M20" s="65">
        <v>14</v>
      </c>
      <c r="N20" s="65">
        <f>_xlfn.XLOOKUP(A20,[1]月销售数据!$P:$P,[1]月销售数据!$V:$V)</f>
        <v>12</v>
      </c>
      <c r="O20" s="66">
        <v>0</v>
      </c>
      <c r="P20" s="67">
        <v>839.95</v>
      </c>
      <c r="Q20" s="67">
        <v>1392</v>
      </c>
      <c r="R20" s="67">
        <v>1486</v>
      </c>
      <c r="S20" s="67">
        <f>_xlfn.XLOOKUP($A20,[1]月销售数据!$P:$P,[1]月销售数据!$AA:$AA)</f>
        <v>1304.42</v>
      </c>
      <c r="T20" s="68">
        <v>2</v>
      </c>
      <c r="U20" s="65">
        <v>15</v>
      </c>
      <c r="V20" s="65">
        <v>7</v>
      </c>
      <c r="W20" s="65">
        <v>1</v>
      </c>
      <c r="X20" s="65">
        <v>2</v>
      </c>
      <c r="Y20" s="69">
        <v>0</v>
      </c>
      <c r="Z20" s="70">
        <v>0.347826086956522</v>
      </c>
      <c r="AA20" s="70">
        <v>0.65</v>
      </c>
      <c r="AB20" s="71">
        <v>0.933333333333333</v>
      </c>
      <c r="AC20" s="70">
        <v>0.857142857142857</v>
      </c>
      <c r="AD20" s="65">
        <v>2</v>
      </c>
      <c r="AE20" s="65">
        <v>23</v>
      </c>
      <c r="AF20" s="65">
        <f t="shared" si="0"/>
        <v>20</v>
      </c>
      <c r="AG20" s="65">
        <v>15</v>
      </c>
      <c r="AH20" s="65">
        <v>14</v>
      </c>
      <c r="AI20"/>
      <c r="AJ20"/>
      <c r="AK20"/>
    </row>
    <row r="21" ht="22.5" customHeight="1" spans="1:37">
      <c r="A21" s="61">
        <v>11745</v>
      </c>
      <c r="B21" s="62" t="s">
        <v>456</v>
      </c>
      <c r="C21" s="63">
        <v>46042</v>
      </c>
      <c r="D21" s="63">
        <v>46047</v>
      </c>
      <c r="E21" s="64" t="s">
        <v>45</v>
      </c>
      <c r="F21" s="64" t="s">
        <v>45</v>
      </c>
      <c r="G21" s="64" t="s">
        <v>45</v>
      </c>
      <c r="H21" s="64" t="s">
        <v>231</v>
      </c>
      <c r="I21" s="64" t="s">
        <v>232</v>
      </c>
      <c r="J21" s="65">
        <v>1</v>
      </c>
      <c r="K21" s="65">
        <v>3</v>
      </c>
      <c r="L21" s="65">
        <v>9</v>
      </c>
      <c r="M21" s="65">
        <v>11</v>
      </c>
      <c r="N21" s="65">
        <f>_xlfn.XLOOKUP(A21,[1]月销售数据!$P:$P,[1]月销售数据!$V:$V)</f>
        <v>10</v>
      </c>
      <c r="O21" s="66">
        <v>80</v>
      </c>
      <c r="P21" s="67">
        <v>240</v>
      </c>
      <c r="Q21" s="67">
        <v>697.93</v>
      </c>
      <c r="R21" s="67">
        <v>839.12</v>
      </c>
      <c r="S21" s="67">
        <f>_xlfn.XLOOKUP($A21,[1]月销售数据!$P:$P,[1]月销售数据!$AA:$AA)</f>
        <v>664.9</v>
      </c>
      <c r="T21" s="68">
        <v>3</v>
      </c>
      <c r="U21" s="65">
        <v>14</v>
      </c>
      <c r="V21" s="65">
        <v>13</v>
      </c>
      <c r="W21" s="65">
        <v>17</v>
      </c>
      <c r="X21" s="65">
        <v>14</v>
      </c>
      <c r="Y21" s="69">
        <v>0.25</v>
      </c>
      <c r="Z21" s="70">
        <v>0.176470588235294</v>
      </c>
      <c r="AA21" s="70">
        <v>0.409090909090909</v>
      </c>
      <c r="AB21" s="71">
        <v>0.392857142857143</v>
      </c>
      <c r="AC21" s="70">
        <v>0.416666666666667</v>
      </c>
      <c r="AD21" s="65">
        <v>4</v>
      </c>
      <c r="AE21" s="65">
        <v>17</v>
      </c>
      <c r="AF21" s="65">
        <f t="shared" si="0"/>
        <v>22</v>
      </c>
      <c r="AG21" s="65">
        <v>28</v>
      </c>
      <c r="AH21" s="65">
        <v>24</v>
      </c>
      <c r="AI21"/>
      <c r="AJ21"/>
      <c r="AK21"/>
    </row>
    <row r="22" ht="22.5" customHeight="1" spans="1:37">
      <c r="A22" s="61">
        <v>11777</v>
      </c>
      <c r="B22" s="62" t="s">
        <v>457</v>
      </c>
      <c r="C22" s="63">
        <v>46042</v>
      </c>
      <c r="D22" s="63">
        <v>46065</v>
      </c>
      <c r="E22" s="64" t="s">
        <v>45</v>
      </c>
      <c r="F22" s="64" t="s">
        <v>45</v>
      </c>
      <c r="G22" s="64" t="s">
        <v>45</v>
      </c>
      <c r="H22" s="64" t="s">
        <v>231</v>
      </c>
      <c r="I22" s="64" t="s">
        <v>232</v>
      </c>
      <c r="J22" s="65">
        <v>0</v>
      </c>
      <c r="K22" s="65">
        <v>2</v>
      </c>
      <c r="L22" s="65">
        <v>7</v>
      </c>
      <c r="M22" s="65">
        <v>5</v>
      </c>
      <c r="N22" s="65">
        <f>_xlfn.XLOOKUP(A22,[1]月销售数据!$P:$P,[1]月销售数据!$V:$V)</f>
        <v>5</v>
      </c>
      <c r="O22" s="66">
        <v>0</v>
      </c>
      <c r="P22" s="67">
        <v>430</v>
      </c>
      <c r="Q22" s="67">
        <v>1485</v>
      </c>
      <c r="R22" s="67">
        <v>1075</v>
      </c>
      <c r="S22" s="67">
        <f>_xlfn.XLOOKUP($A22,[1]月销售数据!$P:$P,[1]月销售数据!$AA:$AA)</f>
        <v>1022</v>
      </c>
      <c r="T22" s="68">
        <v>0</v>
      </c>
      <c r="U22" s="65">
        <v>0</v>
      </c>
      <c r="V22" s="65">
        <v>0</v>
      </c>
      <c r="W22" s="65">
        <v>1</v>
      </c>
      <c r="X22" s="65">
        <v>0</v>
      </c>
      <c r="Y22" s="69">
        <v>0</v>
      </c>
      <c r="Z22" s="70">
        <v>1</v>
      </c>
      <c r="AA22" s="70">
        <v>1</v>
      </c>
      <c r="AB22" s="71">
        <v>0.833333333333333</v>
      </c>
      <c r="AC22" s="70">
        <v>1</v>
      </c>
      <c r="AD22" s="65">
        <v>0</v>
      </c>
      <c r="AE22" s="65">
        <v>2</v>
      </c>
      <c r="AF22" s="65">
        <f t="shared" si="0"/>
        <v>7</v>
      </c>
      <c r="AG22" s="65">
        <v>6</v>
      </c>
      <c r="AH22" s="65">
        <v>5</v>
      </c>
      <c r="AI22"/>
      <c r="AJ22"/>
      <c r="AK22"/>
    </row>
    <row r="23" ht="22.5" customHeight="1" spans="1:37">
      <c r="A23" s="61">
        <v>11778</v>
      </c>
      <c r="B23" s="62" t="s">
        <v>458</v>
      </c>
      <c r="C23" s="63">
        <v>46042</v>
      </c>
      <c r="D23" s="63">
        <v>46095</v>
      </c>
      <c r="E23" s="64" t="s">
        <v>52</v>
      </c>
      <c r="F23" s="64" t="s">
        <v>52</v>
      </c>
      <c r="G23" s="64" t="s">
        <v>52</v>
      </c>
      <c r="H23" s="64" t="s">
        <v>250</v>
      </c>
      <c r="I23" s="64" t="s">
        <v>232</v>
      </c>
      <c r="J23" s="65">
        <v>0</v>
      </c>
      <c r="K23" s="65">
        <v>0</v>
      </c>
      <c r="L23" s="65">
        <v>1</v>
      </c>
      <c r="M23" s="65">
        <v>0</v>
      </c>
      <c r="N23" s="65">
        <f>_xlfn.XLOOKUP(A23,[1]月销售数据!$P:$P,[1]月销售数据!$V:$V)</f>
        <v>0</v>
      </c>
      <c r="O23" s="66">
        <v>0</v>
      </c>
      <c r="P23" s="67">
        <v>0</v>
      </c>
      <c r="Q23" s="67">
        <v>398</v>
      </c>
      <c r="R23" s="67">
        <v>0</v>
      </c>
      <c r="S23" s="67">
        <f>_xlfn.XLOOKUP($A23,[1]月销售数据!$P:$P,[1]月销售数据!$AA:$AA)</f>
        <v>0</v>
      </c>
      <c r="T23" s="68">
        <v>0</v>
      </c>
      <c r="U23" s="65">
        <v>0</v>
      </c>
      <c r="V23" s="65">
        <v>0</v>
      </c>
      <c r="W23" s="65">
        <v>0</v>
      </c>
      <c r="X23" s="65">
        <v>0</v>
      </c>
      <c r="Y23" s="69">
        <v>0</v>
      </c>
      <c r="Z23" s="70">
        <v>0</v>
      </c>
      <c r="AA23" s="70">
        <v>1</v>
      </c>
      <c r="AB23" s="71">
        <v>0</v>
      </c>
      <c r="AC23" s="70" t="s">
        <v>106</v>
      </c>
      <c r="AD23" s="65">
        <v>0</v>
      </c>
      <c r="AE23" s="65">
        <v>0</v>
      </c>
      <c r="AF23" s="65">
        <f t="shared" si="0"/>
        <v>1</v>
      </c>
      <c r="AG23" s="65">
        <v>0</v>
      </c>
      <c r="AH23" s="65">
        <v>0</v>
      </c>
      <c r="AI23"/>
      <c r="AJ23"/>
      <c r="AK23"/>
    </row>
    <row r="24" ht="22.5" customHeight="1" spans="1:37">
      <c r="A24" s="61">
        <v>11780</v>
      </c>
      <c r="B24" s="62" t="s">
        <v>459</v>
      </c>
      <c r="C24" s="63">
        <v>46042</v>
      </c>
      <c r="D24" s="63">
        <v>46044</v>
      </c>
      <c r="E24" s="64" t="s">
        <v>52</v>
      </c>
      <c r="F24" s="64" t="s">
        <v>52</v>
      </c>
      <c r="G24" s="64" t="s">
        <v>52</v>
      </c>
      <c r="H24" s="64" t="s">
        <v>250</v>
      </c>
      <c r="I24" s="64" t="s">
        <v>238</v>
      </c>
      <c r="J24" s="65">
        <v>0</v>
      </c>
      <c r="K24" s="65">
        <v>1</v>
      </c>
      <c r="L24" s="65">
        <v>0</v>
      </c>
      <c r="M24" s="65">
        <v>1</v>
      </c>
      <c r="N24" s="65">
        <f>_xlfn.XLOOKUP(A24,[1]月销售数据!$P:$P,[1]月销售数据!$V:$V)</f>
        <v>0</v>
      </c>
      <c r="O24" s="66">
        <v>0</v>
      </c>
      <c r="P24" s="67">
        <v>160</v>
      </c>
      <c r="Q24" s="67">
        <v>0</v>
      </c>
      <c r="R24" s="67">
        <v>160</v>
      </c>
      <c r="S24" s="67">
        <f>_xlfn.XLOOKUP($A24,[1]月销售数据!$P:$P,[1]月销售数据!$AA:$AA)</f>
        <v>0</v>
      </c>
      <c r="T24" s="68">
        <v>0</v>
      </c>
      <c r="U24" s="65">
        <v>0</v>
      </c>
      <c r="V24" s="65">
        <v>0</v>
      </c>
      <c r="W24" s="65">
        <v>0</v>
      </c>
      <c r="X24" s="65">
        <v>0</v>
      </c>
      <c r="Y24" s="69">
        <v>0</v>
      </c>
      <c r="Z24" s="70">
        <v>1</v>
      </c>
      <c r="AA24" s="70" t="s">
        <v>106</v>
      </c>
      <c r="AB24" s="71">
        <v>1</v>
      </c>
      <c r="AC24" s="70" t="s">
        <v>106</v>
      </c>
      <c r="AD24" s="65">
        <v>0</v>
      </c>
      <c r="AE24" s="65">
        <v>1</v>
      </c>
      <c r="AF24" s="65">
        <f t="shared" si="0"/>
        <v>0</v>
      </c>
      <c r="AG24" s="65">
        <v>1</v>
      </c>
      <c r="AH24" s="65">
        <v>0</v>
      </c>
      <c r="AI24"/>
      <c r="AJ24"/>
      <c r="AK24"/>
    </row>
    <row r="25" ht="22.5" customHeight="1" spans="1:37">
      <c r="A25" s="61">
        <v>11781</v>
      </c>
      <c r="B25" s="62" t="s">
        <v>460</v>
      </c>
      <c r="C25" s="63">
        <v>46042</v>
      </c>
      <c r="D25" s="63">
        <v>46062</v>
      </c>
      <c r="E25" s="64" t="s">
        <v>70</v>
      </c>
      <c r="F25" s="64" t="s">
        <v>70</v>
      </c>
      <c r="G25" s="64" t="s">
        <v>70</v>
      </c>
      <c r="H25" s="64" t="s">
        <v>250</v>
      </c>
      <c r="I25" s="64" t="s">
        <v>238</v>
      </c>
      <c r="J25" s="65">
        <v>0</v>
      </c>
      <c r="K25" s="65">
        <v>2</v>
      </c>
      <c r="L25" s="65">
        <v>17</v>
      </c>
      <c r="M25" s="65">
        <v>9</v>
      </c>
      <c r="N25" s="65">
        <f>_xlfn.XLOOKUP(A25,[1]月销售数据!$P:$P,[1]月销售数据!$V:$V)</f>
        <v>6</v>
      </c>
      <c r="O25" s="66">
        <v>0</v>
      </c>
      <c r="P25" s="67">
        <v>60</v>
      </c>
      <c r="Q25" s="67">
        <v>519</v>
      </c>
      <c r="R25" s="67">
        <v>252.9</v>
      </c>
      <c r="S25" s="67">
        <f>_xlfn.XLOOKUP($A25,[1]月销售数据!$P:$P,[1]月销售数据!$AA:$AA)</f>
        <v>165.4</v>
      </c>
      <c r="T25" s="68">
        <v>3</v>
      </c>
      <c r="U25" s="65">
        <v>19</v>
      </c>
      <c r="V25" s="65">
        <v>21</v>
      </c>
      <c r="W25" s="65">
        <v>17</v>
      </c>
      <c r="X25" s="65">
        <v>18</v>
      </c>
      <c r="Y25" s="69">
        <v>0</v>
      </c>
      <c r="Z25" s="70">
        <v>0.0952380952380952</v>
      </c>
      <c r="AA25" s="70">
        <v>0.447368421052632</v>
      </c>
      <c r="AB25" s="71">
        <v>0.346153846153846</v>
      </c>
      <c r="AC25" s="70">
        <v>0.25</v>
      </c>
      <c r="AD25" s="65">
        <v>3</v>
      </c>
      <c r="AE25" s="65">
        <v>21</v>
      </c>
      <c r="AF25" s="65">
        <f t="shared" si="0"/>
        <v>38</v>
      </c>
      <c r="AG25" s="65">
        <v>26</v>
      </c>
      <c r="AH25" s="65">
        <v>24</v>
      </c>
      <c r="AI25"/>
      <c r="AJ25"/>
      <c r="AK25"/>
    </row>
    <row r="26" ht="22.5" customHeight="1" spans="1:37">
      <c r="A26" s="61">
        <v>11792</v>
      </c>
      <c r="B26" s="62" t="s">
        <v>461</v>
      </c>
      <c r="C26" s="63">
        <v>46042</v>
      </c>
      <c r="D26" s="63">
        <v>46051</v>
      </c>
      <c r="E26" s="64" t="s">
        <v>52</v>
      </c>
      <c r="F26" s="64" t="s">
        <v>52</v>
      </c>
      <c r="G26" s="64" t="s">
        <v>52</v>
      </c>
      <c r="H26" s="64" t="s">
        <v>250</v>
      </c>
      <c r="I26" s="64" t="s">
        <v>238</v>
      </c>
      <c r="J26" s="65">
        <v>1</v>
      </c>
      <c r="K26" s="65">
        <v>2</v>
      </c>
      <c r="L26" s="65">
        <v>3</v>
      </c>
      <c r="M26" s="65">
        <v>2</v>
      </c>
      <c r="N26" s="65">
        <f>_xlfn.XLOOKUP(A26,[1]月销售数据!$P:$P,[1]月销售数据!$V:$V)</f>
        <v>1</v>
      </c>
      <c r="O26" s="66">
        <v>160</v>
      </c>
      <c r="P26" s="67">
        <v>292.8</v>
      </c>
      <c r="Q26" s="67">
        <v>428.7</v>
      </c>
      <c r="R26" s="67">
        <v>292</v>
      </c>
      <c r="S26" s="67">
        <f>_xlfn.XLOOKUP($A26,[1]月销售数据!$P:$P,[1]月销售数据!$AA:$AA)</f>
        <v>148.8</v>
      </c>
      <c r="T26" s="68">
        <v>0</v>
      </c>
      <c r="U26" s="65">
        <v>0</v>
      </c>
      <c r="V26" s="65">
        <v>0</v>
      </c>
      <c r="W26" s="65">
        <v>0</v>
      </c>
      <c r="X26" s="65">
        <v>0</v>
      </c>
      <c r="Y26" s="69">
        <v>1</v>
      </c>
      <c r="Z26" s="70">
        <v>1</v>
      </c>
      <c r="AA26" s="70">
        <v>1</v>
      </c>
      <c r="AB26" s="71">
        <v>1</v>
      </c>
      <c r="AC26" s="70">
        <v>1</v>
      </c>
      <c r="AD26" s="65">
        <v>1</v>
      </c>
      <c r="AE26" s="65">
        <v>2</v>
      </c>
      <c r="AF26" s="65">
        <f t="shared" si="0"/>
        <v>3</v>
      </c>
      <c r="AG26" s="65">
        <v>2</v>
      </c>
      <c r="AH26" s="65">
        <v>1</v>
      </c>
      <c r="AI26"/>
      <c r="AJ26"/>
      <c r="AK26"/>
    </row>
    <row r="27" ht="22.5" customHeight="1" spans="1:37">
      <c r="A27" s="61">
        <v>11793</v>
      </c>
      <c r="B27" s="62" t="s">
        <v>462</v>
      </c>
      <c r="C27" s="63">
        <v>46042</v>
      </c>
      <c r="D27" s="63">
        <v>46062</v>
      </c>
      <c r="E27" s="64" t="s">
        <v>70</v>
      </c>
      <c r="F27" s="64" t="s">
        <v>70</v>
      </c>
      <c r="G27" s="64" t="s">
        <v>70</v>
      </c>
      <c r="H27" s="64" t="s">
        <v>250</v>
      </c>
      <c r="I27" s="64" t="s">
        <v>238</v>
      </c>
      <c r="J27" s="65">
        <v>0</v>
      </c>
      <c r="K27" s="65">
        <v>2</v>
      </c>
      <c r="L27" s="65">
        <v>8</v>
      </c>
      <c r="M27" s="65">
        <v>3</v>
      </c>
      <c r="N27" s="65">
        <f>_xlfn.XLOOKUP(A27,[1]月销售数据!$P:$P,[1]月销售数据!$V:$V)</f>
        <v>3</v>
      </c>
      <c r="O27" s="66">
        <v>0</v>
      </c>
      <c r="P27" s="67">
        <v>69</v>
      </c>
      <c r="Q27" s="67">
        <v>249</v>
      </c>
      <c r="R27" s="67">
        <v>90</v>
      </c>
      <c r="S27" s="67">
        <f>_xlfn.XLOOKUP($A27,[1]月销售数据!$P:$P,[1]月销售数据!$AA:$AA)</f>
        <v>90</v>
      </c>
      <c r="T27" s="68">
        <v>1</v>
      </c>
      <c r="U27" s="65">
        <v>2</v>
      </c>
      <c r="V27" s="65">
        <v>1</v>
      </c>
      <c r="W27" s="65">
        <v>2</v>
      </c>
      <c r="X27" s="65">
        <v>0</v>
      </c>
      <c r="Y27" s="69">
        <v>0</v>
      </c>
      <c r="Z27" s="70">
        <v>0.5</v>
      </c>
      <c r="AA27" s="70">
        <v>0.888888888888889</v>
      </c>
      <c r="AB27" s="71">
        <v>0.6</v>
      </c>
      <c r="AC27" s="70">
        <v>1</v>
      </c>
      <c r="AD27" s="65">
        <v>1</v>
      </c>
      <c r="AE27" s="65">
        <v>4</v>
      </c>
      <c r="AF27" s="65">
        <f t="shared" si="0"/>
        <v>9</v>
      </c>
      <c r="AG27" s="65">
        <v>5</v>
      </c>
      <c r="AH27" s="65">
        <v>3</v>
      </c>
      <c r="AI27"/>
      <c r="AJ27"/>
      <c r="AK27"/>
    </row>
    <row r="28" ht="22.5" customHeight="1" spans="1:37">
      <c r="A28" s="61">
        <v>11904</v>
      </c>
      <c r="B28" s="62" t="s">
        <v>463</v>
      </c>
      <c r="C28" s="63">
        <v>46042</v>
      </c>
      <c r="D28" s="63">
        <v>46050</v>
      </c>
      <c r="E28" s="64" t="s">
        <v>70</v>
      </c>
      <c r="F28" s="64" t="s">
        <v>52</v>
      </c>
      <c r="G28" s="64" t="s">
        <v>52</v>
      </c>
      <c r="H28" s="64" t="s">
        <v>256</v>
      </c>
      <c r="I28" s="64" t="s">
        <v>232</v>
      </c>
      <c r="J28" s="65">
        <v>1</v>
      </c>
      <c r="K28" s="65">
        <v>3</v>
      </c>
      <c r="L28" s="65">
        <v>12</v>
      </c>
      <c r="M28" s="65">
        <v>4</v>
      </c>
      <c r="N28" s="65">
        <f>_xlfn.XLOOKUP(A28,[1]月销售数据!$P:$P,[1]月销售数据!$V:$V)</f>
        <v>5</v>
      </c>
      <c r="O28" s="66">
        <v>94.5</v>
      </c>
      <c r="P28" s="67">
        <v>249.75</v>
      </c>
      <c r="Q28" s="67">
        <v>927.68</v>
      </c>
      <c r="R28" s="67">
        <v>322.28</v>
      </c>
      <c r="S28" s="67">
        <f>_xlfn.XLOOKUP($A28,[1]月销售数据!$P:$P,[1]月销售数据!$AA:$AA)</f>
        <v>403.85</v>
      </c>
      <c r="T28" s="68">
        <v>0</v>
      </c>
      <c r="U28" s="65">
        <v>6</v>
      </c>
      <c r="V28" s="65">
        <v>9</v>
      </c>
      <c r="W28" s="65">
        <v>4</v>
      </c>
      <c r="X28" s="65">
        <v>25</v>
      </c>
      <c r="Y28" s="69">
        <v>1</v>
      </c>
      <c r="Z28" s="70">
        <v>0.333333333333333</v>
      </c>
      <c r="AA28" s="70">
        <v>0.571428571428571</v>
      </c>
      <c r="AB28" s="71">
        <v>0.5</v>
      </c>
      <c r="AC28" s="70">
        <v>0.166666666666667</v>
      </c>
      <c r="AD28" s="65">
        <v>1</v>
      </c>
      <c r="AE28" s="65">
        <v>9</v>
      </c>
      <c r="AF28" s="65">
        <f t="shared" si="0"/>
        <v>21</v>
      </c>
      <c r="AG28" s="65">
        <v>8</v>
      </c>
      <c r="AH28" s="65">
        <v>30</v>
      </c>
      <c r="AI28"/>
      <c r="AJ28"/>
      <c r="AK28"/>
    </row>
    <row r="29" ht="22.5" customHeight="1" spans="1:37">
      <c r="A29" s="61">
        <v>11756</v>
      </c>
      <c r="B29" s="62" t="s">
        <v>464</v>
      </c>
      <c r="C29" s="63">
        <v>46043</v>
      </c>
      <c r="D29" s="63">
        <v>46059</v>
      </c>
      <c r="E29" s="64" t="s">
        <v>52</v>
      </c>
      <c r="F29" s="64" t="s">
        <v>52</v>
      </c>
      <c r="G29" s="64" t="s">
        <v>52</v>
      </c>
      <c r="H29" s="64" t="s">
        <v>250</v>
      </c>
      <c r="I29" s="64" t="s">
        <v>238</v>
      </c>
      <c r="J29" s="65">
        <v>0</v>
      </c>
      <c r="K29" s="65">
        <v>2</v>
      </c>
      <c r="L29" s="65">
        <v>0</v>
      </c>
      <c r="M29" s="65">
        <v>1</v>
      </c>
      <c r="N29" s="65">
        <f>_xlfn.XLOOKUP(A29,[1]月销售数据!$P:$P,[1]月销售数据!$V:$V)</f>
        <v>0</v>
      </c>
      <c r="O29" s="66">
        <v>0</v>
      </c>
      <c r="P29" s="67">
        <v>596</v>
      </c>
      <c r="Q29" s="67">
        <v>0</v>
      </c>
      <c r="R29" s="67">
        <v>398</v>
      </c>
      <c r="S29" s="67">
        <f>_xlfn.XLOOKUP($A29,[1]月销售数据!$P:$P,[1]月销售数据!$AA:$AA)</f>
        <v>0</v>
      </c>
      <c r="T29" s="68">
        <v>0</v>
      </c>
      <c r="U29" s="65">
        <v>0</v>
      </c>
      <c r="V29" s="65">
        <v>0</v>
      </c>
      <c r="W29" s="65">
        <v>0</v>
      </c>
      <c r="X29" s="65">
        <v>0</v>
      </c>
      <c r="Y29" s="69">
        <v>0</v>
      </c>
      <c r="Z29" s="70">
        <v>1</v>
      </c>
      <c r="AA29" s="70" t="s">
        <v>106</v>
      </c>
      <c r="AB29" s="71">
        <v>1</v>
      </c>
      <c r="AC29" s="70" t="s">
        <v>106</v>
      </c>
      <c r="AD29" s="65">
        <v>0</v>
      </c>
      <c r="AE29" s="65">
        <v>2</v>
      </c>
      <c r="AF29" s="65">
        <f t="shared" si="0"/>
        <v>0</v>
      </c>
      <c r="AG29" s="65">
        <v>1</v>
      </c>
      <c r="AH29" s="65">
        <v>0</v>
      </c>
      <c r="AI29"/>
      <c r="AJ29"/>
      <c r="AK29"/>
    </row>
    <row r="30" ht="22.5" customHeight="1" spans="1:37">
      <c r="A30" s="61">
        <v>11757</v>
      </c>
      <c r="B30" s="62" t="s">
        <v>465</v>
      </c>
      <c r="C30" s="63">
        <v>46043</v>
      </c>
      <c r="D30" s="63">
        <v>46045</v>
      </c>
      <c r="E30" s="64" t="s">
        <v>45</v>
      </c>
      <c r="F30" s="64" t="s">
        <v>45</v>
      </c>
      <c r="G30" s="64" t="s">
        <v>45</v>
      </c>
      <c r="H30" s="64" t="s">
        <v>237</v>
      </c>
      <c r="I30" s="64" t="s">
        <v>238</v>
      </c>
      <c r="J30" s="65">
        <v>3</v>
      </c>
      <c r="K30" s="65">
        <v>10</v>
      </c>
      <c r="L30" s="65">
        <v>9</v>
      </c>
      <c r="M30" s="65">
        <v>4</v>
      </c>
      <c r="N30" s="65">
        <f>_xlfn.XLOOKUP(A30,[1]月销售数据!$P:$P,[1]月销售数据!$V:$V)</f>
        <v>3</v>
      </c>
      <c r="O30" s="66">
        <v>144</v>
      </c>
      <c r="P30" s="67">
        <v>480</v>
      </c>
      <c r="Q30" s="67">
        <v>432</v>
      </c>
      <c r="R30" s="67">
        <v>192</v>
      </c>
      <c r="S30" s="67">
        <f>_xlfn.XLOOKUP($A30,[1]月销售数据!$P:$P,[1]月销售数据!$AA:$AA)</f>
        <v>144</v>
      </c>
      <c r="T30" s="68">
        <v>0</v>
      </c>
      <c r="U30" s="65">
        <v>0</v>
      </c>
      <c r="V30" s="65">
        <v>0</v>
      </c>
      <c r="W30" s="65">
        <v>3</v>
      </c>
      <c r="X30" s="65">
        <v>2</v>
      </c>
      <c r="Y30" s="69">
        <v>1</v>
      </c>
      <c r="Z30" s="70">
        <v>1</v>
      </c>
      <c r="AA30" s="70">
        <v>1</v>
      </c>
      <c r="AB30" s="71">
        <v>0.571428571428571</v>
      </c>
      <c r="AC30" s="70">
        <v>0.6</v>
      </c>
      <c r="AD30" s="65">
        <v>3</v>
      </c>
      <c r="AE30" s="65">
        <v>10</v>
      </c>
      <c r="AF30" s="65">
        <f t="shared" si="0"/>
        <v>9</v>
      </c>
      <c r="AG30" s="65">
        <v>7</v>
      </c>
      <c r="AH30" s="65">
        <v>5</v>
      </c>
      <c r="AI30"/>
      <c r="AJ30"/>
      <c r="AK30"/>
    </row>
    <row r="31" ht="22.5" customHeight="1" spans="1:37">
      <c r="A31" s="61">
        <v>11758</v>
      </c>
      <c r="B31" s="62" t="s">
        <v>466</v>
      </c>
      <c r="C31" s="63">
        <v>46043</v>
      </c>
      <c r="D31" s="63">
        <v>46044</v>
      </c>
      <c r="E31" s="64" t="s">
        <v>45</v>
      </c>
      <c r="F31" s="64" t="s">
        <v>45</v>
      </c>
      <c r="G31" s="64" t="s">
        <v>45</v>
      </c>
      <c r="H31" s="64" t="s">
        <v>237</v>
      </c>
      <c r="I31" s="64" t="s">
        <v>232</v>
      </c>
      <c r="J31" s="65">
        <v>2</v>
      </c>
      <c r="K31" s="65">
        <v>16</v>
      </c>
      <c r="L31" s="65">
        <v>11</v>
      </c>
      <c r="M31" s="65">
        <v>26</v>
      </c>
      <c r="N31" s="65">
        <f>_xlfn.XLOOKUP(A31,[1]月销售数据!$P:$P,[1]月销售数据!$V:$V)</f>
        <v>22</v>
      </c>
      <c r="O31" s="66">
        <v>96</v>
      </c>
      <c r="P31" s="67">
        <v>768</v>
      </c>
      <c r="Q31" s="67">
        <v>519</v>
      </c>
      <c r="R31" s="67">
        <v>1174.9</v>
      </c>
      <c r="S31" s="67">
        <f>_xlfn.XLOOKUP($A31,[1]月销售数据!$P:$P,[1]月销售数据!$AA:$AA)</f>
        <v>991.57</v>
      </c>
      <c r="T31" s="68">
        <v>4</v>
      </c>
      <c r="U31" s="65">
        <v>11</v>
      </c>
      <c r="V31" s="65">
        <v>24</v>
      </c>
      <c r="W31" s="65">
        <v>20</v>
      </c>
      <c r="X31" s="65">
        <v>20</v>
      </c>
      <c r="Y31" s="69">
        <v>0.333333333333333</v>
      </c>
      <c r="Z31" s="70">
        <v>0.592592592592593</v>
      </c>
      <c r="AA31" s="70">
        <v>0.314285714285714</v>
      </c>
      <c r="AB31" s="71">
        <v>0.565217391304348</v>
      </c>
      <c r="AC31" s="70">
        <v>0.523809523809524</v>
      </c>
      <c r="AD31" s="65">
        <v>6</v>
      </c>
      <c r="AE31" s="65">
        <v>27</v>
      </c>
      <c r="AF31" s="65">
        <f t="shared" si="0"/>
        <v>35</v>
      </c>
      <c r="AG31" s="65">
        <v>46</v>
      </c>
      <c r="AH31" s="65">
        <v>42</v>
      </c>
      <c r="AI31"/>
      <c r="AJ31"/>
      <c r="AK31"/>
    </row>
    <row r="32" ht="22.5" customHeight="1" spans="1:37">
      <c r="A32" s="61">
        <v>11808</v>
      </c>
      <c r="B32" s="62" t="s">
        <v>467</v>
      </c>
      <c r="C32" s="63">
        <v>46043</v>
      </c>
      <c r="D32" s="63">
        <v>46069</v>
      </c>
      <c r="E32" s="64" t="s">
        <v>45</v>
      </c>
      <c r="F32" s="64" t="s">
        <v>45</v>
      </c>
      <c r="G32" s="64" t="s">
        <v>45</v>
      </c>
      <c r="H32" s="64" t="s">
        <v>237</v>
      </c>
      <c r="I32" s="64" t="s">
        <v>238</v>
      </c>
      <c r="J32" s="65">
        <v>0</v>
      </c>
      <c r="K32" s="65">
        <v>1</v>
      </c>
      <c r="L32" s="65">
        <v>7</v>
      </c>
      <c r="M32" s="65">
        <v>2</v>
      </c>
      <c r="N32" s="65">
        <f>_xlfn.XLOOKUP(A32,[1]月销售数据!$P:$P,[1]月销售数据!$V:$V)</f>
        <v>1</v>
      </c>
      <c r="O32" s="66">
        <v>0</v>
      </c>
      <c r="P32" s="67">
        <v>48</v>
      </c>
      <c r="Q32" s="67">
        <v>336</v>
      </c>
      <c r="R32" s="67">
        <v>96</v>
      </c>
      <c r="S32" s="67">
        <f>_xlfn.XLOOKUP($A32,[1]月销售数据!$P:$P,[1]月销售数据!$AA:$AA)</f>
        <v>48</v>
      </c>
      <c r="T32" s="68">
        <v>1</v>
      </c>
      <c r="U32" s="65">
        <v>8</v>
      </c>
      <c r="V32" s="65">
        <v>11</v>
      </c>
      <c r="W32" s="65">
        <v>11</v>
      </c>
      <c r="X32" s="65">
        <v>10</v>
      </c>
      <c r="Y32" s="69">
        <v>0</v>
      </c>
      <c r="Z32" s="70">
        <v>0.111111111111111</v>
      </c>
      <c r="AA32" s="70">
        <v>0.388888888888889</v>
      </c>
      <c r="AB32" s="71">
        <v>0.153846153846154</v>
      </c>
      <c r="AC32" s="70">
        <v>0.0909090909090909</v>
      </c>
      <c r="AD32" s="65">
        <v>1</v>
      </c>
      <c r="AE32" s="65">
        <v>9</v>
      </c>
      <c r="AF32" s="65">
        <f t="shared" si="0"/>
        <v>18</v>
      </c>
      <c r="AG32" s="65">
        <v>13</v>
      </c>
      <c r="AH32" s="65">
        <v>11</v>
      </c>
      <c r="AI32"/>
      <c r="AJ32"/>
      <c r="AK32"/>
    </row>
    <row r="33" ht="22.5" customHeight="1" spans="1:37">
      <c r="A33" s="61">
        <v>11809</v>
      </c>
      <c r="B33" s="62" t="s">
        <v>468</v>
      </c>
      <c r="C33" s="63">
        <v>46043</v>
      </c>
      <c r="D33" s="63">
        <v>46043</v>
      </c>
      <c r="E33" s="64" t="s">
        <v>45</v>
      </c>
      <c r="F33" s="64" t="s">
        <v>45</v>
      </c>
      <c r="G33" s="64" t="s">
        <v>45</v>
      </c>
      <c r="H33" s="64" t="s">
        <v>237</v>
      </c>
      <c r="I33" s="64" t="s">
        <v>232</v>
      </c>
      <c r="J33" s="65">
        <v>2</v>
      </c>
      <c r="K33" s="65">
        <v>12</v>
      </c>
      <c r="L33" s="65">
        <v>16</v>
      </c>
      <c r="M33" s="65">
        <v>20</v>
      </c>
      <c r="N33" s="65">
        <f>_xlfn.XLOOKUP(A33,[1]月销售数据!$P:$P,[1]月销售数据!$V:$V)</f>
        <v>16</v>
      </c>
      <c r="O33" s="66">
        <v>100</v>
      </c>
      <c r="P33" s="67">
        <v>596.34</v>
      </c>
      <c r="Q33" s="67">
        <v>792.46</v>
      </c>
      <c r="R33" s="67">
        <v>987.8</v>
      </c>
      <c r="S33" s="67">
        <f>_xlfn.XLOOKUP($A33,[1]月销售数据!$P:$P,[1]月销售数据!$AA:$AA)</f>
        <v>788.35</v>
      </c>
      <c r="T33" s="68">
        <v>6</v>
      </c>
      <c r="U33" s="65">
        <v>12</v>
      </c>
      <c r="V33" s="65">
        <v>9</v>
      </c>
      <c r="W33" s="65">
        <v>8</v>
      </c>
      <c r="X33" s="65">
        <v>9</v>
      </c>
      <c r="Y33" s="69">
        <v>0.25</v>
      </c>
      <c r="Z33" s="70">
        <v>0.5</v>
      </c>
      <c r="AA33" s="70">
        <v>0.64</v>
      </c>
      <c r="AB33" s="71">
        <v>0.714285714285714</v>
      </c>
      <c r="AC33" s="70">
        <v>0.64</v>
      </c>
      <c r="AD33" s="65">
        <v>8</v>
      </c>
      <c r="AE33" s="65">
        <v>24</v>
      </c>
      <c r="AF33" s="65">
        <f t="shared" si="0"/>
        <v>25</v>
      </c>
      <c r="AG33" s="65">
        <v>28</v>
      </c>
      <c r="AH33" s="65">
        <v>25</v>
      </c>
      <c r="AI33"/>
      <c r="AJ33"/>
      <c r="AK33"/>
    </row>
    <row r="34" ht="22.5" customHeight="1" spans="1:37">
      <c r="A34" s="61">
        <v>11823</v>
      </c>
      <c r="B34" s="62" t="s">
        <v>469</v>
      </c>
      <c r="C34" s="63">
        <v>46043</v>
      </c>
      <c r="D34" s="63">
        <v>46045</v>
      </c>
      <c r="E34" s="64" t="s">
        <v>76</v>
      </c>
      <c r="F34" s="64" t="s">
        <v>76</v>
      </c>
      <c r="G34" s="64" t="s">
        <v>76</v>
      </c>
      <c r="H34" s="64" t="s">
        <v>237</v>
      </c>
      <c r="I34" s="64" t="s">
        <v>232</v>
      </c>
      <c r="J34" s="65">
        <v>5</v>
      </c>
      <c r="K34" s="65">
        <v>9</v>
      </c>
      <c r="L34" s="65">
        <v>5</v>
      </c>
      <c r="M34" s="65">
        <v>0</v>
      </c>
      <c r="N34" s="65">
        <f>_xlfn.XLOOKUP(A34,[1]月销售数据!$P:$P,[1]月销售数据!$V:$V)</f>
        <v>4</v>
      </c>
      <c r="O34" s="66">
        <v>225</v>
      </c>
      <c r="P34" s="67">
        <v>412.5</v>
      </c>
      <c r="Q34" s="67">
        <v>231</v>
      </c>
      <c r="R34" s="67">
        <v>0</v>
      </c>
      <c r="S34" s="67">
        <f>_xlfn.XLOOKUP($A34,[1]月销售数据!$P:$P,[1]月销售数据!$AA:$AA)</f>
        <v>148</v>
      </c>
      <c r="T34" s="68">
        <v>0</v>
      </c>
      <c r="U34" s="65">
        <v>0</v>
      </c>
      <c r="V34" s="65">
        <v>2</v>
      </c>
      <c r="W34" s="65">
        <v>10</v>
      </c>
      <c r="X34" s="65">
        <v>5</v>
      </c>
      <c r="Y34" s="69">
        <v>1</v>
      </c>
      <c r="Z34" s="70">
        <v>1</v>
      </c>
      <c r="AA34" s="70">
        <v>0.714285714285714</v>
      </c>
      <c r="AB34" s="71">
        <v>0</v>
      </c>
      <c r="AC34" s="70">
        <v>0.444444444444444</v>
      </c>
      <c r="AD34" s="65">
        <v>5</v>
      </c>
      <c r="AE34" s="65">
        <v>9</v>
      </c>
      <c r="AF34" s="65">
        <f t="shared" si="0"/>
        <v>7</v>
      </c>
      <c r="AG34" s="65">
        <v>10</v>
      </c>
      <c r="AH34" s="65">
        <v>9</v>
      </c>
      <c r="AI34"/>
      <c r="AJ34"/>
      <c r="AK34"/>
    </row>
    <row r="35" ht="22.5" customHeight="1" spans="1:37">
      <c r="A35" s="61">
        <v>11814</v>
      </c>
      <c r="B35" s="62" t="s">
        <v>470</v>
      </c>
      <c r="C35" s="63">
        <v>46043</v>
      </c>
      <c r="D35" s="63">
        <v>46066</v>
      </c>
      <c r="E35" s="64" t="s">
        <v>45</v>
      </c>
      <c r="F35" s="64" t="s">
        <v>45</v>
      </c>
      <c r="G35" s="64" t="s">
        <v>45</v>
      </c>
      <c r="H35" s="64" t="s">
        <v>237</v>
      </c>
      <c r="I35" s="64" t="s">
        <v>232</v>
      </c>
      <c r="J35" s="65">
        <v>0</v>
      </c>
      <c r="K35" s="65">
        <v>3</v>
      </c>
      <c r="L35" s="65">
        <v>5</v>
      </c>
      <c r="M35" s="65">
        <v>6</v>
      </c>
      <c r="N35" s="65">
        <f>_xlfn.XLOOKUP(A35,[1]月销售数据!$P:$P,[1]月销售数据!$V:$V)</f>
        <v>2</v>
      </c>
      <c r="O35" s="66">
        <v>0</v>
      </c>
      <c r="P35" s="67">
        <v>135</v>
      </c>
      <c r="Q35" s="67">
        <v>225</v>
      </c>
      <c r="R35" s="67">
        <v>265.38</v>
      </c>
      <c r="S35" s="67">
        <f>_xlfn.XLOOKUP($A35,[1]月销售数据!$P:$P,[1]月销售数据!$AA:$AA)</f>
        <v>79.23</v>
      </c>
      <c r="T35" s="68">
        <v>3</v>
      </c>
      <c r="U35" s="65">
        <v>14</v>
      </c>
      <c r="V35" s="65">
        <v>9</v>
      </c>
      <c r="W35" s="65">
        <v>10</v>
      </c>
      <c r="X35" s="65">
        <v>4</v>
      </c>
      <c r="Y35" s="69">
        <v>0</v>
      </c>
      <c r="Z35" s="70">
        <v>0.176470588235294</v>
      </c>
      <c r="AA35" s="70">
        <v>0.357142857142857</v>
      </c>
      <c r="AB35" s="71">
        <v>0.375</v>
      </c>
      <c r="AC35" s="70">
        <v>0.333333333333333</v>
      </c>
      <c r="AD35" s="65">
        <v>3</v>
      </c>
      <c r="AE35" s="65">
        <v>17</v>
      </c>
      <c r="AF35" s="65">
        <f t="shared" si="0"/>
        <v>14</v>
      </c>
      <c r="AG35" s="65">
        <v>16</v>
      </c>
      <c r="AH35" s="65">
        <v>6</v>
      </c>
      <c r="AI35"/>
      <c r="AJ35"/>
      <c r="AK35"/>
    </row>
    <row r="36" customFormat="1" ht="22.5" customHeight="1" spans="1:37">
      <c r="A36" s="61">
        <v>11815</v>
      </c>
      <c r="B36" s="62" t="s">
        <v>471</v>
      </c>
      <c r="C36" s="63">
        <v>46043</v>
      </c>
      <c r="D36" s="63">
        <v>46083</v>
      </c>
      <c r="E36" s="64" t="s">
        <v>45</v>
      </c>
      <c r="F36" s="64" t="s">
        <v>45</v>
      </c>
      <c r="G36" s="64" t="s">
        <v>45</v>
      </c>
      <c r="H36" s="64" t="s">
        <v>237</v>
      </c>
      <c r="I36" s="64" t="s">
        <v>232</v>
      </c>
      <c r="J36" s="65">
        <v>0</v>
      </c>
      <c r="K36" s="65">
        <v>0</v>
      </c>
      <c r="L36" s="65">
        <v>2</v>
      </c>
      <c r="M36" s="65">
        <v>1</v>
      </c>
      <c r="N36" s="65">
        <f>_xlfn.XLOOKUP(A36,[1]月销售数据!$P:$P,[1]月销售数据!$V:$V)</f>
        <v>1</v>
      </c>
      <c r="O36" s="66">
        <v>0</v>
      </c>
      <c r="P36" s="67">
        <v>0</v>
      </c>
      <c r="Q36" s="67">
        <v>86</v>
      </c>
      <c r="R36" s="67">
        <v>34.62</v>
      </c>
      <c r="S36" s="67">
        <f>_xlfn.XLOOKUP($A36,[1]月销售数据!$P:$P,[1]月销售数据!$AA:$AA)</f>
        <v>34.62</v>
      </c>
      <c r="T36" s="68">
        <v>2</v>
      </c>
      <c r="U36" s="65">
        <v>5</v>
      </c>
      <c r="V36" s="65">
        <v>10</v>
      </c>
      <c r="W36" s="65">
        <v>14</v>
      </c>
      <c r="X36" s="65">
        <v>9</v>
      </c>
      <c r="Y36" s="69">
        <v>0</v>
      </c>
      <c r="Z36" s="70">
        <v>0</v>
      </c>
      <c r="AA36" s="70">
        <v>0.166666666666667</v>
      </c>
      <c r="AB36" s="71">
        <v>0.0666666666666667</v>
      </c>
      <c r="AC36" s="70">
        <v>0.1</v>
      </c>
      <c r="AD36" s="65">
        <v>2</v>
      </c>
      <c r="AE36" s="65">
        <v>5</v>
      </c>
      <c r="AF36" s="65">
        <f t="shared" si="0"/>
        <v>12</v>
      </c>
      <c r="AG36" s="65">
        <v>15</v>
      </c>
      <c r="AH36" s="65">
        <v>10</v>
      </c>
    </row>
    <row r="37" customFormat="1" ht="22.5" customHeight="1" spans="1:37">
      <c r="A37" s="61">
        <v>11824</v>
      </c>
      <c r="B37" s="62" t="s">
        <v>472</v>
      </c>
      <c r="C37" s="63">
        <v>46043</v>
      </c>
      <c r="D37" s="63">
        <v>46046</v>
      </c>
      <c r="E37" s="64" t="s">
        <v>45</v>
      </c>
      <c r="F37" s="64" t="s">
        <v>45</v>
      </c>
      <c r="G37" s="64" t="s">
        <v>45</v>
      </c>
      <c r="H37" s="64" t="s">
        <v>231</v>
      </c>
      <c r="I37" s="64" t="s">
        <v>232</v>
      </c>
      <c r="J37" s="65">
        <v>5</v>
      </c>
      <c r="K37" s="65">
        <v>4</v>
      </c>
      <c r="L37" s="65">
        <v>4</v>
      </c>
      <c r="M37" s="65">
        <v>7</v>
      </c>
      <c r="N37" s="65">
        <f>_xlfn.XLOOKUP(A37,[1]月销售数据!$P:$P,[1]月销售数据!$V:$V)</f>
        <v>9</v>
      </c>
      <c r="O37" s="66">
        <v>675</v>
      </c>
      <c r="P37" s="67">
        <v>540</v>
      </c>
      <c r="Q37" s="67">
        <v>547</v>
      </c>
      <c r="R37" s="67">
        <v>952</v>
      </c>
      <c r="S37" s="67">
        <f>_xlfn.XLOOKUP($A37,[1]月销售数据!$P:$P,[1]月销售数据!$AA:$AA)</f>
        <v>1222</v>
      </c>
      <c r="T37" s="68">
        <v>0</v>
      </c>
      <c r="U37" s="65">
        <v>0</v>
      </c>
      <c r="V37" s="65">
        <v>0</v>
      </c>
      <c r="W37" s="65">
        <v>0</v>
      </c>
      <c r="X37" s="65">
        <v>0</v>
      </c>
      <c r="Y37" s="69">
        <v>1</v>
      </c>
      <c r="Z37" s="70">
        <v>1</v>
      </c>
      <c r="AA37" s="70">
        <v>1</v>
      </c>
      <c r="AB37" s="71">
        <v>1</v>
      </c>
      <c r="AC37" s="70">
        <v>1</v>
      </c>
      <c r="AD37" s="65">
        <v>5</v>
      </c>
      <c r="AE37" s="65">
        <v>4</v>
      </c>
      <c r="AF37" s="65">
        <f t="shared" si="0"/>
        <v>4</v>
      </c>
      <c r="AG37" s="65">
        <v>7</v>
      </c>
      <c r="AH37" s="65">
        <v>9</v>
      </c>
    </row>
    <row r="38" customFormat="1" ht="22.5" customHeight="1" spans="1:37">
      <c r="A38" s="61">
        <v>11855</v>
      </c>
      <c r="B38" s="62" t="s">
        <v>473</v>
      </c>
      <c r="C38" s="63">
        <v>46043</v>
      </c>
      <c r="D38" s="63">
        <v>46072</v>
      </c>
      <c r="E38" s="64" t="s">
        <v>70</v>
      </c>
      <c r="F38" s="64" t="s">
        <v>70</v>
      </c>
      <c r="G38" s="64" t="s">
        <v>70</v>
      </c>
      <c r="H38" s="64" t="s">
        <v>277</v>
      </c>
      <c r="I38" s="64" t="s">
        <v>232</v>
      </c>
      <c r="J38" s="65">
        <v>0</v>
      </c>
      <c r="K38" s="65">
        <v>3</v>
      </c>
      <c r="L38" s="65">
        <v>2</v>
      </c>
      <c r="M38" s="65">
        <v>8</v>
      </c>
      <c r="N38" s="65">
        <f>_xlfn.XLOOKUP(A38,[1]月销售数据!$P:$P,[1]月销售数据!$V:$V)</f>
        <v>4</v>
      </c>
      <c r="O38" s="66">
        <v>0</v>
      </c>
      <c r="P38" s="67">
        <v>237</v>
      </c>
      <c r="Q38" s="67">
        <v>158</v>
      </c>
      <c r="R38" s="67">
        <v>635</v>
      </c>
      <c r="S38" s="67">
        <f>_xlfn.XLOOKUP($A38,[1]月销售数据!$P:$P,[1]月销售数据!$AA:$AA)</f>
        <v>316</v>
      </c>
      <c r="T38" s="68">
        <v>0</v>
      </c>
      <c r="U38" s="65">
        <v>5</v>
      </c>
      <c r="V38" s="65">
        <v>3</v>
      </c>
      <c r="W38" s="65">
        <v>1</v>
      </c>
      <c r="X38" s="65">
        <v>0</v>
      </c>
      <c r="Y38" s="69">
        <v>0</v>
      </c>
      <c r="Z38" s="70">
        <v>0.375</v>
      </c>
      <c r="AA38" s="70">
        <v>0.4</v>
      </c>
      <c r="AB38" s="71">
        <v>0.888888888888889</v>
      </c>
      <c r="AC38" s="70">
        <v>1</v>
      </c>
      <c r="AD38" s="65">
        <v>0</v>
      </c>
      <c r="AE38" s="65">
        <v>8</v>
      </c>
      <c r="AF38" s="65">
        <f t="shared" si="0"/>
        <v>5</v>
      </c>
      <c r="AG38" s="65">
        <v>9</v>
      </c>
      <c r="AH38" s="65">
        <v>4</v>
      </c>
      <c r="AI38" s="41"/>
      <c r="AJ38" s="41"/>
      <c r="AK38" s="41"/>
    </row>
    <row r="39" customFormat="1" ht="22.5" customHeight="1" spans="1:37">
      <c r="A39" s="61">
        <v>11856</v>
      </c>
      <c r="B39" s="62" t="s">
        <v>474</v>
      </c>
      <c r="C39" s="63">
        <v>46043</v>
      </c>
      <c r="D39" s="63">
        <v>46076</v>
      </c>
      <c r="E39" s="64" t="s">
        <v>70</v>
      </c>
      <c r="F39" s="64" t="s">
        <v>70</v>
      </c>
      <c r="G39" s="64" t="s">
        <v>70</v>
      </c>
      <c r="H39" s="64" t="s">
        <v>277</v>
      </c>
      <c r="I39" s="64" t="s">
        <v>238</v>
      </c>
      <c r="J39" s="65">
        <v>0</v>
      </c>
      <c r="K39" s="65">
        <v>1</v>
      </c>
      <c r="L39" s="65">
        <v>2</v>
      </c>
      <c r="M39" s="65">
        <v>4</v>
      </c>
      <c r="N39" s="65">
        <f>_xlfn.XLOOKUP(A39,[1]月销售数据!$P:$P,[1]月销售数据!$V:$V)</f>
        <v>2</v>
      </c>
      <c r="O39" s="66">
        <v>0</v>
      </c>
      <c r="P39" s="67">
        <v>39.09</v>
      </c>
      <c r="Q39" s="67">
        <v>81.09</v>
      </c>
      <c r="R39" s="67">
        <v>161.18</v>
      </c>
      <c r="S39" s="67">
        <f>_xlfn.XLOOKUP($A39,[1]月销售数据!$P:$P,[1]月销售数据!$AA:$AA)</f>
        <v>82</v>
      </c>
      <c r="T39" s="68">
        <v>4</v>
      </c>
      <c r="U39" s="65">
        <v>10</v>
      </c>
      <c r="V39" s="65">
        <v>12</v>
      </c>
      <c r="W39" s="65">
        <v>10</v>
      </c>
      <c r="X39" s="65">
        <v>4</v>
      </c>
      <c r="Y39" s="69">
        <v>0</v>
      </c>
      <c r="Z39" s="70">
        <v>0.0909090909090909</v>
      </c>
      <c r="AA39" s="70">
        <v>0.142857142857143</v>
      </c>
      <c r="AB39" s="71">
        <v>0.285714285714286</v>
      </c>
      <c r="AC39" s="70">
        <v>0.333333333333333</v>
      </c>
      <c r="AD39" s="65">
        <v>4</v>
      </c>
      <c r="AE39" s="65">
        <v>11</v>
      </c>
      <c r="AF39" s="65">
        <f t="shared" si="0"/>
        <v>14</v>
      </c>
      <c r="AG39" s="65">
        <v>14</v>
      </c>
      <c r="AH39" s="65">
        <v>6</v>
      </c>
      <c r="AI39" s="44"/>
      <c r="AJ39" s="44"/>
      <c r="AK39" s="44"/>
    </row>
    <row r="40" customFormat="1" ht="22.5" customHeight="1" spans="1:37">
      <c r="A40" s="61">
        <v>11857</v>
      </c>
      <c r="B40" s="62" t="s">
        <v>475</v>
      </c>
      <c r="C40" s="63">
        <v>46043</v>
      </c>
      <c r="D40" s="63">
        <v>46087</v>
      </c>
      <c r="E40" s="64" t="s">
        <v>70</v>
      </c>
      <c r="F40" s="64" t="s">
        <v>70</v>
      </c>
      <c r="G40" s="64" t="s">
        <v>70</v>
      </c>
      <c r="H40" s="64" t="s">
        <v>277</v>
      </c>
      <c r="I40" s="64" t="s">
        <v>238</v>
      </c>
      <c r="J40" s="65">
        <v>0</v>
      </c>
      <c r="K40" s="65">
        <v>0</v>
      </c>
      <c r="L40" s="65">
        <v>5</v>
      </c>
      <c r="M40" s="65">
        <v>1</v>
      </c>
      <c r="N40" s="65">
        <f>_xlfn.XLOOKUP(A40,[1]月销售数据!$P:$P,[1]月销售数据!$V:$V)</f>
        <v>2</v>
      </c>
      <c r="O40" s="66">
        <v>0</v>
      </c>
      <c r="P40" s="67">
        <v>0</v>
      </c>
      <c r="Q40" s="67">
        <v>184.95</v>
      </c>
      <c r="R40" s="67">
        <v>38.99</v>
      </c>
      <c r="S40" s="67">
        <f>_xlfn.XLOOKUP($A40,[1]月销售数据!$P:$P,[1]月销售数据!$AA:$AA)</f>
        <v>77.98</v>
      </c>
      <c r="T40" s="68">
        <v>0</v>
      </c>
      <c r="U40" s="65">
        <v>3</v>
      </c>
      <c r="V40" s="65">
        <v>12</v>
      </c>
      <c r="W40" s="65">
        <v>15</v>
      </c>
      <c r="X40" s="65">
        <v>8</v>
      </c>
      <c r="Y40" s="69">
        <v>0</v>
      </c>
      <c r="Z40" s="70">
        <v>0</v>
      </c>
      <c r="AA40" s="70">
        <v>0.294117647058824</v>
      </c>
      <c r="AB40" s="71">
        <v>0.0625</v>
      </c>
      <c r="AC40" s="70">
        <v>0.2</v>
      </c>
      <c r="AD40" s="65">
        <v>0</v>
      </c>
      <c r="AE40" s="65">
        <v>3</v>
      </c>
      <c r="AF40" s="65">
        <f t="shared" si="0"/>
        <v>17</v>
      </c>
      <c r="AG40" s="65">
        <v>16</v>
      </c>
      <c r="AH40" s="65">
        <v>10</v>
      </c>
      <c r="AI40" s="44"/>
      <c r="AJ40" s="44"/>
      <c r="AK40" s="44"/>
    </row>
    <row r="41" customFormat="1" ht="22.5" customHeight="1" spans="1:37">
      <c r="A41" s="61">
        <v>12303</v>
      </c>
      <c r="B41" s="62" t="s">
        <v>476</v>
      </c>
      <c r="C41" s="63">
        <v>46044</v>
      </c>
      <c r="D41" s="63">
        <v>46046</v>
      </c>
      <c r="E41" s="64" t="s">
        <v>70</v>
      </c>
      <c r="F41" s="64" t="s">
        <v>70</v>
      </c>
      <c r="G41" s="64" t="s">
        <v>70</v>
      </c>
      <c r="H41" s="64" t="s">
        <v>250</v>
      </c>
      <c r="I41" s="64" t="s">
        <v>238</v>
      </c>
      <c r="J41" s="65">
        <v>5</v>
      </c>
      <c r="K41" s="65">
        <v>15</v>
      </c>
      <c r="L41" s="65">
        <v>28</v>
      </c>
      <c r="M41" s="65">
        <v>23</v>
      </c>
      <c r="N41" s="65">
        <f>_xlfn.XLOOKUP(A41,[1]月销售数据!$P:$P,[1]月销售数据!$V:$V)</f>
        <v>11</v>
      </c>
      <c r="O41" s="66">
        <v>175</v>
      </c>
      <c r="P41" s="67">
        <v>525</v>
      </c>
      <c r="Q41" s="67">
        <v>978.25</v>
      </c>
      <c r="R41" s="67">
        <v>874</v>
      </c>
      <c r="S41" s="67">
        <f>_xlfn.XLOOKUP($A41,[1]月销售数据!$P:$P,[1]月销售数据!$AA:$AA)</f>
        <v>420.15</v>
      </c>
      <c r="T41" s="68">
        <v>0</v>
      </c>
      <c r="U41" s="65">
        <v>0</v>
      </c>
      <c r="V41" s="65">
        <v>0</v>
      </c>
      <c r="W41" s="65">
        <v>0</v>
      </c>
      <c r="X41" s="65">
        <v>0</v>
      </c>
      <c r="Y41" s="69">
        <v>1</v>
      </c>
      <c r="Z41" s="70">
        <v>1</v>
      </c>
      <c r="AA41" s="70">
        <v>1</v>
      </c>
      <c r="AB41" s="71">
        <v>1</v>
      </c>
      <c r="AC41" s="70">
        <v>1</v>
      </c>
      <c r="AD41" s="65">
        <v>5</v>
      </c>
      <c r="AE41" s="65">
        <v>15</v>
      </c>
      <c r="AF41" s="65">
        <f t="shared" si="0"/>
        <v>28</v>
      </c>
      <c r="AG41" s="65">
        <v>23</v>
      </c>
      <c r="AH41" s="65">
        <v>11</v>
      </c>
      <c r="AI41" s="44"/>
      <c r="AJ41" s="44"/>
      <c r="AK41" s="44"/>
    </row>
    <row r="42" customFormat="1" ht="22.5" customHeight="1" spans="1:37">
      <c r="A42" s="61">
        <v>11933</v>
      </c>
      <c r="B42" s="62" t="s">
        <v>477</v>
      </c>
      <c r="C42" s="63">
        <v>46047</v>
      </c>
      <c r="D42" s="63">
        <v>46085</v>
      </c>
      <c r="E42" s="64" t="s">
        <v>45</v>
      </c>
      <c r="F42" s="64" t="s">
        <v>57</v>
      </c>
      <c r="G42" s="64" t="s">
        <v>57</v>
      </c>
      <c r="H42" s="64" t="s">
        <v>237</v>
      </c>
      <c r="I42" s="64" t="s">
        <v>232</v>
      </c>
      <c r="J42" s="65">
        <v>0</v>
      </c>
      <c r="K42" s="65">
        <v>0</v>
      </c>
      <c r="L42" s="65">
        <v>1</v>
      </c>
      <c r="M42" s="65">
        <v>1</v>
      </c>
      <c r="N42" s="65">
        <f>_xlfn.XLOOKUP(A42,[1]月销售数据!$P:$P,[1]月销售数据!$V:$V)</f>
        <v>2</v>
      </c>
      <c r="O42" s="66">
        <v>0</v>
      </c>
      <c r="P42" s="67">
        <v>0</v>
      </c>
      <c r="Q42" s="67">
        <v>64.78</v>
      </c>
      <c r="R42" s="67">
        <v>69</v>
      </c>
      <c r="S42" s="67">
        <f>_xlfn.XLOOKUP($A42,[1]月销售数据!$P:$P,[1]月销售数据!$AA:$AA)</f>
        <v>138</v>
      </c>
      <c r="T42" s="68">
        <v>0</v>
      </c>
      <c r="U42" s="65">
        <v>1</v>
      </c>
      <c r="V42" s="65">
        <v>5</v>
      </c>
      <c r="W42" s="65">
        <v>1</v>
      </c>
      <c r="X42" s="65">
        <v>2</v>
      </c>
      <c r="Y42" s="69">
        <v>0</v>
      </c>
      <c r="Z42" s="70">
        <v>0</v>
      </c>
      <c r="AA42" s="70">
        <v>0.166666666666667</v>
      </c>
      <c r="AB42" s="71">
        <v>0.5</v>
      </c>
      <c r="AC42" s="70">
        <v>0.5</v>
      </c>
      <c r="AD42" s="65">
        <v>0</v>
      </c>
      <c r="AE42" s="65">
        <v>1</v>
      </c>
      <c r="AF42" s="65">
        <f t="shared" si="0"/>
        <v>6</v>
      </c>
      <c r="AG42" s="65">
        <v>2</v>
      </c>
      <c r="AH42" s="65">
        <v>4</v>
      </c>
      <c r="AI42" s="44"/>
      <c r="AJ42" s="44"/>
      <c r="AK42" s="44"/>
    </row>
    <row r="43" customFormat="1" ht="22.5" customHeight="1" spans="1:37">
      <c r="A43" s="61">
        <v>11839</v>
      </c>
      <c r="B43" s="62" t="s">
        <v>478</v>
      </c>
      <c r="C43" s="63">
        <v>46050</v>
      </c>
      <c r="D43" s="63">
        <v>46056</v>
      </c>
      <c r="E43" s="64" t="s">
        <v>76</v>
      </c>
      <c r="F43" s="64" t="s">
        <v>76</v>
      </c>
      <c r="G43" s="64" t="s">
        <v>76</v>
      </c>
      <c r="H43" s="64" t="s">
        <v>237</v>
      </c>
      <c r="I43" s="64" t="s">
        <v>232</v>
      </c>
      <c r="J43" s="65">
        <v>0</v>
      </c>
      <c r="K43" s="65">
        <v>40</v>
      </c>
      <c r="L43" s="65">
        <v>51</v>
      </c>
      <c r="M43" s="65">
        <v>30</v>
      </c>
      <c r="N43" s="65">
        <f>_xlfn.XLOOKUP(A43,[1]月销售数据!$P:$P,[1]月销售数据!$V:$V)</f>
        <v>10</v>
      </c>
      <c r="O43" s="66">
        <v>0</v>
      </c>
      <c r="P43" s="67">
        <v>1680</v>
      </c>
      <c r="Q43" s="67">
        <v>2186</v>
      </c>
      <c r="R43" s="67">
        <v>1496.53</v>
      </c>
      <c r="S43" s="67">
        <f>_xlfn.XLOOKUP($A43,[1]月销售数据!$P:$P,[1]月销售数据!$AA:$AA)</f>
        <v>529.41</v>
      </c>
      <c r="T43" s="68">
        <v>2</v>
      </c>
      <c r="U43" s="65">
        <v>11</v>
      </c>
      <c r="V43" s="65">
        <v>14</v>
      </c>
      <c r="W43" s="65">
        <v>13</v>
      </c>
      <c r="X43" s="65">
        <v>16</v>
      </c>
      <c r="Y43" s="69">
        <v>0</v>
      </c>
      <c r="Z43" s="70">
        <v>0.784313725490196</v>
      </c>
      <c r="AA43" s="70">
        <v>0.784615384615385</v>
      </c>
      <c r="AB43" s="71">
        <v>0.697674418604651</v>
      </c>
      <c r="AC43" s="70">
        <v>0.384615384615385</v>
      </c>
      <c r="AD43" s="65">
        <v>2</v>
      </c>
      <c r="AE43" s="65">
        <v>51</v>
      </c>
      <c r="AF43" s="65">
        <f t="shared" si="0"/>
        <v>65</v>
      </c>
      <c r="AG43" s="65">
        <v>43</v>
      </c>
      <c r="AH43" s="65">
        <v>26</v>
      </c>
      <c r="AI43" s="44"/>
      <c r="AJ43" s="44"/>
      <c r="AK43" s="44"/>
    </row>
    <row r="44" customFormat="1" ht="22.5" customHeight="1" spans="1:37">
      <c r="A44" s="61">
        <v>11840</v>
      </c>
      <c r="B44" s="62" t="s">
        <v>479</v>
      </c>
      <c r="C44" s="63">
        <v>46050</v>
      </c>
      <c r="D44" s="63">
        <v>46058</v>
      </c>
      <c r="E44" s="64" t="s">
        <v>76</v>
      </c>
      <c r="F44" s="64" t="s">
        <v>76</v>
      </c>
      <c r="G44" s="64" t="s">
        <v>76</v>
      </c>
      <c r="H44" s="64" t="s">
        <v>237</v>
      </c>
      <c r="I44" s="64" t="s">
        <v>232</v>
      </c>
      <c r="J44" s="65">
        <v>0</v>
      </c>
      <c r="K44" s="65">
        <v>55</v>
      </c>
      <c r="L44" s="65">
        <v>71</v>
      </c>
      <c r="M44" s="65">
        <v>4</v>
      </c>
      <c r="N44" s="65">
        <f>_xlfn.XLOOKUP(A44,[1]月销售数据!$P:$P,[1]月销售数据!$V:$V)</f>
        <v>18</v>
      </c>
      <c r="O44" s="66">
        <v>0</v>
      </c>
      <c r="P44" s="67">
        <v>2310</v>
      </c>
      <c r="Q44" s="67">
        <v>3223.9</v>
      </c>
      <c r="R44" s="67">
        <v>207.23</v>
      </c>
      <c r="S44" s="67">
        <f>_xlfn.XLOOKUP($A44,[1]月销售数据!$P:$P,[1]月销售数据!$AA:$AA)</f>
        <v>948.15</v>
      </c>
      <c r="T44" s="68">
        <v>4</v>
      </c>
      <c r="U44" s="65">
        <v>14</v>
      </c>
      <c r="V44" s="65">
        <v>36</v>
      </c>
      <c r="W44" s="65">
        <v>58</v>
      </c>
      <c r="X44" s="65">
        <v>23</v>
      </c>
      <c r="Y44" s="69">
        <v>0</v>
      </c>
      <c r="Z44" s="70">
        <v>0.797101449275362</v>
      </c>
      <c r="AA44" s="70">
        <v>0.663551401869159</v>
      </c>
      <c r="AB44" s="71">
        <v>0.0645161290322581</v>
      </c>
      <c r="AC44" s="70">
        <v>0.439024390243902</v>
      </c>
      <c r="AD44" s="65">
        <v>4</v>
      </c>
      <c r="AE44" s="65">
        <v>69</v>
      </c>
      <c r="AF44" s="65">
        <f t="shared" si="0"/>
        <v>107</v>
      </c>
      <c r="AG44" s="65">
        <v>62</v>
      </c>
      <c r="AH44" s="65">
        <v>41</v>
      </c>
      <c r="AI44" s="44"/>
      <c r="AJ44" s="44"/>
      <c r="AK44" s="44"/>
    </row>
    <row r="45" customFormat="1" ht="22.5" customHeight="1" spans="1:37">
      <c r="A45" s="61">
        <v>11794</v>
      </c>
      <c r="B45" s="62" t="s">
        <v>480</v>
      </c>
      <c r="C45" s="63">
        <v>46050</v>
      </c>
      <c r="D45" s="63">
        <v>46052</v>
      </c>
      <c r="E45" s="64" t="s">
        <v>45</v>
      </c>
      <c r="F45" s="64" t="s">
        <v>45</v>
      </c>
      <c r="G45" s="64" t="s">
        <v>45</v>
      </c>
      <c r="H45" s="64" t="s">
        <v>277</v>
      </c>
      <c r="I45" s="64" t="s">
        <v>232</v>
      </c>
      <c r="J45" s="65">
        <v>1</v>
      </c>
      <c r="K45" s="65">
        <v>19</v>
      </c>
      <c r="L45" s="65">
        <v>30</v>
      </c>
      <c r="M45" s="65">
        <v>16</v>
      </c>
      <c r="N45" s="65">
        <f>_xlfn.XLOOKUP(A45,[1]月销售数据!$P:$P,[1]月销售数据!$V:$V)</f>
        <v>12</v>
      </c>
      <c r="O45" s="66">
        <v>69</v>
      </c>
      <c r="P45" s="67">
        <v>1311</v>
      </c>
      <c r="Q45" s="67">
        <v>2070</v>
      </c>
      <c r="R45" s="67">
        <v>1213.75</v>
      </c>
      <c r="S45" s="67">
        <f>_xlfn.XLOOKUP($A45,[1]月销售数据!$P:$P,[1]月销售数据!$AA:$AA)</f>
        <v>925.75</v>
      </c>
      <c r="T45" s="68">
        <v>0</v>
      </c>
      <c r="U45" s="65">
        <v>0</v>
      </c>
      <c r="V45" s="65">
        <v>0</v>
      </c>
      <c r="W45" s="65">
        <v>0</v>
      </c>
      <c r="X45" s="65">
        <v>4</v>
      </c>
      <c r="Y45" s="69">
        <v>1</v>
      </c>
      <c r="Z45" s="70">
        <v>1</v>
      </c>
      <c r="AA45" s="70">
        <v>1</v>
      </c>
      <c r="AB45" s="71">
        <v>1</v>
      </c>
      <c r="AC45" s="70">
        <v>0.75</v>
      </c>
      <c r="AD45" s="65">
        <v>1</v>
      </c>
      <c r="AE45" s="65">
        <v>19</v>
      </c>
      <c r="AF45" s="65">
        <f t="shared" si="0"/>
        <v>30</v>
      </c>
      <c r="AG45" s="65">
        <v>16</v>
      </c>
      <c r="AH45" s="65">
        <v>16</v>
      </c>
      <c r="AI45" s="44"/>
      <c r="AJ45" s="44"/>
      <c r="AK45" s="44"/>
    </row>
    <row r="46" customFormat="1" ht="22.5" customHeight="1" spans="1:37">
      <c r="A46" s="61">
        <v>11866</v>
      </c>
      <c r="B46" s="62" t="s">
        <v>481</v>
      </c>
      <c r="C46" s="63">
        <v>46050</v>
      </c>
      <c r="D46" s="63">
        <v>46070</v>
      </c>
      <c r="E46" s="64" t="s">
        <v>70</v>
      </c>
      <c r="F46" s="64" t="s">
        <v>57</v>
      </c>
      <c r="G46" s="64" t="s">
        <v>57</v>
      </c>
      <c r="H46" s="64" t="s">
        <v>250</v>
      </c>
      <c r="I46" s="64" t="s">
        <v>232</v>
      </c>
      <c r="J46" s="65">
        <v>0</v>
      </c>
      <c r="K46" s="65">
        <v>4</v>
      </c>
      <c r="L46" s="65">
        <v>6</v>
      </c>
      <c r="M46" s="65">
        <v>7</v>
      </c>
      <c r="N46" s="65">
        <f>_xlfn.XLOOKUP(A46,[1]月销售数据!$P:$P,[1]月销售数据!$V:$V)</f>
        <v>14</v>
      </c>
      <c r="O46" s="66">
        <v>0</v>
      </c>
      <c r="P46" s="67">
        <v>104</v>
      </c>
      <c r="Q46" s="67">
        <v>156</v>
      </c>
      <c r="R46" s="67">
        <v>179.99</v>
      </c>
      <c r="S46" s="67">
        <f>_xlfn.XLOOKUP($A46,[1]月销售数据!$P:$P,[1]月销售数据!$AA:$AA)</f>
        <v>356.49</v>
      </c>
      <c r="T46" s="68">
        <v>7</v>
      </c>
      <c r="U46" s="65">
        <v>15</v>
      </c>
      <c r="V46" s="65">
        <v>28</v>
      </c>
      <c r="W46" s="65">
        <v>36</v>
      </c>
      <c r="X46" s="65">
        <v>31</v>
      </c>
      <c r="Y46" s="69">
        <v>0</v>
      </c>
      <c r="Z46" s="70">
        <v>0.210526315789474</v>
      </c>
      <c r="AA46" s="70">
        <v>0.176470588235294</v>
      </c>
      <c r="AB46" s="71">
        <v>0.162790697674419</v>
      </c>
      <c r="AC46" s="70">
        <v>0.311111111111111</v>
      </c>
      <c r="AD46" s="65">
        <v>7</v>
      </c>
      <c r="AE46" s="65">
        <v>19</v>
      </c>
      <c r="AF46" s="65">
        <f t="shared" si="0"/>
        <v>34</v>
      </c>
      <c r="AG46" s="65">
        <v>43</v>
      </c>
      <c r="AH46" s="65">
        <v>45</v>
      </c>
      <c r="AI46" s="44"/>
      <c r="AJ46" s="44"/>
      <c r="AK46" s="44"/>
    </row>
    <row r="47" customFormat="1" ht="22.5" customHeight="1" spans="1:37">
      <c r="A47" s="61">
        <v>11867</v>
      </c>
      <c r="B47" s="62" t="s">
        <v>482</v>
      </c>
      <c r="C47" s="63">
        <v>46050</v>
      </c>
      <c r="D47" s="63">
        <v>46068</v>
      </c>
      <c r="E47" s="64" t="s">
        <v>70</v>
      </c>
      <c r="F47" s="64" t="s">
        <v>57</v>
      </c>
      <c r="G47" s="64" t="s">
        <v>57</v>
      </c>
      <c r="H47" s="64" t="s">
        <v>250</v>
      </c>
      <c r="I47" s="64" t="s">
        <v>232</v>
      </c>
      <c r="J47" s="65">
        <v>0</v>
      </c>
      <c r="K47" s="65">
        <v>9</v>
      </c>
      <c r="L47" s="65">
        <v>12</v>
      </c>
      <c r="M47" s="65">
        <v>26</v>
      </c>
      <c r="N47" s="65">
        <f>_xlfn.XLOOKUP(A47,[1]月销售数据!$P:$P,[1]月销售数据!$V:$V)</f>
        <v>10</v>
      </c>
      <c r="O47" s="66">
        <v>0</v>
      </c>
      <c r="P47" s="67">
        <v>234</v>
      </c>
      <c r="Q47" s="67">
        <v>312</v>
      </c>
      <c r="R47" s="67">
        <v>676</v>
      </c>
      <c r="S47" s="67">
        <f>_xlfn.XLOOKUP($A47,[1]月销售数据!$P:$P,[1]月销售数据!$AA:$AA)</f>
        <v>260</v>
      </c>
      <c r="T47" s="68">
        <v>4</v>
      </c>
      <c r="U47" s="65">
        <v>23</v>
      </c>
      <c r="V47" s="65">
        <v>18</v>
      </c>
      <c r="W47" s="65">
        <v>17</v>
      </c>
      <c r="X47" s="65">
        <v>37</v>
      </c>
      <c r="Y47" s="69">
        <v>0</v>
      </c>
      <c r="Z47" s="70">
        <v>0.28125</v>
      </c>
      <c r="AA47" s="70">
        <v>0.4</v>
      </c>
      <c r="AB47" s="71">
        <v>0.604651162790698</v>
      </c>
      <c r="AC47" s="70">
        <v>0.212765957446809</v>
      </c>
      <c r="AD47" s="65">
        <v>4</v>
      </c>
      <c r="AE47" s="65">
        <v>32</v>
      </c>
      <c r="AF47" s="65">
        <f t="shared" si="0"/>
        <v>30</v>
      </c>
      <c r="AG47" s="65">
        <v>43</v>
      </c>
      <c r="AH47" s="65">
        <v>47</v>
      </c>
      <c r="AI47" s="44"/>
      <c r="AJ47" s="44"/>
      <c r="AK47" s="44"/>
    </row>
    <row r="48" customFormat="1" ht="22.5" customHeight="1" spans="1:37">
      <c r="A48" s="61">
        <v>11826</v>
      </c>
      <c r="B48" s="62" t="s">
        <v>483</v>
      </c>
      <c r="C48" s="63">
        <v>46051</v>
      </c>
      <c r="D48" s="63">
        <v>46065</v>
      </c>
      <c r="E48" s="64" t="s">
        <v>70</v>
      </c>
      <c r="F48" s="64" t="s">
        <v>70</v>
      </c>
      <c r="G48" s="64" t="s">
        <v>70</v>
      </c>
      <c r="H48" s="64" t="s">
        <v>277</v>
      </c>
      <c r="I48" s="64" t="s">
        <v>232</v>
      </c>
      <c r="J48" s="65">
        <v>0</v>
      </c>
      <c r="K48" s="65">
        <v>11</v>
      </c>
      <c r="L48" s="65">
        <v>11</v>
      </c>
      <c r="M48" s="65">
        <v>20</v>
      </c>
      <c r="N48" s="65">
        <f>_xlfn.XLOOKUP(A48,[1]月销售数据!$P:$P,[1]月销售数据!$V:$V)</f>
        <v>13</v>
      </c>
      <c r="O48" s="66">
        <v>0</v>
      </c>
      <c r="P48" s="67">
        <v>495</v>
      </c>
      <c r="Q48" s="67">
        <v>490.5</v>
      </c>
      <c r="R48" s="67">
        <v>918.75</v>
      </c>
      <c r="S48" s="67">
        <f>_xlfn.XLOOKUP($A48,[1]月销售数据!$P:$P,[1]月销售数据!$AA:$AA)</f>
        <v>585</v>
      </c>
      <c r="T48" s="68">
        <v>0</v>
      </c>
      <c r="U48" s="65">
        <v>0</v>
      </c>
      <c r="V48" s="65">
        <v>0</v>
      </c>
      <c r="W48" s="65">
        <v>0</v>
      </c>
      <c r="X48" s="65">
        <v>0</v>
      </c>
      <c r="Y48" s="69">
        <v>0</v>
      </c>
      <c r="Z48" s="70">
        <v>1</v>
      </c>
      <c r="AA48" s="70">
        <v>1</v>
      </c>
      <c r="AB48" s="71">
        <v>1</v>
      </c>
      <c r="AC48" s="70">
        <v>1</v>
      </c>
      <c r="AD48" s="65">
        <v>0</v>
      </c>
      <c r="AE48" s="65">
        <v>11</v>
      </c>
      <c r="AF48" s="65">
        <f t="shared" si="0"/>
        <v>11</v>
      </c>
      <c r="AG48" s="65">
        <v>20</v>
      </c>
      <c r="AH48" s="65">
        <v>13</v>
      </c>
      <c r="AI48" s="44"/>
      <c r="AJ48" s="44"/>
      <c r="AK48" s="44"/>
    </row>
    <row r="49" customFormat="1" ht="22.5" customHeight="1" spans="1:37">
      <c r="A49" s="61">
        <v>11876</v>
      </c>
      <c r="B49" s="62" t="s">
        <v>484</v>
      </c>
      <c r="C49" s="63">
        <v>46051</v>
      </c>
      <c r="D49" s="63">
        <v>46087</v>
      </c>
      <c r="E49" s="64" t="s">
        <v>70</v>
      </c>
      <c r="F49" s="64" t="s">
        <v>70</v>
      </c>
      <c r="G49" s="64" t="s">
        <v>70</v>
      </c>
      <c r="H49" s="64" t="s">
        <v>250</v>
      </c>
      <c r="I49" s="64" t="s">
        <v>238</v>
      </c>
      <c r="J49" s="65">
        <v>0</v>
      </c>
      <c r="K49" s="65">
        <v>0</v>
      </c>
      <c r="L49" s="65">
        <v>6</v>
      </c>
      <c r="M49" s="65">
        <v>6</v>
      </c>
      <c r="N49" s="65">
        <f>_xlfn.XLOOKUP(A49,[1]月销售数据!$P:$P,[1]月销售数据!$V:$V)</f>
        <v>2</v>
      </c>
      <c r="O49" s="66">
        <v>0</v>
      </c>
      <c r="P49" s="67">
        <v>0</v>
      </c>
      <c r="Q49" s="67">
        <v>1242.5</v>
      </c>
      <c r="R49" s="67">
        <v>1243.1</v>
      </c>
      <c r="S49" s="67">
        <f>_xlfn.XLOOKUP($A49,[1]月销售数据!$P:$P,[1]月销售数据!$AA:$AA)</f>
        <v>415.2</v>
      </c>
      <c r="T49" s="68">
        <v>0</v>
      </c>
      <c r="U49" s="65">
        <v>0</v>
      </c>
      <c r="V49" s="65">
        <v>0</v>
      </c>
      <c r="W49" s="65">
        <v>0</v>
      </c>
      <c r="X49" s="65">
        <v>0</v>
      </c>
      <c r="Y49" s="69">
        <v>0</v>
      </c>
      <c r="Z49" s="70">
        <v>0</v>
      </c>
      <c r="AA49" s="70">
        <v>1</v>
      </c>
      <c r="AB49" s="71">
        <v>1</v>
      </c>
      <c r="AC49" s="70">
        <v>1</v>
      </c>
      <c r="AD49" s="65">
        <v>0</v>
      </c>
      <c r="AE49" s="65">
        <v>0</v>
      </c>
      <c r="AF49" s="65">
        <f t="shared" si="0"/>
        <v>6</v>
      </c>
      <c r="AG49" s="65">
        <v>6</v>
      </c>
      <c r="AH49" s="65">
        <v>2</v>
      </c>
      <c r="AI49" s="44"/>
      <c r="AJ49" s="44"/>
      <c r="AK49" s="44"/>
    </row>
    <row r="50" customFormat="1" ht="22.5" customHeight="1" spans="1:37">
      <c r="A50" s="61">
        <v>11936</v>
      </c>
      <c r="B50" s="62" t="s">
        <v>485</v>
      </c>
      <c r="C50" s="63">
        <v>46051</v>
      </c>
      <c r="D50" s="63">
        <v>46056</v>
      </c>
      <c r="E50" s="64" t="s">
        <v>76</v>
      </c>
      <c r="F50" s="64" t="s">
        <v>76</v>
      </c>
      <c r="G50" s="64" t="s">
        <v>76</v>
      </c>
      <c r="H50" s="64" t="s">
        <v>237</v>
      </c>
      <c r="I50" s="64" t="s">
        <v>238</v>
      </c>
      <c r="J50" s="65">
        <v>0</v>
      </c>
      <c r="K50" s="65">
        <v>3</v>
      </c>
      <c r="L50" s="65">
        <v>4</v>
      </c>
      <c r="M50" s="65">
        <v>3</v>
      </c>
      <c r="N50" s="65">
        <f>_xlfn.XLOOKUP(A50,[1]月销售数据!$P:$P,[1]月销售数据!$V:$V)</f>
        <v>5</v>
      </c>
      <c r="O50" s="66">
        <v>0</v>
      </c>
      <c r="P50" s="67">
        <v>75</v>
      </c>
      <c r="Q50" s="67">
        <v>100</v>
      </c>
      <c r="R50" s="67">
        <v>75</v>
      </c>
      <c r="S50" s="67">
        <f>_xlfn.XLOOKUP($A50,[1]月销售数据!$P:$P,[1]月销售数据!$AA:$AA)</f>
        <v>125</v>
      </c>
      <c r="T50" s="68">
        <v>0</v>
      </c>
      <c r="U50" s="65">
        <v>0</v>
      </c>
      <c r="V50" s="65">
        <v>0</v>
      </c>
      <c r="W50" s="65">
        <v>0</v>
      </c>
      <c r="X50" s="65">
        <v>1</v>
      </c>
      <c r="Y50" s="69">
        <v>0</v>
      </c>
      <c r="Z50" s="70">
        <v>1</v>
      </c>
      <c r="AA50" s="70">
        <v>1</v>
      </c>
      <c r="AB50" s="71">
        <v>1</v>
      </c>
      <c r="AC50" s="70">
        <v>0.833333333333333</v>
      </c>
      <c r="AD50" s="65">
        <v>0</v>
      </c>
      <c r="AE50" s="65">
        <v>3</v>
      </c>
      <c r="AF50" s="65">
        <f t="shared" si="0"/>
        <v>4</v>
      </c>
      <c r="AG50" s="65">
        <v>3</v>
      </c>
      <c r="AH50" s="65">
        <v>6</v>
      </c>
      <c r="AI50" s="44"/>
      <c r="AJ50" s="44"/>
      <c r="AK50" s="44"/>
    </row>
    <row r="51" customFormat="1" ht="22.5" customHeight="1" spans="1:37">
      <c r="A51" s="61">
        <v>11937</v>
      </c>
      <c r="B51" s="62" t="s">
        <v>486</v>
      </c>
      <c r="C51" s="63">
        <v>46051</v>
      </c>
      <c r="D51" s="63">
        <v>46064</v>
      </c>
      <c r="E51" s="64" t="s">
        <v>76</v>
      </c>
      <c r="F51" s="64" t="s">
        <v>76</v>
      </c>
      <c r="G51" s="64" t="s">
        <v>76</v>
      </c>
      <c r="H51" s="64" t="s">
        <v>237</v>
      </c>
      <c r="I51" s="64" t="s">
        <v>238</v>
      </c>
      <c r="J51" s="65">
        <v>0</v>
      </c>
      <c r="K51" s="65">
        <v>4</v>
      </c>
      <c r="L51" s="65">
        <v>5</v>
      </c>
      <c r="M51" s="65">
        <v>2</v>
      </c>
      <c r="N51" s="65">
        <f>_xlfn.XLOOKUP(A51,[1]月销售数据!$P:$P,[1]月销售数据!$V:$V)</f>
        <v>2</v>
      </c>
      <c r="O51" s="66">
        <v>0</v>
      </c>
      <c r="P51" s="67">
        <v>92</v>
      </c>
      <c r="Q51" s="67">
        <v>117</v>
      </c>
      <c r="R51" s="67">
        <v>46</v>
      </c>
      <c r="S51" s="67">
        <f>_xlfn.XLOOKUP($A51,[1]月销售数据!$P:$P,[1]月销售数据!$AA:$AA)</f>
        <v>46</v>
      </c>
      <c r="T51" s="68">
        <v>0</v>
      </c>
      <c r="U51" s="65">
        <v>1</v>
      </c>
      <c r="V51" s="65">
        <v>0</v>
      </c>
      <c r="W51" s="65">
        <v>1</v>
      </c>
      <c r="X51" s="65">
        <v>1</v>
      </c>
      <c r="Y51" s="69">
        <v>0</v>
      </c>
      <c r="Z51" s="70">
        <v>0.8</v>
      </c>
      <c r="AA51" s="70">
        <v>1</v>
      </c>
      <c r="AB51" s="71">
        <v>0.666666666666667</v>
      </c>
      <c r="AC51" s="70">
        <v>0.666666666666667</v>
      </c>
      <c r="AD51" s="65">
        <v>0</v>
      </c>
      <c r="AE51" s="65">
        <v>5</v>
      </c>
      <c r="AF51" s="65">
        <f t="shared" si="0"/>
        <v>5</v>
      </c>
      <c r="AG51" s="65">
        <v>3</v>
      </c>
      <c r="AH51" s="65">
        <v>3</v>
      </c>
      <c r="AI51" s="44"/>
      <c r="AJ51" s="44"/>
      <c r="AK51" s="44"/>
    </row>
    <row r="52" customFormat="1" ht="22.5" customHeight="1" spans="1:37">
      <c r="A52" s="61">
        <v>11874</v>
      </c>
      <c r="B52" s="62" t="s">
        <v>487</v>
      </c>
      <c r="C52" s="63">
        <v>46051</v>
      </c>
      <c r="D52" s="63">
        <v>46054</v>
      </c>
      <c r="E52" s="64" t="s">
        <v>70</v>
      </c>
      <c r="F52" s="64" t="s">
        <v>70</v>
      </c>
      <c r="G52" s="64" t="s">
        <v>70</v>
      </c>
      <c r="H52" s="64" t="s">
        <v>250</v>
      </c>
      <c r="I52" s="64" t="s">
        <v>232</v>
      </c>
      <c r="J52" s="65">
        <v>0</v>
      </c>
      <c r="K52" s="65">
        <v>11</v>
      </c>
      <c r="L52" s="65">
        <v>5</v>
      </c>
      <c r="M52" s="65">
        <v>8</v>
      </c>
      <c r="N52" s="65">
        <f>_xlfn.XLOOKUP(A52,[1]月销售数据!$P:$P,[1]月销售数据!$V:$V)</f>
        <v>4</v>
      </c>
      <c r="O52" s="66">
        <v>0</v>
      </c>
      <c r="P52" s="67">
        <v>1485</v>
      </c>
      <c r="Q52" s="67">
        <v>675</v>
      </c>
      <c r="R52" s="67">
        <v>1127.95</v>
      </c>
      <c r="S52" s="67">
        <f>_xlfn.XLOOKUP($A52,[1]月销售数据!$P:$P,[1]月销售数据!$AA:$AA)</f>
        <v>565</v>
      </c>
      <c r="T52" s="68">
        <v>0</v>
      </c>
      <c r="U52" s="65">
        <v>0</v>
      </c>
      <c r="V52" s="65">
        <v>1</v>
      </c>
      <c r="W52" s="65">
        <v>2</v>
      </c>
      <c r="X52" s="65">
        <v>1</v>
      </c>
      <c r="Y52" s="69">
        <v>0</v>
      </c>
      <c r="Z52" s="70">
        <v>1</v>
      </c>
      <c r="AA52" s="70">
        <v>0.833333333333333</v>
      </c>
      <c r="AB52" s="71">
        <v>0.8</v>
      </c>
      <c r="AC52" s="70">
        <v>0.8</v>
      </c>
      <c r="AD52" s="65">
        <v>0</v>
      </c>
      <c r="AE52" s="65">
        <v>11</v>
      </c>
      <c r="AF52" s="65">
        <f t="shared" si="0"/>
        <v>6</v>
      </c>
      <c r="AG52" s="65">
        <v>10</v>
      </c>
      <c r="AH52" s="65">
        <v>5</v>
      </c>
      <c r="AI52" s="44"/>
      <c r="AJ52" s="44"/>
      <c r="AK52" s="44"/>
    </row>
    <row r="53" customFormat="1" ht="22.5" customHeight="1" spans="1:37">
      <c r="A53" s="61">
        <v>11925</v>
      </c>
      <c r="B53" s="62" t="s">
        <v>488</v>
      </c>
      <c r="C53" s="63">
        <v>46051</v>
      </c>
      <c r="D53" s="63">
        <v>46052</v>
      </c>
      <c r="E53" s="64" t="s">
        <v>81</v>
      </c>
      <c r="F53" s="64" t="s">
        <v>52</v>
      </c>
      <c r="G53" s="64" t="s">
        <v>52</v>
      </c>
      <c r="H53" s="64" t="s">
        <v>250</v>
      </c>
      <c r="I53" s="64" t="s">
        <v>232</v>
      </c>
      <c r="J53" s="65">
        <v>2</v>
      </c>
      <c r="K53" s="65">
        <v>7</v>
      </c>
      <c r="L53" s="65">
        <v>26</v>
      </c>
      <c r="M53" s="65">
        <v>19</v>
      </c>
      <c r="N53" s="65">
        <f>_xlfn.XLOOKUP(A53,[1]月销售数据!$P:$P,[1]月销售数据!$V:$V)</f>
        <v>18</v>
      </c>
      <c r="O53" s="66">
        <v>598</v>
      </c>
      <c r="P53" s="67">
        <v>2078.05</v>
      </c>
      <c r="Q53" s="67">
        <v>7400.68</v>
      </c>
      <c r="R53" s="67">
        <v>5419.35</v>
      </c>
      <c r="S53" s="67">
        <f>_xlfn.XLOOKUP($A53,[1]月销售数据!$P:$P,[1]月销售数据!$AA:$AA)</f>
        <v>5309.96</v>
      </c>
      <c r="T53" s="68">
        <v>0</v>
      </c>
      <c r="U53" s="65">
        <v>0</v>
      </c>
      <c r="V53" s="65">
        <v>0</v>
      </c>
      <c r="W53" s="65">
        <v>0</v>
      </c>
      <c r="X53" s="65">
        <v>0</v>
      </c>
      <c r="Y53" s="69">
        <v>1</v>
      </c>
      <c r="Z53" s="70">
        <v>1</v>
      </c>
      <c r="AA53" s="70">
        <v>1</v>
      </c>
      <c r="AB53" s="71">
        <v>1</v>
      </c>
      <c r="AC53" s="70">
        <v>1</v>
      </c>
      <c r="AD53" s="65">
        <v>2</v>
      </c>
      <c r="AE53" s="65">
        <v>7</v>
      </c>
      <c r="AF53" s="65">
        <f t="shared" si="0"/>
        <v>26</v>
      </c>
      <c r="AG53" s="65">
        <v>19</v>
      </c>
      <c r="AH53" s="65">
        <v>18</v>
      </c>
      <c r="AI53" s="44"/>
      <c r="AJ53" s="44"/>
      <c r="AK53" s="44"/>
    </row>
    <row r="54" customFormat="1" ht="22.5" customHeight="1" spans="1:37">
      <c r="A54" s="61">
        <v>11852</v>
      </c>
      <c r="B54" s="62" t="s">
        <v>489</v>
      </c>
      <c r="C54" s="63">
        <v>46051</v>
      </c>
      <c r="D54" s="63">
        <v>46064</v>
      </c>
      <c r="E54" s="64" t="s">
        <v>70</v>
      </c>
      <c r="F54" s="64" t="s">
        <v>70</v>
      </c>
      <c r="G54" s="64" t="s">
        <v>70</v>
      </c>
      <c r="H54" s="64" t="s">
        <v>250</v>
      </c>
      <c r="I54" s="64" t="s">
        <v>232</v>
      </c>
      <c r="J54" s="65">
        <v>0</v>
      </c>
      <c r="K54" s="65">
        <v>4</v>
      </c>
      <c r="L54" s="65">
        <v>7</v>
      </c>
      <c r="M54" s="65">
        <v>3</v>
      </c>
      <c r="N54" s="65">
        <f>_xlfn.XLOOKUP(A54,[1]月销售数据!$P:$P,[1]月销售数据!$V:$V)</f>
        <v>9</v>
      </c>
      <c r="O54" s="66">
        <v>0</v>
      </c>
      <c r="P54" s="67">
        <v>1680</v>
      </c>
      <c r="Q54" s="67">
        <v>2940</v>
      </c>
      <c r="R54" s="67">
        <v>1260</v>
      </c>
      <c r="S54" s="67">
        <f>_xlfn.XLOOKUP($A54,[1]月销售数据!$P:$P,[1]月销售数据!$AA:$AA)</f>
        <v>3746.08</v>
      </c>
      <c r="T54" s="68">
        <v>0</v>
      </c>
      <c r="U54" s="65">
        <v>0</v>
      </c>
      <c r="V54" s="65">
        <v>0</v>
      </c>
      <c r="W54" s="65">
        <v>0</v>
      </c>
      <c r="X54" s="65">
        <v>0</v>
      </c>
      <c r="Y54" s="69">
        <v>0</v>
      </c>
      <c r="Z54" s="70">
        <v>1</v>
      </c>
      <c r="AA54" s="70">
        <v>1</v>
      </c>
      <c r="AB54" s="71">
        <v>1</v>
      </c>
      <c r="AC54" s="70">
        <v>1</v>
      </c>
      <c r="AD54" s="65">
        <v>0</v>
      </c>
      <c r="AE54" s="65">
        <v>4</v>
      </c>
      <c r="AF54" s="65">
        <f t="shared" si="0"/>
        <v>7</v>
      </c>
      <c r="AG54" s="65">
        <v>3</v>
      </c>
      <c r="AH54" s="65">
        <v>9</v>
      </c>
      <c r="AI54" s="44"/>
      <c r="AJ54" s="44"/>
      <c r="AK54" s="44"/>
    </row>
    <row r="55" customFormat="1" ht="22.5" customHeight="1" spans="1:37">
      <c r="A55" s="61">
        <v>12359</v>
      </c>
      <c r="B55" s="62" t="s">
        <v>490</v>
      </c>
      <c r="C55" s="63">
        <v>46056</v>
      </c>
      <c r="D55" s="63">
        <v>46062</v>
      </c>
      <c r="E55" s="64" t="s">
        <v>52</v>
      </c>
      <c r="F55" s="64" t="s">
        <v>52</v>
      </c>
      <c r="G55" s="64" t="s">
        <v>52</v>
      </c>
      <c r="H55" s="64" t="s">
        <v>250</v>
      </c>
      <c r="I55" s="64" t="s">
        <v>491</v>
      </c>
      <c r="J55" s="65" t="s">
        <v>161</v>
      </c>
      <c r="K55" s="65">
        <v>4</v>
      </c>
      <c r="L55" s="65">
        <v>10</v>
      </c>
      <c r="M55" s="65">
        <v>2</v>
      </c>
      <c r="N55" s="65">
        <f>_xlfn.XLOOKUP(A55,[1]月销售数据!$P:$P,[1]月销售数据!$V:$V)</f>
        <v>3</v>
      </c>
      <c r="O55" s="68" t="s">
        <v>161</v>
      </c>
      <c r="P55" s="67">
        <v>1996</v>
      </c>
      <c r="Q55" s="67">
        <v>4973.05</v>
      </c>
      <c r="R55" s="67">
        <v>998</v>
      </c>
      <c r="S55" s="67">
        <f>_xlfn.XLOOKUP($A55,[1]月销售数据!$P:$P,[1]月销售数据!$AA:$AA)</f>
        <v>1497</v>
      </c>
      <c r="T55" s="68" t="s">
        <v>161</v>
      </c>
      <c r="U55" s="65">
        <v>0</v>
      </c>
      <c r="V55" s="65">
        <v>0</v>
      </c>
      <c r="W55" s="65">
        <v>0</v>
      </c>
      <c r="X55" s="65">
        <v>0</v>
      </c>
      <c r="Y55" s="68" t="s">
        <v>161</v>
      </c>
      <c r="Z55" s="70">
        <v>1</v>
      </c>
      <c r="AA55" s="70">
        <v>1</v>
      </c>
      <c r="AB55" s="71">
        <v>1</v>
      </c>
      <c r="AC55" s="70">
        <v>1</v>
      </c>
      <c r="AD55" s="65" t="e">
        <v>#VALUE!</v>
      </c>
      <c r="AE55" s="65">
        <v>4</v>
      </c>
      <c r="AF55" s="65">
        <f t="shared" si="0"/>
        <v>10</v>
      </c>
      <c r="AG55" s="65">
        <v>2</v>
      </c>
      <c r="AH55" s="65">
        <v>3</v>
      </c>
      <c r="AI55" s="44"/>
      <c r="AJ55" s="44"/>
      <c r="AK55" s="44"/>
    </row>
    <row r="56" customFormat="1" ht="22.5" customHeight="1" spans="1:37">
      <c r="A56" s="61">
        <v>11921</v>
      </c>
      <c r="B56" s="62" t="s">
        <v>492</v>
      </c>
      <c r="C56" s="63">
        <v>46056</v>
      </c>
      <c r="D56" s="63">
        <v>46057</v>
      </c>
      <c r="E56" s="64" t="s">
        <v>76</v>
      </c>
      <c r="F56" s="64" t="s">
        <v>70</v>
      </c>
      <c r="G56" s="64" t="s">
        <v>70</v>
      </c>
      <c r="H56" s="64" t="s">
        <v>256</v>
      </c>
      <c r="I56" s="64" t="s">
        <v>238</v>
      </c>
      <c r="J56" s="65" t="s">
        <v>161</v>
      </c>
      <c r="K56" s="65">
        <v>19</v>
      </c>
      <c r="L56" s="65">
        <v>40</v>
      </c>
      <c r="M56" s="65">
        <v>47</v>
      </c>
      <c r="N56" s="65">
        <f>_xlfn.XLOOKUP(A56,[1]月销售数据!$P:$P,[1]月销售数据!$V:$V)</f>
        <v>22</v>
      </c>
      <c r="O56" s="68" t="s">
        <v>161</v>
      </c>
      <c r="P56" s="67">
        <v>3021</v>
      </c>
      <c r="Q56" s="67">
        <v>6352.05</v>
      </c>
      <c r="R56" s="67">
        <v>7589.78</v>
      </c>
      <c r="S56" s="67">
        <f>_xlfn.XLOOKUP($A56,[1]月销售数据!$P:$P,[1]月销售数据!$AA:$AA)</f>
        <v>3676.9</v>
      </c>
      <c r="T56" s="68" t="s">
        <v>161</v>
      </c>
      <c r="U56" s="65">
        <v>1</v>
      </c>
      <c r="V56" s="65">
        <v>8</v>
      </c>
      <c r="W56" s="65">
        <v>6</v>
      </c>
      <c r="X56" s="65">
        <v>17</v>
      </c>
      <c r="Y56" s="68" t="s">
        <v>161</v>
      </c>
      <c r="Z56" s="70">
        <v>0.95</v>
      </c>
      <c r="AA56" s="70">
        <v>0.833333333333333</v>
      </c>
      <c r="AB56" s="71">
        <v>0.886792452830189</v>
      </c>
      <c r="AC56" s="70">
        <v>0.564102564102564</v>
      </c>
      <c r="AD56" s="65" t="e">
        <v>#VALUE!</v>
      </c>
      <c r="AE56" s="65">
        <v>20</v>
      </c>
      <c r="AF56" s="65">
        <f t="shared" si="0"/>
        <v>48</v>
      </c>
      <c r="AG56" s="65">
        <v>53</v>
      </c>
      <c r="AH56" s="65">
        <v>39</v>
      </c>
      <c r="AI56" s="44"/>
      <c r="AJ56" s="44"/>
      <c r="AK56" s="44"/>
    </row>
    <row r="57" customFormat="1" ht="22.5" customHeight="1" spans="1:37">
      <c r="A57" s="61">
        <v>11922</v>
      </c>
      <c r="B57" s="62" t="s">
        <v>493</v>
      </c>
      <c r="C57" s="63">
        <v>46056</v>
      </c>
      <c r="D57" s="63">
        <v>46058</v>
      </c>
      <c r="E57" s="64" t="s">
        <v>76</v>
      </c>
      <c r="F57" s="64" t="s">
        <v>70</v>
      </c>
      <c r="G57" s="64" t="s">
        <v>70</v>
      </c>
      <c r="H57" s="64" t="s">
        <v>256</v>
      </c>
      <c r="I57" s="64" t="s">
        <v>238</v>
      </c>
      <c r="J57" s="65" t="s">
        <v>161</v>
      </c>
      <c r="K57" s="65">
        <v>56</v>
      </c>
      <c r="L57" s="65">
        <v>94</v>
      </c>
      <c r="M57" s="65">
        <v>30</v>
      </c>
      <c r="N57" s="65">
        <f>_xlfn.XLOOKUP(A57,[1]月销售数据!$P:$P,[1]月销售数据!$V:$V)</f>
        <v>36</v>
      </c>
      <c r="O57" s="68" t="s">
        <v>161</v>
      </c>
      <c r="P57" s="67">
        <v>8896.05</v>
      </c>
      <c r="Q57" s="67">
        <v>15954.8</v>
      </c>
      <c r="R57" s="67">
        <v>5426.11</v>
      </c>
      <c r="S57" s="67">
        <f>_xlfn.XLOOKUP($A57,[1]月销售数据!$P:$P,[1]月销售数据!$AA:$AA)</f>
        <v>6539.2</v>
      </c>
      <c r="T57" s="68" t="s">
        <v>161</v>
      </c>
      <c r="U57" s="65">
        <v>11</v>
      </c>
      <c r="V57" s="65">
        <v>8</v>
      </c>
      <c r="W57" s="65">
        <v>36</v>
      </c>
      <c r="X57" s="65">
        <v>45</v>
      </c>
      <c r="Y57" s="68" t="s">
        <v>161</v>
      </c>
      <c r="Z57" s="70">
        <v>0.835820895522388</v>
      </c>
      <c r="AA57" s="70">
        <v>0.92156862745098</v>
      </c>
      <c r="AB57" s="71">
        <v>0.454545454545455</v>
      </c>
      <c r="AC57" s="70">
        <v>0.444444444444444</v>
      </c>
      <c r="AD57" s="65" t="e">
        <v>#VALUE!</v>
      </c>
      <c r="AE57" s="65">
        <v>67</v>
      </c>
      <c r="AF57" s="65">
        <f t="shared" si="0"/>
        <v>102</v>
      </c>
      <c r="AG57" s="65">
        <v>66</v>
      </c>
      <c r="AH57" s="65">
        <v>81</v>
      </c>
      <c r="AI57" s="44"/>
      <c r="AJ57" s="44"/>
      <c r="AK57" s="44"/>
    </row>
    <row r="58" customFormat="1" ht="22.5" customHeight="1" spans="1:37">
      <c r="A58" s="61">
        <v>11923</v>
      </c>
      <c r="B58" s="62" t="s">
        <v>494</v>
      </c>
      <c r="C58" s="63">
        <v>46056</v>
      </c>
      <c r="D58" s="63">
        <v>46058</v>
      </c>
      <c r="E58" s="64" t="s">
        <v>76</v>
      </c>
      <c r="F58" s="64" t="s">
        <v>70</v>
      </c>
      <c r="G58" s="64" t="s">
        <v>70</v>
      </c>
      <c r="H58" s="64" t="s">
        <v>256</v>
      </c>
      <c r="I58" s="64" t="s">
        <v>238</v>
      </c>
      <c r="J58" s="65" t="s">
        <v>161</v>
      </c>
      <c r="K58" s="65">
        <v>16</v>
      </c>
      <c r="L58" s="65">
        <v>8</v>
      </c>
      <c r="M58" s="65">
        <v>21</v>
      </c>
      <c r="N58" s="65">
        <f>_xlfn.XLOOKUP(A58,[1]月销售数据!$P:$P,[1]月销售数据!$V:$V)</f>
        <v>19</v>
      </c>
      <c r="O58" s="68" t="s">
        <v>161</v>
      </c>
      <c r="P58" s="67">
        <v>2544</v>
      </c>
      <c r="Q58" s="67">
        <v>1272</v>
      </c>
      <c r="R58" s="67">
        <v>3339</v>
      </c>
      <c r="S58" s="67">
        <f>_xlfn.XLOOKUP($A58,[1]月销售数据!$P:$P,[1]月销售数据!$AA:$AA)</f>
        <v>3021</v>
      </c>
      <c r="T58" s="68" t="s">
        <v>161</v>
      </c>
      <c r="U58" s="65">
        <v>1</v>
      </c>
      <c r="V58" s="65">
        <v>2</v>
      </c>
      <c r="W58" s="65">
        <v>4</v>
      </c>
      <c r="X58" s="65">
        <v>1</v>
      </c>
      <c r="Y58" s="68" t="s">
        <v>161</v>
      </c>
      <c r="Z58" s="70">
        <v>0.941176470588235</v>
      </c>
      <c r="AA58" s="70">
        <v>0.8</v>
      </c>
      <c r="AB58" s="71">
        <v>0.84</v>
      </c>
      <c r="AC58" s="70">
        <v>0.95</v>
      </c>
      <c r="AD58" s="65" t="e">
        <v>#VALUE!</v>
      </c>
      <c r="AE58" s="65">
        <v>17</v>
      </c>
      <c r="AF58" s="65">
        <f t="shared" si="0"/>
        <v>10</v>
      </c>
      <c r="AG58" s="65">
        <v>25</v>
      </c>
      <c r="AH58" s="65">
        <v>20</v>
      </c>
      <c r="AI58" s="44"/>
      <c r="AJ58" s="44"/>
      <c r="AK58" s="44"/>
    </row>
    <row r="59" customFormat="1" ht="22.5" customHeight="1" spans="1:37">
      <c r="A59" s="61">
        <v>11927</v>
      </c>
      <c r="B59" s="62" t="s">
        <v>495</v>
      </c>
      <c r="C59" s="63">
        <v>46056</v>
      </c>
      <c r="D59" s="63">
        <v>46067</v>
      </c>
      <c r="E59" s="64" t="s">
        <v>70</v>
      </c>
      <c r="F59" s="64" t="s">
        <v>70</v>
      </c>
      <c r="G59" s="64" t="s">
        <v>70</v>
      </c>
      <c r="H59" s="64" t="s">
        <v>250</v>
      </c>
      <c r="I59" s="64" t="s">
        <v>232</v>
      </c>
      <c r="J59" s="65" t="s">
        <v>161</v>
      </c>
      <c r="K59" s="65">
        <v>2</v>
      </c>
      <c r="L59" s="65">
        <v>0</v>
      </c>
      <c r="M59" s="65">
        <v>5</v>
      </c>
      <c r="N59" s="65">
        <f>_xlfn.XLOOKUP(A59,[1]月销售数据!$P:$P,[1]月销售数据!$V:$V)</f>
        <v>6</v>
      </c>
      <c r="O59" s="68" t="s">
        <v>161</v>
      </c>
      <c r="P59" s="67">
        <v>60</v>
      </c>
      <c r="Q59" s="67">
        <v>0</v>
      </c>
      <c r="R59" s="67">
        <v>150</v>
      </c>
      <c r="S59" s="67">
        <f>_xlfn.XLOOKUP($A59,[1]月销售数据!$P:$P,[1]月销售数据!$AA:$AA)</f>
        <v>183</v>
      </c>
      <c r="T59" s="68" t="s">
        <v>161</v>
      </c>
      <c r="U59" s="65">
        <v>0</v>
      </c>
      <c r="V59" s="65">
        <v>0</v>
      </c>
      <c r="W59" s="65">
        <v>0</v>
      </c>
      <c r="X59" s="65">
        <v>0</v>
      </c>
      <c r="Y59" s="68" t="s">
        <v>161</v>
      </c>
      <c r="Z59" s="70">
        <v>1</v>
      </c>
      <c r="AA59" s="70" t="s">
        <v>106</v>
      </c>
      <c r="AB59" s="71">
        <v>1</v>
      </c>
      <c r="AC59" s="70">
        <v>1</v>
      </c>
      <c r="AD59" s="65" t="e">
        <v>#VALUE!</v>
      </c>
      <c r="AE59" s="65">
        <v>2</v>
      </c>
      <c r="AF59" s="65">
        <f t="shared" si="0"/>
        <v>0</v>
      </c>
      <c r="AG59" s="65">
        <v>5</v>
      </c>
      <c r="AH59" s="65">
        <v>6</v>
      </c>
      <c r="AI59" s="44"/>
      <c r="AJ59" s="44"/>
      <c r="AK59" s="44"/>
    </row>
    <row r="60" customFormat="1" ht="22.5" customHeight="1" spans="1:37">
      <c r="A60" s="61">
        <v>11928</v>
      </c>
      <c r="B60" s="62" t="s">
        <v>496</v>
      </c>
      <c r="C60" s="63">
        <v>46056</v>
      </c>
      <c r="D60" s="63">
        <v>46095</v>
      </c>
      <c r="E60" s="64" t="s">
        <v>70</v>
      </c>
      <c r="F60" s="64" t="s">
        <v>70</v>
      </c>
      <c r="G60" s="64" t="s">
        <v>70</v>
      </c>
      <c r="H60" s="64" t="s">
        <v>250</v>
      </c>
      <c r="I60" s="64" t="s">
        <v>238</v>
      </c>
      <c r="J60" s="65" t="s">
        <v>161</v>
      </c>
      <c r="K60" s="65">
        <v>0</v>
      </c>
      <c r="L60" s="65">
        <v>2</v>
      </c>
      <c r="M60" s="65">
        <v>0</v>
      </c>
      <c r="N60" s="65">
        <f>_xlfn.XLOOKUP(A60,[1]月销售数据!$P:$P,[1]月销售数据!$V:$V)</f>
        <v>0</v>
      </c>
      <c r="O60" s="68" t="s">
        <v>161</v>
      </c>
      <c r="P60" s="67">
        <v>0</v>
      </c>
      <c r="Q60" s="67">
        <v>54</v>
      </c>
      <c r="R60" s="67">
        <v>0</v>
      </c>
      <c r="S60" s="67">
        <f>_xlfn.XLOOKUP($A60,[1]月销售数据!$P:$P,[1]月销售数据!$AA:$AA)</f>
        <v>0</v>
      </c>
      <c r="T60" s="68" t="s">
        <v>161</v>
      </c>
      <c r="U60" s="65">
        <v>0</v>
      </c>
      <c r="V60" s="65">
        <v>0</v>
      </c>
      <c r="W60" s="65">
        <v>0</v>
      </c>
      <c r="X60" s="65">
        <v>0</v>
      </c>
      <c r="Y60" s="68" t="s">
        <v>161</v>
      </c>
      <c r="Z60" s="70">
        <v>0</v>
      </c>
      <c r="AA60" s="70">
        <v>1</v>
      </c>
      <c r="AB60" s="71">
        <v>0</v>
      </c>
      <c r="AC60" s="70" t="s">
        <v>106</v>
      </c>
      <c r="AD60" s="65" t="e">
        <v>#VALUE!</v>
      </c>
      <c r="AE60" s="65">
        <v>0</v>
      </c>
      <c r="AF60" s="65">
        <f t="shared" si="0"/>
        <v>2</v>
      </c>
      <c r="AG60" s="65">
        <v>0</v>
      </c>
      <c r="AH60" s="65">
        <v>0</v>
      </c>
      <c r="AI60" s="44"/>
      <c r="AJ60" s="44"/>
      <c r="AK60" s="44"/>
    </row>
    <row r="61" customFormat="1" ht="22.5" customHeight="1" spans="1:37">
      <c r="A61" s="61">
        <v>11926</v>
      </c>
      <c r="B61" s="62" t="s">
        <v>497</v>
      </c>
      <c r="C61" s="63">
        <v>46062</v>
      </c>
      <c r="D61" s="63">
        <v>46063</v>
      </c>
      <c r="E61" s="64" t="s">
        <v>70</v>
      </c>
      <c r="F61" s="64" t="s">
        <v>70</v>
      </c>
      <c r="G61" s="64" t="s">
        <v>70</v>
      </c>
      <c r="H61" s="64" t="s">
        <v>250</v>
      </c>
      <c r="I61" s="64" t="s">
        <v>232</v>
      </c>
      <c r="J61" s="65" t="s">
        <v>161</v>
      </c>
      <c r="K61" s="65">
        <v>12</v>
      </c>
      <c r="L61" s="65">
        <v>22</v>
      </c>
      <c r="M61" s="65">
        <v>14</v>
      </c>
      <c r="N61" s="65">
        <f>_xlfn.XLOOKUP(A61,[1]月销售数据!$P:$P,[1]月销售数据!$V:$V)</f>
        <v>15</v>
      </c>
      <c r="O61" s="68" t="s">
        <v>161</v>
      </c>
      <c r="P61" s="67">
        <v>948</v>
      </c>
      <c r="Q61" s="67">
        <v>1734.05</v>
      </c>
      <c r="R61" s="67">
        <v>1106</v>
      </c>
      <c r="S61" s="67">
        <f>_xlfn.XLOOKUP($A61,[1]月销售数据!$P:$P,[1]月销售数据!$AA:$AA)</f>
        <v>1185</v>
      </c>
      <c r="T61" s="68" t="s">
        <v>161</v>
      </c>
      <c r="U61" s="65">
        <v>0</v>
      </c>
      <c r="V61" s="65">
        <v>0</v>
      </c>
      <c r="W61" s="65">
        <v>0</v>
      </c>
      <c r="X61" s="65">
        <v>0</v>
      </c>
      <c r="Y61" s="68" t="s">
        <v>161</v>
      </c>
      <c r="Z61" s="70">
        <v>1</v>
      </c>
      <c r="AA61" s="70">
        <v>1</v>
      </c>
      <c r="AB61" s="71">
        <v>1</v>
      </c>
      <c r="AC61" s="70">
        <v>1</v>
      </c>
      <c r="AD61" s="65" t="e">
        <v>#VALUE!</v>
      </c>
      <c r="AE61" s="65">
        <v>12</v>
      </c>
      <c r="AF61" s="65">
        <f t="shared" si="0"/>
        <v>22</v>
      </c>
      <c r="AG61" s="65">
        <v>14</v>
      </c>
      <c r="AH61" s="65">
        <v>15</v>
      </c>
      <c r="AI61" s="44"/>
      <c r="AJ61" s="44"/>
      <c r="AK61" s="44"/>
    </row>
    <row r="62" customFormat="1" ht="22.5" customHeight="1" spans="1:37">
      <c r="A62" s="61">
        <v>11998</v>
      </c>
      <c r="B62" s="62" t="s">
        <v>498</v>
      </c>
      <c r="C62" s="63">
        <v>46062</v>
      </c>
      <c r="D62" s="63">
        <v>46068</v>
      </c>
      <c r="E62" s="64" t="s">
        <v>70</v>
      </c>
      <c r="F62" s="64" t="s">
        <v>70</v>
      </c>
      <c r="G62" s="64" t="s">
        <v>70</v>
      </c>
      <c r="H62" s="64" t="s">
        <v>250</v>
      </c>
      <c r="I62" s="64" t="s">
        <v>238</v>
      </c>
      <c r="J62" s="65" t="s">
        <v>161</v>
      </c>
      <c r="K62" s="65">
        <v>5</v>
      </c>
      <c r="L62" s="65">
        <v>13</v>
      </c>
      <c r="M62" s="65">
        <v>6</v>
      </c>
      <c r="N62" s="65">
        <f>_xlfn.XLOOKUP(A62,[1]月销售数据!$P:$P,[1]月销售数据!$V:$V)</f>
        <v>8</v>
      </c>
      <c r="O62" s="68" t="s">
        <v>161</v>
      </c>
      <c r="P62" s="67">
        <v>2495</v>
      </c>
      <c r="Q62" s="67">
        <v>6462.05</v>
      </c>
      <c r="R62" s="67">
        <v>2994</v>
      </c>
      <c r="S62" s="67">
        <f>_xlfn.XLOOKUP($A62,[1]月销售数据!$P:$P,[1]月销售数据!$AA:$AA)</f>
        <v>3996</v>
      </c>
      <c r="T62" s="68" t="s">
        <v>161</v>
      </c>
      <c r="U62" s="65">
        <v>0</v>
      </c>
      <c r="V62" s="65">
        <v>0</v>
      </c>
      <c r="W62" s="65">
        <v>0</v>
      </c>
      <c r="X62" s="65">
        <v>0</v>
      </c>
      <c r="Y62" s="68" t="s">
        <v>161</v>
      </c>
      <c r="Z62" s="70">
        <v>1</v>
      </c>
      <c r="AA62" s="70">
        <v>1</v>
      </c>
      <c r="AB62" s="71">
        <v>1</v>
      </c>
      <c r="AC62" s="70">
        <v>1</v>
      </c>
      <c r="AD62" s="65" t="e">
        <v>#VALUE!</v>
      </c>
      <c r="AE62" s="65">
        <v>5</v>
      </c>
      <c r="AF62" s="65">
        <f t="shared" si="0"/>
        <v>13</v>
      </c>
      <c r="AG62" s="65">
        <v>6</v>
      </c>
      <c r="AH62" s="65">
        <v>8</v>
      </c>
      <c r="AI62" s="44"/>
      <c r="AJ62" s="44"/>
      <c r="AK62" s="44"/>
    </row>
    <row r="63" customFormat="1" ht="22.5" customHeight="1" spans="1:37">
      <c r="A63" s="61">
        <v>11929</v>
      </c>
      <c r="B63" s="62" t="s">
        <v>499</v>
      </c>
      <c r="C63" s="63">
        <v>46062</v>
      </c>
      <c r="D63" s="63">
        <v>46066</v>
      </c>
      <c r="E63" s="64" t="s">
        <v>70</v>
      </c>
      <c r="F63" s="64" t="s">
        <v>70</v>
      </c>
      <c r="G63" s="64" t="s">
        <v>70</v>
      </c>
      <c r="H63" s="64" t="s">
        <v>250</v>
      </c>
      <c r="I63" s="64" t="s">
        <v>232</v>
      </c>
      <c r="J63" s="65" t="s">
        <v>161</v>
      </c>
      <c r="K63" s="65">
        <v>46</v>
      </c>
      <c r="L63" s="65">
        <v>2</v>
      </c>
      <c r="M63" s="65">
        <v>5</v>
      </c>
      <c r="N63" s="65">
        <f>_xlfn.XLOOKUP(A63,[1]月销售数据!$P:$P,[1]月销售数据!$V:$V)</f>
        <v>4</v>
      </c>
      <c r="O63" s="68" t="s">
        <v>161</v>
      </c>
      <c r="P63" s="67">
        <v>5290</v>
      </c>
      <c r="Q63" s="67">
        <v>236</v>
      </c>
      <c r="R63" s="67">
        <v>592</v>
      </c>
      <c r="S63" s="67">
        <f>_xlfn.XLOOKUP($A63,[1]月销售数据!$P:$P,[1]月销售数据!$AA:$AA)</f>
        <v>474</v>
      </c>
      <c r="T63" s="68" t="s">
        <v>161</v>
      </c>
      <c r="U63" s="65">
        <v>20</v>
      </c>
      <c r="V63" s="65">
        <v>4</v>
      </c>
      <c r="W63" s="65">
        <v>2</v>
      </c>
      <c r="X63" s="65">
        <v>11</v>
      </c>
      <c r="Y63" s="68" t="s">
        <v>161</v>
      </c>
      <c r="Z63" s="70">
        <v>0.696969696969697</v>
      </c>
      <c r="AA63" s="70">
        <v>0.333333333333333</v>
      </c>
      <c r="AB63" s="71">
        <v>0.714285714285714</v>
      </c>
      <c r="AC63" s="70">
        <v>0.266666666666667</v>
      </c>
      <c r="AD63" s="65" t="e">
        <v>#VALUE!</v>
      </c>
      <c r="AE63" s="65">
        <v>66</v>
      </c>
      <c r="AF63" s="65">
        <f t="shared" si="0"/>
        <v>6</v>
      </c>
      <c r="AG63" s="65">
        <v>7</v>
      </c>
      <c r="AH63" s="65">
        <v>15</v>
      </c>
      <c r="AI63" s="44"/>
      <c r="AJ63" s="44"/>
      <c r="AK63" s="44"/>
    </row>
    <row r="64" customFormat="1" ht="22.5" customHeight="1" spans="1:37">
      <c r="A64" s="61">
        <v>12061</v>
      </c>
      <c r="B64" s="62" t="s">
        <v>500</v>
      </c>
      <c r="C64" s="63">
        <v>46062</v>
      </c>
      <c r="D64" s="63">
        <v>46068</v>
      </c>
      <c r="E64" s="64" t="s">
        <v>81</v>
      </c>
      <c r="F64" s="64" t="s">
        <v>57</v>
      </c>
      <c r="G64" s="64" t="s">
        <v>57</v>
      </c>
      <c r="H64" s="64" t="s">
        <v>250</v>
      </c>
      <c r="I64" s="64" t="s">
        <v>238</v>
      </c>
      <c r="J64" s="65" t="s">
        <v>161</v>
      </c>
      <c r="K64" s="65">
        <v>3</v>
      </c>
      <c r="L64" s="65">
        <v>14</v>
      </c>
      <c r="M64" s="65">
        <v>17</v>
      </c>
      <c r="N64" s="65">
        <f>_xlfn.XLOOKUP(A64,[1]月销售数据!$P:$P,[1]月销售数据!$V:$V)</f>
        <v>18</v>
      </c>
      <c r="O64" s="68" t="s">
        <v>161</v>
      </c>
      <c r="P64" s="67">
        <v>177</v>
      </c>
      <c r="Q64" s="67">
        <v>699.6</v>
      </c>
      <c r="R64" s="67">
        <v>850.46</v>
      </c>
      <c r="S64" s="67">
        <f>_xlfn.XLOOKUP($A64,[1]月销售数据!$P:$P,[1]月销售数据!$AA:$AA)</f>
        <v>902.43</v>
      </c>
      <c r="T64" s="68" t="s">
        <v>161</v>
      </c>
      <c r="U64" s="65">
        <v>0</v>
      </c>
      <c r="V64" s="65">
        <v>0</v>
      </c>
      <c r="W64" s="65">
        <v>0</v>
      </c>
      <c r="X64" s="65">
        <v>0</v>
      </c>
      <c r="Y64" s="68" t="s">
        <v>161</v>
      </c>
      <c r="Z64" s="70">
        <v>1</v>
      </c>
      <c r="AA64" s="70">
        <v>1</v>
      </c>
      <c r="AB64" s="71">
        <v>1</v>
      </c>
      <c r="AC64" s="70">
        <v>1</v>
      </c>
      <c r="AD64" s="65" t="e">
        <v>#VALUE!</v>
      </c>
      <c r="AE64" s="65">
        <v>3</v>
      </c>
      <c r="AF64" s="65">
        <f t="shared" si="0"/>
        <v>14</v>
      </c>
      <c r="AG64" s="65">
        <v>17</v>
      </c>
      <c r="AH64" s="65">
        <v>18</v>
      </c>
      <c r="AI64" s="44"/>
      <c r="AJ64" s="44"/>
      <c r="AK64" s="44"/>
    </row>
    <row r="65" customFormat="1" ht="22.5" customHeight="1" spans="1:37">
      <c r="A65" s="61">
        <v>11990</v>
      </c>
      <c r="B65" s="62" t="s">
        <v>501</v>
      </c>
      <c r="C65" s="63">
        <v>46062</v>
      </c>
      <c r="D65" s="63">
        <v>46117</v>
      </c>
      <c r="E65" s="64" t="s">
        <v>52</v>
      </c>
      <c r="F65" s="64" t="s">
        <v>52</v>
      </c>
      <c r="G65" s="64" t="s">
        <v>52</v>
      </c>
      <c r="H65" s="64" t="s">
        <v>256</v>
      </c>
      <c r="I65" s="64" t="s">
        <v>232</v>
      </c>
      <c r="J65" s="65" t="s">
        <v>161</v>
      </c>
      <c r="K65" s="65">
        <v>0</v>
      </c>
      <c r="L65" s="65">
        <v>0</v>
      </c>
      <c r="M65" s="65">
        <v>3</v>
      </c>
      <c r="N65" s="65">
        <f>_xlfn.XLOOKUP(A65,[1]月销售数据!$P:$P,[1]月销售数据!$V:$V)</f>
        <v>0</v>
      </c>
      <c r="O65" s="68" t="s">
        <v>161</v>
      </c>
      <c r="P65" s="67">
        <v>0</v>
      </c>
      <c r="Q65" s="67">
        <v>0</v>
      </c>
      <c r="R65" s="67">
        <v>246</v>
      </c>
      <c r="S65" s="67">
        <f>_xlfn.XLOOKUP($A65,[1]月销售数据!$P:$P,[1]月销售数据!$AA:$AA)</f>
        <v>0</v>
      </c>
      <c r="T65" s="68" t="s">
        <v>161</v>
      </c>
      <c r="U65" s="65">
        <v>0</v>
      </c>
      <c r="V65" s="65">
        <v>0</v>
      </c>
      <c r="W65" s="65">
        <v>0</v>
      </c>
      <c r="X65" s="65">
        <v>2</v>
      </c>
      <c r="Y65" s="68" t="s">
        <v>161</v>
      </c>
      <c r="Z65" s="70">
        <v>0</v>
      </c>
      <c r="AA65" s="70" t="s">
        <v>106</v>
      </c>
      <c r="AB65" s="71">
        <v>1</v>
      </c>
      <c r="AC65" s="70">
        <v>0</v>
      </c>
      <c r="AD65" s="65" t="e">
        <v>#VALUE!</v>
      </c>
      <c r="AE65" s="65">
        <v>0</v>
      </c>
      <c r="AF65" s="65">
        <f t="shared" si="0"/>
        <v>0</v>
      </c>
      <c r="AG65" s="65">
        <v>3</v>
      </c>
      <c r="AH65" s="65">
        <v>2</v>
      </c>
      <c r="AI65" s="44"/>
      <c r="AJ65" s="44"/>
      <c r="AK65" s="44"/>
    </row>
    <row r="66" customFormat="1" ht="22.5" customHeight="1" spans="1:37">
      <c r="A66" s="61">
        <v>11991</v>
      </c>
      <c r="B66" s="62" t="s">
        <v>502</v>
      </c>
      <c r="C66" s="63">
        <v>46062</v>
      </c>
      <c r="D66" s="63">
        <v>46093</v>
      </c>
      <c r="E66" s="64" t="s">
        <v>52</v>
      </c>
      <c r="F66" s="64" t="s">
        <v>52</v>
      </c>
      <c r="G66" s="64" t="s">
        <v>52</v>
      </c>
      <c r="H66" s="64" t="s">
        <v>256</v>
      </c>
      <c r="I66" s="64" t="s">
        <v>238</v>
      </c>
      <c r="J66" s="65" t="s">
        <v>161</v>
      </c>
      <c r="K66" s="65">
        <v>0</v>
      </c>
      <c r="L66" s="65">
        <v>2</v>
      </c>
      <c r="M66" s="65">
        <v>1</v>
      </c>
      <c r="N66" s="65">
        <f>_xlfn.XLOOKUP(A66,[1]月销售数据!$P:$P,[1]月销售数据!$V:$V)</f>
        <v>0</v>
      </c>
      <c r="O66" s="68" t="s">
        <v>161</v>
      </c>
      <c r="P66" s="67">
        <v>0</v>
      </c>
      <c r="Q66" s="67">
        <v>80</v>
      </c>
      <c r="R66" s="67">
        <v>40</v>
      </c>
      <c r="S66" s="67">
        <f>_xlfn.XLOOKUP($A66,[1]月销售数据!$P:$P,[1]月销售数据!$AA:$AA)</f>
        <v>0</v>
      </c>
      <c r="T66" s="68" t="s">
        <v>161</v>
      </c>
      <c r="U66" s="65">
        <v>0</v>
      </c>
      <c r="V66" s="65">
        <v>0</v>
      </c>
      <c r="W66" s="65">
        <v>0</v>
      </c>
      <c r="X66" s="65">
        <v>0</v>
      </c>
      <c r="Y66" s="68" t="s">
        <v>161</v>
      </c>
      <c r="Z66" s="70">
        <v>0</v>
      </c>
      <c r="AA66" s="70">
        <v>1</v>
      </c>
      <c r="AB66" s="71">
        <v>1</v>
      </c>
      <c r="AC66" s="70" t="s">
        <v>106</v>
      </c>
      <c r="AD66" s="65" t="e">
        <v>#VALUE!</v>
      </c>
      <c r="AE66" s="65">
        <v>0</v>
      </c>
      <c r="AF66" s="65">
        <f t="shared" ref="AF66:AF129" si="1">V66+L66</f>
        <v>2</v>
      </c>
      <c r="AG66" s="65">
        <v>1</v>
      </c>
      <c r="AH66" s="65">
        <v>0</v>
      </c>
      <c r="AI66" s="44"/>
      <c r="AJ66" s="44"/>
      <c r="AK66" s="44"/>
    </row>
    <row r="67" customFormat="1" ht="22.5" customHeight="1" spans="1:37">
      <c r="A67" s="72">
        <v>11981</v>
      </c>
      <c r="B67" s="62" t="s">
        <v>503</v>
      </c>
      <c r="C67" s="63">
        <v>46066</v>
      </c>
      <c r="D67" s="63">
        <v>46071</v>
      </c>
      <c r="E67" s="64" t="s">
        <v>81</v>
      </c>
      <c r="F67" s="64" t="s">
        <v>57</v>
      </c>
      <c r="G67" s="64" t="s">
        <v>57</v>
      </c>
      <c r="H67" s="64" t="s">
        <v>231</v>
      </c>
      <c r="I67" s="64" t="s">
        <v>232</v>
      </c>
      <c r="J67" s="65" t="s">
        <v>161</v>
      </c>
      <c r="K67" s="65">
        <v>1</v>
      </c>
      <c r="L67" s="65">
        <v>3</v>
      </c>
      <c r="M67" s="65">
        <v>10</v>
      </c>
      <c r="N67" s="65">
        <f>_xlfn.XLOOKUP(A67,[1]月销售数据!$P:$P,[1]月销售数据!$V:$V)</f>
        <v>3</v>
      </c>
      <c r="O67" s="68" t="s">
        <v>161</v>
      </c>
      <c r="P67" s="67">
        <v>159</v>
      </c>
      <c r="Q67" s="67">
        <v>448</v>
      </c>
      <c r="R67" s="67">
        <v>1555.2</v>
      </c>
      <c r="S67" s="67">
        <f>_xlfn.XLOOKUP($A67,[1]月销售数据!$P:$P,[1]月销售数据!$AA:$AA)</f>
        <v>471.2</v>
      </c>
      <c r="T67" s="68" t="s">
        <v>161</v>
      </c>
      <c r="U67" s="65">
        <v>1</v>
      </c>
      <c r="V67" s="65">
        <v>0</v>
      </c>
      <c r="W67" s="65">
        <v>1</v>
      </c>
      <c r="X67" s="65">
        <v>0</v>
      </c>
      <c r="Y67" s="68" t="s">
        <v>161</v>
      </c>
      <c r="Z67" s="70">
        <v>0.5</v>
      </c>
      <c r="AA67" s="70">
        <v>1</v>
      </c>
      <c r="AB67" s="71">
        <v>0.909090909090909</v>
      </c>
      <c r="AC67" s="70">
        <v>1</v>
      </c>
      <c r="AD67" s="65" t="e">
        <v>#VALUE!</v>
      </c>
      <c r="AE67" s="65">
        <v>2</v>
      </c>
      <c r="AF67" s="65">
        <f t="shared" si="1"/>
        <v>3</v>
      </c>
      <c r="AG67" s="65">
        <v>11</v>
      </c>
      <c r="AH67" s="65">
        <v>3</v>
      </c>
      <c r="AI67" s="44"/>
      <c r="AJ67" s="44"/>
      <c r="AK67" s="44"/>
    </row>
    <row r="68" customFormat="1" ht="22.5" customHeight="1" spans="1:37">
      <c r="A68" s="72">
        <v>11890</v>
      </c>
      <c r="B68" s="62" t="s">
        <v>504</v>
      </c>
      <c r="C68" s="63">
        <v>46066</v>
      </c>
      <c r="D68" s="63">
        <v>46079</v>
      </c>
      <c r="E68" s="64" t="s">
        <v>76</v>
      </c>
      <c r="F68" s="64" t="s">
        <v>70</v>
      </c>
      <c r="G68" s="64" t="s">
        <v>70</v>
      </c>
      <c r="H68" s="64" t="s">
        <v>250</v>
      </c>
      <c r="I68" s="64" t="s">
        <v>238</v>
      </c>
      <c r="J68" s="65" t="s">
        <v>161</v>
      </c>
      <c r="K68" s="65">
        <v>1</v>
      </c>
      <c r="L68" s="65">
        <v>5</v>
      </c>
      <c r="M68" s="65">
        <v>2</v>
      </c>
      <c r="N68" s="65">
        <f>_xlfn.XLOOKUP(A68,[1]月销售数据!$P:$P,[1]月销售数据!$V:$V)</f>
        <v>2</v>
      </c>
      <c r="O68" s="68" t="s">
        <v>161</v>
      </c>
      <c r="P68" s="67">
        <v>46</v>
      </c>
      <c r="Q68" s="67">
        <v>220</v>
      </c>
      <c r="R68" s="67">
        <v>91</v>
      </c>
      <c r="S68" s="67">
        <f>_xlfn.XLOOKUP($A68,[1]月销售数据!$P:$P,[1]月销售数据!$AA:$AA)</f>
        <v>86.3</v>
      </c>
      <c r="T68" s="68" t="s">
        <v>161</v>
      </c>
      <c r="U68" s="65">
        <v>2</v>
      </c>
      <c r="V68" s="65">
        <v>5</v>
      </c>
      <c r="W68" s="65">
        <v>5</v>
      </c>
      <c r="X68" s="65">
        <v>8</v>
      </c>
      <c r="Y68" s="68" t="s">
        <v>161</v>
      </c>
      <c r="Z68" s="70">
        <v>0.333333333333333</v>
      </c>
      <c r="AA68" s="70">
        <v>0.5</v>
      </c>
      <c r="AB68" s="71">
        <v>0.285714285714286</v>
      </c>
      <c r="AC68" s="70">
        <v>0.2</v>
      </c>
      <c r="AD68" s="65" t="e">
        <v>#VALUE!</v>
      </c>
      <c r="AE68" s="65">
        <v>3</v>
      </c>
      <c r="AF68" s="65">
        <f t="shared" si="1"/>
        <v>10</v>
      </c>
      <c r="AG68" s="65">
        <v>7</v>
      </c>
      <c r="AH68" s="65">
        <v>10</v>
      </c>
      <c r="AI68" s="44"/>
      <c r="AJ68" s="44"/>
      <c r="AK68" s="44"/>
    </row>
    <row r="69" customFormat="1" ht="22.5" customHeight="1" spans="1:37">
      <c r="A69" s="72">
        <v>11989</v>
      </c>
      <c r="B69" s="62" t="s">
        <v>505</v>
      </c>
      <c r="C69" s="63">
        <v>46066</v>
      </c>
      <c r="D69" s="63">
        <v>46072</v>
      </c>
      <c r="E69" s="64" t="s">
        <v>81</v>
      </c>
      <c r="F69" s="64" t="s">
        <v>57</v>
      </c>
      <c r="G69" s="64" t="s">
        <v>57</v>
      </c>
      <c r="H69" s="64" t="s">
        <v>277</v>
      </c>
      <c r="I69" s="64" t="s">
        <v>232</v>
      </c>
      <c r="J69" s="65" t="s">
        <v>161</v>
      </c>
      <c r="K69" s="65">
        <v>3</v>
      </c>
      <c r="L69" s="65">
        <v>8</v>
      </c>
      <c r="M69" s="65">
        <v>8</v>
      </c>
      <c r="N69" s="65">
        <f>_xlfn.XLOOKUP(A69,[1]月销售数据!$P:$P,[1]月销售数据!$V:$V)</f>
        <v>8</v>
      </c>
      <c r="O69" s="68" t="s">
        <v>161</v>
      </c>
      <c r="P69" s="67">
        <v>315</v>
      </c>
      <c r="Q69" s="67">
        <v>840</v>
      </c>
      <c r="R69" s="67">
        <v>840</v>
      </c>
      <c r="S69" s="67">
        <f>_xlfn.XLOOKUP($A69,[1]月销售数据!$P:$P,[1]月销售数据!$AA:$AA)</f>
        <v>835.8</v>
      </c>
      <c r="T69" s="68" t="s">
        <v>161</v>
      </c>
      <c r="U69" s="65">
        <v>2</v>
      </c>
      <c r="V69" s="65">
        <v>7</v>
      </c>
      <c r="W69" s="65">
        <v>1</v>
      </c>
      <c r="X69" s="65">
        <v>6</v>
      </c>
      <c r="Y69" s="68" t="s">
        <v>161</v>
      </c>
      <c r="Z69" s="70">
        <v>0.6</v>
      </c>
      <c r="AA69" s="70">
        <v>0.533333333333333</v>
      </c>
      <c r="AB69" s="71">
        <v>0.888888888888889</v>
      </c>
      <c r="AC69" s="70">
        <v>0.571428571428571</v>
      </c>
      <c r="AD69" s="65" t="e">
        <v>#VALUE!</v>
      </c>
      <c r="AE69" s="65">
        <v>5</v>
      </c>
      <c r="AF69" s="65">
        <f t="shared" si="1"/>
        <v>15</v>
      </c>
      <c r="AG69" s="65">
        <v>9</v>
      </c>
      <c r="AH69" s="65">
        <v>14</v>
      </c>
      <c r="AI69" s="44"/>
      <c r="AJ69" s="44"/>
      <c r="AK69" s="44"/>
    </row>
    <row r="70" customFormat="1" ht="22.5" customHeight="1" spans="1:37">
      <c r="A70" s="72">
        <v>12088</v>
      </c>
      <c r="B70" s="62" t="s">
        <v>506</v>
      </c>
      <c r="C70" s="63">
        <v>46066</v>
      </c>
      <c r="D70" s="63">
        <v>46068</v>
      </c>
      <c r="E70" s="64" t="s">
        <v>76</v>
      </c>
      <c r="F70" s="64" t="s">
        <v>45</v>
      </c>
      <c r="G70" s="64" t="s">
        <v>45</v>
      </c>
      <c r="H70" s="64" t="s">
        <v>237</v>
      </c>
      <c r="I70" s="64" t="s">
        <v>238</v>
      </c>
      <c r="J70" s="65" t="s">
        <v>161</v>
      </c>
      <c r="K70" s="65">
        <v>2</v>
      </c>
      <c r="L70" s="65">
        <v>13</v>
      </c>
      <c r="M70" s="65">
        <v>5</v>
      </c>
      <c r="N70" s="65">
        <f>_xlfn.XLOOKUP(A70,[1]月销售数据!$P:$P,[1]月销售数据!$V:$V)</f>
        <v>0</v>
      </c>
      <c r="O70" s="68" t="s">
        <v>161</v>
      </c>
      <c r="P70" s="67">
        <v>166</v>
      </c>
      <c r="Q70" s="67">
        <v>1079</v>
      </c>
      <c r="R70" s="67">
        <v>398.14</v>
      </c>
      <c r="S70" s="67">
        <f>_xlfn.XLOOKUP($A70,[1]月销售数据!$P:$P,[1]月销售数据!$AA:$AA)</f>
        <v>0</v>
      </c>
      <c r="T70" s="68" t="s">
        <v>161</v>
      </c>
      <c r="U70" s="65">
        <v>11</v>
      </c>
      <c r="V70" s="65">
        <v>13</v>
      </c>
      <c r="W70" s="65">
        <v>15</v>
      </c>
      <c r="X70" s="65">
        <v>24</v>
      </c>
      <c r="Y70" s="68" t="s">
        <v>161</v>
      </c>
      <c r="Z70" s="70">
        <v>0.153846153846154</v>
      </c>
      <c r="AA70" s="70">
        <v>0.5</v>
      </c>
      <c r="AB70" s="71">
        <v>0.25</v>
      </c>
      <c r="AC70" s="70">
        <v>0</v>
      </c>
      <c r="AD70" s="65" t="e">
        <v>#VALUE!</v>
      </c>
      <c r="AE70" s="65">
        <v>13</v>
      </c>
      <c r="AF70" s="65">
        <f t="shared" si="1"/>
        <v>26</v>
      </c>
      <c r="AG70" s="65">
        <v>20</v>
      </c>
      <c r="AH70" s="65">
        <v>24</v>
      </c>
      <c r="AI70" s="44"/>
      <c r="AJ70" s="44"/>
      <c r="AK70" s="44"/>
    </row>
    <row r="71" customFormat="1" ht="22.5" customHeight="1" spans="1:37">
      <c r="A71" s="72">
        <v>12089</v>
      </c>
      <c r="B71" s="62" t="s">
        <v>507</v>
      </c>
      <c r="C71" s="63">
        <v>46066</v>
      </c>
      <c r="D71" s="63">
        <v>46070</v>
      </c>
      <c r="E71" s="64" t="s">
        <v>76</v>
      </c>
      <c r="F71" s="64" t="s">
        <v>45</v>
      </c>
      <c r="G71" s="64" t="s">
        <v>45</v>
      </c>
      <c r="H71" s="64" t="s">
        <v>237</v>
      </c>
      <c r="I71" s="64" t="s">
        <v>238</v>
      </c>
      <c r="J71" s="65" t="s">
        <v>161</v>
      </c>
      <c r="K71" s="65">
        <v>1</v>
      </c>
      <c r="L71" s="65">
        <v>13</v>
      </c>
      <c r="M71" s="65">
        <v>18</v>
      </c>
      <c r="N71" s="65">
        <f>_xlfn.XLOOKUP(A71,[1]月销售数据!$P:$P,[1]月销售数据!$V:$V)</f>
        <v>9</v>
      </c>
      <c r="O71" s="68" t="s">
        <v>161</v>
      </c>
      <c r="P71" s="67">
        <v>89</v>
      </c>
      <c r="Q71" s="67">
        <v>1148.1</v>
      </c>
      <c r="R71" s="67">
        <v>1571.53</v>
      </c>
      <c r="S71" s="67">
        <f>_xlfn.XLOOKUP($A71,[1]月销售数据!$P:$P,[1]月销售数据!$AA:$AA)</f>
        <v>783.15</v>
      </c>
      <c r="T71" s="68" t="s">
        <v>161</v>
      </c>
      <c r="U71" s="65">
        <v>1</v>
      </c>
      <c r="V71" s="65">
        <v>4</v>
      </c>
      <c r="W71" s="65">
        <v>7</v>
      </c>
      <c r="X71" s="65">
        <v>5</v>
      </c>
      <c r="Y71" s="68" t="s">
        <v>161</v>
      </c>
      <c r="Z71" s="70">
        <v>0.5</v>
      </c>
      <c r="AA71" s="70">
        <v>0.764705882352941</v>
      </c>
      <c r="AB71" s="71">
        <v>0.72</v>
      </c>
      <c r="AC71" s="70">
        <v>0.642857142857143</v>
      </c>
      <c r="AD71" s="65" t="e">
        <v>#VALUE!</v>
      </c>
      <c r="AE71" s="65">
        <v>2</v>
      </c>
      <c r="AF71" s="65">
        <f t="shared" si="1"/>
        <v>17</v>
      </c>
      <c r="AG71" s="65">
        <v>25</v>
      </c>
      <c r="AH71" s="65">
        <v>14</v>
      </c>
      <c r="AI71" s="44"/>
      <c r="AJ71" s="44"/>
      <c r="AK71" s="44"/>
    </row>
    <row r="72" customFormat="1" ht="22.5" customHeight="1" spans="1:37">
      <c r="A72" s="72">
        <v>12002</v>
      </c>
      <c r="B72" s="62" t="s">
        <v>508</v>
      </c>
      <c r="C72" s="63">
        <v>46066</v>
      </c>
      <c r="D72" s="63">
        <v>46084</v>
      </c>
      <c r="E72" s="64" t="s">
        <v>76</v>
      </c>
      <c r="F72" s="64" t="s">
        <v>45</v>
      </c>
      <c r="G72" s="64" t="s">
        <v>45</v>
      </c>
      <c r="H72" s="64" t="s">
        <v>237</v>
      </c>
      <c r="I72" s="64" t="s">
        <v>232</v>
      </c>
      <c r="J72" s="65" t="s">
        <v>161</v>
      </c>
      <c r="K72" s="65">
        <v>0</v>
      </c>
      <c r="L72" s="65">
        <v>3</v>
      </c>
      <c r="M72" s="65">
        <v>2</v>
      </c>
      <c r="N72" s="65">
        <f>_xlfn.XLOOKUP(A72,[1]月销售数据!$P:$P,[1]月销售数据!$V:$V)</f>
        <v>2</v>
      </c>
      <c r="O72" s="68" t="s">
        <v>161</v>
      </c>
      <c r="P72" s="67">
        <v>0</v>
      </c>
      <c r="Q72" s="67">
        <v>240</v>
      </c>
      <c r="R72" s="67">
        <v>160</v>
      </c>
      <c r="S72" s="67">
        <f>_xlfn.XLOOKUP($A72,[1]月销售数据!$P:$P,[1]月销售数据!$AA:$AA)</f>
        <v>145</v>
      </c>
      <c r="T72" s="68" t="s">
        <v>161</v>
      </c>
      <c r="U72" s="65">
        <v>0</v>
      </c>
      <c r="V72" s="65">
        <v>0</v>
      </c>
      <c r="W72" s="65">
        <v>0</v>
      </c>
      <c r="X72" s="65">
        <v>7</v>
      </c>
      <c r="Y72" s="68" t="s">
        <v>161</v>
      </c>
      <c r="Z72" s="70">
        <v>0</v>
      </c>
      <c r="AA72" s="70">
        <v>1</v>
      </c>
      <c r="AB72" s="71">
        <v>1</v>
      </c>
      <c r="AC72" s="70">
        <v>0.222222222222222</v>
      </c>
      <c r="AD72" s="65" t="e">
        <v>#VALUE!</v>
      </c>
      <c r="AE72" s="65">
        <v>0</v>
      </c>
      <c r="AF72" s="65">
        <f t="shared" si="1"/>
        <v>3</v>
      </c>
      <c r="AG72" s="65">
        <v>2</v>
      </c>
      <c r="AH72" s="65">
        <v>9</v>
      </c>
      <c r="AI72" s="44"/>
      <c r="AJ72" s="44"/>
      <c r="AK72" s="44"/>
    </row>
    <row r="73" customFormat="1" ht="22.5" customHeight="1" spans="1:37">
      <c r="A73" s="72">
        <v>11938</v>
      </c>
      <c r="B73" s="62" t="s">
        <v>509</v>
      </c>
      <c r="C73" s="63">
        <v>46066</v>
      </c>
      <c r="D73" s="63">
        <v>46114</v>
      </c>
      <c r="E73" s="64" t="s">
        <v>76</v>
      </c>
      <c r="F73" s="64" t="s">
        <v>76</v>
      </c>
      <c r="G73" s="64" t="s">
        <v>76</v>
      </c>
      <c r="H73" s="64" t="s">
        <v>237</v>
      </c>
      <c r="I73" s="64" t="s">
        <v>238</v>
      </c>
      <c r="J73" s="65" t="s">
        <v>161</v>
      </c>
      <c r="K73" s="65">
        <v>0</v>
      </c>
      <c r="L73" s="65">
        <v>0</v>
      </c>
      <c r="M73" s="65">
        <v>3</v>
      </c>
      <c r="N73" s="65">
        <f>_xlfn.XLOOKUP(A73,[1]月销售数据!$P:$P,[1]月销售数据!$V:$V)</f>
        <v>1</v>
      </c>
      <c r="O73" s="68" t="s">
        <v>161</v>
      </c>
      <c r="P73" s="67">
        <v>0</v>
      </c>
      <c r="Q73" s="67">
        <v>0</v>
      </c>
      <c r="R73" s="67">
        <v>122.98</v>
      </c>
      <c r="S73" s="67">
        <f>_xlfn.XLOOKUP($A73,[1]月销售数据!$P:$P,[1]月销售数据!$AA:$AA)</f>
        <v>38.99</v>
      </c>
      <c r="T73" s="68" t="s">
        <v>161</v>
      </c>
      <c r="U73" s="65">
        <v>0</v>
      </c>
      <c r="V73" s="65">
        <v>0</v>
      </c>
      <c r="W73" s="65">
        <v>1</v>
      </c>
      <c r="X73" s="65">
        <v>0</v>
      </c>
      <c r="Y73" s="68" t="s">
        <v>161</v>
      </c>
      <c r="Z73" s="70">
        <v>0</v>
      </c>
      <c r="AA73" s="70" t="s">
        <v>106</v>
      </c>
      <c r="AB73" s="71">
        <v>0.75</v>
      </c>
      <c r="AC73" s="70">
        <v>1</v>
      </c>
      <c r="AD73" s="65" t="e">
        <v>#VALUE!</v>
      </c>
      <c r="AE73" s="65">
        <v>0</v>
      </c>
      <c r="AF73" s="65">
        <f t="shared" si="1"/>
        <v>0</v>
      </c>
      <c r="AG73" s="65">
        <v>4</v>
      </c>
      <c r="AH73" s="65">
        <v>1</v>
      </c>
      <c r="AI73" s="44"/>
      <c r="AJ73" s="44"/>
      <c r="AK73" s="44"/>
    </row>
    <row r="74" customFormat="1" ht="22.5" customHeight="1" spans="1:37">
      <c r="A74" s="72">
        <v>12005</v>
      </c>
      <c r="B74" s="62" t="s">
        <v>510</v>
      </c>
      <c r="C74" s="63">
        <v>46066</v>
      </c>
      <c r="D74" s="63">
        <v>46077</v>
      </c>
      <c r="E74" s="64" t="s">
        <v>76</v>
      </c>
      <c r="F74" s="64" t="s">
        <v>57</v>
      </c>
      <c r="G74" s="64" t="s">
        <v>57</v>
      </c>
      <c r="H74" s="64" t="s">
        <v>237</v>
      </c>
      <c r="I74" s="64" t="s">
        <v>232</v>
      </c>
      <c r="J74" s="65" t="s">
        <v>161</v>
      </c>
      <c r="K74" s="65">
        <v>1</v>
      </c>
      <c r="L74" s="65">
        <v>39</v>
      </c>
      <c r="M74" s="65">
        <v>30</v>
      </c>
      <c r="N74" s="65">
        <f>_xlfn.XLOOKUP(A74,[1]月销售数据!$P:$P,[1]月销售数据!$V:$V)</f>
        <v>29</v>
      </c>
      <c r="O74" s="68" t="s">
        <v>161</v>
      </c>
      <c r="P74" s="67">
        <v>70</v>
      </c>
      <c r="Q74" s="67">
        <v>2730</v>
      </c>
      <c r="R74" s="67">
        <v>2066.9</v>
      </c>
      <c r="S74" s="67">
        <f>_xlfn.XLOOKUP($A74,[1]月销售数据!$P:$P,[1]月销售数据!$AA:$AA)</f>
        <v>1955.1</v>
      </c>
      <c r="T74" s="68" t="s">
        <v>161</v>
      </c>
      <c r="U74" s="65">
        <v>49</v>
      </c>
      <c r="V74" s="65">
        <v>1</v>
      </c>
      <c r="W74" s="65">
        <v>26</v>
      </c>
      <c r="X74" s="65">
        <v>20</v>
      </c>
      <c r="Y74" s="68" t="s">
        <v>161</v>
      </c>
      <c r="Z74" s="70">
        <v>0.02</v>
      </c>
      <c r="AA74" s="70">
        <v>0.975</v>
      </c>
      <c r="AB74" s="71">
        <v>0.535714285714286</v>
      </c>
      <c r="AC74" s="70">
        <v>0.591836734693878</v>
      </c>
      <c r="AD74" s="65" t="e">
        <v>#VALUE!</v>
      </c>
      <c r="AE74" s="65">
        <v>50</v>
      </c>
      <c r="AF74" s="65">
        <f t="shared" si="1"/>
        <v>40</v>
      </c>
      <c r="AG74" s="65">
        <v>56</v>
      </c>
      <c r="AH74" s="65">
        <v>49</v>
      </c>
      <c r="AI74" s="44"/>
      <c r="AJ74" s="44"/>
      <c r="AK74" s="44"/>
    </row>
    <row r="75" customFormat="1" ht="22.5" customHeight="1" spans="1:37">
      <c r="A75" s="72">
        <v>12006</v>
      </c>
      <c r="B75" s="62" t="s">
        <v>511</v>
      </c>
      <c r="C75" s="63">
        <v>46066</v>
      </c>
      <c r="D75" s="63">
        <v>46070</v>
      </c>
      <c r="E75" s="64" t="s">
        <v>76</v>
      </c>
      <c r="F75" s="64" t="s">
        <v>57</v>
      </c>
      <c r="G75" s="64" t="s">
        <v>57</v>
      </c>
      <c r="H75" s="64" t="s">
        <v>237</v>
      </c>
      <c r="I75" s="64" t="s">
        <v>232</v>
      </c>
      <c r="J75" s="65" t="s">
        <v>161</v>
      </c>
      <c r="K75" s="65">
        <v>4</v>
      </c>
      <c r="L75" s="65">
        <v>37</v>
      </c>
      <c r="M75" s="65">
        <v>49</v>
      </c>
      <c r="N75" s="65">
        <f>_xlfn.XLOOKUP(A75,[1]月销售数据!$P:$P,[1]月销售数据!$V:$V)</f>
        <v>46</v>
      </c>
      <c r="O75" s="68" t="s">
        <v>161</v>
      </c>
      <c r="P75" s="67">
        <v>280</v>
      </c>
      <c r="Q75" s="67">
        <v>2544.5</v>
      </c>
      <c r="R75" s="67">
        <v>3138.95</v>
      </c>
      <c r="S75" s="67">
        <f>_xlfn.XLOOKUP($A75,[1]月销售数据!$P:$P,[1]月销售数据!$AA:$AA)</f>
        <v>2945.76</v>
      </c>
      <c r="T75" s="68" t="s">
        <v>161</v>
      </c>
      <c r="U75" s="65">
        <v>25</v>
      </c>
      <c r="V75" s="65">
        <v>0</v>
      </c>
      <c r="W75" s="65">
        <v>43</v>
      </c>
      <c r="X75" s="65">
        <v>36</v>
      </c>
      <c r="Y75" s="68" t="s">
        <v>161</v>
      </c>
      <c r="Z75" s="70">
        <v>0.137931034482759</v>
      </c>
      <c r="AA75" s="70">
        <v>1</v>
      </c>
      <c r="AB75" s="71">
        <v>0.532608695652174</v>
      </c>
      <c r="AC75" s="70">
        <v>0.560975609756098</v>
      </c>
      <c r="AD75" s="65" t="e">
        <v>#VALUE!</v>
      </c>
      <c r="AE75" s="65">
        <v>29</v>
      </c>
      <c r="AF75" s="65">
        <f t="shared" si="1"/>
        <v>37</v>
      </c>
      <c r="AG75" s="65">
        <v>92</v>
      </c>
      <c r="AH75" s="65">
        <v>82</v>
      </c>
      <c r="AI75" s="44"/>
      <c r="AJ75" s="44"/>
      <c r="AK75" s="44"/>
    </row>
    <row r="76" customFormat="1" ht="22.5" customHeight="1" spans="1:37">
      <c r="A76" s="72">
        <v>12011</v>
      </c>
      <c r="B76" s="62" t="s">
        <v>512</v>
      </c>
      <c r="C76" s="63">
        <v>46066</v>
      </c>
      <c r="D76" s="63">
        <v>46071</v>
      </c>
      <c r="E76" s="64" t="s">
        <v>81</v>
      </c>
      <c r="F76" s="64" t="s">
        <v>57</v>
      </c>
      <c r="G76" s="64" t="s">
        <v>57</v>
      </c>
      <c r="H76" s="64" t="s">
        <v>231</v>
      </c>
      <c r="I76" s="64" t="s">
        <v>232</v>
      </c>
      <c r="J76" s="65" t="s">
        <v>161</v>
      </c>
      <c r="K76" s="65">
        <v>8</v>
      </c>
      <c r="L76" s="65">
        <v>17</v>
      </c>
      <c r="M76" s="65">
        <v>8</v>
      </c>
      <c r="N76" s="65">
        <f>_xlfn.XLOOKUP(A76,[1]月销售数据!$P:$P,[1]月销售数据!$V:$V)</f>
        <v>12</v>
      </c>
      <c r="O76" s="68" t="s">
        <v>161</v>
      </c>
      <c r="P76" s="67">
        <v>1080</v>
      </c>
      <c r="Q76" s="67">
        <v>2288.25</v>
      </c>
      <c r="R76" s="67">
        <v>1080</v>
      </c>
      <c r="S76" s="67">
        <f>_xlfn.XLOOKUP($A76,[1]月销售数据!$P:$P,[1]月销售数据!$AA:$AA)</f>
        <v>1550.97</v>
      </c>
      <c r="T76" s="68" t="s">
        <v>161</v>
      </c>
      <c r="U76" s="65">
        <v>5</v>
      </c>
      <c r="V76" s="65">
        <v>8</v>
      </c>
      <c r="W76" s="65">
        <v>7</v>
      </c>
      <c r="X76" s="65">
        <v>14</v>
      </c>
      <c r="Y76" s="68" t="s">
        <v>161</v>
      </c>
      <c r="Z76" s="70">
        <v>0.615384615384615</v>
      </c>
      <c r="AA76" s="70">
        <v>0.68</v>
      </c>
      <c r="AB76" s="71">
        <v>0.533333333333333</v>
      </c>
      <c r="AC76" s="70">
        <v>0.461538461538462</v>
      </c>
      <c r="AD76" s="65" t="e">
        <v>#VALUE!</v>
      </c>
      <c r="AE76" s="65">
        <v>13</v>
      </c>
      <c r="AF76" s="65">
        <f t="shared" si="1"/>
        <v>25</v>
      </c>
      <c r="AG76" s="65">
        <v>15</v>
      </c>
      <c r="AH76" s="65">
        <v>26</v>
      </c>
      <c r="AI76" s="44"/>
      <c r="AJ76" s="44"/>
      <c r="AK76" s="44"/>
    </row>
    <row r="77" customFormat="1" ht="22.5" customHeight="1" spans="1:37">
      <c r="A77" s="72">
        <v>12021</v>
      </c>
      <c r="B77" s="62" t="s">
        <v>513</v>
      </c>
      <c r="C77" s="63">
        <v>46066</v>
      </c>
      <c r="D77" s="63">
        <v>46069</v>
      </c>
      <c r="E77" s="64" t="s">
        <v>76</v>
      </c>
      <c r="F77" s="64" t="s">
        <v>70</v>
      </c>
      <c r="G77" s="64" t="s">
        <v>70</v>
      </c>
      <c r="H77" s="64" t="s">
        <v>253</v>
      </c>
      <c r="I77" s="64" t="s">
        <v>232</v>
      </c>
      <c r="J77" s="65" t="s">
        <v>161</v>
      </c>
      <c r="K77" s="65">
        <v>4</v>
      </c>
      <c r="L77" s="65">
        <v>9</v>
      </c>
      <c r="M77" s="65">
        <v>3</v>
      </c>
      <c r="N77" s="65">
        <f>_xlfn.XLOOKUP(A77,[1]月销售数据!$P:$P,[1]月销售数据!$V:$V)</f>
        <v>1</v>
      </c>
      <c r="O77" s="68" t="s">
        <v>161</v>
      </c>
      <c r="P77" s="67">
        <v>212</v>
      </c>
      <c r="Q77" s="67">
        <v>477</v>
      </c>
      <c r="R77" s="67">
        <v>158</v>
      </c>
      <c r="S77" s="67">
        <f>_xlfn.XLOOKUP($A77,[1]月销售数据!$P:$P,[1]月销售数据!$AA:$AA)</f>
        <v>50.99</v>
      </c>
      <c r="T77" s="68" t="s">
        <v>161</v>
      </c>
      <c r="U77" s="65">
        <v>8</v>
      </c>
      <c r="V77" s="65">
        <v>16</v>
      </c>
      <c r="W77" s="65">
        <v>11</v>
      </c>
      <c r="X77" s="65">
        <v>13</v>
      </c>
      <c r="Y77" s="68" t="s">
        <v>161</v>
      </c>
      <c r="Z77" s="70">
        <v>0.333333333333333</v>
      </c>
      <c r="AA77" s="70">
        <v>0.36</v>
      </c>
      <c r="AB77" s="71">
        <v>0.214285714285714</v>
      </c>
      <c r="AC77" s="70">
        <v>0.0714285714285714</v>
      </c>
      <c r="AD77" s="65" t="e">
        <v>#VALUE!</v>
      </c>
      <c r="AE77" s="65">
        <v>12</v>
      </c>
      <c r="AF77" s="65">
        <f t="shared" si="1"/>
        <v>25</v>
      </c>
      <c r="AG77" s="65">
        <v>14</v>
      </c>
      <c r="AH77" s="65">
        <v>14</v>
      </c>
      <c r="AI77" s="44"/>
      <c r="AJ77" s="44"/>
      <c r="AK77" s="44"/>
    </row>
    <row r="78" customFormat="1" ht="22.5" customHeight="1" spans="1:37">
      <c r="A78" s="72">
        <v>12023</v>
      </c>
      <c r="B78" s="62" t="s">
        <v>514</v>
      </c>
      <c r="C78" s="63">
        <v>46066</v>
      </c>
      <c r="D78" s="63">
        <v>46113</v>
      </c>
      <c r="E78" s="64" t="s">
        <v>45</v>
      </c>
      <c r="F78" s="64" t="s">
        <v>45</v>
      </c>
      <c r="G78" s="64" t="s">
        <v>45</v>
      </c>
      <c r="H78" s="64" t="s">
        <v>277</v>
      </c>
      <c r="I78" s="64" t="s">
        <v>232</v>
      </c>
      <c r="J78" s="65" t="s">
        <v>161</v>
      </c>
      <c r="K78" s="65">
        <v>0</v>
      </c>
      <c r="L78" s="65">
        <v>0</v>
      </c>
      <c r="M78" s="65">
        <v>1</v>
      </c>
      <c r="N78" s="65">
        <f>_xlfn.XLOOKUP(A78,[1]月销售数据!$P:$P,[1]月销售数据!$V:$V)</f>
        <v>3</v>
      </c>
      <c r="O78" s="68" t="s">
        <v>161</v>
      </c>
      <c r="P78" s="67">
        <v>0</v>
      </c>
      <c r="Q78" s="67">
        <v>0</v>
      </c>
      <c r="R78" s="67">
        <v>53</v>
      </c>
      <c r="S78" s="67">
        <f>_xlfn.XLOOKUP($A78,[1]月销售数据!$P:$P,[1]月销售数据!$AA:$AA)</f>
        <v>161.28</v>
      </c>
      <c r="T78" s="68" t="s">
        <v>161</v>
      </c>
      <c r="U78" s="65">
        <v>2</v>
      </c>
      <c r="V78" s="65">
        <v>8</v>
      </c>
      <c r="W78" s="65">
        <v>12</v>
      </c>
      <c r="X78" s="65">
        <v>6</v>
      </c>
      <c r="Y78" s="68" t="s">
        <v>161</v>
      </c>
      <c r="Z78" s="70">
        <v>0</v>
      </c>
      <c r="AA78" s="70">
        <v>0</v>
      </c>
      <c r="AB78" s="71">
        <v>0.0769230769230769</v>
      </c>
      <c r="AC78" s="70">
        <v>0.333333333333333</v>
      </c>
      <c r="AD78" s="65" t="e">
        <v>#VALUE!</v>
      </c>
      <c r="AE78" s="65">
        <v>2</v>
      </c>
      <c r="AF78" s="65">
        <f t="shared" si="1"/>
        <v>8</v>
      </c>
      <c r="AG78" s="65">
        <v>13</v>
      </c>
      <c r="AH78" s="65">
        <v>9</v>
      </c>
      <c r="AI78" s="44"/>
      <c r="AJ78" s="44"/>
      <c r="AK78" s="44"/>
    </row>
    <row r="79" customFormat="1" ht="22.5" customHeight="1" spans="1:37">
      <c r="A79" s="72">
        <v>12058</v>
      </c>
      <c r="B79" s="62" t="s">
        <v>515</v>
      </c>
      <c r="C79" s="63">
        <v>46070</v>
      </c>
      <c r="D79" s="63">
        <v>46086</v>
      </c>
      <c r="E79" s="64" t="s">
        <v>81</v>
      </c>
      <c r="F79" s="64" t="s">
        <v>81</v>
      </c>
      <c r="G79" s="64" t="s">
        <v>81</v>
      </c>
      <c r="H79" s="64" t="s">
        <v>253</v>
      </c>
      <c r="I79" s="64" t="s">
        <v>232</v>
      </c>
      <c r="J79" s="65" t="s">
        <v>161</v>
      </c>
      <c r="K79" s="65">
        <v>0</v>
      </c>
      <c r="L79" s="65">
        <v>24</v>
      </c>
      <c r="M79" s="65">
        <v>27</v>
      </c>
      <c r="N79" s="65">
        <f>_xlfn.XLOOKUP(A79,[1]月销售数据!$P:$P,[1]月销售数据!$V:$V)</f>
        <v>16</v>
      </c>
      <c r="O79" s="68" t="s">
        <v>161</v>
      </c>
      <c r="P79" s="67">
        <v>0</v>
      </c>
      <c r="Q79" s="67">
        <v>479</v>
      </c>
      <c r="R79" s="67">
        <v>544</v>
      </c>
      <c r="S79" s="67">
        <f>_xlfn.XLOOKUP($A79,[1]月销售数据!$P:$P,[1]月销售数据!$AA:$AA)</f>
        <v>329</v>
      </c>
      <c r="T79" s="68" t="s">
        <v>161</v>
      </c>
      <c r="U79" s="65">
        <v>11</v>
      </c>
      <c r="V79" s="65">
        <v>36</v>
      </c>
      <c r="W79" s="65">
        <v>14</v>
      </c>
      <c r="X79" s="65">
        <v>22</v>
      </c>
      <c r="Y79" s="68" t="s">
        <v>161</v>
      </c>
      <c r="Z79" s="70">
        <v>0</v>
      </c>
      <c r="AA79" s="70">
        <v>0.4</v>
      </c>
      <c r="AB79" s="71">
        <v>0.658536585365854</v>
      </c>
      <c r="AC79" s="70">
        <v>0.421052631578947</v>
      </c>
      <c r="AD79" s="65" t="e">
        <v>#VALUE!</v>
      </c>
      <c r="AE79" s="65">
        <v>11</v>
      </c>
      <c r="AF79" s="65">
        <f t="shared" si="1"/>
        <v>60</v>
      </c>
      <c r="AG79" s="65">
        <v>41</v>
      </c>
      <c r="AH79" s="65">
        <v>38</v>
      </c>
      <c r="AI79" s="44"/>
      <c r="AJ79" s="44"/>
      <c r="AK79" s="44"/>
    </row>
    <row r="80" customFormat="1" ht="22.5" customHeight="1" spans="1:37">
      <c r="A80" s="72">
        <v>12059</v>
      </c>
      <c r="B80" s="62" t="s">
        <v>516</v>
      </c>
      <c r="C80" s="63">
        <v>46070</v>
      </c>
      <c r="D80" s="63">
        <v>46073</v>
      </c>
      <c r="E80" s="64" t="s">
        <v>81</v>
      </c>
      <c r="F80" s="64" t="s">
        <v>81</v>
      </c>
      <c r="G80" s="64" t="s">
        <v>81</v>
      </c>
      <c r="H80" s="64" t="s">
        <v>253</v>
      </c>
      <c r="I80" s="64" t="s">
        <v>232</v>
      </c>
      <c r="J80" s="65" t="s">
        <v>161</v>
      </c>
      <c r="K80" s="65">
        <v>1</v>
      </c>
      <c r="L80" s="65">
        <v>16</v>
      </c>
      <c r="M80" s="65">
        <v>6</v>
      </c>
      <c r="N80" s="65">
        <f>_xlfn.XLOOKUP(A80,[1]月销售数据!$P:$P,[1]月销售数据!$V:$V)</f>
        <v>6</v>
      </c>
      <c r="O80" s="68" t="s">
        <v>161</v>
      </c>
      <c r="P80" s="67">
        <v>20</v>
      </c>
      <c r="Q80" s="67">
        <v>340</v>
      </c>
      <c r="R80" s="67">
        <v>120</v>
      </c>
      <c r="S80" s="67">
        <f>_xlfn.XLOOKUP($A80,[1]月销售数据!$P:$P,[1]月销售数据!$AA:$AA)</f>
        <v>115.95</v>
      </c>
      <c r="T80" s="68" t="s">
        <v>161</v>
      </c>
      <c r="U80" s="65">
        <v>10</v>
      </c>
      <c r="V80" s="65">
        <v>22</v>
      </c>
      <c r="W80" s="65">
        <v>21</v>
      </c>
      <c r="X80" s="65">
        <v>30</v>
      </c>
      <c r="Y80" s="68" t="s">
        <v>161</v>
      </c>
      <c r="Z80" s="70">
        <v>0.0909090909090909</v>
      </c>
      <c r="AA80" s="70">
        <v>0.421052631578947</v>
      </c>
      <c r="AB80" s="71">
        <v>0.222222222222222</v>
      </c>
      <c r="AC80" s="70">
        <v>0.166666666666667</v>
      </c>
      <c r="AD80" s="65" t="e">
        <v>#VALUE!</v>
      </c>
      <c r="AE80" s="65">
        <v>11</v>
      </c>
      <c r="AF80" s="65">
        <f t="shared" si="1"/>
        <v>38</v>
      </c>
      <c r="AG80" s="65">
        <v>27</v>
      </c>
      <c r="AH80" s="65">
        <v>36</v>
      </c>
      <c r="AI80" s="44"/>
      <c r="AJ80" s="44"/>
      <c r="AK80" s="44"/>
    </row>
    <row r="81" customFormat="1" ht="22.5" customHeight="1" spans="1:37">
      <c r="A81" s="72">
        <v>12060</v>
      </c>
      <c r="B81" s="62" t="s">
        <v>517</v>
      </c>
      <c r="C81" s="63">
        <v>46070</v>
      </c>
      <c r="D81" s="63">
        <v>46090</v>
      </c>
      <c r="E81" s="64" t="s">
        <v>81</v>
      </c>
      <c r="F81" s="64" t="s">
        <v>57</v>
      </c>
      <c r="G81" s="64" t="s">
        <v>57</v>
      </c>
      <c r="H81" s="64" t="s">
        <v>237</v>
      </c>
      <c r="I81" s="64" t="s">
        <v>232</v>
      </c>
      <c r="J81" s="65" t="s">
        <v>161</v>
      </c>
      <c r="K81" s="65">
        <v>0</v>
      </c>
      <c r="L81" s="65">
        <v>5</v>
      </c>
      <c r="M81" s="65">
        <v>2</v>
      </c>
      <c r="N81" s="65">
        <f>_xlfn.XLOOKUP(A81,[1]月销售数据!$P:$P,[1]月销售数据!$V:$V)</f>
        <v>21</v>
      </c>
      <c r="O81" s="68" t="s">
        <v>161</v>
      </c>
      <c r="P81" s="67">
        <v>0</v>
      </c>
      <c r="Q81" s="67">
        <v>100</v>
      </c>
      <c r="R81" s="67">
        <v>40</v>
      </c>
      <c r="S81" s="67">
        <f>_xlfn.XLOOKUP($A81,[1]月销售数据!$P:$P,[1]月销售数据!$AA:$AA)</f>
        <v>411.83</v>
      </c>
      <c r="T81" s="68" t="s">
        <v>161</v>
      </c>
      <c r="U81" s="65">
        <v>26</v>
      </c>
      <c r="V81" s="65">
        <v>81</v>
      </c>
      <c r="W81" s="65">
        <v>65</v>
      </c>
      <c r="X81" s="65">
        <v>82</v>
      </c>
      <c r="Y81" s="68" t="s">
        <v>161</v>
      </c>
      <c r="Z81" s="70">
        <v>0</v>
      </c>
      <c r="AA81" s="70">
        <v>0.0581395348837209</v>
      </c>
      <c r="AB81" s="71">
        <v>0.0298507462686567</v>
      </c>
      <c r="AC81" s="70">
        <v>0.203883495145631</v>
      </c>
      <c r="AD81" s="65" t="e">
        <v>#VALUE!</v>
      </c>
      <c r="AE81" s="65">
        <v>26</v>
      </c>
      <c r="AF81" s="65">
        <f t="shared" si="1"/>
        <v>86</v>
      </c>
      <c r="AG81" s="65">
        <v>67</v>
      </c>
      <c r="AH81" s="65">
        <v>103</v>
      </c>
      <c r="AI81" s="44"/>
      <c r="AJ81" s="44"/>
      <c r="AK81" s="44"/>
    </row>
    <row r="82" customFormat="1" ht="22.5" customHeight="1" spans="1:37">
      <c r="A82" s="72">
        <v>12139</v>
      </c>
      <c r="B82" s="62" t="s">
        <v>518</v>
      </c>
      <c r="C82" s="63">
        <v>46070</v>
      </c>
      <c r="D82" s="63">
        <v>46080</v>
      </c>
      <c r="E82" s="64" t="s">
        <v>81</v>
      </c>
      <c r="F82" s="64" t="s">
        <v>57</v>
      </c>
      <c r="G82" s="64" t="s">
        <v>57</v>
      </c>
      <c r="H82" s="64" t="s">
        <v>231</v>
      </c>
      <c r="I82" s="64" t="s">
        <v>232</v>
      </c>
      <c r="J82" s="65" t="s">
        <v>161</v>
      </c>
      <c r="K82" s="65">
        <v>1</v>
      </c>
      <c r="L82" s="65">
        <v>40</v>
      </c>
      <c r="M82" s="65">
        <v>3</v>
      </c>
      <c r="N82" s="65">
        <f>_xlfn.XLOOKUP(A82,[1]月销售数据!$P:$P,[1]月销售数据!$V:$V)</f>
        <v>0</v>
      </c>
      <c r="O82" s="68" t="s">
        <v>161</v>
      </c>
      <c r="P82" s="67">
        <v>19</v>
      </c>
      <c r="Q82" s="67">
        <v>1069.9</v>
      </c>
      <c r="R82" s="67">
        <v>107.97</v>
      </c>
      <c r="S82" s="67">
        <f>_xlfn.XLOOKUP($A82,[1]月销售数据!$P:$P,[1]月销售数据!$AA:$AA)</f>
        <v>0</v>
      </c>
      <c r="T82" s="68" t="s">
        <v>161</v>
      </c>
      <c r="U82" s="65">
        <v>1</v>
      </c>
      <c r="V82" s="65">
        <v>2</v>
      </c>
      <c r="W82" s="65">
        <v>5</v>
      </c>
      <c r="X82" s="65">
        <v>9</v>
      </c>
      <c r="Y82" s="68" t="s">
        <v>161</v>
      </c>
      <c r="Z82" s="70">
        <v>0.5</v>
      </c>
      <c r="AA82" s="70">
        <v>0.952380952380952</v>
      </c>
      <c r="AB82" s="71">
        <v>0.375</v>
      </c>
      <c r="AC82" s="70">
        <v>0</v>
      </c>
      <c r="AD82" s="65" t="e">
        <v>#VALUE!</v>
      </c>
      <c r="AE82" s="65">
        <v>2</v>
      </c>
      <c r="AF82" s="65">
        <f t="shared" si="1"/>
        <v>42</v>
      </c>
      <c r="AG82" s="65">
        <v>8</v>
      </c>
      <c r="AH82" s="65">
        <v>9</v>
      </c>
      <c r="AI82" s="44"/>
      <c r="AJ82" s="44"/>
      <c r="AK82" s="44"/>
    </row>
    <row r="83" customFormat="1" ht="22.5" customHeight="1" spans="1:37">
      <c r="A83" s="72">
        <v>12087</v>
      </c>
      <c r="B83" s="62" t="s">
        <v>519</v>
      </c>
      <c r="C83" s="63">
        <v>46073</v>
      </c>
      <c r="D83" s="63">
        <v>46092</v>
      </c>
      <c r="E83" s="64" t="s">
        <v>76</v>
      </c>
      <c r="F83" s="64" t="s">
        <v>76</v>
      </c>
      <c r="G83" s="64" t="s">
        <v>76</v>
      </c>
      <c r="H83" s="64" t="s">
        <v>237</v>
      </c>
      <c r="I83" s="64" t="s">
        <v>232</v>
      </c>
      <c r="J83" s="65" t="s">
        <v>161</v>
      </c>
      <c r="K83" s="65">
        <v>0</v>
      </c>
      <c r="L83" s="65">
        <v>6</v>
      </c>
      <c r="M83" s="65">
        <v>11</v>
      </c>
      <c r="N83" s="65">
        <f>_xlfn.XLOOKUP(A83,[1]月销售数据!$P:$P,[1]月销售数据!$V:$V)</f>
        <v>3</v>
      </c>
      <c r="O83" s="68" t="s">
        <v>161</v>
      </c>
      <c r="P83" s="67">
        <v>0</v>
      </c>
      <c r="Q83" s="67">
        <v>292.2</v>
      </c>
      <c r="R83" s="67">
        <v>517</v>
      </c>
      <c r="S83" s="67">
        <f>_xlfn.XLOOKUP($A83,[1]月销售数据!$P:$P,[1]月销售数据!$AA:$AA)</f>
        <v>139.59</v>
      </c>
      <c r="T83" s="68" t="s">
        <v>161</v>
      </c>
      <c r="U83" s="65">
        <v>0</v>
      </c>
      <c r="V83" s="65">
        <v>4</v>
      </c>
      <c r="W83" s="65">
        <v>2</v>
      </c>
      <c r="X83" s="65">
        <v>5</v>
      </c>
      <c r="Y83" s="68" t="s">
        <v>161</v>
      </c>
      <c r="Z83" s="70">
        <v>0</v>
      </c>
      <c r="AA83" s="70">
        <v>0.6</v>
      </c>
      <c r="AB83" s="71">
        <v>0.846153846153846</v>
      </c>
      <c r="AC83" s="70">
        <v>0.375</v>
      </c>
      <c r="AD83" s="65" t="e">
        <v>#VALUE!</v>
      </c>
      <c r="AE83" s="65">
        <v>0</v>
      </c>
      <c r="AF83" s="65">
        <f t="shared" si="1"/>
        <v>10</v>
      </c>
      <c r="AG83" s="65">
        <v>13</v>
      </c>
      <c r="AH83" s="65">
        <v>8</v>
      </c>
      <c r="AI83" s="44"/>
      <c r="AJ83" s="44"/>
      <c r="AK83" s="44"/>
    </row>
    <row r="84" customFormat="1" ht="22.5" customHeight="1" spans="1:37">
      <c r="A84" s="72">
        <v>12143</v>
      </c>
      <c r="B84" s="62" t="s">
        <v>520</v>
      </c>
      <c r="C84" s="63">
        <v>46076</v>
      </c>
      <c r="D84" s="63">
        <v>46109</v>
      </c>
      <c r="E84" s="64" t="s">
        <v>70</v>
      </c>
      <c r="F84" s="64" t="s">
        <v>70</v>
      </c>
      <c r="G84" s="64" t="s">
        <v>70</v>
      </c>
      <c r="H84" s="64" t="s">
        <v>250</v>
      </c>
      <c r="I84" s="64" t="s">
        <v>232</v>
      </c>
      <c r="J84" s="65" t="s">
        <v>161</v>
      </c>
      <c r="K84" s="65">
        <v>0</v>
      </c>
      <c r="L84" s="65">
        <v>1</v>
      </c>
      <c r="M84" s="65">
        <v>0</v>
      </c>
      <c r="N84" s="65">
        <f>_xlfn.XLOOKUP(A84,[1]月销售数据!$P:$P,[1]月销售数据!$V:$V)</f>
        <v>2</v>
      </c>
      <c r="O84" s="68" t="s">
        <v>161</v>
      </c>
      <c r="P84" s="67">
        <v>0</v>
      </c>
      <c r="Q84" s="67">
        <v>145</v>
      </c>
      <c r="R84" s="67">
        <v>0</v>
      </c>
      <c r="S84" s="67">
        <f>_xlfn.XLOOKUP($A84,[1]月销售数据!$P:$P,[1]月销售数据!$AA:$AA)</f>
        <v>290</v>
      </c>
      <c r="T84" s="68" t="s">
        <v>161</v>
      </c>
      <c r="U84" s="65">
        <v>0</v>
      </c>
      <c r="V84" s="65">
        <v>1</v>
      </c>
      <c r="W84" s="65">
        <v>0</v>
      </c>
      <c r="X84" s="65">
        <v>0</v>
      </c>
      <c r="Y84" s="68" t="s">
        <v>161</v>
      </c>
      <c r="Z84" s="70">
        <v>0</v>
      </c>
      <c r="AA84" s="70">
        <v>0.5</v>
      </c>
      <c r="AB84" s="71">
        <v>0</v>
      </c>
      <c r="AC84" s="70">
        <v>1</v>
      </c>
      <c r="AD84" s="65" t="e">
        <v>#VALUE!</v>
      </c>
      <c r="AE84" s="65">
        <v>0</v>
      </c>
      <c r="AF84" s="65">
        <f t="shared" si="1"/>
        <v>2</v>
      </c>
      <c r="AG84" s="65">
        <v>0</v>
      </c>
      <c r="AH84" s="65">
        <v>2</v>
      </c>
      <c r="AI84" s="44"/>
      <c r="AJ84" s="44"/>
      <c r="AK84" s="44"/>
    </row>
    <row r="85" customFormat="1" ht="22.5" customHeight="1" spans="1:37">
      <c r="A85" s="72">
        <v>12079</v>
      </c>
      <c r="B85" s="62" t="s">
        <v>521</v>
      </c>
      <c r="C85" s="63">
        <v>46076</v>
      </c>
      <c r="D85" s="63">
        <v>46085</v>
      </c>
      <c r="E85" s="64" t="s">
        <v>45</v>
      </c>
      <c r="F85" s="64" t="s">
        <v>45</v>
      </c>
      <c r="G85" s="64" t="s">
        <v>45</v>
      </c>
      <c r="H85" s="64" t="s">
        <v>277</v>
      </c>
      <c r="I85" s="64" t="s">
        <v>232</v>
      </c>
      <c r="J85" s="65" t="s">
        <v>161</v>
      </c>
      <c r="K85" s="65">
        <v>0</v>
      </c>
      <c r="L85" s="65">
        <v>11</v>
      </c>
      <c r="M85" s="65">
        <v>4</v>
      </c>
      <c r="N85" s="65">
        <f>_xlfn.XLOOKUP(A85,[1]月销售数据!$P:$P,[1]月销售数据!$V:$V)</f>
        <v>7</v>
      </c>
      <c r="O85" s="68" t="s">
        <v>161</v>
      </c>
      <c r="P85" s="67">
        <v>0</v>
      </c>
      <c r="Q85" s="67">
        <v>1460</v>
      </c>
      <c r="R85" s="67">
        <v>532</v>
      </c>
      <c r="S85" s="67">
        <f>_xlfn.XLOOKUP($A85,[1]月销售数据!$P:$P,[1]月销售数据!$AA:$AA)</f>
        <v>912.55</v>
      </c>
      <c r="T85" s="68" t="s">
        <v>161</v>
      </c>
      <c r="U85" s="65">
        <v>5</v>
      </c>
      <c r="V85" s="65">
        <v>0</v>
      </c>
      <c r="W85" s="65">
        <v>0</v>
      </c>
      <c r="X85" s="65">
        <v>18</v>
      </c>
      <c r="Y85" s="68" t="s">
        <v>161</v>
      </c>
      <c r="Z85" s="70">
        <v>0</v>
      </c>
      <c r="AA85" s="70">
        <v>1</v>
      </c>
      <c r="AB85" s="71">
        <v>1</v>
      </c>
      <c r="AC85" s="70">
        <v>0.28</v>
      </c>
      <c r="AD85" s="65" t="e">
        <v>#VALUE!</v>
      </c>
      <c r="AE85" s="65">
        <v>5</v>
      </c>
      <c r="AF85" s="65">
        <f t="shared" si="1"/>
        <v>11</v>
      </c>
      <c r="AG85" s="65">
        <v>4</v>
      </c>
      <c r="AH85" s="65">
        <v>25</v>
      </c>
      <c r="AI85" s="44"/>
      <c r="AJ85" s="44"/>
      <c r="AK85" s="44"/>
    </row>
    <row r="86" customFormat="1" ht="22.5" customHeight="1" spans="1:37">
      <c r="A86" s="72">
        <v>12104</v>
      </c>
      <c r="B86" s="62" t="s">
        <v>522</v>
      </c>
      <c r="C86" s="63">
        <v>46076</v>
      </c>
      <c r="D86" s="63">
        <v>46082</v>
      </c>
      <c r="E86" s="64" t="s">
        <v>45</v>
      </c>
      <c r="F86" s="64" t="s">
        <v>45</v>
      </c>
      <c r="G86" s="64" t="s">
        <v>45</v>
      </c>
      <c r="H86" s="64" t="s">
        <v>277</v>
      </c>
      <c r="I86" s="64" t="s">
        <v>232</v>
      </c>
      <c r="J86" s="65" t="s">
        <v>161</v>
      </c>
      <c r="K86" s="65">
        <v>0</v>
      </c>
      <c r="L86" s="65">
        <v>2</v>
      </c>
      <c r="M86" s="65">
        <v>1</v>
      </c>
      <c r="N86" s="65">
        <f>_xlfn.XLOOKUP(A86,[1]月销售数据!$P:$P,[1]月销售数据!$V:$V)</f>
        <v>0</v>
      </c>
      <c r="O86" s="68" t="s">
        <v>161</v>
      </c>
      <c r="P86" s="67">
        <v>0</v>
      </c>
      <c r="Q86" s="67">
        <v>170</v>
      </c>
      <c r="R86" s="67">
        <v>86.5</v>
      </c>
      <c r="S86" s="67">
        <f>_xlfn.XLOOKUP($A86,[1]月销售数据!$P:$P,[1]月销售数据!$AA:$AA)</f>
        <v>0</v>
      </c>
      <c r="T86" s="68" t="s">
        <v>161</v>
      </c>
      <c r="U86" s="65">
        <v>0</v>
      </c>
      <c r="V86" s="65">
        <v>0</v>
      </c>
      <c r="W86" s="65">
        <v>0</v>
      </c>
      <c r="X86" s="65">
        <v>0</v>
      </c>
      <c r="Y86" s="68" t="s">
        <v>161</v>
      </c>
      <c r="Z86" s="70">
        <v>0</v>
      </c>
      <c r="AA86" s="70">
        <v>1</v>
      </c>
      <c r="AB86" s="71">
        <v>1</v>
      </c>
      <c r="AC86" s="70" t="s">
        <v>106</v>
      </c>
      <c r="AD86" s="65" t="e">
        <v>#VALUE!</v>
      </c>
      <c r="AE86" s="65">
        <v>0</v>
      </c>
      <c r="AF86" s="65">
        <f t="shared" si="1"/>
        <v>2</v>
      </c>
      <c r="AG86" s="65">
        <v>1</v>
      </c>
      <c r="AH86" s="65">
        <v>0</v>
      </c>
      <c r="AI86" s="44"/>
      <c r="AJ86" s="44"/>
      <c r="AK86" s="44"/>
    </row>
    <row r="87" customFormat="1" ht="22.5" customHeight="1" spans="1:37">
      <c r="A87" s="72">
        <v>12105</v>
      </c>
      <c r="B87" s="62" t="s">
        <v>523</v>
      </c>
      <c r="C87" s="63">
        <v>46076</v>
      </c>
      <c r="D87" s="63">
        <v>46084</v>
      </c>
      <c r="E87" s="64" t="s">
        <v>45</v>
      </c>
      <c r="F87" s="64" t="s">
        <v>45</v>
      </c>
      <c r="G87" s="64" t="s">
        <v>45</v>
      </c>
      <c r="H87" s="64" t="s">
        <v>277</v>
      </c>
      <c r="I87" s="64" t="s">
        <v>238</v>
      </c>
      <c r="J87" s="65" t="s">
        <v>161</v>
      </c>
      <c r="K87" s="65">
        <v>0</v>
      </c>
      <c r="L87" s="65">
        <v>6</v>
      </c>
      <c r="M87" s="65">
        <v>2</v>
      </c>
      <c r="N87" s="65">
        <f>_xlfn.XLOOKUP(A87,[1]月销售数据!$P:$P,[1]月销售数据!$V:$V)</f>
        <v>0</v>
      </c>
      <c r="O87" s="68" t="s">
        <v>161</v>
      </c>
      <c r="P87" s="67">
        <v>0</v>
      </c>
      <c r="Q87" s="67">
        <v>312</v>
      </c>
      <c r="R87" s="67">
        <v>104</v>
      </c>
      <c r="S87" s="67">
        <f>_xlfn.XLOOKUP($A87,[1]月销售数据!$P:$P,[1]月销售数据!$AA:$AA)</f>
        <v>0</v>
      </c>
      <c r="T87" s="68" t="s">
        <v>161</v>
      </c>
      <c r="U87" s="65">
        <v>0</v>
      </c>
      <c r="V87" s="65">
        <v>0</v>
      </c>
      <c r="W87" s="65">
        <v>0</v>
      </c>
      <c r="X87" s="65">
        <v>0</v>
      </c>
      <c r="Y87" s="68" t="s">
        <v>161</v>
      </c>
      <c r="Z87" s="70">
        <v>0</v>
      </c>
      <c r="AA87" s="70">
        <v>1</v>
      </c>
      <c r="AB87" s="71">
        <v>1</v>
      </c>
      <c r="AC87" s="70" t="s">
        <v>106</v>
      </c>
      <c r="AD87" s="65" t="e">
        <v>#VALUE!</v>
      </c>
      <c r="AE87" s="65">
        <v>0</v>
      </c>
      <c r="AF87" s="65">
        <f t="shared" si="1"/>
        <v>6</v>
      </c>
      <c r="AG87" s="65">
        <v>2</v>
      </c>
      <c r="AH87" s="65">
        <v>0</v>
      </c>
      <c r="AI87" s="44"/>
      <c r="AJ87" s="44"/>
      <c r="AK87" s="44"/>
    </row>
    <row r="88" customFormat="1" ht="22.5" customHeight="1" spans="1:37">
      <c r="A88" s="72">
        <v>12106</v>
      </c>
      <c r="B88" s="62" t="s">
        <v>524</v>
      </c>
      <c r="C88" s="63">
        <v>46076</v>
      </c>
      <c r="D88" s="63">
        <v>46096</v>
      </c>
      <c r="E88" s="64" t="s">
        <v>45</v>
      </c>
      <c r="F88" s="64" t="s">
        <v>45</v>
      </c>
      <c r="G88" s="64" t="s">
        <v>45</v>
      </c>
      <c r="H88" s="64" t="s">
        <v>277</v>
      </c>
      <c r="I88" s="64" t="s">
        <v>238</v>
      </c>
      <c r="J88" s="65" t="s">
        <v>161</v>
      </c>
      <c r="K88" s="65">
        <v>0</v>
      </c>
      <c r="L88" s="65">
        <v>3</v>
      </c>
      <c r="M88" s="65">
        <v>3</v>
      </c>
      <c r="N88" s="65">
        <f>_xlfn.XLOOKUP(A88,[1]月销售数据!$P:$P,[1]月销售数据!$V:$V)</f>
        <v>6</v>
      </c>
      <c r="O88" s="68" t="s">
        <v>161</v>
      </c>
      <c r="P88" s="67">
        <v>0</v>
      </c>
      <c r="Q88" s="67">
        <v>156</v>
      </c>
      <c r="R88" s="67">
        <v>156</v>
      </c>
      <c r="S88" s="67">
        <f>_xlfn.XLOOKUP($A88,[1]月销售数据!$P:$P,[1]月销售数据!$AA:$AA)</f>
        <v>312</v>
      </c>
      <c r="T88" s="68" t="s">
        <v>161</v>
      </c>
      <c r="U88" s="65">
        <v>0</v>
      </c>
      <c r="V88" s="65">
        <v>0</v>
      </c>
      <c r="W88" s="65">
        <v>0</v>
      </c>
      <c r="X88" s="65">
        <v>0</v>
      </c>
      <c r="Y88" s="68" t="s">
        <v>161</v>
      </c>
      <c r="Z88" s="70">
        <v>0</v>
      </c>
      <c r="AA88" s="70">
        <v>1</v>
      </c>
      <c r="AB88" s="71">
        <v>1</v>
      </c>
      <c r="AC88" s="70">
        <v>1</v>
      </c>
      <c r="AD88" s="65" t="e">
        <v>#VALUE!</v>
      </c>
      <c r="AE88" s="65">
        <v>0</v>
      </c>
      <c r="AF88" s="65">
        <f t="shared" si="1"/>
        <v>3</v>
      </c>
      <c r="AG88" s="65">
        <v>3</v>
      </c>
      <c r="AH88" s="65">
        <v>6</v>
      </c>
      <c r="AI88" s="44"/>
      <c r="AJ88" s="44"/>
      <c r="AK88" s="44"/>
    </row>
    <row r="89" customFormat="1" ht="22.5" customHeight="1" spans="1:37">
      <c r="A89" s="72">
        <v>12240</v>
      </c>
      <c r="B89" s="62" t="s">
        <v>525</v>
      </c>
      <c r="C89" s="63">
        <v>46081</v>
      </c>
      <c r="D89" s="63">
        <v>46082</v>
      </c>
      <c r="E89" s="64" t="s">
        <v>76</v>
      </c>
      <c r="F89" s="64" t="s">
        <v>76</v>
      </c>
      <c r="G89" s="64" t="s">
        <v>76</v>
      </c>
      <c r="H89" s="64" t="s">
        <v>237</v>
      </c>
      <c r="I89" s="64" t="s">
        <v>232</v>
      </c>
      <c r="J89" s="65" t="s">
        <v>161</v>
      </c>
      <c r="K89" s="65">
        <v>0</v>
      </c>
      <c r="L89" s="65">
        <v>11</v>
      </c>
      <c r="M89" s="65">
        <v>6</v>
      </c>
      <c r="N89" s="65">
        <f>_xlfn.XLOOKUP(A89,[1]月销售数据!$P:$P,[1]月销售数据!$V:$V)</f>
        <v>4</v>
      </c>
      <c r="O89" s="68" t="s">
        <v>161</v>
      </c>
      <c r="P89" s="67">
        <v>0</v>
      </c>
      <c r="Q89" s="67">
        <v>670</v>
      </c>
      <c r="R89" s="67">
        <v>360</v>
      </c>
      <c r="S89" s="67">
        <f>_xlfn.XLOOKUP($A89,[1]月销售数据!$P:$P,[1]月销售数据!$AA:$AA)</f>
        <v>238</v>
      </c>
      <c r="T89" s="68" t="s">
        <v>161</v>
      </c>
      <c r="U89" s="65">
        <v>0</v>
      </c>
      <c r="V89" s="65">
        <v>4</v>
      </c>
      <c r="W89" s="65">
        <v>9</v>
      </c>
      <c r="X89" s="65">
        <v>6</v>
      </c>
      <c r="Y89" s="68" t="s">
        <v>161</v>
      </c>
      <c r="Z89" s="70">
        <v>0</v>
      </c>
      <c r="AA89" s="70">
        <v>0.733333333333333</v>
      </c>
      <c r="AB89" s="71">
        <v>0.4</v>
      </c>
      <c r="AC89" s="70">
        <v>0.4</v>
      </c>
      <c r="AD89" s="65" t="e">
        <v>#VALUE!</v>
      </c>
      <c r="AE89" s="65">
        <v>0</v>
      </c>
      <c r="AF89" s="65">
        <f t="shared" si="1"/>
        <v>15</v>
      </c>
      <c r="AG89" s="65">
        <v>15</v>
      </c>
      <c r="AH89" s="65">
        <v>10</v>
      </c>
      <c r="AI89" s="44"/>
      <c r="AJ89" s="44"/>
      <c r="AK89" s="44"/>
    </row>
    <row r="90" customFormat="1" ht="22.5" customHeight="1" spans="1:37">
      <c r="A90" s="72">
        <v>12225</v>
      </c>
      <c r="B90" s="62" t="s">
        <v>526</v>
      </c>
      <c r="C90" s="63">
        <v>46081</v>
      </c>
      <c r="D90" s="63">
        <v>46101</v>
      </c>
      <c r="E90" s="64" t="s">
        <v>81</v>
      </c>
      <c r="F90" s="64" t="s">
        <v>81</v>
      </c>
      <c r="G90" s="64" t="s">
        <v>81</v>
      </c>
      <c r="H90" s="64" t="s">
        <v>253</v>
      </c>
      <c r="I90" s="64" t="s">
        <v>232</v>
      </c>
      <c r="J90" s="65" t="s">
        <v>161</v>
      </c>
      <c r="K90" s="65">
        <v>0</v>
      </c>
      <c r="L90" s="65">
        <v>4</v>
      </c>
      <c r="M90" s="65">
        <v>3</v>
      </c>
      <c r="N90" s="65">
        <f>_xlfn.XLOOKUP(A90,[1]月销售数据!$P:$P,[1]月销售数据!$V:$V)</f>
        <v>7</v>
      </c>
      <c r="O90" s="68" t="s">
        <v>161</v>
      </c>
      <c r="P90" s="67">
        <v>0</v>
      </c>
      <c r="Q90" s="67">
        <v>236</v>
      </c>
      <c r="R90" s="67">
        <v>174.05</v>
      </c>
      <c r="S90" s="67">
        <f>_xlfn.XLOOKUP($A90,[1]月销售数据!$P:$P,[1]月销售数据!$AA:$AA)</f>
        <v>413</v>
      </c>
      <c r="T90" s="68" t="s">
        <v>161</v>
      </c>
      <c r="U90" s="65">
        <v>0</v>
      </c>
      <c r="V90" s="65">
        <v>1</v>
      </c>
      <c r="W90" s="65">
        <v>0</v>
      </c>
      <c r="X90" s="65">
        <v>19</v>
      </c>
      <c r="Y90" s="68" t="s">
        <v>161</v>
      </c>
      <c r="Z90" s="70">
        <v>0</v>
      </c>
      <c r="AA90" s="70">
        <v>0.8</v>
      </c>
      <c r="AB90" s="71">
        <v>1</v>
      </c>
      <c r="AC90" s="70">
        <v>0.269230769230769</v>
      </c>
      <c r="AD90" s="65" t="e">
        <v>#VALUE!</v>
      </c>
      <c r="AE90" s="65">
        <v>0</v>
      </c>
      <c r="AF90" s="65">
        <f t="shared" si="1"/>
        <v>5</v>
      </c>
      <c r="AG90" s="65">
        <v>3</v>
      </c>
      <c r="AH90" s="65">
        <v>26</v>
      </c>
      <c r="AI90" s="44"/>
      <c r="AJ90" s="44"/>
      <c r="AK90" s="44"/>
    </row>
  </sheetData>
  <autoFilter xmlns:etc="http://www.wps.cn/officeDocument/2017/etCustomData" ref="A1:AK9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44"/>
  <sheetViews>
    <sheetView workbookViewId="0">
      <selection activeCell="A1" sqref="A$1:V$1048576"/>
    </sheetView>
  </sheetViews>
  <sheetFormatPr defaultColWidth="9" defaultRowHeight="13.5"/>
  <sheetData>
    <row r="1" ht="30" spans="1:22">
      <c r="A1" s="10" t="s">
        <v>527</v>
      </c>
      <c r="B1" s="10" t="s">
        <v>528</v>
      </c>
      <c r="C1" s="11" t="s">
        <v>529</v>
      </c>
      <c r="D1" s="11" t="s">
        <v>530</v>
      </c>
      <c r="E1" s="11" t="s">
        <v>531</v>
      </c>
      <c r="F1" s="11" t="s">
        <v>532</v>
      </c>
      <c r="G1" s="11" t="s">
        <v>533</v>
      </c>
      <c r="H1" s="12" t="s">
        <v>534</v>
      </c>
      <c r="I1" s="12" t="s">
        <v>535</v>
      </c>
      <c r="J1" s="12" t="s">
        <v>536</v>
      </c>
      <c r="K1" s="12" t="s">
        <v>537</v>
      </c>
      <c r="L1" s="12" t="s">
        <v>538</v>
      </c>
      <c r="M1" s="13" t="s">
        <v>539</v>
      </c>
      <c r="N1" s="14" t="s">
        <v>540</v>
      </c>
      <c r="O1" s="14" t="s">
        <v>541</v>
      </c>
      <c r="P1" s="14" t="s">
        <v>542</v>
      </c>
      <c r="Q1" s="14" t="s">
        <v>543</v>
      </c>
      <c r="R1" s="15" t="s">
        <v>544</v>
      </c>
      <c r="S1" s="15" t="s">
        <v>545</v>
      </c>
      <c r="T1" s="15" t="s">
        <v>546</v>
      </c>
      <c r="U1" s="15" t="s">
        <v>547</v>
      </c>
      <c r="V1" s="15" t="s">
        <v>548</v>
      </c>
    </row>
    <row r="2" ht="16.5" spans="1:22">
      <c r="A2" s="16" t="s">
        <v>549</v>
      </c>
      <c r="B2" s="16" t="s">
        <v>549</v>
      </c>
      <c r="C2" s="16">
        <v>3014</v>
      </c>
      <c r="D2" s="16">
        <v>3353</v>
      </c>
      <c r="E2" s="16">
        <v>5442</v>
      </c>
      <c r="F2" s="16">
        <v>4969</v>
      </c>
      <c r="G2" s="16">
        <v>4852</v>
      </c>
      <c r="H2" s="16">
        <v>282199.81</v>
      </c>
      <c r="I2" s="16">
        <v>318187.3</v>
      </c>
      <c r="J2" s="16">
        <v>534273.46</v>
      </c>
      <c r="K2" s="16">
        <v>478135.72</v>
      </c>
      <c r="L2" s="16">
        <v>472911.9</v>
      </c>
      <c r="M2" s="16">
        <v>1823</v>
      </c>
      <c r="N2" s="16">
        <v>2061</v>
      </c>
      <c r="O2" s="16">
        <v>3075</v>
      </c>
      <c r="P2" s="16">
        <v>3203</v>
      </c>
      <c r="Q2" s="16"/>
      <c r="R2" s="17">
        <v>0.62311350010337</v>
      </c>
      <c r="S2" s="17">
        <v>0.619320280753602</v>
      </c>
      <c r="T2" s="17">
        <v>0.638957379358929</v>
      </c>
      <c r="U2" s="17">
        <v>0.608051884483603</v>
      </c>
      <c r="V2" s="18"/>
    </row>
    <row r="3" ht="33" spans="1:22">
      <c r="A3" s="16">
        <v>243</v>
      </c>
      <c r="B3" s="16" t="s">
        <v>550</v>
      </c>
      <c r="C3" s="19">
        <v>19</v>
      </c>
      <c r="D3" s="19">
        <v>25</v>
      </c>
      <c r="E3" s="19">
        <v>31</v>
      </c>
      <c r="F3" s="19">
        <v>28</v>
      </c>
      <c r="G3" s="19">
        <v>33</v>
      </c>
      <c r="H3" s="20">
        <v>1722.7</v>
      </c>
      <c r="I3" s="20">
        <v>2236.75</v>
      </c>
      <c r="J3" s="21">
        <v>2767.69</v>
      </c>
      <c r="K3" s="21">
        <v>2500.72</v>
      </c>
      <c r="L3" s="21">
        <v>2937.89</v>
      </c>
      <c r="M3" s="22">
        <v>9</v>
      </c>
      <c r="N3" s="22">
        <v>5</v>
      </c>
      <c r="O3" s="22">
        <v>11</v>
      </c>
      <c r="P3" s="22">
        <v>10</v>
      </c>
      <c r="Q3" s="22">
        <v>7</v>
      </c>
      <c r="R3" s="17">
        <v>0.678571428571429</v>
      </c>
      <c r="S3" s="17">
        <v>0.833333333333333</v>
      </c>
      <c r="T3" s="17">
        <v>0.738095238095238</v>
      </c>
      <c r="U3" s="17">
        <v>0.736842105263158</v>
      </c>
      <c r="V3" s="23">
        <v>0.825</v>
      </c>
    </row>
    <row r="4" ht="16.5" spans="1:22">
      <c r="A4" s="16">
        <v>260</v>
      </c>
      <c r="B4" s="16" t="s">
        <v>551</v>
      </c>
      <c r="C4" s="19">
        <v>8</v>
      </c>
      <c r="D4" s="19">
        <v>13</v>
      </c>
      <c r="E4" s="19">
        <v>5</v>
      </c>
      <c r="F4" s="19">
        <v>13</v>
      </c>
      <c r="G4" s="19">
        <v>11</v>
      </c>
      <c r="H4" s="20">
        <v>301.01</v>
      </c>
      <c r="I4" s="20">
        <v>482.31</v>
      </c>
      <c r="J4" s="21">
        <v>188.7</v>
      </c>
      <c r="K4" s="21">
        <v>483.98</v>
      </c>
      <c r="L4" s="21">
        <v>407.61</v>
      </c>
      <c r="M4" s="22">
        <v>1</v>
      </c>
      <c r="N4" s="22">
        <v>1</v>
      </c>
      <c r="O4" s="22">
        <v>0</v>
      </c>
      <c r="P4" s="22">
        <v>0</v>
      </c>
      <c r="Q4" s="22">
        <v>0</v>
      </c>
      <c r="R4" s="17">
        <v>0.888888888888889</v>
      </c>
      <c r="S4" s="17">
        <v>0.928571428571429</v>
      </c>
      <c r="T4" s="17">
        <v>1</v>
      </c>
      <c r="U4" s="17">
        <v>1</v>
      </c>
      <c r="V4" s="23">
        <v>1</v>
      </c>
    </row>
    <row r="5" ht="66" spans="1:22">
      <c r="A5" s="16">
        <v>278</v>
      </c>
      <c r="B5" s="16" t="s">
        <v>552</v>
      </c>
      <c r="C5" s="19">
        <v>51</v>
      </c>
      <c r="D5" s="19">
        <v>61</v>
      </c>
      <c r="E5" s="19">
        <v>70</v>
      </c>
      <c r="F5" s="19">
        <v>77</v>
      </c>
      <c r="G5" s="19">
        <v>48</v>
      </c>
      <c r="H5" s="20">
        <v>1954.5</v>
      </c>
      <c r="I5" s="20">
        <v>2312.59</v>
      </c>
      <c r="J5" s="21">
        <v>2532.82</v>
      </c>
      <c r="K5" s="21">
        <v>2565.06</v>
      </c>
      <c r="L5" s="21">
        <v>1603.16</v>
      </c>
      <c r="M5" s="22">
        <v>19</v>
      </c>
      <c r="N5" s="22">
        <v>9</v>
      </c>
      <c r="O5" s="22">
        <v>4</v>
      </c>
      <c r="P5" s="22">
        <v>9</v>
      </c>
      <c r="Q5" s="22">
        <v>31</v>
      </c>
      <c r="R5" s="17">
        <v>0.728571428571429</v>
      </c>
      <c r="S5" s="17">
        <v>0.871428571428571</v>
      </c>
      <c r="T5" s="17">
        <v>0.945945945945946</v>
      </c>
      <c r="U5" s="17">
        <v>0.895348837209302</v>
      </c>
      <c r="V5" s="23">
        <v>0.607594936708861</v>
      </c>
    </row>
    <row r="6" ht="33" spans="1:22">
      <c r="A6" s="16">
        <v>290</v>
      </c>
      <c r="B6" s="16" t="s">
        <v>553</v>
      </c>
      <c r="C6" s="19">
        <v>3</v>
      </c>
      <c r="D6" s="19">
        <v>6</v>
      </c>
      <c r="E6" s="19">
        <v>14</v>
      </c>
      <c r="F6" s="19">
        <v>4</v>
      </c>
      <c r="G6" s="19">
        <v>2</v>
      </c>
      <c r="H6" s="20">
        <v>312</v>
      </c>
      <c r="I6" s="20">
        <v>632</v>
      </c>
      <c r="J6" s="21">
        <v>1487.25</v>
      </c>
      <c r="K6" s="21">
        <v>443.56</v>
      </c>
      <c r="L6" s="21">
        <v>221.18</v>
      </c>
      <c r="M6" s="22">
        <v>3</v>
      </c>
      <c r="N6" s="22">
        <v>0</v>
      </c>
      <c r="O6" s="22">
        <v>1</v>
      </c>
      <c r="P6" s="22">
        <v>1</v>
      </c>
      <c r="Q6" s="22">
        <v>14</v>
      </c>
      <c r="R6" s="17">
        <v>0.5</v>
      </c>
      <c r="S6" s="17">
        <v>1</v>
      </c>
      <c r="T6" s="17">
        <v>0.933333333333333</v>
      </c>
      <c r="U6" s="17">
        <v>0.8</v>
      </c>
      <c r="V6" s="23">
        <v>0.125</v>
      </c>
    </row>
    <row r="7" ht="16.5" spans="1:22">
      <c r="A7" s="16">
        <v>338</v>
      </c>
      <c r="B7" s="16" t="s">
        <v>554</v>
      </c>
      <c r="C7" s="19">
        <v>3</v>
      </c>
      <c r="D7" s="19">
        <v>8</v>
      </c>
      <c r="E7" s="19">
        <v>32</v>
      </c>
      <c r="F7" s="19">
        <v>8</v>
      </c>
      <c r="G7" s="19">
        <v>19</v>
      </c>
      <c r="H7" s="20">
        <v>129.55</v>
      </c>
      <c r="I7" s="20">
        <v>302.4</v>
      </c>
      <c r="J7" s="21">
        <v>1254.95</v>
      </c>
      <c r="K7" s="21">
        <v>319.83</v>
      </c>
      <c r="L7" s="21">
        <v>776.98</v>
      </c>
      <c r="M7" s="22">
        <v>2</v>
      </c>
      <c r="N7" s="22">
        <v>2</v>
      </c>
      <c r="O7" s="22">
        <v>5</v>
      </c>
      <c r="P7" s="22">
        <v>4</v>
      </c>
      <c r="Q7" s="22">
        <v>4</v>
      </c>
      <c r="R7" s="17">
        <v>0.6</v>
      </c>
      <c r="S7" s="17">
        <v>0.8</v>
      </c>
      <c r="T7" s="17">
        <v>0.864864864864865</v>
      </c>
      <c r="U7" s="17">
        <v>0.666666666666667</v>
      </c>
      <c r="V7" s="23">
        <v>0.826086956521739</v>
      </c>
    </row>
    <row r="8" ht="33" spans="1:22">
      <c r="A8" s="16">
        <v>347</v>
      </c>
      <c r="B8" s="16" t="s">
        <v>555</v>
      </c>
      <c r="C8" s="19">
        <v>6</v>
      </c>
      <c r="D8" s="19">
        <v>8</v>
      </c>
      <c r="E8" s="19">
        <v>9</v>
      </c>
      <c r="F8" s="19">
        <v>8</v>
      </c>
      <c r="G8" s="19">
        <v>2</v>
      </c>
      <c r="H8" s="20">
        <v>470.04</v>
      </c>
      <c r="I8" s="20">
        <v>564.08</v>
      </c>
      <c r="J8" s="21">
        <v>634.59</v>
      </c>
      <c r="K8" s="21">
        <v>564.08</v>
      </c>
      <c r="L8" s="21">
        <v>139.61</v>
      </c>
      <c r="M8" s="22">
        <v>0</v>
      </c>
      <c r="N8" s="22">
        <v>1</v>
      </c>
      <c r="O8" s="22">
        <v>0</v>
      </c>
      <c r="P8" s="22">
        <v>0</v>
      </c>
      <c r="Q8" s="22">
        <v>7</v>
      </c>
      <c r="R8" s="17">
        <v>1</v>
      </c>
      <c r="S8" s="17">
        <v>0.888888888888889</v>
      </c>
      <c r="T8" s="17">
        <v>1</v>
      </c>
      <c r="U8" s="17">
        <v>1</v>
      </c>
      <c r="V8" s="23">
        <v>0.222222222222222</v>
      </c>
    </row>
    <row r="9" ht="33" spans="1:22">
      <c r="A9" s="16">
        <v>349</v>
      </c>
      <c r="B9" s="16" t="s">
        <v>556</v>
      </c>
      <c r="C9" s="19">
        <v>8</v>
      </c>
      <c r="D9" s="19">
        <v>4</v>
      </c>
      <c r="E9" s="19">
        <v>7</v>
      </c>
      <c r="F9" s="19">
        <v>8</v>
      </c>
      <c r="G9" s="19">
        <v>10</v>
      </c>
      <c r="H9" s="20">
        <v>949.12</v>
      </c>
      <c r="I9" s="20">
        <v>479.96</v>
      </c>
      <c r="J9" s="21">
        <v>861.53</v>
      </c>
      <c r="K9" s="21">
        <v>977.59</v>
      </c>
      <c r="L9" s="21">
        <v>1219.83</v>
      </c>
      <c r="M9" s="22">
        <v>1</v>
      </c>
      <c r="N9" s="22">
        <v>0</v>
      </c>
      <c r="O9" s="22">
        <v>4</v>
      </c>
      <c r="P9" s="22">
        <v>4</v>
      </c>
      <c r="Q9" s="22">
        <v>6</v>
      </c>
      <c r="R9" s="17">
        <v>0.888888888888889</v>
      </c>
      <c r="S9" s="17">
        <v>1</v>
      </c>
      <c r="T9" s="17">
        <v>0.636363636363636</v>
      </c>
      <c r="U9" s="17">
        <v>0.666666666666667</v>
      </c>
      <c r="V9" s="23">
        <v>0.625</v>
      </c>
    </row>
    <row r="10" ht="33" spans="1:22">
      <c r="A10" s="16">
        <v>350</v>
      </c>
      <c r="B10" s="16" t="s">
        <v>557</v>
      </c>
      <c r="C10" s="19">
        <v>7</v>
      </c>
      <c r="D10" s="19">
        <v>7</v>
      </c>
      <c r="E10" s="19">
        <v>8</v>
      </c>
      <c r="F10" s="19">
        <v>8</v>
      </c>
      <c r="G10" s="19">
        <v>5</v>
      </c>
      <c r="H10" s="20">
        <v>603.4</v>
      </c>
      <c r="I10" s="20">
        <v>600.7</v>
      </c>
      <c r="J10" s="21">
        <v>697.6</v>
      </c>
      <c r="K10" s="21">
        <v>690.4</v>
      </c>
      <c r="L10" s="21">
        <v>435.5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17">
        <v>1</v>
      </c>
      <c r="S10" s="17">
        <v>1</v>
      </c>
      <c r="T10" s="17">
        <v>1</v>
      </c>
      <c r="U10" s="17">
        <v>1</v>
      </c>
      <c r="V10" s="23">
        <v>1</v>
      </c>
    </row>
    <row r="11" ht="16.5" spans="1:22">
      <c r="A11" s="16">
        <v>3102</v>
      </c>
      <c r="B11" s="16" t="s">
        <v>558</v>
      </c>
      <c r="C11" s="19">
        <v>4</v>
      </c>
      <c r="D11" s="19">
        <v>5</v>
      </c>
      <c r="E11" s="19">
        <v>3</v>
      </c>
      <c r="F11" s="19">
        <v>3</v>
      </c>
      <c r="G11" s="19">
        <v>3</v>
      </c>
      <c r="H11" s="20">
        <v>711.96</v>
      </c>
      <c r="I11" s="20">
        <v>889.95</v>
      </c>
      <c r="J11" s="21">
        <v>546.15</v>
      </c>
      <c r="K11" s="21">
        <v>566.7</v>
      </c>
      <c r="L11" s="21">
        <v>549.96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17">
        <v>1</v>
      </c>
      <c r="S11" s="17">
        <v>1</v>
      </c>
      <c r="T11" s="17">
        <v>1</v>
      </c>
      <c r="U11" s="17">
        <v>1</v>
      </c>
      <c r="V11" s="23">
        <v>1</v>
      </c>
    </row>
    <row r="12" ht="33" spans="1:22">
      <c r="A12" s="16">
        <v>359</v>
      </c>
      <c r="B12" s="16" t="s">
        <v>559</v>
      </c>
      <c r="C12" s="19">
        <v>18</v>
      </c>
      <c r="D12" s="19">
        <v>10</v>
      </c>
      <c r="E12" s="19">
        <v>20</v>
      </c>
      <c r="F12" s="19">
        <v>17</v>
      </c>
      <c r="G12" s="19">
        <v>11</v>
      </c>
      <c r="H12" s="20">
        <v>733.82</v>
      </c>
      <c r="I12" s="20">
        <v>425.75</v>
      </c>
      <c r="J12" s="21">
        <v>873.6</v>
      </c>
      <c r="K12" s="21">
        <v>715.55</v>
      </c>
      <c r="L12" s="21">
        <v>459.48</v>
      </c>
      <c r="M12" s="22">
        <v>10</v>
      </c>
      <c r="N12" s="22">
        <v>5</v>
      </c>
      <c r="O12" s="22">
        <v>10</v>
      </c>
      <c r="P12" s="22">
        <v>8</v>
      </c>
      <c r="Q12" s="22">
        <v>11</v>
      </c>
      <c r="R12" s="17">
        <v>0.642857142857143</v>
      </c>
      <c r="S12" s="17">
        <v>0.666666666666667</v>
      </c>
      <c r="T12" s="17">
        <v>0.666666666666667</v>
      </c>
      <c r="U12" s="17">
        <v>0.68</v>
      </c>
      <c r="V12" s="23">
        <v>0.5</v>
      </c>
    </row>
    <row r="13" ht="16.5" spans="1:22">
      <c r="A13" s="16">
        <v>2547</v>
      </c>
      <c r="B13" s="16" t="s">
        <v>560</v>
      </c>
      <c r="C13" s="19">
        <v>9</v>
      </c>
      <c r="D13" s="19">
        <v>11</v>
      </c>
      <c r="E13" s="19">
        <v>13</v>
      </c>
      <c r="F13" s="19">
        <v>11</v>
      </c>
      <c r="G13" s="19">
        <v>15</v>
      </c>
      <c r="H13" s="20">
        <v>422.11</v>
      </c>
      <c r="I13" s="20">
        <v>473.99</v>
      </c>
      <c r="J13" s="21">
        <v>582.17</v>
      </c>
      <c r="K13" s="21">
        <v>506.34</v>
      </c>
      <c r="L13" s="21">
        <v>692.62</v>
      </c>
      <c r="M13" s="22">
        <v>6</v>
      </c>
      <c r="N13" s="22">
        <v>6</v>
      </c>
      <c r="O13" s="22">
        <v>11</v>
      </c>
      <c r="P13" s="22">
        <v>7</v>
      </c>
      <c r="Q13" s="22">
        <v>8</v>
      </c>
      <c r="R13" s="17">
        <v>0.6</v>
      </c>
      <c r="S13" s="17">
        <v>0.647058823529412</v>
      </c>
      <c r="T13" s="17">
        <v>0.541666666666667</v>
      </c>
      <c r="U13" s="17">
        <v>0.611111111111111</v>
      </c>
      <c r="V13" s="23">
        <v>0.652173913043478</v>
      </c>
    </row>
    <row r="14" ht="66" spans="1:22">
      <c r="A14" s="16">
        <v>3242</v>
      </c>
      <c r="B14" s="16" t="s">
        <v>561</v>
      </c>
      <c r="C14" s="19">
        <v>5</v>
      </c>
      <c r="D14" s="19">
        <v>8</v>
      </c>
      <c r="E14" s="19">
        <v>18</v>
      </c>
      <c r="F14" s="19">
        <v>14</v>
      </c>
      <c r="G14" s="19">
        <v>9</v>
      </c>
      <c r="H14" s="20">
        <v>183.82</v>
      </c>
      <c r="I14" s="20">
        <v>297.81</v>
      </c>
      <c r="J14" s="21">
        <v>685.96</v>
      </c>
      <c r="K14" s="21">
        <v>533.84</v>
      </c>
      <c r="L14" s="21">
        <v>346.12</v>
      </c>
      <c r="M14" s="22">
        <v>1</v>
      </c>
      <c r="N14" s="22">
        <v>0</v>
      </c>
      <c r="O14" s="22">
        <v>3</v>
      </c>
      <c r="P14" s="22">
        <v>0</v>
      </c>
      <c r="Q14" s="22">
        <v>0</v>
      </c>
      <c r="R14" s="17">
        <v>0.833333333333333</v>
      </c>
      <c r="S14" s="17">
        <v>1</v>
      </c>
      <c r="T14" s="17">
        <v>0.857142857142857</v>
      </c>
      <c r="U14" s="17">
        <v>1</v>
      </c>
      <c r="V14" s="23">
        <v>1</v>
      </c>
    </row>
    <row r="15" ht="16.5" spans="1:22">
      <c r="A15" s="16">
        <v>3187</v>
      </c>
      <c r="B15" s="16" t="s">
        <v>562</v>
      </c>
      <c r="C15" s="19">
        <v>4</v>
      </c>
      <c r="D15" s="19">
        <v>3</v>
      </c>
      <c r="E15" s="19">
        <v>5</v>
      </c>
      <c r="F15" s="19">
        <v>1</v>
      </c>
      <c r="G15" s="19">
        <v>4</v>
      </c>
      <c r="H15" s="20">
        <v>719.96</v>
      </c>
      <c r="I15" s="20">
        <v>512.98</v>
      </c>
      <c r="J15" s="21">
        <v>898.45</v>
      </c>
      <c r="K15" s="21">
        <v>179.49</v>
      </c>
      <c r="L15" s="21">
        <v>707.36</v>
      </c>
      <c r="M15" s="22">
        <v>0</v>
      </c>
      <c r="N15" s="22">
        <v>0</v>
      </c>
      <c r="O15" s="22">
        <v>0</v>
      </c>
      <c r="P15" s="22">
        <v>1</v>
      </c>
      <c r="Q15" s="22">
        <v>0</v>
      </c>
      <c r="R15" s="17">
        <v>1</v>
      </c>
      <c r="S15" s="17">
        <v>1</v>
      </c>
      <c r="T15" s="17">
        <v>1</v>
      </c>
      <c r="U15" s="17">
        <v>0.5</v>
      </c>
      <c r="V15" s="23">
        <v>1</v>
      </c>
    </row>
    <row r="16" ht="16.5" spans="1:22">
      <c r="A16" s="16">
        <v>423</v>
      </c>
      <c r="B16" s="16" t="s">
        <v>563</v>
      </c>
      <c r="C16" s="19">
        <v>14</v>
      </c>
      <c r="D16" s="19">
        <v>20</v>
      </c>
      <c r="E16" s="19">
        <v>16</v>
      </c>
      <c r="F16" s="19">
        <v>15</v>
      </c>
      <c r="G16" s="19">
        <v>12</v>
      </c>
      <c r="H16" s="20">
        <v>553.49</v>
      </c>
      <c r="I16" s="20">
        <v>788.02</v>
      </c>
      <c r="J16" s="21">
        <v>648.85</v>
      </c>
      <c r="K16" s="21">
        <v>483.81</v>
      </c>
      <c r="L16" s="21">
        <v>380.39</v>
      </c>
      <c r="M16" s="22">
        <v>4</v>
      </c>
      <c r="N16" s="22">
        <v>9</v>
      </c>
      <c r="O16" s="22">
        <v>9</v>
      </c>
      <c r="P16" s="22">
        <v>5</v>
      </c>
      <c r="Q16" s="22">
        <v>4</v>
      </c>
      <c r="R16" s="17">
        <v>0.777777777777778</v>
      </c>
      <c r="S16" s="17">
        <v>0.689655172413793</v>
      </c>
      <c r="T16" s="17">
        <v>0.64</v>
      </c>
      <c r="U16" s="17">
        <v>0.75</v>
      </c>
      <c r="V16" s="23">
        <v>0.75</v>
      </c>
    </row>
    <row r="17" ht="16.5" spans="1:22">
      <c r="A17" s="16">
        <v>425</v>
      </c>
      <c r="B17" s="16" t="s">
        <v>564</v>
      </c>
      <c r="C17" s="19">
        <v>17</v>
      </c>
      <c r="D17" s="19">
        <v>12</v>
      </c>
      <c r="E17" s="19">
        <v>13</v>
      </c>
      <c r="F17" s="19">
        <v>10</v>
      </c>
      <c r="G17" s="19">
        <v>12</v>
      </c>
      <c r="H17" s="20">
        <v>641.38</v>
      </c>
      <c r="I17" s="20">
        <v>452.23</v>
      </c>
      <c r="J17" s="21">
        <v>499.03</v>
      </c>
      <c r="K17" s="21">
        <v>390.3</v>
      </c>
      <c r="L17" s="21">
        <v>467.9</v>
      </c>
      <c r="M17" s="22">
        <v>2</v>
      </c>
      <c r="N17" s="22">
        <v>1</v>
      </c>
      <c r="O17" s="22">
        <v>1</v>
      </c>
      <c r="P17" s="22">
        <v>0</v>
      </c>
      <c r="Q17" s="22">
        <v>1</v>
      </c>
      <c r="R17" s="17">
        <v>0.894736842105263</v>
      </c>
      <c r="S17" s="17">
        <v>0.923076923076923</v>
      </c>
      <c r="T17" s="17">
        <v>0.928571428571429</v>
      </c>
      <c r="U17" s="17">
        <v>1</v>
      </c>
      <c r="V17" s="23">
        <v>0.923076923076923</v>
      </c>
    </row>
    <row r="18" ht="33" spans="1:22">
      <c r="A18" s="16">
        <v>656</v>
      </c>
      <c r="B18" s="16" t="s">
        <v>565</v>
      </c>
      <c r="C18" s="19">
        <v>67</v>
      </c>
      <c r="D18" s="19">
        <v>75</v>
      </c>
      <c r="E18" s="19">
        <v>69</v>
      </c>
      <c r="F18" s="19">
        <v>56</v>
      </c>
      <c r="G18" s="19">
        <v>58</v>
      </c>
      <c r="H18" s="20">
        <v>505.76</v>
      </c>
      <c r="I18" s="20">
        <v>563.089999999999</v>
      </c>
      <c r="J18" s="21">
        <v>549.28</v>
      </c>
      <c r="K18" s="21">
        <v>462.06</v>
      </c>
      <c r="L18" s="21">
        <v>482.52</v>
      </c>
      <c r="M18" s="22">
        <v>35</v>
      </c>
      <c r="N18" s="22">
        <v>26</v>
      </c>
      <c r="O18" s="22">
        <v>28</v>
      </c>
      <c r="P18" s="22">
        <v>31</v>
      </c>
      <c r="Q18" s="22">
        <v>46</v>
      </c>
      <c r="R18" s="17">
        <v>0.656862745098039</v>
      </c>
      <c r="S18" s="17">
        <v>0.742574257425743</v>
      </c>
      <c r="T18" s="17">
        <v>0.711340206185567</v>
      </c>
      <c r="U18" s="17">
        <v>0.64367816091954</v>
      </c>
      <c r="V18" s="23">
        <v>0.557692307692308</v>
      </c>
    </row>
    <row r="19" ht="16.5" spans="1:22">
      <c r="A19" s="16">
        <v>2476</v>
      </c>
      <c r="B19" s="16" t="e">
        <v>#N/A</v>
      </c>
      <c r="C19" s="19">
        <v>6</v>
      </c>
      <c r="D19" s="19">
        <v>2</v>
      </c>
      <c r="E19" s="19">
        <v>0</v>
      </c>
      <c r="F19" s="19">
        <v>0</v>
      </c>
      <c r="G19" s="19">
        <v>0</v>
      </c>
      <c r="H19" s="20">
        <v>598.68</v>
      </c>
      <c r="I19" s="20">
        <v>199.56</v>
      </c>
      <c r="J19" s="21">
        <v>0</v>
      </c>
      <c r="K19" s="21">
        <v>0</v>
      </c>
      <c r="L19" s="21">
        <v>0</v>
      </c>
      <c r="M19" s="22">
        <v>4</v>
      </c>
      <c r="N19" s="22">
        <v>2</v>
      </c>
      <c r="O19" s="22">
        <v>1</v>
      </c>
      <c r="P19" s="22">
        <v>0</v>
      </c>
      <c r="Q19" s="22" t="e">
        <v>#N/A</v>
      </c>
      <c r="R19" s="17">
        <v>0.6</v>
      </c>
      <c r="S19" s="17">
        <v>0.5</v>
      </c>
      <c r="T19" s="17">
        <v>0</v>
      </c>
      <c r="U19" s="17">
        <v>0</v>
      </c>
      <c r="V19" s="23" t="e">
        <v>#N/A</v>
      </c>
    </row>
    <row r="20" ht="33" spans="1:22">
      <c r="A20" s="16">
        <v>3597</v>
      </c>
      <c r="B20" s="16" t="s">
        <v>566</v>
      </c>
      <c r="C20" s="19">
        <v>4</v>
      </c>
      <c r="D20" s="19">
        <v>4</v>
      </c>
      <c r="E20" s="19">
        <v>4</v>
      </c>
      <c r="F20" s="19">
        <v>5</v>
      </c>
      <c r="G20" s="19">
        <v>4</v>
      </c>
      <c r="H20" s="20">
        <v>828.92</v>
      </c>
      <c r="I20" s="20">
        <v>844.46</v>
      </c>
      <c r="J20" s="21">
        <v>828.92</v>
      </c>
      <c r="K20" s="21">
        <v>1051.69</v>
      </c>
      <c r="L20" s="21">
        <v>828.92</v>
      </c>
      <c r="M20" s="22">
        <v>1</v>
      </c>
      <c r="N20" s="22">
        <v>7</v>
      </c>
      <c r="O20" s="22">
        <v>11</v>
      </c>
      <c r="P20" s="22">
        <v>6</v>
      </c>
      <c r="Q20" s="22">
        <v>4</v>
      </c>
      <c r="R20" s="17">
        <v>0.8</v>
      </c>
      <c r="S20" s="17">
        <v>0.363636363636364</v>
      </c>
      <c r="T20" s="17">
        <v>0.266666666666667</v>
      </c>
      <c r="U20" s="17">
        <v>0.454545454545455</v>
      </c>
      <c r="V20" s="23">
        <v>0.5</v>
      </c>
    </row>
    <row r="21" ht="16.5" spans="1:22">
      <c r="A21" s="16">
        <v>3013</v>
      </c>
      <c r="B21" s="16" t="s">
        <v>567</v>
      </c>
      <c r="C21" s="19">
        <v>5</v>
      </c>
      <c r="D21" s="19">
        <v>9</v>
      </c>
      <c r="E21" s="19">
        <v>8</v>
      </c>
      <c r="F21" s="19">
        <v>6</v>
      </c>
      <c r="G21" s="19">
        <v>7</v>
      </c>
      <c r="H21" s="20">
        <v>761.34</v>
      </c>
      <c r="I21" s="20">
        <v>1370.22</v>
      </c>
      <c r="J21" s="21">
        <v>1224.84</v>
      </c>
      <c r="K21" s="21">
        <v>958.57</v>
      </c>
      <c r="L21" s="21">
        <v>1117.86</v>
      </c>
      <c r="M21" s="22">
        <v>1</v>
      </c>
      <c r="N21" s="22">
        <v>0</v>
      </c>
      <c r="O21" s="22">
        <v>2</v>
      </c>
      <c r="P21" s="22">
        <v>3</v>
      </c>
      <c r="Q21" s="22">
        <v>0</v>
      </c>
      <c r="R21" s="17">
        <v>0.833333333333333</v>
      </c>
      <c r="S21" s="17">
        <v>1</v>
      </c>
      <c r="T21" s="17">
        <v>0.8</v>
      </c>
      <c r="U21" s="17">
        <v>0.666666666666667</v>
      </c>
      <c r="V21" s="23">
        <v>1</v>
      </c>
    </row>
    <row r="22" ht="33" spans="1:22">
      <c r="A22" s="16">
        <v>3024</v>
      </c>
      <c r="B22" s="16" t="s">
        <v>568</v>
      </c>
      <c r="C22" s="19">
        <v>8</v>
      </c>
      <c r="D22" s="19">
        <v>4</v>
      </c>
      <c r="E22" s="19">
        <v>12</v>
      </c>
      <c r="F22" s="19">
        <v>7</v>
      </c>
      <c r="G22" s="19">
        <v>6</v>
      </c>
      <c r="H22" s="20">
        <v>736.81</v>
      </c>
      <c r="I22" s="20">
        <v>408.98</v>
      </c>
      <c r="J22" s="21">
        <v>1251.34</v>
      </c>
      <c r="K22" s="21">
        <v>742.38</v>
      </c>
      <c r="L22" s="21">
        <v>538.58</v>
      </c>
      <c r="M22" s="22">
        <v>7</v>
      </c>
      <c r="N22" s="22">
        <v>11</v>
      </c>
      <c r="O22" s="22">
        <v>4</v>
      </c>
      <c r="P22" s="22">
        <v>8</v>
      </c>
      <c r="Q22" s="22">
        <v>4</v>
      </c>
      <c r="R22" s="17">
        <v>0.533333333333333</v>
      </c>
      <c r="S22" s="17">
        <v>0.266666666666667</v>
      </c>
      <c r="T22" s="17">
        <v>0.75</v>
      </c>
      <c r="U22" s="17">
        <v>0.466666666666667</v>
      </c>
      <c r="V22" s="23">
        <v>0.6</v>
      </c>
    </row>
    <row r="23" ht="33" spans="1:22">
      <c r="A23" s="16">
        <v>3103</v>
      </c>
      <c r="B23" s="16" t="s">
        <v>569</v>
      </c>
      <c r="C23" s="19">
        <v>3</v>
      </c>
      <c r="D23" s="19">
        <v>3</v>
      </c>
      <c r="E23" s="19">
        <v>7</v>
      </c>
      <c r="F23" s="19">
        <v>7</v>
      </c>
      <c r="G23" s="19">
        <v>6</v>
      </c>
      <c r="H23" s="20">
        <v>474.6</v>
      </c>
      <c r="I23" s="20">
        <v>474.6</v>
      </c>
      <c r="J23" s="21">
        <v>1051.81</v>
      </c>
      <c r="K23" s="21">
        <v>1039.11</v>
      </c>
      <c r="L23" s="21">
        <v>892.61</v>
      </c>
      <c r="M23" s="22">
        <v>12</v>
      </c>
      <c r="N23" s="22">
        <v>3</v>
      </c>
      <c r="O23" s="22">
        <v>4</v>
      </c>
      <c r="P23" s="22">
        <v>5</v>
      </c>
      <c r="Q23" s="22">
        <v>3</v>
      </c>
      <c r="R23" s="17">
        <v>0.2</v>
      </c>
      <c r="S23" s="17">
        <v>0.5</v>
      </c>
      <c r="T23" s="17">
        <v>0.636363636363636</v>
      </c>
      <c r="U23" s="17">
        <v>0.583333333333333</v>
      </c>
      <c r="V23" s="23">
        <v>0.666666666666667</v>
      </c>
    </row>
    <row r="24" ht="33" spans="1:22">
      <c r="A24" s="16">
        <v>3249</v>
      </c>
      <c r="B24" s="16" t="s">
        <v>570</v>
      </c>
      <c r="C24" s="19">
        <v>6</v>
      </c>
      <c r="D24" s="19">
        <v>10</v>
      </c>
      <c r="E24" s="19">
        <v>6</v>
      </c>
      <c r="F24" s="19">
        <v>4</v>
      </c>
      <c r="G24" s="19">
        <v>3</v>
      </c>
      <c r="H24" s="20">
        <v>944.94</v>
      </c>
      <c r="I24" s="20">
        <v>1574.9</v>
      </c>
      <c r="J24" s="21">
        <v>944.94</v>
      </c>
      <c r="K24" s="21">
        <v>629.96</v>
      </c>
      <c r="L24" s="21">
        <v>472.47</v>
      </c>
      <c r="M24" s="22">
        <v>3</v>
      </c>
      <c r="N24" s="22">
        <v>1</v>
      </c>
      <c r="O24" s="22">
        <v>2</v>
      </c>
      <c r="P24" s="22">
        <v>7</v>
      </c>
      <c r="Q24" s="22">
        <v>4</v>
      </c>
      <c r="R24" s="17">
        <v>0.666666666666667</v>
      </c>
      <c r="S24" s="17">
        <v>0.909090909090909</v>
      </c>
      <c r="T24" s="17">
        <v>0.75</v>
      </c>
      <c r="U24" s="17">
        <v>0.363636363636364</v>
      </c>
      <c r="V24" s="23">
        <v>0.428571428571429</v>
      </c>
    </row>
    <row r="25" ht="33" spans="1:22">
      <c r="A25" s="16">
        <v>3231</v>
      </c>
      <c r="B25" s="16" t="s">
        <v>571</v>
      </c>
      <c r="C25" s="19">
        <v>5</v>
      </c>
      <c r="D25" s="19">
        <v>3</v>
      </c>
      <c r="E25" s="19">
        <v>8</v>
      </c>
      <c r="F25" s="19">
        <v>9</v>
      </c>
      <c r="G25" s="19">
        <v>4</v>
      </c>
      <c r="H25" s="20">
        <v>483.9</v>
      </c>
      <c r="I25" s="20">
        <v>290.34</v>
      </c>
      <c r="J25" s="21">
        <v>774.24</v>
      </c>
      <c r="K25" s="21">
        <v>870.52</v>
      </c>
      <c r="L25" s="21">
        <v>387.12</v>
      </c>
      <c r="M25" s="22">
        <v>3</v>
      </c>
      <c r="N25" s="22">
        <v>2</v>
      </c>
      <c r="O25" s="22">
        <v>2</v>
      </c>
      <c r="P25" s="22">
        <v>6</v>
      </c>
      <c r="Q25" s="22">
        <v>5</v>
      </c>
      <c r="R25" s="17">
        <v>0.625</v>
      </c>
      <c r="S25" s="17">
        <v>0.6</v>
      </c>
      <c r="T25" s="17">
        <v>0.8</v>
      </c>
      <c r="U25" s="17">
        <v>0.6</v>
      </c>
      <c r="V25" s="23">
        <v>0.444444444444444</v>
      </c>
    </row>
    <row r="26" ht="16.5" spans="1:22">
      <c r="A26" s="16">
        <v>3043</v>
      </c>
      <c r="B26" s="16" t="s">
        <v>572</v>
      </c>
      <c r="C26" s="19">
        <v>4</v>
      </c>
      <c r="D26" s="19">
        <v>2</v>
      </c>
      <c r="E26" s="19">
        <v>5</v>
      </c>
      <c r="F26" s="19">
        <v>3</v>
      </c>
      <c r="G26" s="19">
        <v>0</v>
      </c>
      <c r="H26" s="20">
        <v>420</v>
      </c>
      <c r="I26" s="20">
        <v>206.17</v>
      </c>
      <c r="J26" s="21">
        <v>482.13</v>
      </c>
      <c r="K26" s="21">
        <v>299.26</v>
      </c>
      <c r="L26" s="21">
        <v>0</v>
      </c>
      <c r="M26" s="22">
        <v>13</v>
      </c>
      <c r="N26" s="22">
        <v>21</v>
      </c>
      <c r="O26" s="22">
        <v>13</v>
      </c>
      <c r="P26" s="22">
        <v>21</v>
      </c>
      <c r="Q26" s="22">
        <v>16</v>
      </c>
      <c r="R26" s="17">
        <v>0.235294117647059</v>
      </c>
      <c r="S26" s="17">
        <v>0.0869565217391304</v>
      </c>
      <c r="T26" s="17">
        <v>0.277777777777778</v>
      </c>
      <c r="U26" s="17">
        <v>0.125</v>
      </c>
      <c r="V26" s="23">
        <v>0</v>
      </c>
    </row>
    <row r="27" ht="33" spans="1:22">
      <c r="A27" s="16">
        <v>3104</v>
      </c>
      <c r="B27" s="16" t="s">
        <v>573</v>
      </c>
      <c r="C27" s="19">
        <v>2</v>
      </c>
      <c r="D27" s="19">
        <v>6</v>
      </c>
      <c r="E27" s="19">
        <v>9</v>
      </c>
      <c r="F27" s="19">
        <v>3</v>
      </c>
      <c r="G27" s="19">
        <v>7</v>
      </c>
      <c r="H27" s="20">
        <v>182.96</v>
      </c>
      <c r="I27" s="20">
        <v>534</v>
      </c>
      <c r="J27" s="21">
        <v>801</v>
      </c>
      <c r="K27" s="21">
        <v>345</v>
      </c>
      <c r="L27" s="21">
        <v>696.53</v>
      </c>
      <c r="M27" s="22">
        <v>13</v>
      </c>
      <c r="N27" s="22">
        <v>12</v>
      </c>
      <c r="O27" s="22">
        <v>12</v>
      </c>
      <c r="P27" s="22">
        <v>9</v>
      </c>
      <c r="Q27" s="22">
        <v>7</v>
      </c>
      <c r="R27" s="17">
        <v>0.133333333333333</v>
      </c>
      <c r="S27" s="17">
        <v>0.333333333333333</v>
      </c>
      <c r="T27" s="17">
        <v>0.428571428571429</v>
      </c>
      <c r="U27" s="17">
        <v>0.25</v>
      </c>
      <c r="V27" s="23">
        <v>0.5</v>
      </c>
    </row>
    <row r="28" ht="16.5" spans="1:22">
      <c r="A28" s="16">
        <v>2712</v>
      </c>
      <c r="B28" s="16" t="s">
        <v>574</v>
      </c>
      <c r="C28" s="19">
        <v>9</v>
      </c>
      <c r="D28" s="19">
        <v>14</v>
      </c>
      <c r="E28" s="19">
        <v>18</v>
      </c>
      <c r="F28" s="19">
        <v>15</v>
      </c>
      <c r="G28" s="19">
        <v>11</v>
      </c>
      <c r="H28" s="20">
        <v>948.4</v>
      </c>
      <c r="I28" s="20">
        <v>1409.33</v>
      </c>
      <c r="J28" s="21">
        <v>1837.58</v>
      </c>
      <c r="K28" s="21">
        <v>1569.95</v>
      </c>
      <c r="L28" s="21">
        <v>1140.95</v>
      </c>
      <c r="M28" s="22">
        <v>2</v>
      </c>
      <c r="N28" s="22">
        <v>1</v>
      </c>
      <c r="O28" s="22">
        <v>3</v>
      </c>
      <c r="P28" s="22">
        <v>1</v>
      </c>
      <c r="Q28" s="22">
        <v>1</v>
      </c>
      <c r="R28" s="17">
        <v>0.818181818181818</v>
      </c>
      <c r="S28" s="17">
        <v>0.933333333333333</v>
      </c>
      <c r="T28" s="17">
        <v>0.857142857142857</v>
      </c>
      <c r="U28" s="17">
        <v>0.9375</v>
      </c>
      <c r="V28" s="23">
        <v>0.916666666666667</v>
      </c>
    </row>
    <row r="29" ht="16.5" spans="1:22">
      <c r="A29" s="16">
        <v>2732</v>
      </c>
      <c r="B29" s="16" t="s">
        <v>575</v>
      </c>
      <c r="C29" s="19">
        <v>3</v>
      </c>
      <c r="D29" s="19">
        <v>4</v>
      </c>
      <c r="E29" s="19">
        <v>12</v>
      </c>
      <c r="F29" s="19">
        <v>13</v>
      </c>
      <c r="G29" s="19">
        <v>16</v>
      </c>
      <c r="H29" s="20">
        <v>206.22</v>
      </c>
      <c r="I29" s="20">
        <v>274.96</v>
      </c>
      <c r="J29" s="21">
        <v>863.77</v>
      </c>
      <c r="K29" s="21">
        <v>1030.29</v>
      </c>
      <c r="L29" s="21">
        <v>1316.76</v>
      </c>
      <c r="M29" s="22">
        <v>14</v>
      </c>
      <c r="N29" s="22">
        <v>12</v>
      </c>
      <c r="O29" s="22">
        <v>12</v>
      </c>
      <c r="P29" s="22">
        <v>7</v>
      </c>
      <c r="Q29" s="22">
        <v>6</v>
      </c>
      <c r="R29" s="17">
        <v>0.176470588235294</v>
      </c>
      <c r="S29" s="17">
        <v>0.25</v>
      </c>
      <c r="T29" s="17">
        <v>0.5</v>
      </c>
      <c r="U29" s="17">
        <v>0.65</v>
      </c>
      <c r="V29" s="23">
        <v>0.727272727272727</v>
      </c>
    </row>
    <row r="30" ht="16.5" spans="1:22">
      <c r="A30" s="16">
        <v>1030</v>
      </c>
      <c r="B30" s="16" t="s">
        <v>576</v>
      </c>
      <c r="C30" s="19">
        <v>9</v>
      </c>
      <c r="D30" s="19">
        <v>9</v>
      </c>
      <c r="E30" s="19">
        <v>12</v>
      </c>
      <c r="F30" s="19">
        <v>17</v>
      </c>
      <c r="G30" s="19">
        <v>15</v>
      </c>
      <c r="H30" s="20">
        <v>646.47</v>
      </c>
      <c r="I30" s="20">
        <v>645.47</v>
      </c>
      <c r="J30" s="21">
        <v>858.37</v>
      </c>
      <c r="K30" s="21">
        <v>1201.07</v>
      </c>
      <c r="L30" s="21">
        <v>1048.45</v>
      </c>
      <c r="M30" s="22">
        <v>2</v>
      </c>
      <c r="N30" s="22">
        <v>0</v>
      </c>
      <c r="O30" s="22">
        <v>1</v>
      </c>
      <c r="P30" s="22">
        <v>4</v>
      </c>
      <c r="Q30" s="22">
        <v>4</v>
      </c>
      <c r="R30" s="17">
        <v>0.818181818181818</v>
      </c>
      <c r="S30" s="17">
        <v>1</v>
      </c>
      <c r="T30" s="17">
        <v>0.923076923076923</v>
      </c>
      <c r="U30" s="17">
        <v>0.80952380952381</v>
      </c>
      <c r="V30" s="23">
        <v>0.789473684210526</v>
      </c>
    </row>
    <row r="31" ht="16.5" spans="1:22">
      <c r="A31" s="16">
        <v>1031</v>
      </c>
      <c r="B31" s="16" t="s">
        <v>577</v>
      </c>
      <c r="C31" s="19">
        <v>29</v>
      </c>
      <c r="D31" s="19">
        <v>25</v>
      </c>
      <c r="E31" s="19">
        <v>31</v>
      </c>
      <c r="F31" s="19">
        <v>24</v>
      </c>
      <c r="G31" s="19">
        <v>11</v>
      </c>
      <c r="H31" s="20">
        <v>5161.43</v>
      </c>
      <c r="I31" s="20">
        <v>4597.66</v>
      </c>
      <c r="J31" s="21">
        <v>5550.26</v>
      </c>
      <c r="K31" s="21">
        <v>4172.38</v>
      </c>
      <c r="L31" s="21">
        <v>1902.91</v>
      </c>
      <c r="M31" s="22">
        <v>9</v>
      </c>
      <c r="N31" s="22">
        <v>3</v>
      </c>
      <c r="O31" s="22">
        <v>12</v>
      </c>
      <c r="P31" s="22">
        <v>6</v>
      </c>
      <c r="Q31" s="22">
        <v>12</v>
      </c>
      <c r="R31" s="17">
        <v>0.763157894736842</v>
      </c>
      <c r="S31" s="17">
        <v>0.892857142857143</v>
      </c>
      <c r="T31" s="17">
        <v>0.720930232558139</v>
      </c>
      <c r="U31" s="17">
        <v>0.8</v>
      </c>
      <c r="V31" s="23">
        <v>0.478260869565217</v>
      </c>
    </row>
    <row r="32" ht="16.5" spans="1:22">
      <c r="A32" s="16">
        <v>1140</v>
      </c>
      <c r="B32" s="16" t="s">
        <v>578</v>
      </c>
      <c r="C32" s="19">
        <v>4</v>
      </c>
      <c r="D32" s="19">
        <v>8</v>
      </c>
      <c r="E32" s="19">
        <v>18</v>
      </c>
      <c r="F32" s="19">
        <v>4</v>
      </c>
      <c r="G32" s="19">
        <v>6</v>
      </c>
      <c r="H32" s="20">
        <v>311.6</v>
      </c>
      <c r="I32" s="20">
        <v>623.2</v>
      </c>
      <c r="J32" s="21">
        <v>1420.69</v>
      </c>
      <c r="K32" s="21">
        <v>324.46</v>
      </c>
      <c r="L32" s="21">
        <v>506.28</v>
      </c>
      <c r="M32" s="22">
        <v>0</v>
      </c>
      <c r="N32" s="22">
        <v>0</v>
      </c>
      <c r="O32" s="22">
        <v>5</v>
      </c>
      <c r="P32" s="22">
        <v>6</v>
      </c>
      <c r="Q32" s="22">
        <v>5</v>
      </c>
      <c r="R32" s="17">
        <v>1</v>
      </c>
      <c r="S32" s="17">
        <v>1</v>
      </c>
      <c r="T32" s="17">
        <v>0.782608695652174</v>
      </c>
      <c r="U32" s="17">
        <v>0.4</v>
      </c>
      <c r="V32" s="23">
        <v>0.545454545454545</v>
      </c>
    </row>
    <row r="33" ht="16.5" spans="1:22">
      <c r="A33" s="16">
        <v>1144</v>
      </c>
      <c r="B33" s="16" t="s">
        <v>579</v>
      </c>
      <c r="C33" s="19">
        <v>10</v>
      </c>
      <c r="D33" s="19">
        <v>5</v>
      </c>
      <c r="E33" s="19">
        <v>16</v>
      </c>
      <c r="F33" s="19">
        <v>3</v>
      </c>
      <c r="G33" s="19">
        <v>14</v>
      </c>
      <c r="H33" s="20">
        <v>372.9</v>
      </c>
      <c r="I33" s="20">
        <v>195.63</v>
      </c>
      <c r="J33" s="21">
        <v>626.8</v>
      </c>
      <c r="K33" s="21">
        <v>117.15</v>
      </c>
      <c r="L33" s="21">
        <v>547.45</v>
      </c>
      <c r="M33" s="22">
        <v>23</v>
      </c>
      <c r="N33" s="22">
        <v>38</v>
      </c>
      <c r="O33" s="22">
        <v>44</v>
      </c>
      <c r="P33" s="22">
        <v>10</v>
      </c>
      <c r="Q33" s="22">
        <v>49</v>
      </c>
      <c r="R33" s="17">
        <v>0.303030303030303</v>
      </c>
      <c r="S33" s="17">
        <v>0.116279069767442</v>
      </c>
      <c r="T33" s="17">
        <v>0.266666666666667</v>
      </c>
      <c r="U33" s="17">
        <v>0.230769230769231</v>
      </c>
      <c r="V33" s="23">
        <v>0.222222222222222</v>
      </c>
    </row>
    <row r="34" ht="16.5" spans="1:22">
      <c r="A34" s="16">
        <v>1145</v>
      </c>
      <c r="B34" s="16" t="e">
        <v>#N/A</v>
      </c>
      <c r="C34" s="19">
        <v>0</v>
      </c>
      <c r="D34" s="19">
        <v>2</v>
      </c>
      <c r="E34" s="19">
        <v>0</v>
      </c>
      <c r="F34" s="19">
        <v>0</v>
      </c>
      <c r="G34" s="19">
        <v>0</v>
      </c>
      <c r="H34" s="20">
        <v>0</v>
      </c>
      <c r="I34" s="20">
        <v>83</v>
      </c>
      <c r="J34" s="21">
        <v>0</v>
      </c>
      <c r="K34" s="21">
        <v>0</v>
      </c>
      <c r="L34" s="21">
        <v>0</v>
      </c>
      <c r="M34" s="22">
        <v>3</v>
      </c>
      <c r="N34" s="22">
        <v>3</v>
      </c>
      <c r="O34" s="22">
        <v>6</v>
      </c>
      <c r="P34" s="22">
        <v>0</v>
      </c>
      <c r="Q34" s="22" t="e">
        <v>#N/A</v>
      </c>
      <c r="R34" s="17">
        <v>0</v>
      </c>
      <c r="S34" s="17">
        <v>0.4</v>
      </c>
      <c r="T34" s="17">
        <v>0</v>
      </c>
      <c r="U34" s="17">
        <v>0</v>
      </c>
      <c r="V34" s="23" t="e">
        <v>#N/A</v>
      </c>
    </row>
    <row r="35" ht="16.5" spans="1:22">
      <c r="A35" s="16">
        <v>1203</v>
      </c>
      <c r="B35" s="16" t="s">
        <v>580</v>
      </c>
      <c r="C35" s="19">
        <v>18</v>
      </c>
      <c r="D35" s="19">
        <v>25</v>
      </c>
      <c r="E35" s="19">
        <v>30</v>
      </c>
      <c r="F35" s="19">
        <v>24</v>
      </c>
      <c r="G35" s="19">
        <v>16</v>
      </c>
      <c r="H35" s="20">
        <v>711.42</v>
      </c>
      <c r="I35" s="20">
        <v>928.75</v>
      </c>
      <c r="J35" s="21">
        <v>1147.8</v>
      </c>
      <c r="K35" s="21">
        <v>980.39</v>
      </c>
      <c r="L35" s="21">
        <v>669.1</v>
      </c>
      <c r="M35" s="22">
        <v>17</v>
      </c>
      <c r="N35" s="22">
        <v>23</v>
      </c>
      <c r="O35" s="22">
        <v>15</v>
      </c>
      <c r="P35" s="22">
        <v>16</v>
      </c>
      <c r="Q35" s="22">
        <v>25</v>
      </c>
      <c r="R35" s="17">
        <v>0.514285714285714</v>
      </c>
      <c r="S35" s="17">
        <v>0.520833333333333</v>
      </c>
      <c r="T35" s="17">
        <v>0.666666666666667</v>
      </c>
      <c r="U35" s="17">
        <v>0.6</v>
      </c>
      <c r="V35" s="23">
        <v>0.390243902439024</v>
      </c>
    </row>
    <row r="36" ht="66" spans="1:22">
      <c r="A36" s="16">
        <v>1251</v>
      </c>
      <c r="B36" s="16" t="s">
        <v>581</v>
      </c>
      <c r="C36" s="19">
        <v>27</v>
      </c>
      <c r="D36" s="19">
        <v>26</v>
      </c>
      <c r="E36" s="19">
        <v>17</v>
      </c>
      <c r="F36" s="19">
        <v>11</v>
      </c>
      <c r="G36" s="19">
        <v>5</v>
      </c>
      <c r="H36" s="20">
        <v>2415.41</v>
      </c>
      <c r="I36" s="20">
        <v>2307.02</v>
      </c>
      <c r="J36" s="21">
        <v>1500.89</v>
      </c>
      <c r="K36" s="21">
        <v>962.87</v>
      </c>
      <c r="L36" s="21">
        <v>418.15</v>
      </c>
      <c r="M36" s="22">
        <v>0</v>
      </c>
      <c r="N36" s="22">
        <v>3</v>
      </c>
      <c r="O36" s="22">
        <v>0</v>
      </c>
      <c r="P36" s="22">
        <v>1</v>
      </c>
      <c r="Q36" s="22">
        <v>2</v>
      </c>
      <c r="R36" s="17">
        <v>1</v>
      </c>
      <c r="S36" s="17">
        <v>0.896551724137931</v>
      </c>
      <c r="T36" s="17">
        <v>1</v>
      </c>
      <c r="U36" s="17">
        <v>0.916666666666667</v>
      </c>
      <c r="V36" s="23">
        <v>0.714285714285714</v>
      </c>
    </row>
    <row r="37" ht="16.5" spans="1:22">
      <c r="A37" s="16">
        <v>1407</v>
      </c>
      <c r="B37" s="16" t="s">
        <v>582</v>
      </c>
      <c r="C37" s="19">
        <v>6</v>
      </c>
      <c r="D37" s="19">
        <v>7</v>
      </c>
      <c r="E37" s="19">
        <v>16</v>
      </c>
      <c r="F37" s="19">
        <v>11</v>
      </c>
      <c r="G37" s="19">
        <v>4</v>
      </c>
      <c r="H37" s="20">
        <v>1091.12</v>
      </c>
      <c r="I37" s="20">
        <v>1279.13</v>
      </c>
      <c r="J37" s="21">
        <v>2900.88</v>
      </c>
      <c r="K37" s="21">
        <v>1998.79</v>
      </c>
      <c r="L37" s="21">
        <v>722.08</v>
      </c>
      <c r="M37" s="22">
        <v>7</v>
      </c>
      <c r="N37" s="22">
        <v>0</v>
      </c>
      <c r="O37" s="22">
        <v>3</v>
      </c>
      <c r="P37" s="22">
        <v>2</v>
      </c>
      <c r="Q37" s="22">
        <v>7</v>
      </c>
      <c r="R37" s="17">
        <v>0.461538461538462</v>
      </c>
      <c r="S37" s="17">
        <v>1</v>
      </c>
      <c r="T37" s="17">
        <v>0.842105263157895</v>
      </c>
      <c r="U37" s="17">
        <v>0.846153846153846</v>
      </c>
      <c r="V37" s="23">
        <v>0.363636363636364</v>
      </c>
    </row>
    <row r="38" ht="33" spans="1:22">
      <c r="A38" s="16">
        <v>1446</v>
      </c>
      <c r="B38" s="16" t="s">
        <v>583</v>
      </c>
      <c r="C38" s="19">
        <v>9</v>
      </c>
      <c r="D38" s="19">
        <v>8</v>
      </c>
      <c r="E38" s="19">
        <v>9</v>
      </c>
      <c r="F38" s="19">
        <v>9</v>
      </c>
      <c r="G38" s="19">
        <v>6</v>
      </c>
      <c r="H38" s="20">
        <v>485.91</v>
      </c>
      <c r="I38" s="20">
        <v>431.92</v>
      </c>
      <c r="J38" s="21">
        <v>485.91</v>
      </c>
      <c r="K38" s="21">
        <v>486.91</v>
      </c>
      <c r="L38" s="21">
        <v>326.94</v>
      </c>
      <c r="M38" s="22">
        <v>6</v>
      </c>
      <c r="N38" s="22">
        <v>2</v>
      </c>
      <c r="O38" s="22">
        <v>6</v>
      </c>
      <c r="P38" s="22">
        <v>1</v>
      </c>
      <c r="Q38" s="22">
        <v>8</v>
      </c>
      <c r="R38" s="17">
        <v>0.6</v>
      </c>
      <c r="S38" s="17">
        <v>0.8</v>
      </c>
      <c r="T38" s="17">
        <v>0.6</v>
      </c>
      <c r="U38" s="17">
        <v>0.9</v>
      </c>
      <c r="V38" s="23">
        <v>0.428571428571429</v>
      </c>
    </row>
    <row r="39" ht="16.5" spans="1:22">
      <c r="A39" s="16">
        <v>1545</v>
      </c>
      <c r="B39" s="16" t="e">
        <v>#N/A</v>
      </c>
      <c r="C39" s="19">
        <v>5</v>
      </c>
      <c r="D39" s="19">
        <v>1</v>
      </c>
      <c r="E39" s="19">
        <v>0</v>
      </c>
      <c r="F39" s="19">
        <v>0</v>
      </c>
      <c r="G39" s="19">
        <v>0</v>
      </c>
      <c r="H39" s="20">
        <v>192.73</v>
      </c>
      <c r="I39" s="20">
        <v>37.37</v>
      </c>
      <c r="J39" s="21">
        <v>0</v>
      </c>
      <c r="K39" s="21">
        <v>0</v>
      </c>
      <c r="L39" s="21">
        <v>0</v>
      </c>
      <c r="M39" s="22">
        <v>0</v>
      </c>
      <c r="N39" s="22">
        <v>0</v>
      </c>
      <c r="O39" s="22">
        <v>0</v>
      </c>
      <c r="P39" s="22">
        <v>0</v>
      </c>
      <c r="Q39" s="22" t="e">
        <v>#N/A</v>
      </c>
      <c r="R39" s="17">
        <v>1</v>
      </c>
      <c r="S39" s="17">
        <v>1</v>
      </c>
      <c r="T39" s="17">
        <v>0</v>
      </c>
      <c r="U39" s="17">
        <v>0</v>
      </c>
      <c r="V39" s="23" t="e">
        <v>#N/A</v>
      </c>
    </row>
    <row r="40" ht="16.5" spans="1:22">
      <c r="A40" s="16">
        <v>1587</v>
      </c>
      <c r="B40" s="16" t="s">
        <v>584</v>
      </c>
      <c r="C40" s="19">
        <v>5</v>
      </c>
      <c r="D40" s="19">
        <v>6</v>
      </c>
      <c r="E40" s="19">
        <v>8</v>
      </c>
      <c r="F40" s="19">
        <v>8</v>
      </c>
      <c r="G40" s="19">
        <v>2</v>
      </c>
      <c r="H40" s="20">
        <v>582.95</v>
      </c>
      <c r="I40" s="20">
        <v>626.31</v>
      </c>
      <c r="J40" s="21">
        <v>879.13</v>
      </c>
      <c r="K40" s="21">
        <v>882.93</v>
      </c>
      <c r="L40" s="21">
        <v>231.98</v>
      </c>
      <c r="M40" s="22">
        <v>4</v>
      </c>
      <c r="N40" s="22">
        <v>2</v>
      </c>
      <c r="O40" s="22">
        <v>10</v>
      </c>
      <c r="P40" s="22">
        <v>1</v>
      </c>
      <c r="Q40" s="22">
        <v>3</v>
      </c>
      <c r="R40" s="17">
        <v>0.555555555555556</v>
      </c>
      <c r="S40" s="17">
        <v>0.75</v>
      </c>
      <c r="T40" s="17">
        <v>0.444444444444444</v>
      </c>
      <c r="U40" s="17">
        <v>0.888888888888889</v>
      </c>
      <c r="V40" s="23">
        <v>0.4</v>
      </c>
    </row>
    <row r="41" ht="16.5" spans="1:22">
      <c r="A41" s="16">
        <v>1655</v>
      </c>
      <c r="B41" s="16" t="s">
        <v>585</v>
      </c>
      <c r="C41" s="19">
        <v>15</v>
      </c>
      <c r="D41" s="19">
        <v>11</v>
      </c>
      <c r="E41" s="19">
        <v>46</v>
      </c>
      <c r="F41" s="19">
        <v>68</v>
      </c>
      <c r="G41" s="19">
        <v>39</v>
      </c>
      <c r="H41" s="20">
        <v>1909.53</v>
      </c>
      <c r="I41" s="20">
        <v>1375.49</v>
      </c>
      <c r="J41" s="21">
        <v>5643.44999999999</v>
      </c>
      <c r="K41" s="21">
        <v>7634.77</v>
      </c>
      <c r="L41" s="21">
        <v>4268.95</v>
      </c>
      <c r="M41" s="22">
        <v>12</v>
      </c>
      <c r="N41" s="22">
        <v>16</v>
      </c>
      <c r="O41" s="22">
        <v>29</v>
      </c>
      <c r="P41" s="22">
        <v>21</v>
      </c>
      <c r="Q41" s="22">
        <v>35</v>
      </c>
      <c r="R41" s="17">
        <v>0.555555555555556</v>
      </c>
      <c r="S41" s="17">
        <v>0.407407407407407</v>
      </c>
      <c r="T41" s="17">
        <v>0.613333333333333</v>
      </c>
      <c r="U41" s="17">
        <v>0.764044943820225</v>
      </c>
      <c r="V41" s="23">
        <v>0.527027027027027</v>
      </c>
    </row>
    <row r="42" ht="16.5" spans="1:22">
      <c r="A42" s="16">
        <v>1657</v>
      </c>
      <c r="B42" s="16" t="s">
        <v>586</v>
      </c>
      <c r="C42" s="19">
        <v>9</v>
      </c>
      <c r="D42" s="19">
        <v>17</v>
      </c>
      <c r="E42" s="19">
        <v>17</v>
      </c>
      <c r="F42" s="19">
        <v>22</v>
      </c>
      <c r="G42" s="19">
        <v>20</v>
      </c>
      <c r="H42" s="20">
        <v>771.56</v>
      </c>
      <c r="I42" s="20">
        <v>1391.07</v>
      </c>
      <c r="J42" s="21">
        <v>1370.53</v>
      </c>
      <c r="K42" s="21">
        <v>1741.08</v>
      </c>
      <c r="L42" s="21">
        <v>1521.23</v>
      </c>
      <c r="M42" s="22">
        <v>12</v>
      </c>
      <c r="N42" s="22">
        <v>20</v>
      </c>
      <c r="O42" s="22">
        <v>21</v>
      </c>
      <c r="P42" s="22">
        <v>15</v>
      </c>
      <c r="Q42" s="22">
        <v>10</v>
      </c>
      <c r="R42" s="17">
        <v>0.428571428571429</v>
      </c>
      <c r="S42" s="17">
        <v>0.459459459459459</v>
      </c>
      <c r="T42" s="17">
        <v>0.447368421052632</v>
      </c>
      <c r="U42" s="17">
        <v>0.594594594594595</v>
      </c>
      <c r="V42" s="23">
        <v>0.666666666666667</v>
      </c>
    </row>
    <row r="43" ht="33" spans="1:22">
      <c r="A43" s="16">
        <v>1690</v>
      </c>
      <c r="B43" s="16" t="s">
        <v>587</v>
      </c>
      <c r="C43" s="19">
        <v>7</v>
      </c>
      <c r="D43" s="19">
        <v>6</v>
      </c>
      <c r="E43" s="19">
        <v>2</v>
      </c>
      <c r="F43" s="19">
        <v>5</v>
      </c>
      <c r="G43" s="19">
        <v>2</v>
      </c>
      <c r="H43" s="20">
        <v>363.93</v>
      </c>
      <c r="I43" s="20">
        <v>311.44</v>
      </c>
      <c r="J43" s="21">
        <v>103.48</v>
      </c>
      <c r="K43" s="21">
        <v>273.45</v>
      </c>
      <c r="L43" s="21">
        <v>108.88</v>
      </c>
      <c r="M43" s="22">
        <v>3</v>
      </c>
      <c r="N43" s="22">
        <v>4</v>
      </c>
      <c r="O43" s="22">
        <v>9</v>
      </c>
      <c r="P43" s="22">
        <v>1</v>
      </c>
      <c r="Q43" s="22">
        <v>9</v>
      </c>
      <c r="R43" s="17">
        <v>0.7</v>
      </c>
      <c r="S43" s="17">
        <v>0.6</v>
      </c>
      <c r="T43" s="17">
        <v>0.181818181818182</v>
      </c>
      <c r="U43" s="17">
        <v>0.833333333333333</v>
      </c>
      <c r="V43" s="23">
        <v>0.181818181818182</v>
      </c>
    </row>
    <row r="44" ht="33" spans="1:22">
      <c r="A44" s="16">
        <v>1694</v>
      </c>
      <c r="B44" s="16" t="s">
        <v>588</v>
      </c>
      <c r="C44" s="19">
        <v>4</v>
      </c>
      <c r="D44" s="19">
        <v>14</v>
      </c>
      <c r="E44" s="19">
        <v>7</v>
      </c>
      <c r="F44" s="19">
        <v>5</v>
      </c>
      <c r="G44" s="19">
        <v>10</v>
      </c>
      <c r="H44" s="20">
        <v>344.52</v>
      </c>
      <c r="I44" s="20">
        <v>1217.5</v>
      </c>
      <c r="J44" s="21">
        <v>616</v>
      </c>
      <c r="K44" s="21">
        <v>447.9</v>
      </c>
      <c r="L44" s="21">
        <v>899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17">
        <v>1</v>
      </c>
      <c r="S44" s="17">
        <v>1</v>
      </c>
      <c r="T44" s="17">
        <v>1</v>
      </c>
      <c r="U44" s="17">
        <v>1</v>
      </c>
      <c r="V44" s="23">
        <v>1</v>
      </c>
    </row>
    <row r="45" ht="33" spans="1:22">
      <c r="A45" s="16">
        <v>1696</v>
      </c>
      <c r="B45" s="16" t="s">
        <v>589</v>
      </c>
      <c r="C45" s="19">
        <v>37</v>
      </c>
      <c r="D45" s="19">
        <v>35</v>
      </c>
      <c r="E45" s="19">
        <v>59</v>
      </c>
      <c r="F45" s="19">
        <v>44</v>
      </c>
      <c r="G45" s="19">
        <v>38</v>
      </c>
      <c r="H45" s="20">
        <v>2219.63</v>
      </c>
      <c r="I45" s="20">
        <v>2099.65</v>
      </c>
      <c r="J45" s="21">
        <v>3532.90999999999</v>
      </c>
      <c r="K45" s="21">
        <v>2618.56</v>
      </c>
      <c r="L45" s="21">
        <v>2239.05</v>
      </c>
      <c r="M45" s="22">
        <v>9</v>
      </c>
      <c r="N45" s="22">
        <v>17</v>
      </c>
      <c r="O45" s="22">
        <v>35</v>
      </c>
      <c r="P45" s="22">
        <v>23</v>
      </c>
      <c r="Q45" s="22">
        <v>17</v>
      </c>
      <c r="R45" s="17">
        <v>0.804347826086957</v>
      </c>
      <c r="S45" s="17">
        <v>0.673076923076923</v>
      </c>
      <c r="T45" s="17">
        <v>0.627659574468085</v>
      </c>
      <c r="U45" s="17">
        <v>0.656716417910448</v>
      </c>
      <c r="V45" s="23">
        <v>0.690909090909091</v>
      </c>
    </row>
    <row r="46" ht="16.5" spans="1:22">
      <c r="A46" s="16">
        <v>1705</v>
      </c>
      <c r="B46" s="16" t="s">
        <v>590</v>
      </c>
      <c r="C46" s="19">
        <v>5</v>
      </c>
      <c r="D46" s="19">
        <v>13</v>
      </c>
      <c r="E46" s="19">
        <v>14</v>
      </c>
      <c r="F46" s="19">
        <v>18</v>
      </c>
      <c r="G46" s="19">
        <v>13</v>
      </c>
      <c r="H46" s="20">
        <v>323.7</v>
      </c>
      <c r="I46" s="20">
        <v>796.85</v>
      </c>
      <c r="J46" s="21">
        <v>868.79</v>
      </c>
      <c r="K46" s="21">
        <v>1187.3</v>
      </c>
      <c r="L46" s="21">
        <v>851.54</v>
      </c>
      <c r="M46" s="22">
        <v>3</v>
      </c>
      <c r="N46" s="22">
        <v>0</v>
      </c>
      <c r="O46" s="22">
        <v>7</v>
      </c>
      <c r="P46" s="22">
        <v>9</v>
      </c>
      <c r="Q46" s="22">
        <v>3</v>
      </c>
      <c r="R46" s="17">
        <v>0.625</v>
      </c>
      <c r="S46" s="17">
        <v>1</v>
      </c>
      <c r="T46" s="17">
        <v>0.666666666666667</v>
      </c>
      <c r="U46" s="17">
        <v>0.666666666666667</v>
      </c>
      <c r="V46" s="23">
        <v>0.8125</v>
      </c>
    </row>
    <row r="47" ht="16.5" spans="1:22">
      <c r="A47" s="16">
        <v>1706</v>
      </c>
      <c r="B47" s="16" t="e">
        <v>#N/A</v>
      </c>
      <c r="C47" s="19">
        <v>2</v>
      </c>
      <c r="D47" s="19">
        <v>1</v>
      </c>
      <c r="E47" s="19">
        <v>0</v>
      </c>
      <c r="F47" s="19">
        <v>0</v>
      </c>
      <c r="G47" s="19">
        <v>0</v>
      </c>
      <c r="H47" s="20">
        <v>73.36</v>
      </c>
      <c r="I47" s="20">
        <v>37.5</v>
      </c>
      <c r="J47" s="21">
        <v>0</v>
      </c>
      <c r="K47" s="21">
        <v>0</v>
      </c>
      <c r="L47" s="21">
        <v>0</v>
      </c>
      <c r="M47" s="22">
        <v>8</v>
      </c>
      <c r="N47" s="22">
        <v>1</v>
      </c>
      <c r="O47" s="22">
        <v>6</v>
      </c>
      <c r="P47" s="22">
        <v>0</v>
      </c>
      <c r="Q47" s="22" t="e">
        <v>#N/A</v>
      </c>
      <c r="R47" s="17">
        <v>0.2</v>
      </c>
      <c r="S47" s="17">
        <v>0.5</v>
      </c>
      <c r="T47" s="17">
        <v>0</v>
      </c>
      <c r="U47" s="17">
        <v>0</v>
      </c>
      <c r="V47" s="23" t="e">
        <v>#N/A</v>
      </c>
    </row>
    <row r="48" ht="16.5" spans="1:22">
      <c r="A48" s="16">
        <v>1715</v>
      </c>
      <c r="B48" s="16" t="s">
        <v>591</v>
      </c>
      <c r="C48" s="19">
        <v>4</v>
      </c>
      <c r="D48" s="19">
        <v>3</v>
      </c>
      <c r="E48" s="19">
        <v>16</v>
      </c>
      <c r="F48" s="19">
        <v>8</v>
      </c>
      <c r="G48" s="19">
        <v>1</v>
      </c>
      <c r="H48" s="20">
        <v>215.96</v>
      </c>
      <c r="I48" s="20">
        <v>161.97</v>
      </c>
      <c r="J48" s="21">
        <v>879.03</v>
      </c>
      <c r="K48" s="21">
        <v>449.28</v>
      </c>
      <c r="L48" s="21">
        <v>56.16</v>
      </c>
      <c r="M48" s="22">
        <v>3</v>
      </c>
      <c r="N48" s="22">
        <v>5</v>
      </c>
      <c r="O48" s="22">
        <v>6</v>
      </c>
      <c r="P48" s="22">
        <v>2</v>
      </c>
      <c r="Q48" s="22">
        <v>2</v>
      </c>
      <c r="R48" s="17">
        <v>0.571428571428571</v>
      </c>
      <c r="S48" s="17">
        <v>0.375</v>
      </c>
      <c r="T48" s="17">
        <v>0.727272727272727</v>
      </c>
      <c r="U48" s="17">
        <v>0.8</v>
      </c>
      <c r="V48" s="23">
        <v>0.333333333333333</v>
      </c>
    </row>
    <row r="49" ht="16.5" spans="1:22">
      <c r="A49" s="16">
        <v>1727</v>
      </c>
      <c r="B49" s="16" t="s">
        <v>592</v>
      </c>
      <c r="C49" s="19">
        <v>7</v>
      </c>
      <c r="D49" s="19">
        <v>5</v>
      </c>
      <c r="E49" s="19">
        <v>7</v>
      </c>
      <c r="F49" s="19">
        <v>5</v>
      </c>
      <c r="G49" s="19">
        <v>7</v>
      </c>
      <c r="H49" s="20">
        <v>1120</v>
      </c>
      <c r="I49" s="20">
        <v>788</v>
      </c>
      <c r="J49" s="21">
        <v>1120</v>
      </c>
      <c r="K49" s="21">
        <v>738.18</v>
      </c>
      <c r="L49" s="21">
        <v>1116.8</v>
      </c>
      <c r="M49" s="22">
        <v>1</v>
      </c>
      <c r="N49" s="22">
        <v>2</v>
      </c>
      <c r="O49" s="22">
        <v>0</v>
      </c>
      <c r="P49" s="22">
        <v>3</v>
      </c>
      <c r="Q49" s="22">
        <v>6</v>
      </c>
      <c r="R49" s="17">
        <v>0.875</v>
      </c>
      <c r="S49" s="17">
        <v>0.714285714285714</v>
      </c>
      <c r="T49" s="17">
        <v>1</v>
      </c>
      <c r="U49" s="17">
        <v>0.625</v>
      </c>
      <c r="V49" s="23">
        <v>0.538461538461538</v>
      </c>
    </row>
    <row r="50" ht="16.5" spans="1:22">
      <c r="A50" s="16">
        <v>1734</v>
      </c>
      <c r="B50" s="16" t="s">
        <v>593</v>
      </c>
      <c r="C50" s="19">
        <v>13</v>
      </c>
      <c r="D50" s="19">
        <v>11</v>
      </c>
      <c r="E50" s="19">
        <v>16</v>
      </c>
      <c r="F50" s="19">
        <v>12</v>
      </c>
      <c r="G50" s="19">
        <v>17</v>
      </c>
      <c r="H50" s="20">
        <v>1674.27</v>
      </c>
      <c r="I50" s="20">
        <v>1456.5</v>
      </c>
      <c r="J50" s="21">
        <v>2133.61</v>
      </c>
      <c r="K50" s="21">
        <v>1589.44</v>
      </c>
      <c r="L50" s="21">
        <v>2295</v>
      </c>
      <c r="M50" s="22">
        <v>13</v>
      </c>
      <c r="N50" s="22">
        <v>13</v>
      </c>
      <c r="O50" s="22">
        <v>11</v>
      </c>
      <c r="P50" s="22">
        <v>3</v>
      </c>
      <c r="Q50" s="22">
        <v>6</v>
      </c>
      <c r="R50" s="17">
        <v>0.5</v>
      </c>
      <c r="S50" s="17">
        <v>0.458333333333333</v>
      </c>
      <c r="T50" s="17">
        <v>0.592592592592593</v>
      </c>
      <c r="U50" s="17">
        <v>0.8</v>
      </c>
      <c r="V50" s="23">
        <v>0.739130434782609</v>
      </c>
    </row>
    <row r="51" ht="16.5" spans="1:22">
      <c r="A51" s="16">
        <v>1748</v>
      </c>
      <c r="B51" s="16" t="s">
        <v>594</v>
      </c>
      <c r="C51" s="19">
        <v>2</v>
      </c>
      <c r="D51" s="19">
        <v>3</v>
      </c>
      <c r="E51" s="19">
        <v>5</v>
      </c>
      <c r="F51" s="19">
        <v>1</v>
      </c>
      <c r="G51" s="19">
        <v>4</v>
      </c>
      <c r="H51" s="20">
        <v>128</v>
      </c>
      <c r="I51" s="20">
        <v>201</v>
      </c>
      <c r="J51" s="21">
        <v>347</v>
      </c>
      <c r="K51" s="21">
        <v>72</v>
      </c>
      <c r="L51" s="21">
        <v>275</v>
      </c>
      <c r="M51" s="22">
        <v>10</v>
      </c>
      <c r="N51" s="22">
        <v>10</v>
      </c>
      <c r="O51" s="22">
        <v>21</v>
      </c>
      <c r="P51" s="22">
        <v>13</v>
      </c>
      <c r="Q51" s="22">
        <v>19</v>
      </c>
      <c r="R51" s="17">
        <v>0.166666666666667</v>
      </c>
      <c r="S51" s="17">
        <v>0.230769230769231</v>
      </c>
      <c r="T51" s="17">
        <v>0.192307692307692</v>
      </c>
      <c r="U51" s="17">
        <v>0.0714285714285714</v>
      </c>
      <c r="V51" s="23">
        <v>0.173913043478261</v>
      </c>
    </row>
    <row r="52" ht="16.5" spans="1:22">
      <c r="A52" s="16">
        <v>108</v>
      </c>
      <c r="B52" s="16" t="s">
        <v>595</v>
      </c>
      <c r="C52" s="19">
        <v>32</v>
      </c>
      <c r="D52" s="19">
        <v>43</v>
      </c>
      <c r="E52" s="19">
        <v>42</v>
      </c>
      <c r="F52" s="19">
        <v>53</v>
      </c>
      <c r="G52" s="19">
        <v>38</v>
      </c>
      <c r="H52" s="20">
        <v>1717.12</v>
      </c>
      <c r="I52" s="20">
        <v>2281.77</v>
      </c>
      <c r="J52" s="21">
        <v>2237.18</v>
      </c>
      <c r="K52" s="21">
        <v>2835.95</v>
      </c>
      <c r="L52" s="21">
        <v>2099.43</v>
      </c>
      <c r="M52" s="22">
        <v>16</v>
      </c>
      <c r="N52" s="22">
        <v>15</v>
      </c>
      <c r="O52" s="22">
        <v>25</v>
      </c>
      <c r="P52" s="22">
        <v>26</v>
      </c>
      <c r="Q52" s="22">
        <v>42</v>
      </c>
      <c r="R52" s="17">
        <v>0.666666666666667</v>
      </c>
      <c r="S52" s="17">
        <v>0.741379310344828</v>
      </c>
      <c r="T52" s="17">
        <v>0.626865671641791</v>
      </c>
      <c r="U52" s="17">
        <v>0.670886075949367</v>
      </c>
      <c r="V52" s="23">
        <v>0.475</v>
      </c>
    </row>
    <row r="53" ht="33" spans="1:22">
      <c r="A53" s="16">
        <v>109</v>
      </c>
      <c r="B53" s="16" t="s">
        <v>596</v>
      </c>
      <c r="C53" s="19">
        <v>7</v>
      </c>
      <c r="D53" s="19">
        <v>7</v>
      </c>
      <c r="E53" s="19">
        <v>13</v>
      </c>
      <c r="F53" s="19">
        <v>13</v>
      </c>
      <c r="G53" s="19">
        <v>12</v>
      </c>
      <c r="H53" s="20">
        <v>300.93</v>
      </c>
      <c r="I53" s="20">
        <v>300.93</v>
      </c>
      <c r="J53" s="21">
        <v>569.71</v>
      </c>
      <c r="K53" s="21">
        <v>602.57</v>
      </c>
      <c r="L53" s="21">
        <v>563.65</v>
      </c>
      <c r="M53" s="22">
        <v>1</v>
      </c>
      <c r="N53" s="22">
        <v>0</v>
      </c>
      <c r="O53" s="22">
        <v>0</v>
      </c>
      <c r="P53" s="22">
        <v>2</v>
      </c>
      <c r="Q53" s="22">
        <v>0</v>
      </c>
      <c r="R53" s="17">
        <v>0.875</v>
      </c>
      <c r="S53" s="17">
        <v>1</v>
      </c>
      <c r="T53" s="17">
        <v>1</v>
      </c>
      <c r="U53" s="17">
        <v>0.866666666666667</v>
      </c>
      <c r="V53" s="23">
        <v>1</v>
      </c>
    </row>
    <row r="54" ht="16.5" spans="1:22">
      <c r="A54" s="16">
        <v>2623</v>
      </c>
      <c r="B54" s="16" t="s">
        <v>597</v>
      </c>
      <c r="C54" s="19">
        <v>10</v>
      </c>
      <c r="D54" s="19">
        <v>9</v>
      </c>
      <c r="E54" s="19">
        <v>8</v>
      </c>
      <c r="F54" s="19">
        <v>9</v>
      </c>
      <c r="G54" s="19">
        <v>5</v>
      </c>
      <c r="H54" s="20">
        <v>1079.9</v>
      </c>
      <c r="I54" s="20">
        <v>970.91</v>
      </c>
      <c r="J54" s="21">
        <v>862.92</v>
      </c>
      <c r="K54" s="21">
        <v>970.91</v>
      </c>
      <c r="L54" s="21">
        <v>535.92</v>
      </c>
      <c r="M54" s="22">
        <v>6</v>
      </c>
      <c r="N54" s="22">
        <v>3</v>
      </c>
      <c r="O54" s="22">
        <v>0</v>
      </c>
      <c r="P54" s="22">
        <v>3</v>
      </c>
      <c r="Q54" s="22">
        <v>0</v>
      </c>
      <c r="R54" s="17">
        <v>0.625</v>
      </c>
      <c r="S54" s="17">
        <v>0.75</v>
      </c>
      <c r="T54" s="17">
        <v>1</v>
      </c>
      <c r="U54" s="17">
        <v>0.75</v>
      </c>
      <c r="V54" s="23">
        <v>1</v>
      </c>
    </row>
    <row r="55" ht="16.5" spans="1:22">
      <c r="A55" s="16">
        <v>111</v>
      </c>
      <c r="B55" s="16" t="s">
        <v>598</v>
      </c>
      <c r="C55" s="19">
        <v>8</v>
      </c>
      <c r="D55" s="19">
        <v>5</v>
      </c>
      <c r="E55" s="19">
        <v>5</v>
      </c>
      <c r="F55" s="19">
        <v>8</v>
      </c>
      <c r="G55" s="19">
        <v>4</v>
      </c>
      <c r="H55" s="20">
        <v>777.56</v>
      </c>
      <c r="I55" s="20">
        <v>485.52</v>
      </c>
      <c r="J55" s="21">
        <v>495.74</v>
      </c>
      <c r="K55" s="21">
        <v>809.71</v>
      </c>
      <c r="L55" s="21">
        <v>407.4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17">
        <v>1</v>
      </c>
      <c r="S55" s="17">
        <v>1</v>
      </c>
      <c r="T55" s="17">
        <v>1</v>
      </c>
      <c r="U55" s="17">
        <v>1</v>
      </c>
      <c r="V55" s="23">
        <v>1</v>
      </c>
    </row>
    <row r="56" ht="33" spans="1:22">
      <c r="A56" s="16">
        <v>2485</v>
      </c>
      <c r="B56" s="16" t="s">
        <v>599</v>
      </c>
      <c r="C56" s="19">
        <v>3</v>
      </c>
      <c r="D56" s="19">
        <v>14</v>
      </c>
      <c r="E56" s="19">
        <v>15</v>
      </c>
      <c r="F56" s="19">
        <v>7</v>
      </c>
      <c r="G56" s="19">
        <v>5</v>
      </c>
      <c r="H56" s="20">
        <v>510</v>
      </c>
      <c r="I56" s="20">
        <v>2222.5</v>
      </c>
      <c r="J56" s="21">
        <v>2372</v>
      </c>
      <c r="K56" s="21">
        <v>1164.1</v>
      </c>
      <c r="L56" s="21">
        <v>817.4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17">
        <v>1</v>
      </c>
      <c r="S56" s="17">
        <v>1</v>
      </c>
      <c r="T56" s="17">
        <v>1</v>
      </c>
      <c r="U56" s="17">
        <v>1</v>
      </c>
      <c r="V56" s="23">
        <v>1</v>
      </c>
    </row>
    <row r="57" ht="16.5" spans="1:22">
      <c r="A57" s="16">
        <v>2995</v>
      </c>
      <c r="B57" s="16" t="e">
        <v>#N/A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20">
        <v>0</v>
      </c>
      <c r="I57" s="20">
        <v>0</v>
      </c>
      <c r="J57" s="21">
        <v>0</v>
      </c>
      <c r="K57" s="21">
        <v>0</v>
      </c>
      <c r="L57" s="21">
        <v>0</v>
      </c>
      <c r="M57" s="22">
        <v>11</v>
      </c>
      <c r="N57" s="22">
        <v>23</v>
      </c>
      <c r="O57" s="22">
        <v>18</v>
      </c>
      <c r="P57" s="22">
        <v>0</v>
      </c>
      <c r="Q57" s="22" t="e">
        <v>#N/A</v>
      </c>
      <c r="R57" s="17">
        <v>0</v>
      </c>
      <c r="S57" s="17">
        <v>0</v>
      </c>
      <c r="T57" s="17">
        <v>0</v>
      </c>
      <c r="U57" s="17">
        <v>0</v>
      </c>
      <c r="V57" s="23" t="e">
        <v>#N/A</v>
      </c>
    </row>
    <row r="58" ht="16.5" spans="1:22">
      <c r="A58" s="16">
        <v>395</v>
      </c>
      <c r="B58" s="16" t="s">
        <v>600</v>
      </c>
      <c r="C58" s="19">
        <v>11</v>
      </c>
      <c r="D58" s="19">
        <v>12</v>
      </c>
      <c r="E58" s="19">
        <v>11</v>
      </c>
      <c r="F58" s="19">
        <v>12</v>
      </c>
      <c r="G58" s="19">
        <v>4</v>
      </c>
      <c r="H58" s="20">
        <v>174.21</v>
      </c>
      <c r="I58" s="20">
        <v>202.61</v>
      </c>
      <c r="J58" s="21">
        <v>219.69</v>
      </c>
      <c r="K58" s="21">
        <v>264.48</v>
      </c>
      <c r="L58" s="21">
        <v>88.66</v>
      </c>
      <c r="M58" s="22">
        <v>25</v>
      </c>
      <c r="N58" s="22">
        <v>35</v>
      </c>
      <c r="O58" s="22">
        <v>23</v>
      </c>
      <c r="P58" s="22">
        <v>36</v>
      </c>
      <c r="Q58" s="22">
        <v>29</v>
      </c>
      <c r="R58" s="17">
        <v>0.305555555555556</v>
      </c>
      <c r="S58" s="17">
        <v>0.25531914893617</v>
      </c>
      <c r="T58" s="17">
        <v>0.323529411764706</v>
      </c>
      <c r="U58" s="17">
        <v>0.25</v>
      </c>
      <c r="V58" s="23">
        <v>0.121212121212121</v>
      </c>
    </row>
    <row r="59" ht="16.5" spans="1:22">
      <c r="A59" s="16">
        <v>545</v>
      </c>
      <c r="B59" s="16" t="s">
        <v>601</v>
      </c>
      <c r="C59" s="19">
        <v>40</v>
      </c>
      <c r="D59" s="19">
        <v>66</v>
      </c>
      <c r="E59" s="19">
        <v>98</v>
      </c>
      <c r="F59" s="19">
        <v>62</v>
      </c>
      <c r="G59" s="19">
        <v>85</v>
      </c>
      <c r="H59" s="20">
        <v>2231.46</v>
      </c>
      <c r="I59" s="20">
        <v>3715.44999999999</v>
      </c>
      <c r="J59" s="21">
        <v>5498.34999999999</v>
      </c>
      <c r="K59" s="21">
        <v>3478.28999999999</v>
      </c>
      <c r="L59" s="21">
        <v>4738.27999999999</v>
      </c>
      <c r="M59" s="22">
        <v>10</v>
      </c>
      <c r="N59" s="22">
        <v>24</v>
      </c>
      <c r="O59" s="22">
        <v>15</v>
      </c>
      <c r="P59" s="22">
        <v>30</v>
      </c>
      <c r="Q59" s="22">
        <v>3</v>
      </c>
      <c r="R59" s="17">
        <v>0.8</v>
      </c>
      <c r="S59" s="17">
        <v>0.733333333333333</v>
      </c>
      <c r="T59" s="17">
        <v>0.867256637168142</v>
      </c>
      <c r="U59" s="17">
        <v>0.673913043478261</v>
      </c>
      <c r="V59" s="23">
        <v>0.965909090909091</v>
      </c>
    </row>
    <row r="60" ht="66" spans="1:22">
      <c r="A60" s="16">
        <v>547</v>
      </c>
      <c r="B60" s="16" t="s">
        <v>602</v>
      </c>
      <c r="C60" s="19">
        <v>7</v>
      </c>
      <c r="D60" s="19">
        <v>12</v>
      </c>
      <c r="E60" s="19">
        <v>9</v>
      </c>
      <c r="F60" s="19">
        <v>10</v>
      </c>
      <c r="G60" s="19">
        <v>8</v>
      </c>
      <c r="H60" s="20">
        <v>198.45</v>
      </c>
      <c r="I60" s="20">
        <v>368.2</v>
      </c>
      <c r="J60" s="21">
        <v>301.85</v>
      </c>
      <c r="K60" s="21">
        <v>350.09</v>
      </c>
      <c r="L60" s="21">
        <v>280.2</v>
      </c>
      <c r="M60" s="22">
        <v>20</v>
      </c>
      <c r="N60" s="22">
        <v>15</v>
      </c>
      <c r="O60" s="22">
        <v>6</v>
      </c>
      <c r="P60" s="22">
        <v>6</v>
      </c>
      <c r="Q60" s="22">
        <v>8</v>
      </c>
      <c r="R60" s="17">
        <v>0.259259259259259</v>
      </c>
      <c r="S60" s="17">
        <v>0.444444444444444</v>
      </c>
      <c r="T60" s="17">
        <v>0.6</v>
      </c>
      <c r="U60" s="17">
        <v>0.625</v>
      </c>
      <c r="V60" s="23">
        <v>0.5</v>
      </c>
    </row>
    <row r="61" ht="33" spans="1:22">
      <c r="A61" s="16">
        <v>839</v>
      </c>
      <c r="B61" s="16" t="s">
        <v>603</v>
      </c>
      <c r="C61" s="19">
        <v>7</v>
      </c>
      <c r="D61" s="19">
        <v>8</v>
      </c>
      <c r="E61" s="19">
        <v>6</v>
      </c>
      <c r="F61" s="19">
        <v>6</v>
      </c>
      <c r="G61" s="19">
        <v>11</v>
      </c>
      <c r="H61" s="20">
        <v>878.79</v>
      </c>
      <c r="I61" s="20">
        <v>1001.88</v>
      </c>
      <c r="J61" s="21">
        <v>749.97</v>
      </c>
      <c r="K61" s="21">
        <v>744.24</v>
      </c>
      <c r="L61" s="21">
        <v>1326.88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17">
        <v>1</v>
      </c>
      <c r="S61" s="17">
        <v>1</v>
      </c>
      <c r="T61" s="17">
        <v>1</v>
      </c>
      <c r="U61" s="17">
        <v>1</v>
      </c>
      <c r="V61" s="23">
        <v>1</v>
      </c>
    </row>
    <row r="62" ht="33" spans="1:22">
      <c r="A62" s="16">
        <v>840</v>
      </c>
      <c r="B62" s="16" t="s">
        <v>604</v>
      </c>
      <c r="C62" s="19">
        <v>4</v>
      </c>
      <c r="D62" s="19">
        <v>12</v>
      </c>
      <c r="E62" s="19">
        <v>8</v>
      </c>
      <c r="F62" s="19">
        <v>4</v>
      </c>
      <c r="G62" s="19">
        <v>11</v>
      </c>
      <c r="H62" s="20">
        <v>443.64</v>
      </c>
      <c r="I62" s="20">
        <v>1332.17</v>
      </c>
      <c r="J62" s="21">
        <v>912.01</v>
      </c>
      <c r="K62" s="21">
        <v>462.86</v>
      </c>
      <c r="L62" s="21">
        <v>1296.69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17">
        <v>1</v>
      </c>
      <c r="S62" s="17">
        <v>1</v>
      </c>
      <c r="T62" s="17">
        <v>1</v>
      </c>
      <c r="U62" s="17">
        <v>1</v>
      </c>
      <c r="V62" s="23">
        <v>1</v>
      </c>
    </row>
    <row r="63" ht="16.5" spans="1:22">
      <c r="A63" s="16">
        <v>1027</v>
      </c>
      <c r="B63" s="16" t="s">
        <v>605</v>
      </c>
      <c r="C63" s="19">
        <v>6</v>
      </c>
      <c r="D63" s="19">
        <v>14</v>
      </c>
      <c r="E63" s="19">
        <v>11</v>
      </c>
      <c r="F63" s="19">
        <v>11</v>
      </c>
      <c r="G63" s="19">
        <v>7</v>
      </c>
      <c r="H63" s="20">
        <v>747.98</v>
      </c>
      <c r="I63" s="20">
        <v>1544.86</v>
      </c>
      <c r="J63" s="21">
        <v>1209.89</v>
      </c>
      <c r="K63" s="21">
        <v>1211.39</v>
      </c>
      <c r="L63" s="21">
        <v>766.8</v>
      </c>
      <c r="M63" s="22">
        <v>3</v>
      </c>
      <c r="N63" s="22">
        <v>9</v>
      </c>
      <c r="O63" s="22">
        <v>3</v>
      </c>
      <c r="P63" s="22">
        <v>11</v>
      </c>
      <c r="Q63" s="22">
        <v>3</v>
      </c>
      <c r="R63" s="17">
        <v>0.666666666666667</v>
      </c>
      <c r="S63" s="17">
        <v>0.608695652173913</v>
      </c>
      <c r="T63" s="17">
        <v>0.785714285714286</v>
      </c>
      <c r="U63" s="17">
        <v>0.5</v>
      </c>
      <c r="V63" s="23">
        <v>0.7</v>
      </c>
    </row>
    <row r="64" ht="16.5" spans="1:22">
      <c r="A64" s="16">
        <v>1044</v>
      </c>
      <c r="B64" s="16" t="s">
        <v>606</v>
      </c>
      <c r="C64" s="19">
        <v>5</v>
      </c>
      <c r="D64" s="19">
        <v>3</v>
      </c>
      <c r="E64" s="19">
        <v>6</v>
      </c>
      <c r="F64" s="19">
        <v>11</v>
      </c>
      <c r="G64" s="19">
        <v>5</v>
      </c>
      <c r="H64" s="20">
        <v>680</v>
      </c>
      <c r="I64" s="20">
        <v>405</v>
      </c>
      <c r="J64" s="21">
        <v>818.5</v>
      </c>
      <c r="K64" s="21">
        <v>1505.2</v>
      </c>
      <c r="L64" s="21">
        <v>680.76</v>
      </c>
      <c r="M64" s="22">
        <v>1</v>
      </c>
      <c r="N64" s="22">
        <v>2</v>
      </c>
      <c r="O64" s="22">
        <v>9</v>
      </c>
      <c r="P64" s="22">
        <v>1</v>
      </c>
      <c r="Q64" s="22">
        <v>0</v>
      </c>
      <c r="R64" s="17">
        <v>0.833333333333333</v>
      </c>
      <c r="S64" s="17">
        <v>0.6</v>
      </c>
      <c r="T64" s="17">
        <v>0.4</v>
      </c>
      <c r="U64" s="17">
        <v>0.916666666666667</v>
      </c>
      <c r="V64" s="23">
        <v>1</v>
      </c>
    </row>
    <row r="65" ht="33" spans="1:22">
      <c r="A65" s="16">
        <v>1045</v>
      </c>
      <c r="B65" s="16" t="s">
        <v>607</v>
      </c>
      <c r="C65" s="19">
        <v>45</v>
      </c>
      <c r="D65" s="19">
        <v>42</v>
      </c>
      <c r="E65" s="19">
        <v>58</v>
      </c>
      <c r="F65" s="19">
        <v>46</v>
      </c>
      <c r="G65" s="19">
        <v>44</v>
      </c>
      <c r="H65" s="20">
        <v>4884.03</v>
      </c>
      <c r="I65" s="20">
        <v>4746.12</v>
      </c>
      <c r="J65" s="21">
        <v>6704.83999999999</v>
      </c>
      <c r="K65" s="21">
        <v>5498.29</v>
      </c>
      <c r="L65" s="21">
        <v>5259.73</v>
      </c>
      <c r="M65" s="22">
        <v>11</v>
      </c>
      <c r="N65" s="22">
        <v>22</v>
      </c>
      <c r="O65" s="22">
        <v>50</v>
      </c>
      <c r="P65" s="22">
        <v>47</v>
      </c>
      <c r="Q65" s="22">
        <v>34</v>
      </c>
      <c r="R65" s="17">
        <v>0.803571428571429</v>
      </c>
      <c r="S65" s="17">
        <v>0.65625</v>
      </c>
      <c r="T65" s="17">
        <v>0.537037037037037</v>
      </c>
      <c r="U65" s="17">
        <v>0.494623655913978</v>
      </c>
      <c r="V65" s="23">
        <v>0.564102564102564</v>
      </c>
    </row>
    <row r="66" ht="16.5" spans="1:22">
      <c r="A66" s="16">
        <v>1159</v>
      </c>
      <c r="B66" s="16" t="s">
        <v>608</v>
      </c>
      <c r="C66" s="19">
        <v>3</v>
      </c>
      <c r="D66" s="19">
        <v>8</v>
      </c>
      <c r="E66" s="19">
        <v>7</v>
      </c>
      <c r="F66" s="19">
        <v>13</v>
      </c>
      <c r="G66" s="19">
        <v>9</v>
      </c>
      <c r="H66" s="20">
        <v>232.77</v>
      </c>
      <c r="I66" s="20">
        <v>614.82</v>
      </c>
      <c r="J66" s="21">
        <v>537.33</v>
      </c>
      <c r="K66" s="21">
        <v>973.57</v>
      </c>
      <c r="L66" s="21">
        <v>668.91</v>
      </c>
      <c r="M66" s="22">
        <v>3</v>
      </c>
      <c r="N66" s="22">
        <v>11</v>
      </c>
      <c r="O66" s="22">
        <v>9</v>
      </c>
      <c r="P66" s="22">
        <v>7</v>
      </c>
      <c r="Q66" s="22">
        <v>5</v>
      </c>
      <c r="R66" s="17">
        <v>0.5</v>
      </c>
      <c r="S66" s="17">
        <v>0.421052631578947</v>
      </c>
      <c r="T66" s="17">
        <v>0.4375</v>
      </c>
      <c r="U66" s="17">
        <v>0.65</v>
      </c>
      <c r="V66" s="23">
        <v>0.642857142857143</v>
      </c>
    </row>
    <row r="67" ht="16.5" spans="1:22">
      <c r="A67" s="16">
        <v>1161</v>
      </c>
      <c r="B67" s="16" t="s">
        <v>609</v>
      </c>
      <c r="C67" s="19">
        <v>84</v>
      </c>
      <c r="D67" s="19">
        <v>107</v>
      </c>
      <c r="E67" s="19">
        <v>109</v>
      </c>
      <c r="F67" s="19">
        <v>107</v>
      </c>
      <c r="G67" s="19">
        <v>104</v>
      </c>
      <c r="H67" s="20">
        <v>4579.29</v>
      </c>
      <c r="I67" s="20">
        <v>5510.11</v>
      </c>
      <c r="J67" s="21">
        <v>5612.33000000001</v>
      </c>
      <c r="K67" s="21">
        <v>5494.87</v>
      </c>
      <c r="L67" s="21">
        <v>5284.24000000001</v>
      </c>
      <c r="M67" s="22">
        <v>29</v>
      </c>
      <c r="N67" s="22">
        <v>38</v>
      </c>
      <c r="O67" s="22">
        <v>62</v>
      </c>
      <c r="P67" s="22">
        <v>48</v>
      </c>
      <c r="Q67" s="22">
        <v>53</v>
      </c>
      <c r="R67" s="17">
        <v>0.743362831858407</v>
      </c>
      <c r="S67" s="17">
        <v>0.737931034482759</v>
      </c>
      <c r="T67" s="17">
        <v>0.637426900584795</v>
      </c>
      <c r="U67" s="17">
        <v>0.690322580645161</v>
      </c>
      <c r="V67" s="23">
        <v>0.662420382165605</v>
      </c>
    </row>
    <row r="68" ht="16.5" spans="1:22">
      <c r="A68" s="16">
        <v>1167</v>
      </c>
      <c r="B68" s="16" t="s">
        <v>610</v>
      </c>
      <c r="C68" s="19">
        <v>6</v>
      </c>
      <c r="D68" s="19">
        <v>7</v>
      </c>
      <c r="E68" s="19">
        <v>7</v>
      </c>
      <c r="F68" s="19">
        <v>10</v>
      </c>
      <c r="G68" s="19">
        <v>6</v>
      </c>
      <c r="H68" s="20">
        <v>794.4</v>
      </c>
      <c r="I68" s="20">
        <v>932.96</v>
      </c>
      <c r="J68" s="21">
        <v>961.58</v>
      </c>
      <c r="K68" s="21">
        <v>1350.48</v>
      </c>
      <c r="L68" s="21">
        <v>802.34</v>
      </c>
      <c r="M68" s="22">
        <v>0</v>
      </c>
      <c r="N68" s="22">
        <v>0</v>
      </c>
      <c r="O68" s="22">
        <v>3</v>
      </c>
      <c r="P68" s="22">
        <v>3</v>
      </c>
      <c r="Q68" s="22">
        <v>0</v>
      </c>
      <c r="R68" s="17">
        <v>1</v>
      </c>
      <c r="S68" s="17">
        <v>1</v>
      </c>
      <c r="T68" s="17">
        <v>0.7</v>
      </c>
      <c r="U68" s="17">
        <v>0.769230769230769</v>
      </c>
      <c r="V68" s="23">
        <v>1</v>
      </c>
    </row>
    <row r="69" ht="33" spans="1:22">
      <c r="A69" s="16">
        <v>1178</v>
      </c>
      <c r="B69" s="16" t="s">
        <v>611</v>
      </c>
      <c r="C69" s="19">
        <v>22</v>
      </c>
      <c r="D69" s="19">
        <v>14</v>
      </c>
      <c r="E69" s="19">
        <v>31</v>
      </c>
      <c r="F69" s="19">
        <v>16</v>
      </c>
      <c r="G69" s="19">
        <v>27</v>
      </c>
      <c r="H69" s="20">
        <v>1512.88</v>
      </c>
      <c r="I69" s="20">
        <v>962.43</v>
      </c>
      <c r="J69" s="21">
        <v>2136.88</v>
      </c>
      <c r="K69" s="21">
        <v>1102.92</v>
      </c>
      <c r="L69" s="21">
        <v>1865.98</v>
      </c>
      <c r="M69" s="22">
        <v>8</v>
      </c>
      <c r="N69" s="22">
        <v>1</v>
      </c>
      <c r="O69" s="22">
        <v>7</v>
      </c>
      <c r="P69" s="22">
        <v>12</v>
      </c>
      <c r="Q69" s="22">
        <v>6</v>
      </c>
      <c r="R69" s="17">
        <v>0.733333333333333</v>
      </c>
      <c r="S69" s="17">
        <v>0.933333333333333</v>
      </c>
      <c r="T69" s="17">
        <v>0.815789473684211</v>
      </c>
      <c r="U69" s="17">
        <v>0.571428571428571</v>
      </c>
      <c r="V69" s="23">
        <v>0.818181818181818</v>
      </c>
    </row>
    <row r="70" ht="16.5" spans="1:22">
      <c r="A70" s="16">
        <v>1188</v>
      </c>
      <c r="B70" s="16" t="s">
        <v>612</v>
      </c>
      <c r="C70" s="19">
        <v>37</v>
      </c>
      <c r="D70" s="19">
        <v>36</v>
      </c>
      <c r="E70" s="19">
        <v>44</v>
      </c>
      <c r="F70" s="19">
        <v>39</v>
      </c>
      <c r="G70" s="19">
        <v>25</v>
      </c>
      <c r="H70" s="20">
        <v>2205.36</v>
      </c>
      <c r="I70" s="20">
        <v>2164.3</v>
      </c>
      <c r="J70" s="21">
        <v>2619.09</v>
      </c>
      <c r="K70" s="21">
        <v>2343.14</v>
      </c>
      <c r="L70" s="21">
        <v>1485.25</v>
      </c>
      <c r="M70" s="22">
        <v>19</v>
      </c>
      <c r="N70" s="22">
        <v>14</v>
      </c>
      <c r="O70" s="22">
        <v>7</v>
      </c>
      <c r="P70" s="22">
        <v>14</v>
      </c>
      <c r="Q70" s="22">
        <v>4</v>
      </c>
      <c r="R70" s="17">
        <v>0.660714285714286</v>
      </c>
      <c r="S70" s="17">
        <v>0.72</v>
      </c>
      <c r="T70" s="17">
        <v>0.862745098039216</v>
      </c>
      <c r="U70" s="17">
        <v>0.735849056603774</v>
      </c>
      <c r="V70" s="23">
        <v>0.862068965517241</v>
      </c>
    </row>
    <row r="71" ht="16.5" spans="1:22">
      <c r="A71" s="16">
        <v>1235</v>
      </c>
      <c r="B71" s="16" t="s">
        <v>613</v>
      </c>
      <c r="C71" s="19">
        <v>2</v>
      </c>
      <c r="D71" s="19">
        <v>3</v>
      </c>
      <c r="E71" s="19">
        <v>6</v>
      </c>
      <c r="F71" s="19">
        <v>6</v>
      </c>
      <c r="G71" s="19">
        <v>9</v>
      </c>
      <c r="H71" s="20">
        <v>152.18</v>
      </c>
      <c r="I71" s="20">
        <v>229.77</v>
      </c>
      <c r="J71" s="21">
        <v>456.54</v>
      </c>
      <c r="K71" s="21">
        <v>447.45</v>
      </c>
      <c r="L71" s="21">
        <v>673.77</v>
      </c>
      <c r="M71" s="22">
        <v>4</v>
      </c>
      <c r="N71" s="22">
        <v>6</v>
      </c>
      <c r="O71" s="22">
        <v>6</v>
      </c>
      <c r="P71" s="22">
        <v>1</v>
      </c>
      <c r="Q71" s="22">
        <v>9</v>
      </c>
      <c r="R71" s="17">
        <v>0.333333333333333</v>
      </c>
      <c r="S71" s="17">
        <v>0.333333333333333</v>
      </c>
      <c r="T71" s="17">
        <v>0.5</v>
      </c>
      <c r="U71" s="17">
        <v>0.857142857142857</v>
      </c>
      <c r="V71" s="23">
        <v>0.5</v>
      </c>
    </row>
    <row r="72" ht="16.5" spans="1:22">
      <c r="A72" s="16">
        <v>1434</v>
      </c>
      <c r="B72" s="16" t="s">
        <v>614</v>
      </c>
      <c r="C72" s="19">
        <v>19</v>
      </c>
      <c r="D72" s="19">
        <v>12</v>
      </c>
      <c r="E72" s="19">
        <v>23</v>
      </c>
      <c r="F72" s="19">
        <v>12</v>
      </c>
      <c r="G72" s="19">
        <v>20</v>
      </c>
      <c r="H72" s="20">
        <v>1640.72</v>
      </c>
      <c r="I72" s="20">
        <v>1035.79</v>
      </c>
      <c r="J72" s="21">
        <v>1976.94</v>
      </c>
      <c r="K72" s="21">
        <v>1067.98</v>
      </c>
      <c r="L72" s="21">
        <v>1787.23</v>
      </c>
      <c r="M72" s="22">
        <v>2</v>
      </c>
      <c r="N72" s="22">
        <v>2</v>
      </c>
      <c r="O72" s="22">
        <v>1</v>
      </c>
      <c r="P72" s="22">
        <v>3</v>
      </c>
      <c r="Q72" s="22">
        <v>0</v>
      </c>
      <c r="R72" s="17">
        <v>0.904761904761905</v>
      </c>
      <c r="S72" s="17">
        <v>0.857142857142857</v>
      </c>
      <c r="T72" s="17">
        <v>0.958333333333333</v>
      </c>
      <c r="U72" s="17">
        <v>0.8</v>
      </c>
      <c r="V72" s="23">
        <v>1</v>
      </c>
    </row>
    <row r="73" ht="16.5" spans="1:22">
      <c r="A73" s="16">
        <v>1473</v>
      </c>
      <c r="B73" s="16" t="s">
        <v>615</v>
      </c>
      <c r="C73" s="19">
        <v>4</v>
      </c>
      <c r="D73" s="19">
        <v>4</v>
      </c>
      <c r="E73" s="19">
        <v>13</v>
      </c>
      <c r="F73" s="19">
        <v>5</v>
      </c>
      <c r="G73" s="19">
        <v>9</v>
      </c>
      <c r="H73" s="20">
        <v>311.76</v>
      </c>
      <c r="I73" s="20">
        <v>302.07</v>
      </c>
      <c r="J73" s="21">
        <v>984.88</v>
      </c>
      <c r="K73" s="21">
        <v>392.38</v>
      </c>
      <c r="L73" s="21">
        <v>700.1</v>
      </c>
      <c r="M73" s="22">
        <v>0</v>
      </c>
      <c r="N73" s="22">
        <v>1</v>
      </c>
      <c r="O73" s="22">
        <v>2</v>
      </c>
      <c r="P73" s="22">
        <v>3</v>
      </c>
      <c r="Q73" s="22">
        <v>2</v>
      </c>
      <c r="R73" s="17">
        <v>1</v>
      </c>
      <c r="S73" s="17">
        <v>0.8</v>
      </c>
      <c r="T73" s="17">
        <v>0.866666666666667</v>
      </c>
      <c r="U73" s="17">
        <v>0.625</v>
      </c>
      <c r="V73" s="23">
        <v>0.818181818181818</v>
      </c>
    </row>
    <row r="74" ht="16.5" spans="1:22">
      <c r="A74" s="16">
        <v>1487</v>
      </c>
      <c r="B74" s="16" t="s">
        <v>616</v>
      </c>
      <c r="C74" s="19">
        <v>9</v>
      </c>
      <c r="D74" s="19">
        <v>9</v>
      </c>
      <c r="E74" s="19">
        <v>12</v>
      </c>
      <c r="F74" s="19">
        <v>3</v>
      </c>
      <c r="G74" s="19">
        <v>9</v>
      </c>
      <c r="H74" s="20">
        <v>1858.61</v>
      </c>
      <c r="I74" s="20">
        <v>1839.23</v>
      </c>
      <c r="J74" s="21">
        <v>2484.5</v>
      </c>
      <c r="K74" s="21">
        <v>641.04</v>
      </c>
      <c r="L74" s="21">
        <v>1923.12</v>
      </c>
      <c r="M74" s="22">
        <v>0</v>
      </c>
      <c r="N74" s="22">
        <v>0</v>
      </c>
      <c r="O74" s="22">
        <v>0</v>
      </c>
      <c r="P74" s="22">
        <v>1</v>
      </c>
      <c r="Q74" s="22">
        <v>0</v>
      </c>
      <c r="R74" s="17">
        <v>1</v>
      </c>
      <c r="S74" s="17">
        <v>1</v>
      </c>
      <c r="T74" s="17">
        <v>1</v>
      </c>
      <c r="U74" s="17">
        <v>0.75</v>
      </c>
      <c r="V74" s="23">
        <v>1</v>
      </c>
    </row>
    <row r="75" ht="33" spans="1:22">
      <c r="A75" s="16">
        <v>1494</v>
      </c>
      <c r="B75" s="16" t="s">
        <v>617</v>
      </c>
      <c r="C75" s="19">
        <v>7</v>
      </c>
      <c r="D75" s="19">
        <v>6</v>
      </c>
      <c r="E75" s="19">
        <v>10</v>
      </c>
      <c r="F75" s="19">
        <v>11</v>
      </c>
      <c r="G75" s="19">
        <v>14</v>
      </c>
      <c r="H75" s="20">
        <v>1277</v>
      </c>
      <c r="I75" s="20">
        <v>1115</v>
      </c>
      <c r="J75" s="21">
        <v>1866</v>
      </c>
      <c r="K75" s="21">
        <v>2041</v>
      </c>
      <c r="L75" s="21">
        <v>2561.22</v>
      </c>
      <c r="M75" s="22">
        <v>6</v>
      </c>
      <c r="N75" s="22">
        <v>4</v>
      </c>
      <c r="O75" s="22">
        <v>7</v>
      </c>
      <c r="P75" s="22">
        <v>3</v>
      </c>
      <c r="Q75" s="22">
        <v>3</v>
      </c>
      <c r="R75" s="17">
        <v>0.538461538461538</v>
      </c>
      <c r="S75" s="17">
        <v>0.6</v>
      </c>
      <c r="T75" s="17">
        <v>0.588235294117647</v>
      </c>
      <c r="U75" s="17">
        <v>0.785714285714286</v>
      </c>
      <c r="V75" s="23">
        <v>0.823529411764706</v>
      </c>
    </row>
    <row r="76" ht="33" spans="1:22">
      <c r="A76" s="16">
        <v>1544</v>
      </c>
      <c r="B76" s="16" t="s">
        <v>618</v>
      </c>
      <c r="C76" s="19">
        <v>12</v>
      </c>
      <c r="D76" s="19">
        <v>11</v>
      </c>
      <c r="E76" s="19">
        <v>14</v>
      </c>
      <c r="F76" s="19">
        <v>15</v>
      </c>
      <c r="G76" s="19">
        <v>11</v>
      </c>
      <c r="H76" s="20">
        <v>889.93</v>
      </c>
      <c r="I76" s="20">
        <v>825.56</v>
      </c>
      <c r="J76" s="21">
        <v>1037.94</v>
      </c>
      <c r="K76" s="21">
        <v>1073.07</v>
      </c>
      <c r="L76" s="21">
        <v>764.11</v>
      </c>
      <c r="M76" s="22">
        <v>4</v>
      </c>
      <c r="N76" s="22">
        <v>6</v>
      </c>
      <c r="O76" s="22">
        <v>5</v>
      </c>
      <c r="P76" s="22">
        <v>5</v>
      </c>
      <c r="Q76" s="22">
        <v>9</v>
      </c>
      <c r="R76" s="17">
        <v>0.75</v>
      </c>
      <c r="S76" s="17">
        <v>0.647058823529412</v>
      </c>
      <c r="T76" s="17">
        <v>0.736842105263158</v>
      </c>
      <c r="U76" s="17">
        <v>0.75</v>
      </c>
      <c r="V76" s="23">
        <v>0.55</v>
      </c>
    </row>
    <row r="77" ht="16.5" spans="1:22">
      <c r="A77" s="16">
        <v>3750</v>
      </c>
      <c r="B77" s="16" t="s">
        <v>619</v>
      </c>
      <c r="C77" s="19">
        <v>12</v>
      </c>
      <c r="D77" s="19">
        <v>9</v>
      </c>
      <c r="E77" s="19">
        <v>10</v>
      </c>
      <c r="F77" s="19">
        <v>5</v>
      </c>
      <c r="G77" s="19">
        <v>9</v>
      </c>
      <c r="H77" s="20">
        <v>2178.11</v>
      </c>
      <c r="I77" s="20">
        <v>1673.94</v>
      </c>
      <c r="J77" s="21">
        <v>1832.36</v>
      </c>
      <c r="K77" s="21">
        <v>993.9</v>
      </c>
      <c r="L77" s="21">
        <v>1694.72</v>
      </c>
      <c r="M77" s="22">
        <v>0</v>
      </c>
      <c r="N77" s="22">
        <v>0</v>
      </c>
      <c r="O77" s="22">
        <v>1</v>
      </c>
      <c r="P77" s="22">
        <v>1</v>
      </c>
      <c r="Q77" s="22">
        <v>1</v>
      </c>
      <c r="R77" s="17">
        <v>1</v>
      </c>
      <c r="S77" s="17">
        <v>1</v>
      </c>
      <c r="T77" s="17">
        <v>0.909090909090909</v>
      </c>
      <c r="U77" s="17">
        <v>0.833333333333333</v>
      </c>
      <c r="V77" s="23">
        <v>0.9</v>
      </c>
    </row>
    <row r="78" ht="16.5" spans="1:22">
      <c r="A78" s="16">
        <v>3751</v>
      </c>
      <c r="B78" s="16" t="s">
        <v>620</v>
      </c>
      <c r="C78" s="19">
        <v>17</v>
      </c>
      <c r="D78" s="19">
        <v>7</v>
      </c>
      <c r="E78" s="19">
        <v>10</v>
      </c>
      <c r="F78" s="19">
        <v>13</v>
      </c>
      <c r="G78" s="19">
        <v>8</v>
      </c>
      <c r="H78" s="20">
        <v>2116.21</v>
      </c>
      <c r="I78" s="20">
        <v>905.34</v>
      </c>
      <c r="J78" s="21">
        <v>1271.78</v>
      </c>
      <c r="K78" s="21">
        <v>1682.36</v>
      </c>
      <c r="L78" s="21">
        <v>1072.83</v>
      </c>
      <c r="M78" s="22">
        <v>0</v>
      </c>
      <c r="N78" s="22">
        <v>0</v>
      </c>
      <c r="O78" s="22">
        <v>1</v>
      </c>
      <c r="P78" s="22">
        <v>0</v>
      </c>
      <c r="Q78" s="22">
        <v>0</v>
      </c>
      <c r="R78" s="17">
        <v>1</v>
      </c>
      <c r="S78" s="17">
        <v>1</v>
      </c>
      <c r="T78" s="17">
        <v>0.909090909090909</v>
      </c>
      <c r="U78" s="17">
        <v>1</v>
      </c>
      <c r="V78" s="23">
        <v>1</v>
      </c>
    </row>
    <row r="79" ht="16.5" spans="1:22">
      <c r="A79" s="16">
        <v>3731</v>
      </c>
      <c r="B79" s="16" t="s">
        <v>621</v>
      </c>
      <c r="C79" s="19">
        <v>13</v>
      </c>
      <c r="D79" s="19">
        <v>10</v>
      </c>
      <c r="E79" s="19">
        <v>18</v>
      </c>
      <c r="F79" s="19">
        <v>12</v>
      </c>
      <c r="G79" s="19">
        <v>10</v>
      </c>
      <c r="H79" s="20">
        <v>954</v>
      </c>
      <c r="I79" s="20">
        <v>721.04</v>
      </c>
      <c r="J79" s="21">
        <v>1303.76</v>
      </c>
      <c r="K79" s="21">
        <v>865.14</v>
      </c>
      <c r="L79" s="21">
        <v>772.59</v>
      </c>
      <c r="M79" s="22">
        <v>2</v>
      </c>
      <c r="N79" s="22">
        <v>3</v>
      </c>
      <c r="O79" s="22">
        <v>1</v>
      </c>
      <c r="P79" s="22">
        <v>0</v>
      </c>
      <c r="Q79" s="22">
        <v>4</v>
      </c>
      <c r="R79" s="17">
        <v>0.866666666666667</v>
      </c>
      <c r="S79" s="17">
        <v>0.769230769230769</v>
      </c>
      <c r="T79" s="17">
        <v>0.947368421052632</v>
      </c>
      <c r="U79" s="17">
        <v>1</v>
      </c>
      <c r="V79" s="23">
        <v>0.714285714285714</v>
      </c>
    </row>
    <row r="80" ht="16.5" spans="1:22">
      <c r="A80" s="16">
        <v>5064</v>
      </c>
      <c r="B80" s="16" t="s">
        <v>622</v>
      </c>
      <c r="C80" s="19">
        <v>15</v>
      </c>
      <c r="D80" s="19">
        <v>9</v>
      </c>
      <c r="E80" s="19">
        <v>19</v>
      </c>
      <c r="F80" s="19">
        <v>6</v>
      </c>
      <c r="G80" s="19">
        <v>13</v>
      </c>
      <c r="H80" s="20">
        <v>2787</v>
      </c>
      <c r="I80" s="20">
        <v>1664.89</v>
      </c>
      <c r="J80" s="21">
        <v>3558.77</v>
      </c>
      <c r="K80" s="21">
        <v>1161.27</v>
      </c>
      <c r="L80" s="21">
        <v>2540.06</v>
      </c>
      <c r="M80" s="22">
        <v>0</v>
      </c>
      <c r="N80" s="22">
        <v>0</v>
      </c>
      <c r="O80" s="22">
        <v>0</v>
      </c>
      <c r="P80" s="22">
        <v>0</v>
      </c>
      <c r="Q80" s="22">
        <v>1</v>
      </c>
      <c r="R80" s="17">
        <v>1</v>
      </c>
      <c r="S80" s="17">
        <v>1</v>
      </c>
      <c r="T80" s="17">
        <v>1</v>
      </c>
      <c r="U80" s="17">
        <v>1</v>
      </c>
      <c r="V80" s="23">
        <v>0.928571428571429</v>
      </c>
    </row>
    <row r="81" ht="16.5" spans="1:22">
      <c r="A81" s="16">
        <v>4328</v>
      </c>
      <c r="B81" s="16" t="s">
        <v>623</v>
      </c>
      <c r="C81" s="19">
        <v>5</v>
      </c>
      <c r="D81" s="19">
        <v>4</v>
      </c>
      <c r="E81" s="19">
        <v>3</v>
      </c>
      <c r="F81" s="19">
        <v>5</v>
      </c>
      <c r="G81" s="19">
        <v>9</v>
      </c>
      <c r="H81" s="20">
        <v>1100</v>
      </c>
      <c r="I81" s="20">
        <v>881.09</v>
      </c>
      <c r="J81" s="21">
        <v>591.97</v>
      </c>
      <c r="K81" s="21">
        <v>1034.16</v>
      </c>
      <c r="L81" s="21">
        <v>1897.2</v>
      </c>
      <c r="M81" s="22">
        <v>3</v>
      </c>
      <c r="N81" s="22">
        <v>2</v>
      </c>
      <c r="O81" s="22">
        <v>5</v>
      </c>
      <c r="P81" s="22">
        <v>3</v>
      </c>
      <c r="Q81" s="22">
        <v>6</v>
      </c>
      <c r="R81" s="17">
        <v>0.625</v>
      </c>
      <c r="S81" s="17">
        <v>0.666666666666667</v>
      </c>
      <c r="T81" s="17">
        <v>0.375</v>
      </c>
      <c r="U81" s="17">
        <v>0.625</v>
      </c>
      <c r="V81" s="23">
        <v>0.6</v>
      </c>
    </row>
    <row r="82" ht="33" spans="1:22">
      <c r="A82" s="16">
        <v>5212</v>
      </c>
      <c r="B82" s="16" t="s">
        <v>624</v>
      </c>
      <c r="C82" s="19">
        <v>10</v>
      </c>
      <c r="D82" s="19">
        <v>14</v>
      </c>
      <c r="E82" s="19">
        <v>14</v>
      </c>
      <c r="F82" s="19">
        <v>6</v>
      </c>
      <c r="G82" s="19">
        <v>10</v>
      </c>
      <c r="H82" s="20">
        <v>269.9</v>
      </c>
      <c r="I82" s="20">
        <v>383.64</v>
      </c>
      <c r="J82" s="21">
        <v>396.36</v>
      </c>
      <c r="K82" s="21">
        <v>177.6</v>
      </c>
      <c r="L82" s="21">
        <v>288.46</v>
      </c>
      <c r="M82" s="22">
        <v>4</v>
      </c>
      <c r="N82" s="22">
        <v>0</v>
      </c>
      <c r="O82" s="22">
        <v>3</v>
      </c>
      <c r="P82" s="22">
        <v>2</v>
      </c>
      <c r="Q82" s="22">
        <v>35</v>
      </c>
      <c r="R82" s="17">
        <v>0.714285714285714</v>
      </c>
      <c r="S82" s="17">
        <v>1</v>
      </c>
      <c r="T82" s="17">
        <v>0.823529411764706</v>
      </c>
      <c r="U82" s="17">
        <v>0.75</v>
      </c>
      <c r="V82" s="23">
        <v>0.222222222222222</v>
      </c>
    </row>
    <row r="83" ht="33" spans="1:22">
      <c r="A83" s="16">
        <v>4658</v>
      </c>
      <c r="B83" s="16" t="s">
        <v>625</v>
      </c>
      <c r="C83" s="19">
        <v>1</v>
      </c>
      <c r="D83" s="19">
        <v>3</v>
      </c>
      <c r="E83" s="19">
        <v>1</v>
      </c>
      <c r="F83" s="19">
        <v>7</v>
      </c>
      <c r="G83" s="19">
        <v>13</v>
      </c>
      <c r="H83" s="20">
        <v>74.32</v>
      </c>
      <c r="I83" s="20">
        <v>185.29</v>
      </c>
      <c r="J83" s="21">
        <v>62.85</v>
      </c>
      <c r="K83" s="21">
        <v>428.97</v>
      </c>
      <c r="L83" s="21">
        <v>785.79</v>
      </c>
      <c r="M83" s="22">
        <v>17</v>
      </c>
      <c r="N83" s="22">
        <v>22</v>
      </c>
      <c r="O83" s="22">
        <v>38</v>
      </c>
      <c r="P83" s="22">
        <v>26</v>
      </c>
      <c r="Q83" s="22">
        <v>18</v>
      </c>
      <c r="R83" s="17">
        <v>0.0555555555555556</v>
      </c>
      <c r="S83" s="17">
        <v>0.12</v>
      </c>
      <c r="T83" s="17">
        <v>0.0256410256410256</v>
      </c>
      <c r="U83" s="17">
        <v>0.212121212121212</v>
      </c>
      <c r="V83" s="23">
        <v>0.419354838709677</v>
      </c>
    </row>
    <row r="84" ht="16.5" spans="1:22">
      <c r="A84" s="16">
        <v>5051</v>
      </c>
      <c r="B84" s="16" t="s">
        <v>626</v>
      </c>
      <c r="C84" s="19">
        <v>14</v>
      </c>
      <c r="D84" s="19">
        <v>14</v>
      </c>
      <c r="E84" s="19">
        <v>23</v>
      </c>
      <c r="F84" s="19">
        <v>16</v>
      </c>
      <c r="G84" s="19">
        <v>22</v>
      </c>
      <c r="H84" s="20">
        <v>855.68</v>
      </c>
      <c r="I84" s="20">
        <v>853.2</v>
      </c>
      <c r="J84" s="21">
        <v>1397.72</v>
      </c>
      <c r="K84" s="21">
        <v>972.48</v>
      </c>
      <c r="L84" s="21">
        <v>1328.56</v>
      </c>
      <c r="M84" s="22">
        <v>0</v>
      </c>
      <c r="N84" s="22">
        <v>0</v>
      </c>
      <c r="O84" s="22">
        <v>0</v>
      </c>
      <c r="P84" s="22">
        <v>0</v>
      </c>
      <c r="Q84" s="22">
        <v>31</v>
      </c>
      <c r="R84" s="17">
        <v>1</v>
      </c>
      <c r="S84" s="17">
        <v>1</v>
      </c>
      <c r="T84" s="17">
        <v>1</v>
      </c>
      <c r="U84" s="17">
        <v>1</v>
      </c>
      <c r="V84" s="23">
        <v>0.415094339622642</v>
      </c>
    </row>
    <row r="85" ht="33" spans="1:22">
      <c r="A85" s="16">
        <v>4311</v>
      </c>
      <c r="B85" s="16" t="s">
        <v>627</v>
      </c>
      <c r="C85" s="19">
        <v>13</v>
      </c>
      <c r="D85" s="19">
        <v>15</v>
      </c>
      <c r="E85" s="19">
        <v>16</v>
      </c>
      <c r="F85" s="19">
        <v>15</v>
      </c>
      <c r="G85" s="19">
        <v>15</v>
      </c>
      <c r="H85" s="20">
        <v>523.65</v>
      </c>
      <c r="I85" s="20">
        <v>623.81</v>
      </c>
      <c r="J85" s="21">
        <v>645.62</v>
      </c>
      <c r="K85" s="21">
        <v>613.65</v>
      </c>
      <c r="L85" s="21">
        <v>615.31</v>
      </c>
      <c r="M85" s="22">
        <v>2</v>
      </c>
      <c r="N85" s="22">
        <v>1</v>
      </c>
      <c r="O85" s="22">
        <v>2</v>
      </c>
      <c r="P85" s="22">
        <v>1</v>
      </c>
      <c r="Q85" s="22">
        <v>2</v>
      </c>
      <c r="R85" s="17">
        <v>0.866666666666667</v>
      </c>
      <c r="S85" s="17">
        <v>0.9375</v>
      </c>
      <c r="T85" s="17">
        <v>0.888888888888889</v>
      </c>
      <c r="U85" s="17">
        <v>0.9375</v>
      </c>
      <c r="V85" s="23">
        <v>0.882352941176471</v>
      </c>
    </row>
    <row r="86" ht="33" spans="1:22">
      <c r="A86" s="16">
        <v>4261</v>
      </c>
      <c r="B86" s="16" t="s">
        <v>628</v>
      </c>
      <c r="C86" s="19">
        <v>11</v>
      </c>
      <c r="D86" s="19">
        <v>11</v>
      </c>
      <c r="E86" s="19">
        <v>16</v>
      </c>
      <c r="F86" s="19">
        <v>18</v>
      </c>
      <c r="G86" s="19">
        <v>10</v>
      </c>
      <c r="H86" s="20">
        <v>738.1</v>
      </c>
      <c r="I86" s="20">
        <v>768.9</v>
      </c>
      <c r="J86" s="21">
        <v>1095.6</v>
      </c>
      <c r="K86" s="21">
        <v>1222.85</v>
      </c>
      <c r="L86" s="21">
        <v>710.4</v>
      </c>
      <c r="M86" s="22">
        <v>1</v>
      </c>
      <c r="N86" s="22">
        <v>1</v>
      </c>
      <c r="O86" s="22">
        <v>0</v>
      </c>
      <c r="P86" s="22">
        <v>0</v>
      </c>
      <c r="Q86" s="22">
        <v>3</v>
      </c>
      <c r="R86" s="17">
        <v>0.916666666666667</v>
      </c>
      <c r="S86" s="17">
        <v>0.916666666666667</v>
      </c>
      <c r="T86" s="17">
        <v>1</v>
      </c>
      <c r="U86" s="17">
        <v>1</v>
      </c>
      <c r="V86" s="23">
        <v>0.769230769230769</v>
      </c>
    </row>
    <row r="87" ht="33" spans="1:22">
      <c r="A87" s="16">
        <v>5573</v>
      </c>
      <c r="B87" s="16" t="s">
        <v>629</v>
      </c>
      <c r="C87" s="19">
        <v>50</v>
      </c>
      <c r="D87" s="19">
        <v>54</v>
      </c>
      <c r="E87" s="19">
        <v>59</v>
      </c>
      <c r="F87" s="19">
        <v>68</v>
      </c>
      <c r="G87" s="19">
        <v>36</v>
      </c>
      <c r="H87" s="20">
        <v>5407.8</v>
      </c>
      <c r="I87" s="20">
        <v>5887.53</v>
      </c>
      <c r="J87" s="21">
        <v>6537.08</v>
      </c>
      <c r="K87" s="21">
        <v>7951.40999999999</v>
      </c>
      <c r="L87" s="21">
        <v>4223.78</v>
      </c>
      <c r="M87" s="22">
        <v>6</v>
      </c>
      <c r="N87" s="22">
        <v>3</v>
      </c>
      <c r="O87" s="22">
        <v>6</v>
      </c>
      <c r="P87" s="22">
        <v>4</v>
      </c>
      <c r="Q87" s="22">
        <v>21</v>
      </c>
      <c r="R87" s="17">
        <v>0.892857142857143</v>
      </c>
      <c r="S87" s="17">
        <v>0.947368421052632</v>
      </c>
      <c r="T87" s="17">
        <v>0.907692307692308</v>
      </c>
      <c r="U87" s="17">
        <v>0.944444444444444</v>
      </c>
      <c r="V87" s="23">
        <v>0.631578947368421</v>
      </c>
    </row>
    <row r="88" ht="16.5" spans="1:22">
      <c r="A88" s="16">
        <v>6288</v>
      </c>
      <c r="B88" s="16" t="s">
        <v>630</v>
      </c>
      <c r="C88" s="19">
        <v>4</v>
      </c>
      <c r="D88" s="19">
        <v>1</v>
      </c>
      <c r="E88" s="19">
        <v>7</v>
      </c>
      <c r="F88" s="19">
        <v>4</v>
      </c>
      <c r="G88" s="19">
        <v>4</v>
      </c>
      <c r="H88" s="20">
        <v>768</v>
      </c>
      <c r="I88" s="20">
        <v>187</v>
      </c>
      <c r="J88" s="21">
        <v>1327.7</v>
      </c>
      <c r="K88" s="21">
        <v>788.4</v>
      </c>
      <c r="L88" s="21">
        <v>789.42</v>
      </c>
      <c r="M88" s="22">
        <v>2</v>
      </c>
      <c r="N88" s="22">
        <v>3</v>
      </c>
      <c r="O88" s="22">
        <v>0</v>
      </c>
      <c r="P88" s="22">
        <v>2</v>
      </c>
      <c r="Q88" s="22">
        <v>0</v>
      </c>
      <c r="R88" s="17">
        <v>0.666666666666667</v>
      </c>
      <c r="S88" s="17">
        <v>0.25</v>
      </c>
      <c r="T88" s="17">
        <v>1</v>
      </c>
      <c r="U88" s="17">
        <v>0.666666666666667</v>
      </c>
      <c r="V88" s="23">
        <v>1</v>
      </c>
    </row>
    <row r="89" ht="16.5" spans="1:22">
      <c r="A89" s="16">
        <v>5447</v>
      </c>
      <c r="B89" s="16" t="s">
        <v>631</v>
      </c>
      <c r="C89" s="19">
        <v>8</v>
      </c>
      <c r="D89" s="19">
        <v>4</v>
      </c>
      <c r="E89" s="19">
        <v>6</v>
      </c>
      <c r="F89" s="19">
        <v>4</v>
      </c>
      <c r="G89" s="19">
        <v>5</v>
      </c>
      <c r="H89" s="20">
        <v>1473.4</v>
      </c>
      <c r="I89" s="20">
        <v>679.96</v>
      </c>
      <c r="J89" s="21">
        <v>1019.94</v>
      </c>
      <c r="K89" s="21">
        <v>679.46</v>
      </c>
      <c r="L89" s="21">
        <v>838.22</v>
      </c>
      <c r="M89" s="22">
        <v>4</v>
      </c>
      <c r="N89" s="22">
        <v>10</v>
      </c>
      <c r="O89" s="22">
        <v>10</v>
      </c>
      <c r="P89" s="22">
        <v>6</v>
      </c>
      <c r="Q89" s="22">
        <v>10</v>
      </c>
      <c r="R89" s="17">
        <v>0.666666666666667</v>
      </c>
      <c r="S89" s="17">
        <v>0.285714285714286</v>
      </c>
      <c r="T89" s="17">
        <v>0.375</v>
      </c>
      <c r="U89" s="17">
        <v>0.4</v>
      </c>
      <c r="V89" s="23">
        <v>0.333333333333333</v>
      </c>
    </row>
    <row r="90" ht="33" spans="1:22">
      <c r="A90" s="16">
        <v>5660</v>
      </c>
      <c r="B90" s="16" t="s">
        <v>632</v>
      </c>
      <c r="C90" s="19">
        <v>13</v>
      </c>
      <c r="D90" s="19">
        <v>14</v>
      </c>
      <c r="E90" s="19">
        <v>14</v>
      </c>
      <c r="F90" s="19">
        <v>12</v>
      </c>
      <c r="G90" s="19">
        <v>33</v>
      </c>
      <c r="H90" s="20">
        <v>192.4</v>
      </c>
      <c r="I90" s="20">
        <v>205.96</v>
      </c>
      <c r="J90" s="21">
        <v>205.2</v>
      </c>
      <c r="K90" s="21">
        <v>163.56</v>
      </c>
      <c r="L90" s="21">
        <v>438.1</v>
      </c>
      <c r="M90" s="22">
        <v>147</v>
      </c>
      <c r="N90" s="22">
        <v>168</v>
      </c>
      <c r="O90" s="22">
        <v>185</v>
      </c>
      <c r="P90" s="22">
        <v>154</v>
      </c>
      <c r="Q90" s="22">
        <v>126</v>
      </c>
      <c r="R90" s="17">
        <v>0.08125</v>
      </c>
      <c r="S90" s="17">
        <v>0.0769230769230769</v>
      </c>
      <c r="T90" s="17">
        <v>0.0703517587939698</v>
      </c>
      <c r="U90" s="17">
        <v>0.072289156626506</v>
      </c>
      <c r="V90" s="23">
        <v>0.207547169811321</v>
      </c>
    </row>
    <row r="91" ht="33" spans="1:22">
      <c r="A91" s="16">
        <v>5567</v>
      </c>
      <c r="B91" s="16" t="s">
        <v>633</v>
      </c>
      <c r="C91" s="19">
        <v>25</v>
      </c>
      <c r="D91" s="19">
        <v>15</v>
      </c>
      <c r="E91" s="19">
        <v>28</v>
      </c>
      <c r="F91" s="19">
        <v>24</v>
      </c>
      <c r="G91" s="19">
        <v>16</v>
      </c>
      <c r="H91" s="20">
        <v>447.75</v>
      </c>
      <c r="I91" s="20">
        <v>268.65</v>
      </c>
      <c r="J91" s="21">
        <v>501.48</v>
      </c>
      <c r="K91" s="21">
        <v>433.9</v>
      </c>
      <c r="L91" s="21">
        <v>299.66</v>
      </c>
      <c r="M91" s="22">
        <v>73</v>
      </c>
      <c r="N91" s="22">
        <v>64</v>
      </c>
      <c r="O91" s="22">
        <v>46</v>
      </c>
      <c r="P91" s="22">
        <v>53</v>
      </c>
      <c r="Q91" s="22">
        <v>57</v>
      </c>
      <c r="R91" s="17">
        <v>0.255102040816327</v>
      </c>
      <c r="S91" s="17">
        <v>0.189873417721519</v>
      </c>
      <c r="T91" s="17">
        <v>0.378378378378378</v>
      </c>
      <c r="U91" s="17">
        <v>0.311688311688312</v>
      </c>
      <c r="V91" s="23">
        <v>0.219178082191781</v>
      </c>
    </row>
    <row r="92" ht="16.5" spans="1:22">
      <c r="A92" s="16">
        <v>5581</v>
      </c>
      <c r="B92" s="16" t="s">
        <v>634</v>
      </c>
      <c r="C92" s="19">
        <v>2</v>
      </c>
      <c r="D92" s="19">
        <v>7</v>
      </c>
      <c r="E92" s="19">
        <v>10</v>
      </c>
      <c r="F92" s="19">
        <v>4</v>
      </c>
      <c r="G92" s="19">
        <v>18</v>
      </c>
      <c r="H92" s="20">
        <v>380</v>
      </c>
      <c r="I92" s="20">
        <v>1330</v>
      </c>
      <c r="J92" s="21">
        <v>1899</v>
      </c>
      <c r="K92" s="21">
        <v>760</v>
      </c>
      <c r="L92" s="21">
        <v>3399.05</v>
      </c>
      <c r="M92" s="22">
        <v>3</v>
      </c>
      <c r="N92" s="22">
        <v>7</v>
      </c>
      <c r="O92" s="22">
        <v>9</v>
      </c>
      <c r="P92" s="22">
        <v>7</v>
      </c>
      <c r="Q92" s="22">
        <v>17</v>
      </c>
      <c r="R92" s="17">
        <v>0.4</v>
      </c>
      <c r="S92" s="17">
        <v>0.5</v>
      </c>
      <c r="T92" s="17">
        <v>0.526315789473684</v>
      </c>
      <c r="U92" s="17">
        <v>0.363636363636364</v>
      </c>
      <c r="V92" s="23">
        <v>0.514285714285714</v>
      </c>
    </row>
    <row r="93" ht="33" spans="1:22">
      <c r="A93" s="16">
        <v>6762</v>
      </c>
      <c r="B93" s="16" t="s">
        <v>635</v>
      </c>
      <c r="C93" s="19">
        <v>5</v>
      </c>
      <c r="D93" s="19">
        <v>9</v>
      </c>
      <c r="E93" s="19">
        <v>0</v>
      </c>
      <c r="F93" s="19">
        <v>0</v>
      </c>
      <c r="G93" s="19">
        <v>6</v>
      </c>
      <c r="H93" s="20">
        <v>573.48</v>
      </c>
      <c r="I93" s="20">
        <v>1016.76</v>
      </c>
      <c r="J93" s="21">
        <v>0</v>
      </c>
      <c r="K93" s="21">
        <v>0</v>
      </c>
      <c r="L93" s="21">
        <v>682.84</v>
      </c>
      <c r="M93" s="22">
        <v>14</v>
      </c>
      <c r="N93" s="22">
        <v>45</v>
      </c>
      <c r="O93" s="22">
        <v>47</v>
      </c>
      <c r="P93" s="22">
        <v>23</v>
      </c>
      <c r="Q93" s="22">
        <v>44</v>
      </c>
      <c r="R93" s="17">
        <v>0.263157894736842</v>
      </c>
      <c r="S93" s="17">
        <v>0.166666666666667</v>
      </c>
      <c r="T93" s="17">
        <v>0</v>
      </c>
      <c r="U93" s="17">
        <v>0</v>
      </c>
      <c r="V93" s="23">
        <v>0.12</v>
      </c>
    </row>
    <row r="94" ht="33" spans="1:22">
      <c r="A94" s="16">
        <v>6763</v>
      </c>
      <c r="B94" s="16" t="s">
        <v>636</v>
      </c>
      <c r="C94" s="19">
        <v>3</v>
      </c>
      <c r="D94" s="19">
        <v>4</v>
      </c>
      <c r="E94" s="19">
        <v>7</v>
      </c>
      <c r="F94" s="19">
        <v>4</v>
      </c>
      <c r="G94" s="19">
        <v>13</v>
      </c>
      <c r="H94" s="20">
        <v>194.34</v>
      </c>
      <c r="I94" s="20">
        <v>259.14</v>
      </c>
      <c r="J94" s="21">
        <v>450.08</v>
      </c>
      <c r="K94" s="21">
        <v>251.92</v>
      </c>
      <c r="L94" s="21">
        <v>824.4</v>
      </c>
      <c r="M94" s="22">
        <v>14</v>
      </c>
      <c r="N94" s="22">
        <v>2</v>
      </c>
      <c r="O94" s="22">
        <v>5</v>
      </c>
      <c r="P94" s="22">
        <v>4</v>
      </c>
      <c r="Q94" s="22">
        <v>5</v>
      </c>
      <c r="R94" s="17">
        <v>0.176470588235294</v>
      </c>
      <c r="S94" s="17">
        <v>0.666666666666667</v>
      </c>
      <c r="T94" s="17">
        <v>0.583333333333333</v>
      </c>
      <c r="U94" s="17">
        <v>0.5</v>
      </c>
      <c r="V94" s="23">
        <v>0.722222222222222</v>
      </c>
    </row>
    <row r="95" ht="33" spans="1:22">
      <c r="A95" s="16">
        <v>6162</v>
      </c>
      <c r="B95" s="16" t="s">
        <v>637</v>
      </c>
      <c r="C95" s="19">
        <v>5</v>
      </c>
      <c r="D95" s="19">
        <v>8</v>
      </c>
      <c r="E95" s="19">
        <v>2</v>
      </c>
      <c r="F95" s="19">
        <v>8</v>
      </c>
      <c r="G95" s="19">
        <v>4</v>
      </c>
      <c r="H95" s="20">
        <v>1711.8</v>
      </c>
      <c r="I95" s="20">
        <v>2820.8</v>
      </c>
      <c r="J95" s="21">
        <v>691</v>
      </c>
      <c r="K95" s="21">
        <v>2778.54</v>
      </c>
      <c r="L95" s="21">
        <v>1347.26</v>
      </c>
      <c r="M95" s="22">
        <v>0</v>
      </c>
      <c r="N95" s="22">
        <v>2</v>
      </c>
      <c r="O95" s="22">
        <v>7</v>
      </c>
      <c r="P95" s="22">
        <v>9</v>
      </c>
      <c r="Q95" s="22">
        <v>12</v>
      </c>
      <c r="R95" s="17">
        <v>1</v>
      </c>
      <c r="S95" s="17">
        <v>0.8</v>
      </c>
      <c r="T95" s="17">
        <v>0.222222222222222</v>
      </c>
      <c r="U95" s="17">
        <v>0.470588235294118</v>
      </c>
      <c r="V95" s="23">
        <v>0.25</v>
      </c>
    </row>
    <row r="96" ht="33" spans="1:22">
      <c r="A96" s="16">
        <v>7288</v>
      </c>
      <c r="B96" s="16" t="s">
        <v>638</v>
      </c>
      <c r="C96" s="19">
        <v>9</v>
      </c>
      <c r="D96" s="19">
        <v>16</v>
      </c>
      <c r="E96" s="19">
        <v>17</v>
      </c>
      <c r="F96" s="19">
        <v>19</v>
      </c>
      <c r="G96" s="19">
        <v>13</v>
      </c>
      <c r="H96" s="20">
        <v>1742.71</v>
      </c>
      <c r="I96" s="20">
        <v>3019.16</v>
      </c>
      <c r="J96" s="21">
        <v>3200.35</v>
      </c>
      <c r="K96" s="21">
        <v>3672.96</v>
      </c>
      <c r="L96" s="21">
        <v>2541.83</v>
      </c>
      <c r="M96" s="22">
        <v>1</v>
      </c>
      <c r="N96" s="22">
        <v>0</v>
      </c>
      <c r="O96" s="22">
        <v>0</v>
      </c>
      <c r="P96" s="22">
        <v>0</v>
      </c>
      <c r="Q96" s="22">
        <v>0</v>
      </c>
      <c r="R96" s="17">
        <v>0.9</v>
      </c>
      <c r="S96" s="17">
        <v>1</v>
      </c>
      <c r="T96" s="17">
        <v>1</v>
      </c>
      <c r="U96" s="17">
        <v>1</v>
      </c>
      <c r="V96" s="23">
        <v>1</v>
      </c>
    </row>
    <row r="97" ht="33" spans="1:22">
      <c r="A97" s="16">
        <v>8461</v>
      </c>
      <c r="B97" s="16" t="s">
        <v>639</v>
      </c>
      <c r="C97" s="19">
        <v>15</v>
      </c>
      <c r="D97" s="19">
        <v>21</v>
      </c>
      <c r="E97" s="19">
        <v>15</v>
      </c>
      <c r="F97" s="19">
        <v>23</v>
      </c>
      <c r="G97" s="19">
        <v>14</v>
      </c>
      <c r="H97" s="20">
        <v>3375</v>
      </c>
      <c r="I97" s="20">
        <v>4773</v>
      </c>
      <c r="J97" s="21">
        <v>3275</v>
      </c>
      <c r="K97" s="21">
        <v>5538</v>
      </c>
      <c r="L97" s="21">
        <v>3405.4</v>
      </c>
      <c r="M97" s="22">
        <v>1</v>
      </c>
      <c r="N97" s="22">
        <v>4</v>
      </c>
      <c r="O97" s="22">
        <v>6</v>
      </c>
      <c r="P97" s="22">
        <v>5</v>
      </c>
      <c r="Q97" s="22">
        <v>6</v>
      </c>
      <c r="R97" s="17">
        <v>0.9375</v>
      </c>
      <c r="S97" s="17">
        <v>0.84</v>
      </c>
      <c r="T97" s="17">
        <v>0.714285714285714</v>
      </c>
      <c r="U97" s="17">
        <v>0.821428571428571</v>
      </c>
      <c r="V97" s="23">
        <v>0.7</v>
      </c>
    </row>
    <row r="98" ht="33" spans="1:22">
      <c r="A98" s="16">
        <v>8462</v>
      </c>
      <c r="B98" s="16" t="s">
        <v>640</v>
      </c>
      <c r="C98" s="19">
        <v>10</v>
      </c>
      <c r="D98" s="19">
        <v>28</v>
      </c>
      <c r="E98" s="19">
        <v>14</v>
      </c>
      <c r="F98" s="19">
        <v>9</v>
      </c>
      <c r="G98" s="19">
        <v>6</v>
      </c>
      <c r="H98" s="20">
        <v>2373</v>
      </c>
      <c r="I98" s="20">
        <v>6769.9</v>
      </c>
      <c r="J98" s="21">
        <v>3415</v>
      </c>
      <c r="K98" s="21">
        <v>2313.9</v>
      </c>
      <c r="L98" s="21">
        <v>1542.6</v>
      </c>
      <c r="M98" s="22">
        <v>10</v>
      </c>
      <c r="N98" s="22">
        <v>9</v>
      </c>
      <c r="O98" s="22">
        <v>3</v>
      </c>
      <c r="P98" s="22">
        <v>9</v>
      </c>
      <c r="Q98" s="22">
        <v>9</v>
      </c>
      <c r="R98" s="17">
        <v>0.5</v>
      </c>
      <c r="S98" s="17">
        <v>0.756756756756757</v>
      </c>
      <c r="T98" s="17">
        <v>0.823529411764706</v>
      </c>
      <c r="U98" s="17">
        <v>0.5</v>
      </c>
      <c r="V98" s="23">
        <v>0.4</v>
      </c>
    </row>
    <row r="99" ht="33" spans="1:22">
      <c r="A99" s="16">
        <v>8463</v>
      </c>
      <c r="B99" s="16" t="s">
        <v>641</v>
      </c>
      <c r="C99" s="19">
        <v>7</v>
      </c>
      <c r="D99" s="19">
        <v>5</v>
      </c>
      <c r="E99" s="19">
        <v>18</v>
      </c>
      <c r="F99" s="19">
        <v>13</v>
      </c>
      <c r="G99" s="19">
        <v>11</v>
      </c>
      <c r="H99" s="20">
        <v>1318.4</v>
      </c>
      <c r="I99" s="20">
        <v>970.3</v>
      </c>
      <c r="J99" s="21">
        <v>3437.9</v>
      </c>
      <c r="K99" s="21">
        <v>2466.54</v>
      </c>
      <c r="L99" s="21">
        <v>2120.79</v>
      </c>
      <c r="M99" s="22">
        <v>0</v>
      </c>
      <c r="N99" s="22">
        <v>2</v>
      </c>
      <c r="O99" s="22">
        <v>0</v>
      </c>
      <c r="P99" s="22">
        <v>1</v>
      </c>
      <c r="Q99" s="22">
        <v>2</v>
      </c>
      <c r="R99" s="17">
        <v>1</v>
      </c>
      <c r="S99" s="17">
        <v>0.714285714285714</v>
      </c>
      <c r="T99" s="17">
        <v>1</v>
      </c>
      <c r="U99" s="17">
        <v>0.928571428571429</v>
      </c>
      <c r="V99" s="23">
        <v>0.846153846153846</v>
      </c>
    </row>
    <row r="100" ht="66" spans="1:22">
      <c r="A100" s="16">
        <v>7609</v>
      </c>
      <c r="B100" s="16" t="s">
        <v>642</v>
      </c>
      <c r="C100" s="19">
        <v>4</v>
      </c>
      <c r="D100" s="19">
        <v>0</v>
      </c>
      <c r="E100" s="19">
        <v>1</v>
      </c>
      <c r="F100" s="19">
        <v>1</v>
      </c>
      <c r="G100" s="19">
        <v>1</v>
      </c>
      <c r="H100" s="20">
        <v>2479</v>
      </c>
      <c r="I100" s="20">
        <v>0</v>
      </c>
      <c r="J100" s="21">
        <v>625</v>
      </c>
      <c r="K100" s="21">
        <v>789.1</v>
      </c>
      <c r="L100" s="21">
        <v>789.1</v>
      </c>
      <c r="M100" s="22">
        <v>0</v>
      </c>
      <c r="N100" s="22">
        <v>2</v>
      </c>
      <c r="O100" s="22">
        <v>3</v>
      </c>
      <c r="P100" s="22">
        <v>0</v>
      </c>
      <c r="Q100" s="22">
        <v>0</v>
      </c>
      <c r="R100" s="17">
        <v>1</v>
      </c>
      <c r="S100" s="17">
        <v>0</v>
      </c>
      <c r="T100" s="17">
        <v>0.25</v>
      </c>
      <c r="U100" s="17">
        <v>1</v>
      </c>
      <c r="V100" s="23">
        <v>1</v>
      </c>
    </row>
    <row r="101" ht="33" spans="1:22">
      <c r="A101" s="16">
        <v>8234</v>
      </c>
      <c r="B101" s="16" t="s">
        <v>643</v>
      </c>
      <c r="C101" s="19">
        <v>22</v>
      </c>
      <c r="D101" s="19">
        <v>4</v>
      </c>
      <c r="E101" s="19">
        <v>25</v>
      </c>
      <c r="F101" s="19">
        <v>21</v>
      </c>
      <c r="G101" s="19">
        <v>24</v>
      </c>
      <c r="H101" s="20">
        <v>7166.25</v>
      </c>
      <c r="I101" s="20">
        <v>1258</v>
      </c>
      <c r="J101" s="21">
        <v>7415</v>
      </c>
      <c r="K101" s="21">
        <v>6090</v>
      </c>
      <c r="L101" s="21">
        <v>6943.19</v>
      </c>
      <c r="M101" s="22">
        <v>11</v>
      </c>
      <c r="N101" s="22">
        <v>29</v>
      </c>
      <c r="O101" s="22">
        <v>27</v>
      </c>
      <c r="P101" s="22">
        <v>26</v>
      </c>
      <c r="Q101" s="22">
        <v>19</v>
      </c>
      <c r="R101" s="17">
        <v>0.666666666666667</v>
      </c>
      <c r="S101" s="17">
        <v>0.121212121212121</v>
      </c>
      <c r="T101" s="17">
        <v>0.480769230769231</v>
      </c>
      <c r="U101" s="17">
        <v>0.446808510638298</v>
      </c>
      <c r="V101" s="23">
        <v>0.558139534883721</v>
      </c>
    </row>
    <row r="102" ht="33" spans="1:22">
      <c r="A102" s="16">
        <v>8233</v>
      </c>
      <c r="B102" s="16" t="s">
        <v>644</v>
      </c>
      <c r="C102" s="19">
        <v>30</v>
      </c>
      <c r="D102" s="19">
        <v>25</v>
      </c>
      <c r="E102" s="19">
        <v>22</v>
      </c>
      <c r="F102" s="19">
        <v>3</v>
      </c>
      <c r="G102" s="19">
        <v>3</v>
      </c>
      <c r="H102" s="20">
        <v>8629</v>
      </c>
      <c r="I102" s="20">
        <v>7276</v>
      </c>
      <c r="J102" s="21">
        <v>6422.5</v>
      </c>
      <c r="K102" s="21">
        <v>1041.7</v>
      </c>
      <c r="L102" s="21">
        <v>1114.3</v>
      </c>
      <c r="M102" s="22">
        <v>9</v>
      </c>
      <c r="N102" s="22">
        <v>17</v>
      </c>
      <c r="O102" s="22">
        <v>24</v>
      </c>
      <c r="P102" s="22">
        <v>35</v>
      </c>
      <c r="Q102" s="22">
        <v>23</v>
      </c>
      <c r="R102" s="17">
        <v>0.769230769230769</v>
      </c>
      <c r="S102" s="17">
        <v>0.595238095238095</v>
      </c>
      <c r="T102" s="17">
        <v>0.478260869565217</v>
      </c>
      <c r="U102" s="17">
        <v>0.0789473684210526</v>
      </c>
      <c r="V102" s="23">
        <v>0.115384615384615</v>
      </c>
    </row>
    <row r="103" ht="33" spans="1:22">
      <c r="A103" s="16">
        <v>7173</v>
      </c>
      <c r="B103" s="16" t="s">
        <v>645</v>
      </c>
      <c r="C103" s="19">
        <v>9</v>
      </c>
      <c r="D103" s="19">
        <v>14</v>
      </c>
      <c r="E103" s="19">
        <v>10</v>
      </c>
      <c r="F103" s="19">
        <v>5</v>
      </c>
      <c r="G103" s="19">
        <v>16</v>
      </c>
      <c r="H103" s="20">
        <v>937.28</v>
      </c>
      <c r="I103" s="20">
        <v>1495.52</v>
      </c>
      <c r="J103" s="21">
        <v>1097.82</v>
      </c>
      <c r="K103" s="21">
        <v>550.44</v>
      </c>
      <c r="L103" s="21">
        <v>1722.07</v>
      </c>
      <c r="M103" s="22">
        <v>0</v>
      </c>
      <c r="N103" s="22">
        <v>0</v>
      </c>
      <c r="O103" s="22">
        <v>0</v>
      </c>
      <c r="P103" s="22">
        <v>0</v>
      </c>
      <c r="Q103" s="22">
        <v>2</v>
      </c>
      <c r="R103" s="17">
        <v>1</v>
      </c>
      <c r="S103" s="17">
        <v>1</v>
      </c>
      <c r="T103" s="17">
        <v>1</v>
      </c>
      <c r="U103" s="17">
        <v>1</v>
      </c>
      <c r="V103" s="23">
        <v>0.888888888888889</v>
      </c>
    </row>
    <row r="104" ht="33" spans="1:22">
      <c r="A104" s="16">
        <v>7893</v>
      </c>
      <c r="B104" s="16" t="s">
        <v>646</v>
      </c>
      <c r="C104" s="19">
        <v>5</v>
      </c>
      <c r="D104" s="19">
        <v>10</v>
      </c>
      <c r="E104" s="19">
        <v>7</v>
      </c>
      <c r="F104" s="19">
        <v>6</v>
      </c>
      <c r="G104" s="19">
        <v>10</v>
      </c>
      <c r="H104" s="20">
        <v>850.02</v>
      </c>
      <c r="I104" s="20">
        <v>1677.57</v>
      </c>
      <c r="J104" s="21">
        <v>1189.02</v>
      </c>
      <c r="K104" s="21">
        <v>1039.47</v>
      </c>
      <c r="L104" s="21">
        <v>1734.97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17">
        <v>1</v>
      </c>
      <c r="S104" s="17">
        <v>1</v>
      </c>
      <c r="T104" s="17">
        <v>1</v>
      </c>
      <c r="U104" s="17">
        <v>1</v>
      </c>
      <c r="V104" s="23">
        <v>1</v>
      </c>
    </row>
    <row r="105" ht="33" spans="1:22">
      <c r="A105" s="16">
        <v>7894</v>
      </c>
      <c r="B105" s="16" t="s">
        <v>647</v>
      </c>
      <c r="C105" s="19">
        <v>12</v>
      </c>
      <c r="D105" s="19">
        <v>12</v>
      </c>
      <c r="E105" s="19">
        <v>14</v>
      </c>
      <c r="F105" s="19">
        <v>25</v>
      </c>
      <c r="G105" s="19">
        <v>12</v>
      </c>
      <c r="H105" s="20">
        <v>1995.05</v>
      </c>
      <c r="I105" s="20">
        <v>1999.46</v>
      </c>
      <c r="J105" s="21">
        <v>2259.36</v>
      </c>
      <c r="K105" s="21">
        <v>4068.42</v>
      </c>
      <c r="L105" s="21">
        <v>1977.79</v>
      </c>
      <c r="M105" s="22">
        <v>0</v>
      </c>
      <c r="N105" s="22">
        <v>1</v>
      </c>
      <c r="O105" s="22">
        <v>0</v>
      </c>
      <c r="P105" s="22">
        <v>0</v>
      </c>
      <c r="Q105" s="22">
        <v>2</v>
      </c>
      <c r="R105" s="17">
        <v>1</v>
      </c>
      <c r="S105" s="17">
        <v>0.923076923076923</v>
      </c>
      <c r="T105" s="17">
        <v>1</v>
      </c>
      <c r="U105" s="17">
        <v>1</v>
      </c>
      <c r="V105" s="23">
        <v>0.857142857142857</v>
      </c>
    </row>
    <row r="106" ht="49.5" spans="1:22">
      <c r="A106" s="16">
        <v>9481</v>
      </c>
      <c r="B106" s="16" t="s">
        <v>648</v>
      </c>
      <c r="C106" s="19">
        <v>17</v>
      </c>
      <c r="D106" s="19">
        <v>6</v>
      </c>
      <c r="E106" s="19">
        <v>4</v>
      </c>
      <c r="F106" s="19">
        <v>5</v>
      </c>
      <c r="G106" s="19">
        <v>6</v>
      </c>
      <c r="H106" s="20">
        <v>666.99</v>
      </c>
      <c r="I106" s="20">
        <v>257.94</v>
      </c>
      <c r="J106" s="21">
        <v>177.35</v>
      </c>
      <c r="K106" s="21">
        <v>220.34</v>
      </c>
      <c r="L106" s="21">
        <v>263.33</v>
      </c>
      <c r="M106" s="22">
        <v>12</v>
      </c>
      <c r="N106" s="22">
        <v>18</v>
      </c>
      <c r="O106" s="22">
        <v>14</v>
      </c>
      <c r="P106" s="22">
        <v>8</v>
      </c>
      <c r="Q106" s="22">
        <v>9</v>
      </c>
      <c r="R106" s="17">
        <v>0.586206896551724</v>
      </c>
      <c r="S106" s="17">
        <v>0.25</v>
      </c>
      <c r="T106" s="17">
        <v>0.222222222222222</v>
      </c>
      <c r="U106" s="17">
        <v>0.384615384615385</v>
      </c>
      <c r="V106" s="23">
        <v>0.4</v>
      </c>
    </row>
    <row r="107" ht="33" spans="1:22">
      <c r="A107" s="16">
        <v>9482</v>
      </c>
      <c r="B107" s="16" t="s">
        <v>649</v>
      </c>
      <c r="C107" s="19">
        <v>10</v>
      </c>
      <c r="D107" s="19">
        <v>16</v>
      </c>
      <c r="E107" s="19">
        <v>22</v>
      </c>
      <c r="F107" s="19">
        <v>22</v>
      </c>
      <c r="G107" s="19">
        <v>22</v>
      </c>
      <c r="H107" s="20">
        <v>1298.27</v>
      </c>
      <c r="I107" s="20">
        <v>2081.59</v>
      </c>
      <c r="J107" s="21">
        <v>2864.77</v>
      </c>
      <c r="K107" s="21">
        <v>2853.5</v>
      </c>
      <c r="L107" s="21">
        <v>2860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17">
        <v>1</v>
      </c>
      <c r="S107" s="17">
        <v>1</v>
      </c>
      <c r="T107" s="17">
        <v>1</v>
      </c>
      <c r="U107" s="17">
        <v>1</v>
      </c>
      <c r="V107" s="23">
        <v>1</v>
      </c>
    </row>
    <row r="108" ht="33" spans="1:22">
      <c r="A108" s="16">
        <v>9777</v>
      </c>
      <c r="B108" s="16" t="s">
        <v>650</v>
      </c>
      <c r="C108" s="19">
        <v>1</v>
      </c>
      <c r="D108" s="19">
        <v>1</v>
      </c>
      <c r="E108" s="19">
        <v>3</v>
      </c>
      <c r="F108" s="19">
        <v>2</v>
      </c>
      <c r="G108" s="19">
        <v>2</v>
      </c>
      <c r="H108" s="20">
        <v>280.25</v>
      </c>
      <c r="I108" s="20">
        <v>252.3</v>
      </c>
      <c r="J108" s="21">
        <v>764.47</v>
      </c>
      <c r="K108" s="21">
        <v>519.74</v>
      </c>
      <c r="L108" s="21">
        <v>519.74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17">
        <v>1</v>
      </c>
      <c r="S108" s="17">
        <v>1</v>
      </c>
      <c r="T108" s="17">
        <v>1</v>
      </c>
      <c r="U108" s="17">
        <v>1</v>
      </c>
      <c r="V108" s="23">
        <v>1</v>
      </c>
    </row>
    <row r="109" ht="33" spans="1:22">
      <c r="A109" s="16">
        <v>228</v>
      </c>
      <c r="B109" s="16" t="s">
        <v>651</v>
      </c>
      <c r="C109" s="19">
        <v>23</v>
      </c>
      <c r="D109" s="19">
        <v>15</v>
      </c>
      <c r="E109" s="19">
        <v>24</v>
      </c>
      <c r="F109" s="19">
        <v>22</v>
      </c>
      <c r="G109" s="19">
        <v>32</v>
      </c>
      <c r="H109" s="20">
        <v>844.92</v>
      </c>
      <c r="I109" s="20">
        <v>547.14</v>
      </c>
      <c r="J109" s="21">
        <v>875</v>
      </c>
      <c r="K109" s="21">
        <v>802.17</v>
      </c>
      <c r="L109" s="21">
        <v>1146.66</v>
      </c>
      <c r="M109" s="22">
        <v>0</v>
      </c>
      <c r="N109" s="22">
        <v>1</v>
      </c>
      <c r="O109" s="22">
        <v>0</v>
      </c>
      <c r="P109" s="22">
        <v>0</v>
      </c>
      <c r="Q109" s="22">
        <v>3</v>
      </c>
      <c r="R109" s="17">
        <v>1</v>
      </c>
      <c r="S109" s="17">
        <v>0.9375</v>
      </c>
      <c r="T109" s="17">
        <v>1</v>
      </c>
      <c r="U109" s="17">
        <v>1</v>
      </c>
      <c r="V109" s="23">
        <v>0.914285714285714</v>
      </c>
    </row>
    <row r="110" ht="16.5" spans="1:22">
      <c r="A110" s="16">
        <v>259</v>
      </c>
      <c r="B110" s="16" t="s">
        <v>652</v>
      </c>
      <c r="C110" s="19">
        <v>54</v>
      </c>
      <c r="D110" s="19">
        <v>57</v>
      </c>
      <c r="E110" s="19">
        <v>89</v>
      </c>
      <c r="F110" s="19">
        <v>45</v>
      </c>
      <c r="G110" s="19">
        <v>66</v>
      </c>
      <c r="H110" s="20">
        <v>1202.46</v>
      </c>
      <c r="I110" s="20">
        <v>1265.03</v>
      </c>
      <c r="J110" s="21">
        <v>1980.24</v>
      </c>
      <c r="K110" s="21">
        <v>1089.94</v>
      </c>
      <c r="L110" s="21">
        <v>1579.11</v>
      </c>
      <c r="M110" s="22">
        <v>19</v>
      </c>
      <c r="N110" s="22">
        <v>21</v>
      </c>
      <c r="O110" s="22">
        <v>17</v>
      </c>
      <c r="P110" s="22">
        <v>18</v>
      </c>
      <c r="Q110" s="22">
        <v>26</v>
      </c>
      <c r="R110" s="17">
        <v>0.73972602739726</v>
      </c>
      <c r="S110" s="17">
        <v>0.730769230769231</v>
      </c>
      <c r="T110" s="17">
        <v>0.839622641509434</v>
      </c>
      <c r="U110" s="17">
        <v>0.714285714285714</v>
      </c>
      <c r="V110" s="23">
        <v>0.717391304347826</v>
      </c>
    </row>
    <row r="111" ht="16.5" spans="1:22">
      <c r="A111" s="16">
        <v>262</v>
      </c>
      <c r="B111" s="16" t="s">
        <v>653</v>
      </c>
      <c r="C111" s="19">
        <v>12</v>
      </c>
      <c r="D111" s="19">
        <v>10</v>
      </c>
      <c r="E111" s="19">
        <v>17</v>
      </c>
      <c r="F111" s="19">
        <v>18</v>
      </c>
      <c r="G111" s="19">
        <v>16</v>
      </c>
      <c r="H111" s="20">
        <v>687.96</v>
      </c>
      <c r="I111" s="20">
        <v>573.47</v>
      </c>
      <c r="J111" s="21">
        <v>1001.71</v>
      </c>
      <c r="K111" s="21">
        <v>1076.62</v>
      </c>
      <c r="L111" s="21">
        <v>958.48</v>
      </c>
      <c r="M111" s="22">
        <v>5</v>
      </c>
      <c r="N111" s="22">
        <v>3</v>
      </c>
      <c r="O111" s="22">
        <v>4</v>
      </c>
      <c r="P111" s="22">
        <v>7</v>
      </c>
      <c r="Q111" s="22">
        <v>11</v>
      </c>
      <c r="R111" s="17">
        <v>0.705882352941177</v>
      </c>
      <c r="S111" s="17">
        <v>0.769230769230769</v>
      </c>
      <c r="T111" s="17">
        <v>0.80952380952381</v>
      </c>
      <c r="U111" s="17">
        <v>0.72</v>
      </c>
      <c r="V111" s="23">
        <v>0.592592592592593</v>
      </c>
    </row>
    <row r="112" ht="33" spans="1:22">
      <c r="A112" s="16">
        <v>2553</v>
      </c>
      <c r="B112" s="16" t="s">
        <v>654</v>
      </c>
      <c r="C112" s="19">
        <v>5</v>
      </c>
      <c r="D112" s="19">
        <v>12</v>
      </c>
      <c r="E112" s="19">
        <v>3</v>
      </c>
      <c r="F112" s="19">
        <v>1</v>
      </c>
      <c r="G112" s="19">
        <v>0</v>
      </c>
      <c r="H112" s="20">
        <v>409.5</v>
      </c>
      <c r="I112" s="20">
        <v>1006.23</v>
      </c>
      <c r="J112" s="21">
        <v>251.52</v>
      </c>
      <c r="K112" s="21">
        <v>83.84</v>
      </c>
      <c r="L112" s="21">
        <v>0</v>
      </c>
      <c r="M112" s="22">
        <v>17</v>
      </c>
      <c r="N112" s="22">
        <v>7</v>
      </c>
      <c r="O112" s="22">
        <v>15</v>
      </c>
      <c r="P112" s="22">
        <v>18</v>
      </c>
      <c r="Q112" s="22">
        <v>51</v>
      </c>
      <c r="R112" s="17">
        <v>0.227272727272727</v>
      </c>
      <c r="S112" s="17">
        <v>0.631578947368421</v>
      </c>
      <c r="T112" s="17">
        <v>0.166666666666667</v>
      </c>
      <c r="U112" s="17">
        <v>0.0526315789473684</v>
      </c>
      <c r="V112" s="23">
        <v>0</v>
      </c>
    </row>
    <row r="113" ht="33" spans="1:22">
      <c r="A113" s="16">
        <v>263</v>
      </c>
      <c r="B113" s="16" t="s">
        <v>655</v>
      </c>
      <c r="C113" s="19">
        <v>39</v>
      </c>
      <c r="D113" s="19">
        <v>50</v>
      </c>
      <c r="E113" s="19">
        <v>70</v>
      </c>
      <c r="F113" s="19">
        <v>65</v>
      </c>
      <c r="G113" s="19">
        <v>45</v>
      </c>
      <c r="H113" s="20">
        <v>2097.1</v>
      </c>
      <c r="I113" s="20">
        <v>2689</v>
      </c>
      <c r="J113" s="21">
        <v>3839.96</v>
      </c>
      <c r="K113" s="21">
        <v>3515.38</v>
      </c>
      <c r="L113" s="21">
        <v>2444.2</v>
      </c>
      <c r="M113" s="22">
        <v>25</v>
      </c>
      <c r="N113" s="22">
        <v>25</v>
      </c>
      <c r="O113" s="22">
        <v>45</v>
      </c>
      <c r="P113" s="22">
        <v>37</v>
      </c>
      <c r="Q113" s="22">
        <v>59</v>
      </c>
      <c r="R113" s="17">
        <v>0.609375</v>
      </c>
      <c r="S113" s="17">
        <v>0.666666666666667</v>
      </c>
      <c r="T113" s="17">
        <v>0.608695652173913</v>
      </c>
      <c r="U113" s="17">
        <v>0.637254901960784</v>
      </c>
      <c r="V113" s="23">
        <v>0.432692307692308</v>
      </c>
    </row>
    <row r="114" ht="16.5" spans="1:22">
      <c r="A114" s="16">
        <v>264</v>
      </c>
      <c r="B114" s="16" t="s">
        <v>656</v>
      </c>
      <c r="C114" s="19">
        <v>30</v>
      </c>
      <c r="D114" s="19">
        <v>20</v>
      </c>
      <c r="E114" s="19">
        <v>50</v>
      </c>
      <c r="F114" s="19">
        <v>32</v>
      </c>
      <c r="G114" s="19">
        <v>27</v>
      </c>
      <c r="H114" s="20">
        <v>1379.7</v>
      </c>
      <c r="I114" s="20">
        <v>922.86</v>
      </c>
      <c r="J114" s="21">
        <v>2440.56</v>
      </c>
      <c r="K114" s="21">
        <v>1566.18</v>
      </c>
      <c r="L114" s="21">
        <v>1330.91</v>
      </c>
      <c r="M114" s="22">
        <v>10</v>
      </c>
      <c r="N114" s="22">
        <v>16</v>
      </c>
      <c r="O114" s="22">
        <v>11</v>
      </c>
      <c r="P114" s="22">
        <v>24</v>
      </c>
      <c r="Q114" s="22">
        <v>31</v>
      </c>
      <c r="R114" s="17">
        <v>0.75</v>
      </c>
      <c r="S114" s="17">
        <v>0.555555555555556</v>
      </c>
      <c r="T114" s="17">
        <v>0.819672131147541</v>
      </c>
      <c r="U114" s="17">
        <v>0.571428571428571</v>
      </c>
      <c r="V114" s="23">
        <v>0.46551724137931</v>
      </c>
    </row>
    <row r="115" ht="33" spans="1:22">
      <c r="A115" s="16">
        <v>5670</v>
      </c>
      <c r="B115" s="16" t="s">
        <v>657</v>
      </c>
      <c r="C115" s="19">
        <v>32</v>
      </c>
      <c r="D115" s="19">
        <v>69</v>
      </c>
      <c r="E115" s="19">
        <v>69</v>
      </c>
      <c r="F115" s="19">
        <v>80</v>
      </c>
      <c r="G115" s="19">
        <v>76</v>
      </c>
      <c r="H115" s="20">
        <v>1935.04</v>
      </c>
      <c r="I115" s="20">
        <v>4172.42999999999</v>
      </c>
      <c r="J115" s="21">
        <v>4170.92999999999</v>
      </c>
      <c r="K115" s="21">
        <v>4798.6</v>
      </c>
      <c r="L115" s="21">
        <v>4559.38</v>
      </c>
      <c r="M115" s="22">
        <v>44</v>
      </c>
      <c r="N115" s="22">
        <v>13</v>
      </c>
      <c r="O115" s="22">
        <v>21</v>
      </c>
      <c r="P115" s="22">
        <v>29</v>
      </c>
      <c r="Q115" s="22">
        <v>29</v>
      </c>
      <c r="R115" s="17">
        <v>0.421052631578947</v>
      </c>
      <c r="S115" s="17">
        <v>0.841463414634146</v>
      </c>
      <c r="T115" s="17">
        <v>0.766666666666667</v>
      </c>
      <c r="U115" s="17">
        <v>0.73394495412844</v>
      </c>
      <c r="V115" s="23">
        <v>0.723809523809524</v>
      </c>
    </row>
    <row r="116" ht="33" spans="1:22">
      <c r="A116" s="16">
        <v>2585</v>
      </c>
      <c r="B116" s="16" t="s">
        <v>658</v>
      </c>
      <c r="C116" s="19">
        <v>27</v>
      </c>
      <c r="D116" s="19">
        <v>19</v>
      </c>
      <c r="E116" s="19">
        <v>24</v>
      </c>
      <c r="F116" s="19">
        <v>5</v>
      </c>
      <c r="G116" s="19">
        <v>9</v>
      </c>
      <c r="H116" s="20">
        <v>524.24</v>
      </c>
      <c r="I116" s="20">
        <v>393.3</v>
      </c>
      <c r="J116" s="21">
        <v>506.49</v>
      </c>
      <c r="K116" s="21">
        <v>106.6</v>
      </c>
      <c r="L116" s="21">
        <v>197.24</v>
      </c>
      <c r="M116" s="22">
        <v>4</v>
      </c>
      <c r="N116" s="22">
        <v>5</v>
      </c>
      <c r="O116" s="22">
        <v>5</v>
      </c>
      <c r="P116" s="22">
        <v>4</v>
      </c>
      <c r="Q116" s="22">
        <v>17</v>
      </c>
      <c r="R116" s="17">
        <v>0.870967741935484</v>
      </c>
      <c r="S116" s="17">
        <v>0.791666666666667</v>
      </c>
      <c r="T116" s="17">
        <v>0.827586206896552</v>
      </c>
      <c r="U116" s="17">
        <v>0.555555555555556</v>
      </c>
      <c r="V116" s="23">
        <v>0.346153846153846</v>
      </c>
    </row>
    <row r="117" ht="16.5" spans="1:22">
      <c r="A117" s="16">
        <v>289</v>
      </c>
      <c r="B117" s="16" t="s">
        <v>659</v>
      </c>
      <c r="C117" s="19">
        <v>7</v>
      </c>
      <c r="D117" s="19">
        <v>6</v>
      </c>
      <c r="E117" s="19">
        <v>5</v>
      </c>
      <c r="F117" s="19">
        <v>3</v>
      </c>
      <c r="G117" s="19">
        <v>4</v>
      </c>
      <c r="H117" s="20">
        <v>664.97</v>
      </c>
      <c r="I117" s="20">
        <v>564.49</v>
      </c>
      <c r="J117" s="21">
        <v>477.97</v>
      </c>
      <c r="K117" s="21">
        <v>283.49</v>
      </c>
      <c r="L117" s="21">
        <v>380.48</v>
      </c>
      <c r="M117" s="22">
        <v>4</v>
      </c>
      <c r="N117" s="22">
        <v>4</v>
      </c>
      <c r="O117" s="22">
        <v>6</v>
      </c>
      <c r="P117" s="22">
        <v>19</v>
      </c>
      <c r="Q117" s="22">
        <v>17</v>
      </c>
      <c r="R117" s="17">
        <v>0.636363636363636</v>
      </c>
      <c r="S117" s="17">
        <v>0.6</v>
      </c>
      <c r="T117" s="17">
        <v>0.454545454545455</v>
      </c>
      <c r="U117" s="17">
        <v>0.136363636363636</v>
      </c>
      <c r="V117" s="23">
        <v>0.19047619047619</v>
      </c>
    </row>
    <row r="118" ht="33" spans="1:22">
      <c r="A118" s="16">
        <v>2638</v>
      </c>
      <c r="B118" s="16" t="s">
        <v>660</v>
      </c>
      <c r="C118" s="19">
        <v>19</v>
      </c>
      <c r="D118" s="19">
        <v>23</v>
      </c>
      <c r="E118" s="19">
        <v>18</v>
      </c>
      <c r="F118" s="19">
        <v>7</v>
      </c>
      <c r="G118" s="19">
        <v>9</v>
      </c>
      <c r="H118" s="20">
        <v>1557.81</v>
      </c>
      <c r="I118" s="20">
        <v>1883.77</v>
      </c>
      <c r="J118" s="21">
        <v>1474.32</v>
      </c>
      <c r="K118" s="21">
        <v>573.43</v>
      </c>
      <c r="L118" s="21">
        <v>736.27</v>
      </c>
      <c r="M118" s="22">
        <v>3</v>
      </c>
      <c r="N118" s="22">
        <v>1</v>
      </c>
      <c r="O118" s="22">
        <v>9</v>
      </c>
      <c r="P118" s="22">
        <v>2</v>
      </c>
      <c r="Q118" s="22">
        <v>2</v>
      </c>
      <c r="R118" s="17">
        <v>0.863636363636364</v>
      </c>
      <c r="S118" s="17">
        <v>0.958333333333333</v>
      </c>
      <c r="T118" s="17">
        <v>0.666666666666667</v>
      </c>
      <c r="U118" s="17">
        <v>0.777777777777778</v>
      </c>
      <c r="V118" s="23">
        <v>0.818181818181818</v>
      </c>
    </row>
    <row r="119" ht="33" spans="1:22">
      <c r="A119" s="16">
        <v>292</v>
      </c>
      <c r="B119" s="16" t="s">
        <v>661</v>
      </c>
      <c r="C119" s="19">
        <v>187</v>
      </c>
      <c r="D119" s="19">
        <v>115</v>
      </c>
      <c r="E119" s="19">
        <v>57</v>
      </c>
      <c r="F119" s="19">
        <v>34</v>
      </c>
      <c r="G119" s="19">
        <v>194</v>
      </c>
      <c r="H119" s="20">
        <v>9486.14999999997</v>
      </c>
      <c r="I119" s="20">
        <v>6151.13</v>
      </c>
      <c r="J119" s="21">
        <v>3791.43</v>
      </c>
      <c r="K119" s="21">
        <v>2839.76</v>
      </c>
      <c r="L119" s="21">
        <v>16201.16</v>
      </c>
      <c r="M119" s="22">
        <v>259</v>
      </c>
      <c r="N119" s="22">
        <v>289</v>
      </c>
      <c r="O119" s="22">
        <v>296</v>
      </c>
      <c r="P119" s="22">
        <v>315</v>
      </c>
      <c r="Q119" s="22">
        <v>71</v>
      </c>
      <c r="R119" s="17">
        <v>0.419282511210762</v>
      </c>
      <c r="S119" s="17">
        <v>0.284653465346535</v>
      </c>
      <c r="T119" s="17">
        <v>0.161473087818697</v>
      </c>
      <c r="U119" s="17">
        <v>0.0974212034383954</v>
      </c>
      <c r="V119" s="23">
        <v>0.732075471698113</v>
      </c>
    </row>
    <row r="120" ht="33" spans="1:22">
      <c r="A120" s="16">
        <v>2637</v>
      </c>
      <c r="B120" s="16" t="s">
        <v>662</v>
      </c>
      <c r="C120" s="19">
        <v>25</v>
      </c>
      <c r="D120" s="19">
        <v>24</v>
      </c>
      <c r="E120" s="19">
        <v>39</v>
      </c>
      <c r="F120" s="19">
        <v>26</v>
      </c>
      <c r="G120" s="19">
        <v>33</v>
      </c>
      <c r="H120" s="20">
        <v>2197.21</v>
      </c>
      <c r="I120" s="20">
        <v>2109.31</v>
      </c>
      <c r="J120" s="21">
        <v>3422.99</v>
      </c>
      <c r="K120" s="21">
        <v>2283.05</v>
      </c>
      <c r="L120" s="21">
        <v>2882.09</v>
      </c>
      <c r="M120" s="22">
        <v>13</v>
      </c>
      <c r="N120" s="22">
        <v>19</v>
      </c>
      <c r="O120" s="22">
        <v>14</v>
      </c>
      <c r="P120" s="22">
        <v>8</v>
      </c>
      <c r="Q120" s="22">
        <v>6</v>
      </c>
      <c r="R120" s="17">
        <v>0.657894736842105</v>
      </c>
      <c r="S120" s="17">
        <v>0.558139534883721</v>
      </c>
      <c r="T120" s="17">
        <v>0.735849056603774</v>
      </c>
      <c r="U120" s="17">
        <v>0.764705882352941</v>
      </c>
      <c r="V120" s="23">
        <v>0.846153846153846</v>
      </c>
    </row>
    <row r="121" ht="33" spans="1:22">
      <c r="A121" s="16">
        <v>293</v>
      </c>
      <c r="B121" s="16" t="s">
        <v>663</v>
      </c>
      <c r="C121" s="19">
        <v>25</v>
      </c>
      <c r="D121" s="19">
        <v>25</v>
      </c>
      <c r="E121" s="19">
        <v>22</v>
      </c>
      <c r="F121" s="19">
        <v>19</v>
      </c>
      <c r="G121" s="19">
        <v>14</v>
      </c>
      <c r="H121" s="20">
        <v>1597.7</v>
      </c>
      <c r="I121" s="20">
        <v>1597.7</v>
      </c>
      <c r="J121" s="21">
        <v>1596.4</v>
      </c>
      <c r="K121" s="21">
        <v>1463.47</v>
      </c>
      <c r="L121" s="21">
        <v>1064.5</v>
      </c>
      <c r="M121" s="22">
        <v>22</v>
      </c>
      <c r="N121" s="22">
        <v>18</v>
      </c>
      <c r="O121" s="22">
        <v>34</v>
      </c>
      <c r="P121" s="22">
        <v>45</v>
      </c>
      <c r="Q121" s="22">
        <v>76</v>
      </c>
      <c r="R121" s="17">
        <v>0.531914893617021</v>
      </c>
      <c r="S121" s="17">
        <v>0.581395348837209</v>
      </c>
      <c r="T121" s="17">
        <v>0.392857142857143</v>
      </c>
      <c r="U121" s="17">
        <v>0.296875</v>
      </c>
      <c r="V121" s="23">
        <v>0.155555555555556</v>
      </c>
    </row>
    <row r="122" ht="16.5" spans="1:22">
      <c r="A122" s="16">
        <v>327</v>
      </c>
      <c r="B122" s="16" t="s">
        <v>664</v>
      </c>
      <c r="C122" s="19">
        <v>28</v>
      </c>
      <c r="D122" s="19">
        <v>58</v>
      </c>
      <c r="E122" s="19">
        <v>25</v>
      </c>
      <c r="F122" s="19">
        <v>19</v>
      </c>
      <c r="G122" s="19">
        <v>20</v>
      </c>
      <c r="H122" s="20">
        <v>1349.72</v>
      </c>
      <c r="I122" s="20">
        <v>2763.42</v>
      </c>
      <c r="J122" s="21">
        <v>1250.49</v>
      </c>
      <c r="K122" s="21">
        <v>971.1</v>
      </c>
      <c r="L122" s="21">
        <v>963.95</v>
      </c>
      <c r="M122" s="22">
        <v>3</v>
      </c>
      <c r="N122" s="22">
        <v>7</v>
      </c>
      <c r="O122" s="22">
        <v>8</v>
      </c>
      <c r="P122" s="22">
        <v>18</v>
      </c>
      <c r="Q122" s="22">
        <v>16</v>
      </c>
      <c r="R122" s="17">
        <v>0.903225806451613</v>
      </c>
      <c r="S122" s="17">
        <v>0.892307692307692</v>
      </c>
      <c r="T122" s="17">
        <v>0.757575757575758</v>
      </c>
      <c r="U122" s="17">
        <v>0.513513513513513</v>
      </c>
      <c r="V122" s="23">
        <v>0.555555555555556</v>
      </c>
    </row>
    <row r="123" ht="33" spans="1:22">
      <c r="A123" s="16">
        <v>336</v>
      </c>
      <c r="B123" s="16" t="s">
        <v>665</v>
      </c>
      <c r="C123" s="19">
        <v>46</v>
      </c>
      <c r="D123" s="19">
        <v>50</v>
      </c>
      <c r="E123" s="19">
        <v>83</v>
      </c>
      <c r="F123" s="19">
        <v>77</v>
      </c>
      <c r="G123" s="19">
        <v>50</v>
      </c>
      <c r="H123" s="20">
        <v>1145.4</v>
      </c>
      <c r="I123" s="20">
        <v>1245</v>
      </c>
      <c r="J123" s="21">
        <v>2070.7</v>
      </c>
      <c r="K123" s="21">
        <v>1930.8</v>
      </c>
      <c r="L123" s="21">
        <v>1250</v>
      </c>
      <c r="M123" s="22">
        <v>43</v>
      </c>
      <c r="N123" s="22">
        <v>31</v>
      </c>
      <c r="O123" s="22">
        <v>35</v>
      </c>
      <c r="P123" s="22">
        <v>27</v>
      </c>
      <c r="Q123" s="22">
        <v>34</v>
      </c>
      <c r="R123" s="17">
        <v>0.51685393258427</v>
      </c>
      <c r="S123" s="17">
        <v>0.617283950617284</v>
      </c>
      <c r="T123" s="17">
        <v>0.703389830508475</v>
      </c>
      <c r="U123" s="17">
        <v>0.740384615384615</v>
      </c>
      <c r="V123" s="23">
        <v>0.595238095238095</v>
      </c>
    </row>
    <row r="124" ht="16.5" spans="1:22">
      <c r="A124" s="16">
        <v>337</v>
      </c>
      <c r="B124" s="16" t="s">
        <v>666</v>
      </c>
      <c r="C124" s="19">
        <v>23</v>
      </c>
      <c r="D124" s="19">
        <v>18</v>
      </c>
      <c r="E124" s="19">
        <v>16</v>
      </c>
      <c r="F124" s="19">
        <v>15</v>
      </c>
      <c r="G124" s="19">
        <v>25</v>
      </c>
      <c r="H124" s="20">
        <v>975.97</v>
      </c>
      <c r="I124" s="20">
        <v>787.06</v>
      </c>
      <c r="J124" s="21">
        <v>696.44</v>
      </c>
      <c r="K124" s="21">
        <v>652.85</v>
      </c>
      <c r="L124" s="21">
        <v>1091.34</v>
      </c>
      <c r="M124" s="22">
        <v>10</v>
      </c>
      <c r="N124" s="22">
        <v>20</v>
      </c>
      <c r="O124" s="22">
        <v>15</v>
      </c>
      <c r="P124" s="22">
        <v>20</v>
      </c>
      <c r="Q124" s="22">
        <v>15</v>
      </c>
      <c r="R124" s="17">
        <v>0.696969696969697</v>
      </c>
      <c r="S124" s="17">
        <v>0.473684210526316</v>
      </c>
      <c r="T124" s="17">
        <v>0.516129032258065</v>
      </c>
      <c r="U124" s="17">
        <v>0.428571428571429</v>
      </c>
      <c r="V124" s="23">
        <v>0.625</v>
      </c>
    </row>
    <row r="125" ht="16.5" spans="1:22">
      <c r="A125" s="16">
        <v>365</v>
      </c>
      <c r="B125" s="16" t="s">
        <v>667</v>
      </c>
      <c r="C125" s="19">
        <v>19</v>
      </c>
      <c r="D125" s="19">
        <v>8</v>
      </c>
      <c r="E125" s="19">
        <v>14</v>
      </c>
      <c r="F125" s="19">
        <v>17</v>
      </c>
      <c r="G125" s="19">
        <v>25</v>
      </c>
      <c r="H125" s="20">
        <v>1545.66</v>
      </c>
      <c r="I125" s="20">
        <v>663.92</v>
      </c>
      <c r="J125" s="21">
        <v>1168.08</v>
      </c>
      <c r="K125" s="21">
        <v>1401.57</v>
      </c>
      <c r="L125" s="21">
        <v>2082.11</v>
      </c>
      <c r="M125" s="22">
        <v>0</v>
      </c>
      <c r="N125" s="22">
        <v>0</v>
      </c>
      <c r="O125" s="22">
        <v>0</v>
      </c>
      <c r="P125" s="22">
        <v>0</v>
      </c>
      <c r="Q125" s="22">
        <v>11</v>
      </c>
      <c r="R125" s="17">
        <v>1</v>
      </c>
      <c r="S125" s="17">
        <v>1</v>
      </c>
      <c r="T125" s="17">
        <v>1</v>
      </c>
      <c r="U125" s="17">
        <v>1</v>
      </c>
      <c r="V125" s="23">
        <v>0.694444444444444</v>
      </c>
    </row>
    <row r="126" ht="33" spans="1:22">
      <c r="A126" s="16">
        <v>371</v>
      </c>
      <c r="B126" s="16" t="s">
        <v>668</v>
      </c>
      <c r="C126" s="19">
        <v>9</v>
      </c>
      <c r="D126" s="19">
        <v>20</v>
      </c>
      <c r="E126" s="19">
        <v>23</v>
      </c>
      <c r="F126" s="19">
        <v>17</v>
      </c>
      <c r="G126" s="19">
        <v>26</v>
      </c>
      <c r="H126" s="20">
        <v>259.47</v>
      </c>
      <c r="I126" s="20">
        <v>576.1</v>
      </c>
      <c r="J126" s="21">
        <v>660.59</v>
      </c>
      <c r="K126" s="21">
        <v>477.97</v>
      </c>
      <c r="L126" s="21">
        <v>686.96</v>
      </c>
      <c r="M126" s="22">
        <v>73</v>
      </c>
      <c r="N126" s="22">
        <v>61</v>
      </c>
      <c r="O126" s="22">
        <v>81</v>
      </c>
      <c r="P126" s="22">
        <v>72</v>
      </c>
      <c r="Q126" s="22">
        <v>50</v>
      </c>
      <c r="R126" s="17">
        <v>0.109756097560976</v>
      </c>
      <c r="S126" s="17">
        <v>0.246913580246914</v>
      </c>
      <c r="T126" s="17">
        <v>0.221153846153846</v>
      </c>
      <c r="U126" s="17">
        <v>0.191011235955056</v>
      </c>
      <c r="V126" s="23">
        <v>0.342105263157895</v>
      </c>
    </row>
    <row r="127" ht="33" spans="1:22">
      <c r="A127" s="16">
        <v>372</v>
      </c>
      <c r="B127" s="16" t="s">
        <v>669</v>
      </c>
      <c r="C127" s="19">
        <v>15</v>
      </c>
      <c r="D127" s="19">
        <v>20</v>
      </c>
      <c r="E127" s="19">
        <v>16</v>
      </c>
      <c r="F127" s="19">
        <v>16</v>
      </c>
      <c r="G127" s="19">
        <v>26</v>
      </c>
      <c r="H127" s="20">
        <v>427.15</v>
      </c>
      <c r="I127" s="20">
        <v>575.42</v>
      </c>
      <c r="J127" s="21">
        <v>447</v>
      </c>
      <c r="K127" s="21">
        <v>455.69</v>
      </c>
      <c r="L127" s="21">
        <v>735.35</v>
      </c>
      <c r="M127" s="22">
        <v>1</v>
      </c>
      <c r="N127" s="22">
        <v>0</v>
      </c>
      <c r="O127" s="22">
        <v>2</v>
      </c>
      <c r="P127" s="22">
        <v>0</v>
      </c>
      <c r="Q127" s="22">
        <v>0</v>
      </c>
      <c r="R127" s="17">
        <v>0.9375</v>
      </c>
      <c r="S127" s="17">
        <v>1</v>
      </c>
      <c r="T127" s="17">
        <v>0.888888888888889</v>
      </c>
      <c r="U127" s="17">
        <v>1</v>
      </c>
      <c r="V127" s="23">
        <v>1</v>
      </c>
    </row>
    <row r="128" ht="16.5" spans="1:22">
      <c r="A128" s="16">
        <v>2554</v>
      </c>
      <c r="B128" s="16" t="s">
        <v>670</v>
      </c>
      <c r="C128" s="19">
        <v>5</v>
      </c>
      <c r="D128" s="19">
        <v>9</v>
      </c>
      <c r="E128" s="19">
        <v>8</v>
      </c>
      <c r="F128" s="19">
        <v>13</v>
      </c>
      <c r="G128" s="19">
        <v>6</v>
      </c>
      <c r="H128" s="20">
        <v>352.8</v>
      </c>
      <c r="I128" s="20">
        <v>574.48</v>
      </c>
      <c r="J128" s="21">
        <v>503.42</v>
      </c>
      <c r="K128" s="21">
        <v>830.36</v>
      </c>
      <c r="L128" s="21">
        <v>376.68</v>
      </c>
      <c r="M128" s="22">
        <v>0</v>
      </c>
      <c r="N128" s="22">
        <v>0</v>
      </c>
      <c r="O128" s="22">
        <v>1</v>
      </c>
      <c r="P128" s="22">
        <v>1</v>
      </c>
      <c r="Q128" s="22">
        <v>0</v>
      </c>
      <c r="R128" s="17">
        <v>1</v>
      </c>
      <c r="S128" s="17">
        <v>1</v>
      </c>
      <c r="T128" s="17">
        <v>0.888888888888889</v>
      </c>
      <c r="U128" s="17">
        <v>0.928571428571429</v>
      </c>
      <c r="V128" s="23">
        <v>1</v>
      </c>
    </row>
    <row r="129" ht="16.5" spans="1:22">
      <c r="A129" s="16">
        <v>419</v>
      </c>
      <c r="B129" s="16" t="s">
        <v>671</v>
      </c>
      <c r="C129" s="19">
        <v>15</v>
      </c>
      <c r="D129" s="19">
        <v>16</v>
      </c>
      <c r="E129" s="19">
        <v>10</v>
      </c>
      <c r="F129" s="19">
        <v>14</v>
      </c>
      <c r="G129" s="19">
        <v>8</v>
      </c>
      <c r="H129" s="20">
        <v>599.7</v>
      </c>
      <c r="I129" s="20">
        <v>636.18</v>
      </c>
      <c r="J129" s="21">
        <v>418.48</v>
      </c>
      <c r="K129" s="21">
        <v>580.42</v>
      </c>
      <c r="L129" s="21">
        <v>339.41</v>
      </c>
      <c r="M129" s="22">
        <v>6</v>
      </c>
      <c r="N129" s="22">
        <v>9</v>
      </c>
      <c r="O129" s="22">
        <v>8</v>
      </c>
      <c r="P129" s="22">
        <v>7</v>
      </c>
      <c r="Q129" s="22">
        <v>2</v>
      </c>
      <c r="R129" s="17">
        <v>0.714285714285714</v>
      </c>
      <c r="S129" s="17">
        <v>0.64</v>
      </c>
      <c r="T129" s="17">
        <v>0.555555555555556</v>
      </c>
      <c r="U129" s="17">
        <v>0.666666666666667</v>
      </c>
      <c r="V129" s="23">
        <v>0.8</v>
      </c>
    </row>
    <row r="130" ht="16.5" spans="1:22">
      <c r="A130" s="16">
        <v>421</v>
      </c>
      <c r="B130" s="16" t="s">
        <v>672</v>
      </c>
      <c r="C130" s="19">
        <v>15</v>
      </c>
      <c r="D130" s="19">
        <v>3</v>
      </c>
      <c r="E130" s="19">
        <v>16</v>
      </c>
      <c r="F130" s="19">
        <v>11</v>
      </c>
      <c r="G130" s="19">
        <v>18</v>
      </c>
      <c r="H130" s="20">
        <v>406.88</v>
      </c>
      <c r="I130" s="20">
        <v>82.99</v>
      </c>
      <c r="J130" s="21">
        <v>448.3</v>
      </c>
      <c r="K130" s="21">
        <v>311.74</v>
      </c>
      <c r="L130" s="21">
        <v>502.14</v>
      </c>
      <c r="M130" s="22">
        <v>5</v>
      </c>
      <c r="N130" s="22">
        <v>5</v>
      </c>
      <c r="O130" s="22">
        <v>1</v>
      </c>
      <c r="P130" s="22">
        <v>7</v>
      </c>
      <c r="Q130" s="22">
        <v>0</v>
      </c>
      <c r="R130" s="17">
        <v>0.75</v>
      </c>
      <c r="S130" s="17">
        <v>0.375</v>
      </c>
      <c r="T130" s="17">
        <v>0.941176470588235</v>
      </c>
      <c r="U130" s="17">
        <v>0.611111111111111</v>
      </c>
      <c r="V130" s="23">
        <v>1</v>
      </c>
    </row>
    <row r="131" ht="16.5" spans="1:22">
      <c r="A131" s="16">
        <v>428</v>
      </c>
      <c r="B131" s="16" t="s">
        <v>673</v>
      </c>
      <c r="C131" s="19">
        <v>26</v>
      </c>
      <c r="D131" s="19">
        <v>28</v>
      </c>
      <c r="E131" s="19">
        <v>38</v>
      </c>
      <c r="F131" s="19">
        <v>28</v>
      </c>
      <c r="G131" s="19">
        <v>17</v>
      </c>
      <c r="H131" s="20">
        <v>702</v>
      </c>
      <c r="I131" s="20">
        <v>757.63</v>
      </c>
      <c r="J131" s="21">
        <v>1102.94</v>
      </c>
      <c r="K131" s="21">
        <v>871.14</v>
      </c>
      <c r="L131" s="21">
        <v>520.56</v>
      </c>
      <c r="M131" s="22">
        <v>32</v>
      </c>
      <c r="N131" s="22">
        <v>24</v>
      </c>
      <c r="O131" s="22">
        <v>22</v>
      </c>
      <c r="P131" s="22">
        <v>34</v>
      </c>
      <c r="Q131" s="22">
        <v>36</v>
      </c>
      <c r="R131" s="17">
        <v>0.448275862068966</v>
      </c>
      <c r="S131" s="17">
        <v>0.538461538461538</v>
      </c>
      <c r="T131" s="17">
        <v>0.633333333333333</v>
      </c>
      <c r="U131" s="17">
        <v>0.451612903225806</v>
      </c>
      <c r="V131" s="23">
        <v>0.320754716981132</v>
      </c>
    </row>
    <row r="132" ht="16.5" spans="1:22">
      <c r="A132" s="16">
        <v>453</v>
      </c>
      <c r="B132" s="16" t="s">
        <v>674</v>
      </c>
      <c r="C132" s="19">
        <v>36</v>
      </c>
      <c r="D132" s="19">
        <v>70</v>
      </c>
      <c r="E132" s="19">
        <v>95</v>
      </c>
      <c r="F132" s="19">
        <v>48</v>
      </c>
      <c r="G132" s="19">
        <v>59</v>
      </c>
      <c r="H132" s="20">
        <v>4580.92</v>
      </c>
      <c r="I132" s="20">
        <v>8995.5</v>
      </c>
      <c r="J132" s="21">
        <v>12185.75</v>
      </c>
      <c r="K132" s="21">
        <v>6156.40000000001</v>
      </c>
      <c r="L132" s="21">
        <v>7521.34</v>
      </c>
      <c r="M132" s="22">
        <v>18</v>
      </c>
      <c r="N132" s="22">
        <v>6</v>
      </c>
      <c r="O132" s="22">
        <v>1</v>
      </c>
      <c r="P132" s="22">
        <v>8</v>
      </c>
      <c r="Q132" s="22">
        <v>10</v>
      </c>
      <c r="R132" s="17">
        <v>0.666666666666667</v>
      </c>
      <c r="S132" s="17">
        <v>0.921052631578947</v>
      </c>
      <c r="T132" s="17">
        <v>0.989583333333333</v>
      </c>
      <c r="U132" s="17">
        <v>0.857142857142857</v>
      </c>
      <c r="V132" s="23">
        <v>0.855072463768116</v>
      </c>
    </row>
    <row r="133" ht="33" spans="1:22">
      <c r="A133" s="16">
        <v>623</v>
      </c>
      <c r="B133" s="16" t="s">
        <v>675</v>
      </c>
      <c r="C133" s="19">
        <v>38</v>
      </c>
      <c r="D133" s="19">
        <v>39</v>
      </c>
      <c r="E133" s="19">
        <v>55</v>
      </c>
      <c r="F133" s="19">
        <v>45</v>
      </c>
      <c r="G133" s="19">
        <v>33</v>
      </c>
      <c r="H133" s="20">
        <v>711.38</v>
      </c>
      <c r="I133" s="20">
        <v>722.72</v>
      </c>
      <c r="J133" s="21">
        <v>1051.44</v>
      </c>
      <c r="K133" s="21">
        <v>872.08</v>
      </c>
      <c r="L133" s="21">
        <v>634.7</v>
      </c>
      <c r="M133" s="22">
        <v>12</v>
      </c>
      <c r="N133" s="22">
        <v>3</v>
      </c>
      <c r="O133" s="22">
        <v>8</v>
      </c>
      <c r="P133" s="22">
        <v>3</v>
      </c>
      <c r="Q133" s="22">
        <v>2</v>
      </c>
      <c r="R133" s="17">
        <v>0.76</v>
      </c>
      <c r="S133" s="17">
        <v>0.928571428571429</v>
      </c>
      <c r="T133" s="17">
        <v>0.873015873015873</v>
      </c>
      <c r="U133" s="17">
        <v>0.9375</v>
      </c>
      <c r="V133" s="23">
        <v>0.942857142857143</v>
      </c>
    </row>
    <row r="134" ht="66" spans="1:22">
      <c r="A134" s="16">
        <v>624</v>
      </c>
      <c r="B134" s="16" t="s">
        <v>676</v>
      </c>
      <c r="C134" s="19">
        <v>37</v>
      </c>
      <c r="D134" s="19">
        <v>18</v>
      </c>
      <c r="E134" s="19">
        <v>27</v>
      </c>
      <c r="F134" s="19">
        <v>14</v>
      </c>
      <c r="G134" s="19">
        <v>18</v>
      </c>
      <c r="H134" s="20">
        <v>885.780000000001</v>
      </c>
      <c r="I134" s="20">
        <v>437.92</v>
      </c>
      <c r="J134" s="21">
        <v>742.48</v>
      </c>
      <c r="K134" s="21">
        <v>392.04</v>
      </c>
      <c r="L134" s="21">
        <v>505.6</v>
      </c>
      <c r="M134" s="22">
        <v>19</v>
      </c>
      <c r="N134" s="22">
        <v>28</v>
      </c>
      <c r="O134" s="22">
        <v>41</v>
      </c>
      <c r="P134" s="22">
        <v>30</v>
      </c>
      <c r="Q134" s="22">
        <v>31</v>
      </c>
      <c r="R134" s="17">
        <v>0.660714285714286</v>
      </c>
      <c r="S134" s="17">
        <v>0.391304347826087</v>
      </c>
      <c r="T134" s="17">
        <v>0.397058823529412</v>
      </c>
      <c r="U134" s="17">
        <v>0.318181818181818</v>
      </c>
      <c r="V134" s="23">
        <v>0.36734693877551</v>
      </c>
    </row>
    <row r="135" ht="33" spans="1:22">
      <c r="A135" s="16">
        <v>625</v>
      </c>
      <c r="B135" s="16" t="s">
        <v>677</v>
      </c>
      <c r="C135" s="19">
        <v>17</v>
      </c>
      <c r="D135" s="19">
        <v>34</v>
      </c>
      <c r="E135" s="19">
        <v>38</v>
      </c>
      <c r="F135" s="19">
        <v>37</v>
      </c>
      <c r="G135" s="19">
        <v>22</v>
      </c>
      <c r="H135" s="20">
        <v>266.75</v>
      </c>
      <c r="I135" s="20">
        <v>571</v>
      </c>
      <c r="J135" s="21">
        <v>655.49</v>
      </c>
      <c r="K135" s="21">
        <v>653.24</v>
      </c>
      <c r="L135" s="21">
        <v>385.18</v>
      </c>
      <c r="M135" s="22">
        <v>16</v>
      </c>
      <c r="N135" s="22">
        <v>3</v>
      </c>
      <c r="O135" s="22">
        <v>4</v>
      </c>
      <c r="P135" s="22">
        <v>3</v>
      </c>
      <c r="Q135" s="22">
        <v>4</v>
      </c>
      <c r="R135" s="17">
        <v>0.515151515151515</v>
      </c>
      <c r="S135" s="17">
        <v>0.918918918918919</v>
      </c>
      <c r="T135" s="17">
        <v>0.904761904761905</v>
      </c>
      <c r="U135" s="17">
        <v>0.925</v>
      </c>
      <c r="V135" s="23">
        <v>0.846153846153846</v>
      </c>
    </row>
    <row r="136" ht="33" spans="1:22">
      <c r="A136" s="16">
        <v>482</v>
      </c>
      <c r="B136" s="16" t="s">
        <v>678</v>
      </c>
      <c r="C136" s="19">
        <v>6</v>
      </c>
      <c r="D136" s="19">
        <v>12</v>
      </c>
      <c r="E136" s="19">
        <v>12</v>
      </c>
      <c r="F136" s="19">
        <v>14</v>
      </c>
      <c r="G136" s="19">
        <v>8</v>
      </c>
      <c r="H136" s="20">
        <v>492</v>
      </c>
      <c r="I136" s="20">
        <v>996.68</v>
      </c>
      <c r="J136" s="21">
        <v>1008.62</v>
      </c>
      <c r="K136" s="21">
        <v>1184</v>
      </c>
      <c r="L136" s="21">
        <v>722.04</v>
      </c>
      <c r="M136" s="22">
        <v>10</v>
      </c>
      <c r="N136" s="22">
        <v>3</v>
      </c>
      <c r="O136" s="22">
        <v>2</v>
      </c>
      <c r="P136" s="22">
        <v>6</v>
      </c>
      <c r="Q136" s="22">
        <v>18</v>
      </c>
      <c r="R136" s="17">
        <v>0.375</v>
      </c>
      <c r="S136" s="17">
        <v>0.8</v>
      </c>
      <c r="T136" s="17">
        <v>0.857142857142857</v>
      </c>
      <c r="U136" s="17">
        <v>0.7</v>
      </c>
      <c r="V136" s="23">
        <v>0.307692307692308</v>
      </c>
    </row>
    <row r="137" ht="16.5" spans="1:22">
      <c r="A137" s="16">
        <v>483</v>
      </c>
      <c r="B137" s="16" t="s">
        <v>679</v>
      </c>
      <c r="C137" s="19">
        <v>14</v>
      </c>
      <c r="D137" s="19">
        <v>27</v>
      </c>
      <c r="E137" s="19">
        <v>22</v>
      </c>
      <c r="F137" s="19">
        <v>31</v>
      </c>
      <c r="G137" s="19">
        <v>28</v>
      </c>
      <c r="H137" s="20">
        <v>1090.46</v>
      </c>
      <c r="I137" s="20">
        <v>2105.23</v>
      </c>
      <c r="J137" s="21">
        <v>1693.74</v>
      </c>
      <c r="K137" s="21">
        <v>2350.18</v>
      </c>
      <c r="L137" s="21">
        <v>2110.66</v>
      </c>
      <c r="M137" s="22">
        <v>1</v>
      </c>
      <c r="N137" s="22">
        <v>4</v>
      </c>
      <c r="O137" s="22">
        <v>10</v>
      </c>
      <c r="P137" s="22">
        <v>1</v>
      </c>
      <c r="Q137" s="22">
        <v>2</v>
      </c>
      <c r="R137" s="17">
        <v>0.933333333333333</v>
      </c>
      <c r="S137" s="17">
        <v>0.870967741935484</v>
      </c>
      <c r="T137" s="17">
        <v>0.6875</v>
      </c>
      <c r="U137" s="17">
        <v>0.96875</v>
      </c>
      <c r="V137" s="23">
        <v>0.933333333333333</v>
      </c>
    </row>
    <row r="138" ht="16.5" spans="1:22">
      <c r="A138" s="16">
        <v>487</v>
      </c>
      <c r="B138" s="16" t="s">
        <v>680</v>
      </c>
      <c r="C138" s="19">
        <v>15</v>
      </c>
      <c r="D138" s="19">
        <v>8</v>
      </c>
      <c r="E138" s="19">
        <v>11</v>
      </c>
      <c r="F138" s="19">
        <v>14</v>
      </c>
      <c r="G138" s="19">
        <v>16</v>
      </c>
      <c r="H138" s="20">
        <v>2250.26</v>
      </c>
      <c r="I138" s="20">
        <v>1199.42</v>
      </c>
      <c r="J138" s="21">
        <v>1630.22</v>
      </c>
      <c r="K138" s="21">
        <v>1910.3</v>
      </c>
      <c r="L138" s="21">
        <v>2172.18</v>
      </c>
      <c r="M138" s="22">
        <v>4</v>
      </c>
      <c r="N138" s="22">
        <v>4</v>
      </c>
      <c r="O138" s="22">
        <v>12</v>
      </c>
      <c r="P138" s="22">
        <v>5</v>
      </c>
      <c r="Q138" s="22">
        <v>7</v>
      </c>
      <c r="R138" s="17">
        <v>0.789473684210526</v>
      </c>
      <c r="S138" s="17">
        <v>0.666666666666667</v>
      </c>
      <c r="T138" s="17">
        <v>0.478260869565217</v>
      </c>
      <c r="U138" s="17">
        <v>0.736842105263158</v>
      </c>
      <c r="V138" s="23">
        <v>0.695652173913043</v>
      </c>
    </row>
    <row r="139" ht="33" spans="1:22">
      <c r="A139" s="16">
        <v>488</v>
      </c>
      <c r="B139" s="16" t="s">
        <v>681</v>
      </c>
      <c r="C139" s="19">
        <v>84</v>
      </c>
      <c r="D139" s="19">
        <v>90</v>
      </c>
      <c r="E139" s="19">
        <v>120</v>
      </c>
      <c r="F139" s="19">
        <v>93</v>
      </c>
      <c r="G139" s="19">
        <v>100</v>
      </c>
      <c r="H139" s="20">
        <v>5606.06999999999</v>
      </c>
      <c r="I139" s="20">
        <v>5988.00999999999</v>
      </c>
      <c r="J139" s="21">
        <v>7940.48999999999</v>
      </c>
      <c r="K139" s="21">
        <v>6136.46999999999</v>
      </c>
      <c r="L139" s="21">
        <v>6540.29</v>
      </c>
      <c r="M139" s="22">
        <v>5</v>
      </c>
      <c r="N139" s="22">
        <v>6</v>
      </c>
      <c r="O139" s="22">
        <v>2</v>
      </c>
      <c r="P139" s="22">
        <v>7</v>
      </c>
      <c r="Q139" s="22">
        <v>22</v>
      </c>
      <c r="R139" s="17">
        <v>0.943820224719101</v>
      </c>
      <c r="S139" s="17">
        <v>0.9375</v>
      </c>
      <c r="T139" s="17">
        <v>0.983606557377049</v>
      </c>
      <c r="U139" s="17">
        <v>0.93</v>
      </c>
      <c r="V139" s="23">
        <v>0.819672131147541</v>
      </c>
    </row>
    <row r="140" ht="16.5" spans="1:22">
      <c r="A140" s="16">
        <v>489</v>
      </c>
      <c r="B140" s="16" t="s">
        <v>682</v>
      </c>
      <c r="C140" s="19">
        <v>19</v>
      </c>
      <c r="D140" s="19">
        <v>26</v>
      </c>
      <c r="E140" s="19">
        <v>37</v>
      </c>
      <c r="F140" s="19">
        <v>24</v>
      </c>
      <c r="G140" s="19">
        <v>30</v>
      </c>
      <c r="H140" s="20">
        <v>1141.05</v>
      </c>
      <c r="I140" s="20">
        <v>1561.99</v>
      </c>
      <c r="J140" s="21">
        <v>2251.61</v>
      </c>
      <c r="K140" s="21">
        <v>1502.88</v>
      </c>
      <c r="L140" s="21">
        <v>1901.59</v>
      </c>
      <c r="M140" s="22">
        <v>0</v>
      </c>
      <c r="N140" s="22">
        <v>0</v>
      </c>
      <c r="O140" s="22">
        <v>1</v>
      </c>
      <c r="P140" s="22">
        <v>0</v>
      </c>
      <c r="Q140" s="22">
        <v>5</v>
      </c>
      <c r="R140" s="17">
        <v>1</v>
      </c>
      <c r="S140" s="17">
        <v>1</v>
      </c>
      <c r="T140" s="17">
        <v>0.973684210526316</v>
      </c>
      <c r="U140" s="17">
        <v>1</v>
      </c>
      <c r="V140" s="23">
        <v>0.857142857142857</v>
      </c>
    </row>
    <row r="141" ht="33" spans="1:22">
      <c r="A141" s="16">
        <v>490</v>
      </c>
      <c r="B141" s="16" t="s">
        <v>683</v>
      </c>
      <c r="C141" s="19">
        <v>55</v>
      </c>
      <c r="D141" s="19">
        <v>46</v>
      </c>
      <c r="E141" s="19">
        <v>73</v>
      </c>
      <c r="F141" s="19">
        <v>71</v>
      </c>
      <c r="G141" s="19">
        <v>70</v>
      </c>
      <c r="H141" s="20">
        <v>3347.75</v>
      </c>
      <c r="I141" s="20">
        <v>2789.7</v>
      </c>
      <c r="J141" s="21">
        <v>4425.23999999999</v>
      </c>
      <c r="K141" s="21">
        <v>4268.77999999999</v>
      </c>
      <c r="L141" s="21">
        <v>4215.74999999999</v>
      </c>
      <c r="M141" s="22">
        <v>15</v>
      </c>
      <c r="N141" s="22">
        <v>20</v>
      </c>
      <c r="O141" s="22">
        <v>9</v>
      </c>
      <c r="P141" s="22">
        <v>21</v>
      </c>
      <c r="Q141" s="22">
        <v>9</v>
      </c>
      <c r="R141" s="17">
        <v>0.785714285714286</v>
      </c>
      <c r="S141" s="17">
        <v>0.696969696969697</v>
      </c>
      <c r="T141" s="17">
        <v>0.890243902439024</v>
      </c>
      <c r="U141" s="17">
        <v>0.771739130434783</v>
      </c>
      <c r="V141" s="23">
        <v>0.886075949367089</v>
      </c>
    </row>
    <row r="142" ht="16.5" spans="1:22">
      <c r="A142" s="16">
        <v>432</v>
      </c>
      <c r="B142" s="16" t="s">
        <v>684</v>
      </c>
      <c r="C142" s="19">
        <v>12</v>
      </c>
      <c r="D142" s="19">
        <v>8</v>
      </c>
      <c r="E142" s="19">
        <v>13</v>
      </c>
      <c r="F142" s="19">
        <v>15</v>
      </c>
      <c r="G142" s="19">
        <v>13</v>
      </c>
      <c r="H142" s="20">
        <v>353.92</v>
      </c>
      <c r="I142" s="20">
        <v>248.14</v>
      </c>
      <c r="J142" s="21">
        <v>400.37</v>
      </c>
      <c r="K142" s="21">
        <v>484.93</v>
      </c>
      <c r="L142" s="21">
        <v>421.39</v>
      </c>
      <c r="M142" s="22">
        <v>10</v>
      </c>
      <c r="N142" s="22">
        <v>3</v>
      </c>
      <c r="O142" s="22">
        <v>8</v>
      </c>
      <c r="P142" s="22">
        <v>2</v>
      </c>
      <c r="Q142" s="22">
        <v>2</v>
      </c>
      <c r="R142" s="17">
        <v>0.545454545454545</v>
      </c>
      <c r="S142" s="17">
        <v>0.727272727272727</v>
      </c>
      <c r="T142" s="17">
        <v>0.619047619047619</v>
      </c>
      <c r="U142" s="17">
        <v>0.882352941176471</v>
      </c>
      <c r="V142" s="23">
        <v>0.866666666666667</v>
      </c>
    </row>
    <row r="143" ht="16.5" spans="1:22">
      <c r="A143" s="16">
        <v>626</v>
      </c>
      <c r="B143" s="16" t="s">
        <v>685</v>
      </c>
      <c r="C143" s="19">
        <v>135</v>
      </c>
      <c r="D143" s="19">
        <v>143</v>
      </c>
      <c r="E143" s="19">
        <v>119</v>
      </c>
      <c r="F143" s="19">
        <v>73</v>
      </c>
      <c r="G143" s="19">
        <v>34</v>
      </c>
      <c r="H143" s="20">
        <v>740.219999999999</v>
      </c>
      <c r="I143" s="20">
        <v>849.900000000002</v>
      </c>
      <c r="J143" s="21">
        <v>738.819999999999</v>
      </c>
      <c r="K143" s="21">
        <v>576.12</v>
      </c>
      <c r="L143" s="21">
        <v>263.5</v>
      </c>
      <c r="M143" s="22">
        <v>275</v>
      </c>
      <c r="N143" s="22">
        <v>280</v>
      </c>
      <c r="O143" s="22">
        <v>367</v>
      </c>
      <c r="P143" s="22">
        <v>355</v>
      </c>
      <c r="Q143" s="22">
        <v>427</v>
      </c>
      <c r="R143" s="17">
        <v>0.329268292682927</v>
      </c>
      <c r="S143" s="17">
        <v>0.33806146572104</v>
      </c>
      <c r="T143" s="17">
        <v>0.244855967078189</v>
      </c>
      <c r="U143" s="17">
        <v>0.170560747663551</v>
      </c>
      <c r="V143" s="23">
        <v>0.0737527114967462</v>
      </c>
    </row>
    <row r="144" ht="16.5" spans="1:22">
      <c r="A144" s="16">
        <v>635</v>
      </c>
      <c r="B144" s="16" t="s">
        <v>686</v>
      </c>
      <c r="C144" s="19">
        <v>70</v>
      </c>
      <c r="D144" s="19">
        <v>78</v>
      </c>
      <c r="E144" s="19">
        <v>55</v>
      </c>
      <c r="F144" s="19">
        <v>64</v>
      </c>
      <c r="G144" s="19">
        <v>46</v>
      </c>
      <c r="H144" s="20">
        <v>745.37</v>
      </c>
      <c r="I144" s="20">
        <v>794.620000000001</v>
      </c>
      <c r="J144" s="21">
        <v>571.49</v>
      </c>
      <c r="K144" s="21">
        <v>658.040000000001</v>
      </c>
      <c r="L144" s="21">
        <v>477.45</v>
      </c>
      <c r="M144" s="22">
        <v>176</v>
      </c>
      <c r="N144" s="22">
        <v>201</v>
      </c>
      <c r="O144" s="22">
        <v>237</v>
      </c>
      <c r="P144" s="22">
        <v>237</v>
      </c>
      <c r="Q144" s="22">
        <v>193</v>
      </c>
      <c r="R144" s="17">
        <v>0.284552845528455</v>
      </c>
      <c r="S144" s="17">
        <v>0.279569892473118</v>
      </c>
      <c r="T144" s="17">
        <v>0.188356164383562</v>
      </c>
      <c r="U144" s="17">
        <v>0.212624584717608</v>
      </c>
      <c r="V144" s="23">
        <v>0.192468619246862</v>
      </c>
    </row>
    <row r="145" ht="66" spans="1:22">
      <c r="A145" s="16">
        <v>638</v>
      </c>
      <c r="B145" s="16" t="s">
        <v>687</v>
      </c>
      <c r="C145" s="19">
        <v>19</v>
      </c>
      <c r="D145" s="19">
        <v>18</v>
      </c>
      <c r="E145" s="19">
        <v>25</v>
      </c>
      <c r="F145" s="19">
        <v>21</v>
      </c>
      <c r="G145" s="19">
        <v>3</v>
      </c>
      <c r="H145" s="20">
        <v>480.7</v>
      </c>
      <c r="I145" s="20">
        <v>455.4</v>
      </c>
      <c r="J145" s="21">
        <v>633.5</v>
      </c>
      <c r="K145" s="21">
        <v>540.8</v>
      </c>
      <c r="L145" s="21">
        <v>77.4</v>
      </c>
      <c r="M145" s="22">
        <v>45</v>
      </c>
      <c r="N145" s="22">
        <v>24</v>
      </c>
      <c r="O145" s="22">
        <v>42</v>
      </c>
      <c r="P145" s="22">
        <v>33</v>
      </c>
      <c r="Q145" s="22">
        <v>27</v>
      </c>
      <c r="R145" s="17">
        <v>0.296875</v>
      </c>
      <c r="S145" s="17">
        <v>0.428571428571429</v>
      </c>
      <c r="T145" s="17">
        <v>0.373134328358209</v>
      </c>
      <c r="U145" s="17">
        <v>0.388888888888889</v>
      </c>
      <c r="V145" s="23">
        <v>0.1</v>
      </c>
    </row>
    <row r="146" ht="33" spans="1:22">
      <c r="A146" s="16">
        <v>652</v>
      </c>
      <c r="B146" s="16" t="s">
        <v>688</v>
      </c>
      <c r="C146" s="19">
        <v>54</v>
      </c>
      <c r="D146" s="19">
        <v>58</v>
      </c>
      <c r="E146" s="19">
        <v>66</v>
      </c>
      <c r="F146" s="19">
        <v>1</v>
      </c>
      <c r="G146" s="19">
        <v>24</v>
      </c>
      <c r="H146" s="20">
        <v>426.6</v>
      </c>
      <c r="I146" s="20">
        <v>456.7</v>
      </c>
      <c r="J146" s="21">
        <v>563.46</v>
      </c>
      <c r="K146" s="21">
        <v>9.45</v>
      </c>
      <c r="L146" s="21">
        <v>235.8</v>
      </c>
      <c r="M146" s="22">
        <v>82</v>
      </c>
      <c r="N146" s="22">
        <v>79</v>
      </c>
      <c r="O146" s="22">
        <v>126</v>
      </c>
      <c r="P146" s="22">
        <v>125</v>
      </c>
      <c r="Q146" s="22">
        <v>132</v>
      </c>
      <c r="R146" s="17">
        <v>0.397058823529412</v>
      </c>
      <c r="S146" s="17">
        <v>0.423357664233577</v>
      </c>
      <c r="T146" s="17">
        <v>0.34375</v>
      </c>
      <c r="U146" s="17">
        <v>0.00793650793650794</v>
      </c>
      <c r="V146" s="23">
        <v>0.153846153846154</v>
      </c>
    </row>
    <row r="147" ht="33" spans="1:22">
      <c r="A147" s="16">
        <v>653</v>
      </c>
      <c r="B147" s="16" t="s">
        <v>689</v>
      </c>
      <c r="C147" s="19">
        <v>9</v>
      </c>
      <c r="D147" s="19">
        <v>12</v>
      </c>
      <c r="E147" s="19">
        <v>16</v>
      </c>
      <c r="F147" s="19">
        <v>14</v>
      </c>
      <c r="G147" s="19">
        <v>8</v>
      </c>
      <c r="H147" s="20">
        <v>124.26</v>
      </c>
      <c r="I147" s="20">
        <v>156.89</v>
      </c>
      <c r="J147" s="21">
        <v>213.19</v>
      </c>
      <c r="K147" s="21">
        <v>207.68</v>
      </c>
      <c r="L147" s="21">
        <v>115.76</v>
      </c>
      <c r="M147" s="22">
        <v>45</v>
      </c>
      <c r="N147" s="22">
        <v>146</v>
      </c>
      <c r="O147" s="22">
        <v>200</v>
      </c>
      <c r="P147" s="22">
        <v>155</v>
      </c>
      <c r="Q147" s="22">
        <v>123</v>
      </c>
      <c r="R147" s="17">
        <v>0.166666666666667</v>
      </c>
      <c r="S147" s="17">
        <v>0.0759493670886076</v>
      </c>
      <c r="T147" s="17">
        <v>0.0740740740740741</v>
      </c>
      <c r="U147" s="17">
        <v>0.0828402366863905</v>
      </c>
      <c r="V147" s="23">
        <v>0.0610687022900763</v>
      </c>
    </row>
    <row r="148" ht="16.5" spans="1:22">
      <c r="A148" s="16">
        <v>654</v>
      </c>
      <c r="B148" s="16" t="s">
        <v>690</v>
      </c>
      <c r="C148" s="19">
        <v>192</v>
      </c>
      <c r="D148" s="19">
        <v>241</v>
      </c>
      <c r="E148" s="19">
        <v>218</v>
      </c>
      <c r="F148" s="19">
        <v>171</v>
      </c>
      <c r="G148" s="19">
        <v>143</v>
      </c>
      <c r="H148" s="20">
        <v>1881.16</v>
      </c>
      <c r="I148" s="20">
        <v>2493.62999999999</v>
      </c>
      <c r="J148" s="21">
        <v>2312.96</v>
      </c>
      <c r="K148" s="21">
        <v>1827.15</v>
      </c>
      <c r="L148" s="21">
        <v>1520.37</v>
      </c>
      <c r="M148" s="22">
        <v>101</v>
      </c>
      <c r="N148" s="22">
        <v>67</v>
      </c>
      <c r="O148" s="22">
        <v>63</v>
      </c>
      <c r="P148" s="22">
        <v>88</v>
      </c>
      <c r="Q148" s="22">
        <v>60</v>
      </c>
      <c r="R148" s="17">
        <v>0.655290102389078</v>
      </c>
      <c r="S148" s="17">
        <v>0.782467532467532</v>
      </c>
      <c r="T148" s="17">
        <v>0.775800711743772</v>
      </c>
      <c r="U148" s="17">
        <v>0.66023166023166</v>
      </c>
      <c r="V148" s="23">
        <v>0.704433497536946</v>
      </c>
    </row>
    <row r="149" ht="33" spans="1:22">
      <c r="A149" s="16">
        <v>655</v>
      </c>
      <c r="B149" s="16" t="s">
        <v>691</v>
      </c>
      <c r="C149" s="19">
        <v>148</v>
      </c>
      <c r="D149" s="19">
        <v>148</v>
      </c>
      <c r="E149" s="19">
        <v>151</v>
      </c>
      <c r="F149" s="19">
        <v>149</v>
      </c>
      <c r="G149" s="19">
        <v>72</v>
      </c>
      <c r="H149" s="20">
        <v>1089.7</v>
      </c>
      <c r="I149" s="20">
        <v>1067.76</v>
      </c>
      <c r="J149" s="21">
        <v>1096.49</v>
      </c>
      <c r="K149" s="21">
        <v>1155.05</v>
      </c>
      <c r="L149" s="21">
        <v>572.16</v>
      </c>
      <c r="M149" s="22">
        <v>129</v>
      </c>
      <c r="N149" s="22">
        <v>128</v>
      </c>
      <c r="O149" s="22">
        <v>98</v>
      </c>
      <c r="P149" s="22">
        <v>66</v>
      </c>
      <c r="Q149" s="22">
        <v>120</v>
      </c>
      <c r="R149" s="17">
        <v>0.534296028880866</v>
      </c>
      <c r="S149" s="17">
        <v>0.536231884057971</v>
      </c>
      <c r="T149" s="17">
        <v>0.606425702811245</v>
      </c>
      <c r="U149" s="17">
        <v>0.693023255813954</v>
      </c>
      <c r="V149" s="23">
        <v>0.375</v>
      </c>
    </row>
    <row r="150" ht="33" spans="1:22">
      <c r="A150" s="16">
        <v>565</v>
      </c>
      <c r="B150" s="16" t="s">
        <v>692</v>
      </c>
      <c r="C150" s="19">
        <v>283</v>
      </c>
      <c r="D150" s="19">
        <v>291</v>
      </c>
      <c r="E150" s="19">
        <v>238</v>
      </c>
      <c r="F150" s="19">
        <v>183</v>
      </c>
      <c r="G150" s="19">
        <v>112</v>
      </c>
      <c r="H150" s="20">
        <v>3595.82999999998</v>
      </c>
      <c r="I150" s="20">
        <v>3537.82999999999</v>
      </c>
      <c r="J150" s="21">
        <v>2980.88999999999</v>
      </c>
      <c r="K150" s="21">
        <v>2419.49999999999</v>
      </c>
      <c r="L150" s="21">
        <v>1467.91</v>
      </c>
      <c r="M150" s="22">
        <v>454</v>
      </c>
      <c r="N150" s="22">
        <v>415</v>
      </c>
      <c r="O150" s="22">
        <v>405</v>
      </c>
      <c r="P150" s="22">
        <v>453</v>
      </c>
      <c r="Q150" s="22">
        <v>464</v>
      </c>
      <c r="R150" s="17">
        <v>0.383989145183175</v>
      </c>
      <c r="S150" s="17">
        <v>0.412181303116147</v>
      </c>
      <c r="T150" s="17">
        <v>0.370139968895801</v>
      </c>
      <c r="U150" s="17">
        <v>0.287735849056604</v>
      </c>
      <c r="V150" s="23">
        <v>0.194444444444444</v>
      </c>
    </row>
    <row r="151" ht="66" spans="1:22">
      <c r="A151" s="16">
        <v>566</v>
      </c>
      <c r="B151" s="16" t="s">
        <v>693</v>
      </c>
      <c r="C151" s="19">
        <v>25</v>
      </c>
      <c r="D151" s="19">
        <v>24</v>
      </c>
      <c r="E151" s="19">
        <v>21</v>
      </c>
      <c r="F151" s="19">
        <v>10</v>
      </c>
      <c r="G151" s="19">
        <v>7</v>
      </c>
      <c r="H151" s="20">
        <v>649.25</v>
      </c>
      <c r="I151" s="20">
        <v>623.51</v>
      </c>
      <c r="J151" s="21">
        <v>551.54</v>
      </c>
      <c r="K151" s="21">
        <v>278.4</v>
      </c>
      <c r="L151" s="21">
        <v>196.68</v>
      </c>
      <c r="M151" s="22">
        <v>39</v>
      </c>
      <c r="N151" s="22">
        <v>54</v>
      </c>
      <c r="O151" s="22">
        <v>18</v>
      </c>
      <c r="P151" s="22">
        <v>19</v>
      </c>
      <c r="Q151" s="22">
        <v>26</v>
      </c>
      <c r="R151" s="17">
        <v>0.390625</v>
      </c>
      <c r="S151" s="17">
        <v>0.307692307692308</v>
      </c>
      <c r="T151" s="17">
        <v>0.538461538461538</v>
      </c>
      <c r="U151" s="17">
        <v>0.344827586206897</v>
      </c>
      <c r="V151" s="23">
        <v>0.212121212121212</v>
      </c>
    </row>
    <row r="152" ht="16.5" spans="1:22">
      <c r="A152" s="16">
        <v>569</v>
      </c>
      <c r="B152" s="16" t="s">
        <v>694</v>
      </c>
      <c r="C152" s="19">
        <v>28</v>
      </c>
      <c r="D152" s="19">
        <v>67</v>
      </c>
      <c r="E152" s="19">
        <v>37</v>
      </c>
      <c r="F152" s="19">
        <v>16</v>
      </c>
      <c r="G152" s="19">
        <v>19</v>
      </c>
      <c r="H152" s="20">
        <v>1515.17</v>
      </c>
      <c r="I152" s="20">
        <v>3822.82999999999</v>
      </c>
      <c r="J152" s="21">
        <v>2295.54</v>
      </c>
      <c r="K152" s="21">
        <v>1102.81</v>
      </c>
      <c r="L152" s="21">
        <v>1338.58</v>
      </c>
      <c r="M152" s="22">
        <v>43</v>
      </c>
      <c r="N152" s="22">
        <v>42</v>
      </c>
      <c r="O152" s="22">
        <v>68</v>
      </c>
      <c r="P152" s="22">
        <v>67</v>
      </c>
      <c r="Q152" s="22">
        <v>48</v>
      </c>
      <c r="R152" s="17">
        <v>0.394366197183099</v>
      </c>
      <c r="S152" s="17">
        <v>0.614678899082569</v>
      </c>
      <c r="T152" s="17">
        <v>0.352380952380952</v>
      </c>
      <c r="U152" s="17">
        <v>0.192771084337349</v>
      </c>
      <c r="V152" s="23">
        <v>0.283582089552239</v>
      </c>
    </row>
    <row r="153" ht="33" spans="1:22">
      <c r="A153" s="16">
        <v>574</v>
      </c>
      <c r="B153" s="16" t="s">
        <v>695</v>
      </c>
      <c r="C153" s="19">
        <v>70</v>
      </c>
      <c r="D153" s="19">
        <v>79</v>
      </c>
      <c r="E153" s="19">
        <v>118</v>
      </c>
      <c r="F153" s="19">
        <v>107</v>
      </c>
      <c r="G153" s="19">
        <v>112</v>
      </c>
      <c r="H153" s="20">
        <v>2823.9</v>
      </c>
      <c r="I153" s="20">
        <v>3120.86</v>
      </c>
      <c r="J153" s="21">
        <v>4607.54</v>
      </c>
      <c r="K153" s="21">
        <v>4194.2</v>
      </c>
      <c r="L153" s="21">
        <v>4364.31999999999</v>
      </c>
      <c r="M153" s="22">
        <v>56</v>
      </c>
      <c r="N153" s="22">
        <v>38</v>
      </c>
      <c r="O153" s="22">
        <v>36</v>
      </c>
      <c r="P153" s="22">
        <v>50</v>
      </c>
      <c r="Q153" s="22">
        <v>41</v>
      </c>
      <c r="R153" s="17">
        <v>0.555555555555556</v>
      </c>
      <c r="S153" s="17">
        <v>0.675213675213675</v>
      </c>
      <c r="T153" s="17">
        <v>0.766233766233766</v>
      </c>
      <c r="U153" s="17">
        <v>0.681528662420382</v>
      </c>
      <c r="V153" s="23">
        <v>0.73202614379085</v>
      </c>
    </row>
    <row r="154" ht="33" spans="1:22">
      <c r="A154" s="16">
        <v>575</v>
      </c>
      <c r="B154" s="16" t="s">
        <v>696</v>
      </c>
      <c r="C154" s="19">
        <v>122</v>
      </c>
      <c r="D154" s="19">
        <v>128</v>
      </c>
      <c r="E154" s="19">
        <v>194</v>
      </c>
      <c r="F154" s="19">
        <v>135</v>
      </c>
      <c r="G154" s="19">
        <v>100</v>
      </c>
      <c r="H154" s="20">
        <v>5888.74999999999</v>
      </c>
      <c r="I154" s="20">
        <v>6395.99999999999</v>
      </c>
      <c r="J154" s="21">
        <v>8782.24</v>
      </c>
      <c r="K154" s="21">
        <v>6092.11</v>
      </c>
      <c r="L154" s="21">
        <v>4304.89999999999</v>
      </c>
      <c r="M154" s="22">
        <v>67</v>
      </c>
      <c r="N154" s="22">
        <v>85</v>
      </c>
      <c r="O154" s="22">
        <v>94</v>
      </c>
      <c r="P154" s="22">
        <v>102</v>
      </c>
      <c r="Q154" s="22">
        <v>114</v>
      </c>
      <c r="R154" s="17">
        <v>0.645502645502645</v>
      </c>
      <c r="S154" s="17">
        <v>0.60093896713615</v>
      </c>
      <c r="T154" s="17">
        <v>0.673611111111111</v>
      </c>
      <c r="U154" s="17">
        <v>0.569620253164557</v>
      </c>
      <c r="V154" s="23">
        <v>0.467289719626168</v>
      </c>
    </row>
    <row r="155" ht="33" spans="1:22">
      <c r="A155" s="16">
        <v>576</v>
      </c>
      <c r="B155" s="16" t="s">
        <v>697</v>
      </c>
      <c r="C155" s="19">
        <v>11</v>
      </c>
      <c r="D155" s="19">
        <v>9</v>
      </c>
      <c r="E155" s="19">
        <v>30</v>
      </c>
      <c r="F155" s="19">
        <v>90</v>
      </c>
      <c r="G155" s="19">
        <v>98</v>
      </c>
      <c r="H155" s="20">
        <v>464.41</v>
      </c>
      <c r="I155" s="20">
        <v>390.76</v>
      </c>
      <c r="J155" s="21">
        <v>1206.7</v>
      </c>
      <c r="K155" s="21">
        <v>3168.74</v>
      </c>
      <c r="L155" s="21">
        <v>3577.83</v>
      </c>
      <c r="M155" s="22">
        <v>105</v>
      </c>
      <c r="N155" s="22">
        <v>119</v>
      </c>
      <c r="O155" s="22">
        <v>161</v>
      </c>
      <c r="P155" s="22">
        <v>93</v>
      </c>
      <c r="Q155" s="22">
        <v>61</v>
      </c>
      <c r="R155" s="17">
        <v>0.0948275862068965</v>
      </c>
      <c r="S155" s="17">
        <v>0.0703125</v>
      </c>
      <c r="T155" s="17">
        <v>0.157068062827225</v>
      </c>
      <c r="U155" s="17">
        <v>0.491803278688525</v>
      </c>
      <c r="V155" s="23">
        <v>0.616352201257862</v>
      </c>
    </row>
    <row r="156" ht="33" spans="1:22">
      <c r="A156" s="16">
        <v>585</v>
      </c>
      <c r="B156" s="16" t="s">
        <v>698</v>
      </c>
      <c r="C156" s="19">
        <v>35</v>
      </c>
      <c r="D156" s="19">
        <v>58</v>
      </c>
      <c r="E156" s="19">
        <v>32</v>
      </c>
      <c r="F156" s="19">
        <v>23</v>
      </c>
      <c r="G156" s="19">
        <v>34</v>
      </c>
      <c r="H156" s="20">
        <v>2934.65</v>
      </c>
      <c r="I156" s="20">
        <v>5099.02999999999</v>
      </c>
      <c r="J156" s="21">
        <v>3051.4</v>
      </c>
      <c r="K156" s="21">
        <v>2374.78</v>
      </c>
      <c r="L156" s="21">
        <v>3506.6</v>
      </c>
      <c r="M156" s="22">
        <v>31</v>
      </c>
      <c r="N156" s="22">
        <v>35</v>
      </c>
      <c r="O156" s="22">
        <v>52</v>
      </c>
      <c r="P156" s="22">
        <v>55</v>
      </c>
      <c r="Q156" s="22">
        <v>46</v>
      </c>
      <c r="R156" s="17">
        <v>0.53030303030303</v>
      </c>
      <c r="S156" s="17">
        <v>0.623655913978495</v>
      </c>
      <c r="T156" s="17">
        <v>0.380952380952381</v>
      </c>
      <c r="U156" s="17">
        <v>0.294871794871795</v>
      </c>
      <c r="V156" s="23">
        <v>0.425</v>
      </c>
    </row>
    <row r="157" ht="16.5" spans="1:22">
      <c r="A157" s="16">
        <v>586</v>
      </c>
      <c r="B157" s="16" t="s">
        <v>699</v>
      </c>
      <c r="C157" s="19">
        <v>71</v>
      </c>
      <c r="D157" s="19">
        <v>68</v>
      </c>
      <c r="E157" s="19">
        <v>143</v>
      </c>
      <c r="F157" s="19">
        <v>164</v>
      </c>
      <c r="G157" s="19">
        <v>112</v>
      </c>
      <c r="H157" s="20">
        <v>5190.89</v>
      </c>
      <c r="I157" s="20">
        <v>4955.12</v>
      </c>
      <c r="J157" s="21">
        <v>10349.07</v>
      </c>
      <c r="K157" s="21">
        <v>11827.41</v>
      </c>
      <c r="L157" s="21">
        <v>8630.9</v>
      </c>
      <c r="M157" s="22">
        <v>114</v>
      </c>
      <c r="N157" s="22">
        <v>110</v>
      </c>
      <c r="O157" s="22">
        <v>131</v>
      </c>
      <c r="P157" s="22">
        <v>116</v>
      </c>
      <c r="Q157" s="22">
        <v>143</v>
      </c>
      <c r="R157" s="17">
        <v>0.383783783783784</v>
      </c>
      <c r="S157" s="17">
        <v>0.382022471910112</v>
      </c>
      <c r="T157" s="17">
        <v>0.521897810218978</v>
      </c>
      <c r="U157" s="17">
        <v>0.585714285714286</v>
      </c>
      <c r="V157" s="23">
        <v>0.43921568627451</v>
      </c>
    </row>
    <row r="158" ht="33" spans="1:22">
      <c r="A158" s="16">
        <v>589</v>
      </c>
      <c r="B158" s="16" t="s">
        <v>700</v>
      </c>
      <c r="C158" s="19">
        <v>21</v>
      </c>
      <c r="D158" s="19">
        <v>25</v>
      </c>
      <c r="E158" s="19">
        <v>23</v>
      </c>
      <c r="F158" s="19">
        <v>26</v>
      </c>
      <c r="G158" s="19">
        <v>10</v>
      </c>
      <c r="H158" s="20">
        <v>545.79</v>
      </c>
      <c r="I158" s="20">
        <v>649.75</v>
      </c>
      <c r="J158" s="21">
        <v>597.32</v>
      </c>
      <c r="K158" s="21">
        <v>679.73</v>
      </c>
      <c r="L158" s="21">
        <v>260.44</v>
      </c>
      <c r="M158" s="22">
        <v>8</v>
      </c>
      <c r="N158" s="22">
        <v>16</v>
      </c>
      <c r="O158" s="22">
        <v>11</v>
      </c>
      <c r="P158" s="22">
        <v>9</v>
      </c>
      <c r="Q158" s="22">
        <v>17</v>
      </c>
      <c r="R158" s="17">
        <v>0.724137931034483</v>
      </c>
      <c r="S158" s="17">
        <v>0.609756097560976</v>
      </c>
      <c r="T158" s="17">
        <v>0.676470588235294</v>
      </c>
      <c r="U158" s="17">
        <v>0.742857142857143</v>
      </c>
      <c r="V158" s="23">
        <v>0.37037037037037</v>
      </c>
    </row>
    <row r="159" ht="132" spans="1:22">
      <c r="A159" s="16">
        <v>596</v>
      </c>
      <c r="B159" s="16" t="s">
        <v>701</v>
      </c>
      <c r="C159" s="19">
        <v>10</v>
      </c>
      <c r="D159" s="19">
        <v>9</v>
      </c>
      <c r="E159" s="19">
        <v>8</v>
      </c>
      <c r="F159" s="19">
        <v>9</v>
      </c>
      <c r="G159" s="19">
        <v>3</v>
      </c>
      <c r="H159" s="20">
        <v>410.9</v>
      </c>
      <c r="I159" s="20">
        <v>369.81</v>
      </c>
      <c r="J159" s="21">
        <v>328.72</v>
      </c>
      <c r="K159" s="21">
        <v>370.81</v>
      </c>
      <c r="L159" s="21">
        <v>123.27</v>
      </c>
      <c r="M159" s="22">
        <v>1</v>
      </c>
      <c r="N159" s="22">
        <v>4</v>
      </c>
      <c r="O159" s="22">
        <v>8</v>
      </c>
      <c r="P159" s="22">
        <v>1</v>
      </c>
      <c r="Q159" s="22">
        <v>9</v>
      </c>
      <c r="R159" s="17">
        <v>0.909090909090909</v>
      </c>
      <c r="S159" s="17">
        <v>0.692307692307692</v>
      </c>
      <c r="T159" s="17">
        <v>0.5</v>
      </c>
      <c r="U159" s="17">
        <v>0.9</v>
      </c>
      <c r="V159" s="23">
        <v>0.25</v>
      </c>
    </row>
    <row r="160" ht="132" spans="1:22">
      <c r="A160" s="16">
        <v>945</v>
      </c>
      <c r="B160" s="16" t="s">
        <v>702</v>
      </c>
      <c r="C160" s="19">
        <v>10</v>
      </c>
      <c r="D160" s="19">
        <v>18</v>
      </c>
      <c r="E160" s="19">
        <v>11</v>
      </c>
      <c r="F160" s="19">
        <v>9</v>
      </c>
      <c r="G160" s="19">
        <v>3</v>
      </c>
      <c r="H160" s="20">
        <v>323.74</v>
      </c>
      <c r="I160" s="20">
        <v>583.11</v>
      </c>
      <c r="J160" s="21">
        <v>358.38</v>
      </c>
      <c r="K160" s="21">
        <v>309.24</v>
      </c>
      <c r="L160" s="21">
        <v>103.5</v>
      </c>
      <c r="M160" s="22">
        <v>18</v>
      </c>
      <c r="N160" s="22">
        <v>11</v>
      </c>
      <c r="O160" s="22">
        <v>22</v>
      </c>
      <c r="P160" s="22">
        <v>21</v>
      </c>
      <c r="Q160" s="22">
        <v>8</v>
      </c>
      <c r="R160" s="17">
        <v>0.357142857142857</v>
      </c>
      <c r="S160" s="17">
        <v>0.620689655172414</v>
      </c>
      <c r="T160" s="17">
        <v>0.333333333333333</v>
      </c>
      <c r="U160" s="17">
        <v>0.3</v>
      </c>
      <c r="V160" s="23">
        <v>0.272727272727273</v>
      </c>
    </row>
    <row r="161" ht="33" spans="1:22">
      <c r="A161" s="16">
        <v>954</v>
      </c>
      <c r="B161" s="16" t="s">
        <v>703</v>
      </c>
      <c r="C161" s="19">
        <v>33</v>
      </c>
      <c r="D161" s="19">
        <v>19</v>
      </c>
      <c r="E161" s="19">
        <v>46</v>
      </c>
      <c r="F161" s="19">
        <v>52</v>
      </c>
      <c r="G161" s="19">
        <v>57</v>
      </c>
      <c r="H161" s="20">
        <v>1061.61</v>
      </c>
      <c r="I161" s="20">
        <v>611.23</v>
      </c>
      <c r="J161" s="21">
        <v>1479.82</v>
      </c>
      <c r="K161" s="21">
        <v>1672.34</v>
      </c>
      <c r="L161" s="21">
        <v>1924.79</v>
      </c>
      <c r="M161" s="22">
        <v>136</v>
      </c>
      <c r="N161" s="22">
        <v>164</v>
      </c>
      <c r="O161" s="22">
        <v>156</v>
      </c>
      <c r="P161" s="22">
        <v>78</v>
      </c>
      <c r="Q161" s="22">
        <v>77</v>
      </c>
      <c r="R161" s="17">
        <v>0.195266272189349</v>
      </c>
      <c r="S161" s="17">
        <v>0.103825136612022</v>
      </c>
      <c r="T161" s="17">
        <v>0.227722772277228</v>
      </c>
      <c r="U161" s="17">
        <v>0.4</v>
      </c>
      <c r="V161" s="23">
        <v>0.425373134328358</v>
      </c>
    </row>
    <row r="162" ht="33" spans="1:22">
      <c r="A162" s="16">
        <v>955</v>
      </c>
      <c r="B162" s="16" t="s">
        <v>704</v>
      </c>
      <c r="C162" s="19">
        <v>252</v>
      </c>
      <c r="D162" s="19">
        <v>202</v>
      </c>
      <c r="E162" s="19">
        <v>2</v>
      </c>
      <c r="F162" s="19">
        <v>2</v>
      </c>
      <c r="G162" s="19">
        <v>1</v>
      </c>
      <c r="H162" s="20">
        <v>5553.18</v>
      </c>
      <c r="I162" s="20">
        <v>4618.48000000001</v>
      </c>
      <c r="J162" s="21">
        <v>50.6</v>
      </c>
      <c r="K162" s="21">
        <v>69.08</v>
      </c>
      <c r="L162" s="21">
        <v>46.7</v>
      </c>
      <c r="M162" s="22">
        <v>293</v>
      </c>
      <c r="N162" s="22">
        <v>307</v>
      </c>
      <c r="O162" s="22">
        <v>550</v>
      </c>
      <c r="P162" s="22">
        <v>446</v>
      </c>
      <c r="Q162" s="22">
        <v>350</v>
      </c>
      <c r="R162" s="17">
        <v>0.462385321100917</v>
      </c>
      <c r="S162" s="17">
        <v>0.396856581532416</v>
      </c>
      <c r="T162" s="17">
        <v>0.0036231884057971</v>
      </c>
      <c r="U162" s="17">
        <v>0.00446428571428571</v>
      </c>
      <c r="V162" s="23">
        <v>0.00284900284900285</v>
      </c>
    </row>
    <row r="163" ht="16.5" spans="1:22">
      <c r="A163" s="16">
        <v>971</v>
      </c>
      <c r="B163" s="16" t="s">
        <v>705</v>
      </c>
      <c r="C163" s="19">
        <v>16</v>
      </c>
      <c r="D163" s="19">
        <v>4</v>
      </c>
      <c r="E163" s="19">
        <v>2</v>
      </c>
      <c r="F163" s="19">
        <v>6</v>
      </c>
      <c r="G163" s="19">
        <v>4</v>
      </c>
      <c r="H163" s="20">
        <v>3167.4</v>
      </c>
      <c r="I163" s="20">
        <v>795.6</v>
      </c>
      <c r="J163" s="21">
        <v>397.8</v>
      </c>
      <c r="K163" s="21">
        <v>1217.98</v>
      </c>
      <c r="L163" s="21">
        <v>791.62</v>
      </c>
      <c r="M163" s="22">
        <v>3</v>
      </c>
      <c r="N163" s="22">
        <v>0</v>
      </c>
      <c r="O163" s="22">
        <v>14</v>
      </c>
      <c r="P163" s="22">
        <v>19</v>
      </c>
      <c r="Q163" s="22">
        <v>7</v>
      </c>
      <c r="R163" s="17">
        <v>0.842105263157895</v>
      </c>
      <c r="S163" s="17">
        <v>1</v>
      </c>
      <c r="T163" s="17">
        <v>0.125</v>
      </c>
      <c r="U163" s="17">
        <v>0.24</v>
      </c>
      <c r="V163" s="23">
        <v>0.363636363636364</v>
      </c>
    </row>
    <row r="164" ht="33" spans="1:22">
      <c r="A164" s="16">
        <v>972</v>
      </c>
      <c r="B164" s="16" t="s">
        <v>706</v>
      </c>
      <c r="C164" s="19">
        <v>36</v>
      </c>
      <c r="D164" s="19">
        <v>36</v>
      </c>
      <c r="E164" s="19">
        <v>32</v>
      </c>
      <c r="F164" s="19">
        <v>31</v>
      </c>
      <c r="G164" s="19">
        <v>36</v>
      </c>
      <c r="H164" s="20">
        <v>3567.44</v>
      </c>
      <c r="I164" s="20">
        <v>3563.64</v>
      </c>
      <c r="J164" s="21">
        <v>3099.14</v>
      </c>
      <c r="K164" s="21">
        <v>3033.91</v>
      </c>
      <c r="L164" s="21">
        <v>3524.79</v>
      </c>
      <c r="M164" s="22">
        <v>6</v>
      </c>
      <c r="N164" s="22">
        <v>12</v>
      </c>
      <c r="O164" s="22">
        <v>23</v>
      </c>
      <c r="P164" s="22">
        <v>14</v>
      </c>
      <c r="Q164" s="22">
        <v>11</v>
      </c>
      <c r="R164" s="17">
        <v>0.857142857142857</v>
      </c>
      <c r="S164" s="17">
        <v>0.75</v>
      </c>
      <c r="T164" s="17">
        <v>0.581818181818182</v>
      </c>
      <c r="U164" s="17">
        <v>0.688888888888889</v>
      </c>
      <c r="V164" s="23">
        <v>0.765957446808511</v>
      </c>
    </row>
    <row r="165" ht="33" spans="1:22">
      <c r="A165" s="16">
        <v>985</v>
      </c>
      <c r="B165" s="16" t="s">
        <v>707</v>
      </c>
      <c r="C165" s="19">
        <v>67</v>
      </c>
      <c r="D165" s="19">
        <v>94</v>
      </c>
      <c r="E165" s="19">
        <v>120</v>
      </c>
      <c r="F165" s="19">
        <v>100</v>
      </c>
      <c r="G165" s="19">
        <v>73</v>
      </c>
      <c r="H165" s="20">
        <v>4519.14999999999</v>
      </c>
      <c r="I165" s="20">
        <v>6376.73999999999</v>
      </c>
      <c r="J165" s="21">
        <v>8158.73999999999</v>
      </c>
      <c r="K165" s="21">
        <v>6772.45999999999</v>
      </c>
      <c r="L165" s="21">
        <v>4910.69</v>
      </c>
      <c r="M165" s="22">
        <v>41</v>
      </c>
      <c r="N165" s="22">
        <v>34</v>
      </c>
      <c r="O165" s="22">
        <v>45</v>
      </c>
      <c r="P165" s="22">
        <v>62</v>
      </c>
      <c r="Q165" s="22">
        <v>160</v>
      </c>
      <c r="R165" s="17">
        <v>0.62037037037037</v>
      </c>
      <c r="S165" s="17">
        <v>0.734375</v>
      </c>
      <c r="T165" s="17">
        <v>0.727272727272727</v>
      </c>
      <c r="U165" s="17">
        <v>0.617283950617284</v>
      </c>
      <c r="V165" s="23">
        <v>0.313304721030043</v>
      </c>
    </row>
    <row r="166" ht="66" spans="1:22">
      <c r="A166" s="16">
        <v>1008</v>
      </c>
      <c r="B166" s="16" t="s">
        <v>708</v>
      </c>
      <c r="C166" s="19">
        <v>11</v>
      </c>
      <c r="D166" s="19">
        <v>13</v>
      </c>
      <c r="E166" s="19">
        <v>16</v>
      </c>
      <c r="F166" s="19">
        <v>15</v>
      </c>
      <c r="G166" s="19">
        <v>11</v>
      </c>
      <c r="H166" s="20">
        <v>830.94</v>
      </c>
      <c r="I166" s="20">
        <v>977.97</v>
      </c>
      <c r="J166" s="21">
        <v>1202.98</v>
      </c>
      <c r="K166" s="21">
        <v>1124.27</v>
      </c>
      <c r="L166" s="21">
        <v>838.09</v>
      </c>
      <c r="M166" s="22">
        <v>4</v>
      </c>
      <c r="N166" s="22">
        <v>1</v>
      </c>
      <c r="O166" s="22">
        <v>5</v>
      </c>
      <c r="P166" s="22">
        <v>7</v>
      </c>
      <c r="Q166" s="22">
        <v>17</v>
      </c>
      <c r="R166" s="17">
        <v>0.733333333333333</v>
      </c>
      <c r="S166" s="17">
        <v>0.928571428571429</v>
      </c>
      <c r="T166" s="17">
        <v>0.761904761904762</v>
      </c>
      <c r="U166" s="17">
        <v>0.681818181818182</v>
      </c>
      <c r="V166" s="23">
        <v>0.392857142857143</v>
      </c>
    </row>
    <row r="167" ht="33" spans="1:22">
      <c r="A167" s="16">
        <v>1010</v>
      </c>
      <c r="B167" s="16" t="s">
        <v>709</v>
      </c>
      <c r="C167" s="19">
        <v>7</v>
      </c>
      <c r="D167" s="19">
        <v>17</v>
      </c>
      <c r="E167" s="19">
        <v>16</v>
      </c>
      <c r="F167" s="19">
        <v>13</v>
      </c>
      <c r="G167" s="19">
        <v>16</v>
      </c>
      <c r="H167" s="20">
        <v>273.9</v>
      </c>
      <c r="I167" s="20">
        <v>662.6</v>
      </c>
      <c r="J167" s="21">
        <v>603.69</v>
      </c>
      <c r="K167" s="21">
        <v>488.48</v>
      </c>
      <c r="L167" s="21">
        <v>597.08</v>
      </c>
      <c r="M167" s="22">
        <v>14</v>
      </c>
      <c r="N167" s="22">
        <v>13</v>
      </c>
      <c r="O167" s="22">
        <v>19</v>
      </c>
      <c r="P167" s="22">
        <v>27</v>
      </c>
      <c r="Q167" s="22">
        <v>13</v>
      </c>
      <c r="R167" s="17">
        <v>0.333333333333333</v>
      </c>
      <c r="S167" s="17">
        <v>0.566666666666667</v>
      </c>
      <c r="T167" s="17">
        <v>0.457142857142857</v>
      </c>
      <c r="U167" s="17">
        <v>0.325</v>
      </c>
      <c r="V167" s="23">
        <v>0.551724137931034</v>
      </c>
    </row>
    <row r="168" ht="66" spans="1:22">
      <c r="A168" s="16">
        <v>1011</v>
      </c>
      <c r="B168" s="16" t="s">
        <v>710</v>
      </c>
      <c r="C168" s="19">
        <v>19</v>
      </c>
      <c r="D168" s="19">
        <v>10</v>
      </c>
      <c r="E168" s="19">
        <v>24</v>
      </c>
      <c r="F168" s="19">
        <v>26</v>
      </c>
      <c r="G168" s="19">
        <v>16</v>
      </c>
      <c r="H168" s="20">
        <v>1528.8</v>
      </c>
      <c r="I168" s="20">
        <v>799.9</v>
      </c>
      <c r="J168" s="21">
        <v>1919.26</v>
      </c>
      <c r="K168" s="21">
        <v>2079.74</v>
      </c>
      <c r="L168" s="21">
        <v>1279.84</v>
      </c>
      <c r="M168" s="22">
        <v>14</v>
      </c>
      <c r="N168" s="22">
        <v>14</v>
      </c>
      <c r="O168" s="22">
        <v>11</v>
      </c>
      <c r="P168" s="22">
        <v>3</v>
      </c>
      <c r="Q168" s="22">
        <v>23</v>
      </c>
      <c r="R168" s="17">
        <v>0.575757575757576</v>
      </c>
      <c r="S168" s="17">
        <v>0.416666666666667</v>
      </c>
      <c r="T168" s="17">
        <v>0.685714285714286</v>
      </c>
      <c r="U168" s="17">
        <v>0.896551724137931</v>
      </c>
      <c r="V168" s="23">
        <v>0.41025641025641</v>
      </c>
    </row>
    <row r="169" ht="16.5" spans="1:22">
      <c r="A169" s="16">
        <v>1022</v>
      </c>
      <c r="B169" s="16" t="s">
        <v>711</v>
      </c>
      <c r="C169" s="19">
        <v>6</v>
      </c>
      <c r="D169" s="19">
        <v>10</v>
      </c>
      <c r="E169" s="19">
        <v>1</v>
      </c>
      <c r="F169" s="19">
        <v>6</v>
      </c>
      <c r="G169" s="19">
        <v>6</v>
      </c>
      <c r="H169" s="20">
        <v>252.6</v>
      </c>
      <c r="I169" s="20">
        <v>418.5</v>
      </c>
      <c r="J169" s="21">
        <v>42.1</v>
      </c>
      <c r="K169" s="21">
        <v>252.6</v>
      </c>
      <c r="L169" s="21">
        <v>261.7</v>
      </c>
      <c r="M169" s="22">
        <v>4</v>
      </c>
      <c r="N169" s="22">
        <v>1</v>
      </c>
      <c r="O169" s="22">
        <v>4</v>
      </c>
      <c r="P169" s="22">
        <v>1</v>
      </c>
      <c r="Q169" s="22">
        <v>2</v>
      </c>
      <c r="R169" s="17">
        <v>0.6</v>
      </c>
      <c r="S169" s="17">
        <v>0.909090909090909</v>
      </c>
      <c r="T169" s="17">
        <v>0.2</v>
      </c>
      <c r="U169" s="17">
        <v>0.857142857142857</v>
      </c>
      <c r="V169" s="23">
        <v>0.75</v>
      </c>
    </row>
    <row r="170" ht="33" spans="1:22">
      <c r="A170" s="16">
        <v>1024</v>
      </c>
      <c r="B170" s="16" t="s">
        <v>712</v>
      </c>
      <c r="C170" s="19">
        <v>17</v>
      </c>
      <c r="D170" s="19">
        <v>19</v>
      </c>
      <c r="E170" s="19">
        <v>17</v>
      </c>
      <c r="F170" s="19">
        <v>7</v>
      </c>
      <c r="G170" s="19">
        <v>5</v>
      </c>
      <c r="H170" s="20">
        <v>435.23</v>
      </c>
      <c r="I170" s="20">
        <v>515.81</v>
      </c>
      <c r="J170" s="21">
        <v>458.83</v>
      </c>
      <c r="K170" s="21">
        <v>194.04</v>
      </c>
      <c r="L170" s="21">
        <v>156.5</v>
      </c>
      <c r="M170" s="22">
        <v>6</v>
      </c>
      <c r="N170" s="22">
        <v>10</v>
      </c>
      <c r="O170" s="22">
        <v>10</v>
      </c>
      <c r="P170" s="22">
        <v>8</v>
      </c>
      <c r="Q170" s="22">
        <v>7</v>
      </c>
      <c r="R170" s="17">
        <v>0.739130434782609</v>
      </c>
      <c r="S170" s="17">
        <v>0.655172413793103</v>
      </c>
      <c r="T170" s="17">
        <v>0.62962962962963</v>
      </c>
      <c r="U170" s="17">
        <v>0.466666666666667</v>
      </c>
      <c r="V170" s="23">
        <v>0.416666666666667</v>
      </c>
    </row>
    <row r="171" ht="66" spans="1:22">
      <c r="A171" s="16">
        <v>1025</v>
      </c>
      <c r="B171" s="16" t="s">
        <v>713</v>
      </c>
      <c r="C171" s="19">
        <v>9</v>
      </c>
      <c r="D171" s="19">
        <v>9</v>
      </c>
      <c r="E171" s="19">
        <v>9</v>
      </c>
      <c r="F171" s="19">
        <v>1</v>
      </c>
      <c r="G171" s="19">
        <v>7</v>
      </c>
      <c r="H171" s="20">
        <v>484.95</v>
      </c>
      <c r="I171" s="20">
        <v>508.05</v>
      </c>
      <c r="J171" s="21">
        <v>508.05</v>
      </c>
      <c r="K171" s="21">
        <v>62.7</v>
      </c>
      <c r="L171" s="21">
        <v>438.9</v>
      </c>
      <c r="M171" s="22">
        <v>32</v>
      </c>
      <c r="N171" s="22">
        <v>36</v>
      </c>
      <c r="O171" s="22">
        <v>63</v>
      </c>
      <c r="P171" s="22">
        <v>47</v>
      </c>
      <c r="Q171" s="22">
        <v>37</v>
      </c>
      <c r="R171" s="17">
        <v>0.219512195121951</v>
      </c>
      <c r="S171" s="17">
        <v>0.2</v>
      </c>
      <c r="T171" s="17">
        <v>0.125</v>
      </c>
      <c r="U171" s="17">
        <v>0.0208333333333333</v>
      </c>
      <c r="V171" s="23">
        <v>0.159090909090909</v>
      </c>
    </row>
    <row r="172" ht="33" spans="1:22">
      <c r="A172" s="16">
        <v>1026</v>
      </c>
      <c r="B172" s="16" t="s">
        <v>714</v>
      </c>
      <c r="C172" s="19">
        <v>17</v>
      </c>
      <c r="D172" s="19">
        <v>12</v>
      </c>
      <c r="E172" s="19">
        <v>14</v>
      </c>
      <c r="F172" s="19">
        <v>8</v>
      </c>
      <c r="G172" s="19">
        <v>14</v>
      </c>
      <c r="H172" s="20">
        <v>560.83</v>
      </c>
      <c r="I172" s="20">
        <v>395.88</v>
      </c>
      <c r="J172" s="21">
        <v>469.29</v>
      </c>
      <c r="K172" s="21">
        <v>273.84</v>
      </c>
      <c r="L172" s="21">
        <v>480.34</v>
      </c>
      <c r="M172" s="22">
        <v>2</v>
      </c>
      <c r="N172" s="22">
        <v>2</v>
      </c>
      <c r="O172" s="22">
        <v>1</v>
      </c>
      <c r="P172" s="22">
        <v>1</v>
      </c>
      <c r="Q172" s="22">
        <v>5</v>
      </c>
      <c r="R172" s="17">
        <v>0.894736842105263</v>
      </c>
      <c r="S172" s="17">
        <v>0.857142857142857</v>
      </c>
      <c r="T172" s="17">
        <v>0.933333333333333</v>
      </c>
      <c r="U172" s="17">
        <v>0.888888888888889</v>
      </c>
      <c r="V172" s="23">
        <v>0.736842105263158</v>
      </c>
    </row>
    <row r="173" ht="16.5" spans="1:22">
      <c r="A173" s="16">
        <v>1032</v>
      </c>
      <c r="B173" s="16" t="s">
        <v>715</v>
      </c>
      <c r="C173" s="19">
        <v>27</v>
      </c>
      <c r="D173" s="19">
        <v>29</v>
      </c>
      <c r="E173" s="19">
        <v>43</v>
      </c>
      <c r="F173" s="19">
        <v>52</v>
      </c>
      <c r="G173" s="19">
        <v>69</v>
      </c>
      <c r="H173" s="20">
        <v>2041.11</v>
      </c>
      <c r="I173" s="20">
        <v>2183.39</v>
      </c>
      <c r="J173" s="21">
        <v>3152.39</v>
      </c>
      <c r="K173" s="21">
        <v>3751.33999999999</v>
      </c>
      <c r="L173" s="21">
        <v>4956.42</v>
      </c>
      <c r="M173" s="22">
        <v>32</v>
      </c>
      <c r="N173" s="22">
        <v>24</v>
      </c>
      <c r="O173" s="22">
        <v>68</v>
      </c>
      <c r="P173" s="22">
        <v>49</v>
      </c>
      <c r="Q173" s="22">
        <v>67</v>
      </c>
      <c r="R173" s="17">
        <v>0.457627118644068</v>
      </c>
      <c r="S173" s="17">
        <v>0.547169811320755</v>
      </c>
      <c r="T173" s="17">
        <v>0.387387387387387</v>
      </c>
      <c r="U173" s="17">
        <v>0.514851485148515</v>
      </c>
      <c r="V173" s="23">
        <v>0.507352941176471</v>
      </c>
    </row>
    <row r="174" ht="16.5" spans="1:22">
      <c r="A174" s="16">
        <v>1049</v>
      </c>
      <c r="B174" s="16" t="s">
        <v>716</v>
      </c>
      <c r="C174" s="19">
        <v>12</v>
      </c>
      <c r="D174" s="19">
        <v>19</v>
      </c>
      <c r="E174" s="19">
        <v>33</v>
      </c>
      <c r="F174" s="19">
        <v>27</v>
      </c>
      <c r="G174" s="19">
        <v>26</v>
      </c>
      <c r="H174" s="20">
        <v>842.81</v>
      </c>
      <c r="I174" s="20">
        <v>1316.83</v>
      </c>
      <c r="J174" s="21">
        <v>2269.75</v>
      </c>
      <c r="K174" s="21">
        <v>1890.57</v>
      </c>
      <c r="L174" s="21">
        <v>1805.7</v>
      </c>
      <c r="M174" s="22">
        <v>5</v>
      </c>
      <c r="N174" s="22">
        <v>11</v>
      </c>
      <c r="O174" s="22">
        <v>11</v>
      </c>
      <c r="P174" s="22">
        <v>15</v>
      </c>
      <c r="Q174" s="22">
        <v>13</v>
      </c>
      <c r="R174" s="17">
        <v>0.705882352941177</v>
      </c>
      <c r="S174" s="17">
        <v>0.633333333333333</v>
      </c>
      <c r="T174" s="17">
        <v>0.75</v>
      </c>
      <c r="U174" s="17">
        <v>0.642857142857143</v>
      </c>
      <c r="V174" s="23">
        <v>0.666666666666667</v>
      </c>
    </row>
    <row r="175" ht="16.5" spans="1:22">
      <c r="A175" s="16">
        <v>1051</v>
      </c>
      <c r="B175" s="16" t="s">
        <v>717</v>
      </c>
      <c r="C175" s="19">
        <v>300</v>
      </c>
      <c r="D175" s="19">
        <v>281</v>
      </c>
      <c r="E175" s="19">
        <v>327</v>
      </c>
      <c r="F175" s="19">
        <v>348</v>
      </c>
      <c r="G175" s="19">
        <v>269</v>
      </c>
      <c r="H175" s="20">
        <v>13189.5400000001</v>
      </c>
      <c r="I175" s="20">
        <v>13235.2600000001</v>
      </c>
      <c r="J175" s="21">
        <v>15382.0500000001</v>
      </c>
      <c r="K175" s="21">
        <v>16374.0200000001</v>
      </c>
      <c r="L175" s="21">
        <v>12960.95</v>
      </c>
      <c r="M175" s="22">
        <v>88</v>
      </c>
      <c r="N175" s="22">
        <v>76</v>
      </c>
      <c r="O175" s="22">
        <v>171</v>
      </c>
      <c r="P175" s="22">
        <v>158</v>
      </c>
      <c r="Q175" s="22">
        <v>163</v>
      </c>
      <c r="R175" s="17">
        <v>0.77319587628866</v>
      </c>
      <c r="S175" s="17">
        <v>0.787114845938375</v>
      </c>
      <c r="T175" s="17">
        <v>0.656626506024096</v>
      </c>
      <c r="U175" s="17">
        <v>0.687747035573123</v>
      </c>
      <c r="V175" s="23">
        <v>0.622685185185185</v>
      </c>
    </row>
    <row r="176" ht="33" spans="1:22">
      <c r="A176" s="16">
        <v>1116</v>
      </c>
      <c r="B176" s="16" t="s">
        <v>718</v>
      </c>
      <c r="C176" s="19">
        <v>47</v>
      </c>
      <c r="D176" s="19">
        <v>54</v>
      </c>
      <c r="E176" s="19">
        <v>79</v>
      </c>
      <c r="F176" s="19">
        <v>46</v>
      </c>
      <c r="G176" s="19">
        <v>34</v>
      </c>
      <c r="H176" s="20">
        <v>976.75</v>
      </c>
      <c r="I176" s="20">
        <v>1082.49</v>
      </c>
      <c r="J176" s="21">
        <v>1706.71</v>
      </c>
      <c r="K176" s="21">
        <v>1109.96</v>
      </c>
      <c r="L176" s="21">
        <v>919.51</v>
      </c>
      <c r="M176" s="22">
        <v>47</v>
      </c>
      <c r="N176" s="22">
        <v>55</v>
      </c>
      <c r="O176" s="22">
        <v>80</v>
      </c>
      <c r="P176" s="22">
        <v>81</v>
      </c>
      <c r="Q176" s="22">
        <v>84</v>
      </c>
      <c r="R176" s="17">
        <v>0.5</v>
      </c>
      <c r="S176" s="17">
        <v>0.495412844036697</v>
      </c>
      <c r="T176" s="17">
        <v>0.49685534591195</v>
      </c>
      <c r="U176" s="17">
        <v>0.362204724409449</v>
      </c>
      <c r="V176" s="23">
        <v>0.288135593220339</v>
      </c>
    </row>
    <row r="177" ht="66" spans="1:22">
      <c r="A177" s="16">
        <v>1117</v>
      </c>
      <c r="B177" s="16" t="s">
        <v>719</v>
      </c>
      <c r="C177" s="19">
        <v>33</v>
      </c>
      <c r="D177" s="19">
        <v>13</v>
      </c>
      <c r="E177" s="19">
        <v>5</v>
      </c>
      <c r="F177" s="19">
        <v>1</v>
      </c>
      <c r="G177" s="19">
        <v>2</v>
      </c>
      <c r="H177" s="20">
        <v>844.47</v>
      </c>
      <c r="I177" s="20">
        <v>356.67</v>
      </c>
      <c r="J177" s="21">
        <v>159.85</v>
      </c>
      <c r="K177" s="21">
        <v>56.5</v>
      </c>
      <c r="L177" s="21">
        <v>113</v>
      </c>
      <c r="M177" s="22">
        <v>280</v>
      </c>
      <c r="N177" s="22">
        <v>309</v>
      </c>
      <c r="O177" s="22">
        <v>388</v>
      </c>
      <c r="P177" s="22">
        <v>334</v>
      </c>
      <c r="Q177" s="22">
        <v>218</v>
      </c>
      <c r="R177" s="17">
        <v>0.105431309904153</v>
      </c>
      <c r="S177" s="17">
        <v>0.0403726708074534</v>
      </c>
      <c r="T177" s="17">
        <v>0.0127226463104326</v>
      </c>
      <c r="U177" s="17">
        <v>0.00298507462686567</v>
      </c>
      <c r="V177" s="23">
        <v>0.00909090909090909</v>
      </c>
    </row>
    <row r="178" ht="33" spans="1:22">
      <c r="A178" s="16">
        <v>1118</v>
      </c>
      <c r="B178" s="16" t="s">
        <v>720</v>
      </c>
      <c r="C178" s="19">
        <v>102</v>
      </c>
      <c r="D178" s="19">
        <v>74</v>
      </c>
      <c r="E178" s="19">
        <v>94</v>
      </c>
      <c r="F178" s="19">
        <v>27</v>
      </c>
      <c r="G178" s="19">
        <v>8</v>
      </c>
      <c r="H178" s="20">
        <v>2028.42</v>
      </c>
      <c r="I178" s="20">
        <v>1471.56</v>
      </c>
      <c r="J178" s="21">
        <v>2106.54</v>
      </c>
      <c r="K178" s="21">
        <v>723.46</v>
      </c>
      <c r="L178" s="21">
        <v>249.24</v>
      </c>
      <c r="M178" s="22">
        <v>34</v>
      </c>
      <c r="N178" s="22">
        <v>42</v>
      </c>
      <c r="O178" s="22">
        <v>62</v>
      </c>
      <c r="P178" s="22">
        <v>84</v>
      </c>
      <c r="Q178" s="22">
        <v>73</v>
      </c>
      <c r="R178" s="17">
        <v>0.75</v>
      </c>
      <c r="S178" s="17">
        <v>0.637931034482759</v>
      </c>
      <c r="T178" s="17">
        <v>0.602564102564103</v>
      </c>
      <c r="U178" s="17">
        <v>0.243243243243243</v>
      </c>
      <c r="V178" s="23">
        <v>0.0987654320987654</v>
      </c>
    </row>
    <row r="179" ht="33" spans="1:22">
      <c r="A179" s="16">
        <v>1119</v>
      </c>
      <c r="B179" s="16" t="s">
        <v>721</v>
      </c>
      <c r="C179" s="19">
        <v>11</v>
      </c>
      <c r="D179" s="19">
        <v>15</v>
      </c>
      <c r="E179" s="19">
        <v>8</v>
      </c>
      <c r="F179" s="19">
        <v>4</v>
      </c>
      <c r="G179" s="19">
        <v>9</v>
      </c>
      <c r="H179" s="20">
        <v>1302.03</v>
      </c>
      <c r="I179" s="20">
        <v>1782.04</v>
      </c>
      <c r="J179" s="21">
        <v>950.61</v>
      </c>
      <c r="K179" s="21">
        <v>474.73</v>
      </c>
      <c r="L179" s="21">
        <v>1072.71</v>
      </c>
      <c r="M179" s="22">
        <v>0</v>
      </c>
      <c r="N179" s="22">
        <v>0</v>
      </c>
      <c r="O179" s="22">
        <v>0</v>
      </c>
      <c r="P179" s="22">
        <v>8</v>
      </c>
      <c r="Q179" s="22">
        <v>2</v>
      </c>
      <c r="R179" s="17">
        <v>1</v>
      </c>
      <c r="S179" s="17">
        <v>1</v>
      </c>
      <c r="T179" s="17">
        <v>1</v>
      </c>
      <c r="U179" s="17">
        <v>0.333333333333333</v>
      </c>
      <c r="V179" s="23">
        <v>0.818181818181818</v>
      </c>
    </row>
    <row r="180" ht="66" spans="1:22">
      <c r="A180" s="16">
        <v>1120</v>
      </c>
      <c r="B180" s="16" t="s">
        <v>722</v>
      </c>
      <c r="C180" s="19">
        <v>26</v>
      </c>
      <c r="D180" s="19">
        <v>26</v>
      </c>
      <c r="E180" s="19">
        <v>38</v>
      </c>
      <c r="F180" s="19">
        <v>38</v>
      </c>
      <c r="G180" s="19">
        <v>41</v>
      </c>
      <c r="H180" s="20">
        <v>3498.4</v>
      </c>
      <c r="I180" s="20">
        <v>3518.8</v>
      </c>
      <c r="J180" s="21">
        <v>5021.95</v>
      </c>
      <c r="K180" s="21">
        <v>5030</v>
      </c>
      <c r="L180" s="21">
        <v>5546.77</v>
      </c>
      <c r="M180" s="22">
        <v>13</v>
      </c>
      <c r="N180" s="22">
        <v>16</v>
      </c>
      <c r="O180" s="22">
        <v>30</v>
      </c>
      <c r="P180" s="22">
        <v>14</v>
      </c>
      <c r="Q180" s="22">
        <v>12</v>
      </c>
      <c r="R180" s="17">
        <v>0.666666666666667</v>
      </c>
      <c r="S180" s="17">
        <v>0.619047619047619</v>
      </c>
      <c r="T180" s="17">
        <v>0.558823529411765</v>
      </c>
      <c r="U180" s="17">
        <v>0.730769230769231</v>
      </c>
      <c r="V180" s="23">
        <v>0.773584905660377</v>
      </c>
    </row>
    <row r="181" ht="33" spans="1:22">
      <c r="A181" s="16">
        <v>1121</v>
      </c>
      <c r="B181" s="16" t="s">
        <v>723</v>
      </c>
      <c r="C181" s="19">
        <v>3</v>
      </c>
      <c r="D181" s="19">
        <v>5</v>
      </c>
      <c r="E181" s="19">
        <v>7</v>
      </c>
      <c r="F181" s="19">
        <v>1</v>
      </c>
      <c r="G181" s="19">
        <v>7</v>
      </c>
      <c r="H181" s="20">
        <v>373.5</v>
      </c>
      <c r="I181" s="20">
        <v>622.5</v>
      </c>
      <c r="J181" s="21">
        <v>879.86</v>
      </c>
      <c r="K181" s="21">
        <v>132.86</v>
      </c>
      <c r="L181" s="21">
        <v>904.89</v>
      </c>
      <c r="M181" s="22">
        <v>0</v>
      </c>
      <c r="N181" s="22">
        <v>0</v>
      </c>
      <c r="O181" s="22">
        <v>0</v>
      </c>
      <c r="P181" s="22">
        <v>2</v>
      </c>
      <c r="Q181" s="22">
        <v>3</v>
      </c>
      <c r="R181" s="17">
        <v>1</v>
      </c>
      <c r="S181" s="17">
        <v>1</v>
      </c>
      <c r="T181" s="17">
        <v>1</v>
      </c>
      <c r="U181" s="17">
        <v>0.333333333333333</v>
      </c>
      <c r="V181" s="23">
        <v>0.7</v>
      </c>
    </row>
    <row r="182" ht="16.5" spans="1:22">
      <c r="A182" s="16">
        <v>1122</v>
      </c>
      <c r="B182" s="16" t="s">
        <v>724</v>
      </c>
      <c r="C182" s="19">
        <v>36</v>
      </c>
      <c r="D182" s="19">
        <v>36</v>
      </c>
      <c r="E182" s="19">
        <v>42</v>
      </c>
      <c r="F182" s="19">
        <v>36</v>
      </c>
      <c r="G182" s="19">
        <v>34</v>
      </c>
      <c r="H182" s="20">
        <v>3258.89</v>
      </c>
      <c r="I182" s="20">
        <v>3234.17</v>
      </c>
      <c r="J182" s="21">
        <v>3871.5</v>
      </c>
      <c r="K182" s="21">
        <v>3341.23</v>
      </c>
      <c r="L182" s="21">
        <v>3161.7</v>
      </c>
      <c r="M182" s="22">
        <v>1</v>
      </c>
      <c r="N182" s="22">
        <v>1</v>
      </c>
      <c r="O182" s="22">
        <v>4</v>
      </c>
      <c r="P182" s="22">
        <v>4</v>
      </c>
      <c r="Q182" s="22">
        <v>12</v>
      </c>
      <c r="R182" s="17">
        <v>0.972972972972973</v>
      </c>
      <c r="S182" s="17">
        <v>0.972972972972973</v>
      </c>
      <c r="T182" s="17">
        <v>0.91304347826087</v>
      </c>
      <c r="U182" s="17">
        <v>0.9</v>
      </c>
      <c r="V182" s="23">
        <v>0.739130434782609</v>
      </c>
    </row>
    <row r="183" ht="16.5" spans="1:22">
      <c r="A183" s="16">
        <v>1125</v>
      </c>
      <c r="B183" s="16" t="s">
        <v>725</v>
      </c>
      <c r="C183" s="19">
        <v>93</v>
      </c>
      <c r="D183" s="19">
        <v>94</v>
      </c>
      <c r="E183" s="19">
        <v>131</v>
      </c>
      <c r="F183" s="19">
        <v>107</v>
      </c>
      <c r="G183" s="19">
        <v>112</v>
      </c>
      <c r="H183" s="20">
        <v>1196.4</v>
      </c>
      <c r="I183" s="20">
        <v>1185.7</v>
      </c>
      <c r="J183" s="21">
        <v>1635.2</v>
      </c>
      <c r="K183" s="21">
        <v>1347.18</v>
      </c>
      <c r="L183" s="21">
        <v>1432.4</v>
      </c>
      <c r="M183" s="22">
        <v>87</v>
      </c>
      <c r="N183" s="22">
        <v>105</v>
      </c>
      <c r="O183" s="22">
        <v>136</v>
      </c>
      <c r="P183" s="22">
        <v>118</v>
      </c>
      <c r="Q183" s="22">
        <v>100</v>
      </c>
      <c r="R183" s="17">
        <v>0.516666666666667</v>
      </c>
      <c r="S183" s="17">
        <v>0.472361809045226</v>
      </c>
      <c r="T183" s="17">
        <v>0.49063670411985</v>
      </c>
      <c r="U183" s="17">
        <v>0.475555555555556</v>
      </c>
      <c r="V183" s="23">
        <v>0.528301886792453</v>
      </c>
    </row>
    <row r="184" ht="16.5" spans="1:22">
      <c r="A184" s="16">
        <v>1126</v>
      </c>
      <c r="B184" s="16" t="s">
        <v>726</v>
      </c>
      <c r="C184" s="19">
        <v>28</v>
      </c>
      <c r="D184" s="19">
        <v>40</v>
      </c>
      <c r="E184" s="19">
        <v>26</v>
      </c>
      <c r="F184" s="19">
        <v>42</v>
      </c>
      <c r="G184" s="19">
        <v>20</v>
      </c>
      <c r="H184" s="20">
        <v>260.32</v>
      </c>
      <c r="I184" s="20">
        <v>448.9</v>
      </c>
      <c r="J184" s="21">
        <v>291.29</v>
      </c>
      <c r="K184" s="21">
        <v>489.93</v>
      </c>
      <c r="L184" s="21">
        <v>221.65</v>
      </c>
      <c r="M184" s="22">
        <v>50</v>
      </c>
      <c r="N184" s="22">
        <v>53</v>
      </c>
      <c r="O184" s="22">
        <v>85</v>
      </c>
      <c r="P184" s="22">
        <v>78</v>
      </c>
      <c r="Q184" s="22">
        <v>72</v>
      </c>
      <c r="R184" s="17">
        <v>0.358974358974359</v>
      </c>
      <c r="S184" s="17">
        <v>0.43010752688172</v>
      </c>
      <c r="T184" s="17">
        <v>0.234234234234234</v>
      </c>
      <c r="U184" s="17">
        <v>0.35</v>
      </c>
      <c r="V184" s="23">
        <v>0.217391304347826</v>
      </c>
    </row>
    <row r="185" ht="33" spans="1:22">
      <c r="A185" s="16">
        <v>1134</v>
      </c>
      <c r="B185" s="16" t="s">
        <v>727</v>
      </c>
      <c r="C185" s="19">
        <v>19</v>
      </c>
      <c r="D185" s="19">
        <v>22</v>
      </c>
      <c r="E185" s="19">
        <v>26</v>
      </c>
      <c r="F185" s="19">
        <v>25</v>
      </c>
      <c r="G185" s="19">
        <v>17</v>
      </c>
      <c r="H185" s="20">
        <v>1181.95</v>
      </c>
      <c r="I185" s="20">
        <v>1369.9</v>
      </c>
      <c r="J185" s="21">
        <v>1655.75</v>
      </c>
      <c r="K185" s="21">
        <v>1627.59</v>
      </c>
      <c r="L185" s="21">
        <v>1135.74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17">
        <v>1</v>
      </c>
      <c r="S185" s="17">
        <v>1</v>
      </c>
      <c r="T185" s="17">
        <v>1</v>
      </c>
      <c r="U185" s="17">
        <v>1</v>
      </c>
      <c r="V185" s="23">
        <v>1</v>
      </c>
    </row>
    <row r="186" ht="33" spans="1:22">
      <c r="A186" s="16">
        <v>1135</v>
      </c>
      <c r="B186" s="16" t="s">
        <v>728</v>
      </c>
      <c r="C186" s="19">
        <v>42</v>
      </c>
      <c r="D186" s="19">
        <v>56</v>
      </c>
      <c r="E186" s="19">
        <v>74</v>
      </c>
      <c r="F186" s="19">
        <v>58</v>
      </c>
      <c r="G186" s="19">
        <v>66</v>
      </c>
      <c r="H186" s="20">
        <v>2178.03</v>
      </c>
      <c r="I186" s="20">
        <v>2899.97</v>
      </c>
      <c r="J186" s="21">
        <v>3963.36</v>
      </c>
      <c r="K186" s="21">
        <v>3143.6</v>
      </c>
      <c r="L186" s="21">
        <v>3577.2</v>
      </c>
      <c r="M186" s="22">
        <v>21</v>
      </c>
      <c r="N186" s="22">
        <v>19</v>
      </c>
      <c r="O186" s="22">
        <v>31</v>
      </c>
      <c r="P186" s="22">
        <v>22</v>
      </c>
      <c r="Q186" s="22">
        <v>15</v>
      </c>
      <c r="R186" s="17">
        <v>0.666666666666667</v>
      </c>
      <c r="S186" s="17">
        <v>0.746666666666667</v>
      </c>
      <c r="T186" s="17">
        <v>0.704761904761905</v>
      </c>
      <c r="U186" s="17">
        <v>0.725</v>
      </c>
      <c r="V186" s="23">
        <v>0.814814814814815</v>
      </c>
    </row>
    <row r="187" ht="33" spans="1:22">
      <c r="A187" s="16">
        <v>1141</v>
      </c>
      <c r="B187" s="16" t="s">
        <v>729</v>
      </c>
      <c r="C187" s="19">
        <v>21</v>
      </c>
      <c r="D187" s="19">
        <v>22</v>
      </c>
      <c r="E187" s="19">
        <v>16</v>
      </c>
      <c r="F187" s="19">
        <v>13</v>
      </c>
      <c r="G187" s="19">
        <v>15</v>
      </c>
      <c r="H187" s="20">
        <v>1553.79</v>
      </c>
      <c r="I187" s="20">
        <v>1692.78</v>
      </c>
      <c r="J187" s="21">
        <v>1272.34</v>
      </c>
      <c r="K187" s="21">
        <v>1039.37</v>
      </c>
      <c r="L187" s="21">
        <v>1205.69</v>
      </c>
      <c r="M187" s="22">
        <v>5</v>
      </c>
      <c r="N187" s="22">
        <v>2</v>
      </c>
      <c r="O187" s="22">
        <v>5</v>
      </c>
      <c r="P187" s="22">
        <v>1</v>
      </c>
      <c r="Q187" s="22">
        <v>4</v>
      </c>
      <c r="R187" s="17">
        <v>0.807692307692308</v>
      </c>
      <c r="S187" s="17">
        <v>0.916666666666667</v>
      </c>
      <c r="T187" s="17">
        <v>0.761904761904762</v>
      </c>
      <c r="U187" s="17">
        <v>0.928571428571429</v>
      </c>
      <c r="V187" s="23">
        <v>0.789473684210526</v>
      </c>
    </row>
    <row r="188" ht="16.5" spans="1:22">
      <c r="A188" s="16">
        <v>1146</v>
      </c>
      <c r="B188" s="16" t="s">
        <v>730</v>
      </c>
      <c r="C188" s="19">
        <v>12</v>
      </c>
      <c r="D188" s="19">
        <v>13</v>
      </c>
      <c r="E188" s="19">
        <v>29</v>
      </c>
      <c r="F188" s="19">
        <v>26</v>
      </c>
      <c r="G188" s="19">
        <v>21</v>
      </c>
      <c r="H188" s="20">
        <v>337.74</v>
      </c>
      <c r="I188" s="20">
        <v>371.09</v>
      </c>
      <c r="J188" s="21">
        <v>843.13</v>
      </c>
      <c r="K188" s="21">
        <v>774.99</v>
      </c>
      <c r="L188" s="21">
        <v>634.22</v>
      </c>
      <c r="M188" s="22">
        <v>12</v>
      </c>
      <c r="N188" s="22">
        <v>21</v>
      </c>
      <c r="O188" s="22">
        <v>24</v>
      </c>
      <c r="P188" s="22">
        <v>10</v>
      </c>
      <c r="Q188" s="22">
        <v>10</v>
      </c>
      <c r="R188" s="17">
        <v>0.5</v>
      </c>
      <c r="S188" s="17">
        <v>0.382352941176471</v>
      </c>
      <c r="T188" s="17">
        <v>0.547169811320755</v>
      </c>
      <c r="U188" s="17">
        <v>0.722222222222222</v>
      </c>
      <c r="V188" s="23">
        <v>0.67741935483871</v>
      </c>
    </row>
    <row r="189" ht="16.5" spans="1:22">
      <c r="A189" s="16">
        <v>1150</v>
      </c>
      <c r="B189" s="16" t="s">
        <v>731</v>
      </c>
      <c r="C189" s="19">
        <v>14</v>
      </c>
      <c r="D189" s="19">
        <v>10</v>
      </c>
      <c r="E189" s="19">
        <v>27</v>
      </c>
      <c r="F189" s="19">
        <v>18</v>
      </c>
      <c r="G189" s="19">
        <v>21</v>
      </c>
      <c r="H189" s="20">
        <v>951.86</v>
      </c>
      <c r="I189" s="20">
        <v>678.4</v>
      </c>
      <c r="J189" s="21">
        <v>1766.56</v>
      </c>
      <c r="K189" s="21">
        <v>1210.33</v>
      </c>
      <c r="L189" s="21">
        <v>1398.24</v>
      </c>
      <c r="M189" s="22">
        <v>0</v>
      </c>
      <c r="N189" s="22">
        <v>0</v>
      </c>
      <c r="O189" s="22">
        <v>2</v>
      </c>
      <c r="P189" s="22">
        <v>0</v>
      </c>
      <c r="Q189" s="22">
        <v>0</v>
      </c>
      <c r="R189" s="17">
        <v>1</v>
      </c>
      <c r="S189" s="17">
        <v>1</v>
      </c>
      <c r="T189" s="17">
        <v>0.931034482758621</v>
      </c>
      <c r="U189" s="17">
        <v>1</v>
      </c>
      <c r="V189" s="23">
        <v>1</v>
      </c>
    </row>
    <row r="190" ht="16.5" spans="1:22">
      <c r="A190" s="16">
        <v>1152</v>
      </c>
      <c r="B190" s="16" t="s">
        <v>732</v>
      </c>
      <c r="C190" s="19">
        <v>19</v>
      </c>
      <c r="D190" s="19">
        <v>17</v>
      </c>
      <c r="E190" s="19">
        <v>18</v>
      </c>
      <c r="F190" s="19">
        <v>18</v>
      </c>
      <c r="G190" s="19">
        <v>13</v>
      </c>
      <c r="H190" s="20">
        <v>917.71</v>
      </c>
      <c r="I190" s="20">
        <v>831.15</v>
      </c>
      <c r="J190" s="21">
        <v>891.56</v>
      </c>
      <c r="K190" s="21">
        <v>883.38</v>
      </c>
      <c r="L190" s="21">
        <v>649.5</v>
      </c>
      <c r="M190" s="22">
        <v>0</v>
      </c>
      <c r="N190" s="22">
        <v>1</v>
      </c>
      <c r="O190" s="22">
        <v>4</v>
      </c>
      <c r="P190" s="22">
        <v>1</v>
      </c>
      <c r="Q190" s="22">
        <v>5</v>
      </c>
      <c r="R190" s="17">
        <v>1</v>
      </c>
      <c r="S190" s="17">
        <v>0.944444444444444</v>
      </c>
      <c r="T190" s="17">
        <v>0.818181818181818</v>
      </c>
      <c r="U190" s="17">
        <v>0.947368421052632</v>
      </c>
      <c r="V190" s="23">
        <v>0.722222222222222</v>
      </c>
    </row>
    <row r="191" ht="33" spans="1:22">
      <c r="A191" s="16">
        <v>1154</v>
      </c>
      <c r="B191" s="16" t="s">
        <v>733</v>
      </c>
      <c r="C191" s="19">
        <v>43</v>
      </c>
      <c r="D191" s="19">
        <v>33</v>
      </c>
      <c r="E191" s="19">
        <v>60</v>
      </c>
      <c r="F191" s="19">
        <v>56</v>
      </c>
      <c r="G191" s="19">
        <v>70</v>
      </c>
      <c r="H191" s="20">
        <v>1683.79</v>
      </c>
      <c r="I191" s="20">
        <v>1313.67</v>
      </c>
      <c r="J191" s="21">
        <v>2386.4</v>
      </c>
      <c r="K191" s="21">
        <v>2231.24</v>
      </c>
      <c r="L191" s="21">
        <v>2792.93</v>
      </c>
      <c r="M191" s="22">
        <v>11</v>
      </c>
      <c r="N191" s="22">
        <v>9</v>
      </c>
      <c r="O191" s="22">
        <v>16</v>
      </c>
      <c r="P191" s="22">
        <v>9</v>
      </c>
      <c r="Q191" s="22">
        <v>15</v>
      </c>
      <c r="R191" s="17">
        <v>0.796296296296296</v>
      </c>
      <c r="S191" s="17">
        <v>0.785714285714286</v>
      </c>
      <c r="T191" s="17">
        <v>0.789473684210526</v>
      </c>
      <c r="U191" s="17">
        <v>0.861538461538462</v>
      </c>
      <c r="V191" s="23">
        <v>0.823529411764706</v>
      </c>
    </row>
    <row r="192" ht="33" spans="1:22">
      <c r="A192" s="16">
        <v>1155</v>
      </c>
      <c r="B192" s="16" t="s">
        <v>734</v>
      </c>
      <c r="C192" s="19">
        <v>20</v>
      </c>
      <c r="D192" s="19">
        <v>18</v>
      </c>
      <c r="E192" s="19">
        <v>22</v>
      </c>
      <c r="F192" s="19">
        <v>29</v>
      </c>
      <c r="G192" s="19">
        <v>18</v>
      </c>
      <c r="H192" s="20">
        <v>1490</v>
      </c>
      <c r="I192" s="20">
        <v>1341</v>
      </c>
      <c r="J192" s="21">
        <v>1639</v>
      </c>
      <c r="K192" s="21">
        <v>2169.43</v>
      </c>
      <c r="L192" s="21">
        <v>1400.88</v>
      </c>
      <c r="M192" s="22">
        <v>4</v>
      </c>
      <c r="N192" s="22">
        <v>1</v>
      </c>
      <c r="O192" s="22">
        <v>6</v>
      </c>
      <c r="P192" s="22">
        <v>1</v>
      </c>
      <c r="Q192" s="22">
        <v>7</v>
      </c>
      <c r="R192" s="17">
        <v>0.833333333333333</v>
      </c>
      <c r="S192" s="17">
        <v>0.947368421052632</v>
      </c>
      <c r="T192" s="17">
        <v>0.785714285714286</v>
      </c>
      <c r="U192" s="17">
        <v>0.966666666666667</v>
      </c>
      <c r="V192" s="23">
        <v>0.72</v>
      </c>
    </row>
    <row r="193" ht="16.5" spans="1:22">
      <c r="A193" s="16">
        <v>1191</v>
      </c>
      <c r="B193" s="16" t="s">
        <v>735</v>
      </c>
      <c r="C193" s="19">
        <v>25</v>
      </c>
      <c r="D193" s="19">
        <v>35</v>
      </c>
      <c r="E193" s="19">
        <v>54</v>
      </c>
      <c r="F193" s="19">
        <v>39</v>
      </c>
      <c r="G193" s="19">
        <v>34</v>
      </c>
      <c r="H193" s="20">
        <v>606.23</v>
      </c>
      <c r="I193" s="20">
        <v>834</v>
      </c>
      <c r="J193" s="21">
        <v>1285.6</v>
      </c>
      <c r="K193" s="21">
        <v>927.599999999999</v>
      </c>
      <c r="L193" s="21">
        <v>809.6</v>
      </c>
      <c r="M193" s="22">
        <v>18</v>
      </c>
      <c r="N193" s="22">
        <v>22</v>
      </c>
      <c r="O193" s="22">
        <v>16</v>
      </c>
      <c r="P193" s="22">
        <v>8</v>
      </c>
      <c r="Q193" s="22">
        <v>22</v>
      </c>
      <c r="R193" s="17">
        <v>0.581395348837209</v>
      </c>
      <c r="S193" s="17">
        <v>0.614035087719298</v>
      </c>
      <c r="T193" s="17">
        <v>0.771428571428571</v>
      </c>
      <c r="U193" s="17">
        <v>0.829787234042553</v>
      </c>
      <c r="V193" s="23">
        <v>0.607142857142857</v>
      </c>
    </row>
    <row r="194" ht="33" spans="1:22">
      <c r="A194" s="16">
        <v>1199</v>
      </c>
      <c r="B194" s="16" t="s">
        <v>736</v>
      </c>
      <c r="C194" s="19">
        <v>90</v>
      </c>
      <c r="D194" s="19">
        <v>58</v>
      </c>
      <c r="E194" s="19">
        <v>100</v>
      </c>
      <c r="F194" s="19">
        <v>46</v>
      </c>
      <c r="G194" s="19">
        <v>44</v>
      </c>
      <c r="H194" s="20">
        <v>2556</v>
      </c>
      <c r="I194" s="20">
        <v>1782.14</v>
      </c>
      <c r="J194" s="21">
        <v>3253.98</v>
      </c>
      <c r="K194" s="21">
        <v>1582.68</v>
      </c>
      <c r="L194" s="21">
        <v>1507.48</v>
      </c>
      <c r="M194" s="22">
        <v>58</v>
      </c>
      <c r="N194" s="22">
        <v>57</v>
      </c>
      <c r="O194" s="22">
        <v>55</v>
      </c>
      <c r="P194" s="22">
        <v>69</v>
      </c>
      <c r="Q194" s="22">
        <v>55</v>
      </c>
      <c r="R194" s="17">
        <v>0.608108108108108</v>
      </c>
      <c r="S194" s="17">
        <v>0.504347826086956</v>
      </c>
      <c r="T194" s="17">
        <v>0.645161290322581</v>
      </c>
      <c r="U194" s="17">
        <v>0.4</v>
      </c>
      <c r="V194" s="23">
        <v>0.444444444444444</v>
      </c>
    </row>
    <row r="195" ht="33" spans="1:22">
      <c r="A195" s="16">
        <v>2518</v>
      </c>
      <c r="B195" s="16" t="s">
        <v>737</v>
      </c>
      <c r="C195" s="19">
        <v>19</v>
      </c>
      <c r="D195" s="19">
        <v>26</v>
      </c>
      <c r="E195" s="19">
        <v>32</v>
      </c>
      <c r="F195" s="19">
        <v>24</v>
      </c>
      <c r="G195" s="19">
        <v>16</v>
      </c>
      <c r="H195" s="20">
        <v>541.31</v>
      </c>
      <c r="I195" s="20">
        <v>764.81</v>
      </c>
      <c r="J195" s="21">
        <v>945.98</v>
      </c>
      <c r="K195" s="21">
        <v>706.73</v>
      </c>
      <c r="L195" s="21">
        <v>482.73</v>
      </c>
      <c r="M195" s="22">
        <v>16</v>
      </c>
      <c r="N195" s="22">
        <v>16</v>
      </c>
      <c r="O195" s="22">
        <v>13</v>
      </c>
      <c r="P195" s="22">
        <v>10</v>
      </c>
      <c r="Q195" s="22">
        <v>20</v>
      </c>
      <c r="R195" s="17">
        <v>0.542857142857143</v>
      </c>
      <c r="S195" s="17">
        <v>0.619047619047619</v>
      </c>
      <c r="T195" s="17">
        <v>0.711111111111111</v>
      </c>
      <c r="U195" s="17">
        <v>0.705882352941177</v>
      </c>
      <c r="V195" s="23">
        <v>0.444444444444444</v>
      </c>
    </row>
    <row r="196" ht="33" spans="1:22">
      <c r="A196" s="16">
        <v>1201</v>
      </c>
      <c r="B196" s="16" t="s">
        <v>738</v>
      </c>
      <c r="C196" s="19">
        <v>112</v>
      </c>
      <c r="D196" s="19">
        <v>86</v>
      </c>
      <c r="E196" s="19">
        <v>81</v>
      </c>
      <c r="F196" s="19">
        <v>98</v>
      </c>
      <c r="G196" s="19">
        <v>72</v>
      </c>
      <c r="H196" s="20">
        <v>6942.87999999998</v>
      </c>
      <c r="I196" s="20">
        <v>5331.13999999999</v>
      </c>
      <c r="J196" s="21">
        <v>5021.18999999999</v>
      </c>
      <c r="K196" s="21">
        <v>6075.01999999999</v>
      </c>
      <c r="L196" s="21">
        <v>4426.08</v>
      </c>
      <c r="M196" s="22">
        <v>12</v>
      </c>
      <c r="N196" s="22">
        <v>11</v>
      </c>
      <c r="O196" s="22">
        <v>23</v>
      </c>
      <c r="P196" s="22">
        <v>22</v>
      </c>
      <c r="Q196" s="22">
        <v>27</v>
      </c>
      <c r="R196" s="17">
        <v>0.903225806451613</v>
      </c>
      <c r="S196" s="17">
        <v>0.88659793814433</v>
      </c>
      <c r="T196" s="17">
        <v>0.778846153846154</v>
      </c>
      <c r="U196" s="17">
        <v>0.816666666666667</v>
      </c>
      <c r="V196" s="23">
        <v>0.727272727272727</v>
      </c>
    </row>
    <row r="197" ht="16.5" spans="1:22">
      <c r="A197" s="16">
        <v>1247</v>
      </c>
      <c r="B197" s="16" t="s">
        <v>739</v>
      </c>
      <c r="C197" s="19">
        <v>23</v>
      </c>
      <c r="D197" s="19">
        <v>11</v>
      </c>
      <c r="E197" s="19">
        <v>23</v>
      </c>
      <c r="F197" s="19">
        <v>13</v>
      </c>
      <c r="G197" s="19">
        <v>24</v>
      </c>
      <c r="H197" s="20">
        <v>1856.08</v>
      </c>
      <c r="I197" s="20">
        <v>874.57</v>
      </c>
      <c r="J197" s="21">
        <v>1870.95</v>
      </c>
      <c r="K197" s="21">
        <v>1086.37</v>
      </c>
      <c r="L197" s="21">
        <v>2007.76</v>
      </c>
      <c r="M197" s="22">
        <v>5</v>
      </c>
      <c r="N197" s="22">
        <v>6</v>
      </c>
      <c r="O197" s="22">
        <v>9</v>
      </c>
      <c r="P197" s="22">
        <v>12</v>
      </c>
      <c r="Q197" s="22">
        <v>6</v>
      </c>
      <c r="R197" s="17">
        <v>0.821428571428571</v>
      </c>
      <c r="S197" s="17">
        <v>0.647058823529412</v>
      </c>
      <c r="T197" s="17">
        <v>0.71875</v>
      </c>
      <c r="U197" s="17">
        <v>0.52</v>
      </c>
      <c r="V197" s="23">
        <v>0.8</v>
      </c>
    </row>
    <row r="198" ht="16.5" spans="1:22">
      <c r="A198" s="16">
        <v>1249</v>
      </c>
      <c r="B198" s="16" t="s">
        <v>740</v>
      </c>
      <c r="C198" s="19">
        <v>27</v>
      </c>
      <c r="D198" s="19">
        <v>17</v>
      </c>
      <c r="E198" s="19">
        <v>36</v>
      </c>
      <c r="F198" s="19">
        <v>25</v>
      </c>
      <c r="G198" s="19">
        <v>16</v>
      </c>
      <c r="H198" s="20">
        <v>2439.96</v>
      </c>
      <c r="I198" s="20">
        <v>1579.63</v>
      </c>
      <c r="J198" s="21">
        <v>3234.74</v>
      </c>
      <c r="K198" s="21">
        <v>2233.75</v>
      </c>
      <c r="L198" s="21">
        <v>1412.25</v>
      </c>
      <c r="M198" s="22">
        <v>7</v>
      </c>
      <c r="N198" s="22">
        <v>12</v>
      </c>
      <c r="O198" s="22">
        <v>9</v>
      </c>
      <c r="P198" s="22">
        <v>2</v>
      </c>
      <c r="Q198" s="22">
        <v>1</v>
      </c>
      <c r="R198" s="17">
        <v>0.794117647058823</v>
      </c>
      <c r="S198" s="17">
        <v>0.586206896551724</v>
      </c>
      <c r="T198" s="17">
        <v>0.8</v>
      </c>
      <c r="U198" s="17">
        <v>0.925925925925926</v>
      </c>
      <c r="V198" s="23">
        <v>0.941176470588235</v>
      </c>
    </row>
    <row r="199" ht="16.5" spans="1:22">
      <c r="A199" s="16">
        <v>1286</v>
      </c>
      <c r="B199" s="16" t="s">
        <v>741</v>
      </c>
      <c r="C199" s="19">
        <v>27</v>
      </c>
      <c r="D199" s="19">
        <v>19</v>
      </c>
      <c r="E199" s="19">
        <v>29</v>
      </c>
      <c r="F199" s="19">
        <v>3</v>
      </c>
      <c r="G199" s="19">
        <v>0</v>
      </c>
      <c r="H199" s="20">
        <v>321.33</v>
      </c>
      <c r="I199" s="20">
        <v>269.03</v>
      </c>
      <c r="J199" s="21">
        <v>452.59</v>
      </c>
      <c r="K199" s="21">
        <v>60.5</v>
      </c>
      <c r="L199" s="21">
        <v>0</v>
      </c>
      <c r="M199" s="22">
        <v>20</v>
      </c>
      <c r="N199" s="22">
        <v>32</v>
      </c>
      <c r="O199" s="22">
        <v>81</v>
      </c>
      <c r="P199" s="22">
        <v>64</v>
      </c>
      <c r="Q199" s="22">
        <v>84</v>
      </c>
      <c r="R199" s="17">
        <v>0.574468085106383</v>
      </c>
      <c r="S199" s="17">
        <v>0.372549019607843</v>
      </c>
      <c r="T199" s="17">
        <v>0.263636363636364</v>
      </c>
      <c r="U199" s="17">
        <v>0.0447761194029851</v>
      </c>
      <c r="V199" s="23">
        <v>0</v>
      </c>
    </row>
    <row r="200" ht="16.5" spans="1:22">
      <c r="A200" s="16">
        <v>1292</v>
      </c>
      <c r="B200" s="16" t="s">
        <v>742</v>
      </c>
      <c r="C200" s="19">
        <v>61</v>
      </c>
      <c r="D200" s="19">
        <v>70</v>
      </c>
      <c r="E200" s="19">
        <v>93</v>
      </c>
      <c r="F200" s="19">
        <v>81</v>
      </c>
      <c r="G200" s="19">
        <v>66</v>
      </c>
      <c r="H200" s="20">
        <v>3693.89</v>
      </c>
      <c r="I200" s="20">
        <v>4422.35999999999</v>
      </c>
      <c r="J200" s="21">
        <v>6372.10999999999</v>
      </c>
      <c r="K200" s="21">
        <v>5662.72999999999</v>
      </c>
      <c r="L200" s="21">
        <v>4365.3</v>
      </c>
      <c r="M200" s="22">
        <v>16</v>
      </c>
      <c r="N200" s="22">
        <v>19</v>
      </c>
      <c r="O200" s="22">
        <v>6</v>
      </c>
      <c r="P200" s="22">
        <v>23</v>
      </c>
      <c r="Q200" s="22">
        <v>17</v>
      </c>
      <c r="R200" s="17">
        <v>0.792207792207792</v>
      </c>
      <c r="S200" s="17">
        <v>0.786516853932584</v>
      </c>
      <c r="T200" s="17">
        <v>0.939393939393939</v>
      </c>
      <c r="U200" s="17">
        <v>0.778846153846154</v>
      </c>
      <c r="V200" s="23">
        <v>0.795180722891566</v>
      </c>
    </row>
    <row r="201" ht="33" spans="1:22">
      <c r="A201" s="16">
        <v>1302</v>
      </c>
      <c r="B201" s="16" t="s">
        <v>743</v>
      </c>
      <c r="C201" s="19">
        <v>82</v>
      </c>
      <c r="D201" s="19">
        <v>74</v>
      </c>
      <c r="E201" s="19">
        <v>82</v>
      </c>
      <c r="F201" s="19">
        <v>57</v>
      </c>
      <c r="G201" s="19">
        <v>61</v>
      </c>
      <c r="H201" s="20">
        <v>2958.88</v>
      </c>
      <c r="I201" s="20">
        <v>2837.84</v>
      </c>
      <c r="J201" s="21">
        <v>3161.86</v>
      </c>
      <c r="K201" s="21">
        <v>2298.23</v>
      </c>
      <c r="L201" s="21">
        <v>2162.81</v>
      </c>
      <c r="M201" s="22">
        <v>11</v>
      </c>
      <c r="N201" s="22">
        <v>24</v>
      </c>
      <c r="O201" s="22">
        <v>19</v>
      </c>
      <c r="P201" s="22">
        <v>15</v>
      </c>
      <c r="Q201" s="22">
        <v>31</v>
      </c>
      <c r="R201" s="17">
        <v>0.881720430107527</v>
      </c>
      <c r="S201" s="17">
        <v>0.755102040816326</v>
      </c>
      <c r="T201" s="17">
        <v>0.811881188118812</v>
      </c>
      <c r="U201" s="17">
        <v>0.791666666666667</v>
      </c>
      <c r="V201" s="23">
        <v>0.66304347826087</v>
      </c>
    </row>
    <row r="202" ht="16.5" spans="1:22">
      <c r="A202" s="16">
        <v>1310</v>
      </c>
      <c r="B202" s="16" t="s">
        <v>744</v>
      </c>
      <c r="C202" s="19">
        <v>124</v>
      </c>
      <c r="D202" s="19">
        <v>155</v>
      </c>
      <c r="E202" s="19">
        <v>243</v>
      </c>
      <c r="F202" s="19">
        <v>168</v>
      </c>
      <c r="G202" s="19">
        <v>101</v>
      </c>
      <c r="H202" s="20">
        <v>761.99</v>
      </c>
      <c r="I202" s="20">
        <v>919.980000000001</v>
      </c>
      <c r="J202" s="21">
        <v>1484.45</v>
      </c>
      <c r="K202" s="21">
        <v>1084.96</v>
      </c>
      <c r="L202" s="21">
        <v>652.46</v>
      </c>
      <c r="M202" s="22">
        <v>323</v>
      </c>
      <c r="N202" s="22">
        <v>284</v>
      </c>
      <c r="O202" s="22">
        <v>323</v>
      </c>
      <c r="P202" s="22">
        <v>466</v>
      </c>
      <c r="Q202" s="22">
        <v>320</v>
      </c>
      <c r="R202" s="17">
        <v>0.277404921700224</v>
      </c>
      <c r="S202" s="17">
        <v>0.353075170842825</v>
      </c>
      <c r="T202" s="17">
        <v>0.429328621908127</v>
      </c>
      <c r="U202" s="17">
        <v>0.264984227129338</v>
      </c>
      <c r="V202" s="23">
        <v>0.239904988123515</v>
      </c>
    </row>
    <row r="203" ht="66" spans="1:22">
      <c r="A203" s="16">
        <v>1320</v>
      </c>
      <c r="B203" s="16" t="s">
        <v>745</v>
      </c>
      <c r="C203" s="19">
        <v>4</v>
      </c>
      <c r="D203" s="19">
        <v>9</v>
      </c>
      <c r="E203" s="19">
        <v>20</v>
      </c>
      <c r="F203" s="19">
        <v>12</v>
      </c>
      <c r="G203" s="19">
        <v>3</v>
      </c>
      <c r="H203" s="20">
        <v>135.96</v>
      </c>
      <c r="I203" s="20">
        <v>307.11</v>
      </c>
      <c r="J203" s="21">
        <v>681.2</v>
      </c>
      <c r="K203" s="21">
        <v>406.88</v>
      </c>
      <c r="L203" s="21">
        <v>102.57</v>
      </c>
      <c r="M203" s="22">
        <v>9</v>
      </c>
      <c r="N203" s="22">
        <v>8</v>
      </c>
      <c r="O203" s="22">
        <v>18</v>
      </c>
      <c r="P203" s="22">
        <v>28</v>
      </c>
      <c r="Q203" s="22">
        <v>21</v>
      </c>
      <c r="R203" s="17">
        <v>0.307692307692308</v>
      </c>
      <c r="S203" s="17">
        <v>0.529411764705882</v>
      </c>
      <c r="T203" s="17">
        <v>0.526315789473684</v>
      </c>
      <c r="U203" s="17">
        <v>0.3</v>
      </c>
      <c r="V203" s="23">
        <v>0.125</v>
      </c>
    </row>
    <row r="204" ht="33" spans="1:22">
      <c r="A204" s="16">
        <v>1368</v>
      </c>
      <c r="B204" s="16" t="s">
        <v>746</v>
      </c>
      <c r="C204" s="19">
        <v>9</v>
      </c>
      <c r="D204" s="19">
        <v>17</v>
      </c>
      <c r="E204" s="19">
        <v>18</v>
      </c>
      <c r="F204" s="19">
        <v>10</v>
      </c>
      <c r="G204" s="19">
        <v>12</v>
      </c>
      <c r="H204" s="20">
        <v>532.99</v>
      </c>
      <c r="I204" s="20">
        <v>977.87</v>
      </c>
      <c r="J204" s="21">
        <v>1097.18</v>
      </c>
      <c r="K204" s="21">
        <v>625.65</v>
      </c>
      <c r="L204" s="21">
        <v>714.77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17">
        <v>1</v>
      </c>
      <c r="S204" s="17">
        <v>1</v>
      </c>
      <c r="T204" s="17">
        <v>1</v>
      </c>
      <c r="U204" s="17">
        <v>1</v>
      </c>
      <c r="V204" s="23">
        <v>1</v>
      </c>
    </row>
    <row r="205" ht="16.5" spans="1:22">
      <c r="A205" s="16">
        <v>1369</v>
      </c>
      <c r="B205" s="16" t="s">
        <v>747</v>
      </c>
      <c r="C205" s="19">
        <v>4</v>
      </c>
      <c r="D205" s="19">
        <v>16</v>
      </c>
      <c r="E205" s="19">
        <v>22</v>
      </c>
      <c r="F205" s="19">
        <v>10</v>
      </c>
      <c r="G205" s="19">
        <v>9</v>
      </c>
      <c r="H205" s="20">
        <v>207.68</v>
      </c>
      <c r="I205" s="20">
        <v>806.94</v>
      </c>
      <c r="J205" s="21">
        <v>1150.38</v>
      </c>
      <c r="K205" s="21">
        <v>547.8</v>
      </c>
      <c r="L205" s="21">
        <v>491.38</v>
      </c>
      <c r="M205" s="22">
        <v>2</v>
      </c>
      <c r="N205" s="22">
        <v>11</v>
      </c>
      <c r="O205" s="22">
        <v>10</v>
      </c>
      <c r="P205" s="22">
        <v>5</v>
      </c>
      <c r="Q205" s="22">
        <v>4</v>
      </c>
      <c r="R205" s="17">
        <v>0.666666666666667</v>
      </c>
      <c r="S205" s="17">
        <v>0.592592592592593</v>
      </c>
      <c r="T205" s="17">
        <v>0.6875</v>
      </c>
      <c r="U205" s="17">
        <v>0.666666666666667</v>
      </c>
      <c r="V205" s="23">
        <v>0.692307692307692</v>
      </c>
    </row>
    <row r="206" ht="33" spans="1:22">
      <c r="A206" s="16">
        <v>1370</v>
      </c>
      <c r="B206" s="16" t="s">
        <v>748</v>
      </c>
      <c r="C206" s="19">
        <v>8</v>
      </c>
      <c r="D206" s="19">
        <v>4</v>
      </c>
      <c r="E206" s="19">
        <v>15</v>
      </c>
      <c r="F206" s="19">
        <v>14</v>
      </c>
      <c r="G206" s="19">
        <v>10</v>
      </c>
      <c r="H206" s="20">
        <v>538.08</v>
      </c>
      <c r="I206" s="20">
        <v>280.6</v>
      </c>
      <c r="J206" s="21">
        <v>1026.29</v>
      </c>
      <c r="K206" s="21">
        <v>949.06</v>
      </c>
      <c r="L206" s="21">
        <v>677.9</v>
      </c>
      <c r="M206" s="22">
        <v>15</v>
      </c>
      <c r="N206" s="22">
        <v>18</v>
      </c>
      <c r="O206" s="22">
        <v>14</v>
      </c>
      <c r="P206" s="22">
        <v>7</v>
      </c>
      <c r="Q206" s="22">
        <v>18</v>
      </c>
      <c r="R206" s="17">
        <v>0.347826086956522</v>
      </c>
      <c r="S206" s="17">
        <v>0.181818181818182</v>
      </c>
      <c r="T206" s="17">
        <v>0.517241379310345</v>
      </c>
      <c r="U206" s="17">
        <v>0.666666666666667</v>
      </c>
      <c r="V206" s="23">
        <v>0.357142857142857</v>
      </c>
    </row>
    <row r="207" ht="16.5" spans="1:22">
      <c r="A207" s="16">
        <v>1371</v>
      </c>
      <c r="B207" s="16" t="s">
        <v>749</v>
      </c>
      <c r="C207" s="19">
        <v>10</v>
      </c>
      <c r="D207" s="19">
        <v>4</v>
      </c>
      <c r="E207" s="19">
        <v>16</v>
      </c>
      <c r="F207" s="19">
        <v>8</v>
      </c>
      <c r="G207" s="19">
        <v>13</v>
      </c>
      <c r="H207" s="20">
        <v>559.9</v>
      </c>
      <c r="I207" s="20">
        <v>236.51</v>
      </c>
      <c r="J207" s="21">
        <v>987.04</v>
      </c>
      <c r="K207" s="21">
        <v>498.46</v>
      </c>
      <c r="L207" s="21">
        <v>811.85</v>
      </c>
      <c r="M207" s="22">
        <v>6</v>
      </c>
      <c r="N207" s="22">
        <v>1</v>
      </c>
      <c r="O207" s="22">
        <v>4</v>
      </c>
      <c r="P207" s="22">
        <v>5</v>
      </c>
      <c r="Q207" s="22">
        <v>4</v>
      </c>
      <c r="R207" s="17">
        <v>0.625</v>
      </c>
      <c r="S207" s="17">
        <v>0.8</v>
      </c>
      <c r="T207" s="17">
        <v>0.8</v>
      </c>
      <c r="U207" s="17">
        <v>0.615384615384615</v>
      </c>
      <c r="V207" s="23">
        <v>0.764705882352941</v>
      </c>
    </row>
    <row r="208" ht="16.5" spans="1:22">
      <c r="A208" s="16">
        <v>1372</v>
      </c>
      <c r="B208" s="16" t="s">
        <v>750</v>
      </c>
      <c r="C208" s="19">
        <v>28</v>
      </c>
      <c r="D208" s="19">
        <v>34</v>
      </c>
      <c r="E208" s="19">
        <v>26</v>
      </c>
      <c r="F208" s="19">
        <v>33</v>
      </c>
      <c r="G208" s="19">
        <v>21</v>
      </c>
      <c r="H208" s="20">
        <v>1880.66</v>
      </c>
      <c r="I208" s="20">
        <v>2215</v>
      </c>
      <c r="J208" s="21">
        <v>1679.25</v>
      </c>
      <c r="K208" s="21">
        <v>2142.5</v>
      </c>
      <c r="L208" s="21">
        <v>1354.43</v>
      </c>
      <c r="M208" s="22">
        <v>3</v>
      </c>
      <c r="N208" s="22">
        <v>8</v>
      </c>
      <c r="O208" s="22">
        <v>8</v>
      </c>
      <c r="P208" s="22">
        <v>3</v>
      </c>
      <c r="Q208" s="22">
        <v>9</v>
      </c>
      <c r="R208" s="17">
        <v>0.903225806451613</v>
      </c>
      <c r="S208" s="17">
        <v>0.80952380952381</v>
      </c>
      <c r="T208" s="17">
        <v>0.764705882352941</v>
      </c>
      <c r="U208" s="17">
        <v>0.916666666666667</v>
      </c>
      <c r="V208" s="23">
        <v>0.7</v>
      </c>
    </row>
    <row r="209" ht="33" spans="1:22">
      <c r="A209" s="16">
        <v>2752</v>
      </c>
      <c r="B209" s="16" t="s">
        <v>751</v>
      </c>
      <c r="C209" s="19">
        <v>9</v>
      </c>
      <c r="D209" s="19">
        <v>7</v>
      </c>
      <c r="E209" s="19">
        <v>6</v>
      </c>
      <c r="F209" s="19">
        <v>14</v>
      </c>
      <c r="G209" s="19">
        <v>7</v>
      </c>
      <c r="H209" s="20">
        <v>396.71</v>
      </c>
      <c r="I209" s="20">
        <v>308.91</v>
      </c>
      <c r="J209" s="21">
        <v>264.28</v>
      </c>
      <c r="K209" s="21">
        <v>611.19</v>
      </c>
      <c r="L209" s="21">
        <v>303.65</v>
      </c>
      <c r="M209" s="22">
        <v>10</v>
      </c>
      <c r="N209" s="22">
        <v>13</v>
      </c>
      <c r="O209" s="22">
        <v>13</v>
      </c>
      <c r="P209" s="22">
        <v>15</v>
      </c>
      <c r="Q209" s="22">
        <v>11</v>
      </c>
      <c r="R209" s="17">
        <v>0.473684210526316</v>
      </c>
      <c r="S209" s="17">
        <v>0.35</v>
      </c>
      <c r="T209" s="17">
        <v>0.315789473684211</v>
      </c>
      <c r="U209" s="17">
        <v>0.482758620689655</v>
      </c>
      <c r="V209" s="23">
        <v>0.388888888888889</v>
      </c>
    </row>
    <row r="210" ht="33" spans="1:22">
      <c r="A210" s="16">
        <v>1379</v>
      </c>
      <c r="B210" s="16" t="s">
        <v>752</v>
      </c>
      <c r="C210" s="19">
        <v>6</v>
      </c>
      <c r="D210" s="19">
        <v>8</v>
      </c>
      <c r="E210" s="19">
        <v>5</v>
      </c>
      <c r="F210" s="19">
        <v>7</v>
      </c>
      <c r="G210" s="19">
        <v>7</v>
      </c>
      <c r="H210" s="20">
        <v>330.21</v>
      </c>
      <c r="I210" s="20">
        <v>447.68</v>
      </c>
      <c r="J210" s="21">
        <v>279.8</v>
      </c>
      <c r="K210" s="21">
        <v>391.72</v>
      </c>
      <c r="L210" s="21">
        <v>405.35</v>
      </c>
      <c r="M210" s="22">
        <v>9</v>
      </c>
      <c r="N210" s="22">
        <v>11</v>
      </c>
      <c r="O210" s="22">
        <v>15</v>
      </c>
      <c r="P210" s="22">
        <v>16</v>
      </c>
      <c r="Q210" s="22">
        <v>16</v>
      </c>
      <c r="R210" s="17">
        <v>0.4</v>
      </c>
      <c r="S210" s="17">
        <v>0.421052631578947</v>
      </c>
      <c r="T210" s="17">
        <v>0.25</v>
      </c>
      <c r="U210" s="17">
        <v>0.304347826086957</v>
      </c>
      <c r="V210" s="23">
        <v>0.304347826086957</v>
      </c>
    </row>
    <row r="211" ht="33" spans="1:22">
      <c r="A211" s="16">
        <v>1390</v>
      </c>
      <c r="B211" s="16" t="s">
        <v>753</v>
      </c>
      <c r="C211" s="19">
        <v>66</v>
      </c>
      <c r="D211" s="19">
        <v>83</v>
      </c>
      <c r="E211" s="19">
        <v>125</v>
      </c>
      <c r="F211" s="19">
        <v>71</v>
      </c>
      <c r="G211" s="19">
        <v>75</v>
      </c>
      <c r="H211" s="20">
        <v>1899.02</v>
      </c>
      <c r="I211" s="20">
        <v>2211.4</v>
      </c>
      <c r="J211" s="21">
        <v>3409.4</v>
      </c>
      <c r="K211" s="21">
        <v>2056.44</v>
      </c>
      <c r="L211" s="21">
        <v>2178.74</v>
      </c>
      <c r="M211" s="22">
        <v>41</v>
      </c>
      <c r="N211" s="22">
        <v>33</v>
      </c>
      <c r="O211" s="22">
        <v>37</v>
      </c>
      <c r="P211" s="22">
        <v>42</v>
      </c>
      <c r="Q211" s="22">
        <v>65</v>
      </c>
      <c r="R211" s="17">
        <v>0.616822429906542</v>
      </c>
      <c r="S211" s="17">
        <v>0.71551724137931</v>
      </c>
      <c r="T211" s="17">
        <v>0.771604938271605</v>
      </c>
      <c r="U211" s="17">
        <v>0.628318584070796</v>
      </c>
      <c r="V211" s="23">
        <v>0.535714285714286</v>
      </c>
    </row>
    <row r="212" ht="33" spans="1:22">
      <c r="A212" s="16">
        <v>1447</v>
      </c>
      <c r="B212" s="16" t="s">
        <v>754</v>
      </c>
      <c r="C212" s="19">
        <v>53</v>
      </c>
      <c r="D212" s="19">
        <v>46</v>
      </c>
      <c r="E212" s="19">
        <v>50</v>
      </c>
      <c r="F212" s="19">
        <v>69</v>
      </c>
      <c r="G212" s="19">
        <v>22</v>
      </c>
      <c r="H212" s="20">
        <v>2914.47</v>
      </c>
      <c r="I212" s="20">
        <v>2538.57</v>
      </c>
      <c r="J212" s="21">
        <v>2749</v>
      </c>
      <c r="K212" s="21">
        <v>3798.42999999999</v>
      </c>
      <c r="L212" s="21">
        <v>1215.98</v>
      </c>
      <c r="M212" s="22">
        <v>28</v>
      </c>
      <c r="N212" s="22">
        <v>37</v>
      </c>
      <c r="O212" s="22">
        <v>34</v>
      </c>
      <c r="P212" s="22">
        <v>34</v>
      </c>
      <c r="Q212" s="22">
        <v>49</v>
      </c>
      <c r="R212" s="17">
        <v>0.654320987654321</v>
      </c>
      <c r="S212" s="17">
        <v>0.55421686746988</v>
      </c>
      <c r="T212" s="17">
        <v>0.595238095238095</v>
      </c>
      <c r="U212" s="17">
        <v>0.669902912621359</v>
      </c>
      <c r="V212" s="23">
        <v>0.309859154929577</v>
      </c>
    </row>
    <row r="213" ht="16.5" spans="1:22">
      <c r="A213" s="16">
        <v>1448</v>
      </c>
      <c r="B213" s="16" t="s">
        <v>755</v>
      </c>
      <c r="C213" s="19">
        <v>14</v>
      </c>
      <c r="D213" s="19">
        <v>17</v>
      </c>
      <c r="E213" s="19">
        <v>20</v>
      </c>
      <c r="F213" s="19">
        <v>32</v>
      </c>
      <c r="G213" s="19">
        <v>10</v>
      </c>
      <c r="H213" s="20">
        <v>1016.68</v>
      </c>
      <c r="I213" s="20">
        <v>1236.22</v>
      </c>
      <c r="J213" s="21">
        <v>1470.2</v>
      </c>
      <c r="K213" s="21">
        <v>2412.72</v>
      </c>
      <c r="L213" s="21">
        <v>755.34</v>
      </c>
      <c r="M213" s="22">
        <v>2</v>
      </c>
      <c r="N213" s="22">
        <v>3</v>
      </c>
      <c r="O213" s="22">
        <v>7</v>
      </c>
      <c r="P213" s="22">
        <v>8</v>
      </c>
      <c r="Q213" s="22">
        <v>4</v>
      </c>
      <c r="R213" s="17">
        <v>0.875</v>
      </c>
      <c r="S213" s="17">
        <v>0.85</v>
      </c>
      <c r="T213" s="17">
        <v>0.740740740740741</v>
      </c>
      <c r="U213" s="17">
        <v>0.8</v>
      </c>
      <c r="V213" s="23">
        <v>0.714285714285714</v>
      </c>
    </row>
    <row r="214" ht="16.5" spans="1:22">
      <c r="A214" s="16">
        <v>1449</v>
      </c>
      <c r="B214" s="16" t="s">
        <v>756</v>
      </c>
      <c r="C214" s="19">
        <v>66</v>
      </c>
      <c r="D214" s="19">
        <v>73</v>
      </c>
      <c r="E214" s="19">
        <v>94</v>
      </c>
      <c r="F214" s="19">
        <v>93</v>
      </c>
      <c r="G214" s="19">
        <v>100</v>
      </c>
      <c r="H214" s="20">
        <v>5238.66</v>
      </c>
      <c r="I214" s="20">
        <v>5789.88</v>
      </c>
      <c r="J214" s="21">
        <v>7450.68000000001</v>
      </c>
      <c r="K214" s="21">
        <v>7388.42</v>
      </c>
      <c r="L214" s="21">
        <v>7968.20000000001</v>
      </c>
      <c r="M214" s="22">
        <v>2</v>
      </c>
      <c r="N214" s="22">
        <v>0</v>
      </c>
      <c r="O214" s="22">
        <v>4</v>
      </c>
      <c r="P214" s="22">
        <v>2</v>
      </c>
      <c r="Q214" s="22">
        <v>7</v>
      </c>
      <c r="R214" s="17">
        <v>0.970588235294118</v>
      </c>
      <c r="S214" s="17">
        <v>1</v>
      </c>
      <c r="T214" s="17">
        <v>0.959183673469388</v>
      </c>
      <c r="U214" s="17">
        <v>0.978947368421053</v>
      </c>
      <c r="V214" s="23">
        <v>0.934579439252336</v>
      </c>
    </row>
    <row r="215" ht="33" spans="1:22">
      <c r="A215" s="16">
        <v>1459</v>
      </c>
      <c r="B215" s="16" t="s">
        <v>757</v>
      </c>
      <c r="C215" s="19">
        <v>24</v>
      </c>
      <c r="D215" s="19">
        <v>41</v>
      </c>
      <c r="E215" s="19">
        <v>58</v>
      </c>
      <c r="F215" s="19">
        <v>36</v>
      </c>
      <c r="G215" s="19">
        <v>44</v>
      </c>
      <c r="H215" s="20">
        <v>2361.61</v>
      </c>
      <c r="I215" s="20">
        <v>4028.86</v>
      </c>
      <c r="J215" s="21">
        <v>5779.94</v>
      </c>
      <c r="K215" s="21">
        <v>3629</v>
      </c>
      <c r="L215" s="21">
        <v>4446</v>
      </c>
      <c r="M215" s="22">
        <v>0</v>
      </c>
      <c r="N215" s="22">
        <v>0</v>
      </c>
      <c r="O215" s="22">
        <v>2</v>
      </c>
      <c r="P215" s="22">
        <v>0</v>
      </c>
      <c r="Q215" s="22">
        <v>2</v>
      </c>
      <c r="R215" s="17">
        <v>1</v>
      </c>
      <c r="S215" s="17">
        <v>1</v>
      </c>
      <c r="T215" s="17">
        <v>0.966666666666667</v>
      </c>
      <c r="U215" s="17">
        <v>1</v>
      </c>
      <c r="V215" s="23">
        <v>0.956521739130435</v>
      </c>
    </row>
    <row r="216" ht="16.5" spans="1:22">
      <c r="A216" s="16">
        <v>1462</v>
      </c>
      <c r="B216" s="16" t="s">
        <v>758</v>
      </c>
      <c r="C216" s="19">
        <v>24</v>
      </c>
      <c r="D216" s="19">
        <v>29</v>
      </c>
      <c r="E216" s="19">
        <v>37</v>
      </c>
      <c r="F216" s="19">
        <v>29</v>
      </c>
      <c r="G216" s="19">
        <v>17</v>
      </c>
      <c r="H216" s="20">
        <v>1992.15</v>
      </c>
      <c r="I216" s="20">
        <v>2429.91</v>
      </c>
      <c r="J216" s="21">
        <v>3029.52</v>
      </c>
      <c r="K216" s="21">
        <v>2317.08</v>
      </c>
      <c r="L216" s="21">
        <v>1351.65</v>
      </c>
      <c r="M216" s="22">
        <v>28</v>
      </c>
      <c r="N216" s="22">
        <v>14</v>
      </c>
      <c r="O216" s="22">
        <v>25</v>
      </c>
      <c r="P216" s="22">
        <v>28</v>
      </c>
      <c r="Q216" s="22">
        <v>27</v>
      </c>
      <c r="R216" s="17">
        <v>0.461538461538462</v>
      </c>
      <c r="S216" s="17">
        <v>0.674418604651163</v>
      </c>
      <c r="T216" s="17">
        <v>0.596774193548387</v>
      </c>
      <c r="U216" s="17">
        <v>0.508771929824561</v>
      </c>
      <c r="V216" s="23">
        <v>0.386363636363636</v>
      </c>
    </row>
    <row r="217" ht="33" spans="1:22">
      <c r="A217" s="16">
        <v>1497</v>
      </c>
      <c r="B217" s="16" t="s">
        <v>759</v>
      </c>
      <c r="C217" s="19">
        <v>12</v>
      </c>
      <c r="D217" s="19">
        <v>1</v>
      </c>
      <c r="E217" s="19">
        <v>3</v>
      </c>
      <c r="F217" s="19">
        <v>4</v>
      </c>
      <c r="G217" s="19">
        <v>22</v>
      </c>
      <c r="H217" s="20">
        <v>768.48</v>
      </c>
      <c r="I217" s="20">
        <v>66.14</v>
      </c>
      <c r="J217" s="21">
        <v>186.2</v>
      </c>
      <c r="K217" s="21">
        <v>227.96</v>
      </c>
      <c r="L217" s="21">
        <v>1244.66</v>
      </c>
      <c r="M217" s="22">
        <v>25</v>
      </c>
      <c r="N217" s="22">
        <v>29</v>
      </c>
      <c r="O217" s="22">
        <v>49</v>
      </c>
      <c r="P217" s="22">
        <v>71</v>
      </c>
      <c r="Q217" s="22">
        <v>57</v>
      </c>
      <c r="R217" s="17">
        <v>0.324324324324324</v>
      </c>
      <c r="S217" s="17">
        <v>0.0333333333333333</v>
      </c>
      <c r="T217" s="17">
        <v>0.0576923076923077</v>
      </c>
      <c r="U217" s="17">
        <v>0.0533333333333333</v>
      </c>
      <c r="V217" s="23">
        <v>0.278481012658228</v>
      </c>
    </row>
    <row r="218" ht="16.5" spans="1:22">
      <c r="A218" s="16">
        <v>1498</v>
      </c>
      <c r="B218" s="16" t="s">
        <v>760</v>
      </c>
      <c r="C218" s="19">
        <v>12</v>
      </c>
      <c r="D218" s="19">
        <v>7</v>
      </c>
      <c r="E218" s="19">
        <v>14</v>
      </c>
      <c r="F218" s="19">
        <v>11</v>
      </c>
      <c r="G218" s="19">
        <v>10</v>
      </c>
      <c r="H218" s="20">
        <v>2039.88</v>
      </c>
      <c r="I218" s="20">
        <v>1224.93</v>
      </c>
      <c r="J218" s="21">
        <v>2466.84</v>
      </c>
      <c r="K218" s="21">
        <v>1878.65</v>
      </c>
      <c r="L218" s="21">
        <v>1659.4</v>
      </c>
      <c r="M218" s="22">
        <v>1</v>
      </c>
      <c r="N218" s="22">
        <v>0</v>
      </c>
      <c r="O218" s="22">
        <v>3</v>
      </c>
      <c r="P218" s="22">
        <v>1</v>
      </c>
      <c r="Q218" s="22">
        <v>3</v>
      </c>
      <c r="R218" s="17">
        <v>0.923076923076923</v>
      </c>
      <c r="S218" s="17">
        <v>1</v>
      </c>
      <c r="T218" s="17">
        <v>0.823529411764706</v>
      </c>
      <c r="U218" s="17">
        <v>0.916666666666667</v>
      </c>
      <c r="V218" s="23">
        <v>0.769230769230769</v>
      </c>
    </row>
    <row r="219" ht="33" spans="1:22">
      <c r="A219" s="16">
        <v>1513</v>
      </c>
      <c r="B219" s="16" t="s">
        <v>761</v>
      </c>
      <c r="C219" s="19">
        <v>56</v>
      </c>
      <c r="D219" s="19">
        <v>61</v>
      </c>
      <c r="E219" s="19">
        <v>96</v>
      </c>
      <c r="F219" s="19">
        <v>91</v>
      </c>
      <c r="G219" s="19">
        <v>68</v>
      </c>
      <c r="H219" s="20">
        <v>5368.27</v>
      </c>
      <c r="I219" s="20">
        <v>5850.03</v>
      </c>
      <c r="J219" s="21">
        <v>9317.04</v>
      </c>
      <c r="K219" s="21">
        <v>8894.57</v>
      </c>
      <c r="L219" s="21">
        <v>6563.53999999999</v>
      </c>
      <c r="M219" s="22">
        <v>33</v>
      </c>
      <c r="N219" s="22">
        <v>39</v>
      </c>
      <c r="O219" s="22">
        <v>24</v>
      </c>
      <c r="P219" s="22">
        <v>57</v>
      </c>
      <c r="Q219" s="22">
        <v>28</v>
      </c>
      <c r="R219" s="17">
        <v>0.629213483146067</v>
      </c>
      <c r="S219" s="17">
        <v>0.61</v>
      </c>
      <c r="T219" s="17">
        <v>0.8</v>
      </c>
      <c r="U219" s="17">
        <v>0.614864864864865</v>
      </c>
      <c r="V219" s="23">
        <v>0.708333333333333</v>
      </c>
    </row>
    <row r="220" ht="16.5" spans="1:22">
      <c r="A220" s="16">
        <v>1520</v>
      </c>
      <c r="B220" s="16" t="s">
        <v>762</v>
      </c>
      <c r="C220" s="19">
        <v>60</v>
      </c>
      <c r="D220" s="19">
        <v>55</v>
      </c>
      <c r="E220" s="19">
        <v>65</v>
      </c>
      <c r="F220" s="19">
        <v>65</v>
      </c>
      <c r="G220" s="19">
        <v>50</v>
      </c>
      <c r="H220" s="20">
        <v>2054.68</v>
      </c>
      <c r="I220" s="20">
        <v>1905.51</v>
      </c>
      <c r="J220" s="21">
        <v>2239.68</v>
      </c>
      <c r="K220" s="21">
        <v>2239.63</v>
      </c>
      <c r="L220" s="21">
        <v>1718.68</v>
      </c>
      <c r="M220" s="22">
        <v>37</v>
      </c>
      <c r="N220" s="22">
        <v>70</v>
      </c>
      <c r="O220" s="22">
        <v>63</v>
      </c>
      <c r="P220" s="22">
        <v>74</v>
      </c>
      <c r="Q220" s="22">
        <v>61</v>
      </c>
      <c r="R220" s="17">
        <v>0.618556701030928</v>
      </c>
      <c r="S220" s="17">
        <v>0.44</v>
      </c>
      <c r="T220" s="17">
        <v>0.5078125</v>
      </c>
      <c r="U220" s="17">
        <v>0.467625899280576</v>
      </c>
      <c r="V220" s="23">
        <v>0.45045045045045</v>
      </c>
    </row>
    <row r="221" ht="66" spans="1:22">
      <c r="A221" s="16">
        <v>1536</v>
      </c>
      <c r="B221" s="16" t="s">
        <v>763</v>
      </c>
      <c r="C221" s="19">
        <v>21</v>
      </c>
      <c r="D221" s="19">
        <v>46</v>
      </c>
      <c r="E221" s="19">
        <v>61</v>
      </c>
      <c r="F221" s="19">
        <v>49</v>
      </c>
      <c r="G221" s="19">
        <v>25</v>
      </c>
      <c r="H221" s="20">
        <v>1333.53</v>
      </c>
      <c r="I221" s="20">
        <v>2870.8</v>
      </c>
      <c r="J221" s="21">
        <v>3864.03</v>
      </c>
      <c r="K221" s="21">
        <v>3316.27</v>
      </c>
      <c r="L221" s="21">
        <v>1858.7</v>
      </c>
      <c r="M221" s="22">
        <v>35</v>
      </c>
      <c r="N221" s="22">
        <v>10</v>
      </c>
      <c r="O221" s="22">
        <v>2</v>
      </c>
      <c r="P221" s="22">
        <v>1</v>
      </c>
      <c r="Q221" s="22">
        <v>27</v>
      </c>
      <c r="R221" s="17">
        <v>0.375</v>
      </c>
      <c r="S221" s="17">
        <v>0.821428571428571</v>
      </c>
      <c r="T221" s="17">
        <v>0.968253968253968</v>
      </c>
      <c r="U221" s="17">
        <v>0.98</v>
      </c>
      <c r="V221" s="23">
        <v>0.480769230769231</v>
      </c>
    </row>
    <row r="222" ht="33" spans="1:22">
      <c r="A222" s="16">
        <v>1538</v>
      </c>
      <c r="B222" s="16" t="s">
        <v>764</v>
      </c>
      <c r="C222" s="19">
        <v>89</v>
      </c>
      <c r="D222" s="19">
        <v>104</v>
      </c>
      <c r="E222" s="19">
        <v>132</v>
      </c>
      <c r="F222" s="19">
        <v>145</v>
      </c>
      <c r="G222" s="19">
        <v>104</v>
      </c>
      <c r="H222" s="20">
        <v>2182.69</v>
      </c>
      <c r="I222" s="20">
        <v>2556.37</v>
      </c>
      <c r="J222" s="21">
        <v>3276.34</v>
      </c>
      <c r="K222" s="21">
        <v>3578.54</v>
      </c>
      <c r="L222" s="21">
        <v>2751.27</v>
      </c>
      <c r="M222" s="22">
        <v>41</v>
      </c>
      <c r="N222" s="22">
        <v>40</v>
      </c>
      <c r="O222" s="22">
        <v>27</v>
      </c>
      <c r="P222" s="22">
        <v>11</v>
      </c>
      <c r="Q222" s="22">
        <v>31</v>
      </c>
      <c r="R222" s="17">
        <v>0.684615384615385</v>
      </c>
      <c r="S222" s="17">
        <v>0.722222222222222</v>
      </c>
      <c r="T222" s="17">
        <v>0.830188679245283</v>
      </c>
      <c r="U222" s="17">
        <v>0.92948717948718</v>
      </c>
      <c r="V222" s="23">
        <v>0.77037037037037</v>
      </c>
    </row>
    <row r="223" ht="16.5" spans="1:22">
      <c r="A223" s="16">
        <v>1584</v>
      </c>
      <c r="B223" s="16" t="s">
        <v>765</v>
      </c>
      <c r="C223" s="19">
        <v>28</v>
      </c>
      <c r="D223" s="19">
        <v>34</v>
      </c>
      <c r="E223" s="19">
        <v>56</v>
      </c>
      <c r="F223" s="19">
        <v>63</v>
      </c>
      <c r="G223" s="19">
        <v>52</v>
      </c>
      <c r="H223" s="20">
        <v>1791.72</v>
      </c>
      <c r="I223" s="20">
        <v>2174.16</v>
      </c>
      <c r="J223" s="21">
        <v>3697.73</v>
      </c>
      <c r="K223" s="21">
        <v>4225.71</v>
      </c>
      <c r="L223" s="21">
        <v>3501.64</v>
      </c>
      <c r="M223" s="22">
        <v>1</v>
      </c>
      <c r="N223" s="22">
        <v>6</v>
      </c>
      <c r="O223" s="22">
        <v>0</v>
      </c>
      <c r="P223" s="22">
        <v>2</v>
      </c>
      <c r="Q223" s="22">
        <v>1</v>
      </c>
      <c r="R223" s="17">
        <v>0.96551724137931</v>
      </c>
      <c r="S223" s="17">
        <v>0.85</v>
      </c>
      <c r="T223" s="17">
        <v>1</v>
      </c>
      <c r="U223" s="17">
        <v>0.969230769230769</v>
      </c>
      <c r="V223" s="23">
        <v>0.981132075471698</v>
      </c>
    </row>
    <row r="224" ht="16.5" spans="1:22">
      <c r="A224" s="16">
        <v>2993</v>
      </c>
      <c r="B224" s="16" t="s">
        <v>766</v>
      </c>
      <c r="C224" s="19">
        <v>61</v>
      </c>
      <c r="D224" s="19">
        <v>53</v>
      </c>
      <c r="E224" s="19">
        <v>83</v>
      </c>
      <c r="F224" s="19">
        <v>78</v>
      </c>
      <c r="G224" s="19">
        <v>93</v>
      </c>
      <c r="H224" s="20">
        <v>3540.39</v>
      </c>
      <c r="I224" s="20">
        <v>3231.47</v>
      </c>
      <c r="J224" s="21">
        <v>5048.16999999999</v>
      </c>
      <c r="K224" s="21">
        <v>4989.06999999999</v>
      </c>
      <c r="L224" s="21">
        <v>6623.76999999999</v>
      </c>
      <c r="M224" s="22">
        <v>91</v>
      </c>
      <c r="N224" s="22">
        <v>94</v>
      </c>
      <c r="O224" s="22">
        <v>95</v>
      </c>
      <c r="P224" s="22">
        <v>61</v>
      </c>
      <c r="Q224" s="22">
        <v>11</v>
      </c>
      <c r="R224" s="17">
        <v>0.401315789473684</v>
      </c>
      <c r="S224" s="17">
        <v>0.360544217687075</v>
      </c>
      <c r="T224" s="17">
        <v>0.466292134831461</v>
      </c>
      <c r="U224" s="17">
        <v>0.561151079136691</v>
      </c>
      <c r="V224" s="23">
        <v>0.894230769230769</v>
      </c>
    </row>
    <row r="225" ht="33" spans="1:22">
      <c r="A225" s="16">
        <v>1586</v>
      </c>
      <c r="B225" s="16" t="s">
        <v>767</v>
      </c>
      <c r="C225" s="19">
        <v>13</v>
      </c>
      <c r="D225" s="19">
        <v>17</v>
      </c>
      <c r="E225" s="19">
        <v>14</v>
      </c>
      <c r="F225" s="19">
        <v>26</v>
      </c>
      <c r="G225" s="19">
        <v>14</v>
      </c>
      <c r="H225" s="20">
        <v>959.7</v>
      </c>
      <c r="I225" s="20">
        <v>1262.5</v>
      </c>
      <c r="J225" s="21">
        <v>961.26</v>
      </c>
      <c r="K225" s="21">
        <v>1779.04</v>
      </c>
      <c r="L225" s="21">
        <v>933.84</v>
      </c>
      <c r="M225" s="22">
        <v>9</v>
      </c>
      <c r="N225" s="22">
        <v>16</v>
      </c>
      <c r="O225" s="22">
        <v>11</v>
      </c>
      <c r="P225" s="22">
        <v>6</v>
      </c>
      <c r="Q225" s="22">
        <v>17</v>
      </c>
      <c r="R225" s="17">
        <v>0.590909090909091</v>
      </c>
      <c r="S225" s="17">
        <v>0.515151515151515</v>
      </c>
      <c r="T225" s="17">
        <v>0.56</v>
      </c>
      <c r="U225" s="17">
        <v>0.8125</v>
      </c>
      <c r="V225" s="23">
        <v>0.451612903225806</v>
      </c>
    </row>
    <row r="226" ht="16.5" spans="1:22">
      <c r="A226" s="16">
        <v>1588</v>
      </c>
      <c r="B226" s="16" t="s">
        <v>768</v>
      </c>
      <c r="C226" s="19">
        <v>8</v>
      </c>
      <c r="D226" s="19">
        <v>10</v>
      </c>
      <c r="E226" s="19">
        <v>5</v>
      </c>
      <c r="F226" s="19">
        <v>8</v>
      </c>
      <c r="G226" s="19">
        <v>13</v>
      </c>
      <c r="H226" s="20">
        <v>619.42</v>
      </c>
      <c r="I226" s="20">
        <v>730</v>
      </c>
      <c r="J226" s="21">
        <v>368.99</v>
      </c>
      <c r="K226" s="21">
        <v>623.42</v>
      </c>
      <c r="L226" s="21">
        <v>1047.19</v>
      </c>
      <c r="M226" s="22">
        <v>5</v>
      </c>
      <c r="N226" s="22">
        <v>7</v>
      </c>
      <c r="O226" s="22">
        <v>4</v>
      </c>
      <c r="P226" s="22">
        <v>7</v>
      </c>
      <c r="Q226" s="22">
        <v>4</v>
      </c>
      <c r="R226" s="17">
        <v>0.615384615384615</v>
      </c>
      <c r="S226" s="17">
        <v>0.588235294117647</v>
      </c>
      <c r="T226" s="17">
        <v>0.555555555555556</v>
      </c>
      <c r="U226" s="17">
        <v>0.533333333333333</v>
      </c>
      <c r="V226" s="23">
        <v>0.764705882352941</v>
      </c>
    </row>
    <row r="227" ht="16.5" spans="1:22">
      <c r="A227" s="16">
        <v>1634</v>
      </c>
      <c r="B227" s="16" t="s">
        <v>769</v>
      </c>
      <c r="C227" s="19">
        <v>27</v>
      </c>
      <c r="D227" s="19">
        <v>33</v>
      </c>
      <c r="E227" s="19">
        <v>21</v>
      </c>
      <c r="F227" s="19">
        <v>31</v>
      </c>
      <c r="G227" s="19">
        <v>19</v>
      </c>
      <c r="H227" s="20">
        <v>1167.19</v>
      </c>
      <c r="I227" s="20">
        <v>1544.6</v>
      </c>
      <c r="J227" s="21">
        <v>1166.68</v>
      </c>
      <c r="K227" s="21">
        <v>1742.7</v>
      </c>
      <c r="L227" s="21">
        <v>1068.8</v>
      </c>
      <c r="M227" s="22">
        <v>31</v>
      </c>
      <c r="N227" s="22">
        <v>32</v>
      </c>
      <c r="O227" s="22">
        <v>73</v>
      </c>
      <c r="P227" s="22">
        <v>41</v>
      </c>
      <c r="Q227" s="22">
        <v>56</v>
      </c>
      <c r="R227" s="17">
        <v>0.46551724137931</v>
      </c>
      <c r="S227" s="17">
        <v>0.507692307692308</v>
      </c>
      <c r="T227" s="17">
        <v>0.223404255319149</v>
      </c>
      <c r="U227" s="17">
        <v>0.430555555555556</v>
      </c>
      <c r="V227" s="23">
        <v>0.253333333333333</v>
      </c>
    </row>
    <row r="228" ht="33" spans="1:22">
      <c r="A228" s="16">
        <v>1643</v>
      </c>
      <c r="B228" s="16" t="s">
        <v>770</v>
      </c>
      <c r="C228" s="19">
        <v>4</v>
      </c>
      <c r="D228" s="19">
        <v>7</v>
      </c>
      <c r="E228" s="19">
        <v>9</v>
      </c>
      <c r="F228" s="19">
        <v>8</v>
      </c>
      <c r="G228" s="19">
        <v>8</v>
      </c>
      <c r="H228" s="20">
        <v>243.96</v>
      </c>
      <c r="I228" s="20">
        <v>384.23</v>
      </c>
      <c r="J228" s="21">
        <v>505.56</v>
      </c>
      <c r="K228" s="21">
        <v>452.32</v>
      </c>
      <c r="L228" s="21">
        <v>463.47</v>
      </c>
      <c r="M228" s="22">
        <v>1</v>
      </c>
      <c r="N228" s="22">
        <v>4</v>
      </c>
      <c r="O228" s="22">
        <v>7</v>
      </c>
      <c r="P228" s="22">
        <v>10</v>
      </c>
      <c r="Q228" s="22">
        <v>11</v>
      </c>
      <c r="R228" s="17">
        <v>0.8</v>
      </c>
      <c r="S228" s="17">
        <v>0.636363636363636</v>
      </c>
      <c r="T228" s="17">
        <v>0.5625</v>
      </c>
      <c r="U228" s="17">
        <v>0.444444444444444</v>
      </c>
      <c r="V228" s="23">
        <v>0.421052631578947</v>
      </c>
    </row>
    <row r="229" ht="33" spans="1:22">
      <c r="A229" s="16">
        <v>1691</v>
      </c>
      <c r="B229" s="16" t="s">
        <v>771</v>
      </c>
      <c r="C229" s="19">
        <v>8</v>
      </c>
      <c r="D229" s="19">
        <v>14</v>
      </c>
      <c r="E229" s="19">
        <v>15</v>
      </c>
      <c r="F229" s="19">
        <v>9</v>
      </c>
      <c r="G229" s="19">
        <v>1</v>
      </c>
      <c r="H229" s="20">
        <v>418.4</v>
      </c>
      <c r="I229" s="20">
        <v>731.7</v>
      </c>
      <c r="J229" s="21">
        <v>825.09</v>
      </c>
      <c r="K229" s="21">
        <v>504.61</v>
      </c>
      <c r="L229" s="21">
        <v>56.59</v>
      </c>
      <c r="M229" s="22">
        <v>5</v>
      </c>
      <c r="N229" s="22">
        <v>6</v>
      </c>
      <c r="O229" s="22">
        <v>5</v>
      </c>
      <c r="P229" s="22">
        <v>5</v>
      </c>
      <c r="Q229" s="22">
        <v>20</v>
      </c>
      <c r="R229" s="17">
        <v>0.615384615384615</v>
      </c>
      <c r="S229" s="17">
        <v>0.7</v>
      </c>
      <c r="T229" s="17">
        <v>0.75</v>
      </c>
      <c r="U229" s="17">
        <v>0.642857142857143</v>
      </c>
      <c r="V229" s="23">
        <v>0.0476190476190476</v>
      </c>
    </row>
    <row r="230" ht="33" spans="1:22">
      <c r="A230" s="16">
        <v>1697</v>
      </c>
      <c r="B230" s="16" t="s">
        <v>772</v>
      </c>
      <c r="C230" s="19">
        <v>15</v>
      </c>
      <c r="D230" s="19">
        <v>23</v>
      </c>
      <c r="E230" s="19">
        <v>31</v>
      </c>
      <c r="F230" s="19">
        <v>18</v>
      </c>
      <c r="G230" s="19">
        <v>15</v>
      </c>
      <c r="H230" s="20">
        <v>873.79</v>
      </c>
      <c r="I230" s="20">
        <v>1340.5</v>
      </c>
      <c r="J230" s="21">
        <v>1798.06</v>
      </c>
      <c r="K230" s="21">
        <v>1080.13</v>
      </c>
      <c r="L230" s="21">
        <v>950.45</v>
      </c>
      <c r="M230" s="22">
        <v>8</v>
      </c>
      <c r="N230" s="22">
        <v>9</v>
      </c>
      <c r="O230" s="22">
        <v>13</v>
      </c>
      <c r="P230" s="22">
        <v>3</v>
      </c>
      <c r="Q230" s="22">
        <v>8</v>
      </c>
      <c r="R230" s="17">
        <v>0.652173913043478</v>
      </c>
      <c r="S230" s="17">
        <v>0.71875</v>
      </c>
      <c r="T230" s="17">
        <v>0.704545454545455</v>
      </c>
      <c r="U230" s="17">
        <v>0.857142857142857</v>
      </c>
      <c r="V230" s="23">
        <v>0.652173913043478</v>
      </c>
    </row>
    <row r="231" ht="16.5" spans="1:22">
      <c r="A231" s="16">
        <v>1698</v>
      </c>
      <c r="B231" s="16" t="s">
        <v>773</v>
      </c>
      <c r="C231" s="19">
        <v>27</v>
      </c>
      <c r="D231" s="19">
        <v>13</v>
      </c>
      <c r="E231" s="19">
        <v>12</v>
      </c>
      <c r="F231" s="19">
        <v>13</v>
      </c>
      <c r="G231" s="19">
        <v>11</v>
      </c>
      <c r="H231" s="20">
        <v>1621.14</v>
      </c>
      <c r="I231" s="20">
        <v>787.76</v>
      </c>
      <c r="J231" s="21">
        <v>726.7</v>
      </c>
      <c r="K231" s="21">
        <v>788.33</v>
      </c>
      <c r="L231" s="21">
        <v>647.56</v>
      </c>
      <c r="M231" s="22">
        <v>4</v>
      </c>
      <c r="N231" s="22">
        <v>2</v>
      </c>
      <c r="O231" s="22">
        <v>8</v>
      </c>
      <c r="P231" s="22">
        <v>5</v>
      </c>
      <c r="Q231" s="22">
        <v>15</v>
      </c>
      <c r="R231" s="17">
        <v>0.870967741935484</v>
      </c>
      <c r="S231" s="17">
        <v>0.866666666666667</v>
      </c>
      <c r="T231" s="17">
        <v>0.6</v>
      </c>
      <c r="U231" s="17">
        <v>0.722222222222222</v>
      </c>
      <c r="V231" s="23">
        <v>0.423076923076923</v>
      </c>
    </row>
    <row r="232" ht="33" spans="1:22">
      <c r="A232" s="16">
        <v>1699</v>
      </c>
      <c r="B232" s="16" t="s">
        <v>774</v>
      </c>
      <c r="C232" s="19">
        <v>17</v>
      </c>
      <c r="D232" s="19">
        <v>15</v>
      </c>
      <c r="E232" s="19">
        <v>31</v>
      </c>
      <c r="F232" s="19">
        <v>33</v>
      </c>
      <c r="G232" s="19">
        <v>28</v>
      </c>
      <c r="H232" s="20">
        <v>1214.33</v>
      </c>
      <c r="I232" s="20">
        <v>1051.36</v>
      </c>
      <c r="J232" s="21">
        <v>2172.74</v>
      </c>
      <c r="K232" s="21">
        <v>2298.71</v>
      </c>
      <c r="L232" s="21">
        <v>1931.74</v>
      </c>
      <c r="M232" s="22">
        <v>8</v>
      </c>
      <c r="N232" s="22">
        <v>9</v>
      </c>
      <c r="O232" s="22">
        <v>4</v>
      </c>
      <c r="P232" s="22">
        <v>12</v>
      </c>
      <c r="Q232" s="22">
        <v>25</v>
      </c>
      <c r="R232" s="17">
        <v>0.68</v>
      </c>
      <c r="S232" s="17">
        <v>0.625</v>
      </c>
      <c r="T232" s="17">
        <v>0.885714285714286</v>
      </c>
      <c r="U232" s="17">
        <v>0.733333333333333</v>
      </c>
      <c r="V232" s="23">
        <v>0.528301886792453</v>
      </c>
    </row>
    <row r="233" ht="33" spans="1:22">
      <c r="A233" s="16">
        <v>1700</v>
      </c>
      <c r="B233" s="16" t="s">
        <v>775</v>
      </c>
      <c r="C233" s="19">
        <v>36</v>
      </c>
      <c r="D233" s="19">
        <v>34</v>
      </c>
      <c r="E233" s="19">
        <v>70</v>
      </c>
      <c r="F233" s="19">
        <v>43</v>
      </c>
      <c r="G233" s="19">
        <v>51</v>
      </c>
      <c r="H233" s="20">
        <v>1674</v>
      </c>
      <c r="I233" s="20">
        <v>1569</v>
      </c>
      <c r="J233" s="21">
        <v>3325.3</v>
      </c>
      <c r="K233" s="21">
        <v>2079.1</v>
      </c>
      <c r="L233" s="21">
        <v>2440.49</v>
      </c>
      <c r="M233" s="22">
        <v>6</v>
      </c>
      <c r="N233" s="22">
        <v>13</v>
      </c>
      <c r="O233" s="22">
        <v>10</v>
      </c>
      <c r="P233" s="22">
        <v>11</v>
      </c>
      <c r="Q233" s="22">
        <v>15</v>
      </c>
      <c r="R233" s="17">
        <v>0.857142857142857</v>
      </c>
      <c r="S233" s="17">
        <v>0.723404255319149</v>
      </c>
      <c r="T233" s="17">
        <v>0.875</v>
      </c>
      <c r="U233" s="17">
        <v>0.796296296296296</v>
      </c>
      <c r="V233" s="23">
        <v>0.772727272727273</v>
      </c>
    </row>
    <row r="234" ht="33" spans="1:22">
      <c r="A234" s="16">
        <v>1707</v>
      </c>
      <c r="B234" s="16" t="s">
        <v>776</v>
      </c>
      <c r="C234" s="19">
        <v>20</v>
      </c>
      <c r="D234" s="19">
        <v>35</v>
      </c>
      <c r="E234" s="19">
        <v>39</v>
      </c>
      <c r="F234" s="19">
        <v>39</v>
      </c>
      <c r="G234" s="19">
        <v>35</v>
      </c>
      <c r="H234" s="20">
        <v>1084</v>
      </c>
      <c r="I234" s="20">
        <v>1891.5</v>
      </c>
      <c r="J234" s="21">
        <v>2089.83</v>
      </c>
      <c r="K234" s="21">
        <v>2110.3</v>
      </c>
      <c r="L234" s="21">
        <v>1890.6</v>
      </c>
      <c r="M234" s="22">
        <v>11</v>
      </c>
      <c r="N234" s="22">
        <v>17</v>
      </c>
      <c r="O234" s="22">
        <v>21</v>
      </c>
      <c r="P234" s="22">
        <v>9</v>
      </c>
      <c r="Q234" s="22">
        <v>31</v>
      </c>
      <c r="R234" s="17">
        <v>0.645161290322581</v>
      </c>
      <c r="S234" s="17">
        <v>0.673076923076923</v>
      </c>
      <c r="T234" s="17">
        <v>0.65</v>
      </c>
      <c r="U234" s="17">
        <v>0.8125</v>
      </c>
      <c r="V234" s="23">
        <v>0.53030303030303</v>
      </c>
    </row>
    <row r="235" ht="16.5" spans="1:22">
      <c r="A235" s="16">
        <v>1708</v>
      </c>
      <c r="B235" s="16" t="s">
        <v>777</v>
      </c>
      <c r="C235" s="19">
        <v>20</v>
      </c>
      <c r="D235" s="19">
        <v>22</v>
      </c>
      <c r="E235" s="19">
        <v>35</v>
      </c>
      <c r="F235" s="19">
        <v>16</v>
      </c>
      <c r="G235" s="19">
        <v>18</v>
      </c>
      <c r="H235" s="20">
        <v>1084.34</v>
      </c>
      <c r="I235" s="20">
        <v>1192.74</v>
      </c>
      <c r="J235" s="21">
        <v>1900.04</v>
      </c>
      <c r="K235" s="21">
        <v>871.22</v>
      </c>
      <c r="L235" s="21">
        <v>968.6</v>
      </c>
      <c r="M235" s="22">
        <v>5</v>
      </c>
      <c r="N235" s="22">
        <v>8</v>
      </c>
      <c r="O235" s="22">
        <v>1</v>
      </c>
      <c r="P235" s="22">
        <v>0</v>
      </c>
      <c r="Q235" s="22">
        <v>16</v>
      </c>
      <c r="R235" s="17">
        <v>0.8</v>
      </c>
      <c r="S235" s="17">
        <v>0.733333333333333</v>
      </c>
      <c r="T235" s="17">
        <v>0.972222222222222</v>
      </c>
      <c r="U235" s="17">
        <v>1</v>
      </c>
      <c r="V235" s="23">
        <v>0.529411764705882</v>
      </c>
    </row>
    <row r="236" ht="33" spans="1:22">
      <c r="A236" s="16">
        <v>1710</v>
      </c>
      <c r="B236" s="16" t="s">
        <v>778</v>
      </c>
      <c r="C236" s="19">
        <v>20</v>
      </c>
      <c r="D236" s="19">
        <v>25</v>
      </c>
      <c r="E236" s="19">
        <v>21</v>
      </c>
      <c r="F236" s="19">
        <v>11</v>
      </c>
      <c r="G236" s="19">
        <v>26</v>
      </c>
      <c r="H236" s="20">
        <v>1364</v>
      </c>
      <c r="I236" s="20">
        <v>1705</v>
      </c>
      <c r="J236" s="21">
        <v>1449.2</v>
      </c>
      <c r="K236" s="21">
        <v>774.7</v>
      </c>
      <c r="L236" s="21">
        <v>1811.32</v>
      </c>
      <c r="M236" s="22">
        <v>34</v>
      </c>
      <c r="N236" s="22">
        <v>9</v>
      </c>
      <c r="O236" s="22">
        <v>32</v>
      </c>
      <c r="P236" s="22">
        <v>34</v>
      </c>
      <c r="Q236" s="22">
        <v>31</v>
      </c>
      <c r="R236" s="17">
        <v>0.37037037037037</v>
      </c>
      <c r="S236" s="17">
        <v>0.735294117647059</v>
      </c>
      <c r="T236" s="17">
        <v>0.39622641509434</v>
      </c>
      <c r="U236" s="17">
        <v>0.244444444444444</v>
      </c>
      <c r="V236" s="23">
        <v>0.456140350877193</v>
      </c>
    </row>
    <row r="237" ht="16.5" spans="1:22">
      <c r="A237" s="16">
        <v>1712</v>
      </c>
      <c r="B237" s="16" t="s">
        <v>779</v>
      </c>
      <c r="C237" s="19">
        <v>41</v>
      </c>
      <c r="D237" s="19">
        <v>19</v>
      </c>
      <c r="E237" s="19">
        <v>35</v>
      </c>
      <c r="F237" s="19">
        <v>50</v>
      </c>
      <c r="G237" s="19">
        <v>27</v>
      </c>
      <c r="H237" s="20">
        <v>2336.59</v>
      </c>
      <c r="I237" s="20">
        <v>1081.81</v>
      </c>
      <c r="J237" s="21">
        <v>1993.65</v>
      </c>
      <c r="K237" s="21">
        <v>2879.5</v>
      </c>
      <c r="L237" s="21">
        <v>1611.73</v>
      </c>
      <c r="M237" s="22">
        <v>48</v>
      </c>
      <c r="N237" s="22">
        <v>57</v>
      </c>
      <c r="O237" s="22">
        <v>47</v>
      </c>
      <c r="P237" s="22">
        <v>22</v>
      </c>
      <c r="Q237" s="22">
        <v>61</v>
      </c>
      <c r="R237" s="17">
        <v>0.460674157303371</v>
      </c>
      <c r="S237" s="17">
        <v>0.25</v>
      </c>
      <c r="T237" s="17">
        <v>0.426829268292683</v>
      </c>
      <c r="U237" s="17">
        <v>0.694444444444444</v>
      </c>
      <c r="V237" s="23">
        <v>0.306818181818182</v>
      </c>
    </row>
    <row r="238" ht="33" spans="1:22">
      <c r="A238" s="16">
        <v>1714</v>
      </c>
      <c r="B238" s="16" t="s">
        <v>780</v>
      </c>
      <c r="C238" s="19">
        <v>29</v>
      </c>
      <c r="D238" s="19">
        <v>38</v>
      </c>
      <c r="E238" s="19">
        <v>59</v>
      </c>
      <c r="F238" s="19">
        <v>61</v>
      </c>
      <c r="G238" s="19">
        <v>36</v>
      </c>
      <c r="H238" s="20">
        <v>1993.13</v>
      </c>
      <c r="I238" s="20">
        <v>2610.36</v>
      </c>
      <c r="J238" s="21">
        <v>4053.64</v>
      </c>
      <c r="K238" s="21">
        <v>4191.03</v>
      </c>
      <c r="L238" s="21">
        <v>2504.88</v>
      </c>
      <c r="M238" s="22">
        <v>17</v>
      </c>
      <c r="N238" s="22">
        <v>23</v>
      </c>
      <c r="O238" s="22">
        <v>20</v>
      </c>
      <c r="P238" s="22">
        <v>15</v>
      </c>
      <c r="Q238" s="22">
        <v>30</v>
      </c>
      <c r="R238" s="17">
        <v>0.630434782608696</v>
      </c>
      <c r="S238" s="17">
        <v>0.622950819672131</v>
      </c>
      <c r="T238" s="17">
        <v>0.746835443037975</v>
      </c>
      <c r="U238" s="17">
        <v>0.802631578947368</v>
      </c>
      <c r="V238" s="23">
        <v>0.545454545454545</v>
      </c>
    </row>
    <row r="239" ht="16.5" spans="1:22">
      <c r="A239" s="16">
        <v>1716</v>
      </c>
      <c r="B239" s="16" t="s">
        <v>781</v>
      </c>
      <c r="C239" s="19">
        <v>81</v>
      </c>
      <c r="D239" s="19">
        <v>22</v>
      </c>
      <c r="E239" s="19">
        <v>51</v>
      </c>
      <c r="F239" s="19">
        <v>43</v>
      </c>
      <c r="G239" s="19">
        <v>35</v>
      </c>
      <c r="H239" s="20">
        <v>4471.19999999999</v>
      </c>
      <c r="I239" s="20">
        <v>1283.4</v>
      </c>
      <c r="J239" s="21">
        <v>2971.62</v>
      </c>
      <c r="K239" s="21">
        <v>2504.1</v>
      </c>
      <c r="L239" s="21">
        <v>2040</v>
      </c>
      <c r="M239" s="22">
        <v>62</v>
      </c>
      <c r="N239" s="22">
        <v>70</v>
      </c>
      <c r="O239" s="22">
        <v>93</v>
      </c>
      <c r="P239" s="22">
        <v>107</v>
      </c>
      <c r="Q239" s="22">
        <v>129</v>
      </c>
      <c r="R239" s="17">
        <v>0.566433566433566</v>
      </c>
      <c r="S239" s="17">
        <v>0.239130434782609</v>
      </c>
      <c r="T239" s="17">
        <v>0.354166666666667</v>
      </c>
      <c r="U239" s="17">
        <v>0.286666666666667</v>
      </c>
      <c r="V239" s="23">
        <v>0.213414634146341</v>
      </c>
    </row>
    <row r="240" ht="16.5" spans="1:22">
      <c r="A240" s="16">
        <v>1768</v>
      </c>
      <c r="B240" s="16" t="s">
        <v>782</v>
      </c>
      <c r="C240" s="19">
        <v>64</v>
      </c>
      <c r="D240" s="19">
        <v>54</v>
      </c>
      <c r="E240" s="19">
        <v>100</v>
      </c>
      <c r="F240" s="19">
        <v>112</v>
      </c>
      <c r="G240" s="19">
        <v>119</v>
      </c>
      <c r="H240" s="20">
        <v>5406.35999999999</v>
      </c>
      <c r="I240" s="20">
        <v>4534.45999999999</v>
      </c>
      <c r="J240" s="21">
        <v>8484.82999999999</v>
      </c>
      <c r="K240" s="21">
        <v>9394.87999999998</v>
      </c>
      <c r="L240" s="21">
        <v>9979.00999999999</v>
      </c>
      <c r="M240" s="22">
        <v>24</v>
      </c>
      <c r="N240" s="22">
        <v>40</v>
      </c>
      <c r="O240" s="22">
        <v>15</v>
      </c>
      <c r="P240" s="22">
        <v>10</v>
      </c>
      <c r="Q240" s="22">
        <v>7</v>
      </c>
      <c r="R240" s="17">
        <v>0.727272727272727</v>
      </c>
      <c r="S240" s="17">
        <v>0.574468085106383</v>
      </c>
      <c r="T240" s="17">
        <v>0.869565217391304</v>
      </c>
      <c r="U240" s="17">
        <v>0.918032786885246</v>
      </c>
      <c r="V240" s="23">
        <v>0.944444444444444</v>
      </c>
    </row>
    <row r="241" ht="66" spans="1:22">
      <c r="A241" s="16">
        <v>3284</v>
      </c>
      <c r="B241" s="16" t="s">
        <v>783</v>
      </c>
      <c r="C241" s="19">
        <v>3</v>
      </c>
      <c r="D241" s="19">
        <v>5</v>
      </c>
      <c r="E241" s="19">
        <v>7</v>
      </c>
      <c r="F241" s="19">
        <v>6</v>
      </c>
      <c r="G241" s="19">
        <v>1</v>
      </c>
      <c r="H241" s="20">
        <v>146.97</v>
      </c>
      <c r="I241" s="20">
        <v>214.9</v>
      </c>
      <c r="J241" s="21">
        <v>310.05</v>
      </c>
      <c r="K241" s="21">
        <v>282</v>
      </c>
      <c r="L241" s="21">
        <v>47</v>
      </c>
      <c r="M241" s="22">
        <v>0</v>
      </c>
      <c r="N241" s="22">
        <v>1</v>
      </c>
      <c r="O241" s="22">
        <v>0</v>
      </c>
      <c r="P241" s="22">
        <v>0</v>
      </c>
      <c r="Q241" s="22">
        <v>0</v>
      </c>
      <c r="R241" s="17">
        <v>1</v>
      </c>
      <c r="S241" s="17">
        <v>0.833333333333333</v>
      </c>
      <c r="T241" s="17">
        <v>1</v>
      </c>
      <c r="U241" s="17">
        <v>1</v>
      </c>
      <c r="V241" s="23">
        <v>1</v>
      </c>
    </row>
    <row r="242" ht="66" spans="1:22">
      <c r="A242" s="16">
        <v>3341</v>
      </c>
      <c r="B242" s="16" t="s">
        <v>784</v>
      </c>
      <c r="C242" s="19">
        <v>11</v>
      </c>
      <c r="D242" s="19">
        <v>8</v>
      </c>
      <c r="E242" s="19">
        <v>0</v>
      </c>
      <c r="F242" s="19">
        <v>4</v>
      </c>
      <c r="G242" s="19">
        <v>6</v>
      </c>
      <c r="H242" s="20">
        <v>331.94</v>
      </c>
      <c r="I242" s="20">
        <v>242.32</v>
      </c>
      <c r="J242" s="21">
        <v>0</v>
      </c>
      <c r="K242" s="21">
        <v>144.72</v>
      </c>
      <c r="L242" s="21">
        <v>230.6</v>
      </c>
      <c r="M242" s="22">
        <v>20</v>
      </c>
      <c r="N242" s="22">
        <v>35</v>
      </c>
      <c r="O242" s="22">
        <v>29</v>
      </c>
      <c r="P242" s="22">
        <v>30</v>
      </c>
      <c r="Q242" s="22">
        <v>23</v>
      </c>
      <c r="R242" s="17">
        <v>0.354838709677419</v>
      </c>
      <c r="S242" s="17">
        <v>0.186046511627907</v>
      </c>
      <c r="T242" s="17">
        <v>0</v>
      </c>
      <c r="U242" s="17">
        <v>0.117647058823529</v>
      </c>
      <c r="V242" s="23">
        <v>0.206896551724138</v>
      </c>
    </row>
    <row r="243" ht="33" spans="1:22">
      <c r="A243" s="16">
        <v>2850</v>
      </c>
      <c r="B243" s="16" t="s">
        <v>785</v>
      </c>
      <c r="C243" s="19">
        <v>8</v>
      </c>
      <c r="D243" s="19">
        <v>2</v>
      </c>
      <c r="E243" s="19">
        <v>5</v>
      </c>
      <c r="F243" s="19">
        <v>2</v>
      </c>
      <c r="G243" s="19">
        <v>3</v>
      </c>
      <c r="H243" s="20">
        <v>691.92</v>
      </c>
      <c r="I243" s="20">
        <v>177.98</v>
      </c>
      <c r="J243" s="21">
        <v>467.95</v>
      </c>
      <c r="K243" s="21">
        <v>190.98</v>
      </c>
      <c r="L243" s="21">
        <v>285.05</v>
      </c>
      <c r="M243" s="22">
        <v>6</v>
      </c>
      <c r="N243" s="22">
        <v>7</v>
      </c>
      <c r="O243" s="22">
        <v>4</v>
      </c>
      <c r="P243" s="22">
        <v>4</v>
      </c>
      <c r="Q243" s="22">
        <v>18</v>
      </c>
      <c r="R243" s="17">
        <v>0.571428571428571</v>
      </c>
      <c r="S243" s="17">
        <v>0.222222222222222</v>
      </c>
      <c r="T243" s="17">
        <v>0.555555555555556</v>
      </c>
      <c r="U243" s="17">
        <v>0.333333333333333</v>
      </c>
      <c r="V243" s="23">
        <v>0.142857142857143</v>
      </c>
    </row>
    <row r="244" ht="16.5" spans="1:22">
      <c r="A244" s="16">
        <v>3385</v>
      </c>
      <c r="B244" s="16" t="s">
        <v>786</v>
      </c>
      <c r="C244" s="19">
        <v>3</v>
      </c>
      <c r="D244" s="19">
        <v>2</v>
      </c>
      <c r="E244" s="19">
        <v>4</v>
      </c>
      <c r="F244" s="19">
        <v>1</v>
      </c>
      <c r="G244" s="19">
        <v>2</v>
      </c>
      <c r="H244" s="20">
        <v>598.36</v>
      </c>
      <c r="I244" s="20">
        <v>393.58</v>
      </c>
      <c r="J244" s="21">
        <v>742.74</v>
      </c>
      <c r="K244" s="21">
        <v>186.95</v>
      </c>
      <c r="L244" s="21">
        <v>393.58</v>
      </c>
      <c r="M244" s="22">
        <v>0</v>
      </c>
      <c r="N244" s="22">
        <v>4</v>
      </c>
      <c r="O244" s="22">
        <v>3</v>
      </c>
      <c r="P244" s="22">
        <v>2</v>
      </c>
      <c r="Q244" s="22">
        <v>6</v>
      </c>
      <c r="R244" s="17">
        <v>1</v>
      </c>
      <c r="S244" s="17">
        <v>0.333333333333333</v>
      </c>
      <c r="T244" s="17">
        <v>0.571428571428571</v>
      </c>
      <c r="U244" s="17">
        <v>0.333333333333333</v>
      </c>
      <c r="V244" s="23">
        <v>0.25</v>
      </c>
    </row>
    <row r="245" ht="16.5" spans="1:22">
      <c r="A245" s="16">
        <v>3096</v>
      </c>
      <c r="B245" s="16" t="s">
        <v>787</v>
      </c>
      <c r="C245" s="19">
        <v>10</v>
      </c>
      <c r="D245" s="19">
        <v>9</v>
      </c>
      <c r="E245" s="19">
        <v>0</v>
      </c>
      <c r="F245" s="19">
        <v>4</v>
      </c>
      <c r="G245" s="19">
        <v>3</v>
      </c>
      <c r="H245" s="20">
        <v>431.58</v>
      </c>
      <c r="I245" s="20">
        <v>402.43</v>
      </c>
      <c r="J245" s="21">
        <v>0</v>
      </c>
      <c r="K245" s="21">
        <v>199.96</v>
      </c>
      <c r="L245" s="21">
        <v>147.97</v>
      </c>
      <c r="M245" s="22">
        <v>1</v>
      </c>
      <c r="N245" s="22">
        <v>1</v>
      </c>
      <c r="O245" s="22">
        <v>8</v>
      </c>
      <c r="P245" s="22">
        <v>2</v>
      </c>
      <c r="Q245" s="22">
        <v>6</v>
      </c>
      <c r="R245" s="17">
        <v>0.909090909090909</v>
      </c>
      <c r="S245" s="17">
        <v>0.9</v>
      </c>
      <c r="T245" s="17">
        <v>0</v>
      </c>
      <c r="U245" s="17">
        <v>0.666666666666667</v>
      </c>
      <c r="V245" s="23">
        <v>0.333333333333333</v>
      </c>
    </row>
    <row r="246" ht="49.5" spans="1:22">
      <c r="A246" s="16">
        <v>3118</v>
      </c>
      <c r="B246" s="16" t="s">
        <v>788</v>
      </c>
      <c r="C246" s="19">
        <v>16</v>
      </c>
      <c r="D246" s="19">
        <v>29</v>
      </c>
      <c r="E246" s="19">
        <v>51</v>
      </c>
      <c r="F246" s="19">
        <v>27</v>
      </c>
      <c r="G246" s="19">
        <v>32</v>
      </c>
      <c r="H246" s="20">
        <v>1101.9</v>
      </c>
      <c r="I246" s="20">
        <v>1805.2</v>
      </c>
      <c r="J246" s="21">
        <v>3263.89</v>
      </c>
      <c r="K246" s="21">
        <v>1745.31</v>
      </c>
      <c r="L246" s="21">
        <v>2075.37</v>
      </c>
      <c r="M246" s="22">
        <v>3</v>
      </c>
      <c r="N246" s="22">
        <v>22</v>
      </c>
      <c r="O246" s="22">
        <v>18</v>
      </c>
      <c r="P246" s="22">
        <v>15</v>
      </c>
      <c r="Q246" s="22">
        <v>35</v>
      </c>
      <c r="R246" s="17">
        <v>0.842105263157895</v>
      </c>
      <c r="S246" s="17">
        <v>0.568627450980392</v>
      </c>
      <c r="T246" s="17">
        <v>0.739130434782609</v>
      </c>
      <c r="U246" s="17">
        <v>0.642857142857143</v>
      </c>
      <c r="V246" s="23">
        <v>0.477611940298507</v>
      </c>
    </row>
    <row r="247" ht="33" spans="1:22">
      <c r="A247" s="16">
        <v>3650</v>
      </c>
      <c r="B247" s="16" t="s">
        <v>789</v>
      </c>
      <c r="C247" s="19">
        <v>6</v>
      </c>
      <c r="D247" s="19">
        <v>7</v>
      </c>
      <c r="E247" s="19">
        <v>4</v>
      </c>
      <c r="F247" s="19">
        <v>4</v>
      </c>
      <c r="G247" s="19">
        <v>7</v>
      </c>
      <c r="H247" s="20">
        <v>303</v>
      </c>
      <c r="I247" s="20">
        <v>356.5</v>
      </c>
      <c r="J247" s="21">
        <v>221.5</v>
      </c>
      <c r="K247" s="21">
        <v>224</v>
      </c>
      <c r="L247" s="21">
        <v>392</v>
      </c>
      <c r="M247" s="22">
        <v>10</v>
      </c>
      <c r="N247" s="22">
        <v>6</v>
      </c>
      <c r="O247" s="22">
        <v>4</v>
      </c>
      <c r="P247" s="22">
        <v>3</v>
      </c>
      <c r="Q247" s="22">
        <v>3</v>
      </c>
      <c r="R247" s="17">
        <v>0.375</v>
      </c>
      <c r="S247" s="17">
        <v>0.538461538461538</v>
      </c>
      <c r="T247" s="17">
        <v>0.5</v>
      </c>
      <c r="U247" s="17">
        <v>0.571428571428571</v>
      </c>
      <c r="V247" s="23">
        <v>0.7</v>
      </c>
    </row>
    <row r="248" ht="33" spans="1:22">
      <c r="A248" s="16">
        <v>3681</v>
      </c>
      <c r="B248" s="16" t="s">
        <v>790</v>
      </c>
      <c r="C248" s="19">
        <v>18</v>
      </c>
      <c r="D248" s="19">
        <v>10</v>
      </c>
      <c r="E248" s="19">
        <v>13</v>
      </c>
      <c r="F248" s="19">
        <v>7</v>
      </c>
      <c r="G248" s="19">
        <v>7</v>
      </c>
      <c r="H248" s="20">
        <v>868.68</v>
      </c>
      <c r="I248" s="20">
        <v>471</v>
      </c>
      <c r="J248" s="21">
        <v>612.3</v>
      </c>
      <c r="K248" s="21">
        <v>329.7</v>
      </c>
      <c r="L248" s="21">
        <v>329.7</v>
      </c>
      <c r="M248" s="22">
        <v>13</v>
      </c>
      <c r="N248" s="22">
        <v>3</v>
      </c>
      <c r="O248" s="22">
        <v>8</v>
      </c>
      <c r="P248" s="22">
        <v>12</v>
      </c>
      <c r="Q248" s="22">
        <v>20</v>
      </c>
      <c r="R248" s="17">
        <v>0.580645161290323</v>
      </c>
      <c r="S248" s="17">
        <v>0.769230769230769</v>
      </c>
      <c r="T248" s="17">
        <v>0.619047619047619</v>
      </c>
      <c r="U248" s="17">
        <v>0.368421052631579</v>
      </c>
      <c r="V248" s="23">
        <v>0.259259259259259</v>
      </c>
    </row>
    <row r="249" ht="33" spans="1:22">
      <c r="A249" s="16">
        <v>3757</v>
      </c>
      <c r="B249" s="16" t="s">
        <v>791</v>
      </c>
      <c r="C249" s="19">
        <v>28</v>
      </c>
      <c r="D249" s="19">
        <v>32</v>
      </c>
      <c r="E249" s="19">
        <v>61</v>
      </c>
      <c r="F249" s="19">
        <v>37</v>
      </c>
      <c r="G249" s="19">
        <v>14</v>
      </c>
      <c r="H249" s="20">
        <v>1022</v>
      </c>
      <c r="I249" s="20">
        <v>1269.5</v>
      </c>
      <c r="J249" s="21">
        <v>2701.49</v>
      </c>
      <c r="K249" s="21">
        <v>1739.24</v>
      </c>
      <c r="L249" s="21">
        <v>646.13</v>
      </c>
      <c r="M249" s="22">
        <v>56</v>
      </c>
      <c r="N249" s="22">
        <v>63</v>
      </c>
      <c r="O249" s="22">
        <v>70</v>
      </c>
      <c r="P249" s="22">
        <v>90</v>
      </c>
      <c r="Q249" s="22">
        <v>111</v>
      </c>
      <c r="R249" s="17">
        <v>0.333333333333333</v>
      </c>
      <c r="S249" s="17">
        <v>0.336842105263158</v>
      </c>
      <c r="T249" s="17">
        <v>0.465648854961832</v>
      </c>
      <c r="U249" s="17">
        <v>0.291338582677165</v>
      </c>
      <c r="V249" s="23">
        <v>0.112</v>
      </c>
    </row>
    <row r="250" ht="16.5" spans="1:22">
      <c r="A250" s="16">
        <v>3584</v>
      </c>
      <c r="B250" s="16" t="s">
        <v>792</v>
      </c>
      <c r="C250" s="19">
        <v>12</v>
      </c>
      <c r="D250" s="19">
        <v>13</v>
      </c>
      <c r="E250" s="19">
        <v>33</v>
      </c>
      <c r="F250" s="19">
        <v>13</v>
      </c>
      <c r="G250" s="19">
        <v>11</v>
      </c>
      <c r="H250" s="20">
        <v>479.88</v>
      </c>
      <c r="I250" s="20">
        <v>516.27</v>
      </c>
      <c r="J250" s="21">
        <v>1298.17</v>
      </c>
      <c r="K250" s="21">
        <v>511.97</v>
      </c>
      <c r="L250" s="21">
        <v>429.99</v>
      </c>
      <c r="M250" s="22">
        <v>4</v>
      </c>
      <c r="N250" s="22">
        <v>8</v>
      </c>
      <c r="O250" s="22">
        <v>10</v>
      </c>
      <c r="P250" s="22">
        <v>11</v>
      </c>
      <c r="Q250" s="22">
        <v>9</v>
      </c>
      <c r="R250" s="17">
        <v>0.75</v>
      </c>
      <c r="S250" s="17">
        <v>0.619047619047619</v>
      </c>
      <c r="T250" s="17">
        <v>0.767441860465116</v>
      </c>
      <c r="U250" s="17">
        <v>0.541666666666667</v>
      </c>
      <c r="V250" s="23">
        <v>0.55</v>
      </c>
    </row>
    <row r="251" ht="16.5" spans="1:22">
      <c r="A251" s="16">
        <v>3625</v>
      </c>
      <c r="B251" s="16" t="s">
        <v>793</v>
      </c>
      <c r="C251" s="19">
        <v>15</v>
      </c>
      <c r="D251" s="19">
        <v>26</v>
      </c>
      <c r="E251" s="19">
        <v>27</v>
      </c>
      <c r="F251" s="19">
        <v>30</v>
      </c>
      <c r="G251" s="19">
        <v>31</v>
      </c>
      <c r="H251" s="20">
        <v>721.93</v>
      </c>
      <c r="I251" s="20">
        <v>1285.14</v>
      </c>
      <c r="J251" s="21">
        <v>1384.38</v>
      </c>
      <c r="K251" s="21">
        <v>1558.4</v>
      </c>
      <c r="L251" s="21">
        <v>1599.21</v>
      </c>
      <c r="M251" s="22">
        <v>8</v>
      </c>
      <c r="N251" s="22">
        <v>21</v>
      </c>
      <c r="O251" s="22">
        <v>17</v>
      </c>
      <c r="P251" s="22">
        <v>10</v>
      </c>
      <c r="Q251" s="22">
        <v>6</v>
      </c>
      <c r="R251" s="17">
        <v>0.652173913043478</v>
      </c>
      <c r="S251" s="17">
        <v>0.553191489361702</v>
      </c>
      <c r="T251" s="17">
        <v>0.613636363636364</v>
      </c>
      <c r="U251" s="17">
        <v>0.75</v>
      </c>
      <c r="V251" s="23">
        <v>0.837837837837838</v>
      </c>
    </row>
    <row r="252" ht="33" spans="1:22">
      <c r="A252" s="16">
        <v>3645</v>
      </c>
      <c r="B252" s="16" t="s">
        <v>794</v>
      </c>
      <c r="C252" s="19">
        <v>1</v>
      </c>
      <c r="D252" s="19">
        <v>8</v>
      </c>
      <c r="E252" s="19">
        <v>10</v>
      </c>
      <c r="F252" s="19">
        <v>12</v>
      </c>
      <c r="G252" s="19">
        <v>12</v>
      </c>
      <c r="H252" s="20">
        <v>75</v>
      </c>
      <c r="I252" s="20">
        <v>633.52</v>
      </c>
      <c r="J252" s="21">
        <v>771</v>
      </c>
      <c r="K252" s="21">
        <v>945.28</v>
      </c>
      <c r="L252" s="21">
        <v>937.64</v>
      </c>
      <c r="M252" s="22">
        <v>0</v>
      </c>
      <c r="N252" s="22">
        <v>0</v>
      </c>
      <c r="O252" s="22">
        <v>0</v>
      </c>
      <c r="P252" s="22">
        <v>3</v>
      </c>
      <c r="Q252" s="22">
        <v>12</v>
      </c>
      <c r="R252" s="17">
        <v>1</v>
      </c>
      <c r="S252" s="17">
        <v>1</v>
      </c>
      <c r="T252" s="17">
        <v>1</v>
      </c>
      <c r="U252" s="17">
        <v>0.8</v>
      </c>
      <c r="V252" s="23">
        <v>0.5</v>
      </c>
    </row>
    <row r="253" ht="16.5" spans="1:22">
      <c r="A253" s="16">
        <v>3683</v>
      </c>
      <c r="B253" s="16" t="s">
        <v>795</v>
      </c>
      <c r="C253" s="19">
        <v>13</v>
      </c>
      <c r="D253" s="19">
        <v>20</v>
      </c>
      <c r="E253" s="19">
        <v>23</v>
      </c>
      <c r="F253" s="19">
        <v>15</v>
      </c>
      <c r="G253" s="19">
        <v>25</v>
      </c>
      <c r="H253" s="20">
        <v>1163.5</v>
      </c>
      <c r="I253" s="20">
        <v>1790</v>
      </c>
      <c r="J253" s="21">
        <v>2058.5</v>
      </c>
      <c r="K253" s="21">
        <v>1342.5</v>
      </c>
      <c r="L253" s="21">
        <v>2230.82</v>
      </c>
      <c r="M253" s="22">
        <v>9</v>
      </c>
      <c r="N253" s="22">
        <v>9</v>
      </c>
      <c r="O253" s="22">
        <v>14</v>
      </c>
      <c r="P253" s="22">
        <v>13</v>
      </c>
      <c r="Q253" s="22">
        <v>19</v>
      </c>
      <c r="R253" s="17">
        <v>0.590909090909091</v>
      </c>
      <c r="S253" s="17">
        <v>0.689655172413793</v>
      </c>
      <c r="T253" s="17">
        <v>0.621621621621622</v>
      </c>
      <c r="U253" s="17">
        <v>0.535714285714286</v>
      </c>
      <c r="V253" s="23">
        <v>0.568181818181818</v>
      </c>
    </row>
    <row r="254" ht="33" spans="1:22">
      <c r="A254" s="16">
        <v>3684</v>
      </c>
      <c r="B254" s="16" t="s">
        <v>796</v>
      </c>
      <c r="C254" s="19">
        <v>9</v>
      </c>
      <c r="D254" s="19">
        <v>7</v>
      </c>
      <c r="E254" s="19">
        <v>18</v>
      </c>
      <c r="F254" s="19">
        <v>13</v>
      </c>
      <c r="G254" s="19">
        <v>15</v>
      </c>
      <c r="H254" s="20">
        <v>477</v>
      </c>
      <c r="I254" s="20">
        <v>371</v>
      </c>
      <c r="J254" s="21">
        <v>988.5</v>
      </c>
      <c r="K254" s="21">
        <v>772.5</v>
      </c>
      <c r="L254" s="21">
        <v>904.68</v>
      </c>
      <c r="M254" s="22">
        <v>6</v>
      </c>
      <c r="N254" s="22">
        <v>7</v>
      </c>
      <c r="O254" s="22">
        <v>0</v>
      </c>
      <c r="P254" s="22">
        <v>0</v>
      </c>
      <c r="Q254" s="22">
        <v>1</v>
      </c>
      <c r="R254" s="17">
        <v>0.6</v>
      </c>
      <c r="S254" s="17">
        <v>0.5</v>
      </c>
      <c r="T254" s="17">
        <v>1</v>
      </c>
      <c r="U254" s="17">
        <v>1</v>
      </c>
      <c r="V254" s="23">
        <v>0.9375</v>
      </c>
    </row>
    <row r="255" ht="33" spans="1:22">
      <c r="A255" s="16">
        <v>3685</v>
      </c>
      <c r="B255" s="16" t="s">
        <v>797</v>
      </c>
      <c r="C255" s="19">
        <v>40</v>
      </c>
      <c r="D255" s="19">
        <v>22</v>
      </c>
      <c r="E255" s="19">
        <v>30</v>
      </c>
      <c r="F255" s="19">
        <v>30</v>
      </c>
      <c r="G255" s="19">
        <v>21</v>
      </c>
      <c r="H255" s="20">
        <v>1829.02</v>
      </c>
      <c r="I255" s="20">
        <v>1023.16</v>
      </c>
      <c r="J255" s="21">
        <v>1450.17</v>
      </c>
      <c r="K255" s="21">
        <v>1515.2</v>
      </c>
      <c r="L255" s="21">
        <v>1126.79</v>
      </c>
      <c r="M255" s="22">
        <v>21</v>
      </c>
      <c r="N255" s="22">
        <v>23</v>
      </c>
      <c r="O255" s="22">
        <v>39</v>
      </c>
      <c r="P255" s="22">
        <v>29</v>
      </c>
      <c r="Q255" s="22">
        <v>16</v>
      </c>
      <c r="R255" s="17">
        <v>0.655737704918033</v>
      </c>
      <c r="S255" s="17">
        <v>0.488888888888889</v>
      </c>
      <c r="T255" s="17">
        <v>0.434782608695652</v>
      </c>
      <c r="U255" s="17">
        <v>0.508474576271186</v>
      </c>
      <c r="V255" s="23">
        <v>0.567567567567568</v>
      </c>
    </row>
    <row r="256" ht="33" spans="1:22">
      <c r="A256" s="16">
        <v>3758</v>
      </c>
      <c r="B256" s="16" t="s">
        <v>798</v>
      </c>
      <c r="C256" s="19">
        <v>3</v>
      </c>
      <c r="D256" s="19">
        <v>1</v>
      </c>
      <c r="E256" s="19">
        <v>7</v>
      </c>
      <c r="F256" s="19">
        <v>4</v>
      </c>
      <c r="G256" s="19">
        <v>8</v>
      </c>
      <c r="H256" s="20">
        <v>103.35</v>
      </c>
      <c r="I256" s="20">
        <v>34.45</v>
      </c>
      <c r="J256" s="21">
        <v>246.75</v>
      </c>
      <c r="K256" s="21">
        <v>149</v>
      </c>
      <c r="L256" s="21">
        <v>299.5</v>
      </c>
      <c r="M256" s="22">
        <v>29</v>
      </c>
      <c r="N256" s="22">
        <v>21</v>
      </c>
      <c r="O256" s="22">
        <v>19</v>
      </c>
      <c r="P256" s="22">
        <v>22</v>
      </c>
      <c r="Q256" s="22">
        <v>23</v>
      </c>
      <c r="R256" s="17">
        <v>0.09375</v>
      </c>
      <c r="S256" s="17">
        <v>0.0454545454545455</v>
      </c>
      <c r="T256" s="17">
        <v>0.269230769230769</v>
      </c>
      <c r="U256" s="17">
        <v>0.153846153846154</v>
      </c>
      <c r="V256" s="23">
        <v>0.258064516129032</v>
      </c>
    </row>
    <row r="257" ht="33" spans="1:22">
      <c r="A257" s="16">
        <v>3759</v>
      </c>
      <c r="B257" s="16" t="s">
        <v>799</v>
      </c>
      <c r="C257" s="19">
        <v>12</v>
      </c>
      <c r="D257" s="19">
        <v>9</v>
      </c>
      <c r="E257" s="19">
        <v>8</v>
      </c>
      <c r="F257" s="19">
        <v>8</v>
      </c>
      <c r="G257" s="19">
        <v>17</v>
      </c>
      <c r="H257" s="20">
        <v>361.92</v>
      </c>
      <c r="I257" s="20">
        <v>300.96</v>
      </c>
      <c r="J257" s="21">
        <v>269.44</v>
      </c>
      <c r="K257" s="21">
        <v>269.44</v>
      </c>
      <c r="L257" s="21">
        <v>565.84</v>
      </c>
      <c r="M257" s="22">
        <v>1</v>
      </c>
      <c r="N257" s="22">
        <v>2</v>
      </c>
      <c r="O257" s="22">
        <v>3</v>
      </c>
      <c r="P257" s="22">
        <v>3</v>
      </c>
      <c r="Q257" s="22">
        <v>1</v>
      </c>
      <c r="R257" s="17">
        <v>0.923076923076923</v>
      </c>
      <c r="S257" s="17">
        <v>0.818181818181818</v>
      </c>
      <c r="T257" s="17">
        <v>0.727272727272727</v>
      </c>
      <c r="U257" s="17">
        <v>0.727272727272727</v>
      </c>
      <c r="V257" s="23">
        <v>0.944444444444444</v>
      </c>
    </row>
    <row r="258" ht="33" spans="1:22">
      <c r="A258" s="16">
        <v>4326</v>
      </c>
      <c r="B258" s="16" t="s">
        <v>800</v>
      </c>
      <c r="C258" s="19">
        <v>59</v>
      </c>
      <c r="D258" s="19">
        <v>50</v>
      </c>
      <c r="E258" s="19">
        <v>57</v>
      </c>
      <c r="F258" s="19">
        <v>52</v>
      </c>
      <c r="G258" s="19">
        <v>41</v>
      </c>
      <c r="H258" s="20">
        <v>1370.09</v>
      </c>
      <c r="I258" s="20">
        <v>1246.45</v>
      </c>
      <c r="J258" s="21">
        <v>1414.43</v>
      </c>
      <c r="K258" s="21">
        <v>1302.2</v>
      </c>
      <c r="L258" s="21">
        <v>1029.77</v>
      </c>
      <c r="M258" s="22">
        <v>19</v>
      </c>
      <c r="N258" s="22">
        <v>42</v>
      </c>
      <c r="O258" s="22">
        <v>40</v>
      </c>
      <c r="P258" s="22">
        <v>34</v>
      </c>
      <c r="Q258" s="22">
        <v>32</v>
      </c>
      <c r="R258" s="17">
        <v>0.756410256410256</v>
      </c>
      <c r="S258" s="17">
        <v>0.543478260869565</v>
      </c>
      <c r="T258" s="17">
        <v>0.587628865979381</v>
      </c>
      <c r="U258" s="17">
        <v>0.604651162790698</v>
      </c>
      <c r="V258" s="23">
        <v>0.561643835616438</v>
      </c>
    </row>
    <row r="259" ht="16.5" spans="1:22">
      <c r="A259" s="16">
        <v>4350</v>
      </c>
      <c r="B259" s="16" t="s">
        <v>801</v>
      </c>
      <c r="C259" s="19">
        <v>4</v>
      </c>
      <c r="D259" s="19">
        <v>9</v>
      </c>
      <c r="E259" s="19">
        <v>9</v>
      </c>
      <c r="F259" s="19">
        <v>5</v>
      </c>
      <c r="G259" s="19">
        <v>5</v>
      </c>
      <c r="H259" s="20">
        <v>379.2</v>
      </c>
      <c r="I259" s="20">
        <v>853.2</v>
      </c>
      <c r="J259" s="21">
        <v>877.55</v>
      </c>
      <c r="K259" s="21">
        <v>520</v>
      </c>
      <c r="L259" s="21">
        <v>524.98</v>
      </c>
      <c r="M259" s="22">
        <v>0</v>
      </c>
      <c r="N259" s="22">
        <v>0</v>
      </c>
      <c r="O259" s="22">
        <v>0</v>
      </c>
      <c r="P259" s="22">
        <v>0</v>
      </c>
      <c r="Q259" s="22">
        <v>1</v>
      </c>
      <c r="R259" s="17">
        <v>1</v>
      </c>
      <c r="S259" s="17">
        <v>1</v>
      </c>
      <c r="T259" s="17">
        <v>1</v>
      </c>
      <c r="U259" s="17">
        <v>1</v>
      </c>
      <c r="V259" s="23">
        <v>0.833333333333333</v>
      </c>
    </row>
    <row r="260" ht="33" spans="1:22">
      <c r="A260" s="16">
        <v>5078</v>
      </c>
      <c r="B260" s="16" t="s">
        <v>802</v>
      </c>
      <c r="C260" s="19">
        <v>28</v>
      </c>
      <c r="D260" s="19">
        <v>38</v>
      </c>
      <c r="E260" s="19">
        <v>72</v>
      </c>
      <c r="F260" s="19">
        <v>43</v>
      </c>
      <c r="G260" s="19">
        <v>41</v>
      </c>
      <c r="H260" s="20">
        <v>926.320000000001</v>
      </c>
      <c r="I260" s="20">
        <v>971.92</v>
      </c>
      <c r="J260" s="21">
        <v>2029.28</v>
      </c>
      <c r="K260" s="21">
        <v>1296.37</v>
      </c>
      <c r="L260" s="21">
        <v>1274.99</v>
      </c>
      <c r="M260" s="22">
        <v>22</v>
      </c>
      <c r="N260" s="22">
        <v>8</v>
      </c>
      <c r="O260" s="22">
        <v>7</v>
      </c>
      <c r="P260" s="22">
        <v>6</v>
      </c>
      <c r="Q260" s="22">
        <v>14</v>
      </c>
      <c r="R260" s="17">
        <v>0.56</v>
      </c>
      <c r="S260" s="17">
        <v>0.826086956521739</v>
      </c>
      <c r="T260" s="17">
        <v>0.911392405063291</v>
      </c>
      <c r="U260" s="17">
        <v>0.877551020408163</v>
      </c>
      <c r="V260" s="23">
        <v>0.745454545454545</v>
      </c>
    </row>
    <row r="261" ht="33" spans="1:22">
      <c r="A261" s="16">
        <v>5077</v>
      </c>
      <c r="B261" s="16" t="s">
        <v>803</v>
      </c>
      <c r="C261" s="19">
        <v>40</v>
      </c>
      <c r="D261" s="19">
        <v>38</v>
      </c>
      <c r="E261" s="19">
        <v>77</v>
      </c>
      <c r="F261" s="19">
        <v>56</v>
      </c>
      <c r="G261" s="19">
        <v>50</v>
      </c>
      <c r="H261" s="20">
        <v>1343.6</v>
      </c>
      <c r="I261" s="20">
        <v>1276.42</v>
      </c>
      <c r="J261" s="21">
        <v>2586.43</v>
      </c>
      <c r="K261" s="21">
        <v>1996.67</v>
      </c>
      <c r="L261" s="21">
        <v>1731.63</v>
      </c>
      <c r="M261" s="22">
        <v>6</v>
      </c>
      <c r="N261" s="22">
        <v>10</v>
      </c>
      <c r="O261" s="22">
        <v>14</v>
      </c>
      <c r="P261" s="22">
        <v>19</v>
      </c>
      <c r="Q261" s="22">
        <v>20</v>
      </c>
      <c r="R261" s="17">
        <v>0.869565217391304</v>
      </c>
      <c r="S261" s="17">
        <v>0.791666666666667</v>
      </c>
      <c r="T261" s="17">
        <v>0.846153846153846</v>
      </c>
      <c r="U261" s="17">
        <v>0.746666666666667</v>
      </c>
      <c r="V261" s="23">
        <v>0.714285714285714</v>
      </c>
    </row>
    <row r="262" ht="16.5" spans="1:22">
      <c r="A262" s="16">
        <v>5708</v>
      </c>
      <c r="B262" s="16" t="s">
        <v>804</v>
      </c>
      <c r="C262" s="19">
        <v>11</v>
      </c>
      <c r="D262" s="19">
        <v>19</v>
      </c>
      <c r="E262" s="19">
        <v>27</v>
      </c>
      <c r="F262" s="19">
        <v>33</v>
      </c>
      <c r="G262" s="19">
        <v>28</v>
      </c>
      <c r="H262" s="20">
        <v>1642.61</v>
      </c>
      <c r="I262" s="20">
        <v>2828.26</v>
      </c>
      <c r="J262" s="21">
        <v>4021.41</v>
      </c>
      <c r="K262" s="21">
        <v>4908.09</v>
      </c>
      <c r="L262" s="21">
        <v>4109.15</v>
      </c>
      <c r="M262" s="22">
        <v>1</v>
      </c>
      <c r="N262" s="22">
        <v>2</v>
      </c>
      <c r="O262" s="22">
        <v>0</v>
      </c>
      <c r="P262" s="22">
        <v>1</v>
      </c>
      <c r="Q262" s="22">
        <v>1</v>
      </c>
      <c r="R262" s="17">
        <v>0.916666666666667</v>
      </c>
      <c r="S262" s="17">
        <v>0.904761904761905</v>
      </c>
      <c r="T262" s="17">
        <v>1</v>
      </c>
      <c r="U262" s="17">
        <v>0.970588235294118</v>
      </c>
      <c r="V262" s="23">
        <v>0.96551724137931</v>
      </c>
    </row>
    <row r="263" ht="16.5" spans="1:22">
      <c r="A263" s="16">
        <v>4267</v>
      </c>
      <c r="B263" s="16" t="s">
        <v>805</v>
      </c>
      <c r="C263" s="19">
        <v>33</v>
      </c>
      <c r="D263" s="19">
        <v>52</v>
      </c>
      <c r="E263" s="19">
        <v>99</v>
      </c>
      <c r="F263" s="19">
        <v>81</v>
      </c>
      <c r="G263" s="19">
        <v>68</v>
      </c>
      <c r="H263" s="20">
        <v>3747.47</v>
      </c>
      <c r="I263" s="20">
        <v>5854.48</v>
      </c>
      <c r="J263" s="21">
        <v>11144.37</v>
      </c>
      <c r="K263" s="21">
        <v>9122.25</v>
      </c>
      <c r="L263" s="21">
        <v>7656.53</v>
      </c>
      <c r="M263" s="22">
        <v>10</v>
      </c>
      <c r="N263" s="22">
        <v>5</v>
      </c>
      <c r="O263" s="22">
        <v>6</v>
      </c>
      <c r="P263" s="22">
        <v>13</v>
      </c>
      <c r="Q263" s="22">
        <v>17</v>
      </c>
      <c r="R263" s="17">
        <v>0.767441860465116</v>
      </c>
      <c r="S263" s="17">
        <v>0.912280701754386</v>
      </c>
      <c r="T263" s="17">
        <v>0.942857142857143</v>
      </c>
      <c r="U263" s="17">
        <v>0.861702127659574</v>
      </c>
      <c r="V263" s="23">
        <v>0.8</v>
      </c>
    </row>
    <row r="264" ht="33" spans="1:22">
      <c r="A264" s="16">
        <v>4663</v>
      </c>
      <c r="B264" s="16" t="s">
        <v>806</v>
      </c>
      <c r="C264" s="19">
        <v>17</v>
      </c>
      <c r="D264" s="19">
        <v>12</v>
      </c>
      <c r="E264" s="19">
        <v>24</v>
      </c>
      <c r="F264" s="19">
        <v>20</v>
      </c>
      <c r="G264" s="19">
        <v>18</v>
      </c>
      <c r="H264" s="20">
        <v>2216.48</v>
      </c>
      <c r="I264" s="20">
        <v>1574.97</v>
      </c>
      <c r="J264" s="21">
        <v>3134.89</v>
      </c>
      <c r="K264" s="21">
        <v>2606.9</v>
      </c>
      <c r="L264" s="21">
        <v>2379.93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17">
        <v>1</v>
      </c>
      <c r="S264" s="17">
        <v>1</v>
      </c>
      <c r="T264" s="17">
        <v>1</v>
      </c>
      <c r="U264" s="17">
        <v>1</v>
      </c>
      <c r="V264" s="23">
        <v>1</v>
      </c>
    </row>
    <row r="265" ht="16.5" spans="1:22">
      <c r="A265" s="16">
        <v>4219</v>
      </c>
      <c r="B265" s="16" t="s">
        <v>807</v>
      </c>
      <c r="C265" s="19">
        <v>21</v>
      </c>
      <c r="D265" s="19">
        <v>14</v>
      </c>
      <c r="E265" s="19">
        <v>36</v>
      </c>
      <c r="F265" s="19">
        <v>18</v>
      </c>
      <c r="G265" s="19">
        <v>10</v>
      </c>
      <c r="H265" s="20">
        <v>1356.2</v>
      </c>
      <c r="I265" s="20">
        <v>918.8</v>
      </c>
      <c r="J265" s="21">
        <v>2323.6</v>
      </c>
      <c r="K265" s="21">
        <v>1176</v>
      </c>
      <c r="L265" s="21">
        <v>639.5</v>
      </c>
      <c r="M265" s="22">
        <v>9</v>
      </c>
      <c r="N265" s="22">
        <v>25</v>
      </c>
      <c r="O265" s="22">
        <v>19</v>
      </c>
      <c r="P265" s="22">
        <v>18</v>
      </c>
      <c r="Q265" s="22">
        <v>45</v>
      </c>
      <c r="R265" s="17">
        <v>0.7</v>
      </c>
      <c r="S265" s="17">
        <v>0.358974358974359</v>
      </c>
      <c r="T265" s="17">
        <v>0.654545454545455</v>
      </c>
      <c r="U265" s="17">
        <v>0.5</v>
      </c>
      <c r="V265" s="23">
        <v>0.181818181818182</v>
      </c>
    </row>
    <row r="266" ht="16.5" spans="1:22">
      <c r="A266" s="16">
        <v>4794</v>
      </c>
      <c r="B266" s="16" t="s">
        <v>808</v>
      </c>
      <c r="C266" s="19">
        <v>49</v>
      </c>
      <c r="D266" s="19">
        <v>62</v>
      </c>
      <c r="E266" s="19">
        <v>80</v>
      </c>
      <c r="F266" s="19">
        <v>67</v>
      </c>
      <c r="G266" s="19">
        <v>71</v>
      </c>
      <c r="H266" s="20">
        <v>7957.15</v>
      </c>
      <c r="I266" s="20">
        <v>9952.17</v>
      </c>
      <c r="J266" s="21">
        <v>12766.45</v>
      </c>
      <c r="K266" s="21">
        <v>10771.71</v>
      </c>
      <c r="L266" s="21">
        <v>11310.21</v>
      </c>
      <c r="M266" s="22">
        <v>13</v>
      </c>
      <c r="N266" s="22">
        <v>22</v>
      </c>
      <c r="O266" s="22">
        <v>25</v>
      </c>
      <c r="P266" s="22">
        <v>20</v>
      </c>
      <c r="Q266" s="22">
        <v>34</v>
      </c>
      <c r="R266" s="17">
        <v>0.790322580645161</v>
      </c>
      <c r="S266" s="17">
        <v>0.738095238095238</v>
      </c>
      <c r="T266" s="17">
        <v>0.761904761904762</v>
      </c>
      <c r="U266" s="17">
        <v>0.770114942528736</v>
      </c>
      <c r="V266" s="23">
        <v>0.676190476190476</v>
      </c>
    </row>
    <row r="267" ht="33" spans="1:22">
      <c r="A267" s="16">
        <v>4756</v>
      </c>
      <c r="B267" s="16" t="s">
        <v>809</v>
      </c>
      <c r="C267" s="19">
        <v>5</v>
      </c>
      <c r="D267" s="19">
        <v>7</v>
      </c>
      <c r="E267" s="19">
        <v>9</v>
      </c>
      <c r="F267" s="19">
        <v>7</v>
      </c>
      <c r="G267" s="19">
        <v>1</v>
      </c>
      <c r="H267" s="20">
        <v>429.95</v>
      </c>
      <c r="I267" s="20">
        <v>591.43</v>
      </c>
      <c r="J267" s="21">
        <v>773.91</v>
      </c>
      <c r="K267" s="21">
        <v>601.43</v>
      </c>
      <c r="L267" s="21">
        <v>86.49</v>
      </c>
      <c r="M267" s="22">
        <v>1</v>
      </c>
      <c r="N267" s="22">
        <v>0</v>
      </c>
      <c r="O267" s="22">
        <v>2</v>
      </c>
      <c r="P267" s="22">
        <v>6</v>
      </c>
      <c r="Q267" s="22">
        <v>2</v>
      </c>
      <c r="R267" s="17">
        <v>0.833333333333333</v>
      </c>
      <c r="S267" s="17">
        <v>1</v>
      </c>
      <c r="T267" s="17">
        <v>0.818181818181818</v>
      </c>
      <c r="U267" s="17">
        <v>0.538461538461538</v>
      </c>
      <c r="V267" s="23">
        <v>0.333333333333333</v>
      </c>
    </row>
    <row r="268" ht="33" spans="1:22">
      <c r="A268" s="16">
        <v>3657</v>
      </c>
      <c r="B268" s="16" t="s">
        <v>810</v>
      </c>
      <c r="C268" s="19">
        <v>19</v>
      </c>
      <c r="D268" s="19">
        <v>19</v>
      </c>
      <c r="E268" s="19">
        <v>37</v>
      </c>
      <c r="F268" s="19">
        <v>31</v>
      </c>
      <c r="G268" s="19">
        <v>20</v>
      </c>
      <c r="H268" s="20">
        <v>1320.5</v>
      </c>
      <c r="I268" s="20">
        <v>1318.5</v>
      </c>
      <c r="J268" s="21">
        <v>2568.5</v>
      </c>
      <c r="K268" s="21">
        <v>2147</v>
      </c>
      <c r="L268" s="21">
        <v>1399.42</v>
      </c>
      <c r="M268" s="22">
        <v>6</v>
      </c>
      <c r="N268" s="22">
        <v>4</v>
      </c>
      <c r="O268" s="22">
        <v>4</v>
      </c>
      <c r="P268" s="22">
        <v>1</v>
      </c>
      <c r="Q268" s="22">
        <v>7</v>
      </c>
      <c r="R268" s="17">
        <v>0.76</v>
      </c>
      <c r="S268" s="17">
        <v>0.826086956521739</v>
      </c>
      <c r="T268" s="17">
        <v>0.902439024390244</v>
      </c>
      <c r="U268" s="17">
        <v>0.96875</v>
      </c>
      <c r="V268" s="23">
        <v>0.740740740740741</v>
      </c>
    </row>
    <row r="269" ht="33" spans="1:22">
      <c r="A269" s="16">
        <v>3920</v>
      </c>
      <c r="B269" s="16" t="s">
        <v>811</v>
      </c>
      <c r="C269" s="19">
        <v>40</v>
      </c>
      <c r="D269" s="19">
        <v>44</v>
      </c>
      <c r="E269" s="19">
        <v>55</v>
      </c>
      <c r="F269" s="19">
        <v>68</v>
      </c>
      <c r="G269" s="19">
        <v>38</v>
      </c>
      <c r="H269" s="20">
        <v>3222.6</v>
      </c>
      <c r="I269" s="20">
        <v>3547.5</v>
      </c>
      <c r="J269" s="21">
        <v>4665.95</v>
      </c>
      <c r="K269" s="21">
        <v>6030.69999999999</v>
      </c>
      <c r="L269" s="21">
        <v>3419.12</v>
      </c>
      <c r="M269" s="22">
        <v>17</v>
      </c>
      <c r="N269" s="22">
        <v>10</v>
      </c>
      <c r="O269" s="22">
        <v>5</v>
      </c>
      <c r="P269" s="22">
        <v>22</v>
      </c>
      <c r="Q269" s="22">
        <v>23</v>
      </c>
      <c r="R269" s="17">
        <v>0.701754385964912</v>
      </c>
      <c r="S269" s="17">
        <v>0.814814814814815</v>
      </c>
      <c r="T269" s="17">
        <v>0.916666666666667</v>
      </c>
      <c r="U269" s="17">
        <v>0.755555555555556</v>
      </c>
      <c r="V269" s="23">
        <v>0.622950819672131</v>
      </c>
    </row>
    <row r="270" ht="16.5" spans="1:22">
      <c r="A270" s="16">
        <v>3533</v>
      </c>
      <c r="B270" s="16" t="s">
        <v>812</v>
      </c>
      <c r="C270" s="19">
        <v>10</v>
      </c>
      <c r="D270" s="19">
        <v>12</v>
      </c>
      <c r="E270" s="19">
        <v>15</v>
      </c>
      <c r="F270" s="19">
        <v>11</v>
      </c>
      <c r="G270" s="19">
        <v>11</v>
      </c>
      <c r="H270" s="20">
        <v>1074.5</v>
      </c>
      <c r="I270" s="20">
        <v>1287.01</v>
      </c>
      <c r="J270" s="21">
        <v>1610.48</v>
      </c>
      <c r="K270" s="21">
        <v>1148.25</v>
      </c>
      <c r="L270" s="21">
        <v>1118.98</v>
      </c>
      <c r="M270" s="22">
        <v>0</v>
      </c>
      <c r="N270" s="22">
        <v>0</v>
      </c>
      <c r="O270" s="22">
        <v>0</v>
      </c>
      <c r="P270" s="22">
        <v>1</v>
      </c>
      <c r="Q270" s="22">
        <v>0</v>
      </c>
      <c r="R270" s="17">
        <v>1</v>
      </c>
      <c r="S270" s="17">
        <v>1</v>
      </c>
      <c r="T270" s="17">
        <v>1</v>
      </c>
      <c r="U270" s="17">
        <v>0.916666666666667</v>
      </c>
      <c r="V270" s="23">
        <v>1</v>
      </c>
    </row>
    <row r="271" ht="16.5" spans="1:22">
      <c r="A271" s="16">
        <v>3608</v>
      </c>
      <c r="B271" s="16" t="s">
        <v>813</v>
      </c>
      <c r="C271" s="19">
        <v>5</v>
      </c>
      <c r="D271" s="19">
        <v>12</v>
      </c>
      <c r="E271" s="19">
        <v>16</v>
      </c>
      <c r="F271" s="19">
        <v>14</v>
      </c>
      <c r="G271" s="19">
        <v>11</v>
      </c>
      <c r="H271" s="20">
        <v>539.95</v>
      </c>
      <c r="I271" s="20">
        <v>1261.49</v>
      </c>
      <c r="J271" s="21">
        <v>1696.45</v>
      </c>
      <c r="K271" s="21">
        <v>1470.51</v>
      </c>
      <c r="L271" s="21">
        <v>1184.23</v>
      </c>
      <c r="M271" s="22">
        <v>1</v>
      </c>
      <c r="N271" s="22">
        <v>5</v>
      </c>
      <c r="O271" s="22">
        <v>10</v>
      </c>
      <c r="P271" s="22">
        <v>21</v>
      </c>
      <c r="Q271" s="22">
        <v>13</v>
      </c>
      <c r="R271" s="17">
        <v>0.833333333333333</v>
      </c>
      <c r="S271" s="17">
        <v>0.705882352941177</v>
      </c>
      <c r="T271" s="17">
        <v>0.615384615384615</v>
      </c>
      <c r="U271" s="17">
        <v>0.4</v>
      </c>
      <c r="V271" s="23">
        <v>0.458333333333333</v>
      </c>
    </row>
    <row r="272" ht="33" spans="1:22">
      <c r="A272" s="16">
        <v>3509</v>
      </c>
      <c r="B272" s="16" t="s">
        <v>814</v>
      </c>
      <c r="C272" s="19">
        <v>5</v>
      </c>
      <c r="D272" s="19">
        <v>8</v>
      </c>
      <c r="E272" s="19">
        <v>2</v>
      </c>
      <c r="F272" s="19">
        <v>3</v>
      </c>
      <c r="G272" s="19">
        <v>7</v>
      </c>
      <c r="H272" s="20">
        <v>274.54</v>
      </c>
      <c r="I272" s="20">
        <v>458.4</v>
      </c>
      <c r="J272" s="21">
        <v>116.94</v>
      </c>
      <c r="K272" s="21">
        <v>178.92</v>
      </c>
      <c r="L272" s="21">
        <v>417.48</v>
      </c>
      <c r="M272" s="22">
        <v>1</v>
      </c>
      <c r="N272" s="22">
        <v>2</v>
      </c>
      <c r="O272" s="22">
        <v>4</v>
      </c>
      <c r="P272" s="22">
        <v>0</v>
      </c>
      <c r="Q272" s="22">
        <v>16</v>
      </c>
      <c r="R272" s="17">
        <v>0.833333333333333</v>
      </c>
      <c r="S272" s="17">
        <v>0.8</v>
      </c>
      <c r="T272" s="17">
        <v>0.333333333333333</v>
      </c>
      <c r="U272" s="17">
        <v>1</v>
      </c>
      <c r="V272" s="23">
        <v>0.304347826086957</v>
      </c>
    </row>
    <row r="273" ht="33" spans="1:22">
      <c r="A273" s="16">
        <v>3686</v>
      </c>
      <c r="B273" s="16" t="s">
        <v>815</v>
      </c>
      <c r="C273" s="19">
        <v>11</v>
      </c>
      <c r="D273" s="19">
        <v>21</v>
      </c>
      <c r="E273" s="19">
        <v>20</v>
      </c>
      <c r="F273" s="19">
        <v>22</v>
      </c>
      <c r="G273" s="19">
        <v>14</v>
      </c>
      <c r="H273" s="20">
        <v>1115.77</v>
      </c>
      <c r="I273" s="20">
        <v>2099.62</v>
      </c>
      <c r="J273" s="21">
        <v>1996.8</v>
      </c>
      <c r="K273" s="21">
        <v>2196.78</v>
      </c>
      <c r="L273" s="21">
        <v>1391.86</v>
      </c>
      <c r="M273" s="22">
        <v>0</v>
      </c>
      <c r="N273" s="22">
        <v>1</v>
      </c>
      <c r="O273" s="22">
        <v>1</v>
      </c>
      <c r="P273" s="22">
        <v>0</v>
      </c>
      <c r="Q273" s="22">
        <v>4</v>
      </c>
      <c r="R273" s="17">
        <v>1</v>
      </c>
      <c r="S273" s="17">
        <v>0.954545454545455</v>
      </c>
      <c r="T273" s="17">
        <v>0.952380952380952</v>
      </c>
      <c r="U273" s="17">
        <v>1</v>
      </c>
      <c r="V273" s="23">
        <v>0.777777777777778</v>
      </c>
    </row>
    <row r="274" ht="33" spans="1:22">
      <c r="A274" s="16">
        <v>3687</v>
      </c>
      <c r="B274" s="16" t="s">
        <v>816</v>
      </c>
      <c r="C274" s="19">
        <v>5</v>
      </c>
      <c r="D274" s="19">
        <v>11</v>
      </c>
      <c r="E274" s="19">
        <v>15</v>
      </c>
      <c r="F274" s="19">
        <v>7</v>
      </c>
      <c r="G274" s="19">
        <v>17</v>
      </c>
      <c r="H274" s="20">
        <v>562.87</v>
      </c>
      <c r="I274" s="20">
        <v>1205.89</v>
      </c>
      <c r="J274" s="21">
        <v>1639.35</v>
      </c>
      <c r="K274" s="21">
        <v>763.63</v>
      </c>
      <c r="L274" s="21">
        <v>1840.32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17">
        <v>1</v>
      </c>
      <c r="S274" s="17">
        <v>1</v>
      </c>
      <c r="T274" s="17">
        <v>1</v>
      </c>
      <c r="U274" s="17">
        <v>1</v>
      </c>
      <c r="V274" s="23">
        <v>1</v>
      </c>
    </row>
    <row r="275" ht="16.5" spans="1:22">
      <c r="A275" s="16">
        <v>3760</v>
      </c>
      <c r="B275" s="16" t="s">
        <v>817</v>
      </c>
      <c r="C275" s="19">
        <v>5</v>
      </c>
      <c r="D275" s="19">
        <v>6</v>
      </c>
      <c r="E275" s="19">
        <v>18</v>
      </c>
      <c r="F275" s="19">
        <v>13</v>
      </c>
      <c r="G275" s="19">
        <v>11</v>
      </c>
      <c r="H275" s="20">
        <v>300</v>
      </c>
      <c r="I275" s="20">
        <v>329.94</v>
      </c>
      <c r="J275" s="21">
        <v>1020.07</v>
      </c>
      <c r="K275" s="21">
        <v>752.62</v>
      </c>
      <c r="L275" s="21">
        <v>630.72</v>
      </c>
      <c r="M275" s="22">
        <v>0</v>
      </c>
      <c r="N275" s="22">
        <v>3</v>
      </c>
      <c r="O275" s="22">
        <v>8</v>
      </c>
      <c r="P275" s="22">
        <v>3</v>
      </c>
      <c r="Q275" s="22">
        <v>8</v>
      </c>
      <c r="R275" s="17">
        <v>1</v>
      </c>
      <c r="S275" s="17">
        <v>0.666666666666667</v>
      </c>
      <c r="T275" s="17">
        <v>0.692307692307692</v>
      </c>
      <c r="U275" s="17">
        <v>0.8125</v>
      </c>
      <c r="V275" s="23">
        <v>0.578947368421053</v>
      </c>
    </row>
    <row r="276" ht="33" spans="1:22">
      <c r="A276" s="16">
        <v>3646</v>
      </c>
      <c r="B276" s="16" t="s">
        <v>818</v>
      </c>
      <c r="C276" s="19">
        <v>30</v>
      </c>
      <c r="D276" s="19">
        <v>27</v>
      </c>
      <c r="E276" s="19">
        <v>44</v>
      </c>
      <c r="F276" s="19">
        <v>33</v>
      </c>
      <c r="G276" s="19">
        <v>29</v>
      </c>
      <c r="H276" s="20">
        <v>2411.65</v>
      </c>
      <c r="I276" s="20">
        <v>2155.5</v>
      </c>
      <c r="J276" s="21">
        <v>3513.6</v>
      </c>
      <c r="K276" s="21">
        <v>2636.69</v>
      </c>
      <c r="L276" s="21">
        <v>2315.53</v>
      </c>
      <c r="M276" s="22">
        <v>19</v>
      </c>
      <c r="N276" s="22">
        <v>11</v>
      </c>
      <c r="O276" s="22">
        <v>10</v>
      </c>
      <c r="P276" s="22">
        <v>12</v>
      </c>
      <c r="Q276" s="22">
        <v>22</v>
      </c>
      <c r="R276" s="17">
        <v>0.612244897959184</v>
      </c>
      <c r="S276" s="17">
        <v>0.710526315789474</v>
      </c>
      <c r="T276" s="17">
        <v>0.814814814814815</v>
      </c>
      <c r="U276" s="17">
        <v>0.733333333333333</v>
      </c>
      <c r="V276" s="23">
        <v>0.568627450980392</v>
      </c>
    </row>
    <row r="277" ht="33" spans="1:22">
      <c r="A277" s="16">
        <v>3713</v>
      </c>
      <c r="B277" s="16" t="s">
        <v>819</v>
      </c>
      <c r="C277" s="19">
        <v>2</v>
      </c>
      <c r="D277" s="19">
        <v>16</v>
      </c>
      <c r="E277" s="19">
        <v>7</v>
      </c>
      <c r="F277" s="19">
        <v>3</v>
      </c>
      <c r="G277" s="19">
        <v>3</v>
      </c>
      <c r="H277" s="20">
        <v>128.98</v>
      </c>
      <c r="I277" s="20">
        <v>1055.84</v>
      </c>
      <c r="J277" s="21">
        <v>497.33</v>
      </c>
      <c r="K277" s="21">
        <v>233.97</v>
      </c>
      <c r="L277" s="21">
        <v>233.97</v>
      </c>
      <c r="M277" s="22">
        <v>13</v>
      </c>
      <c r="N277" s="22">
        <v>15</v>
      </c>
      <c r="O277" s="22">
        <v>17</v>
      </c>
      <c r="P277" s="22">
        <v>23</v>
      </c>
      <c r="Q277" s="22">
        <v>23</v>
      </c>
      <c r="R277" s="17">
        <v>0.133333333333333</v>
      </c>
      <c r="S277" s="17">
        <v>0.516129032258065</v>
      </c>
      <c r="T277" s="17">
        <v>0.291666666666667</v>
      </c>
      <c r="U277" s="17">
        <v>0.115384615384615</v>
      </c>
      <c r="V277" s="23">
        <v>0.115384615384615</v>
      </c>
    </row>
    <row r="278" ht="33" spans="1:22">
      <c r="A278" s="16">
        <v>3714</v>
      </c>
      <c r="B278" s="16" t="s">
        <v>820</v>
      </c>
      <c r="C278" s="19">
        <v>16</v>
      </c>
      <c r="D278" s="19">
        <v>12</v>
      </c>
      <c r="E278" s="19">
        <v>26</v>
      </c>
      <c r="F278" s="19">
        <v>14</v>
      </c>
      <c r="G278" s="19">
        <v>13</v>
      </c>
      <c r="H278" s="20">
        <v>1078.2</v>
      </c>
      <c r="I278" s="20">
        <v>827.4</v>
      </c>
      <c r="J278" s="21">
        <v>1792.2</v>
      </c>
      <c r="K278" s="21">
        <v>961.35</v>
      </c>
      <c r="L278" s="21">
        <v>871.37</v>
      </c>
      <c r="M278" s="22">
        <v>15</v>
      </c>
      <c r="N278" s="22">
        <v>25</v>
      </c>
      <c r="O278" s="22">
        <v>31</v>
      </c>
      <c r="P278" s="22">
        <v>24</v>
      </c>
      <c r="Q278" s="22">
        <v>33</v>
      </c>
      <c r="R278" s="17">
        <v>0.516129032258065</v>
      </c>
      <c r="S278" s="17">
        <v>0.324324324324324</v>
      </c>
      <c r="T278" s="17">
        <v>0.456140350877193</v>
      </c>
      <c r="U278" s="17">
        <v>0.368421052631579</v>
      </c>
      <c r="V278" s="23">
        <v>0.282608695652174</v>
      </c>
    </row>
    <row r="279" ht="16.5" spans="1:22">
      <c r="A279" s="16">
        <v>4534</v>
      </c>
      <c r="B279" s="16" t="s">
        <v>821</v>
      </c>
      <c r="C279" s="19">
        <v>4</v>
      </c>
      <c r="D279" s="19">
        <v>8</v>
      </c>
      <c r="E279" s="19">
        <v>4</v>
      </c>
      <c r="F279" s="19">
        <v>5</v>
      </c>
      <c r="G279" s="19">
        <v>1</v>
      </c>
      <c r="H279" s="20">
        <v>360</v>
      </c>
      <c r="I279" s="20">
        <v>666</v>
      </c>
      <c r="J279" s="21">
        <v>338.48</v>
      </c>
      <c r="K279" s="21">
        <v>430.45</v>
      </c>
      <c r="L279" s="21">
        <v>89.99</v>
      </c>
      <c r="M279" s="22">
        <v>0</v>
      </c>
      <c r="N279" s="22">
        <v>2</v>
      </c>
      <c r="O279" s="22">
        <v>1</v>
      </c>
      <c r="P279" s="22">
        <v>2</v>
      </c>
      <c r="Q279" s="22">
        <v>0</v>
      </c>
      <c r="R279" s="17">
        <v>1</v>
      </c>
      <c r="S279" s="17">
        <v>0.8</v>
      </c>
      <c r="T279" s="17">
        <v>0.8</v>
      </c>
      <c r="U279" s="17">
        <v>0.714285714285714</v>
      </c>
      <c r="V279" s="23">
        <v>1</v>
      </c>
    </row>
    <row r="280" ht="33" spans="1:22">
      <c r="A280" s="16">
        <v>3766</v>
      </c>
      <c r="B280" s="16" t="s">
        <v>822</v>
      </c>
      <c r="C280" s="19">
        <v>12</v>
      </c>
      <c r="D280" s="19">
        <v>11</v>
      </c>
      <c r="E280" s="19">
        <v>30</v>
      </c>
      <c r="F280" s="19">
        <v>18</v>
      </c>
      <c r="G280" s="19">
        <v>24</v>
      </c>
      <c r="H280" s="20">
        <v>1301.35</v>
      </c>
      <c r="I280" s="20">
        <v>1177.9</v>
      </c>
      <c r="J280" s="21">
        <v>3231.03</v>
      </c>
      <c r="K280" s="21">
        <v>1994</v>
      </c>
      <c r="L280" s="21">
        <v>2658.63</v>
      </c>
      <c r="M280" s="22">
        <v>1</v>
      </c>
      <c r="N280" s="22">
        <v>3</v>
      </c>
      <c r="O280" s="22">
        <v>1</v>
      </c>
      <c r="P280" s="22">
        <v>0</v>
      </c>
      <c r="Q280" s="22">
        <v>3</v>
      </c>
      <c r="R280" s="17">
        <v>0.923076923076923</v>
      </c>
      <c r="S280" s="17">
        <v>0.785714285714286</v>
      </c>
      <c r="T280" s="17">
        <v>0.967741935483871</v>
      </c>
      <c r="U280" s="17">
        <v>1</v>
      </c>
      <c r="V280" s="23">
        <v>0.888888888888889</v>
      </c>
    </row>
    <row r="281" ht="33" spans="1:22">
      <c r="A281" s="16">
        <v>4088</v>
      </c>
      <c r="B281" s="16" t="s">
        <v>823</v>
      </c>
      <c r="C281" s="19">
        <v>10</v>
      </c>
      <c r="D281" s="19">
        <v>7</v>
      </c>
      <c r="E281" s="19">
        <v>5</v>
      </c>
      <c r="F281" s="19">
        <v>4</v>
      </c>
      <c r="G281" s="19">
        <v>7</v>
      </c>
      <c r="H281" s="20">
        <v>670</v>
      </c>
      <c r="I281" s="20">
        <v>469</v>
      </c>
      <c r="J281" s="21">
        <v>335</v>
      </c>
      <c r="K281" s="21">
        <v>268</v>
      </c>
      <c r="L281" s="21">
        <v>466.19</v>
      </c>
      <c r="M281" s="22">
        <v>1</v>
      </c>
      <c r="N281" s="22">
        <v>1</v>
      </c>
      <c r="O281" s="22">
        <v>2</v>
      </c>
      <c r="P281" s="22">
        <v>6</v>
      </c>
      <c r="Q281" s="22">
        <v>20</v>
      </c>
      <c r="R281" s="17">
        <v>0.909090909090909</v>
      </c>
      <c r="S281" s="17">
        <v>0.875</v>
      </c>
      <c r="T281" s="17">
        <v>0.714285714285714</v>
      </c>
      <c r="U281" s="17">
        <v>0.4</v>
      </c>
      <c r="V281" s="23">
        <v>0.259259259259259</v>
      </c>
    </row>
    <row r="282" ht="33" spans="1:22">
      <c r="A282" s="16">
        <v>3834</v>
      </c>
      <c r="B282" s="16" t="s">
        <v>824</v>
      </c>
      <c r="C282" s="19">
        <v>15</v>
      </c>
      <c r="D282" s="19">
        <v>10</v>
      </c>
      <c r="E282" s="19">
        <v>14</v>
      </c>
      <c r="F282" s="19">
        <v>8</v>
      </c>
      <c r="G282" s="19">
        <v>12</v>
      </c>
      <c r="H282" s="20">
        <v>1648.5</v>
      </c>
      <c r="I282" s="20">
        <v>1099</v>
      </c>
      <c r="J282" s="21">
        <v>1538.6</v>
      </c>
      <c r="K282" s="21">
        <v>873.71</v>
      </c>
      <c r="L282" s="21">
        <v>1318.8</v>
      </c>
      <c r="M282" s="22">
        <v>0</v>
      </c>
      <c r="N282" s="22">
        <v>1</v>
      </c>
      <c r="O282" s="22">
        <v>0</v>
      </c>
      <c r="P282" s="22">
        <v>1</v>
      </c>
      <c r="Q282" s="22">
        <v>0</v>
      </c>
      <c r="R282" s="17">
        <v>1</v>
      </c>
      <c r="S282" s="17">
        <v>0.909090909090909</v>
      </c>
      <c r="T282" s="17">
        <v>1</v>
      </c>
      <c r="U282" s="17">
        <v>0.888888888888889</v>
      </c>
      <c r="V282" s="23">
        <v>1</v>
      </c>
    </row>
    <row r="283" ht="33" spans="1:22">
      <c r="A283" s="16">
        <v>3555</v>
      </c>
      <c r="B283" s="16" t="s">
        <v>825</v>
      </c>
      <c r="C283" s="19">
        <v>17</v>
      </c>
      <c r="D283" s="19">
        <v>5</v>
      </c>
      <c r="E283" s="19">
        <v>15</v>
      </c>
      <c r="F283" s="19">
        <v>27</v>
      </c>
      <c r="G283" s="19">
        <v>15</v>
      </c>
      <c r="H283" s="20">
        <v>1019.83</v>
      </c>
      <c r="I283" s="20">
        <v>298.95</v>
      </c>
      <c r="J283" s="21">
        <v>895.35</v>
      </c>
      <c r="K283" s="21">
        <v>1607.73</v>
      </c>
      <c r="L283" s="21">
        <v>884.45</v>
      </c>
      <c r="M283" s="22">
        <v>14</v>
      </c>
      <c r="N283" s="22">
        <v>12</v>
      </c>
      <c r="O283" s="22">
        <v>14</v>
      </c>
      <c r="P283" s="22">
        <v>8</v>
      </c>
      <c r="Q283" s="22">
        <v>17</v>
      </c>
      <c r="R283" s="17">
        <v>0.548387096774194</v>
      </c>
      <c r="S283" s="17">
        <v>0.294117647058824</v>
      </c>
      <c r="T283" s="17">
        <v>0.517241379310345</v>
      </c>
      <c r="U283" s="17">
        <v>0.771428571428571</v>
      </c>
      <c r="V283" s="23">
        <v>0.46875</v>
      </c>
    </row>
    <row r="284" ht="33" spans="1:22">
      <c r="A284" s="16">
        <v>3510</v>
      </c>
      <c r="B284" s="16" t="s">
        <v>826</v>
      </c>
      <c r="C284" s="19">
        <v>20</v>
      </c>
      <c r="D284" s="19">
        <v>17</v>
      </c>
      <c r="E284" s="19">
        <v>31</v>
      </c>
      <c r="F284" s="19">
        <v>23</v>
      </c>
      <c r="G284" s="19">
        <v>31</v>
      </c>
      <c r="H284" s="20">
        <v>1178.29</v>
      </c>
      <c r="I284" s="20">
        <v>983.15</v>
      </c>
      <c r="J284" s="21">
        <v>1790.01</v>
      </c>
      <c r="K284" s="21">
        <v>1327.14</v>
      </c>
      <c r="L284" s="21">
        <v>1751.99</v>
      </c>
      <c r="M284" s="22">
        <v>16</v>
      </c>
      <c r="N284" s="22">
        <v>25</v>
      </c>
      <c r="O284" s="22">
        <v>34</v>
      </c>
      <c r="P284" s="22">
        <v>42</v>
      </c>
      <c r="Q284" s="22">
        <v>33</v>
      </c>
      <c r="R284" s="17">
        <v>0.555555555555556</v>
      </c>
      <c r="S284" s="17">
        <v>0.404761904761905</v>
      </c>
      <c r="T284" s="17">
        <v>0.476923076923077</v>
      </c>
      <c r="U284" s="17">
        <v>0.353846153846154</v>
      </c>
      <c r="V284" s="23">
        <v>0.484375</v>
      </c>
    </row>
    <row r="285" ht="33" spans="1:22">
      <c r="A285" s="16">
        <v>3845</v>
      </c>
      <c r="B285" s="16" t="s">
        <v>827</v>
      </c>
      <c r="C285" s="19">
        <v>9</v>
      </c>
      <c r="D285" s="19">
        <v>12</v>
      </c>
      <c r="E285" s="19">
        <v>18</v>
      </c>
      <c r="F285" s="19">
        <v>21</v>
      </c>
      <c r="G285" s="19">
        <v>9</v>
      </c>
      <c r="H285" s="20">
        <v>643.5</v>
      </c>
      <c r="I285" s="20">
        <v>858</v>
      </c>
      <c r="J285" s="21">
        <v>1315</v>
      </c>
      <c r="K285" s="21">
        <v>1545.5</v>
      </c>
      <c r="L285" s="21">
        <v>661.5</v>
      </c>
      <c r="M285" s="22">
        <v>3</v>
      </c>
      <c r="N285" s="22">
        <v>9</v>
      </c>
      <c r="O285" s="22">
        <v>13</v>
      </c>
      <c r="P285" s="22">
        <v>19</v>
      </c>
      <c r="Q285" s="22">
        <v>3</v>
      </c>
      <c r="R285" s="17">
        <v>0.75</v>
      </c>
      <c r="S285" s="17">
        <v>0.571428571428571</v>
      </c>
      <c r="T285" s="17">
        <v>0.580645161290323</v>
      </c>
      <c r="U285" s="17">
        <v>0.525</v>
      </c>
      <c r="V285" s="23">
        <v>0.75</v>
      </c>
    </row>
    <row r="286" ht="33" spans="1:22">
      <c r="A286" s="16">
        <v>4675</v>
      </c>
      <c r="B286" s="16" t="s">
        <v>828</v>
      </c>
      <c r="C286" s="19">
        <v>4</v>
      </c>
      <c r="D286" s="19">
        <v>8</v>
      </c>
      <c r="E286" s="19">
        <v>7</v>
      </c>
      <c r="F286" s="19">
        <v>6</v>
      </c>
      <c r="G286" s="19">
        <v>7</v>
      </c>
      <c r="H286" s="20">
        <v>549.26</v>
      </c>
      <c r="I286" s="20">
        <v>1059.54</v>
      </c>
      <c r="J286" s="21">
        <v>959.63</v>
      </c>
      <c r="K286" s="21">
        <v>815.45</v>
      </c>
      <c r="L286" s="21">
        <v>958.91</v>
      </c>
      <c r="M286" s="22">
        <v>0</v>
      </c>
      <c r="N286" s="22">
        <v>2</v>
      </c>
      <c r="O286" s="22">
        <v>2</v>
      </c>
      <c r="P286" s="22">
        <v>0</v>
      </c>
      <c r="Q286" s="22">
        <v>0</v>
      </c>
      <c r="R286" s="17">
        <v>1</v>
      </c>
      <c r="S286" s="17">
        <v>0.8</v>
      </c>
      <c r="T286" s="17">
        <v>0.777777777777778</v>
      </c>
      <c r="U286" s="17">
        <v>1</v>
      </c>
      <c r="V286" s="23">
        <v>1</v>
      </c>
    </row>
    <row r="287" ht="16.5" spans="1:22">
      <c r="A287" s="16">
        <v>3846</v>
      </c>
      <c r="B287" s="16" t="s">
        <v>829</v>
      </c>
      <c r="C287" s="19">
        <v>18</v>
      </c>
      <c r="D287" s="19">
        <v>15</v>
      </c>
      <c r="E287" s="19">
        <v>16</v>
      </c>
      <c r="F287" s="19">
        <v>22</v>
      </c>
      <c r="G287" s="19">
        <v>19</v>
      </c>
      <c r="H287" s="20">
        <v>1962.96</v>
      </c>
      <c r="I287" s="20">
        <v>1670.12</v>
      </c>
      <c r="J287" s="21">
        <v>1762.38</v>
      </c>
      <c r="K287" s="21">
        <v>2455.89</v>
      </c>
      <c r="L287" s="21">
        <v>2132.96</v>
      </c>
      <c r="M287" s="22">
        <v>0</v>
      </c>
      <c r="N287" s="22">
        <v>3</v>
      </c>
      <c r="O287" s="22">
        <v>6</v>
      </c>
      <c r="P287" s="22">
        <v>2</v>
      </c>
      <c r="Q287" s="22">
        <v>6</v>
      </c>
      <c r="R287" s="17">
        <v>1</v>
      </c>
      <c r="S287" s="17">
        <v>0.833333333333333</v>
      </c>
      <c r="T287" s="17">
        <v>0.727272727272727</v>
      </c>
      <c r="U287" s="17">
        <v>0.916666666666667</v>
      </c>
      <c r="V287" s="23">
        <v>0.76</v>
      </c>
    </row>
    <row r="288" ht="16.5" spans="1:22">
      <c r="A288" s="16">
        <v>4166</v>
      </c>
      <c r="B288" s="16" t="s">
        <v>830</v>
      </c>
      <c r="C288" s="19">
        <v>15</v>
      </c>
      <c r="D288" s="19">
        <v>10</v>
      </c>
      <c r="E288" s="19">
        <v>9</v>
      </c>
      <c r="F288" s="19">
        <v>11</v>
      </c>
      <c r="G288" s="19">
        <v>9</v>
      </c>
      <c r="H288" s="20">
        <v>1284.24</v>
      </c>
      <c r="I288" s="20">
        <v>856.7</v>
      </c>
      <c r="J288" s="21">
        <v>770.53</v>
      </c>
      <c r="K288" s="21">
        <v>939.87</v>
      </c>
      <c r="L288" s="21">
        <v>761.48</v>
      </c>
      <c r="M288" s="22">
        <v>9</v>
      </c>
      <c r="N288" s="22">
        <v>12</v>
      </c>
      <c r="O288" s="22">
        <v>16</v>
      </c>
      <c r="P288" s="22">
        <v>9</v>
      </c>
      <c r="Q288" s="22">
        <v>6</v>
      </c>
      <c r="R288" s="17">
        <v>0.625</v>
      </c>
      <c r="S288" s="17">
        <v>0.454545454545455</v>
      </c>
      <c r="T288" s="17">
        <v>0.36</v>
      </c>
      <c r="U288" s="17">
        <v>0.55</v>
      </c>
      <c r="V288" s="23">
        <v>0.6</v>
      </c>
    </row>
    <row r="289" ht="16.5" spans="1:22">
      <c r="A289" s="16">
        <v>3630</v>
      </c>
      <c r="B289" s="16" t="e">
        <v>#N/A</v>
      </c>
      <c r="C289" s="19">
        <v>11</v>
      </c>
      <c r="D289" s="19">
        <v>4</v>
      </c>
      <c r="E289" s="19">
        <v>0</v>
      </c>
      <c r="F289" s="19">
        <v>0</v>
      </c>
      <c r="G289" s="19">
        <v>0</v>
      </c>
      <c r="H289" s="20">
        <v>869</v>
      </c>
      <c r="I289" s="20">
        <v>315</v>
      </c>
      <c r="J289" s="21">
        <v>0</v>
      </c>
      <c r="K289" s="21">
        <v>0</v>
      </c>
      <c r="L289" s="21">
        <v>0</v>
      </c>
      <c r="M289" s="22">
        <v>0</v>
      </c>
      <c r="N289" s="22">
        <v>0</v>
      </c>
      <c r="O289" s="22">
        <v>0</v>
      </c>
      <c r="P289" s="22">
        <v>0</v>
      </c>
      <c r="Q289" s="22" t="e">
        <v>#N/A</v>
      </c>
      <c r="R289" s="17">
        <v>1</v>
      </c>
      <c r="S289" s="17">
        <v>1</v>
      </c>
      <c r="T289" s="17">
        <v>0</v>
      </c>
      <c r="U289" s="17">
        <v>0</v>
      </c>
      <c r="V289" s="23" t="e">
        <v>#N/A</v>
      </c>
    </row>
    <row r="290" ht="33" spans="1:22">
      <c r="A290" s="16">
        <v>4091</v>
      </c>
      <c r="B290" s="16" t="s">
        <v>831</v>
      </c>
      <c r="C290" s="19">
        <v>6</v>
      </c>
      <c r="D290" s="19">
        <v>1</v>
      </c>
      <c r="E290" s="19">
        <v>8</v>
      </c>
      <c r="F290" s="19">
        <v>5</v>
      </c>
      <c r="G290" s="19">
        <v>3</v>
      </c>
      <c r="H290" s="20">
        <v>643.94</v>
      </c>
      <c r="I290" s="20">
        <v>98.99</v>
      </c>
      <c r="J290" s="21">
        <v>816.67</v>
      </c>
      <c r="K290" s="21">
        <v>520.7</v>
      </c>
      <c r="L290" s="21">
        <v>312.82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17">
        <v>1</v>
      </c>
      <c r="S290" s="17">
        <v>1</v>
      </c>
      <c r="T290" s="17">
        <v>1</v>
      </c>
      <c r="U290" s="17">
        <v>1</v>
      </c>
      <c r="V290" s="23">
        <v>1</v>
      </c>
    </row>
    <row r="291" ht="33" spans="1:22">
      <c r="A291" s="16">
        <v>3785</v>
      </c>
      <c r="B291" s="16" t="s">
        <v>832</v>
      </c>
      <c r="C291" s="19">
        <v>8</v>
      </c>
      <c r="D291" s="19">
        <v>8</v>
      </c>
      <c r="E291" s="19">
        <v>5</v>
      </c>
      <c r="F291" s="19">
        <v>4</v>
      </c>
      <c r="G291" s="19">
        <v>7</v>
      </c>
      <c r="H291" s="20">
        <v>854.13</v>
      </c>
      <c r="I291" s="20">
        <v>751.23</v>
      </c>
      <c r="J291" s="21">
        <v>520.05</v>
      </c>
      <c r="K291" s="21">
        <v>437.64</v>
      </c>
      <c r="L291" s="21">
        <v>765.87</v>
      </c>
      <c r="M291" s="22">
        <v>5</v>
      </c>
      <c r="N291" s="22">
        <v>3</v>
      </c>
      <c r="O291" s="22">
        <v>6</v>
      </c>
      <c r="P291" s="22">
        <v>8</v>
      </c>
      <c r="Q291" s="22">
        <v>10</v>
      </c>
      <c r="R291" s="17">
        <v>0.615384615384615</v>
      </c>
      <c r="S291" s="17">
        <v>0.727272727272727</v>
      </c>
      <c r="T291" s="17">
        <v>0.454545454545455</v>
      </c>
      <c r="U291" s="17">
        <v>0.333333333333333</v>
      </c>
      <c r="V291" s="23">
        <v>0.411764705882353</v>
      </c>
    </row>
    <row r="292" ht="16.5" spans="1:22">
      <c r="A292" s="16">
        <v>3652</v>
      </c>
      <c r="B292" s="16" t="e">
        <v>#N/A</v>
      </c>
      <c r="C292" s="19">
        <v>1</v>
      </c>
      <c r="D292" s="19">
        <v>2</v>
      </c>
      <c r="E292" s="19">
        <v>0</v>
      </c>
      <c r="F292" s="19">
        <v>0</v>
      </c>
      <c r="G292" s="19">
        <v>0</v>
      </c>
      <c r="H292" s="20">
        <v>131</v>
      </c>
      <c r="I292" s="20">
        <v>255.45</v>
      </c>
      <c r="J292" s="21">
        <v>0</v>
      </c>
      <c r="K292" s="21">
        <v>0</v>
      </c>
      <c r="L292" s="21">
        <v>0</v>
      </c>
      <c r="M292" s="22">
        <v>0</v>
      </c>
      <c r="N292" s="22">
        <v>0</v>
      </c>
      <c r="O292" s="22">
        <v>0</v>
      </c>
      <c r="P292" s="22">
        <v>0</v>
      </c>
      <c r="Q292" s="22" t="e">
        <v>#N/A</v>
      </c>
      <c r="R292" s="17">
        <v>1</v>
      </c>
      <c r="S292" s="17">
        <v>1</v>
      </c>
      <c r="T292" s="17">
        <v>0</v>
      </c>
      <c r="U292" s="17">
        <v>0</v>
      </c>
      <c r="V292" s="23" t="e">
        <v>#N/A</v>
      </c>
    </row>
    <row r="293" ht="16.5" spans="1:22">
      <c r="A293" s="16">
        <v>4094</v>
      </c>
      <c r="B293" s="16" t="s">
        <v>833</v>
      </c>
      <c r="C293" s="19">
        <v>3</v>
      </c>
      <c r="D293" s="19">
        <v>6</v>
      </c>
      <c r="E293" s="19">
        <v>9</v>
      </c>
      <c r="F293" s="19">
        <v>8</v>
      </c>
      <c r="G293" s="19">
        <v>3</v>
      </c>
      <c r="H293" s="20">
        <v>384</v>
      </c>
      <c r="I293" s="20">
        <v>768</v>
      </c>
      <c r="J293" s="21">
        <v>1151</v>
      </c>
      <c r="K293" s="21">
        <v>1020</v>
      </c>
      <c r="L293" s="21">
        <v>378.88</v>
      </c>
      <c r="M293" s="22">
        <v>0</v>
      </c>
      <c r="N293" s="22">
        <v>0</v>
      </c>
      <c r="O293" s="22">
        <v>0</v>
      </c>
      <c r="P293" s="22">
        <v>0</v>
      </c>
      <c r="Q293" s="22">
        <v>4</v>
      </c>
      <c r="R293" s="17">
        <v>1</v>
      </c>
      <c r="S293" s="17">
        <v>1</v>
      </c>
      <c r="T293" s="17">
        <v>1</v>
      </c>
      <c r="U293" s="17">
        <v>1</v>
      </c>
      <c r="V293" s="23">
        <v>0.428571428571429</v>
      </c>
    </row>
    <row r="294" ht="33" spans="1:22">
      <c r="A294" s="16">
        <v>4148</v>
      </c>
      <c r="B294" s="16" t="s">
        <v>834</v>
      </c>
      <c r="C294" s="19">
        <v>11</v>
      </c>
      <c r="D294" s="19">
        <v>16</v>
      </c>
      <c r="E294" s="19">
        <v>17</v>
      </c>
      <c r="F294" s="19">
        <v>3</v>
      </c>
      <c r="G294" s="19">
        <v>7</v>
      </c>
      <c r="H294" s="20">
        <v>725.89</v>
      </c>
      <c r="I294" s="20">
        <v>1055.84</v>
      </c>
      <c r="J294" s="21">
        <v>1185.56</v>
      </c>
      <c r="K294" s="21">
        <v>217.04</v>
      </c>
      <c r="L294" s="21">
        <v>509.08</v>
      </c>
      <c r="M294" s="22">
        <v>8</v>
      </c>
      <c r="N294" s="22">
        <v>10</v>
      </c>
      <c r="O294" s="22">
        <v>21</v>
      </c>
      <c r="P294" s="22">
        <v>18</v>
      </c>
      <c r="Q294" s="22">
        <v>14</v>
      </c>
      <c r="R294" s="17">
        <v>0.578947368421053</v>
      </c>
      <c r="S294" s="17">
        <v>0.615384615384615</v>
      </c>
      <c r="T294" s="17">
        <v>0.447368421052632</v>
      </c>
      <c r="U294" s="17">
        <v>0.142857142857143</v>
      </c>
      <c r="V294" s="23">
        <v>0.333333333333333</v>
      </c>
    </row>
    <row r="295" ht="33" spans="1:22">
      <c r="A295" s="16">
        <v>3715</v>
      </c>
      <c r="B295" s="16" t="s">
        <v>835</v>
      </c>
      <c r="C295" s="19">
        <v>14</v>
      </c>
      <c r="D295" s="19">
        <v>25</v>
      </c>
      <c r="E295" s="19">
        <v>36</v>
      </c>
      <c r="F295" s="19">
        <v>31</v>
      </c>
      <c r="G295" s="19">
        <v>19</v>
      </c>
      <c r="H295" s="20">
        <v>534.01</v>
      </c>
      <c r="I295" s="20">
        <v>947.75</v>
      </c>
      <c r="J295" s="21">
        <v>1376.24</v>
      </c>
      <c r="K295" s="21">
        <v>1191.69</v>
      </c>
      <c r="L295" s="21">
        <v>730.19</v>
      </c>
      <c r="M295" s="22">
        <v>34</v>
      </c>
      <c r="N295" s="22">
        <v>18</v>
      </c>
      <c r="O295" s="22">
        <v>28</v>
      </c>
      <c r="P295" s="22">
        <v>18</v>
      </c>
      <c r="Q295" s="22">
        <v>30</v>
      </c>
      <c r="R295" s="17">
        <v>0.291666666666667</v>
      </c>
      <c r="S295" s="17">
        <v>0.581395348837209</v>
      </c>
      <c r="T295" s="17">
        <v>0.5625</v>
      </c>
      <c r="U295" s="17">
        <v>0.63265306122449</v>
      </c>
      <c r="V295" s="23">
        <v>0.387755102040816</v>
      </c>
    </row>
    <row r="296" ht="16.5" spans="1:22">
      <c r="A296" s="16">
        <v>5598</v>
      </c>
      <c r="B296" s="16" t="s">
        <v>836</v>
      </c>
      <c r="C296" s="19">
        <v>5</v>
      </c>
      <c r="D296" s="19">
        <v>4</v>
      </c>
      <c r="E296" s="19">
        <v>8</v>
      </c>
      <c r="F296" s="19">
        <v>4</v>
      </c>
      <c r="G296" s="19">
        <v>6</v>
      </c>
      <c r="H296" s="20">
        <v>840</v>
      </c>
      <c r="I296" s="20">
        <v>672</v>
      </c>
      <c r="J296" s="21">
        <v>1345.2</v>
      </c>
      <c r="K296" s="21">
        <v>673.2</v>
      </c>
      <c r="L296" s="21">
        <v>990.67</v>
      </c>
      <c r="M296" s="22">
        <v>1</v>
      </c>
      <c r="N296" s="22">
        <v>0</v>
      </c>
      <c r="O296" s="22">
        <v>1</v>
      </c>
      <c r="P296" s="22">
        <v>0</v>
      </c>
      <c r="Q296" s="22">
        <v>5</v>
      </c>
      <c r="R296" s="17">
        <v>0.833333333333333</v>
      </c>
      <c r="S296" s="17">
        <v>1</v>
      </c>
      <c r="T296" s="17">
        <v>0.888888888888889</v>
      </c>
      <c r="U296" s="17">
        <v>1</v>
      </c>
      <c r="V296" s="23">
        <v>0.545454545454545</v>
      </c>
    </row>
    <row r="297" ht="33" spans="1:22">
      <c r="A297" s="16">
        <v>3876</v>
      </c>
      <c r="B297" s="16" t="s">
        <v>837</v>
      </c>
      <c r="C297" s="19">
        <v>20</v>
      </c>
      <c r="D297" s="19">
        <v>36</v>
      </c>
      <c r="E297" s="19">
        <v>45</v>
      </c>
      <c r="F297" s="19">
        <v>24</v>
      </c>
      <c r="G297" s="19">
        <v>12</v>
      </c>
      <c r="H297" s="20">
        <v>687.8</v>
      </c>
      <c r="I297" s="20">
        <v>1235.64</v>
      </c>
      <c r="J297" s="21">
        <v>1599.55</v>
      </c>
      <c r="K297" s="21">
        <v>874.76</v>
      </c>
      <c r="L297" s="21">
        <v>435.78</v>
      </c>
      <c r="M297" s="22">
        <v>18</v>
      </c>
      <c r="N297" s="22">
        <v>25</v>
      </c>
      <c r="O297" s="22">
        <v>36</v>
      </c>
      <c r="P297" s="22">
        <v>19</v>
      </c>
      <c r="Q297" s="22">
        <v>46</v>
      </c>
      <c r="R297" s="17">
        <v>0.526315789473684</v>
      </c>
      <c r="S297" s="17">
        <v>0.590163934426229</v>
      </c>
      <c r="T297" s="17">
        <v>0.555555555555556</v>
      </c>
      <c r="U297" s="17">
        <v>0.558139534883721</v>
      </c>
      <c r="V297" s="23">
        <v>0.206896551724138</v>
      </c>
    </row>
    <row r="298" ht="16.5" spans="1:22">
      <c r="A298" s="16">
        <v>4351</v>
      </c>
      <c r="B298" s="16" t="e">
        <v>#N/A</v>
      </c>
      <c r="C298" s="19">
        <v>3</v>
      </c>
      <c r="D298" s="19">
        <v>7</v>
      </c>
      <c r="E298" s="19">
        <v>0</v>
      </c>
      <c r="F298" s="19">
        <v>0</v>
      </c>
      <c r="G298" s="19">
        <v>0</v>
      </c>
      <c r="H298" s="20">
        <v>154.49</v>
      </c>
      <c r="I298" s="20">
        <v>335.43</v>
      </c>
      <c r="J298" s="21">
        <v>0</v>
      </c>
      <c r="K298" s="21">
        <v>0</v>
      </c>
      <c r="L298" s="21">
        <v>0</v>
      </c>
      <c r="M298" s="22">
        <v>0</v>
      </c>
      <c r="N298" s="22">
        <v>0</v>
      </c>
      <c r="O298" s="22">
        <v>1</v>
      </c>
      <c r="P298" s="22">
        <v>0</v>
      </c>
      <c r="Q298" s="22" t="e">
        <v>#N/A</v>
      </c>
      <c r="R298" s="17">
        <v>1</v>
      </c>
      <c r="S298" s="17">
        <v>1</v>
      </c>
      <c r="T298" s="17">
        <v>0</v>
      </c>
      <c r="U298" s="17">
        <v>0</v>
      </c>
      <c r="V298" s="23" t="e">
        <v>#N/A</v>
      </c>
    </row>
    <row r="299" ht="16.5" spans="1:22">
      <c r="A299" s="16">
        <v>4054</v>
      </c>
      <c r="B299" s="16" t="e">
        <v>#N/A</v>
      </c>
      <c r="C299" s="19">
        <v>6</v>
      </c>
      <c r="D299" s="19">
        <v>6</v>
      </c>
      <c r="E299" s="19">
        <v>0</v>
      </c>
      <c r="F299" s="19">
        <v>0</v>
      </c>
      <c r="G299" s="19">
        <v>0</v>
      </c>
      <c r="H299" s="20">
        <v>333.66</v>
      </c>
      <c r="I299" s="20">
        <v>320.85</v>
      </c>
      <c r="J299" s="21">
        <v>0</v>
      </c>
      <c r="K299" s="21">
        <v>0</v>
      </c>
      <c r="L299" s="21">
        <v>0</v>
      </c>
      <c r="M299" s="22">
        <v>0</v>
      </c>
      <c r="N299" s="22">
        <v>0</v>
      </c>
      <c r="O299" s="22">
        <v>0</v>
      </c>
      <c r="P299" s="22">
        <v>0</v>
      </c>
      <c r="Q299" s="22" t="e">
        <v>#N/A</v>
      </c>
      <c r="R299" s="17">
        <v>1</v>
      </c>
      <c r="S299" s="17">
        <v>1</v>
      </c>
      <c r="T299" s="17">
        <v>0</v>
      </c>
      <c r="U299" s="17">
        <v>0</v>
      </c>
      <c r="V299" s="23" t="e">
        <v>#N/A</v>
      </c>
    </row>
    <row r="300" ht="16.5" spans="1:22">
      <c r="A300" s="16">
        <v>5008</v>
      </c>
      <c r="B300" s="16" t="s">
        <v>838</v>
      </c>
      <c r="C300" s="19">
        <v>8</v>
      </c>
      <c r="D300" s="19">
        <v>12</v>
      </c>
      <c r="E300" s="19">
        <v>21</v>
      </c>
      <c r="F300" s="19">
        <v>31</v>
      </c>
      <c r="G300" s="19">
        <v>10</v>
      </c>
      <c r="H300" s="20">
        <v>668.01</v>
      </c>
      <c r="I300" s="20">
        <v>1003.97</v>
      </c>
      <c r="J300" s="21">
        <v>1833.1</v>
      </c>
      <c r="K300" s="21">
        <v>2771.08</v>
      </c>
      <c r="L300" s="21">
        <v>952</v>
      </c>
      <c r="M300" s="22">
        <v>36</v>
      </c>
      <c r="N300" s="22">
        <v>32</v>
      </c>
      <c r="O300" s="22">
        <v>20</v>
      </c>
      <c r="P300" s="22">
        <v>62</v>
      </c>
      <c r="Q300" s="22">
        <v>140</v>
      </c>
      <c r="R300" s="17">
        <v>0.181818181818182</v>
      </c>
      <c r="S300" s="17">
        <v>0.272727272727273</v>
      </c>
      <c r="T300" s="17">
        <v>0.51219512195122</v>
      </c>
      <c r="U300" s="17">
        <v>0.333333333333333</v>
      </c>
      <c r="V300" s="23">
        <v>0.0666666666666667</v>
      </c>
    </row>
    <row r="301" ht="33" spans="1:22">
      <c r="A301" s="16">
        <v>4184</v>
      </c>
      <c r="B301" s="16" t="s">
        <v>839</v>
      </c>
      <c r="C301" s="19">
        <v>39</v>
      </c>
      <c r="D301" s="19">
        <v>32</v>
      </c>
      <c r="E301" s="19">
        <v>27</v>
      </c>
      <c r="F301" s="19">
        <v>29</v>
      </c>
      <c r="G301" s="19">
        <v>35</v>
      </c>
      <c r="H301" s="20">
        <v>3041.61</v>
      </c>
      <c r="I301" s="20">
        <v>2495.68</v>
      </c>
      <c r="J301" s="21">
        <v>2101.73</v>
      </c>
      <c r="K301" s="21">
        <v>2258.71</v>
      </c>
      <c r="L301" s="21">
        <v>2770.47</v>
      </c>
      <c r="M301" s="22">
        <v>1</v>
      </c>
      <c r="N301" s="22">
        <v>0</v>
      </c>
      <c r="O301" s="22">
        <v>3</v>
      </c>
      <c r="P301" s="22">
        <v>1</v>
      </c>
      <c r="Q301" s="22">
        <v>17</v>
      </c>
      <c r="R301" s="17">
        <v>0.975</v>
      </c>
      <c r="S301" s="17">
        <v>1</v>
      </c>
      <c r="T301" s="17">
        <v>0.9</v>
      </c>
      <c r="U301" s="17">
        <v>0.966666666666667</v>
      </c>
      <c r="V301" s="23">
        <v>0.673076923076923</v>
      </c>
    </row>
    <row r="302" ht="33" spans="1:22">
      <c r="A302" s="16">
        <v>4721</v>
      </c>
      <c r="B302" s="16" t="s">
        <v>840</v>
      </c>
      <c r="C302" s="19">
        <v>9</v>
      </c>
      <c r="D302" s="19">
        <v>21</v>
      </c>
      <c r="E302" s="19">
        <v>15</v>
      </c>
      <c r="F302" s="19">
        <v>11</v>
      </c>
      <c r="G302" s="19">
        <v>26</v>
      </c>
      <c r="H302" s="20">
        <v>579.42</v>
      </c>
      <c r="I302" s="20">
        <v>1347.88</v>
      </c>
      <c r="J302" s="21">
        <v>968.32</v>
      </c>
      <c r="K302" s="21">
        <v>719.73</v>
      </c>
      <c r="L302" s="21">
        <v>1729.72</v>
      </c>
      <c r="M302" s="22">
        <v>0</v>
      </c>
      <c r="N302" s="22">
        <v>1</v>
      </c>
      <c r="O302" s="22">
        <v>5</v>
      </c>
      <c r="P302" s="22">
        <v>2</v>
      </c>
      <c r="Q302" s="22">
        <v>1</v>
      </c>
      <c r="R302" s="17">
        <v>1</v>
      </c>
      <c r="S302" s="17">
        <v>0.954545454545455</v>
      </c>
      <c r="T302" s="17">
        <v>0.75</v>
      </c>
      <c r="U302" s="17">
        <v>0.846153846153846</v>
      </c>
      <c r="V302" s="23">
        <v>0.962962962962963</v>
      </c>
    </row>
    <row r="303" ht="16.5" spans="1:22">
      <c r="A303" s="16">
        <v>4482</v>
      </c>
      <c r="B303" s="16" t="s">
        <v>841</v>
      </c>
      <c r="C303" s="19">
        <v>9</v>
      </c>
      <c r="D303" s="19">
        <v>6</v>
      </c>
      <c r="E303" s="19">
        <v>8</v>
      </c>
      <c r="F303" s="19">
        <v>11</v>
      </c>
      <c r="G303" s="19">
        <v>16</v>
      </c>
      <c r="H303" s="20">
        <v>870</v>
      </c>
      <c r="I303" s="20">
        <v>572.5</v>
      </c>
      <c r="J303" s="21">
        <v>789.5</v>
      </c>
      <c r="K303" s="21">
        <v>1072</v>
      </c>
      <c r="L303" s="21">
        <v>1602.12</v>
      </c>
      <c r="M303" s="22">
        <v>6</v>
      </c>
      <c r="N303" s="22">
        <v>5</v>
      </c>
      <c r="O303" s="22">
        <v>4</v>
      </c>
      <c r="P303" s="22">
        <v>1</v>
      </c>
      <c r="Q303" s="22">
        <v>3</v>
      </c>
      <c r="R303" s="17">
        <v>0.6</v>
      </c>
      <c r="S303" s="17">
        <v>0.545454545454545</v>
      </c>
      <c r="T303" s="17">
        <v>0.666666666666667</v>
      </c>
      <c r="U303" s="17">
        <v>0.916666666666667</v>
      </c>
      <c r="V303" s="23">
        <v>0.842105263157895</v>
      </c>
    </row>
    <row r="304" ht="16.5" spans="1:22">
      <c r="A304" s="16">
        <v>4817</v>
      </c>
      <c r="B304" s="16" t="s">
        <v>842</v>
      </c>
      <c r="C304" s="19">
        <v>17</v>
      </c>
      <c r="D304" s="19">
        <v>25</v>
      </c>
      <c r="E304" s="19">
        <v>18</v>
      </c>
      <c r="F304" s="19">
        <v>12</v>
      </c>
      <c r="G304" s="19">
        <v>15</v>
      </c>
      <c r="H304" s="20">
        <v>841.44</v>
      </c>
      <c r="I304" s="20">
        <v>1234.97</v>
      </c>
      <c r="J304" s="21">
        <v>883.62</v>
      </c>
      <c r="K304" s="21">
        <v>626.72</v>
      </c>
      <c r="L304" s="21">
        <v>786.48</v>
      </c>
      <c r="M304" s="22">
        <v>0</v>
      </c>
      <c r="N304" s="22">
        <v>0</v>
      </c>
      <c r="O304" s="22">
        <v>0</v>
      </c>
      <c r="P304" s="22">
        <v>0</v>
      </c>
      <c r="Q304" s="22">
        <v>4</v>
      </c>
      <c r="R304" s="17">
        <v>1</v>
      </c>
      <c r="S304" s="17">
        <v>1</v>
      </c>
      <c r="T304" s="17">
        <v>1</v>
      </c>
      <c r="U304" s="17">
        <v>1</v>
      </c>
      <c r="V304" s="23">
        <v>0.789473684210526</v>
      </c>
    </row>
    <row r="305" ht="33" spans="1:22">
      <c r="A305" s="16">
        <v>3837</v>
      </c>
      <c r="B305" s="16" t="s">
        <v>843</v>
      </c>
      <c r="C305" s="19">
        <v>9</v>
      </c>
      <c r="D305" s="19">
        <v>24</v>
      </c>
      <c r="E305" s="19">
        <v>33</v>
      </c>
      <c r="F305" s="19">
        <v>25</v>
      </c>
      <c r="G305" s="19">
        <v>21</v>
      </c>
      <c r="H305" s="20">
        <v>593.91</v>
      </c>
      <c r="I305" s="20">
        <v>1583.76</v>
      </c>
      <c r="J305" s="21">
        <v>2212.17</v>
      </c>
      <c r="K305" s="21">
        <v>1715.3</v>
      </c>
      <c r="L305" s="21">
        <v>1514.47</v>
      </c>
      <c r="M305" s="22">
        <v>3</v>
      </c>
      <c r="N305" s="22">
        <v>0</v>
      </c>
      <c r="O305" s="22">
        <v>0</v>
      </c>
      <c r="P305" s="22">
        <v>0</v>
      </c>
      <c r="Q305" s="22">
        <v>4</v>
      </c>
      <c r="R305" s="17">
        <v>0.75</v>
      </c>
      <c r="S305" s="17">
        <v>1</v>
      </c>
      <c r="T305" s="17">
        <v>1</v>
      </c>
      <c r="U305" s="17">
        <v>1</v>
      </c>
      <c r="V305" s="23">
        <v>0.84</v>
      </c>
    </row>
    <row r="306" ht="33" spans="1:22">
      <c r="A306" s="16">
        <v>3924</v>
      </c>
      <c r="B306" s="16" t="s">
        <v>844</v>
      </c>
      <c r="C306" s="19">
        <v>17</v>
      </c>
      <c r="D306" s="19">
        <v>17</v>
      </c>
      <c r="E306" s="19">
        <v>29</v>
      </c>
      <c r="F306" s="19">
        <v>16</v>
      </c>
      <c r="G306" s="19">
        <v>19</v>
      </c>
      <c r="H306" s="20">
        <v>1172.83</v>
      </c>
      <c r="I306" s="20">
        <v>1172.83</v>
      </c>
      <c r="J306" s="21">
        <v>2038.71</v>
      </c>
      <c r="K306" s="21">
        <v>1154.84</v>
      </c>
      <c r="L306" s="21">
        <v>1386.81</v>
      </c>
      <c r="M306" s="22">
        <v>2</v>
      </c>
      <c r="N306" s="22">
        <v>4</v>
      </c>
      <c r="O306" s="22">
        <v>4</v>
      </c>
      <c r="P306" s="22">
        <v>7</v>
      </c>
      <c r="Q306" s="22">
        <v>20</v>
      </c>
      <c r="R306" s="17">
        <v>0.894736842105263</v>
      </c>
      <c r="S306" s="17">
        <v>0.80952380952381</v>
      </c>
      <c r="T306" s="17">
        <v>0.878787878787879</v>
      </c>
      <c r="U306" s="17">
        <v>0.695652173913043</v>
      </c>
      <c r="V306" s="23">
        <v>0.487179487179487</v>
      </c>
    </row>
    <row r="307" ht="16.5" spans="1:22">
      <c r="A307" s="16">
        <v>3799</v>
      </c>
      <c r="B307" s="16" t="s">
        <v>845</v>
      </c>
      <c r="C307" s="19">
        <v>9</v>
      </c>
      <c r="D307" s="19">
        <v>14</v>
      </c>
      <c r="E307" s="19">
        <v>25</v>
      </c>
      <c r="F307" s="19">
        <v>26</v>
      </c>
      <c r="G307" s="19">
        <v>18</v>
      </c>
      <c r="H307" s="20">
        <v>801</v>
      </c>
      <c r="I307" s="20">
        <v>1219.59</v>
      </c>
      <c r="J307" s="21">
        <v>2175</v>
      </c>
      <c r="K307" s="21">
        <v>2276</v>
      </c>
      <c r="L307" s="21">
        <v>1589</v>
      </c>
      <c r="M307" s="22">
        <v>0</v>
      </c>
      <c r="N307" s="22">
        <v>0</v>
      </c>
      <c r="O307" s="22">
        <v>0</v>
      </c>
      <c r="P307" s="22">
        <v>0</v>
      </c>
      <c r="Q307" s="22">
        <v>31</v>
      </c>
      <c r="R307" s="17">
        <v>1</v>
      </c>
      <c r="S307" s="17">
        <v>1</v>
      </c>
      <c r="T307" s="17">
        <v>1</v>
      </c>
      <c r="U307" s="17">
        <v>1</v>
      </c>
      <c r="V307" s="23">
        <v>0.36734693877551</v>
      </c>
    </row>
    <row r="308" ht="16.5" spans="1:22">
      <c r="A308" s="16">
        <v>4103</v>
      </c>
      <c r="B308" s="16" t="s">
        <v>846</v>
      </c>
      <c r="C308" s="19">
        <v>3</v>
      </c>
      <c r="D308" s="19">
        <v>6</v>
      </c>
      <c r="E308" s="19">
        <v>6</v>
      </c>
      <c r="F308" s="19">
        <v>8</v>
      </c>
      <c r="G308" s="19">
        <v>6</v>
      </c>
      <c r="H308" s="20">
        <v>238.5</v>
      </c>
      <c r="I308" s="20">
        <v>477</v>
      </c>
      <c r="J308" s="21">
        <v>477</v>
      </c>
      <c r="K308" s="21">
        <v>638.98</v>
      </c>
      <c r="L308" s="21">
        <v>485.94</v>
      </c>
      <c r="M308" s="22">
        <v>2</v>
      </c>
      <c r="N308" s="22">
        <v>1</v>
      </c>
      <c r="O308" s="22">
        <v>5</v>
      </c>
      <c r="P308" s="22">
        <v>1</v>
      </c>
      <c r="Q308" s="22">
        <v>9</v>
      </c>
      <c r="R308" s="17">
        <v>0.6</v>
      </c>
      <c r="S308" s="17">
        <v>0.857142857142857</v>
      </c>
      <c r="T308" s="17">
        <v>0.545454545454545</v>
      </c>
      <c r="U308" s="17">
        <v>0.888888888888889</v>
      </c>
      <c r="V308" s="23">
        <v>0.4</v>
      </c>
    </row>
    <row r="309" ht="33" spans="1:22">
      <c r="A309" s="16">
        <v>4105</v>
      </c>
      <c r="B309" s="16" t="s">
        <v>847</v>
      </c>
      <c r="C309" s="19">
        <v>14</v>
      </c>
      <c r="D309" s="19">
        <v>23</v>
      </c>
      <c r="E309" s="19">
        <v>29</v>
      </c>
      <c r="F309" s="19">
        <v>18</v>
      </c>
      <c r="G309" s="19">
        <v>18</v>
      </c>
      <c r="H309" s="20">
        <v>1436.55</v>
      </c>
      <c r="I309" s="20">
        <v>2365.2</v>
      </c>
      <c r="J309" s="21">
        <v>2982.65</v>
      </c>
      <c r="K309" s="21">
        <v>1851.75</v>
      </c>
      <c r="L309" s="21">
        <v>1847.63</v>
      </c>
      <c r="M309" s="22">
        <v>0</v>
      </c>
      <c r="N309" s="22">
        <v>7</v>
      </c>
      <c r="O309" s="22">
        <v>4</v>
      </c>
      <c r="P309" s="22">
        <v>8</v>
      </c>
      <c r="Q309" s="22">
        <v>5</v>
      </c>
      <c r="R309" s="17">
        <v>1</v>
      </c>
      <c r="S309" s="17">
        <v>0.766666666666667</v>
      </c>
      <c r="T309" s="17">
        <v>0.878787878787879</v>
      </c>
      <c r="U309" s="17">
        <v>0.692307692307692</v>
      </c>
      <c r="V309" s="23">
        <v>0.782608695652174</v>
      </c>
    </row>
    <row r="310" ht="16.5" spans="1:22">
      <c r="A310" s="16">
        <v>4072</v>
      </c>
      <c r="B310" s="16" t="s">
        <v>848</v>
      </c>
      <c r="C310" s="19">
        <v>7</v>
      </c>
      <c r="D310" s="19">
        <v>5</v>
      </c>
      <c r="E310" s="19">
        <v>8</v>
      </c>
      <c r="F310" s="19">
        <v>7</v>
      </c>
      <c r="G310" s="19">
        <v>6</v>
      </c>
      <c r="H310" s="20">
        <v>548.43</v>
      </c>
      <c r="I310" s="20">
        <v>391.81</v>
      </c>
      <c r="J310" s="21">
        <v>626.07</v>
      </c>
      <c r="K310" s="21">
        <v>548.04</v>
      </c>
      <c r="L310" s="21">
        <v>469.65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17">
        <v>1</v>
      </c>
      <c r="S310" s="17">
        <v>1</v>
      </c>
      <c r="T310" s="17">
        <v>1</v>
      </c>
      <c r="U310" s="17">
        <v>1</v>
      </c>
      <c r="V310" s="23">
        <v>1</v>
      </c>
    </row>
    <row r="311" ht="16.5" spans="1:22">
      <c r="A311" s="16">
        <v>3926</v>
      </c>
      <c r="B311" s="16" t="s">
        <v>849</v>
      </c>
      <c r="C311" s="19">
        <v>15</v>
      </c>
      <c r="D311" s="19">
        <v>24</v>
      </c>
      <c r="E311" s="19">
        <v>45</v>
      </c>
      <c r="F311" s="19">
        <v>45</v>
      </c>
      <c r="G311" s="19">
        <v>30</v>
      </c>
      <c r="H311" s="20">
        <v>576.71</v>
      </c>
      <c r="I311" s="20">
        <v>920.96</v>
      </c>
      <c r="J311" s="21">
        <v>1727.91</v>
      </c>
      <c r="K311" s="21">
        <v>1733.83</v>
      </c>
      <c r="L311" s="21">
        <v>1182.04</v>
      </c>
      <c r="M311" s="22">
        <v>14</v>
      </c>
      <c r="N311" s="22">
        <v>7</v>
      </c>
      <c r="O311" s="22">
        <v>7</v>
      </c>
      <c r="P311" s="22">
        <v>21</v>
      </c>
      <c r="Q311" s="22">
        <v>36</v>
      </c>
      <c r="R311" s="17">
        <v>0.517241379310345</v>
      </c>
      <c r="S311" s="17">
        <v>0.774193548387097</v>
      </c>
      <c r="T311" s="17">
        <v>0.865384615384615</v>
      </c>
      <c r="U311" s="17">
        <v>0.681818181818182</v>
      </c>
      <c r="V311" s="23">
        <v>0.454545454545455</v>
      </c>
    </row>
    <row r="312" ht="16.5" spans="1:22">
      <c r="A312" s="16">
        <v>4073</v>
      </c>
      <c r="B312" s="16" t="s">
        <v>850</v>
      </c>
      <c r="C312" s="19">
        <v>12</v>
      </c>
      <c r="D312" s="19">
        <v>6</v>
      </c>
      <c r="E312" s="19">
        <v>10</v>
      </c>
      <c r="F312" s="19">
        <v>11</v>
      </c>
      <c r="G312" s="19">
        <v>13</v>
      </c>
      <c r="H312" s="20">
        <v>1151.38</v>
      </c>
      <c r="I312" s="20">
        <v>558.77</v>
      </c>
      <c r="J312" s="21">
        <v>938.4</v>
      </c>
      <c r="K312" s="21">
        <v>1033.89</v>
      </c>
      <c r="L312" s="21">
        <v>1209.57</v>
      </c>
      <c r="M312" s="22">
        <v>0</v>
      </c>
      <c r="N312" s="22">
        <v>0</v>
      </c>
      <c r="O312" s="22">
        <v>0</v>
      </c>
      <c r="P312" s="22">
        <v>0</v>
      </c>
      <c r="Q312" s="22">
        <v>0</v>
      </c>
      <c r="R312" s="17">
        <v>1</v>
      </c>
      <c r="S312" s="17">
        <v>1</v>
      </c>
      <c r="T312" s="17">
        <v>1</v>
      </c>
      <c r="U312" s="17">
        <v>1</v>
      </c>
      <c r="V312" s="23">
        <v>1</v>
      </c>
    </row>
    <row r="313" ht="33" spans="1:22">
      <c r="A313" s="16">
        <v>4497</v>
      </c>
      <c r="B313" s="16" t="s">
        <v>851</v>
      </c>
      <c r="C313" s="19">
        <v>3</v>
      </c>
      <c r="D313" s="19">
        <v>6</v>
      </c>
      <c r="E313" s="19">
        <v>6</v>
      </c>
      <c r="F313" s="19">
        <v>5</v>
      </c>
      <c r="G313" s="19">
        <v>6</v>
      </c>
      <c r="H313" s="20">
        <v>330.6</v>
      </c>
      <c r="I313" s="20">
        <v>595.08</v>
      </c>
      <c r="J313" s="21">
        <v>579.4</v>
      </c>
      <c r="K313" s="21">
        <v>485.72</v>
      </c>
      <c r="L313" s="21">
        <v>564.65</v>
      </c>
      <c r="M313" s="22">
        <v>0</v>
      </c>
      <c r="N313" s="22">
        <v>0</v>
      </c>
      <c r="O313" s="22">
        <v>0</v>
      </c>
      <c r="P313" s="22">
        <v>0</v>
      </c>
      <c r="Q313" s="22">
        <v>5</v>
      </c>
      <c r="R313" s="17">
        <v>1</v>
      </c>
      <c r="S313" s="17">
        <v>1</v>
      </c>
      <c r="T313" s="17">
        <v>1</v>
      </c>
      <c r="U313" s="17">
        <v>1</v>
      </c>
      <c r="V313" s="23">
        <v>0.545454545454545</v>
      </c>
    </row>
    <row r="314" ht="16.5" spans="1:22">
      <c r="A314" s="16">
        <v>4106</v>
      </c>
      <c r="B314" s="16" t="s">
        <v>852</v>
      </c>
      <c r="C314" s="19">
        <v>2</v>
      </c>
      <c r="D314" s="19">
        <v>6</v>
      </c>
      <c r="E314" s="19">
        <v>16</v>
      </c>
      <c r="F314" s="19">
        <v>6</v>
      </c>
      <c r="G314" s="19">
        <v>7</v>
      </c>
      <c r="H314" s="20">
        <v>193.98</v>
      </c>
      <c r="I314" s="20">
        <v>577.09</v>
      </c>
      <c r="J314" s="21">
        <v>1551.84</v>
      </c>
      <c r="K314" s="21">
        <v>601.34</v>
      </c>
      <c r="L314" s="21">
        <v>712.88</v>
      </c>
      <c r="M314" s="22">
        <v>7</v>
      </c>
      <c r="N314" s="22">
        <v>5</v>
      </c>
      <c r="O314" s="22">
        <v>0</v>
      </c>
      <c r="P314" s="22">
        <v>1</v>
      </c>
      <c r="Q314" s="22">
        <v>14</v>
      </c>
      <c r="R314" s="17">
        <v>0.222222222222222</v>
      </c>
      <c r="S314" s="17">
        <v>0.545454545454545</v>
      </c>
      <c r="T314" s="17">
        <v>1</v>
      </c>
      <c r="U314" s="17">
        <v>0.857142857142857</v>
      </c>
      <c r="V314" s="23">
        <v>0.333333333333333</v>
      </c>
    </row>
    <row r="315" ht="33" spans="1:22">
      <c r="A315" s="16">
        <v>5538</v>
      </c>
      <c r="B315" s="16" t="s">
        <v>853</v>
      </c>
      <c r="C315" s="19">
        <v>6</v>
      </c>
      <c r="D315" s="19">
        <v>1</v>
      </c>
      <c r="E315" s="19">
        <v>8</v>
      </c>
      <c r="F315" s="19">
        <v>3</v>
      </c>
      <c r="G315" s="19">
        <v>5</v>
      </c>
      <c r="H315" s="20">
        <v>622.31</v>
      </c>
      <c r="I315" s="20">
        <v>104.59</v>
      </c>
      <c r="J315" s="21">
        <v>788.1</v>
      </c>
      <c r="K315" s="21">
        <v>253.5</v>
      </c>
      <c r="L315" s="21">
        <v>517.5</v>
      </c>
      <c r="M315" s="22">
        <v>4</v>
      </c>
      <c r="N315" s="22">
        <v>6</v>
      </c>
      <c r="O315" s="22">
        <v>3</v>
      </c>
      <c r="P315" s="22">
        <v>4</v>
      </c>
      <c r="Q315" s="22">
        <v>3</v>
      </c>
      <c r="R315" s="17">
        <v>0.6</v>
      </c>
      <c r="S315" s="17">
        <v>0.142857142857143</v>
      </c>
      <c r="T315" s="17">
        <v>0.727272727272727</v>
      </c>
      <c r="U315" s="17">
        <v>0.428571428571429</v>
      </c>
      <c r="V315" s="23">
        <v>0.625</v>
      </c>
    </row>
    <row r="316" ht="16.5" spans="1:22">
      <c r="A316" s="16">
        <v>4765</v>
      </c>
      <c r="B316" s="16" t="s">
        <v>854</v>
      </c>
      <c r="C316" s="19">
        <v>19</v>
      </c>
      <c r="D316" s="19">
        <v>16</v>
      </c>
      <c r="E316" s="19">
        <v>16</v>
      </c>
      <c r="F316" s="19">
        <v>19</v>
      </c>
      <c r="G316" s="19">
        <v>18</v>
      </c>
      <c r="H316" s="20">
        <v>937.3</v>
      </c>
      <c r="I316" s="20">
        <v>807.54</v>
      </c>
      <c r="J316" s="21">
        <v>834.01</v>
      </c>
      <c r="K316" s="21">
        <v>1035.81</v>
      </c>
      <c r="L316" s="21">
        <v>1070.82</v>
      </c>
      <c r="M316" s="22">
        <v>2</v>
      </c>
      <c r="N316" s="22">
        <v>2</v>
      </c>
      <c r="O316" s="22">
        <v>0</v>
      </c>
      <c r="P316" s="22">
        <v>1</v>
      </c>
      <c r="Q316" s="22">
        <v>3</v>
      </c>
      <c r="R316" s="17">
        <v>0.904761904761905</v>
      </c>
      <c r="S316" s="17">
        <v>0.888888888888889</v>
      </c>
      <c r="T316" s="17">
        <v>1</v>
      </c>
      <c r="U316" s="17">
        <v>0.95</v>
      </c>
      <c r="V316" s="23">
        <v>0.857142857142857</v>
      </c>
    </row>
    <row r="317" ht="33" spans="1:22">
      <c r="A317" s="16">
        <v>5441</v>
      </c>
      <c r="B317" s="16" t="s">
        <v>855</v>
      </c>
      <c r="C317" s="19">
        <v>3</v>
      </c>
      <c r="D317" s="19">
        <v>14</v>
      </c>
      <c r="E317" s="19">
        <v>12</v>
      </c>
      <c r="F317" s="19">
        <v>13</v>
      </c>
      <c r="G317" s="19">
        <v>14</v>
      </c>
      <c r="H317" s="20">
        <v>197.34</v>
      </c>
      <c r="I317" s="20">
        <v>521.22</v>
      </c>
      <c r="J317" s="21">
        <v>494.26</v>
      </c>
      <c r="K317" s="21">
        <v>485.16</v>
      </c>
      <c r="L317" s="21">
        <v>535.26</v>
      </c>
      <c r="M317" s="22">
        <v>4</v>
      </c>
      <c r="N317" s="22">
        <v>11</v>
      </c>
      <c r="O317" s="22">
        <v>11</v>
      </c>
      <c r="P317" s="22">
        <v>9</v>
      </c>
      <c r="Q317" s="22">
        <v>11</v>
      </c>
      <c r="R317" s="17">
        <v>0.428571428571429</v>
      </c>
      <c r="S317" s="17">
        <v>0.56</v>
      </c>
      <c r="T317" s="17">
        <v>0.521739130434783</v>
      </c>
      <c r="U317" s="17">
        <v>0.590909090909091</v>
      </c>
      <c r="V317" s="23">
        <v>0.56</v>
      </c>
    </row>
    <row r="318" ht="16.5" spans="1:22">
      <c r="A318" s="16">
        <v>5539</v>
      </c>
      <c r="B318" s="16" t="s">
        <v>856</v>
      </c>
      <c r="C318" s="19">
        <v>17</v>
      </c>
      <c r="D318" s="19">
        <v>15</v>
      </c>
      <c r="E318" s="19">
        <v>30</v>
      </c>
      <c r="F318" s="19">
        <v>28</v>
      </c>
      <c r="G318" s="19">
        <v>33</v>
      </c>
      <c r="H318" s="20">
        <v>3035.48</v>
      </c>
      <c r="I318" s="20">
        <v>2684.81</v>
      </c>
      <c r="J318" s="21">
        <v>5383.98</v>
      </c>
      <c r="K318" s="21">
        <v>5251.29</v>
      </c>
      <c r="L318" s="21">
        <v>6104.02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17">
        <v>1</v>
      </c>
      <c r="S318" s="17">
        <v>1</v>
      </c>
      <c r="T318" s="17">
        <v>1</v>
      </c>
      <c r="U318" s="17">
        <v>1</v>
      </c>
      <c r="V318" s="23">
        <v>1</v>
      </c>
    </row>
    <row r="319" ht="33" spans="1:22">
      <c r="A319" s="16">
        <v>4607</v>
      </c>
      <c r="B319" s="16" t="s">
        <v>857</v>
      </c>
      <c r="C319" s="19">
        <v>6</v>
      </c>
      <c r="D319" s="19">
        <v>8</v>
      </c>
      <c r="E319" s="19">
        <v>19</v>
      </c>
      <c r="F319" s="19">
        <v>27</v>
      </c>
      <c r="G319" s="19">
        <v>7</v>
      </c>
      <c r="H319" s="20">
        <v>165.88</v>
      </c>
      <c r="I319" s="20">
        <v>232.89</v>
      </c>
      <c r="J319" s="21">
        <v>575.48</v>
      </c>
      <c r="K319" s="21">
        <v>816.35</v>
      </c>
      <c r="L319" s="21">
        <v>223.25</v>
      </c>
      <c r="M319" s="22">
        <v>5</v>
      </c>
      <c r="N319" s="22">
        <v>11</v>
      </c>
      <c r="O319" s="22">
        <v>12</v>
      </c>
      <c r="P319" s="22">
        <v>8</v>
      </c>
      <c r="Q319" s="22">
        <v>9</v>
      </c>
      <c r="R319" s="17">
        <v>0.545454545454545</v>
      </c>
      <c r="S319" s="17">
        <v>0.421052631578947</v>
      </c>
      <c r="T319" s="17">
        <v>0.612903225806452</v>
      </c>
      <c r="U319" s="17">
        <v>0.771428571428571</v>
      </c>
      <c r="V319" s="23">
        <v>0.4375</v>
      </c>
    </row>
    <row r="320" ht="33" spans="1:22">
      <c r="A320" s="16">
        <v>4610</v>
      </c>
      <c r="B320" s="16" t="s">
        <v>858</v>
      </c>
      <c r="C320" s="19">
        <v>44</v>
      </c>
      <c r="D320" s="19">
        <v>43</v>
      </c>
      <c r="E320" s="19">
        <v>94</v>
      </c>
      <c r="F320" s="19">
        <v>82</v>
      </c>
      <c r="G320" s="19">
        <v>20</v>
      </c>
      <c r="H320" s="20">
        <v>1832.76</v>
      </c>
      <c r="I320" s="20">
        <v>1726.02</v>
      </c>
      <c r="J320" s="21">
        <v>3958.23</v>
      </c>
      <c r="K320" s="21">
        <v>3627.81999999999</v>
      </c>
      <c r="L320" s="21">
        <v>899.8</v>
      </c>
      <c r="M320" s="22">
        <v>393</v>
      </c>
      <c r="N320" s="22">
        <v>419</v>
      </c>
      <c r="O320" s="22">
        <v>402</v>
      </c>
      <c r="P320" s="22">
        <v>458</v>
      </c>
      <c r="Q320" s="22">
        <v>426</v>
      </c>
      <c r="R320" s="17">
        <v>0.100686498855835</v>
      </c>
      <c r="S320" s="17">
        <v>0.0930735930735931</v>
      </c>
      <c r="T320" s="17">
        <v>0.189516129032258</v>
      </c>
      <c r="U320" s="17">
        <v>0.151851851851852</v>
      </c>
      <c r="V320" s="23">
        <v>0.0448430493273543</v>
      </c>
    </row>
    <row r="321" ht="33" spans="1:22">
      <c r="A321" s="16">
        <v>4611</v>
      </c>
      <c r="B321" s="16" t="s">
        <v>859</v>
      </c>
      <c r="C321" s="19">
        <v>22</v>
      </c>
      <c r="D321" s="19">
        <v>9</v>
      </c>
      <c r="E321" s="19">
        <v>13</v>
      </c>
      <c r="F321" s="19">
        <v>27</v>
      </c>
      <c r="G321" s="19">
        <v>44</v>
      </c>
      <c r="H321" s="20">
        <v>743.51</v>
      </c>
      <c r="I321" s="20">
        <v>275.04</v>
      </c>
      <c r="J321" s="21">
        <v>398.28</v>
      </c>
      <c r="K321" s="21">
        <v>838.619999999999</v>
      </c>
      <c r="L321" s="21">
        <v>1366.64</v>
      </c>
      <c r="M321" s="22">
        <v>40</v>
      </c>
      <c r="N321" s="22">
        <v>39</v>
      </c>
      <c r="O321" s="22">
        <v>169</v>
      </c>
      <c r="P321" s="22">
        <v>77</v>
      </c>
      <c r="Q321" s="22">
        <v>91</v>
      </c>
      <c r="R321" s="17">
        <v>0.354838709677419</v>
      </c>
      <c r="S321" s="17">
        <v>0.1875</v>
      </c>
      <c r="T321" s="17">
        <v>0.0714285714285714</v>
      </c>
      <c r="U321" s="17">
        <v>0.259615384615385</v>
      </c>
      <c r="V321" s="23">
        <v>0.325925925925926</v>
      </c>
    </row>
    <row r="322" ht="33" spans="1:22">
      <c r="A322" s="16">
        <v>4612</v>
      </c>
      <c r="B322" s="16" t="s">
        <v>860</v>
      </c>
      <c r="C322" s="19">
        <v>15</v>
      </c>
      <c r="D322" s="19">
        <v>5</v>
      </c>
      <c r="E322" s="19">
        <v>7</v>
      </c>
      <c r="F322" s="19">
        <v>31</v>
      </c>
      <c r="G322" s="19">
        <v>14</v>
      </c>
      <c r="H322" s="20">
        <v>522.9</v>
      </c>
      <c r="I322" s="20">
        <v>174.3</v>
      </c>
      <c r="J322" s="21">
        <v>244.67</v>
      </c>
      <c r="K322" s="21">
        <v>1084.69</v>
      </c>
      <c r="L322" s="21">
        <v>489.73</v>
      </c>
      <c r="M322" s="22">
        <v>60</v>
      </c>
      <c r="N322" s="22">
        <v>96</v>
      </c>
      <c r="O322" s="22">
        <v>151</v>
      </c>
      <c r="P322" s="22">
        <v>120</v>
      </c>
      <c r="Q322" s="22">
        <v>131</v>
      </c>
      <c r="R322" s="17">
        <v>0.2</v>
      </c>
      <c r="S322" s="17">
        <v>0.0495049504950495</v>
      </c>
      <c r="T322" s="17">
        <v>0.0443037974683544</v>
      </c>
      <c r="U322" s="17">
        <v>0.205298013245033</v>
      </c>
      <c r="V322" s="23">
        <v>0.096551724137931</v>
      </c>
    </row>
    <row r="323" ht="33" spans="1:22">
      <c r="A323" s="16">
        <v>4678</v>
      </c>
      <c r="B323" s="16" t="s">
        <v>861</v>
      </c>
      <c r="C323" s="19">
        <v>38</v>
      </c>
      <c r="D323" s="19">
        <v>54</v>
      </c>
      <c r="E323" s="19">
        <v>68</v>
      </c>
      <c r="F323" s="19">
        <v>51</v>
      </c>
      <c r="G323" s="19">
        <v>62</v>
      </c>
      <c r="H323" s="20">
        <v>1404.71</v>
      </c>
      <c r="I323" s="20">
        <v>1937.78</v>
      </c>
      <c r="J323" s="21">
        <v>2548.73</v>
      </c>
      <c r="K323" s="21">
        <v>1911.8</v>
      </c>
      <c r="L323" s="21">
        <v>2382.52</v>
      </c>
      <c r="M323" s="22">
        <v>21</v>
      </c>
      <c r="N323" s="22">
        <v>36</v>
      </c>
      <c r="O323" s="22">
        <v>16</v>
      </c>
      <c r="P323" s="22">
        <v>16</v>
      </c>
      <c r="Q323" s="22">
        <v>11</v>
      </c>
      <c r="R323" s="17">
        <v>0.644067796610169</v>
      </c>
      <c r="S323" s="17">
        <v>0.6</v>
      </c>
      <c r="T323" s="17">
        <v>0.80952380952381</v>
      </c>
      <c r="U323" s="17">
        <v>0.761194029850746</v>
      </c>
      <c r="V323" s="23">
        <v>0.849315068493151</v>
      </c>
    </row>
    <row r="324" ht="33" spans="1:22">
      <c r="A324" s="16">
        <v>5121</v>
      </c>
      <c r="B324" s="16" t="s">
        <v>862</v>
      </c>
      <c r="C324" s="19">
        <v>13</v>
      </c>
      <c r="D324" s="19">
        <v>14</v>
      </c>
      <c r="E324" s="19">
        <v>13</v>
      </c>
      <c r="F324" s="19">
        <v>14</v>
      </c>
      <c r="G324" s="19">
        <v>14</v>
      </c>
      <c r="H324" s="20">
        <v>952.05</v>
      </c>
      <c r="I324" s="20">
        <v>1022.94</v>
      </c>
      <c r="J324" s="21">
        <v>950.79</v>
      </c>
      <c r="K324" s="21">
        <v>1038.3</v>
      </c>
      <c r="L324" s="21">
        <v>1051.71</v>
      </c>
      <c r="M324" s="22">
        <v>1</v>
      </c>
      <c r="N324" s="22">
        <v>0</v>
      </c>
      <c r="O324" s="22">
        <v>0</v>
      </c>
      <c r="P324" s="22">
        <v>1</v>
      </c>
      <c r="Q324" s="22">
        <v>0</v>
      </c>
      <c r="R324" s="17">
        <v>0.928571428571429</v>
      </c>
      <c r="S324" s="17">
        <v>1</v>
      </c>
      <c r="T324" s="17">
        <v>1</v>
      </c>
      <c r="U324" s="17">
        <v>0.933333333333333</v>
      </c>
      <c r="V324" s="23">
        <v>1</v>
      </c>
    </row>
    <row r="325" ht="33" spans="1:22">
      <c r="A325" s="16">
        <v>4435</v>
      </c>
      <c r="B325" s="16" t="s">
        <v>863</v>
      </c>
      <c r="C325" s="19">
        <v>21</v>
      </c>
      <c r="D325" s="19">
        <v>18</v>
      </c>
      <c r="E325" s="19">
        <v>17</v>
      </c>
      <c r="F325" s="19">
        <v>23</v>
      </c>
      <c r="G325" s="19">
        <v>11</v>
      </c>
      <c r="H325" s="20">
        <v>865.59</v>
      </c>
      <c r="I325" s="20">
        <v>741.6</v>
      </c>
      <c r="J325" s="21">
        <v>696.9</v>
      </c>
      <c r="K325" s="21">
        <v>941.1</v>
      </c>
      <c r="L325" s="21">
        <v>441.23</v>
      </c>
      <c r="M325" s="22">
        <v>14</v>
      </c>
      <c r="N325" s="22">
        <v>10</v>
      </c>
      <c r="O325" s="22">
        <v>22</v>
      </c>
      <c r="P325" s="22">
        <v>22</v>
      </c>
      <c r="Q325" s="22">
        <v>18</v>
      </c>
      <c r="R325" s="17">
        <v>0.6</v>
      </c>
      <c r="S325" s="17">
        <v>0.642857142857143</v>
      </c>
      <c r="T325" s="17">
        <v>0.435897435897436</v>
      </c>
      <c r="U325" s="17">
        <v>0.511111111111111</v>
      </c>
      <c r="V325" s="23">
        <v>0.379310344827586</v>
      </c>
    </row>
    <row r="326" ht="33" spans="1:22">
      <c r="A326" s="16">
        <v>4665</v>
      </c>
      <c r="B326" s="16" t="s">
        <v>864</v>
      </c>
      <c r="C326" s="19">
        <v>19</v>
      </c>
      <c r="D326" s="19">
        <v>18</v>
      </c>
      <c r="E326" s="19">
        <v>23</v>
      </c>
      <c r="F326" s="19">
        <v>15</v>
      </c>
      <c r="G326" s="19">
        <v>9</v>
      </c>
      <c r="H326" s="20">
        <v>737.01</v>
      </c>
      <c r="I326" s="20">
        <v>741.6</v>
      </c>
      <c r="J326" s="21">
        <v>1026.85</v>
      </c>
      <c r="K326" s="21">
        <v>727.35</v>
      </c>
      <c r="L326" s="21">
        <v>445.91</v>
      </c>
      <c r="M326" s="22">
        <v>20</v>
      </c>
      <c r="N326" s="22">
        <v>25</v>
      </c>
      <c r="O326" s="22">
        <v>51</v>
      </c>
      <c r="P326" s="22">
        <v>40</v>
      </c>
      <c r="Q326" s="22">
        <v>53</v>
      </c>
      <c r="R326" s="17">
        <v>0.487179487179487</v>
      </c>
      <c r="S326" s="17">
        <v>0.418604651162791</v>
      </c>
      <c r="T326" s="17">
        <v>0.310810810810811</v>
      </c>
      <c r="U326" s="17">
        <v>0.272727272727273</v>
      </c>
      <c r="V326" s="23">
        <v>0.145161290322581</v>
      </c>
    </row>
    <row r="327" ht="16.5" spans="1:22">
      <c r="A327" s="16">
        <v>5834</v>
      </c>
      <c r="B327" s="16" t="s">
        <v>865</v>
      </c>
      <c r="C327" s="19">
        <v>27</v>
      </c>
      <c r="D327" s="19">
        <v>28</v>
      </c>
      <c r="E327" s="19">
        <v>34</v>
      </c>
      <c r="F327" s="19">
        <v>14</v>
      </c>
      <c r="G327" s="19">
        <v>19</v>
      </c>
      <c r="H327" s="20">
        <v>2240.94</v>
      </c>
      <c r="I327" s="20">
        <v>2322.79</v>
      </c>
      <c r="J327" s="21">
        <v>2825.84</v>
      </c>
      <c r="K327" s="21">
        <v>1184.92</v>
      </c>
      <c r="L327" s="21">
        <v>1347.08</v>
      </c>
      <c r="M327" s="22">
        <v>5</v>
      </c>
      <c r="N327" s="22">
        <v>4</v>
      </c>
      <c r="O327" s="22">
        <v>0</v>
      </c>
      <c r="P327" s="22">
        <v>12</v>
      </c>
      <c r="Q327" s="22">
        <v>22</v>
      </c>
      <c r="R327" s="17">
        <v>0.84375</v>
      </c>
      <c r="S327" s="17">
        <v>0.875</v>
      </c>
      <c r="T327" s="17">
        <v>1</v>
      </c>
      <c r="U327" s="17">
        <v>0.538461538461538</v>
      </c>
      <c r="V327" s="23">
        <v>0.463414634146341</v>
      </c>
    </row>
    <row r="328" ht="16.5" spans="1:22">
      <c r="A328" s="16">
        <v>4208</v>
      </c>
      <c r="B328" s="16" t="s">
        <v>866</v>
      </c>
      <c r="C328" s="19">
        <v>0</v>
      </c>
      <c r="D328" s="19">
        <v>2</v>
      </c>
      <c r="E328" s="19">
        <v>2</v>
      </c>
      <c r="F328" s="19">
        <v>4</v>
      </c>
      <c r="G328" s="19">
        <v>6</v>
      </c>
      <c r="H328" s="20">
        <v>0</v>
      </c>
      <c r="I328" s="20">
        <v>175.98</v>
      </c>
      <c r="J328" s="21">
        <v>175.98</v>
      </c>
      <c r="K328" s="21">
        <v>353.96</v>
      </c>
      <c r="L328" s="21">
        <v>529.17</v>
      </c>
      <c r="M328" s="22">
        <v>1</v>
      </c>
      <c r="N328" s="22">
        <v>6</v>
      </c>
      <c r="O328" s="22">
        <v>8</v>
      </c>
      <c r="P328" s="22">
        <v>9</v>
      </c>
      <c r="Q328" s="22">
        <v>10</v>
      </c>
      <c r="R328" s="17">
        <v>0</v>
      </c>
      <c r="S328" s="17">
        <v>0.25</v>
      </c>
      <c r="T328" s="17">
        <v>0.2</v>
      </c>
      <c r="U328" s="17">
        <v>0.307692307692308</v>
      </c>
      <c r="V328" s="23">
        <v>0.375</v>
      </c>
    </row>
    <row r="329" ht="16.5" spans="1:22">
      <c r="A329" s="16">
        <v>4236</v>
      </c>
      <c r="B329" s="16" t="s">
        <v>867</v>
      </c>
      <c r="C329" s="19">
        <v>2</v>
      </c>
      <c r="D329" s="19">
        <v>9</v>
      </c>
      <c r="E329" s="19">
        <v>14</v>
      </c>
      <c r="F329" s="19">
        <v>12</v>
      </c>
      <c r="G329" s="19">
        <v>5</v>
      </c>
      <c r="H329" s="20">
        <v>119.98</v>
      </c>
      <c r="I329" s="20">
        <v>530.83</v>
      </c>
      <c r="J329" s="21">
        <v>836.26</v>
      </c>
      <c r="K329" s="21">
        <v>689.14</v>
      </c>
      <c r="L329" s="21">
        <v>291.96</v>
      </c>
      <c r="M329" s="22">
        <v>0</v>
      </c>
      <c r="N329" s="22">
        <v>0</v>
      </c>
      <c r="O329" s="22">
        <v>0</v>
      </c>
      <c r="P329" s="22">
        <v>0</v>
      </c>
      <c r="Q329" s="22">
        <v>8</v>
      </c>
      <c r="R329" s="17">
        <v>1</v>
      </c>
      <c r="S329" s="17">
        <v>1</v>
      </c>
      <c r="T329" s="17">
        <v>1</v>
      </c>
      <c r="U329" s="17">
        <v>1</v>
      </c>
      <c r="V329" s="23">
        <v>0.384615384615385</v>
      </c>
    </row>
    <row r="330" ht="33" spans="1:22">
      <c r="A330" s="16">
        <v>4535</v>
      </c>
      <c r="B330" s="16" t="s">
        <v>868</v>
      </c>
      <c r="C330" s="19">
        <v>18</v>
      </c>
      <c r="D330" s="19">
        <v>5</v>
      </c>
      <c r="E330" s="19">
        <v>3</v>
      </c>
      <c r="F330" s="19">
        <v>7</v>
      </c>
      <c r="G330" s="19">
        <v>3</v>
      </c>
      <c r="H330" s="20">
        <v>1834.3</v>
      </c>
      <c r="I330" s="20">
        <v>521</v>
      </c>
      <c r="J330" s="21">
        <v>312.6</v>
      </c>
      <c r="K330" s="21">
        <v>729.4</v>
      </c>
      <c r="L330" s="21">
        <v>303</v>
      </c>
      <c r="M330" s="22">
        <v>0</v>
      </c>
      <c r="N330" s="22">
        <v>4</v>
      </c>
      <c r="O330" s="22">
        <v>11</v>
      </c>
      <c r="P330" s="22">
        <v>19</v>
      </c>
      <c r="Q330" s="22">
        <v>15</v>
      </c>
      <c r="R330" s="17">
        <v>1</v>
      </c>
      <c r="S330" s="17">
        <v>0.555555555555556</v>
      </c>
      <c r="T330" s="17">
        <v>0.214285714285714</v>
      </c>
      <c r="U330" s="17">
        <v>0.269230769230769</v>
      </c>
      <c r="V330" s="23">
        <v>0.166666666666667</v>
      </c>
    </row>
    <row r="331" ht="33" spans="1:22">
      <c r="A331" s="16">
        <v>4505</v>
      </c>
      <c r="B331" s="16" t="s">
        <v>869</v>
      </c>
      <c r="C331" s="19">
        <v>25</v>
      </c>
      <c r="D331" s="19">
        <v>37</v>
      </c>
      <c r="E331" s="19">
        <v>27</v>
      </c>
      <c r="F331" s="19">
        <v>24</v>
      </c>
      <c r="G331" s="19">
        <v>29</v>
      </c>
      <c r="H331" s="20">
        <v>1931</v>
      </c>
      <c r="I331" s="20">
        <v>2874.96</v>
      </c>
      <c r="J331" s="21">
        <v>2093.48</v>
      </c>
      <c r="K331" s="21">
        <v>1863.26</v>
      </c>
      <c r="L331" s="21">
        <v>2259.4</v>
      </c>
      <c r="M331" s="22">
        <v>12</v>
      </c>
      <c r="N331" s="22">
        <v>6</v>
      </c>
      <c r="O331" s="22">
        <v>10</v>
      </c>
      <c r="P331" s="22">
        <v>4</v>
      </c>
      <c r="Q331" s="22">
        <v>9</v>
      </c>
      <c r="R331" s="17">
        <v>0.675675675675676</v>
      </c>
      <c r="S331" s="17">
        <v>0.86046511627907</v>
      </c>
      <c r="T331" s="17">
        <v>0.72972972972973</v>
      </c>
      <c r="U331" s="17">
        <v>0.857142857142857</v>
      </c>
      <c r="V331" s="23">
        <v>0.763157894736842</v>
      </c>
    </row>
    <row r="332" ht="33" spans="1:22">
      <c r="A332" s="16">
        <v>4646</v>
      </c>
      <c r="B332" s="16" t="s">
        <v>870</v>
      </c>
      <c r="C332" s="19">
        <v>14</v>
      </c>
      <c r="D332" s="19">
        <v>12</v>
      </c>
      <c r="E332" s="19">
        <v>14</v>
      </c>
      <c r="F332" s="19">
        <v>8</v>
      </c>
      <c r="G332" s="19">
        <v>10</v>
      </c>
      <c r="H332" s="20">
        <v>1981.86</v>
      </c>
      <c r="I332" s="20">
        <v>1714.88</v>
      </c>
      <c r="J332" s="21">
        <v>1997.36</v>
      </c>
      <c r="K332" s="21">
        <v>1142.42</v>
      </c>
      <c r="L332" s="21">
        <v>1418.46</v>
      </c>
      <c r="M332" s="22">
        <v>5</v>
      </c>
      <c r="N332" s="22">
        <v>8</v>
      </c>
      <c r="O332" s="22">
        <v>5</v>
      </c>
      <c r="P332" s="22">
        <v>4</v>
      </c>
      <c r="Q332" s="22">
        <v>7</v>
      </c>
      <c r="R332" s="17">
        <v>0.736842105263158</v>
      </c>
      <c r="S332" s="17">
        <v>0.6</v>
      </c>
      <c r="T332" s="17">
        <v>0.736842105263158</v>
      </c>
      <c r="U332" s="17">
        <v>0.666666666666667</v>
      </c>
      <c r="V332" s="23">
        <v>0.588235294117647</v>
      </c>
    </row>
    <row r="333" ht="33" spans="1:22">
      <c r="A333" s="16">
        <v>4411</v>
      </c>
      <c r="B333" s="16" t="s">
        <v>871</v>
      </c>
      <c r="C333" s="19">
        <v>8</v>
      </c>
      <c r="D333" s="19">
        <v>10</v>
      </c>
      <c r="E333" s="19">
        <v>10</v>
      </c>
      <c r="F333" s="19">
        <v>16</v>
      </c>
      <c r="G333" s="19">
        <v>19</v>
      </c>
      <c r="H333" s="20">
        <v>524.16</v>
      </c>
      <c r="I333" s="20">
        <v>635.9</v>
      </c>
      <c r="J333" s="21">
        <v>635.9</v>
      </c>
      <c r="K333" s="21">
        <v>1017.44</v>
      </c>
      <c r="L333" s="21">
        <v>1208.21</v>
      </c>
      <c r="M333" s="22">
        <v>7</v>
      </c>
      <c r="N333" s="22">
        <v>8</v>
      </c>
      <c r="O333" s="22">
        <v>10</v>
      </c>
      <c r="P333" s="22">
        <v>6</v>
      </c>
      <c r="Q333" s="22">
        <v>10</v>
      </c>
      <c r="R333" s="17">
        <v>0.533333333333333</v>
      </c>
      <c r="S333" s="17">
        <v>0.555555555555556</v>
      </c>
      <c r="T333" s="17">
        <v>0.5</v>
      </c>
      <c r="U333" s="17">
        <v>0.727272727272727</v>
      </c>
      <c r="V333" s="23">
        <v>0.655172413793103</v>
      </c>
    </row>
    <row r="334" ht="16.5" spans="1:22">
      <c r="A334" s="16">
        <v>4412</v>
      </c>
      <c r="B334" s="16" t="e">
        <v>#N/A</v>
      </c>
      <c r="C334" s="19">
        <v>0</v>
      </c>
      <c r="D334" s="19">
        <v>0</v>
      </c>
      <c r="E334" s="19">
        <v>0</v>
      </c>
      <c r="F334" s="19">
        <v>0</v>
      </c>
      <c r="G334" s="19">
        <v>0</v>
      </c>
      <c r="H334" s="20">
        <v>0</v>
      </c>
      <c r="I334" s="20">
        <v>0</v>
      </c>
      <c r="J334" s="21">
        <v>0</v>
      </c>
      <c r="K334" s="21">
        <v>0</v>
      </c>
      <c r="L334" s="21">
        <v>0</v>
      </c>
      <c r="M334" s="22">
        <v>6</v>
      </c>
      <c r="N334" s="22">
        <v>2</v>
      </c>
      <c r="O334" s="22">
        <v>1</v>
      </c>
      <c r="P334" s="22">
        <v>0</v>
      </c>
      <c r="Q334" s="22" t="e">
        <v>#N/A</v>
      </c>
      <c r="R334" s="17">
        <v>0</v>
      </c>
      <c r="S334" s="17">
        <v>0</v>
      </c>
      <c r="T334" s="17">
        <v>0</v>
      </c>
      <c r="U334" s="17">
        <v>0</v>
      </c>
      <c r="V334" s="23" t="e">
        <v>#N/A</v>
      </c>
    </row>
    <row r="335" ht="16.5" spans="1:22">
      <c r="A335" s="16">
        <v>4209</v>
      </c>
      <c r="B335" s="16" t="s">
        <v>872</v>
      </c>
      <c r="C335" s="19">
        <v>0</v>
      </c>
      <c r="D335" s="19">
        <v>2</v>
      </c>
      <c r="E335" s="19">
        <v>3</v>
      </c>
      <c r="F335" s="19">
        <v>5</v>
      </c>
      <c r="G335" s="19">
        <v>1</v>
      </c>
      <c r="H335" s="20">
        <v>0</v>
      </c>
      <c r="I335" s="20">
        <v>217.49</v>
      </c>
      <c r="J335" s="21">
        <v>262.5</v>
      </c>
      <c r="K335" s="21">
        <v>490.99</v>
      </c>
      <c r="L335" s="21">
        <v>87.5</v>
      </c>
      <c r="M335" s="22">
        <v>2</v>
      </c>
      <c r="N335" s="22">
        <v>8</v>
      </c>
      <c r="O335" s="22">
        <v>11</v>
      </c>
      <c r="P335" s="22">
        <v>6</v>
      </c>
      <c r="Q335" s="22">
        <v>3</v>
      </c>
      <c r="R335" s="17">
        <v>0</v>
      </c>
      <c r="S335" s="17">
        <v>0.2</v>
      </c>
      <c r="T335" s="17">
        <v>0.214285714285714</v>
      </c>
      <c r="U335" s="17">
        <v>0.454545454545455</v>
      </c>
      <c r="V335" s="23">
        <v>0.25</v>
      </c>
    </row>
    <row r="336" ht="16.5" spans="1:22">
      <c r="A336" s="16">
        <v>4669</v>
      </c>
      <c r="B336" s="16" t="s">
        <v>873</v>
      </c>
      <c r="C336" s="19">
        <v>7</v>
      </c>
      <c r="D336" s="19">
        <v>7</v>
      </c>
      <c r="E336" s="19">
        <v>16</v>
      </c>
      <c r="F336" s="19">
        <v>15</v>
      </c>
      <c r="G336" s="19">
        <v>15</v>
      </c>
      <c r="H336" s="20">
        <v>1092</v>
      </c>
      <c r="I336" s="20">
        <v>1092</v>
      </c>
      <c r="J336" s="21">
        <v>2477</v>
      </c>
      <c r="K336" s="21">
        <v>2345</v>
      </c>
      <c r="L336" s="21">
        <v>2341.6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17">
        <v>1</v>
      </c>
      <c r="S336" s="17">
        <v>1</v>
      </c>
      <c r="T336" s="17">
        <v>1</v>
      </c>
      <c r="U336" s="17">
        <v>1</v>
      </c>
      <c r="V336" s="23">
        <v>1</v>
      </c>
    </row>
    <row r="337" ht="16.5" spans="1:22">
      <c r="A337" s="16">
        <v>4280</v>
      </c>
      <c r="B337" s="16" t="e">
        <v>#N/A</v>
      </c>
      <c r="C337" s="19">
        <v>7</v>
      </c>
      <c r="D337" s="19">
        <v>3</v>
      </c>
      <c r="E337" s="19">
        <v>0</v>
      </c>
      <c r="F337" s="19">
        <v>0</v>
      </c>
      <c r="G337" s="19">
        <v>0</v>
      </c>
      <c r="H337" s="20">
        <v>359.03</v>
      </c>
      <c r="I337" s="20">
        <v>153.87</v>
      </c>
      <c r="J337" s="21">
        <v>0</v>
      </c>
      <c r="K337" s="21">
        <v>0</v>
      </c>
      <c r="L337" s="21">
        <v>0</v>
      </c>
      <c r="M337" s="22">
        <v>5</v>
      </c>
      <c r="N337" s="22">
        <v>0</v>
      </c>
      <c r="O337" s="22">
        <v>1</v>
      </c>
      <c r="P337" s="22">
        <v>0</v>
      </c>
      <c r="Q337" s="22" t="e">
        <v>#N/A</v>
      </c>
      <c r="R337" s="17">
        <v>0.583333333333333</v>
      </c>
      <c r="S337" s="17">
        <v>1</v>
      </c>
      <c r="T337" s="17">
        <v>0</v>
      </c>
      <c r="U337" s="17">
        <v>0</v>
      </c>
      <c r="V337" s="23" t="e">
        <v>#N/A</v>
      </c>
    </row>
    <row r="338" ht="33" spans="1:22">
      <c r="A338" s="16">
        <v>4282</v>
      </c>
      <c r="B338" s="16" t="s">
        <v>874</v>
      </c>
      <c r="C338" s="19">
        <v>3</v>
      </c>
      <c r="D338" s="19">
        <v>2</v>
      </c>
      <c r="E338" s="19">
        <v>2</v>
      </c>
      <c r="F338" s="19">
        <v>3</v>
      </c>
      <c r="G338" s="19">
        <v>2</v>
      </c>
      <c r="H338" s="20">
        <v>934.03</v>
      </c>
      <c r="I338" s="20">
        <v>621.3</v>
      </c>
      <c r="J338" s="21">
        <v>635.3</v>
      </c>
      <c r="K338" s="21">
        <v>974.7</v>
      </c>
      <c r="L338" s="21">
        <v>649.8</v>
      </c>
      <c r="M338" s="22">
        <v>0</v>
      </c>
      <c r="N338" s="22">
        <v>0</v>
      </c>
      <c r="O338" s="22">
        <v>0</v>
      </c>
      <c r="P338" s="22">
        <v>0</v>
      </c>
      <c r="Q338" s="22">
        <v>0</v>
      </c>
      <c r="R338" s="17">
        <v>1</v>
      </c>
      <c r="S338" s="17">
        <v>1</v>
      </c>
      <c r="T338" s="17">
        <v>1</v>
      </c>
      <c r="U338" s="17">
        <v>1</v>
      </c>
      <c r="V338" s="23">
        <v>1</v>
      </c>
    </row>
    <row r="339" ht="16.5" spans="1:22">
      <c r="A339" s="16">
        <v>5283</v>
      </c>
      <c r="B339" s="16" t="s">
        <v>875</v>
      </c>
      <c r="C339" s="19">
        <v>6</v>
      </c>
      <c r="D339" s="19">
        <v>5</v>
      </c>
      <c r="E339" s="19">
        <v>5</v>
      </c>
      <c r="F339" s="19">
        <v>5</v>
      </c>
      <c r="G339" s="19">
        <v>11</v>
      </c>
      <c r="H339" s="20">
        <v>1367.94</v>
      </c>
      <c r="I339" s="20">
        <v>1123.9</v>
      </c>
      <c r="J339" s="21">
        <v>1112.66</v>
      </c>
      <c r="K339" s="21">
        <v>1085.55</v>
      </c>
      <c r="L339" s="21">
        <v>2558.34</v>
      </c>
      <c r="M339" s="22">
        <v>0</v>
      </c>
      <c r="N339" s="22">
        <v>2</v>
      </c>
      <c r="O339" s="22">
        <v>1</v>
      </c>
      <c r="P339" s="22">
        <v>3</v>
      </c>
      <c r="Q339" s="22">
        <v>0</v>
      </c>
      <c r="R339" s="17">
        <v>1</v>
      </c>
      <c r="S339" s="17">
        <v>0.714285714285714</v>
      </c>
      <c r="T339" s="17">
        <v>0.833333333333333</v>
      </c>
      <c r="U339" s="17">
        <v>0.625</v>
      </c>
      <c r="V339" s="23">
        <v>1</v>
      </c>
    </row>
    <row r="340" ht="33" spans="1:22">
      <c r="A340" s="16">
        <v>5671</v>
      </c>
      <c r="B340" s="16" t="s">
        <v>876</v>
      </c>
      <c r="C340" s="19">
        <v>15</v>
      </c>
      <c r="D340" s="19">
        <v>9</v>
      </c>
      <c r="E340" s="19">
        <v>13</v>
      </c>
      <c r="F340" s="19">
        <v>17</v>
      </c>
      <c r="G340" s="19">
        <v>18</v>
      </c>
      <c r="H340" s="20">
        <v>2037</v>
      </c>
      <c r="I340" s="20">
        <v>1262.96</v>
      </c>
      <c r="J340" s="21">
        <v>1592.63</v>
      </c>
      <c r="K340" s="21">
        <v>2054.15</v>
      </c>
      <c r="L340" s="21">
        <v>2296.82</v>
      </c>
      <c r="M340" s="22">
        <v>1</v>
      </c>
      <c r="N340" s="22">
        <v>0</v>
      </c>
      <c r="O340" s="22">
        <v>1</v>
      </c>
      <c r="P340" s="22">
        <v>1</v>
      </c>
      <c r="Q340" s="22">
        <v>1</v>
      </c>
      <c r="R340" s="17">
        <v>0.9375</v>
      </c>
      <c r="S340" s="17">
        <v>1</v>
      </c>
      <c r="T340" s="17">
        <v>0.928571428571429</v>
      </c>
      <c r="U340" s="17">
        <v>0.944444444444444</v>
      </c>
      <c r="V340" s="23">
        <v>0.947368421052632</v>
      </c>
    </row>
    <row r="341" ht="33" spans="1:22">
      <c r="A341" s="16">
        <v>5672</v>
      </c>
      <c r="B341" s="16" t="s">
        <v>877</v>
      </c>
      <c r="C341" s="19">
        <v>6</v>
      </c>
      <c r="D341" s="19">
        <v>10</v>
      </c>
      <c r="E341" s="19">
        <v>12</v>
      </c>
      <c r="F341" s="19">
        <v>11</v>
      </c>
      <c r="G341" s="19">
        <v>9</v>
      </c>
      <c r="H341" s="20">
        <v>750.09</v>
      </c>
      <c r="I341" s="20">
        <v>1282.3</v>
      </c>
      <c r="J341" s="21">
        <v>1544.82</v>
      </c>
      <c r="K341" s="21">
        <v>1422.61</v>
      </c>
      <c r="L341" s="21">
        <v>1111.81</v>
      </c>
      <c r="M341" s="22">
        <v>0</v>
      </c>
      <c r="N341" s="22">
        <v>1</v>
      </c>
      <c r="O341" s="22">
        <v>0</v>
      </c>
      <c r="P341" s="22">
        <v>1</v>
      </c>
      <c r="Q341" s="22">
        <v>1</v>
      </c>
      <c r="R341" s="17">
        <v>1</v>
      </c>
      <c r="S341" s="17">
        <v>0.909090909090909</v>
      </c>
      <c r="T341" s="17">
        <v>1</v>
      </c>
      <c r="U341" s="17">
        <v>0.916666666666667</v>
      </c>
      <c r="V341" s="23">
        <v>0.9</v>
      </c>
    </row>
    <row r="342" ht="33" spans="1:22">
      <c r="A342" s="16">
        <v>5589</v>
      </c>
      <c r="B342" s="16" t="s">
        <v>878</v>
      </c>
      <c r="C342" s="19">
        <v>6</v>
      </c>
      <c r="D342" s="19">
        <v>3</v>
      </c>
      <c r="E342" s="19">
        <v>8</v>
      </c>
      <c r="F342" s="19">
        <v>3</v>
      </c>
      <c r="G342" s="19">
        <v>7</v>
      </c>
      <c r="H342" s="20">
        <v>190.7</v>
      </c>
      <c r="I342" s="20">
        <v>100.35</v>
      </c>
      <c r="J342" s="21">
        <v>278.24</v>
      </c>
      <c r="K342" s="21">
        <v>106.88</v>
      </c>
      <c r="L342" s="21">
        <v>242.3</v>
      </c>
      <c r="M342" s="22">
        <v>52</v>
      </c>
      <c r="N342" s="22">
        <v>72</v>
      </c>
      <c r="O342" s="22">
        <v>76</v>
      </c>
      <c r="P342" s="22">
        <v>87</v>
      </c>
      <c r="Q342" s="22">
        <v>52</v>
      </c>
      <c r="R342" s="17">
        <v>0.103448275862069</v>
      </c>
      <c r="S342" s="17">
        <v>0.04</v>
      </c>
      <c r="T342" s="17">
        <v>0.0952380952380952</v>
      </c>
      <c r="U342" s="17">
        <v>0.0333333333333333</v>
      </c>
      <c r="V342" s="23">
        <v>0.11864406779661</v>
      </c>
    </row>
    <row r="343" ht="33" spans="1:22">
      <c r="A343" s="16">
        <v>5590</v>
      </c>
      <c r="B343" s="16" t="s">
        <v>879</v>
      </c>
      <c r="C343" s="19">
        <v>35</v>
      </c>
      <c r="D343" s="19">
        <v>44</v>
      </c>
      <c r="E343" s="19">
        <v>44</v>
      </c>
      <c r="F343" s="19">
        <v>18</v>
      </c>
      <c r="G343" s="19">
        <v>17</v>
      </c>
      <c r="H343" s="20">
        <v>851.429999999999</v>
      </c>
      <c r="I343" s="20">
        <v>1018.46</v>
      </c>
      <c r="J343" s="21">
        <v>1061.38</v>
      </c>
      <c r="K343" s="21">
        <v>537.03</v>
      </c>
      <c r="L343" s="21">
        <v>524.6</v>
      </c>
      <c r="M343" s="22">
        <v>50</v>
      </c>
      <c r="N343" s="22">
        <v>47</v>
      </c>
      <c r="O343" s="22">
        <v>74</v>
      </c>
      <c r="P343" s="22">
        <v>78</v>
      </c>
      <c r="Q343" s="22">
        <v>55</v>
      </c>
      <c r="R343" s="17">
        <v>0.411764705882353</v>
      </c>
      <c r="S343" s="17">
        <v>0.483516483516484</v>
      </c>
      <c r="T343" s="17">
        <v>0.372881355932203</v>
      </c>
      <c r="U343" s="17">
        <v>0.1875</v>
      </c>
      <c r="V343" s="23">
        <v>0.236111111111111</v>
      </c>
    </row>
    <row r="344" ht="33" spans="1:22">
      <c r="A344" s="16">
        <v>5835</v>
      </c>
      <c r="B344" s="16" t="s">
        <v>880</v>
      </c>
      <c r="C344" s="19">
        <v>17</v>
      </c>
      <c r="D344" s="19">
        <v>9</v>
      </c>
      <c r="E344" s="19">
        <v>2</v>
      </c>
      <c r="F344" s="19">
        <v>11</v>
      </c>
      <c r="G344" s="19">
        <v>8</v>
      </c>
      <c r="H344" s="20">
        <v>4382.05</v>
      </c>
      <c r="I344" s="20">
        <v>2334</v>
      </c>
      <c r="J344" s="21">
        <v>518</v>
      </c>
      <c r="K344" s="21">
        <v>2888.01</v>
      </c>
      <c r="L344" s="21">
        <v>2166.89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17">
        <v>1</v>
      </c>
      <c r="S344" s="17">
        <v>1</v>
      </c>
      <c r="T344" s="17">
        <v>1</v>
      </c>
      <c r="U344" s="17">
        <v>1</v>
      </c>
      <c r="V344" s="23">
        <v>1</v>
      </c>
    </row>
    <row r="345" ht="33" spans="1:22">
      <c r="A345" s="16">
        <v>7042</v>
      </c>
      <c r="B345" s="16" t="s">
        <v>881</v>
      </c>
      <c r="C345" s="19">
        <v>45</v>
      </c>
      <c r="D345" s="19">
        <v>42</v>
      </c>
      <c r="E345" s="19">
        <v>75</v>
      </c>
      <c r="F345" s="19">
        <v>99</v>
      </c>
      <c r="G345" s="19">
        <v>84</v>
      </c>
      <c r="H345" s="20">
        <v>725.23</v>
      </c>
      <c r="I345" s="20">
        <v>707.36</v>
      </c>
      <c r="J345" s="21">
        <v>1227.4</v>
      </c>
      <c r="K345" s="21">
        <v>1663.01</v>
      </c>
      <c r="L345" s="21">
        <v>1387.22</v>
      </c>
      <c r="M345" s="22">
        <v>85</v>
      </c>
      <c r="N345" s="22">
        <v>88</v>
      </c>
      <c r="O345" s="22">
        <v>76</v>
      </c>
      <c r="P345" s="22">
        <v>106</v>
      </c>
      <c r="Q345" s="22">
        <v>77</v>
      </c>
      <c r="R345" s="17">
        <v>0.346153846153846</v>
      </c>
      <c r="S345" s="17">
        <v>0.323076923076923</v>
      </c>
      <c r="T345" s="17">
        <v>0.496688741721854</v>
      </c>
      <c r="U345" s="17">
        <v>0.482926829268293</v>
      </c>
      <c r="V345" s="23">
        <v>0.521739130434783</v>
      </c>
    </row>
    <row r="346" ht="33" spans="1:22">
      <c r="A346" s="16">
        <v>6031</v>
      </c>
      <c r="B346" s="16" t="s">
        <v>882</v>
      </c>
      <c r="C346" s="19">
        <v>147</v>
      </c>
      <c r="D346" s="19">
        <v>71</v>
      </c>
      <c r="E346" s="19">
        <v>103</v>
      </c>
      <c r="F346" s="19">
        <v>21</v>
      </c>
      <c r="G346" s="19">
        <v>16</v>
      </c>
      <c r="H346" s="20">
        <v>965.910000000001</v>
      </c>
      <c r="I346" s="20">
        <v>584.28</v>
      </c>
      <c r="J346" s="21">
        <v>918.310000000001</v>
      </c>
      <c r="K346" s="21">
        <v>227.8</v>
      </c>
      <c r="L346" s="21">
        <v>170.15</v>
      </c>
      <c r="M346" s="22">
        <v>241</v>
      </c>
      <c r="N346" s="22">
        <v>161</v>
      </c>
      <c r="O346" s="22">
        <v>128</v>
      </c>
      <c r="P346" s="22">
        <v>150</v>
      </c>
      <c r="Q346" s="22">
        <v>95</v>
      </c>
      <c r="R346" s="17">
        <v>0.378865979381443</v>
      </c>
      <c r="S346" s="17">
        <v>0.306034482758621</v>
      </c>
      <c r="T346" s="17">
        <v>0.445887445887446</v>
      </c>
      <c r="U346" s="17">
        <v>0.12280701754386</v>
      </c>
      <c r="V346" s="23">
        <v>0.144144144144144</v>
      </c>
    </row>
    <row r="347" ht="33" spans="1:22">
      <c r="A347" s="16">
        <v>6033</v>
      </c>
      <c r="B347" s="16" t="s">
        <v>883</v>
      </c>
      <c r="C347" s="19">
        <v>30</v>
      </c>
      <c r="D347" s="19">
        <v>45</v>
      </c>
      <c r="E347" s="19">
        <v>45</v>
      </c>
      <c r="F347" s="19">
        <v>28</v>
      </c>
      <c r="G347" s="19">
        <v>22</v>
      </c>
      <c r="H347" s="20">
        <v>866</v>
      </c>
      <c r="I347" s="20">
        <v>1298.5</v>
      </c>
      <c r="J347" s="21">
        <v>1302.7</v>
      </c>
      <c r="K347" s="21">
        <v>829.68</v>
      </c>
      <c r="L347" s="21">
        <v>658.9</v>
      </c>
      <c r="M347" s="22">
        <v>18</v>
      </c>
      <c r="N347" s="22">
        <v>17</v>
      </c>
      <c r="O347" s="22">
        <v>24</v>
      </c>
      <c r="P347" s="22">
        <v>21</v>
      </c>
      <c r="Q347" s="22">
        <v>27</v>
      </c>
      <c r="R347" s="17">
        <v>0.625</v>
      </c>
      <c r="S347" s="17">
        <v>0.725806451612903</v>
      </c>
      <c r="T347" s="17">
        <v>0.652173913043478</v>
      </c>
      <c r="U347" s="17">
        <v>0.571428571428571</v>
      </c>
      <c r="V347" s="23">
        <v>0.448979591836735</v>
      </c>
    </row>
    <row r="348" ht="16.5" spans="1:22">
      <c r="A348" s="16">
        <v>5571</v>
      </c>
      <c r="B348" s="16" t="s">
        <v>884</v>
      </c>
      <c r="C348" s="19">
        <v>14</v>
      </c>
      <c r="D348" s="19">
        <v>27</v>
      </c>
      <c r="E348" s="19">
        <v>16</v>
      </c>
      <c r="F348" s="19">
        <v>6</v>
      </c>
      <c r="G348" s="19">
        <v>2</v>
      </c>
      <c r="H348" s="20">
        <v>867.54</v>
      </c>
      <c r="I348" s="20">
        <v>1596.78</v>
      </c>
      <c r="J348" s="21">
        <v>945.84</v>
      </c>
      <c r="K348" s="21">
        <v>311.94</v>
      </c>
      <c r="L348" s="21">
        <v>95.53</v>
      </c>
      <c r="M348" s="22">
        <v>24</v>
      </c>
      <c r="N348" s="22">
        <v>17</v>
      </c>
      <c r="O348" s="22">
        <v>9</v>
      </c>
      <c r="P348" s="22">
        <v>9</v>
      </c>
      <c r="Q348" s="22">
        <v>26</v>
      </c>
      <c r="R348" s="17">
        <v>0.368421052631579</v>
      </c>
      <c r="S348" s="17">
        <v>0.613636363636364</v>
      </c>
      <c r="T348" s="17">
        <v>0.64</v>
      </c>
      <c r="U348" s="17">
        <v>0.4</v>
      </c>
      <c r="V348" s="23">
        <v>0.0714285714285714</v>
      </c>
    </row>
    <row r="349" ht="33" spans="1:22">
      <c r="A349" s="16">
        <v>5627</v>
      </c>
      <c r="B349" s="16" t="s">
        <v>885</v>
      </c>
      <c r="C349" s="19">
        <v>14</v>
      </c>
      <c r="D349" s="19">
        <v>5</v>
      </c>
      <c r="E349" s="19">
        <v>8</v>
      </c>
      <c r="F349" s="19">
        <v>5</v>
      </c>
      <c r="G349" s="19">
        <v>0</v>
      </c>
      <c r="H349" s="20">
        <v>826.13</v>
      </c>
      <c r="I349" s="20">
        <v>285.5</v>
      </c>
      <c r="J349" s="21">
        <v>487.59</v>
      </c>
      <c r="K349" s="21">
        <v>317.61</v>
      </c>
      <c r="L349" s="21">
        <v>0</v>
      </c>
      <c r="M349" s="22">
        <v>0</v>
      </c>
      <c r="N349" s="22">
        <v>0</v>
      </c>
      <c r="O349" s="22">
        <v>0</v>
      </c>
      <c r="P349" s="22">
        <v>0</v>
      </c>
      <c r="Q349" s="22">
        <v>0</v>
      </c>
      <c r="R349" s="17">
        <v>1</v>
      </c>
      <c r="S349" s="17">
        <v>1</v>
      </c>
      <c r="T349" s="17">
        <v>1</v>
      </c>
      <c r="U349" s="17">
        <v>1</v>
      </c>
      <c r="V349" s="23" t="s">
        <v>106</v>
      </c>
    </row>
    <row r="350" ht="33" spans="1:22">
      <c r="A350" s="16">
        <v>5728</v>
      </c>
      <c r="B350" s="16" t="s">
        <v>886</v>
      </c>
      <c r="C350" s="19">
        <v>15</v>
      </c>
      <c r="D350" s="19">
        <v>18</v>
      </c>
      <c r="E350" s="19">
        <v>36</v>
      </c>
      <c r="F350" s="19">
        <v>32</v>
      </c>
      <c r="G350" s="19">
        <v>26</v>
      </c>
      <c r="H350" s="20">
        <v>158.31</v>
      </c>
      <c r="I350" s="20">
        <v>226.62</v>
      </c>
      <c r="J350" s="21">
        <v>467.24</v>
      </c>
      <c r="K350" s="21">
        <v>424.31</v>
      </c>
      <c r="L350" s="21">
        <v>363.67</v>
      </c>
      <c r="M350" s="22">
        <v>3</v>
      </c>
      <c r="N350" s="22">
        <v>10</v>
      </c>
      <c r="O350" s="22">
        <v>10</v>
      </c>
      <c r="P350" s="22">
        <v>10</v>
      </c>
      <c r="Q350" s="22">
        <v>2</v>
      </c>
      <c r="R350" s="17">
        <v>0.833333333333333</v>
      </c>
      <c r="S350" s="17">
        <v>0.642857142857143</v>
      </c>
      <c r="T350" s="17">
        <v>0.782608695652174</v>
      </c>
      <c r="U350" s="17">
        <v>0.761904761904762</v>
      </c>
      <c r="V350" s="23">
        <v>0.928571428571429</v>
      </c>
    </row>
    <row r="351" ht="33" spans="1:22">
      <c r="A351" s="16">
        <v>5620</v>
      </c>
      <c r="B351" s="16" t="s">
        <v>887</v>
      </c>
      <c r="C351" s="19">
        <v>24</v>
      </c>
      <c r="D351" s="19">
        <v>24</v>
      </c>
      <c r="E351" s="19">
        <v>27</v>
      </c>
      <c r="F351" s="19">
        <v>9</v>
      </c>
      <c r="G351" s="19">
        <v>9</v>
      </c>
      <c r="H351" s="20">
        <v>230.16</v>
      </c>
      <c r="I351" s="20">
        <v>230.16</v>
      </c>
      <c r="J351" s="21">
        <v>262.26</v>
      </c>
      <c r="K351" s="21">
        <v>96.05</v>
      </c>
      <c r="L351" s="21">
        <v>96.3</v>
      </c>
      <c r="M351" s="22">
        <v>8</v>
      </c>
      <c r="N351" s="22">
        <v>17</v>
      </c>
      <c r="O351" s="22">
        <v>20</v>
      </c>
      <c r="P351" s="22">
        <v>15</v>
      </c>
      <c r="Q351" s="22">
        <v>21</v>
      </c>
      <c r="R351" s="17">
        <v>0.75</v>
      </c>
      <c r="S351" s="17">
        <v>0.585365853658537</v>
      </c>
      <c r="T351" s="17">
        <v>0.574468085106383</v>
      </c>
      <c r="U351" s="17">
        <v>0.375</v>
      </c>
      <c r="V351" s="23">
        <v>0.3</v>
      </c>
    </row>
    <row r="352" ht="33" spans="1:22">
      <c r="A352" s="16">
        <v>5841</v>
      </c>
      <c r="B352" s="16" t="s">
        <v>888</v>
      </c>
      <c r="C352" s="19">
        <v>37</v>
      </c>
      <c r="D352" s="19">
        <v>42</v>
      </c>
      <c r="E352" s="19">
        <v>43</v>
      </c>
      <c r="F352" s="19">
        <v>27</v>
      </c>
      <c r="G352" s="19">
        <v>31</v>
      </c>
      <c r="H352" s="20">
        <v>422.23</v>
      </c>
      <c r="I352" s="20">
        <v>422.78</v>
      </c>
      <c r="J352" s="21">
        <v>452.11</v>
      </c>
      <c r="K352" s="21">
        <v>299.43</v>
      </c>
      <c r="L352" s="21">
        <v>348.49</v>
      </c>
      <c r="M352" s="22">
        <v>44</v>
      </c>
      <c r="N352" s="22">
        <v>45</v>
      </c>
      <c r="O352" s="22">
        <v>59</v>
      </c>
      <c r="P352" s="22">
        <v>40</v>
      </c>
      <c r="Q352" s="22">
        <v>23</v>
      </c>
      <c r="R352" s="17">
        <v>0.45679012345679</v>
      </c>
      <c r="S352" s="17">
        <v>0.482758620689655</v>
      </c>
      <c r="T352" s="17">
        <v>0.42156862745098</v>
      </c>
      <c r="U352" s="17">
        <v>0.402985074626866</v>
      </c>
      <c r="V352" s="23">
        <v>0.574074074074074</v>
      </c>
    </row>
    <row r="353" ht="33" spans="1:22">
      <c r="A353" s="16">
        <v>5630</v>
      </c>
      <c r="B353" s="16" t="s">
        <v>889</v>
      </c>
      <c r="C353" s="19">
        <v>22</v>
      </c>
      <c r="D353" s="19">
        <v>14</v>
      </c>
      <c r="E353" s="19">
        <v>28</v>
      </c>
      <c r="F353" s="19">
        <v>18</v>
      </c>
      <c r="G353" s="19">
        <v>22</v>
      </c>
      <c r="H353" s="20">
        <v>241.62</v>
      </c>
      <c r="I353" s="20">
        <v>154.1</v>
      </c>
      <c r="J353" s="21">
        <v>308</v>
      </c>
      <c r="K353" s="21">
        <v>198</v>
      </c>
      <c r="L353" s="21">
        <v>242</v>
      </c>
      <c r="M353" s="22">
        <v>44</v>
      </c>
      <c r="N353" s="22">
        <v>25</v>
      </c>
      <c r="O353" s="22">
        <v>23</v>
      </c>
      <c r="P353" s="22">
        <v>36</v>
      </c>
      <c r="Q353" s="22">
        <v>24</v>
      </c>
      <c r="R353" s="17">
        <v>0.333333333333333</v>
      </c>
      <c r="S353" s="17">
        <v>0.358974358974359</v>
      </c>
      <c r="T353" s="17">
        <v>0.549019607843137</v>
      </c>
      <c r="U353" s="17">
        <v>0.333333333333333</v>
      </c>
      <c r="V353" s="23">
        <v>0.478260869565217</v>
      </c>
    </row>
    <row r="354" ht="33" spans="1:22">
      <c r="A354" s="16">
        <v>5455</v>
      </c>
      <c r="B354" s="16" t="s">
        <v>890</v>
      </c>
      <c r="C354" s="19">
        <v>6</v>
      </c>
      <c r="D354" s="19">
        <v>2</v>
      </c>
      <c r="E354" s="19">
        <v>1</v>
      </c>
      <c r="F354" s="19">
        <v>2</v>
      </c>
      <c r="G354" s="19">
        <v>1</v>
      </c>
      <c r="H354" s="20">
        <v>169</v>
      </c>
      <c r="I354" s="20">
        <v>59</v>
      </c>
      <c r="J354" s="21">
        <v>32.91</v>
      </c>
      <c r="K354" s="21">
        <v>62.02</v>
      </c>
      <c r="L354" s="21">
        <v>30.76</v>
      </c>
      <c r="M354" s="22">
        <v>77</v>
      </c>
      <c r="N354" s="22">
        <v>82</v>
      </c>
      <c r="O354" s="22">
        <v>85</v>
      </c>
      <c r="P354" s="22">
        <v>73</v>
      </c>
      <c r="Q354" s="22">
        <v>84</v>
      </c>
      <c r="R354" s="17">
        <v>0.072289156626506</v>
      </c>
      <c r="S354" s="17">
        <v>0.0238095238095238</v>
      </c>
      <c r="T354" s="17">
        <v>0.0116279069767442</v>
      </c>
      <c r="U354" s="17">
        <v>0.0266666666666667</v>
      </c>
      <c r="V354" s="23">
        <v>0.0117647058823529</v>
      </c>
    </row>
    <row r="355" ht="33" spans="1:22">
      <c r="A355" s="16">
        <v>5647</v>
      </c>
      <c r="B355" s="16" t="s">
        <v>891</v>
      </c>
      <c r="C355" s="19">
        <v>0</v>
      </c>
      <c r="D355" s="19">
        <v>0</v>
      </c>
      <c r="E355" s="19">
        <v>0</v>
      </c>
      <c r="F355" s="19">
        <v>0</v>
      </c>
      <c r="G355" s="19">
        <v>0</v>
      </c>
      <c r="H355" s="20">
        <v>0</v>
      </c>
      <c r="I355" s="20">
        <v>0</v>
      </c>
      <c r="J355" s="21">
        <v>0</v>
      </c>
      <c r="K355" s="21">
        <v>0</v>
      </c>
      <c r="L355" s="21">
        <v>0</v>
      </c>
      <c r="M355" s="22">
        <v>119</v>
      </c>
      <c r="N355" s="22">
        <v>124</v>
      </c>
      <c r="O355" s="22">
        <v>147</v>
      </c>
      <c r="P355" s="22">
        <v>152</v>
      </c>
      <c r="Q355" s="22">
        <v>126</v>
      </c>
      <c r="R355" s="17">
        <v>0</v>
      </c>
      <c r="S355" s="17">
        <v>0</v>
      </c>
      <c r="T355" s="17">
        <v>0</v>
      </c>
      <c r="U355" s="17">
        <v>0</v>
      </c>
      <c r="V355" s="23">
        <v>0</v>
      </c>
    </row>
    <row r="356" ht="33" spans="1:22">
      <c r="A356" s="16">
        <v>5092</v>
      </c>
      <c r="B356" s="16" t="s">
        <v>892</v>
      </c>
      <c r="C356" s="19">
        <v>23</v>
      </c>
      <c r="D356" s="19">
        <v>16</v>
      </c>
      <c r="E356" s="19">
        <v>30</v>
      </c>
      <c r="F356" s="19">
        <v>66</v>
      </c>
      <c r="G356" s="19">
        <v>45</v>
      </c>
      <c r="H356" s="20">
        <v>221.41</v>
      </c>
      <c r="I356" s="20">
        <v>153.76</v>
      </c>
      <c r="J356" s="21">
        <v>289.3</v>
      </c>
      <c r="K356" s="21">
        <v>667.260000000001</v>
      </c>
      <c r="L356" s="21">
        <v>454.95</v>
      </c>
      <c r="M356" s="22">
        <v>36</v>
      </c>
      <c r="N356" s="22">
        <v>40</v>
      </c>
      <c r="O356" s="22">
        <v>63</v>
      </c>
      <c r="P356" s="22">
        <v>45</v>
      </c>
      <c r="Q356" s="22">
        <v>62</v>
      </c>
      <c r="R356" s="17">
        <v>0.389830508474576</v>
      </c>
      <c r="S356" s="17">
        <v>0.285714285714286</v>
      </c>
      <c r="T356" s="17">
        <v>0.32258064516129</v>
      </c>
      <c r="U356" s="17">
        <v>0.594594594594595</v>
      </c>
      <c r="V356" s="23">
        <v>0.420560747663551</v>
      </c>
    </row>
    <row r="357" ht="33" spans="1:22">
      <c r="A357" s="16">
        <v>5310</v>
      </c>
      <c r="B357" s="16" t="s">
        <v>893</v>
      </c>
      <c r="C357" s="19">
        <v>7</v>
      </c>
      <c r="D357" s="19">
        <v>17</v>
      </c>
      <c r="E357" s="19">
        <v>14</v>
      </c>
      <c r="F357" s="19">
        <v>12</v>
      </c>
      <c r="G357" s="19">
        <v>8</v>
      </c>
      <c r="H357" s="20">
        <v>1366.54</v>
      </c>
      <c r="I357" s="20">
        <v>3413.67</v>
      </c>
      <c r="J357" s="21">
        <v>2818.5</v>
      </c>
      <c r="K357" s="21">
        <v>2448.75</v>
      </c>
      <c r="L357" s="21">
        <v>1641.32</v>
      </c>
      <c r="M357" s="22">
        <v>0</v>
      </c>
      <c r="N357" s="22">
        <v>0</v>
      </c>
      <c r="O357" s="22">
        <v>0</v>
      </c>
      <c r="P357" s="22">
        <v>2</v>
      </c>
      <c r="Q357" s="22">
        <v>0</v>
      </c>
      <c r="R357" s="17">
        <v>1</v>
      </c>
      <c r="S357" s="17">
        <v>1</v>
      </c>
      <c r="T357" s="17">
        <v>1</v>
      </c>
      <c r="U357" s="17">
        <v>0.857142857142857</v>
      </c>
      <c r="V357" s="23">
        <v>1</v>
      </c>
    </row>
    <row r="358" ht="33" spans="1:22">
      <c r="A358" s="16">
        <v>5336</v>
      </c>
      <c r="B358" s="16" t="s">
        <v>894</v>
      </c>
      <c r="C358" s="19">
        <v>22</v>
      </c>
      <c r="D358" s="19">
        <v>27</v>
      </c>
      <c r="E358" s="19">
        <v>28</v>
      </c>
      <c r="F358" s="19">
        <v>33</v>
      </c>
      <c r="G358" s="19">
        <v>23</v>
      </c>
      <c r="H358" s="20">
        <v>2979.71</v>
      </c>
      <c r="I358" s="20">
        <v>3672.93</v>
      </c>
      <c r="J358" s="21">
        <v>3809.42</v>
      </c>
      <c r="K358" s="21">
        <v>4503.71</v>
      </c>
      <c r="L358" s="21">
        <v>3177.39</v>
      </c>
      <c r="M358" s="22">
        <v>5</v>
      </c>
      <c r="N358" s="22">
        <v>1</v>
      </c>
      <c r="O358" s="22">
        <v>9</v>
      </c>
      <c r="P358" s="22">
        <v>7</v>
      </c>
      <c r="Q358" s="22">
        <v>8</v>
      </c>
      <c r="R358" s="17">
        <v>0.814814814814815</v>
      </c>
      <c r="S358" s="17">
        <v>0.964285714285714</v>
      </c>
      <c r="T358" s="17">
        <v>0.756756756756757</v>
      </c>
      <c r="U358" s="17">
        <v>0.825</v>
      </c>
      <c r="V358" s="23">
        <v>0.741935483870968</v>
      </c>
    </row>
    <row r="359" ht="33" spans="1:22">
      <c r="A359" s="16">
        <v>5843</v>
      </c>
      <c r="B359" s="16" t="s">
        <v>895</v>
      </c>
      <c r="C359" s="19">
        <v>11</v>
      </c>
      <c r="D359" s="19">
        <v>12</v>
      </c>
      <c r="E359" s="19">
        <v>23</v>
      </c>
      <c r="F359" s="19">
        <v>12</v>
      </c>
      <c r="G359" s="19">
        <v>13</v>
      </c>
      <c r="H359" s="20">
        <v>1099.89</v>
      </c>
      <c r="I359" s="20">
        <v>1182.01</v>
      </c>
      <c r="J359" s="21">
        <v>2294.77</v>
      </c>
      <c r="K359" s="21">
        <v>1248.88</v>
      </c>
      <c r="L359" s="21">
        <v>1444.87</v>
      </c>
      <c r="M359" s="22">
        <v>1</v>
      </c>
      <c r="N359" s="22">
        <v>12</v>
      </c>
      <c r="O359" s="22">
        <v>11</v>
      </c>
      <c r="P359" s="22">
        <v>11</v>
      </c>
      <c r="Q359" s="22">
        <v>13</v>
      </c>
      <c r="R359" s="17">
        <v>0.916666666666667</v>
      </c>
      <c r="S359" s="17">
        <v>0.5</v>
      </c>
      <c r="T359" s="17">
        <v>0.676470588235294</v>
      </c>
      <c r="U359" s="17">
        <v>0.521739130434783</v>
      </c>
      <c r="V359" s="23">
        <v>0.5</v>
      </c>
    </row>
    <row r="360" ht="33" spans="1:22">
      <c r="A360" s="16">
        <v>5813</v>
      </c>
      <c r="B360" s="16" t="s">
        <v>896</v>
      </c>
      <c r="C360" s="19">
        <v>2</v>
      </c>
      <c r="D360" s="19">
        <v>0</v>
      </c>
      <c r="E360" s="19">
        <v>0</v>
      </c>
      <c r="F360" s="19">
        <v>2</v>
      </c>
      <c r="G360" s="19">
        <v>3</v>
      </c>
      <c r="H360" s="20">
        <v>289.98</v>
      </c>
      <c r="I360" s="20">
        <v>0</v>
      </c>
      <c r="J360" s="21">
        <v>0</v>
      </c>
      <c r="K360" s="21">
        <v>230</v>
      </c>
      <c r="L360" s="21">
        <v>345</v>
      </c>
      <c r="M360" s="22">
        <v>12</v>
      </c>
      <c r="N360" s="22">
        <v>21</v>
      </c>
      <c r="O360" s="22">
        <v>9</v>
      </c>
      <c r="P360" s="22">
        <v>22</v>
      </c>
      <c r="Q360" s="22">
        <v>13</v>
      </c>
      <c r="R360" s="17">
        <v>0.142857142857143</v>
      </c>
      <c r="S360" s="17">
        <v>0</v>
      </c>
      <c r="T360" s="17">
        <v>0</v>
      </c>
      <c r="U360" s="17">
        <v>0.0833333333333333</v>
      </c>
      <c r="V360" s="23">
        <v>0.1875</v>
      </c>
    </row>
    <row r="361" ht="33" spans="1:22">
      <c r="A361" s="16">
        <v>5787</v>
      </c>
      <c r="B361" s="16" t="s">
        <v>897</v>
      </c>
      <c r="C361" s="19">
        <v>9</v>
      </c>
      <c r="D361" s="19">
        <v>11</v>
      </c>
      <c r="E361" s="19">
        <v>13</v>
      </c>
      <c r="F361" s="19">
        <v>8</v>
      </c>
      <c r="G361" s="19">
        <v>6</v>
      </c>
      <c r="H361" s="20">
        <v>1009.77</v>
      </c>
      <c r="I361" s="20">
        <v>1212.75</v>
      </c>
      <c r="J361" s="21">
        <v>1468.49</v>
      </c>
      <c r="K361" s="21">
        <v>1031.47</v>
      </c>
      <c r="L361" s="21">
        <v>855.3</v>
      </c>
      <c r="M361" s="22">
        <v>2</v>
      </c>
      <c r="N361" s="22">
        <v>2</v>
      </c>
      <c r="O361" s="22">
        <v>0</v>
      </c>
      <c r="P361" s="22">
        <v>1</v>
      </c>
      <c r="Q361" s="22">
        <v>3</v>
      </c>
      <c r="R361" s="17">
        <v>0.818181818181818</v>
      </c>
      <c r="S361" s="17">
        <v>0.846153846153846</v>
      </c>
      <c r="T361" s="17">
        <v>1</v>
      </c>
      <c r="U361" s="17">
        <v>0.888888888888889</v>
      </c>
      <c r="V361" s="23">
        <v>0.666666666666667</v>
      </c>
    </row>
    <row r="362" ht="33" spans="1:22">
      <c r="A362" s="16">
        <v>5788</v>
      </c>
      <c r="B362" s="16" t="s">
        <v>898</v>
      </c>
      <c r="C362" s="19">
        <v>9</v>
      </c>
      <c r="D362" s="19">
        <v>7</v>
      </c>
      <c r="E362" s="19">
        <v>7</v>
      </c>
      <c r="F362" s="19">
        <v>6</v>
      </c>
      <c r="G362" s="19">
        <v>3</v>
      </c>
      <c r="H362" s="20">
        <v>1008.54</v>
      </c>
      <c r="I362" s="20">
        <v>788.5</v>
      </c>
      <c r="J362" s="21">
        <v>850.97</v>
      </c>
      <c r="K362" s="21">
        <v>789.77</v>
      </c>
      <c r="L362" s="21">
        <v>427.9</v>
      </c>
      <c r="M362" s="22">
        <v>0</v>
      </c>
      <c r="N362" s="22">
        <v>0</v>
      </c>
      <c r="O362" s="22">
        <v>0</v>
      </c>
      <c r="P362" s="22">
        <v>0</v>
      </c>
      <c r="Q362" s="22">
        <v>0</v>
      </c>
      <c r="R362" s="17">
        <v>1</v>
      </c>
      <c r="S362" s="17">
        <v>1</v>
      </c>
      <c r="T362" s="17">
        <v>1</v>
      </c>
      <c r="U362" s="17">
        <v>1</v>
      </c>
      <c r="V362" s="23">
        <v>1</v>
      </c>
    </row>
    <row r="363" ht="16.5" spans="1:22">
      <c r="A363" s="16">
        <v>6304</v>
      </c>
      <c r="B363" s="16" t="e">
        <v>#N/A</v>
      </c>
      <c r="C363" s="19">
        <v>6</v>
      </c>
      <c r="D363" s="19">
        <v>3</v>
      </c>
      <c r="E363" s="19">
        <v>0</v>
      </c>
      <c r="F363" s="19">
        <v>0</v>
      </c>
      <c r="G363" s="19">
        <v>0</v>
      </c>
      <c r="H363" s="20">
        <v>522.16</v>
      </c>
      <c r="I363" s="20">
        <v>278.13</v>
      </c>
      <c r="J363" s="21">
        <v>0</v>
      </c>
      <c r="K363" s="21">
        <v>0</v>
      </c>
      <c r="L363" s="21">
        <v>0</v>
      </c>
      <c r="M363" s="22">
        <v>0</v>
      </c>
      <c r="N363" s="22">
        <v>1</v>
      </c>
      <c r="O363" s="22">
        <v>5</v>
      </c>
      <c r="P363" s="22">
        <v>0</v>
      </c>
      <c r="Q363" s="22" t="e">
        <v>#N/A</v>
      </c>
      <c r="R363" s="17">
        <v>1</v>
      </c>
      <c r="S363" s="17">
        <v>0.75</v>
      </c>
      <c r="T363" s="17">
        <v>0</v>
      </c>
      <c r="U363" s="17">
        <v>0</v>
      </c>
      <c r="V363" s="23" t="e">
        <v>#N/A</v>
      </c>
    </row>
    <row r="364" ht="33" spans="1:22">
      <c r="A364" s="16">
        <v>6821</v>
      </c>
      <c r="B364" s="16" t="s">
        <v>899</v>
      </c>
      <c r="C364" s="19">
        <v>15</v>
      </c>
      <c r="D364" s="19">
        <v>10</v>
      </c>
      <c r="E364" s="19">
        <v>11</v>
      </c>
      <c r="F364" s="19">
        <v>9</v>
      </c>
      <c r="G364" s="19">
        <v>5</v>
      </c>
      <c r="H364" s="20">
        <v>2462.5</v>
      </c>
      <c r="I364" s="20">
        <v>1690</v>
      </c>
      <c r="J364" s="21">
        <v>1893.01</v>
      </c>
      <c r="K364" s="21">
        <v>1702.15</v>
      </c>
      <c r="L364" s="21">
        <v>946.14</v>
      </c>
      <c r="M364" s="22">
        <v>0</v>
      </c>
      <c r="N364" s="22">
        <v>0</v>
      </c>
      <c r="O364" s="22">
        <v>0</v>
      </c>
      <c r="P364" s="22">
        <v>0</v>
      </c>
      <c r="Q364" s="22">
        <v>0</v>
      </c>
      <c r="R364" s="17">
        <v>1</v>
      </c>
      <c r="S364" s="17">
        <v>1</v>
      </c>
      <c r="T364" s="17">
        <v>1</v>
      </c>
      <c r="U364" s="17">
        <v>1</v>
      </c>
      <c r="V364" s="23">
        <v>1</v>
      </c>
    </row>
    <row r="365" ht="33" spans="1:22">
      <c r="A365" s="16">
        <v>7636</v>
      </c>
      <c r="B365" s="16" t="s">
        <v>900</v>
      </c>
      <c r="C365" s="19">
        <v>22</v>
      </c>
      <c r="D365" s="19">
        <v>14</v>
      </c>
      <c r="E365" s="19">
        <v>20</v>
      </c>
      <c r="F365" s="19">
        <v>19</v>
      </c>
      <c r="G365" s="19">
        <v>21</v>
      </c>
      <c r="H365" s="20">
        <v>1520.2</v>
      </c>
      <c r="I365" s="20">
        <v>967.4</v>
      </c>
      <c r="J365" s="21">
        <v>1300</v>
      </c>
      <c r="K365" s="21">
        <v>1337.17</v>
      </c>
      <c r="L365" s="21">
        <v>1488.92</v>
      </c>
      <c r="M365" s="22">
        <v>21</v>
      </c>
      <c r="N365" s="22">
        <v>12</v>
      </c>
      <c r="O365" s="22">
        <v>24</v>
      </c>
      <c r="P365" s="22">
        <v>21</v>
      </c>
      <c r="Q365" s="22">
        <v>26</v>
      </c>
      <c r="R365" s="17">
        <v>0.511627906976744</v>
      </c>
      <c r="S365" s="17">
        <v>0.538461538461538</v>
      </c>
      <c r="T365" s="17">
        <v>0.454545454545455</v>
      </c>
      <c r="U365" s="17">
        <v>0.475</v>
      </c>
      <c r="V365" s="23">
        <v>0.446808510638298</v>
      </c>
    </row>
    <row r="366" ht="33" spans="1:22">
      <c r="A366" s="16">
        <v>6725</v>
      </c>
      <c r="B366" s="16" t="s">
        <v>901</v>
      </c>
      <c r="C366" s="19">
        <v>38</v>
      </c>
      <c r="D366" s="19">
        <v>35</v>
      </c>
      <c r="E366" s="19">
        <v>26</v>
      </c>
      <c r="F366" s="19">
        <v>33</v>
      </c>
      <c r="G366" s="19">
        <v>35</v>
      </c>
      <c r="H366" s="20">
        <v>3491.52</v>
      </c>
      <c r="I366" s="20">
        <v>3213.56</v>
      </c>
      <c r="J366" s="21">
        <v>2435.03</v>
      </c>
      <c r="K366" s="21">
        <v>3113.52</v>
      </c>
      <c r="L366" s="21">
        <v>3301.52</v>
      </c>
      <c r="M366" s="22">
        <v>0</v>
      </c>
      <c r="N366" s="22">
        <v>1</v>
      </c>
      <c r="O366" s="22">
        <v>1</v>
      </c>
      <c r="P366" s="22">
        <v>0</v>
      </c>
      <c r="Q366" s="22">
        <v>0</v>
      </c>
      <c r="R366" s="17">
        <v>1</v>
      </c>
      <c r="S366" s="17">
        <v>0.972222222222222</v>
      </c>
      <c r="T366" s="17">
        <v>0.962962962962963</v>
      </c>
      <c r="U366" s="17">
        <v>1</v>
      </c>
      <c r="V366" s="23">
        <v>1</v>
      </c>
    </row>
    <row r="367" ht="33" spans="1:22">
      <c r="A367" s="16">
        <v>6454</v>
      </c>
      <c r="B367" s="16" t="s">
        <v>902</v>
      </c>
      <c r="C367" s="19">
        <v>15</v>
      </c>
      <c r="D367" s="19">
        <v>21</v>
      </c>
      <c r="E367" s="19">
        <v>40</v>
      </c>
      <c r="F367" s="19">
        <v>37</v>
      </c>
      <c r="G367" s="19">
        <v>42</v>
      </c>
      <c r="H367" s="20">
        <v>733.35</v>
      </c>
      <c r="I367" s="20">
        <v>1026.36</v>
      </c>
      <c r="J367" s="21">
        <v>1975.45</v>
      </c>
      <c r="K367" s="21">
        <v>1858.19</v>
      </c>
      <c r="L367" s="21">
        <v>1768.89</v>
      </c>
      <c r="M367" s="22">
        <v>11</v>
      </c>
      <c r="N367" s="22">
        <v>24</v>
      </c>
      <c r="O367" s="22">
        <v>25</v>
      </c>
      <c r="P367" s="22">
        <v>20</v>
      </c>
      <c r="Q367" s="22">
        <v>39</v>
      </c>
      <c r="R367" s="17">
        <v>0.576923076923077</v>
      </c>
      <c r="S367" s="17">
        <v>0.466666666666667</v>
      </c>
      <c r="T367" s="17">
        <v>0.615384615384615</v>
      </c>
      <c r="U367" s="17">
        <v>0.649122807017544</v>
      </c>
      <c r="V367" s="23">
        <v>0.518518518518518</v>
      </c>
    </row>
    <row r="368" ht="33" spans="1:22">
      <c r="A368" s="16">
        <v>6058</v>
      </c>
      <c r="B368" s="16" t="s">
        <v>903</v>
      </c>
      <c r="C368" s="19">
        <v>9</v>
      </c>
      <c r="D368" s="19">
        <v>11</v>
      </c>
      <c r="E368" s="19">
        <v>6</v>
      </c>
      <c r="F368" s="19">
        <v>7</v>
      </c>
      <c r="G368" s="19">
        <v>13</v>
      </c>
      <c r="H368" s="20">
        <v>518.45</v>
      </c>
      <c r="I368" s="20">
        <v>631.96</v>
      </c>
      <c r="J368" s="21">
        <v>333.97</v>
      </c>
      <c r="K368" s="21">
        <v>403.95</v>
      </c>
      <c r="L368" s="21">
        <v>740.56</v>
      </c>
      <c r="M368" s="22">
        <v>0</v>
      </c>
      <c r="N368" s="22">
        <v>0</v>
      </c>
      <c r="O368" s="22">
        <v>0</v>
      </c>
      <c r="P368" s="22">
        <v>0</v>
      </c>
      <c r="Q368" s="22">
        <v>1</v>
      </c>
      <c r="R368" s="17">
        <v>1</v>
      </c>
      <c r="S368" s="17">
        <v>1</v>
      </c>
      <c r="T368" s="17">
        <v>1</v>
      </c>
      <c r="U368" s="17">
        <v>1</v>
      </c>
      <c r="V368" s="23">
        <v>0.928571428571429</v>
      </c>
    </row>
    <row r="369" ht="33" spans="1:22">
      <c r="A369" s="16">
        <v>7643</v>
      </c>
      <c r="B369" s="16" t="s">
        <v>904</v>
      </c>
      <c r="C369" s="19">
        <v>26</v>
      </c>
      <c r="D369" s="19">
        <v>34</v>
      </c>
      <c r="E369" s="19">
        <v>82</v>
      </c>
      <c r="F369" s="19">
        <v>54</v>
      </c>
      <c r="G369" s="19">
        <v>49</v>
      </c>
      <c r="H369" s="20">
        <v>728.14</v>
      </c>
      <c r="I369" s="20">
        <v>935.64</v>
      </c>
      <c r="J369" s="21">
        <v>2213.28</v>
      </c>
      <c r="K369" s="21">
        <v>1504.86</v>
      </c>
      <c r="L369" s="21">
        <v>1377.21</v>
      </c>
      <c r="M369" s="22">
        <v>51</v>
      </c>
      <c r="N369" s="22">
        <v>52</v>
      </c>
      <c r="O369" s="22">
        <v>61</v>
      </c>
      <c r="P369" s="22">
        <v>43</v>
      </c>
      <c r="Q369" s="22">
        <v>51</v>
      </c>
      <c r="R369" s="17">
        <v>0.337662337662338</v>
      </c>
      <c r="S369" s="17">
        <v>0.395348837209302</v>
      </c>
      <c r="T369" s="17">
        <v>0.573426573426573</v>
      </c>
      <c r="U369" s="17">
        <v>0.556701030927835</v>
      </c>
      <c r="V369" s="23">
        <v>0.49</v>
      </c>
    </row>
    <row r="370" ht="33" spans="1:22">
      <c r="A370" s="16">
        <v>7104</v>
      </c>
      <c r="B370" s="16" t="s">
        <v>905</v>
      </c>
      <c r="C370" s="19">
        <v>34</v>
      </c>
      <c r="D370" s="19">
        <v>30</v>
      </c>
      <c r="E370" s="19">
        <v>52</v>
      </c>
      <c r="F370" s="19">
        <v>50</v>
      </c>
      <c r="G370" s="19">
        <v>32</v>
      </c>
      <c r="H370" s="20">
        <v>1461.66</v>
      </c>
      <c r="I370" s="20">
        <v>1289.7</v>
      </c>
      <c r="J370" s="21">
        <v>2235.48</v>
      </c>
      <c r="K370" s="21">
        <v>2149.5</v>
      </c>
      <c r="L370" s="21">
        <v>1356.6</v>
      </c>
      <c r="M370" s="22">
        <v>11</v>
      </c>
      <c r="N370" s="22">
        <v>17</v>
      </c>
      <c r="O370" s="22">
        <v>22</v>
      </c>
      <c r="P370" s="22">
        <v>14</v>
      </c>
      <c r="Q370" s="22">
        <v>105</v>
      </c>
      <c r="R370" s="17">
        <v>0.755555555555556</v>
      </c>
      <c r="S370" s="17">
        <v>0.638297872340426</v>
      </c>
      <c r="T370" s="17">
        <v>0.702702702702703</v>
      </c>
      <c r="U370" s="17">
        <v>0.78125</v>
      </c>
      <c r="V370" s="23">
        <v>0.233576642335766</v>
      </c>
    </row>
    <row r="371" ht="33" spans="1:22">
      <c r="A371" s="16">
        <v>6681</v>
      </c>
      <c r="B371" s="16" t="s">
        <v>906</v>
      </c>
      <c r="C371" s="19">
        <v>20</v>
      </c>
      <c r="D371" s="19">
        <v>16</v>
      </c>
      <c r="E371" s="19">
        <v>18</v>
      </c>
      <c r="F371" s="19">
        <v>35</v>
      </c>
      <c r="G371" s="19">
        <v>31</v>
      </c>
      <c r="H371" s="20">
        <v>1002.12</v>
      </c>
      <c r="I371" s="20">
        <v>780.39</v>
      </c>
      <c r="J371" s="21">
        <v>883.1</v>
      </c>
      <c r="K371" s="21">
        <v>1700.02</v>
      </c>
      <c r="L371" s="21">
        <v>1487.08</v>
      </c>
      <c r="M371" s="22">
        <v>10</v>
      </c>
      <c r="N371" s="22">
        <v>9</v>
      </c>
      <c r="O371" s="22">
        <v>1</v>
      </c>
      <c r="P371" s="22">
        <v>0</v>
      </c>
      <c r="Q371" s="22">
        <v>8</v>
      </c>
      <c r="R371" s="17">
        <v>0.666666666666667</v>
      </c>
      <c r="S371" s="17">
        <v>0.64</v>
      </c>
      <c r="T371" s="17">
        <v>0.947368421052632</v>
      </c>
      <c r="U371" s="17">
        <v>1</v>
      </c>
      <c r="V371" s="23">
        <v>0.794871794871795</v>
      </c>
    </row>
    <row r="372" ht="33" spans="1:22">
      <c r="A372" s="16">
        <v>9551</v>
      </c>
      <c r="B372" s="16" t="s">
        <v>907</v>
      </c>
      <c r="C372" s="19">
        <v>6</v>
      </c>
      <c r="D372" s="19">
        <v>5</v>
      </c>
      <c r="E372" s="19">
        <v>8</v>
      </c>
      <c r="F372" s="19">
        <v>3</v>
      </c>
      <c r="G372" s="19">
        <v>6</v>
      </c>
      <c r="H372" s="20">
        <v>963.85</v>
      </c>
      <c r="I372" s="20">
        <v>798.05</v>
      </c>
      <c r="J372" s="21">
        <v>1250.78</v>
      </c>
      <c r="K372" s="21">
        <v>423</v>
      </c>
      <c r="L372" s="21">
        <v>985.51</v>
      </c>
      <c r="M372" s="22">
        <v>0</v>
      </c>
      <c r="N372" s="22">
        <v>0</v>
      </c>
      <c r="O372" s="22">
        <v>0</v>
      </c>
      <c r="P372" s="22">
        <v>0</v>
      </c>
      <c r="Q372" s="22">
        <v>0</v>
      </c>
      <c r="R372" s="17">
        <v>1</v>
      </c>
      <c r="S372" s="17">
        <v>1</v>
      </c>
      <c r="T372" s="17">
        <v>1</v>
      </c>
      <c r="U372" s="17">
        <v>1</v>
      </c>
      <c r="V372" s="23">
        <v>1</v>
      </c>
    </row>
    <row r="373" ht="33" spans="1:22">
      <c r="A373" s="16">
        <v>9296</v>
      </c>
      <c r="B373" s="16" t="s">
        <v>908</v>
      </c>
      <c r="C373" s="19">
        <v>159</v>
      </c>
      <c r="D373" s="19">
        <v>312</v>
      </c>
      <c r="E373" s="19">
        <v>337</v>
      </c>
      <c r="F373" s="19">
        <v>65</v>
      </c>
      <c r="G373" s="19">
        <v>0</v>
      </c>
      <c r="H373" s="20">
        <v>9651.82999999998</v>
      </c>
      <c r="I373" s="20">
        <v>18607.3399999999</v>
      </c>
      <c r="J373" s="21">
        <v>21490.9500000001</v>
      </c>
      <c r="K373" s="21">
        <v>4708.74</v>
      </c>
      <c r="L373" s="21">
        <v>0</v>
      </c>
      <c r="M373" s="22">
        <v>453</v>
      </c>
      <c r="N373" s="22">
        <v>276</v>
      </c>
      <c r="O373" s="22">
        <v>475</v>
      </c>
      <c r="P373" s="22">
        <v>640</v>
      </c>
      <c r="Q373" s="22">
        <v>225</v>
      </c>
      <c r="R373" s="17">
        <v>0.259803921568627</v>
      </c>
      <c r="S373" s="17">
        <v>0.530612244897959</v>
      </c>
      <c r="T373" s="17">
        <v>0.415024630541872</v>
      </c>
      <c r="U373" s="17">
        <v>0.0921985815602837</v>
      </c>
      <c r="V373" s="23">
        <v>0</v>
      </c>
    </row>
    <row r="374" ht="33" spans="1:22">
      <c r="A374" s="16">
        <v>9821</v>
      </c>
      <c r="B374" s="16" t="s">
        <v>909</v>
      </c>
      <c r="C374" s="19">
        <v>22</v>
      </c>
      <c r="D374" s="19">
        <v>24</v>
      </c>
      <c r="E374" s="19">
        <v>16</v>
      </c>
      <c r="F374" s="19">
        <v>19</v>
      </c>
      <c r="G374" s="19">
        <v>17</v>
      </c>
      <c r="H374" s="20">
        <v>4189.35</v>
      </c>
      <c r="I374" s="20">
        <v>4561.35</v>
      </c>
      <c r="J374" s="21">
        <v>3118</v>
      </c>
      <c r="K374" s="21">
        <v>3606</v>
      </c>
      <c r="L374" s="21">
        <v>3465</v>
      </c>
      <c r="M374" s="22">
        <v>3</v>
      </c>
      <c r="N374" s="22">
        <v>8</v>
      </c>
      <c r="O374" s="22">
        <v>2</v>
      </c>
      <c r="P374" s="22">
        <v>2</v>
      </c>
      <c r="Q374" s="22">
        <v>7</v>
      </c>
      <c r="R374" s="17">
        <v>0.88</v>
      </c>
      <c r="S374" s="17">
        <v>0.75</v>
      </c>
      <c r="T374" s="17">
        <v>0.888888888888889</v>
      </c>
      <c r="U374" s="17">
        <v>0.904761904761905</v>
      </c>
      <c r="V374" s="23">
        <v>0.708333333333333</v>
      </c>
    </row>
    <row r="375" ht="33" spans="1:22">
      <c r="A375" s="16">
        <v>9174</v>
      </c>
      <c r="B375" s="16" t="s">
        <v>910</v>
      </c>
      <c r="C375" s="19">
        <v>18</v>
      </c>
      <c r="D375" s="19">
        <v>57</v>
      </c>
      <c r="E375" s="19">
        <v>76</v>
      </c>
      <c r="F375" s="19">
        <v>103</v>
      </c>
      <c r="G375" s="19">
        <v>91</v>
      </c>
      <c r="H375" s="20">
        <v>3569.15</v>
      </c>
      <c r="I375" s="20">
        <v>9581.40999999999</v>
      </c>
      <c r="J375" s="21">
        <v>11846.45</v>
      </c>
      <c r="K375" s="21">
        <v>14130.32</v>
      </c>
      <c r="L375" s="21">
        <v>11834.58</v>
      </c>
      <c r="M375" s="22">
        <v>126</v>
      </c>
      <c r="N375" s="22">
        <v>250</v>
      </c>
      <c r="O375" s="22">
        <v>241</v>
      </c>
      <c r="P375" s="22">
        <v>316</v>
      </c>
      <c r="Q375" s="22">
        <v>272</v>
      </c>
      <c r="R375" s="17">
        <v>0.125</v>
      </c>
      <c r="S375" s="17">
        <v>0.185667752442997</v>
      </c>
      <c r="T375" s="17">
        <v>0.239747634069401</v>
      </c>
      <c r="U375" s="17">
        <v>0.24582338902148</v>
      </c>
      <c r="V375" s="23">
        <v>0.25068870523416</v>
      </c>
    </row>
    <row r="376" ht="33" spans="1:22">
      <c r="A376" s="16">
        <v>8353</v>
      </c>
      <c r="B376" s="16" t="s">
        <v>911</v>
      </c>
      <c r="C376" s="19">
        <v>10</v>
      </c>
      <c r="D376" s="19">
        <v>11</v>
      </c>
      <c r="E376" s="19">
        <v>7</v>
      </c>
      <c r="F376" s="19">
        <v>9</v>
      </c>
      <c r="G376" s="19">
        <v>6</v>
      </c>
      <c r="H376" s="20">
        <v>1338.92</v>
      </c>
      <c r="I376" s="20">
        <v>1483.91</v>
      </c>
      <c r="J376" s="21">
        <v>943.05</v>
      </c>
      <c r="K376" s="21">
        <v>1211.02</v>
      </c>
      <c r="L376" s="21">
        <v>827.94</v>
      </c>
      <c r="M376" s="22">
        <v>0</v>
      </c>
      <c r="N376" s="22">
        <v>0</v>
      </c>
      <c r="O376" s="22">
        <v>0</v>
      </c>
      <c r="P376" s="22">
        <v>0</v>
      </c>
      <c r="Q376" s="22">
        <v>0</v>
      </c>
      <c r="R376" s="17">
        <v>1</v>
      </c>
      <c r="S376" s="17">
        <v>1</v>
      </c>
      <c r="T376" s="17">
        <v>1</v>
      </c>
      <c r="U376" s="17">
        <v>1</v>
      </c>
      <c r="V376" s="23">
        <v>1</v>
      </c>
    </row>
    <row r="377" ht="33" spans="1:22">
      <c r="A377" s="16">
        <v>8671</v>
      </c>
      <c r="B377" s="16" t="s">
        <v>912</v>
      </c>
      <c r="C377" s="19">
        <v>11</v>
      </c>
      <c r="D377" s="19">
        <v>13</v>
      </c>
      <c r="E377" s="19">
        <v>13</v>
      </c>
      <c r="F377" s="19">
        <v>11</v>
      </c>
      <c r="G377" s="19">
        <v>13</v>
      </c>
      <c r="H377" s="20">
        <v>1478.25</v>
      </c>
      <c r="I377" s="20">
        <v>1755</v>
      </c>
      <c r="J377" s="21">
        <v>1740</v>
      </c>
      <c r="K377" s="21">
        <v>1485</v>
      </c>
      <c r="L377" s="21">
        <v>1773</v>
      </c>
      <c r="M377" s="22">
        <v>2</v>
      </c>
      <c r="N377" s="22">
        <v>8</v>
      </c>
      <c r="O377" s="22">
        <v>6</v>
      </c>
      <c r="P377" s="22">
        <v>13</v>
      </c>
      <c r="Q377" s="22">
        <v>3</v>
      </c>
      <c r="R377" s="17">
        <v>0.846153846153846</v>
      </c>
      <c r="S377" s="17">
        <v>0.619047619047619</v>
      </c>
      <c r="T377" s="17">
        <v>0.684210526315789</v>
      </c>
      <c r="U377" s="17">
        <v>0.458333333333333</v>
      </c>
      <c r="V377" s="23">
        <v>0.8125</v>
      </c>
    </row>
    <row r="378" ht="33" spans="1:22">
      <c r="A378" s="16">
        <v>9932</v>
      </c>
      <c r="B378" s="16" t="s">
        <v>913</v>
      </c>
      <c r="C378" s="19">
        <v>22</v>
      </c>
      <c r="D378" s="19">
        <v>36</v>
      </c>
      <c r="E378" s="19">
        <v>46</v>
      </c>
      <c r="F378" s="19">
        <v>21</v>
      </c>
      <c r="G378" s="19">
        <v>21</v>
      </c>
      <c r="H378" s="20">
        <v>2179.68</v>
      </c>
      <c r="I378" s="20">
        <v>3368.78</v>
      </c>
      <c r="J378" s="21">
        <v>4372.05</v>
      </c>
      <c r="K378" s="21">
        <v>2311.34</v>
      </c>
      <c r="L378" s="21">
        <v>2154.11</v>
      </c>
      <c r="M378" s="22">
        <v>25</v>
      </c>
      <c r="N378" s="22">
        <v>26</v>
      </c>
      <c r="O378" s="22">
        <v>28</v>
      </c>
      <c r="P378" s="22">
        <v>50</v>
      </c>
      <c r="Q378" s="22">
        <v>23</v>
      </c>
      <c r="R378" s="17">
        <v>0.468085106382979</v>
      </c>
      <c r="S378" s="17">
        <v>0.580645161290323</v>
      </c>
      <c r="T378" s="17">
        <v>0.621621621621622</v>
      </c>
      <c r="U378" s="17">
        <v>0.295774647887324</v>
      </c>
      <c r="V378" s="23">
        <v>0.477272727272727</v>
      </c>
    </row>
    <row r="379" ht="33" spans="1:22">
      <c r="A379" s="16">
        <v>9806</v>
      </c>
      <c r="B379" s="16" t="s">
        <v>914</v>
      </c>
      <c r="C379" s="19">
        <v>2</v>
      </c>
      <c r="D379" s="19">
        <v>10</v>
      </c>
      <c r="E379" s="19">
        <v>18</v>
      </c>
      <c r="F379" s="19">
        <v>7</v>
      </c>
      <c r="G379" s="19">
        <v>21</v>
      </c>
      <c r="H379" s="20">
        <v>112.4</v>
      </c>
      <c r="I379" s="20">
        <v>549.9</v>
      </c>
      <c r="J379" s="21">
        <v>989.82</v>
      </c>
      <c r="K379" s="21">
        <v>415.51</v>
      </c>
      <c r="L379" s="21">
        <v>1355.79</v>
      </c>
      <c r="M379" s="22">
        <v>8</v>
      </c>
      <c r="N379" s="22">
        <v>8</v>
      </c>
      <c r="O379" s="22">
        <v>7</v>
      </c>
      <c r="P379" s="22">
        <v>4</v>
      </c>
      <c r="Q379" s="22">
        <v>6</v>
      </c>
      <c r="R379" s="17">
        <v>0.2</v>
      </c>
      <c r="S379" s="17">
        <v>0.555555555555556</v>
      </c>
      <c r="T379" s="17">
        <v>0.72</v>
      </c>
      <c r="U379" s="17">
        <v>0.636363636363636</v>
      </c>
      <c r="V379" s="23">
        <v>0.777777777777778</v>
      </c>
    </row>
    <row r="380" ht="33" spans="1:22">
      <c r="A380" s="16">
        <v>9817</v>
      </c>
      <c r="B380" s="16" t="s">
        <v>915</v>
      </c>
      <c r="C380" s="19">
        <v>5</v>
      </c>
      <c r="D380" s="19">
        <v>7</v>
      </c>
      <c r="E380" s="19">
        <v>8</v>
      </c>
      <c r="F380" s="19">
        <v>5</v>
      </c>
      <c r="G380" s="19">
        <v>2</v>
      </c>
      <c r="H380" s="20">
        <v>787.7</v>
      </c>
      <c r="I380" s="20">
        <v>1085.18</v>
      </c>
      <c r="J380" s="21">
        <v>1253.75</v>
      </c>
      <c r="K380" s="21">
        <v>760.45</v>
      </c>
      <c r="L380" s="21">
        <v>315.23</v>
      </c>
      <c r="M380" s="22">
        <v>4</v>
      </c>
      <c r="N380" s="22">
        <v>2</v>
      </c>
      <c r="O380" s="22">
        <v>0</v>
      </c>
      <c r="P380" s="22">
        <v>9</v>
      </c>
      <c r="Q380" s="22">
        <v>6</v>
      </c>
      <c r="R380" s="17">
        <v>0.555555555555556</v>
      </c>
      <c r="S380" s="17">
        <v>0.777777777777778</v>
      </c>
      <c r="T380" s="17">
        <v>1</v>
      </c>
      <c r="U380" s="17">
        <v>0.357142857142857</v>
      </c>
      <c r="V380" s="23">
        <v>0.25</v>
      </c>
    </row>
    <row r="381" ht="33" spans="1:22">
      <c r="A381" s="16">
        <v>9725</v>
      </c>
      <c r="B381" s="16" t="s">
        <v>916</v>
      </c>
      <c r="C381" s="19">
        <v>20</v>
      </c>
      <c r="D381" s="19">
        <v>13</v>
      </c>
      <c r="E381" s="19">
        <v>29</v>
      </c>
      <c r="F381" s="19">
        <v>22</v>
      </c>
      <c r="G381" s="19">
        <v>14</v>
      </c>
      <c r="H381" s="20">
        <v>1363.42</v>
      </c>
      <c r="I381" s="20">
        <v>885.89</v>
      </c>
      <c r="J381" s="21">
        <v>1906.15</v>
      </c>
      <c r="K381" s="21">
        <v>1401.29</v>
      </c>
      <c r="L381" s="21">
        <v>964</v>
      </c>
      <c r="M381" s="22">
        <v>3</v>
      </c>
      <c r="N381" s="22">
        <v>8</v>
      </c>
      <c r="O381" s="22">
        <v>13</v>
      </c>
      <c r="P381" s="22">
        <v>6</v>
      </c>
      <c r="Q381" s="22">
        <v>8</v>
      </c>
      <c r="R381" s="17">
        <v>0.869565217391304</v>
      </c>
      <c r="S381" s="17">
        <v>0.619047619047619</v>
      </c>
      <c r="T381" s="17">
        <v>0.69047619047619</v>
      </c>
      <c r="U381" s="17">
        <v>0.785714285714286</v>
      </c>
      <c r="V381" s="23">
        <v>0.636363636363636</v>
      </c>
    </row>
    <row r="382" ht="33" spans="1:22">
      <c r="A382" s="16">
        <v>9156</v>
      </c>
      <c r="B382" s="16" t="s">
        <v>917</v>
      </c>
      <c r="C382" s="19">
        <v>8</v>
      </c>
      <c r="D382" s="19">
        <v>6</v>
      </c>
      <c r="E382" s="19">
        <v>4</v>
      </c>
      <c r="F382" s="19">
        <v>6</v>
      </c>
      <c r="G382" s="19">
        <v>8</v>
      </c>
      <c r="H382" s="20">
        <v>735.92</v>
      </c>
      <c r="I382" s="20">
        <v>551.94</v>
      </c>
      <c r="J382" s="21">
        <v>367.96</v>
      </c>
      <c r="K382" s="21">
        <v>551.94</v>
      </c>
      <c r="L382" s="21">
        <v>726.72</v>
      </c>
      <c r="M382" s="22">
        <v>1</v>
      </c>
      <c r="N382" s="22">
        <v>0</v>
      </c>
      <c r="O382" s="22">
        <v>2</v>
      </c>
      <c r="P382" s="22">
        <v>0</v>
      </c>
      <c r="Q382" s="22">
        <v>0</v>
      </c>
      <c r="R382" s="17">
        <v>0.888888888888889</v>
      </c>
      <c r="S382" s="17">
        <v>1</v>
      </c>
      <c r="T382" s="17">
        <v>0.666666666666667</v>
      </c>
      <c r="U382" s="17">
        <v>1</v>
      </c>
      <c r="V382" s="23">
        <v>1</v>
      </c>
    </row>
    <row r="383" ht="33" spans="1:22">
      <c r="A383" s="16">
        <v>9358</v>
      </c>
      <c r="B383" s="16" t="s">
        <v>918</v>
      </c>
      <c r="C383" s="19">
        <v>1</v>
      </c>
      <c r="D383" s="19">
        <v>3</v>
      </c>
      <c r="E383" s="19">
        <v>3</v>
      </c>
      <c r="F383" s="19">
        <v>11</v>
      </c>
      <c r="G383" s="19">
        <v>6</v>
      </c>
      <c r="H383" s="20">
        <v>64.5</v>
      </c>
      <c r="I383" s="20">
        <v>193.5</v>
      </c>
      <c r="J383" s="21">
        <v>209.97</v>
      </c>
      <c r="K383" s="21">
        <v>782.89</v>
      </c>
      <c r="L383" s="21">
        <v>369.99</v>
      </c>
      <c r="M383" s="22">
        <v>12</v>
      </c>
      <c r="N383" s="22">
        <v>14</v>
      </c>
      <c r="O383" s="22">
        <v>17</v>
      </c>
      <c r="P383" s="22">
        <v>18</v>
      </c>
      <c r="Q383" s="22">
        <v>12</v>
      </c>
      <c r="R383" s="17">
        <v>0.0769230769230769</v>
      </c>
      <c r="S383" s="17">
        <v>0.176470588235294</v>
      </c>
      <c r="T383" s="17">
        <v>0.15</v>
      </c>
      <c r="U383" s="17">
        <v>0.379310344827586</v>
      </c>
      <c r="V383" s="23">
        <v>0.333333333333333</v>
      </c>
    </row>
    <row r="384" ht="16.5" spans="1:22">
      <c r="A384" s="16">
        <v>9552</v>
      </c>
      <c r="B384" s="16" t="e">
        <v>#N/A</v>
      </c>
      <c r="C384" s="19">
        <v>0</v>
      </c>
      <c r="D384" s="19">
        <v>1</v>
      </c>
      <c r="E384" s="19">
        <v>0</v>
      </c>
      <c r="F384" s="19">
        <v>0</v>
      </c>
      <c r="G384" s="19">
        <v>0</v>
      </c>
      <c r="H384" s="20">
        <v>0</v>
      </c>
      <c r="I384" s="20">
        <v>63.99</v>
      </c>
      <c r="J384" s="21">
        <v>0</v>
      </c>
      <c r="K384" s="21">
        <v>0</v>
      </c>
      <c r="L384" s="21">
        <v>0</v>
      </c>
      <c r="M384" s="22">
        <v>0</v>
      </c>
      <c r="N384" s="22">
        <v>1</v>
      </c>
      <c r="O384" s="22">
        <v>0</v>
      </c>
      <c r="P384" s="22">
        <v>0</v>
      </c>
      <c r="Q384" s="22" t="e">
        <v>#N/A</v>
      </c>
      <c r="R384" s="17">
        <v>0</v>
      </c>
      <c r="S384" s="17">
        <v>0.5</v>
      </c>
      <c r="T384" s="17">
        <v>0</v>
      </c>
      <c r="U384" s="17">
        <v>0</v>
      </c>
      <c r="V384" s="23" t="e">
        <v>#N/A</v>
      </c>
    </row>
    <row r="385" ht="33" spans="1:22">
      <c r="A385" s="16">
        <v>9258</v>
      </c>
      <c r="B385" s="16" t="s">
        <v>919</v>
      </c>
      <c r="C385" s="19">
        <v>4</v>
      </c>
      <c r="D385" s="19">
        <v>10</v>
      </c>
      <c r="E385" s="19">
        <v>9</v>
      </c>
      <c r="F385" s="19">
        <v>8</v>
      </c>
      <c r="G385" s="19">
        <v>2</v>
      </c>
      <c r="H385" s="20">
        <v>385.25</v>
      </c>
      <c r="I385" s="20">
        <v>860</v>
      </c>
      <c r="J385" s="21">
        <v>797.2</v>
      </c>
      <c r="K385" s="21">
        <v>752.15</v>
      </c>
      <c r="L385" s="21">
        <v>218.9</v>
      </c>
      <c r="M385" s="22">
        <v>0</v>
      </c>
      <c r="N385" s="22">
        <v>5</v>
      </c>
      <c r="O385" s="22">
        <v>6</v>
      </c>
      <c r="P385" s="22">
        <v>11</v>
      </c>
      <c r="Q385" s="22">
        <v>14</v>
      </c>
      <c r="R385" s="17">
        <v>1</v>
      </c>
      <c r="S385" s="17">
        <v>0.666666666666667</v>
      </c>
      <c r="T385" s="17">
        <v>0.6</v>
      </c>
      <c r="U385" s="17">
        <v>0.421052631578947</v>
      </c>
      <c r="V385" s="23">
        <v>0.125</v>
      </c>
    </row>
    <row r="386" ht="33" spans="1:22">
      <c r="A386" s="16">
        <v>8525</v>
      </c>
      <c r="B386" s="16" t="s">
        <v>920</v>
      </c>
      <c r="C386" s="19">
        <v>4</v>
      </c>
      <c r="D386" s="19">
        <v>11</v>
      </c>
      <c r="E386" s="19">
        <v>13</v>
      </c>
      <c r="F386" s="19">
        <v>7</v>
      </c>
      <c r="G386" s="19">
        <v>3</v>
      </c>
      <c r="H386" s="20">
        <v>235.98</v>
      </c>
      <c r="I386" s="20">
        <v>634.92</v>
      </c>
      <c r="J386" s="21">
        <v>711.92</v>
      </c>
      <c r="K386" s="21">
        <v>409.94</v>
      </c>
      <c r="L386" s="21">
        <v>150.99</v>
      </c>
      <c r="M386" s="22">
        <v>2</v>
      </c>
      <c r="N386" s="22">
        <v>0</v>
      </c>
      <c r="O386" s="22">
        <v>1</v>
      </c>
      <c r="P386" s="22">
        <v>2</v>
      </c>
      <c r="Q386" s="22">
        <v>2</v>
      </c>
      <c r="R386" s="17">
        <v>0.666666666666667</v>
      </c>
      <c r="S386" s="17">
        <v>1</v>
      </c>
      <c r="T386" s="17">
        <v>0.928571428571429</v>
      </c>
      <c r="U386" s="17">
        <v>0.777777777777778</v>
      </c>
      <c r="V386" s="23">
        <v>0.6</v>
      </c>
    </row>
    <row r="387" ht="33" spans="1:22">
      <c r="A387" s="16">
        <v>8526</v>
      </c>
      <c r="B387" s="16" t="s">
        <v>921</v>
      </c>
      <c r="C387" s="19">
        <v>9</v>
      </c>
      <c r="D387" s="19">
        <v>7</v>
      </c>
      <c r="E387" s="19">
        <v>5</v>
      </c>
      <c r="F387" s="19">
        <v>6</v>
      </c>
      <c r="G387" s="19">
        <v>5</v>
      </c>
      <c r="H387" s="20">
        <v>322.29</v>
      </c>
      <c r="I387" s="20">
        <v>255.12</v>
      </c>
      <c r="J387" s="21">
        <v>180.75</v>
      </c>
      <c r="K387" s="21">
        <v>211.7</v>
      </c>
      <c r="L387" s="21">
        <v>171.25</v>
      </c>
      <c r="M387" s="22">
        <v>0</v>
      </c>
      <c r="N387" s="22">
        <v>0</v>
      </c>
      <c r="O387" s="22">
        <v>1</v>
      </c>
      <c r="P387" s="22">
        <v>2</v>
      </c>
      <c r="Q387" s="22">
        <v>1</v>
      </c>
      <c r="R387" s="17">
        <v>1</v>
      </c>
      <c r="S387" s="17">
        <v>1</v>
      </c>
      <c r="T387" s="17">
        <v>0.833333333333333</v>
      </c>
      <c r="U387" s="17">
        <v>0.75</v>
      </c>
      <c r="V387" s="23">
        <v>0.833333333333333</v>
      </c>
    </row>
    <row r="388" ht="33" spans="1:22">
      <c r="A388" s="16">
        <v>9553</v>
      </c>
      <c r="B388" s="16" t="s">
        <v>922</v>
      </c>
      <c r="C388" s="19">
        <v>8</v>
      </c>
      <c r="D388" s="19">
        <v>7</v>
      </c>
      <c r="E388" s="19">
        <v>18</v>
      </c>
      <c r="F388" s="19">
        <v>8</v>
      </c>
      <c r="G388" s="19">
        <v>8</v>
      </c>
      <c r="H388" s="20">
        <v>424.12</v>
      </c>
      <c r="I388" s="20">
        <v>412.93</v>
      </c>
      <c r="J388" s="21">
        <v>1061.82</v>
      </c>
      <c r="K388" s="21">
        <v>477.92</v>
      </c>
      <c r="L388" s="21">
        <v>490.72</v>
      </c>
      <c r="M388" s="22">
        <v>5</v>
      </c>
      <c r="N388" s="22">
        <v>4</v>
      </c>
      <c r="O388" s="22">
        <v>6</v>
      </c>
      <c r="P388" s="22">
        <v>7</v>
      </c>
      <c r="Q388" s="22">
        <v>6</v>
      </c>
      <c r="R388" s="17">
        <v>0.615384615384615</v>
      </c>
      <c r="S388" s="17">
        <v>0.636363636363636</v>
      </c>
      <c r="T388" s="17">
        <v>0.75</v>
      </c>
      <c r="U388" s="17">
        <v>0.533333333333333</v>
      </c>
      <c r="V388" s="23">
        <v>0.571428571428571</v>
      </c>
    </row>
    <row r="389" ht="33" spans="1:22">
      <c r="A389" s="16">
        <v>9776</v>
      </c>
      <c r="B389" s="16" t="s">
        <v>923</v>
      </c>
      <c r="C389" s="19">
        <v>14</v>
      </c>
      <c r="D389" s="19">
        <v>17</v>
      </c>
      <c r="E389" s="19">
        <v>40</v>
      </c>
      <c r="F389" s="19">
        <v>36</v>
      </c>
      <c r="G389" s="19">
        <v>39</v>
      </c>
      <c r="H389" s="20">
        <v>624.16</v>
      </c>
      <c r="I389" s="20">
        <v>792.03</v>
      </c>
      <c r="J389" s="21">
        <v>1863.6</v>
      </c>
      <c r="K389" s="21">
        <v>1788.59</v>
      </c>
      <c r="L389" s="21">
        <v>2124.19</v>
      </c>
      <c r="M389" s="22">
        <v>34</v>
      </c>
      <c r="N389" s="22">
        <v>20</v>
      </c>
      <c r="O389" s="22">
        <v>23</v>
      </c>
      <c r="P389" s="22">
        <v>29</v>
      </c>
      <c r="Q389" s="22">
        <v>14</v>
      </c>
      <c r="R389" s="17">
        <v>0.291666666666667</v>
      </c>
      <c r="S389" s="17">
        <v>0.459459459459459</v>
      </c>
      <c r="T389" s="17">
        <v>0.634920634920635</v>
      </c>
      <c r="U389" s="17">
        <v>0.553846153846154</v>
      </c>
      <c r="V389" s="23">
        <v>0.735849056603774</v>
      </c>
    </row>
    <row r="390" ht="33" spans="1:22">
      <c r="A390" s="16">
        <v>9227</v>
      </c>
      <c r="B390" s="16" t="s">
        <v>924</v>
      </c>
      <c r="C390" s="19">
        <v>1</v>
      </c>
      <c r="D390" s="19">
        <v>0</v>
      </c>
      <c r="E390" s="19">
        <v>4</v>
      </c>
      <c r="F390" s="19">
        <v>0</v>
      </c>
      <c r="G390" s="19">
        <v>0</v>
      </c>
      <c r="H390" s="20">
        <v>36.09</v>
      </c>
      <c r="I390" s="20">
        <v>0</v>
      </c>
      <c r="J390" s="21">
        <v>136.59</v>
      </c>
      <c r="K390" s="21">
        <v>0</v>
      </c>
      <c r="L390" s="21">
        <v>0</v>
      </c>
      <c r="M390" s="22">
        <v>2</v>
      </c>
      <c r="N390" s="22">
        <v>8</v>
      </c>
      <c r="O390" s="22">
        <v>12</v>
      </c>
      <c r="P390" s="22">
        <v>12</v>
      </c>
      <c r="Q390" s="22">
        <v>7</v>
      </c>
      <c r="R390" s="17">
        <v>0.333333333333333</v>
      </c>
      <c r="S390" s="17">
        <v>0</v>
      </c>
      <c r="T390" s="17">
        <v>0.25</v>
      </c>
      <c r="U390" s="17">
        <v>0</v>
      </c>
      <c r="V390" s="23">
        <v>0</v>
      </c>
    </row>
    <row r="391" ht="33" spans="1:22">
      <c r="A391" s="16">
        <v>9233</v>
      </c>
      <c r="B391" s="16" t="s">
        <v>925</v>
      </c>
      <c r="C391" s="19">
        <v>66</v>
      </c>
      <c r="D391" s="19">
        <v>49</v>
      </c>
      <c r="E391" s="19">
        <v>32</v>
      </c>
      <c r="F391" s="19">
        <v>26</v>
      </c>
      <c r="G391" s="19">
        <v>22</v>
      </c>
      <c r="H391" s="20">
        <v>745.470000000001</v>
      </c>
      <c r="I391" s="20">
        <v>553.15</v>
      </c>
      <c r="J391" s="21">
        <v>358.39</v>
      </c>
      <c r="K391" s="21">
        <v>295.06</v>
      </c>
      <c r="L391" s="21">
        <v>267.76</v>
      </c>
      <c r="M391" s="22">
        <v>15</v>
      </c>
      <c r="N391" s="22">
        <v>25</v>
      </c>
      <c r="O391" s="22">
        <v>8</v>
      </c>
      <c r="P391" s="22">
        <v>10</v>
      </c>
      <c r="Q391" s="22">
        <v>12</v>
      </c>
      <c r="R391" s="17">
        <v>0.814814814814815</v>
      </c>
      <c r="S391" s="17">
        <v>0.662162162162162</v>
      </c>
      <c r="T391" s="17">
        <v>0.8</v>
      </c>
      <c r="U391" s="17">
        <v>0.722222222222222</v>
      </c>
      <c r="V391" s="23">
        <v>0.647058823529412</v>
      </c>
    </row>
    <row r="392" ht="33" spans="1:22">
      <c r="A392" s="16">
        <v>9234</v>
      </c>
      <c r="B392" s="16" t="s">
        <v>926</v>
      </c>
      <c r="C392" s="19">
        <v>8</v>
      </c>
      <c r="D392" s="19">
        <v>13</v>
      </c>
      <c r="E392" s="19">
        <v>7</v>
      </c>
      <c r="F392" s="19">
        <v>4</v>
      </c>
      <c r="G392" s="19">
        <v>5</v>
      </c>
      <c r="H392" s="20">
        <v>93.48</v>
      </c>
      <c r="I392" s="20">
        <v>151.14</v>
      </c>
      <c r="J392" s="21">
        <v>82.9</v>
      </c>
      <c r="K392" s="21">
        <v>47.76</v>
      </c>
      <c r="L392" s="21">
        <v>62.88</v>
      </c>
      <c r="M392" s="22">
        <v>4</v>
      </c>
      <c r="N392" s="22">
        <v>1</v>
      </c>
      <c r="O392" s="22">
        <v>15</v>
      </c>
      <c r="P392" s="22">
        <v>1</v>
      </c>
      <c r="Q392" s="22">
        <v>14</v>
      </c>
      <c r="R392" s="17">
        <v>0.666666666666667</v>
      </c>
      <c r="S392" s="17">
        <v>0.928571428571429</v>
      </c>
      <c r="T392" s="17">
        <v>0.318181818181818</v>
      </c>
      <c r="U392" s="17">
        <v>0.8</v>
      </c>
      <c r="V392" s="23">
        <v>0.263157894736842</v>
      </c>
    </row>
    <row r="393" ht="33" spans="1:22">
      <c r="A393" s="16">
        <v>9228</v>
      </c>
      <c r="B393" s="16" t="s">
        <v>927</v>
      </c>
      <c r="C393" s="19">
        <v>15</v>
      </c>
      <c r="D393" s="19">
        <v>13</v>
      </c>
      <c r="E393" s="19">
        <v>8</v>
      </c>
      <c r="F393" s="19">
        <v>11</v>
      </c>
      <c r="G393" s="19">
        <v>11</v>
      </c>
      <c r="H393" s="20">
        <v>605.97</v>
      </c>
      <c r="I393" s="20">
        <v>525.99</v>
      </c>
      <c r="J393" s="21">
        <v>324</v>
      </c>
      <c r="K393" s="21">
        <v>444.49</v>
      </c>
      <c r="L393" s="21">
        <v>438.89</v>
      </c>
      <c r="M393" s="22">
        <v>5</v>
      </c>
      <c r="N393" s="22">
        <v>6</v>
      </c>
      <c r="O393" s="22">
        <v>12</v>
      </c>
      <c r="P393" s="22">
        <v>13</v>
      </c>
      <c r="Q393" s="22">
        <v>7</v>
      </c>
      <c r="R393" s="17">
        <v>0.75</v>
      </c>
      <c r="S393" s="17">
        <v>0.684210526315789</v>
      </c>
      <c r="T393" s="17">
        <v>0.4</v>
      </c>
      <c r="U393" s="17">
        <v>0.458333333333333</v>
      </c>
      <c r="V393" s="23">
        <v>0.611111111111111</v>
      </c>
    </row>
    <row r="394" ht="16.5" spans="1:22">
      <c r="A394" s="16">
        <v>8903</v>
      </c>
      <c r="B394" s="16" t="e">
        <v>#N/A</v>
      </c>
      <c r="C394" s="19">
        <v>1</v>
      </c>
      <c r="D394" s="19">
        <v>1</v>
      </c>
      <c r="E394" s="19">
        <v>0</v>
      </c>
      <c r="F394" s="19">
        <v>0</v>
      </c>
      <c r="G394" s="19">
        <v>0</v>
      </c>
      <c r="H394" s="20">
        <v>20.9</v>
      </c>
      <c r="I394" s="20">
        <v>19</v>
      </c>
      <c r="J394" s="21">
        <v>0</v>
      </c>
      <c r="K394" s="21">
        <v>0</v>
      </c>
      <c r="L394" s="21">
        <v>0</v>
      </c>
      <c r="M394" s="22">
        <v>4</v>
      </c>
      <c r="N394" s="22">
        <v>2</v>
      </c>
      <c r="O394" s="22">
        <v>6</v>
      </c>
      <c r="P394" s="22">
        <v>0</v>
      </c>
      <c r="Q394" s="22" t="e">
        <v>#N/A</v>
      </c>
      <c r="R394" s="17">
        <v>0.2</v>
      </c>
      <c r="S394" s="17">
        <v>0.333333333333333</v>
      </c>
      <c r="T394" s="17">
        <v>0</v>
      </c>
      <c r="U394" s="17">
        <v>0</v>
      </c>
      <c r="V394" s="23" t="e">
        <v>#N/A</v>
      </c>
    </row>
    <row r="395" ht="49.5" spans="1:22">
      <c r="A395" s="16">
        <v>8899</v>
      </c>
      <c r="B395" s="16" t="s">
        <v>928</v>
      </c>
      <c r="C395" s="19">
        <v>3</v>
      </c>
      <c r="D395" s="19">
        <v>5</v>
      </c>
      <c r="E395" s="19">
        <v>8</v>
      </c>
      <c r="F395" s="19">
        <v>6</v>
      </c>
      <c r="G395" s="19">
        <v>11</v>
      </c>
      <c r="H395" s="20">
        <v>121.5</v>
      </c>
      <c r="I395" s="20">
        <v>202.5</v>
      </c>
      <c r="J395" s="21">
        <v>335.13</v>
      </c>
      <c r="K395" s="21">
        <v>255.18</v>
      </c>
      <c r="L395" s="21">
        <v>467.83</v>
      </c>
      <c r="M395" s="22">
        <v>3</v>
      </c>
      <c r="N395" s="22">
        <v>6</v>
      </c>
      <c r="O395" s="22">
        <v>6</v>
      </c>
      <c r="P395" s="22">
        <v>0</v>
      </c>
      <c r="Q395" s="22">
        <v>6</v>
      </c>
      <c r="R395" s="17">
        <v>0.5</v>
      </c>
      <c r="S395" s="17">
        <v>0.454545454545455</v>
      </c>
      <c r="T395" s="17">
        <v>0.571428571428571</v>
      </c>
      <c r="U395" s="17">
        <v>1</v>
      </c>
      <c r="V395" s="23">
        <v>0.647058823529412</v>
      </c>
    </row>
    <row r="396" ht="49.5" spans="1:22">
      <c r="A396" s="16">
        <v>8906</v>
      </c>
      <c r="B396" s="16" t="s">
        <v>929</v>
      </c>
      <c r="C396" s="19">
        <v>9</v>
      </c>
      <c r="D396" s="19">
        <v>10</v>
      </c>
      <c r="E396" s="19">
        <v>7</v>
      </c>
      <c r="F396" s="19">
        <v>10</v>
      </c>
      <c r="G396" s="19">
        <v>11</v>
      </c>
      <c r="H396" s="20">
        <v>389.88</v>
      </c>
      <c r="I396" s="20">
        <v>409.89</v>
      </c>
      <c r="J396" s="21">
        <v>303.24</v>
      </c>
      <c r="K396" s="21">
        <v>433.7</v>
      </c>
      <c r="L396" s="21">
        <v>477.02</v>
      </c>
      <c r="M396" s="22">
        <v>2</v>
      </c>
      <c r="N396" s="22">
        <v>0</v>
      </c>
      <c r="O396" s="22">
        <v>4</v>
      </c>
      <c r="P396" s="22">
        <v>1</v>
      </c>
      <c r="Q396" s="22">
        <v>3</v>
      </c>
      <c r="R396" s="17">
        <v>0.818181818181818</v>
      </c>
      <c r="S396" s="17">
        <v>1</v>
      </c>
      <c r="T396" s="17">
        <v>0.636363636363636</v>
      </c>
      <c r="U396" s="17">
        <v>0.909090909090909</v>
      </c>
      <c r="V396" s="23">
        <v>0.785714285714286</v>
      </c>
    </row>
    <row r="397" ht="49.5" spans="1:22">
      <c r="A397" s="16">
        <v>9723</v>
      </c>
      <c r="B397" s="16" t="s">
        <v>930</v>
      </c>
      <c r="C397" s="19">
        <v>16</v>
      </c>
      <c r="D397" s="19">
        <v>20</v>
      </c>
      <c r="E397" s="19">
        <v>16</v>
      </c>
      <c r="F397" s="19">
        <v>17</v>
      </c>
      <c r="G397" s="19">
        <v>13</v>
      </c>
      <c r="H397" s="20">
        <v>760.28</v>
      </c>
      <c r="I397" s="20">
        <v>957.6</v>
      </c>
      <c r="J397" s="21">
        <v>766.1</v>
      </c>
      <c r="K397" s="21">
        <v>816</v>
      </c>
      <c r="L397" s="21">
        <v>624</v>
      </c>
      <c r="M397" s="22">
        <v>21</v>
      </c>
      <c r="N397" s="22">
        <v>9</v>
      </c>
      <c r="O397" s="22">
        <v>6</v>
      </c>
      <c r="P397" s="22">
        <v>14</v>
      </c>
      <c r="Q397" s="22">
        <v>13</v>
      </c>
      <c r="R397" s="17">
        <v>0.432432432432432</v>
      </c>
      <c r="S397" s="17">
        <v>0.689655172413793</v>
      </c>
      <c r="T397" s="17">
        <v>0.727272727272727</v>
      </c>
      <c r="U397" s="17">
        <v>0.548387096774194</v>
      </c>
      <c r="V397" s="23">
        <v>0.5</v>
      </c>
    </row>
    <row r="398" ht="16.5" spans="1:22">
      <c r="A398" s="16">
        <v>8914</v>
      </c>
      <c r="B398" s="16" t="e">
        <v>#N/A</v>
      </c>
      <c r="C398" s="19">
        <v>1</v>
      </c>
      <c r="D398" s="19">
        <v>1</v>
      </c>
      <c r="E398" s="19">
        <v>0</v>
      </c>
      <c r="F398" s="19">
        <v>0</v>
      </c>
      <c r="G398" s="19">
        <v>0</v>
      </c>
      <c r="H398" s="20">
        <v>19.99</v>
      </c>
      <c r="I398" s="20">
        <v>17.09</v>
      </c>
      <c r="J398" s="21">
        <v>0</v>
      </c>
      <c r="K398" s="21">
        <v>0</v>
      </c>
      <c r="L398" s="21">
        <v>0</v>
      </c>
      <c r="M398" s="22">
        <v>3</v>
      </c>
      <c r="N398" s="22">
        <v>3</v>
      </c>
      <c r="O398" s="22">
        <v>9</v>
      </c>
      <c r="P398" s="22">
        <v>0</v>
      </c>
      <c r="Q398" s="22" t="e">
        <v>#N/A</v>
      </c>
      <c r="R398" s="17">
        <v>0.25</v>
      </c>
      <c r="S398" s="17">
        <v>0.25</v>
      </c>
      <c r="T398" s="17">
        <v>0</v>
      </c>
      <c r="U398" s="17">
        <v>0</v>
      </c>
      <c r="V398" s="23" t="e">
        <v>#N/A</v>
      </c>
    </row>
    <row r="399" ht="49.5" spans="1:22">
      <c r="A399" s="16">
        <v>8908</v>
      </c>
      <c r="B399" s="16" t="s">
        <v>931</v>
      </c>
      <c r="C399" s="19">
        <v>0</v>
      </c>
      <c r="D399" s="19">
        <v>4</v>
      </c>
      <c r="E399" s="19">
        <v>2</v>
      </c>
      <c r="F399" s="19">
        <v>3</v>
      </c>
      <c r="G399" s="19">
        <v>1</v>
      </c>
      <c r="H399" s="20">
        <v>0</v>
      </c>
      <c r="I399" s="20">
        <v>54.72</v>
      </c>
      <c r="J399" s="21">
        <v>24.36</v>
      </c>
      <c r="K399" s="21">
        <v>38.04</v>
      </c>
      <c r="L399" s="21">
        <v>13.68</v>
      </c>
      <c r="M399" s="22">
        <v>9</v>
      </c>
      <c r="N399" s="22">
        <v>5</v>
      </c>
      <c r="O399" s="22">
        <v>4</v>
      </c>
      <c r="P399" s="22">
        <v>5</v>
      </c>
      <c r="Q399" s="22">
        <v>2</v>
      </c>
      <c r="R399" s="17">
        <v>0</v>
      </c>
      <c r="S399" s="17">
        <v>0.444444444444444</v>
      </c>
      <c r="T399" s="17">
        <v>0.333333333333333</v>
      </c>
      <c r="U399" s="17">
        <v>0.375</v>
      </c>
      <c r="V399" s="23">
        <v>0.333333333333333</v>
      </c>
    </row>
    <row r="400" ht="49.5" spans="1:22">
      <c r="A400" s="16">
        <v>8675</v>
      </c>
      <c r="B400" s="16" t="s">
        <v>932</v>
      </c>
      <c r="C400" s="19">
        <v>18</v>
      </c>
      <c r="D400" s="19">
        <v>15</v>
      </c>
      <c r="E400" s="19">
        <v>13</v>
      </c>
      <c r="F400" s="19">
        <v>4</v>
      </c>
      <c r="G400" s="19">
        <v>6</v>
      </c>
      <c r="H400" s="20">
        <v>477</v>
      </c>
      <c r="I400" s="20">
        <v>397.5</v>
      </c>
      <c r="J400" s="21">
        <v>346.98</v>
      </c>
      <c r="K400" s="21">
        <v>107.24</v>
      </c>
      <c r="L400" s="21">
        <v>159</v>
      </c>
      <c r="M400" s="22">
        <v>9</v>
      </c>
      <c r="N400" s="22">
        <v>23</v>
      </c>
      <c r="O400" s="22">
        <v>27</v>
      </c>
      <c r="P400" s="22">
        <v>34</v>
      </c>
      <c r="Q400" s="22">
        <v>41</v>
      </c>
      <c r="R400" s="17">
        <v>0.666666666666667</v>
      </c>
      <c r="S400" s="17">
        <v>0.394736842105263</v>
      </c>
      <c r="T400" s="17">
        <v>0.325</v>
      </c>
      <c r="U400" s="17">
        <v>0.105263157894737</v>
      </c>
      <c r="V400" s="23">
        <v>0.127659574468085</v>
      </c>
    </row>
    <row r="401" ht="33" spans="1:22">
      <c r="A401" s="16">
        <v>8984</v>
      </c>
      <c r="B401" s="16" t="s">
        <v>933</v>
      </c>
      <c r="C401" s="19">
        <v>13</v>
      </c>
      <c r="D401" s="19">
        <v>10</v>
      </c>
      <c r="E401" s="19">
        <v>11</v>
      </c>
      <c r="F401" s="19">
        <v>19</v>
      </c>
      <c r="G401" s="19">
        <v>10</v>
      </c>
      <c r="H401" s="20">
        <v>1325.87</v>
      </c>
      <c r="I401" s="20">
        <v>1009.91</v>
      </c>
      <c r="J401" s="21">
        <v>1116.79</v>
      </c>
      <c r="K401" s="21">
        <v>1937.81</v>
      </c>
      <c r="L401" s="21">
        <v>1047.72</v>
      </c>
      <c r="M401" s="22">
        <v>0</v>
      </c>
      <c r="N401" s="22">
        <v>0</v>
      </c>
      <c r="O401" s="22">
        <v>0</v>
      </c>
      <c r="P401" s="22">
        <v>0</v>
      </c>
      <c r="Q401" s="22">
        <v>16</v>
      </c>
      <c r="R401" s="17">
        <v>1</v>
      </c>
      <c r="S401" s="17">
        <v>1</v>
      </c>
      <c r="T401" s="17">
        <v>1</v>
      </c>
      <c r="U401" s="17">
        <v>1</v>
      </c>
      <c r="V401" s="23">
        <v>0.384615384615385</v>
      </c>
    </row>
    <row r="402" ht="33" spans="1:22">
      <c r="A402" s="16">
        <v>9894</v>
      </c>
      <c r="B402" s="16" t="s">
        <v>934</v>
      </c>
      <c r="C402" s="19">
        <v>14</v>
      </c>
      <c r="D402" s="19">
        <v>17</v>
      </c>
      <c r="E402" s="19">
        <v>14</v>
      </c>
      <c r="F402" s="19">
        <v>18</v>
      </c>
      <c r="G402" s="19">
        <v>13</v>
      </c>
      <c r="H402" s="20">
        <v>2034.88</v>
      </c>
      <c r="I402" s="20">
        <v>2464.83</v>
      </c>
      <c r="J402" s="21">
        <v>2029.86</v>
      </c>
      <c r="K402" s="21">
        <v>2710.02</v>
      </c>
      <c r="L402" s="21">
        <v>2046.62</v>
      </c>
      <c r="M402" s="22">
        <v>39</v>
      </c>
      <c r="N402" s="22">
        <v>54</v>
      </c>
      <c r="O402" s="22">
        <v>80</v>
      </c>
      <c r="P402" s="22">
        <v>79</v>
      </c>
      <c r="Q402" s="22">
        <v>80</v>
      </c>
      <c r="R402" s="17">
        <v>0.264150943396226</v>
      </c>
      <c r="S402" s="17">
        <v>0.23943661971831</v>
      </c>
      <c r="T402" s="17">
        <v>0.148936170212766</v>
      </c>
      <c r="U402" s="17">
        <v>0.185567010309278</v>
      </c>
      <c r="V402" s="23">
        <v>0.139784946236559</v>
      </c>
    </row>
    <row r="403" ht="33" spans="1:22">
      <c r="A403" s="16">
        <v>9814</v>
      </c>
      <c r="B403" s="16" t="s">
        <v>935</v>
      </c>
      <c r="C403" s="19">
        <v>4</v>
      </c>
      <c r="D403" s="19">
        <v>2</v>
      </c>
      <c r="E403" s="19">
        <v>12</v>
      </c>
      <c r="F403" s="19">
        <v>13</v>
      </c>
      <c r="G403" s="19">
        <v>6</v>
      </c>
      <c r="H403" s="20">
        <v>526.4</v>
      </c>
      <c r="I403" s="20">
        <v>263.2</v>
      </c>
      <c r="J403" s="21">
        <v>1477.58</v>
      </c>
      <c r="K403" s="21">
        <v>1601.97</v>
      </c>
      <c r="L403" s="21">
        <v>760.54</v>
      </c>
      <c r="M403" s="22">
        <v>19</v>
      </c>
      <c r="N403" s="22">
        <v>19</v>
      </c>
      <c r="O403" s="22">
        <v>26</v>
      </c>
      <c r="P403" s="22">
        <v>18</v>
      </c>
      <c r="Q403" s="22">
        <v>13</v>
      </c>
      <c r="R403" s="17">
        <v>0.173913043478261</v>
      </c>
      <c r="S403" s="17">
        <v>0.0952380952380952</v>
      </c>
      <c r="T403" s="17">
        <v>0.315789473684211</v>
      </c>
      <c r="U403" s="17">
        <v>0.419354838709677</v>
      </c>
      <c r="V403" s="23">
        <v>0.315789473684211</v>
      </c>
    </row>
    <row r="404" ht="33" spans="1:22">
      <c r="A404" s="16">
        <v>9455</v>
      </c>
      <c r="B404" s="16" t="s">
        <v>936</v>
      </c>
      <c r="C404" s="19">
        <v>4</v>
      </c>
      <c r="D404" s="19">
        <v>5</v>
      </c>
      <c r="E404" s="19">
        <v>4</v>
      </c>
      <c r="F404" s="19">
        <v>0</v>
      </c>
      <c r="G404" s="19">
        <v>1</v>
      </c>
      <c r="H404" s="20">
        <v>545</v>
      </c>
      <c r="I404" s="20">
        <v>577.27</v>
      </c>
      <c r="J404" s="21">
        <v>436.36</v>
      </c>
      <c r="K404" s="21">
        <v>0</v>
      </c>
      <c r="L404" s="21">
        <v>110.69</v>
      </c>
      <c r="M404" s="22">
        <v>6</v>
      </c>
      <c r="N404" s="22">
        <v>6</v>
      </c>
      <c r="O404" s="22">
        <v>12</v>
      </c>
      <c r="P404" s="22">
        <v>15</v>
      </c>
      <c r="Q404" s="22">
        <v>25</v>
      </c>
      <c r="R404" s="17">
        <v>0.4</v>
      </c>
      <c r="S404" s="17">
        <v>0.454545454545455</v>
      </c>
      <c r="T404" s="17">
        <v>0.25</v>
      </c>
      <c r="U404" s="17">
        <v>0</v>
      </c>
      <c r="V404" s="23">
        <v>0.0384615384615385</v>
      </c>
    </row>
    <row r="405" ht="16.5" spans="1:22">
      <c r="A405" s="16">
        <v>9581</v>
      </c>
      <c r="B405" s="16" t="e">
        <v>#N/A</v>
      </c>
      <c r="C405" s="19">
        <v>4</v>
      </c>
      <c r="D405" s="19">
        <v>1</v>
      </c>
      <c r="E405" s="19">
        <v>0</v>
      </c>
      <c r="F405" s="19">
        <v>0</v>
      </c>
      <c r="G405" s="19">
        <v>0</v>
      </c>
      <c r="H405" s="20">
        <v>403.5</v>
      </c>
      <c r="I405" s="20">
        <v>79</v>
      </c>
      <c r="J405" s="21">
        <v>0</v>
      </c>
      <c r="K405" s="21">
        <v>0</v>
      </c>
      <c r="L405" s="21">
        <v>0</v>
      </c>
      <c r="M405" s="22">
        <v>3</v>
      </c>
      <c r="N405" s="22">
        <v>0</v>
      </c>
      <c r="O405" s="22">
        <v>8</v>
      </c>
      <c r="P405" s="22">
        <v>0</v>
      </c>
      <c r="Q405" s="22" t="e">
        <v>#N/A</v>
      </c>
      <c r="R405" s="17">
        <v>0.571428571428571</v>
      </c>
      <c r="S405" s="17">
        <v>1</v>
      </c>
      <c r="T405" s="17">
        <v>0</v>
      </c>
      <c r="U405" s="17">
        <v>0</v>
      </c>
      <c r="V405" s="23" t="e">
        <v>#N/A</v>
      </c>
    </row>
    <row r="406" ht="33" spans="1:22">
      <c r="A406" s="16">
        <v>9731</v>
      </c>
      <c r="B406" s="16" t="s">
        <v>937</v>
      </c>
      <c r="C406" s="19">
        <v>11</v>
      </c>
      <c r="D406" s="19">
        <v>8</v>
      </c>
      <c r="E406" s="19">
        <v>18</v>
      </c>
      <c r="F406" s="19">
        <v>20</v>
      </c>
      <c r="G406" s="19">
        <v>9</v>
      </c>
      <c r="H406" s="20">
        <v>1774.11</v>
      </c>
      <c r="I406" s="20">
        <v>1291.97</v>
      </c>
      <c r="J406" s="21">
        <v>2941.49</v>
      </c>
      <c r="K406" s="21">
        <v>3347</v>
      </c>
      <c r="L406" s="21">
        <v>1463</v>
      </c>
      <c r="M406" s="22">
        <v>0</v>
      </c>
      <c r="N406" s="22">
        <v>2</v>
      </c>
      <c r="O406" s="22">
        <v>1</v>
      </c>
      <c r="P406" s="22">
        <v>0</v>
      </c>
      <c r="Q406" s="22">
        <v>0</v>
      </c>
      <c r="R406" s="17">
        <v>1</v>
      </c>
      <c r="S406" s="17">
        <v>0.8</v>
      </c>
      <c r="T406" s="17">
        <v>0.947368421052632</v>
      </c>
      <c r="U406" s="17">
        <v>1</v>
      </c>
      <c r="V406" s="23">
        <v>1</v>
      </c>
    </row>
    <row r="407" ht="33" spans="1:22">
      <c r="A407" s="16">
        <v>9732</v>
      </c>
      <c r="B407" s="16" t="s">
        <v>938</v>
      </c>
      <c r="C407" s="19">
        <v>3</v>
      </c>
      <c r="D407" s="19">
        <v>4</v>
      </c>
      <c r="E407" s="19">
        <v>6</v>
      </c>
      <c r="F407" s="19">
        <v>3</v>
      </c>
      <c r="G407" s="19">
        <v>2</v>
      </c>
      <c r="H407" s="20">
        <v>477</v>
      </c>
      <c r="I407" s="20">
        <v>628</v>
      </c>
      <c r="J407" s="21">
        <v>978.11</v>
      </c>
      <c r="K407" s="21">
        <v>488.01</v>
      </c>
      <c r="L407" s="21">
        <v>325.34</v>
      </c>
      <c r="M407" s="22">
        <v>1</v>
      </c>
      <c r="N407" s="22">
        <v>0</v>
      </c>
      <c r="O407" s="22">
        <v>2</v>
      </c>
      <c r="P407" s="22">
        <v>7</v>
      </c>
      <c r="Q407" s="22">
        <v>2</v>
      </c>
      <c r="R407" s="17">
        <v>0.75</v>
      </c>
      <c r="S407" s="17">
        <v>1</v>
      </c>
      <c r="T407" s="17">
        <v>0.75</v>
      </c>
      <c r="U407" s="17">
        <v>0.3</v>
      </c>
      <c r="V407" s="23">
        <v>0.5</v>
      </c>
    </row>
    <row r="408" ht="33" spans="1:22">
      <c r="A408" s="16">
        <v>7964</v>
      </c>
      <c r="B408" s="16" t="s">
        <v>939</v>
      </c>
      <c r="C408" s="19">
        <v>22</v>
      </c>
      <c r="D408" s="19">
        <v>23</v>
      </c>
      <c r="E408" s="19">
        <v>38</v>
      </c>
      <c r="F408" s="19">
        <v>57</v>
      </c>
      <c r="G408" s="19">
        <v>50</v>
      </c>
      <c r="H408" s="20">
        <v>1561.78</v>
      </c>
      <c r="I408" s="20">
        <v>1594.77</v>
      </c>
      <c r="J408" s="21">
        <v>2623.12</v>
      </c>
      <c r="K408" s="21">
        <v>3788.93</v>
      </c>
      <c r="L408" s="21">
        <v>3426.6</v>
      </c>
      <c r="M408" s="22">
        <v>31</v>
      </c>
      <c r="N408" s="22">
        <v>44</v>
      </c>
      <c r="O408" s="22">
        <v>53</v>
      </c>
      <c r="P408" s="22">
        <v>43</v>
      </c>
      <c r="Q408" s="22">
        <v>20</v>
      </c>
      <c r="R408" s="17">
        <v>0.415094339622642</v>
      </c>
      <c r="S408" s="17">
        <v>0.343283582089552</v>
      </c>
      <c r="T408" s="17">
        <v>0.417582417582418</v>
      </c>
      <c r="U408" s="17">
        <v>0.57</v>
      </c>
      <c r="V408" s="23">
        <v>0.714285714285714</v>
      </c>
    </row>
    <row r="409" ht="33" spans="1:22">
      <c r="A409" s="16">
        <v>8422</v>
      </c>
      <c r="B409" s="16" t="s">
        <v>940</v>
      </c>
      <c r="C409" s="19">
        <v>4</v>
      </c>
      <c r="D409" s="19">
        <v>9</v>
      </c>
      <c r="E409" s="19">
        <v>25</v>
      </c>
      <c r="F409" s="19">
        <v>29</v>
      </c>
      <c r="G409" s="19">
        <v>7</v>
      </c>
      <c r="H409" s="20">
        <v>504.89</v>
      </c>
      <c r="I409" s="20">
        <v>1134.09</v>
      </c>
      <c r="J409" s="21">
        <v>3157.22</v>
      </c>
      <c r="K409" s="21">
        <v>3767.68</v>
      </c>
      <c r="L409" s="21">
        <v>932.93</v>
      </c>
      <c r="M409" s="22">
        <v>17</v>
      </c>
      <c r="N409" s="22">
        <v>9</v>
      </c>
      <c r="O409" s="22">
        <v>5</v>
      </c>
      <c r="P409" s="22">
        <v>30</v>
      </c>
      <c r="Q409" s="22">
        <v>14</v>
      </c>
      <c r="R409" s="17">
        <v>0.19047619047619</v>
      </c>
      <c r="S409" s="17">
        <v>0.5</v>
      </c>
      <c r="T409" s="17">
        <v>0.833333333333333</v>
      </c>
      <c r="U409" s="17">
        <v>0.491525423728814</v>
      </c>
      <c r="V409" s="23">
        <v>0.333333333333333</v>
      </c>
    </row>
    <row r="410" ht="33" spans="1:22">
      <c r="A410" s="16">
        <v>9683</v>
      </c>
      <c r="B410" s="16" t="s">
        <v>941</v>
      </c>
      <c r="C410" s="19">
        <v>41</v>
      </c>
      <c r="D410" s="19">
        <v>54</v>
      </c>
      <c r="E410" s="19">
        <v>49</v>
      </c>
      <c r="F410" s="19">
        <v>40</v>
      </c>
      <c r="G410" s="19">
        <v>35</v>
      </c>
      <c r="H410" s="20">
        <v>7934</v>
      </c>
      <c r="I410" s="20">
        <v>10477.28</v>
      </c>
      <c r="J410" s="21">
        <v>10305.75</v>
      </c>
      <c r="K410" s="21">
        <v>8314.5</v>
      </c>
      <c r="L410" s="21">
        <v>7539.5</v>
      </c>
      <c r="M410" s="22">
        <v>0</v>
      </c>
      <c r="N410" s="22">
        <v>0</v>
      </c>
      <c r="O410" s="22">
        <v>0</v>
      </c>
      <c r="P410" s="22">
        <v>2</v>
      </c>
      <c r="Q410" s="22">
        <v>2</v>
      </c>
      <c r="R410" s="17">
        <v>1</v>
      </c>
      <c r="S410" s="17">
        <v>1</v>
      </c>
      <c r="T410" s="17">
        <v>1</v>
      </c>
      <c r="U410" s="17">
        <v>0.952380952380952</v>
      </c>
      <c r="V410" s="23">
        <v>0.945945945945946</v>
      </c>
    </row>
    <row r="411" ht="33" spans="1:22">
      <c r="A411" s="16">
        <v>9375</v>
      </c>
      <c r="B411" s="16" t="s">
        <v>942</v>
      </c>
      <c r="C411" s="19">
        <v>33</v>
      </c>
      <c r="D411" s="19">
        <v>22</v>
      </c>
      <c r="E411" s="19">
        <v>22</v>
      </c>
      <c r="F411" s="19">
        <v>30</v>
      </c>
      <c r="G411" s="19">
        <v>22</v>
      </c>
      <c r="H411" s="20">
        <v>4249.35</v>
      </c>
      <c r="I411" s="20">
        <v>2842.5</v>
      </c>
      <c r="J411" s="21">
        <v>2852.52</v>
      </c>
      <c r="K411" s="21">
        <v>3910.75</v>
      </c>
      <c r="L411" s="21">
        <v>2858.54</v>
      </c>
      <c r="M411" s="22">
        <v>0</v>
      </c>
      <c r="N411" s="22">
        <v>0</v>
      </c>
      <c r="O411" s="22">
        <v>0</v>
      </c>
      <c r="P411" s="22">
        <v>1</v>
      </c>
      <c r="Q411" s="22">
        <v>2</v>
      </c>
      <c r="R411" s="17">
        <v>1</v>
      </c>
      <c r="S411" s="17">
        <v>1</v>
      </c>
      <c r="T411" s="17">
        <v>1</v>
      </c>
      <c r="U411" s="17">
        <v>0.967741935483871</v>
      </c>
      <c r="V411" s="23">
        <v>0.916666666666667</v>
      </c>
    </row>
    <row r="412" ht="33" spans="1:22">
      <c r="A412" s="16">
        <v>9685</v>
      </c>
      <c r="B412" s="16" t="s">
        <v>943</v>
      </c>
      <c r="C412" s="19">
        <v>6</v>
      </c>
      <c r="D412" s="19">
        <v>18</v>
      </c>
      <c r="E412" s="19">
        <v>14</v>
      </c>
      <c r="F412" s="19">
        <v>9</v>
      </c>
      <c r="G412" s="19">
        <v>10</v>
      </c>
      <c r="H412" s="20">
        <v>299</v>
      </c>
      <c r="I412" s="20">
        <v>842.4</v>
      </c>
      <c r="J412" s="21">
        <v>655.4</v>
      </c>
      <c r="K412" s="21">
        <v>409.7</v>
      </c>
      <c r="L412" s="21">
        <v>449.9</v>
      </c>
      <c r="M412" s="22">
        <v>3</v>
      </c>
      <c r="N412" s="22">
        <v>2</v>
      </c>
      <c r="O412" s="22">
        <v>3</v>
      </c>
      <c r="P412" s="22">
        <v>0</v>
      </c>
      <c r="Q412" s="22">
        <v>1</v>
      </c>
      <c r="R412" s="17">
        <v>0.666666666666667</v>
      </c>
      <c r="S412" s="17">
        <v>0.9</v>
      </c>
      <c r="T412" s="17">
        <v>0.823529411764706</v>
      </c>
      <c r="U412" s="17">
        <v>1</v>
      </c>
      <c r="V412" s="23">
        <v>0.909090909090909</v>
      </c>
    </row>
    <row r="413" ht="49.5" spans="1:22">
      <c r="A413" s="16">
        <v>9686</v>
      </c>
      <c r="B413" s="16" t="s">
        <v>944</v>
      </c>
      <c r="C413" s="19">
        <v>8</v>
      </c>
      <c r="D413" s="19">
        <v>18</v>
      </c>
      <c r="E413" s="19">
        <v>12</v>
      </c>
      <c r="F413" s="19">
        <v>10</v>
      </c>
      <c r="G413" s="19">
        <v>7</v>
      </c>
      <c r="H413" s="20">
        <v>100.8</v>
      </c>
      <c r="I413" s="20">
        <v>237.34</v>
      </c>
      <c r="J413" s="21">
        <v>162.96</v>
      </c>
      <c r="K413" s="21">
        <v>138.82</v>
      </c>
      <c r="L413" s="21">
        <v>96.6</v>
      </c>
      <c r="M413" s="22">
        <v>2</v>
      </c>
      <c r="N413" s="22">
        <v>7</v>
      </c>
      <c r="O413" s="22">
        <v>2</v>
      </c>
      <c r="P413" s="22">
        <v>3</v>
      </c>
      <c r="Q413" s="22">
        <v>10</v>
      </c>
      <c r="R413" s="17">
        <v>0.8</v>
      </c>
      <c r="S413" s="17">
        <v>0.72</v>
      </c>
      <c r="T413" s="17">
        <v>0.857142857142857</v>
      </c>
      <c r="U413" s="17">
        <v>0.769230769230769</v>
      </c>
      <c r="V413" s="23">
        <v>0.411764705882353</v>
      </c>
    </row>
    <row r="414" ht="33" spans="1:22">
      <c r="A414" s="16">
        <v>9490</v>
      </c>
      <c r="B414" s="16" t="s">
        <v>945</v>
      </c>
      <c r="C414" s="19">
        <v>7</v>
      </c>
      <c r="D414" s="19">
        <v>5</v>
      </c>
      <c r="E414" s="19">
        <v>5</v>
      </c>
      <c r="F414" s="19">
        <v>5</v>
      </c>
      <c r="G414" s="19">
        <v>5</v>
      </c>
      <c r="H414" s="20">
        <v>958.96</v>
      </c>
      <c r="I414" s="20">
        <v>653.15</v>
      </c>
      <c r="J414" s="21">
        <v>638.95</v>
      </c>
      <c r="K414" s="21">
        <v>620.16</v>
      </c>
      <c r="L414" s="21">
        <v>646.95</v>
      </c>
      <c r="M414" s="22">
        <v>1</v>
      </c>
      <c r="N414" s="22">
        <v>1</v>
      </c>
      <c r="O414" s="22">
        <v>0</v>
      </c>
      <c r="P414" s="22">
        <v>1</v>
      </c>
      <c r="Q414" s="22">
        <v>2</v>
      </c>
      <c r="R414" s="17">
        <v>0.875</v>
      </c>
      <c r="S414" s="17">
        <v>0.833333333333333</v>
      </c>
      <c r="T414" s="17">
        <v>1</v>
      </c>
      <c r="U414" s="17">
        <v>0.833333333333333</v>
      </c>
      <c r="V414" s="23">
        <v>0.714285714285714</v>
      </c>
    </row>
    <row r="415" ht="33" spans="1:22">
      <c r="A415" s="16">
        <v>8985</v>
      </c>
      <c r="B415" s="16" t="s">
        <v>946</v>
      </c>
      <c r="C415" s="19">
        <v>10</v>
      </c>
      <c r="D415" s="19">
        <v>12</v>
      </c>
      <c r="E415" s="19">
        <v>7</v>
      </c>
      <c r="F415" s="19">
        <v>25</v>
      </c>
      <c r="G415" s="19">
        <v>19</v>
      </c>
      <c r="H415" s="20">
        <v>854</v>
      </c>
      <c r="I415" s="20">
        <v>1068</v>
      </c>
      <c r="J415" s="21">
        <v>623</v>
      </c>
      <c r="K415" s="21">
        <v>2170.76</v>
      </c>
      <c r="L415" s="21">
        <v>1653.9</v>
      </c>
      <c r="M415" s="22">
        <v>1</v>
      </c>
      <c r="N415" s="22">
        <v>1</v>
      </c>
      <c r="O415" s="22">
        <v>5</v>
      </c>
      <c r="P415" s="22">
        <v>4</v>
      </c>
      <c r="Q415" s="22">
        <v>1</v>
      </c>
      <c r="R415" s="17">
        <v>0.909090909090909</v>
      </c>
      <c r="S415" s="17">
        <v>0.923076923076923</v>
      </c>
      <c r="T415" s="17">
        <v>0.583333333333333</v>
      </c>
      <c r="U415" s="17">
        <v>0.862068965517241</v>
      </c>
      <c r="V415" s="23">
        <v>0.95</v>
      </c>
    </row>
    <row r="416" ht="33" spans="1:22">
      <c r="A416" s="16">
        <v>9386</v>
      </c>
      <c r="B416" s="16" t="s">
        <v>947</v>
      </c>
      <c r="C416" s="19">
        <v>6</v>
      </c>
      <c r="D416" s="19">
        <v>5</v>
      </c>
      <c r="E416" s="19">
        <v>4</v>
      </c>
      <c r="F416" s="19">
        <v>2</v>
      </c>
      <c r="G416" s="19">
        <v>3</v>
      </c>
      <c r="H416" s="20">
        <v>956.38</v>
      </c>
      <c r="I416" s="20">
        <v>796.39</v>
      </c>
      <c r="J416" s="21">
        <v>629.29</v>
      </c>
      <c r="K416" s="21">
        <v>318.2</v>
      </c>
      <c r="L416" s="21">
        <v>478.19</v>
      </c>
      <c r="M416" s="22">
        <v>0</v>
      </c>
      <c r="N416" s="22">
        <v>0</v>
      </c>
      <c r="O416" s="22">
        <v>0</v>
      </c>
      <c r="P416" s="22">
        <v>0</v>
      </c>
      <c r="Q416" s="22">
        <v>0</v>
      </c>
      <c r="R416" s="17">
        <v>1</v>
      </c>
      <c r="S416" s="17">
        <v>1</v>
      </c>
      <c r="T416" s="17">
        <v>1</v>
      </c>
      <c r="U416" s="17">
        <v>1</v>
      </c>
      <c r="V416" s="23">
        <v>1</v>
      </c>
    </row>
    <row r="417" ht="33" spans="1:22">
      <c r="A417" s="16">
        <v>9035</v>
      </c>
      <c r="B417" s="16" t="s">
        <v>948</v>
      </c>
      <c r="C417" s="19">
        <v>17</v>
      </c>
      <c r="D417" s="19">
        <v>18</v>
      </c>
      <c r="E417" s="19">
        <v>16</v>
      </c>
      <c r="F417" s="19">
        <v>17</v>
      </c>
      <c r="G417" s="19">
        <v>11</v>
      </c>
      <c r="H417" s="20">
        <v>240.07</v>
      </c>
      <c r="I417" s="20">
        <v>254.13</v>
      </c>
      <c r="J417" s="21">
        <v>232.68</v>
      </c>
      <c r="K417" s="21">
        <v>291.33</v>
      </c>
      <c r="L417" s="21">
        <v>193.44</v>
      </c>
      <c r="M417" s="22">
        <v>7</v>
      </c>
      <c r="N417" s="22">
        <v>3</v>
      </c>
      <c r="O417" s="22">
        <v>4</v>
      </c>
      <c r="P417" s="22">
        <v>3</v>
      </c>
      <c r="Q417" s="22">
        <v>7</v>
      </c>
      <c r="R417" s="17">
        <v>0.708333333333333</v>
      </c>
      <c r="S417" s="17">
        <v>0.857142857142857</v>
      </c>
      <c r="T417" s="17">
        <v>0.8</v>
      </c>
      <c r="U417" s="17">
        <v>0.85</v>
      </c>
      <c r="V417" s="23">
        <v>0.611111111111111</v>
      </c>
    </row>
    <row r="418" ht="33" spans="1:22">
      <c r="A418" s="16">
        <v>9387</v>
      </c>
      <c r="B418" s="16" t="s">
        <v>949</v>
      </c>
      <c r="C418" s="19">
        <v>17</v>
      </c>
      <c r="D418" s="19">
        <v>13</v>
      </c>
      <c r="E418" s="19">
        <v>20</v>
      </c>
      <c r="F418" s="19">
        <v>7</v>
      </c>
      <c r="G418" s="19">
        <v>11</v>
      </c>
      <c r="H418" s="20">
        <v>339.83</v>
      </c>
      <c r="I418" s="20">
        <v>259.88</v>
      </c>
      <c r="J418" s="21">
        <v>404.2</v>
      </c>
      <c r="K418" s="21">
        <v>144.2</v>
      </c>
      <c r="L418" s="21">
        <v>229.6</v>
      </c>
      <c r="M418" s="22">
        <v>7</v>
      </c>
      <c r="N418" s="22">
        <v>5</v>
      </c>
      <c r="O418" s="22">
        <v>11</v>
      </c>
      <c r="P418" s="22">
        <v>3</v>
      </c>
      <c r="Q418" s="22">
        <v>6</v>
      </c>
      <c r="R418" s="17">
        <v>0.708333333333333</v>
      </c>
      <c r="S418" s="17">
        <v>0.722222222222222</v>
      </c>
      <c r="T418" s="17">
        <v>0.645161290322581</v>
      </c>
      <c r="U418" s="17">
        <v>0.7</v>
      </c>
      <c r="V418" s="23">
        <v>0.647058823529412</v>
      </c>
    </row>
    <row r="419" ht="33" spans="1:22">
      <c r="A419" s="16">
        <v>9112</v>
      </c>
      <c r="B419" s="16" t="s">
        <v>950</v>
      </c>
      <c r="C419" s="19">
        <v>22</v>
      </c>
      <c r="D419" s="19">
        <v>7</v>
      </c>
      <c r="E419" s="19">
        <v>20</v>
      </c>
      <c r="F419" s="19">
        <v>22</v>
      </c>
      <c r="G419" s="19">
        <v>18</v>
      </c>
      <c r="H419" s="20">
        <v>239.58</v>
      </c>
      <c r="I419" s="20">
        <v>76.23</v>
      </c>
      <c r="J419" s="21">
        <v>223.8</v>
      </c>
      <c r="K419" s="21">
        <v>269.83</v>
      </c>
      <c r="L419" s="21">
        <v>210.94</v>
      </c>
      <c r="M419" s="22">
        <v>18</v>
      </c>
      <c r="N419" s="22">
        <v>16</v>
      </c>
      <c r="O419" s="22">
        <v>1</v>
      </c>
      <c r="P419" s="22">
        <v>10</v>
      </c>
      <c r="Q419" s="22">
        <v>20</v>
      </c>
      <c r="R419" s="17">
        <v>0.55</v>
      </c>
      <c r="S419" s="17">
        <v>0.304347826086957</v>
      </c>
      <c r="T419" s="17">
        <v>0.952380952380952</v>
      </c>
      <c r="U419" s="17">
        <v>0.6875</v>
      </c>
      <c r="V419" s="23">
        <v>0.473684210526316</v>
      </c>
    </row>
    <row r="420" ht="33" spans="1:22">
      <c r="A420" s="16">
        <v>9113</v>
      </c>
      <c r="B420" s="16" t="s">
        <v>951</v>
      </c>
      <c r="C420" s="19">
        <v>18</v>
      </c>
      <c r="D420" s="19">
        <v>19</v>
      </c>
      <c r="E420" s="19">
        <v>8</v>
      </c>
      <c r="F420" s="19">
        <v>8</v>
      </c>
      <c r="G420" s="19">
        <v>14</v>
      </c>
      <c r="H420" s="20">
        <v>315</v>
      </c>
      <c r="I420" s="20">
        <v>332.5</v>
      </c>
      <c r="J420" s="21">
        <v>139.13</v>
      </c>
      <c r="K420" s="21">
        <v>140</v>
      </c>
      <c r="L420" s="21">
        <v>245</v>
      </c>
      <c r="M420" s="22">
        <v>10</v>
      </c>
      <c r="N420" s="22">
        <v>8</v>
      </c>
      <c r="O420" s="22">
        <v>9</v>
      </c>
      <c r="P420" s="22">
        <v>19</v>
      </c>
      <c r="Q420" s="22">
        <v>12</v>
      </c>
      <c r="R420" s="17">
        <v>0.642857142857143</v>
      </c>
      <c r="S420" s="17">
        <v>0.703703703703704</v>
      </c>
      <c r="T420" s="17">
        <v>0.470588235294118</v>
      </c>
      <c r="U420" s="17">
        <v>0.296296296296296</v>
      </c>
      <c r="V420" s="23">
        <v>0.538461538461538</v>
      </c>
    </row>
    <row r="421" ht="33" spans="1:22">
      <c r="A421" s="16">
        <v>8986</v>
      </c>
      <c r="B421" s="16" t="s">
        <v>952</v>
      </c>
      <c r="C421" s="19">
        <v>17</v>
      </c>
      <c r="D421" s="19">
        <v>23</v>
      </c>
      <c r="E421" s="19">
        <v>26</v>
      </c>
      <c r="F421" s="19">
        <v>19</v>
      </c>
      <c r="G421" s="19">
        <v>17</v>
      </c>
      <c r="H421" s="20">
        <v>215.73</v>
      </c>
      <c r="I421" s="20">
        <v>291.87</v>
      </c>
      <c r="J421" s="21">
        <v>342.63</v>
      </c>
      <c r="K421" s="21">
        <v>241.11</v>
      </c>
      <c r="L421" s="21">
        <v>221.23</v>
      </c>
      <c r="M421" s="22">
        <v>7</v>
      </c>
      <c r="N421" s="22">
        <v>17</v>
      </c>
      <c r="O421" s="22">
        <v>20</v>
      </c>
      <c r="P421" s="22">
        <v>17</v>
      </c>
      <c r="Q421" s="22">
        <v>22</v>
      </c>
      <c r="R421" s="17">
        <v>0.708333333333333</v>
      </c>
      <c r="S421" s="17">
        <v>0.575</v>
      </c>
      <c r="T421" s="17">
        <v>0.565217391304348</v>
      </c>
      <c r="U421" s="17">
        <v>0.527777777777778</v>
      </c>
      <c r="V421" s="23">
        <v>0.435897435897436</v>
      </c>
    </row>
    <row r="422" ht="33" spans="1:22">
      <c r="A422" s="16">
        <v>9114</v>
      </c>
      <c r="B422" s="16" t="s">
        <v>953</v>
      </c>
      <c r="C422" s="19">
        <v>12</v>
      </c>
      <c r="D422" s="19">
        <v>17</v>
      </c>
      <c r="E422" s="19">
        <v>18</v>
      </c>
      <c r="F422" s="19">
        <v>14</v>
      </c>
      <c r="G422" s="19">
        <v>15</v>
      </c>
      <c r="H422" s="20">
        <v>200.5</v>
      </c>
      <c r="I422" s="20">
        <v>272</v>
      </c>
      <c r="J422" s="21">
        <v>288</v>
      </c>
      <c r="K422" s="21">
        <v>224</v>
      </c>
      <c r="L422" s="21">
        <v>237.12</v>
      </c>
      <c r="M422" s="22">
        <v>20</v>
      </c>
      <c r="N422" s="22">
        <v>23</v>
      </c>
      <c r="O422" s="22">
        <v>14</v>
      </c>
      <c r="P422" s="22">
        <v>12</v>
      </c>
      <c r="Q422" s="22">
        <v>14</v>
      </c>
      <c r="R422" s="17">
        <v>0.375</v>
      </c>
      <c r="S422" s="17">
        <v>0.425</v>
      </c>
      <c r="T422" s="17">
        <v>0.5625</v>
      </c>
      <c r="U422" s="17">
        <v>0.538461538461538</v>
      </c>
      <c r="V422" s="23">
        <v>0.517241379310345</v>
      </c>
    </row>
    <row r="423" ht="33" spans="1:22">
      <c r="A423" s="16">
        <v>9115</v>
      </c>
      <c r="B423" s="16" t="s">
        <v>954</v>
      </c>
      <c r="C423" s="19">
        <v>17</v>
      </c>
      <c r="D423" s="19">
        <v>7</v>
      </c>
      <c r="E423" s="19">
        <v>8</v>
      </c>
      <c r="F423" s="19">
        <v>15</v>
      </c>
      <c r="G423" s="19">
        <v>10</v>
      </c>
      <c r="H423" s="20">
        <v>431.93</v>
      </c>
      <c r="I423" s="20">
        <v>185.43</v>
      </c>
      <c r="J423" s="21">
        <v>192.72</v>
      </c>
      <c r="K423" s="21">
        <v>373.35</v>
      </c>
      <c r="L423" s="21">
        <v>249.1</v>
      </c>
      <c r="M423" s="22">
        <v>5</v>
      </c>
      <c r="N423" s="22">
        <v>17</v>
      </c>
      <c r="O423" s="22">
        <v>10</v>
      </c>
      <c r="P423" s="22">
        <v>1</v>
      </c>
      <c r="Q423" s="22">
        <v>3</v>
      </c>
      <c r="R423" s="17">
        <v>0.772727272727273</v>
      </c>
      <c r="S423" s="17">
        <v>0.291666666666667</v>
      </c>
      <c r="T423" s="17">
        <v>0.444444444444444</v>
      </c>
      <c r="U423" s="17">
        <v>0.9375</v>
      </c>
      <c r="V423" s="23">
        <v>0.769230769230769</v>
      </c>
    </row>
    <row r="424" ht="33" spans="1:22">
      <c r="A424" s="16">
        <v>8677</v>
      </c>
      <c r="B424" s="16" t="s">
        <v>955</v>
      </c>
      <c r="C424" s="19">
        <v>15</v>
      </c>
      <c r="D424" s="19">
        <v>50</v>
      </c>
      <c r="E424" s="19">
        <v>85</v>
      </c>
      <c r="F424" s="19">
        <v>67</v>
      </c>
      <c r="G424" s="19">
        <v>35</v>
      </c>
      <c r="H424" s="20">
        <v>119.77</v>
      </c>
      <c r="I424" s="20">
        <v>399.44</v>
      </c>
      <c r="J424" s="21">
        <v>883.26</v>
      </c>
      <c r="K424" s="21">
        <v>866.9</v>
      </c>
      <c r="L424" s="21">
        <v>457.65</v>
      </c>
      <c r="M424" s="22">
        <v>90</v>
      </c>
      <c r="N424" s="22">
        <v>33</v>
      </c>
      <c r="O424" s="22">
        <v>10</v>
      </c>
      <c r="P424" s="22">
        <v>10</v>
      </c>
      <c r="Q424" s="22">
        <v>19</v>
      </c>
      <c r="R424" s="17">
        <v>0.142857142857143</v>
      </c>
      <c r="S424" s="17">
        <v>0.602409638554217</v>
      </c>
      <c r="T424" s="17">
        <v>0.894736842105263</v>
      </c>
      <c r="U424" s="17">
        <v>0.87012987012987</v>
      </c>
      <c r="V424" s="23">
        <v>0.648148148148148</v>
      </c>
    </row>
    <row r="425" ht="33" spans="1:22">
      <c r="A425" s="16">
        <v>8602</v>
      </c>
      <c r="B425" s="16" t="s">
        <v>956</v>
      </c>
      <c r="C425" s="19">
        <v>14</v>
      </c>
      <c r="D425" s="19">
        <v>14</v>
      </c>
      <c r="E425" s="19">
        <v>7</v>
      </c>
      <c r="F425" s="19">
        <v>12</v>
      </c>
      <c r="G425" s="19">
        <v>3</v>
      </c>
      <c r="H425" s="20">
        <v>227.99</v>
      </c>
      <c r="I425" s="20">
        <v>279.86</v>
      </c>
      <c r="J425" s="21">
        <v>141.13</v>
      </c>
      <c r="K425" s="21">
        <v>237.81</v>
      </c>
      <c r="L425" s="21">
        <v>58.68</v>
      </c>
      <c r="M425" s="22">
        <v>1</v>
      </c>
      <c r="N425" s="22">
        <v>0</v>
      </c>
      <c r="O425" s="22">
        <v>1</v>
      </c>
      <c r="P425" s="22">
        <v>4</v>
      </c>
      <c r="Q425" s="22">
        <v>0</v>
      </c>
      <c r="R425" s="17">
        <v>0.933333333333333</v>
      </c>
      <c r="S425" s="17">
        <v>1</v>
      </c>
      <c r="T425" s="17">
        <v>0.875</v>
      </c>
      <c r="U425" s="17">
        <v>0.75</v>
      </c>
      <c r="V425" s="23">
        <v>1</v>
      </c>
    </row>
    <row r="426" ht="33" spans="1:22">
      <c r="A426" s="16">
        <v>8532</v>
      </c>
      <c r="B426" s="16" t="s">
        <v>957</v>
      </c>
      <c r="C426" s="19">
        <v>25</v>
      </c>
      <c r="D426" s="19">
        <v>29</v>
      </c>
      <c r="E426" s="19">
        <v>52</v>
      </c>
      <c r="F426" s="19">
        <v>53</v>
      </c>
      <c r="G426" s="19">
        <v>48</v>
      </c>
      <c r="H426" s="20">
        <v>2552.91</v>
      </c>
      <c r="I426" s="20">
        <v>3035</v>
      </c>
      <c r="J426" s="21">
        <v>5423.37</v>
      </c>
      <c r="K426" s="21">
        <v>5528.39</v>
      </c>
      <c r="L426" s="21">
        <v>5012.8</v>
      </c>
      <c r="M426" s="22">
        <v>8</v>
      </c>
      <c r="N426" s="22">
        <v>23</v>
      </c>
      <c r="O426" s="22">
        <v>12</v>
      </c>
      <c r="P426" s="22">
        <v>15</v>
      </c>
      <c r="Q426" s="22">
        <v>13</v>
      </c>
      <c r="R426" s="17">
        <v>0.757575757575758</v>
      </c>
      <c r="S426" s="17">
        <v>0.557692307692308</v>
      </c>
      <c r="T426" s="17">
        <v>0.8125</v>
      </c>
      <c r="U426" s="17">
        <v>0.779411764705882</v>
      </c>
      <c r="V426" s="23">
        <v>0.786885245901639</v>
      </c>
    </row>
    <row r="427" ht="33" spans="1:22">
      <c r="A427" s="16">
        <v>8363</v>
      </c>
      <c r="B427" s="16" t="s">
        <v>958</v>
      </c>
      <c r="C427" s="19">
        <v>7</v>
      </c>
      <c r="D427" s="19">
        <v>18</v>
      </c>
      <c r="E427" s="19">
        <v>23</v>
      </c>
      <c r="F427" s="19">
        <v>17</v>
      </c>
      <c r="G427" s="19">
        <v>17</v>
      </c>
      <c r="H427" s="20">
        <v>230.93</v>
      </c>
      <c r="I427" s="20">
        <v>593.82</v>
      </c>
      <c r="J427" s="21">
        <v>766.52</v>
      </c>
      <c r="K427" s="21">
        <v>602.01</v>
      </c>
      <c r="L427" s="21">
        <v>558.01</v>
      </c>
      <c r="M427" s="22">
        <v>6</v>
      </c>
      <c r="N427" s="22">
        <v>14</v>
      </c>
      <c r="O427" s="22">
        <v>20</v>
      </c>
      <c r="P427" s="22">
        <v>22</v>
      </c>
      <c r="Q427" s="22">
        <v>17</v>
      </c>
      <c r="R427" s="17">
        <v>0.538461538461538</v>
      </c>
      <c r="S427" s="17">
        <v>0.5625</v>
      </c>
      <c r="T427" s="17">
        <v>0.534883720930233</v>
      </c>
      <c r="U427" s="17">
        <v>0.435897435897436</v>
      </c>
      <c r="V427" s="23">
        <v>0.5</v>
      </c>
    </row>
    <row r="428" ht="33" spans="1:22">
      <c r="A428" s="16">
        <v>8364</v>
      </c>
      <c r="B428" s="16" t="s">
        <v>959</v>
      </c>
      <c r="C428" s="19">
        <v>11</v>
      </c>
      <c r="D428" s="19">
        <v>21</v>
      </c>
      <c r="E428" s="19">
        <v>23</v>
      </c>
      <c r="F428" s="19">
        <v>14</v>
      </c>
      <c r="G428" s="19">
        <v>18</v>
      </c>
      <c r="H428" s="20">
        <v>352.29</v>
      </c>
      <c r="I428" s="20">
        <v>667.38</v>
      </c>
      <c r="J428" s="21">
        <v>813.42</v>
      </c>
      <c r="K428" s="21">
        <v>519.36</v>
      </c>
      <c r="L428" s="21">
        <v>667.32</v>
      </c>
      <c r="M428" s="22">
        <v>11</v>
      </c>
      <c r="N428" s="22">
        <v>8</v>
      </c>
      <c r="O428" s="22">
        <v>10</v>
      </c>
      <c r="P428" s="22">
        <v>7</v>
      </c>
      <c r="Q428" s="22">
        <v>19</v>
      </c>
      <c r="R428" s="17">
        <v>0.5</v>
      </c>
      <c r="S428" s="17">
        <v>0.724137931034483</v>
      </c>
      <c r="T428" s="17">
        <v>0.696969696969697</v>
      </c>
      <c r="U428" s="17">
        <v>0.666666666666667</v>
      </c>
      <c r="V428" s="23">
        <v>0.486486486486487</v>
      </c>
    </row>
    <row r="429" ht="33" spans="1:22">
      <c r="A429" s="16">
        <v>8603</v>
      </c>
      <c r="B429" s="16" t="s">
        <v>960</v>
      </c>
      <c r="C429" s="19">
        <v>30</v>
      </c>
      <c r="D429" s="19">
        <v>22</v>
      </c>
      <c r="E429" s="19">
        <v>39</v>
      </c>
      <c r="F429" s="19">
        <v>36</v>
      </c>
      <c r="G429" s="19">
        <v>22</v>
      </c>
      <c r="H429" s="20">
        <v>852.6</v>
      </c>
      <c r="I429" s="20">
        <v>625.24</v>
      </c>
      <c r="J429" s="21">
        <v>1108.38</v>
      </c>
      <c r="K429" s="21">
        <v>985.94</v>
      </c>
      <c r="L429" s="21">
        <v>593.78</v>
      </c>
      <c r="M429" s="22">
        <v>11</v>
      </c>
      <c r="N429" s="22">
        <v>11</v>
      </c>
      <c r="O429" s="22">
        <v>11</v>
      </c>
      <c r="P429" s="22">
        <v>14</v>
      </c>
      <c r="Q429" s="22">
        <v>16</v>
      </c>
      <c r="R429" s="17">
        <v>0.731707317073171</v>
      </c>
      <c r="S429" s="17">
        <v>0.666666666666667</v>
      </c>
      <c r="T429" s="17">
        <v>0.78</v>
      </c>
      <c r="U429" s="17">
        <v>0.72</v>
      </c>
      <c r="V429" s="23">
        <v>0.578947368421053</v>
      </c>
    </row>
    <row r="430" ht="33" spans="1:22">
      <c r="A430" s="16">
        <v>8605</v>
      </c>
      <c r="B430" s="16" t="s">
        <v>961</v>
      </c>
      <c r="C430" s="19">
        <v>2</v>
      </c>
      <c r="D430" s="19">
        <v>3</v>
      </c>
      <c r="E430" s="19">
        <v>6</v>
      </c>
      <c r="F430" s="19">
        <v>3</v>
      </c>
      <c r="G430" s="19">
        <v>2</v>
      </c>
      <c r="H430" s="20">
        <v>36</v>
      </c>
      <c r="I430" s="20">
        <v>48.6</v>
      </c>
      <c r="J430" s="21">
        <v>97.69</v>
      </c>
      <c r="K430" s="21">
        <v>50.07</v>
      </c>
      <c r="L430" s="21">
        <v>33.38</v>
      </c>
      <c r="M430" s="22">
        <v>1</v>
      </c>
      <c r="N430" s="22">
        <v>2</v>
      </c>
      <c r="O430" s="22">
        <v>3</v>
      </c>
      <c r="P430" s="22">
        <v>3</v>
      </c>
      <c r="Q430" s="22">
        <v>2</v>
      </c>
      <c r="R430" s="17">
        <v>0.666666666666667</v>
      </c>
      <c r="S430" s="17">
        <v>0.6</v>
      </c>
      <c r="T430" s="17">
        <v>0.666666666666667</v>
      </c>
      <c r="U430" s="17">
        <v>0.5</v>
      </c>
      <c r="V430" s="23">
        <v>0.5</v>
      </c>
    </row>
    <row r="431" ht="33" spans="1:22">
      <c r="A431" s="16">
        <v>8936</v>
      </c>
      <c r="B431" s="16" t="s">
        <v>962</v>
      </c>
      <c r="C431" s="19">
        <v>15</v>
      </c>
      <c r="D431" s="19">
        <v>28</v>
      </c>
      <c r="E431" s="19">
        <v>57</v>
      </c>
      <c r="F431" s="19">
        <v>36</v>
      </c>
      <c r="G431" s="19">
        <v>30</v>
      </c>
      <c r="H431" s="20">
        <v>575.34</v>
      </c>
      <c r="I431" s="20">
        <v>1050</v>
      </c>
      <c r="J431" s="21">
        <v>2137.5</v>
      </c>
      <c r="K431" s="21">
        <v>1406</v>
      </c>
      <c r="L431" s="21">
        <v>1191.37</v>
      </c>
      <c r="M431" s="22">
        <v>33</v>
      </c>
      <c r="N431" s="22">
        <v>12</v>
      </c>
      <c r="O431" s="22">
        <v>12</v>
      </c>
      <c r="P431" s="22">
        <v>4</v>
      </c>
      <c r="Q431" s="22">
        <v>7</v>
      </c>
      <c r="R431" s="17">
        <v>0.3125</v>
      </c>
      <c r="S431" s="17">
        <v>0.7</v>
      </c>
      <c r="T431" s="17">
        <v>0.826086956521739</v>
      </c>
      <c r="U431" s="17">
        <v>0.9</v>
      </c>
      <c r="V431" s="23">
        <v>0.810810810810811</v>
      </c>
    </row>
    <row r="432" ht="33" spans="1:22">
      <c r="A432" s="16">
        <v>8840</v>
      </c>
      <c r="B432" s="16" t="s">
        <v>963</v>
      </c>
      <c r="C432" s="19">
        <v>8</v>
      </c>
      <c r="D432" s="19">
        <v>8</v>
      </c>
      <c r="E432" s="19">
        <v>19</v>
      </c>
      <c r="F432" s="19">
        <v>17</v>
      </c>
      <c r="G432" s="19">
        <v>4</v>
      </c>
      <c r="H432" s="20">
        <v>161.19</v>
      </c>
      <c r="I432" s="20">
        <v>159.92</v>
      </c>
      <c r="J432" s="21">
        <v>379.87</v>
      </c>
      <c r="K432" s="21">
        <v>341.09</v>
      </c>
      <c r="L432" s="21">
        <v>79.99</v>
      </c>
      <c r="M432" s="22">
        <v>11</v>
      </c>
      <c r="N432" s="22">
        <v>8</v>
      </c>
      <c r="O432" s="22">
        <v>16</v>
      </c>
      <c r="P432" s="22">
        <v>16</v>
      </c>
      <c r="Q432" s="22">
        <v>19</v>
      </c>
      <c r="R432" s="17">
        <v>0.421052631578947</v>
      </c>
      <c r="S432" s="17">
        <v>0.5</v>
      </c>
      <c r="T432" s="17">
        <v>0.542857142857143</v>
      </c>
      <c r="U432" s="17">
        <v>0.515151515151515</v>
      </c>
      <c r="V432" s="23">
        <v>0.173913043478261</v>
      </c>
    </row>
    <row r="433" ht="33" spans="1:22">
      <c r="A433" s="16">
        <v>8841</v>
      </c>
      <c r="B433" s="16" t="s">
        <v>964</v>
      </c>
      <c r="C433" s="19">
        <v>8</v>
      </c>
      <c r="D433" s="19">
        <v>8</v>
      </c>
      <c r="E433" s="19">
        <v>12</v>
      </c>
      <c r="F433" s="19">
        <v>11</v>
      </c>
      <c r="G433" s="19">
        <v>16</v>
      </c>
      <c r="H433" s="20">
        <v>178.72</v>
      </c>
      <c r="I433" s="20">
        <v>182.08</v>
      </c>
      <c r="J433" s="21">
        <v>285.68</v>
      </c>
      <c r="K433" s="21">
        <v>231.09</v>
      </c>
      <c r="L433" s="21">
        <v>313.44</v>
      </c>
      <c r="M433" s="22">
        <v>29</v>
      </c>
      <c r="N433" s="22">
        <v>38</v>
      </c>
      <c r="O433" s="22">
        <v>37</v>
      </c>
      <c r="P433" s="22">
        <v>33</v>
      </c>
      <c r="Q433" s="22">
        <v>20</v>
      </c>
      <c r="R433" s="17">
        <v>0.216216216216216</v>
      </c>
      <c r="S433" s="17">
        <v>0.173913043478261</v>
      </c>
      <c r="T433" s="17">
        <v>0.244897959183673</v>
      </c>
      <c r="U433" s="17">
        <v>0.25</v>
      </c>
      <c r="V433" s="23">
        <v>0.444444444444444</v>
      </c>
    </row>
    <row r="434" ht="33" spans="1:22">
      <c r="A434" s="16">
        <v>8212</v>
      </c>
      <c r="B434" s="16" t="s">
        <v>965</v>
      </c>
      <c r="C434" s="19">
        <v>55</v>
      </c>
      <c r="D434" s="19">
        <v>50</v>
      </c>
      <c r="E434" s="19">
        <v>92</v>
      </c>
      <c r="F434" s="19">
        <v>58</v>
      </c>
      <c r="G434" s="19">
        <v>29</v>
      </c>
      <c r="H434" s="20">
        <v>1961.55</v>
      </c>
      <c r="I434" s="20">
        <v>1731.1</v>
      </c>
      <c r="J434" s="21">
        <v>3190.68</v>
      </c>
      <c r="K434" s="21">
        <v>2186.5</v>
      </c>
      <c r="L434" s="21">
        <v>1193.82</v>
      </c>
      <c r="M434" s="22">
        <v>62</v>
      </c>
      <c r="N434" s="22">
        <v>41</v>
      </c>
      <c r="O434" s="22">
        <v>34</v>
      </c>
      <c r="P434" s="22">
        <v>18</v>
      </c>
      <c r="Q434" s="22">
        <v>77</v>
      </c>
      <c r="R434" s="17">
        <v>0.47008547008547</v>
      </c>
      <c r="S434" s="17">
        <v>0.549450549450549</v>
      </c>
      <c r="T434" s="17">
        <v>0.73015873015873</v>
      </c>
      <c r="U434" s="17">
        <v>0.763157894736842</v>
      </c>
      <c r="V434" s="23">
        <v>0.273584905660377</v>
      </c>
    </row>
    <row r="435" ht="33" spans="1:22">
      <c r="A435" s="16">
        <v>8606</v>
      </c>
      <c r="B435" s="16" t="s">
        <v>966</v>
      </c>
      <c r="C435" s="19">
        <v>40</v>
      </c>
      <c r="D435" s="19">
        <v>97</v>
      </c>
      <c r="E435" s="19">
        <v>103</v>
      </c>
      <c r="F435" s="19">
        <v>111</v>
      </c>
      <c r="G435" s="19">
        <v>72</v>
      </c>
      <c r="H435" s="20">
        <v>1590.35</v>
      </c>
      <c r="I435" s="20">
        <v>3822.88999999999</v>
      </c>
      <c r="J435" s="21">
        <v>4155.04999999999</v>
      </c>
      <c r="K435" s="21">
        <v>4738.60999999999</v>
      </c>
      <c r="L435" s="21">
        <v>3312.61</v>
      </c>
      <c r="M435" s="22">
        <v>53</v>
      </c>
      <c r="N435" s="22">
        <v>76</v>
      </c>
      <c r="O435" s="22">
        <v>86</v>
      </c>
      <c r="P435" s="22">
        <v>72</v>
      </c>
      <c r="Q435" s="22">
        <v>117</v>
      </c>
      <c r="R435" s="17">
        <v>0.43010752688172</v>
      </c>
      <c r="S435" s="17">
        <v>0.560693641618497</v>
      </c>
      <c r="T435" s="17">
        <v>0.544973544973545</v>
      </c>
      <c r="U435" s="17">
        <v>0.60655737704918</v>
      </c>
      <c r="V435" s="23">
        <v>0.380952380952381</v>
      </c>
    </row>
    <row r="436" ht="33" spans="1:22">
      <c r="A436" s="16">
        <v>8607</v>
      </c>
      <c r="B436" s="16" t="s">
        <v>967</v>
      </c>
      <c r="C436" s="19">
        <v>19</v>
      </c>
      <c r="D436" s="19">
        <v>15</v>
      </c>
      <c r="E436" s="19">
        <v>23</v>
      </c>
      <c r="F436" s="19">
        <v>31</v>
      </c>
      <c r="G436" s="19">
        <v>14</v>
      </c>
      <c r="H436" s="20">
        <v>531.34</v>
      </c>
      <c r="I436" s="20">
        <v>417.84</v>
      </c>
      <c r="J436" s="21">
        <v>630.66</v>
      </c>
      <c r="K436" s="21">
        <v>897.89</v>
      </c>
      <c r="L436" s="21">
        <v>408.57</v>
      </c>
      <c r="M436" s="22">
        <v>27</v>
      </c>
      <c r="N436" s="22">
        <v>19</v>
      </c>
      <c r="O436" s="22">
        <v>25</v>
      </c>
      <c r="P436" s="22">
        <v>18</v>
      </c>
      <c r="Q436" s="22">
        <v>25</v>
      </c>
      <c r="R436" s="17">
        <v>0.41304347826087</v>
      </c>
      <c r="S436" s="17">
        <v>0.441176470588235</v>
      </c>
      <c r="T436" s="17">
        <v>0.479166666666667</v>
      </c>
      <c r="U436" s="17">
        <v>0.63265306122449</v>
      </c>
      <c r="V436" s="23">
        <v>0.358974358974359</v>
      </c>
    </row>
    <row r="437" ht="33" spans="1:22">
      <c r="A437" s="16">
        <v>8608</v>
      </c>
      <c r="B437" s="16" t="s">
        <v>968</v>
      </c>
      <c r="C437" s="19">
        <v>33</v>
      </c>
      <c r="D437" s="19">
        <v>54</v>
      </c>
      <c r="E437" s="19">
        <v>31</v>
      </c>
      <c r="F437" s="19">
        <v>11</v>
      </c>
      <c r="G437" s="19">
        <v>0</v>
      </c>
      <c r="H437" s="20">
        <v>963.34</v>
      </c>
      <c r="I437" s="20">
        <v>1489.24</v>
      </c>
      <c r="J437" s="21">
        <v>924.53</v>
      </c>
      <c r="K437" s="21">
        <v>387.63</v>
      </c>
      <c r="L437" s="21">
        <v>0</v>
      </c>
      <c r="M437" s="22">
        <v>23</v>
      </c>
      <c r="N437" s="22">
        <v>26</v>
      </c>
      <c r="O437" s="22">
        <v>64</v>
      </c>
      <c r="P437" s="22">
        <v>59</v>
      </c>
      <c r="Q437" s="22">
        <v>40</v>
      </c>
      <c r="R437" s="17">
        <v>0.589285714285714</v>
      </c>
      <c r="S437" s="17">
        <v>0.675</v>
      </c>
      <c r="T437" s="17">
        <v>0.326315789473684</v>
      </c>
      <c r="U437" s="17">
        <v>0.157142857142857</v>
      </c>
      <c r="V437" s="23">
        <v>0</v>
      </c>
    </row>
    <row r="438" ht="33" spans="1:22">
      <c r="A438" s="16">
        <v>9439</v>
      </c>
      <c r="B438" s="16" t="s">
        <v>969</v>
      </c>
      <c r="C438" s="19">
        <v>25</v>
      </c>
      <c r="D438" s="19">
        <v>25</v>
      </c>
      <c r="E438" s="19">
        <v>24</v>
      </c>
      <c r="F438" s="19">
        <v>55</v>
      </c>
      <c r="G438" s="19">
        <v>20</v>
      </c>
      <c r="H438" s="20">
        <v>930.75</v>
      </c>
      <c r="I438" s="20">
        <v>915.66</v>
      </c>
      <c r="J438" s="21">
        <v>875.28</v>
      </c>
      <c r="K438" s="21">
        <v>2083.85</v>
      </c>
      <c r="L438" s="21">
        <v>849.4</v>
      </c>
      <c r="M438" s="22">
        <v>7</v>
      </c>
      <c r="N438" s="22">
        <v>11</v>
      </c>
      <c r="O438" s="22">
        <v>22</v>
      </c>
      <c r="P438" s="22">
        <v>13</v>
      </c>
      <c r="Q438" s="22">
        <v>10</v>
      </c>
      <c r="R438" s="17">
        <v>0.78125</v>
      </c>
      <c r="S438" s="17">
        <v>0.694444444444444</v>
      </c>
      <c r="T438" s="17">
        <v>0.521739130434783</v>
      </c>
      <c r="U438" s="17">
        <v>0.808823529411765</v>
      </c>
      <c r="V438" s="23">
        <v>0.666666666666667</v>
      </c>
    </row>
    <row r="439" ht="33" spans="1:22">
      <c r="A439" s="16">
        <v>9557</v>
      </c>
      <c r="B439" s="16" t="s">
        <v>970</v>
      </c>
      <c r="C439" s="19">
        <v>6</v>
      </c>
      <c r="D439" s="19">
        <v>10</v>
      </c>
      <c r="E439" s="19">
        <v>6</v>
      </c>
      <c r="F439" s="19">
        <v>3</v>
      </c>
      <c r="G439" s="19">
        <v>5</v>
      </c>
      <c r="H439" s="20">
        <v>122.36</v>
      </c>
      <c r="I439" s="20">
        <v>222.52</v>
      </c>
      <c r="J439" s="21">
        <v>137.38</v>
      </c>
      <c r="K439" s="21">
        <v>69.36</v>
      </c>
      <c r="L439" s="21">
        <v>115.6</v>
      </c>
      <c r="M439" s="22">
        <v>0</v>
      </c>
      <c r="N439" s="22">
        <v>0</v>
      </c>
      <c r="O439" s="22">
        <v>0</v>
      </c>
      <c r="P439" s="22">
        <v>0</v>
      </c>
      <c r="Q439" s="22">
        <v>1</v>
      </c>
      <c r="R439" s="17">
        <v>1</v>
      </c>
      <c r="S439" s="17">
        <v>1</v>
      </c>
      <c r="T439" s="17">
        <v>1</v>
      </c>
      <c r="U439" s="17">
        <v>1</v>
      </c>
      <c r="V439" s="23">
        <v>0.833333333333333</v>
      </c>
    </row>
    <row r="440" ht="33" spans="1:22">
      <c r="A440" s="16">
        <v>9558</v>
      </c>
      <c r="B440" s="16" t="s">
        <v>971</v>
      </c>
      <c r="C440" s="19">
        <v>5</v>
      </c>
      <c r="D440" s="19">
        <v>7</v>
      </c>
      <c r="E440" s="19">
        <v>3</v>
      </c>
      <c r="F440" s="19">
        <v>2</v>
      </c>
      <c r="G440" s="19">
        <v>7</v>
      </c>
      <c r="H440" s="20">
        <v>106.18</v>
      </c>
      <c r="I440" s="20">
        <v>161.48</v>
      </c>
      <c r="J440" s="21">
        <v>70.91</v>
      </c>
      <c r="K440" s="21">
        <v>47.74</v>
      </c>
      <c r="L440" s="21">
        <v>167.09</v>
      </c>
      <c r="M440" s="22">
        <v>16</v>
      </c>
      <c r="N440" s="22">
        <v>1</v>
      </c>
      <c r="O440" s="22">
        <v>24</v>
      </c>
      <c r="P440" s="22">
        <v>2</v>
      </c>
      <c r="Q440" s="22">
        <v>18</v>
      </c>
      <c r="R440" s="17">
        <v>0.238095238095238</v>
      </c>
      <c r="S440" s="17">
        <v>0.875</v>
      </c>
      <c r="T440" s="17">
        <v>0.111111111111111</v>
      </c>
      <c r="U440" s="17">
        <v>0.5</v>
      </c>
      <c r="V440" s="23">
        <v>0.28</v>
      </c>
    </row>
    <row r="441" ht="33" spans="1:22">
      <c r="A441" s="16">
        <v>9456</v>
      </c>
      <c r="B441" s="16" t="s">
        <v>972</v>
      </c>
      <c r="C441" s="19">
        <v>1</v>
      </c>
      <c r="D441" s="19">
        <v>3</v>
      </c>
      <c r="E441" s="19">
        <v>1</v>
      </c>
      <c r="F441" s="19">
        <v>0</v>
      </c>
      <c r="G441" s="19">
        <v>2</v>
      </c>
      <c r="H441" s="20">
        <v>52.23</v>
      </c>
      <c r="I441" s="20">
        <v>158.43</v>
      </c>
      <c r="J441" s="21">
        <v>52.23</v>
      </c>
      <c r="K441" s="21">
        <v>0</v>
      </c>
      <c r="L441" s="21">
        <v>110.46</v>
      </c>
      <c r="M441" s="22">
        <v>18</v>
      </c>
      <c r="N441" s="22">
        <v>9</v>
      </c>
      <c r="O441" s="22">
        <v>10</v>
      </c>
      <c r="P441" s="22">
        <v>14</v>
      </c>
      <c r="Q441" s="22">
        <v>23</v>
      </c>
      <c r="R441" s="17">
        <v>0.0526315789473684</v>
      </c>
      <c r="S441" s="17">
        <v>0.25</v>
      </c>
      <c r="T441" s="17">
        <v>0.0909090909090909</v>
      </c>
      <c r="U441" s="17">
        <v>0</v>
      </c>
      <c r="V441" s="23">
        <v>0.08</v>
      </c>
    </row>
    <row r="442" ht="16.5" spans="1:22">
      <c r="A442" s="16">
        <v>9559</v>
      </c>
      <c r="B442" s="16" t="e">
        <v>#N/A</v>
      </c>
      <c r="C442" s="19">
        <v>1</v>
      </c>
      <c r="D442" s="19">
        <v>1</v>
      </c>
      <c r="E442" s="19">
        <v>0</v>
      </c>
      <c r="F442" s="19">
        <v>0</v>
      </c>
      <c r="G442" s="19">
        <v>0</v>
      </c>
      <c r="H442" s="20">
        <v>26.48</v>
      </c>
      <c r="I442" s="20">
        <v>23.83</v>
      </c>
      <c r="J442" s="21">
        <v>0</v>
      </c>
      <c r="K442" s="21">
        <v>0</v>
      </c>
      <c r="L442" s="21">
        <v>0</v>
      </c>
      <c r="M442" s="22">
        <v>0</v>
      </c>
      <c r="N442" s="22">
        <v>2</v>
      </c>
      <c r="O442" s="22">
        <v>2</v>
      </c>
      <c r="P442" s="22">
        <v>0</v>
      </c>
      <c r="Q442" s="22" t="e">
        <v>#N/A</v>
      </c>
      <c r="R442" s="17">
        <v>1</v>
      </c>
      <c r="S442" s="17">
        <v>0.333333333333333</v>
      </c>
      <c r="T442" s="17">
        <v>0</v>
      </c>
      <c r="U442" s="17">
        <v>0</v>
      </c>
      <c r="V442" s="23" t="e">
        <v>#N/A</v>
      </c>
    </row>
    <row r="443" ht="33" spans="1:22">
      <c r="A443" s="16">
        <v>9560</v>
      </c>
      <c r="B443" s="16" t="s">
        <v>973</v>
      </c>
      <c r="C443" s="19">
        <v>8</v>
      </c>
      <c r="D443" s="19">
        <v>6</v>
      </c>
      <c r="E443" s="19">
        <v>20</v>
      </c>
      <c r="F443" s="19">
        <v>11</v>
      </c>
      <c r="G443" s="19">
        <v>16</v>
      </c>
      <c r="H443" s="20">
        <v>198.2</v>
      </c>
      <c r="I443" s="20">
        <v>155.44</v>
      </c>
      <c r="J443" s="21">
        <v>496.12</v>
      </c>
      <c r="K443" s="21">
        <v>274.65</v>
      </c>
      <c r="L443" s="21">
        <v>454.82</v>
      </c>
      <c r="M443" s="22">
        <v>3</v>
      </c>
      <c r="N443" s="22">
        <v>31</v>
      </c>
      <c r="O443" s="22">
        <v>3</v>
      </c>
      <c r="P443" s="22">
        <v>19</v>
      </c>
      <c r="Q443" s="22">
        <v>4</v>
      </c>
      <c r="R443" s="17">
        <v>0.727272727272727</v>
      </c>
      <c r="S443" s="17">
        <v>0.162162162162162</v>
      </c>
      <c r="T443" s="17">
        <v>0.869565217391304</v>
      </c>
      <c r="U443" s="17">
        <v>0.366666666666667</v>
      </c>
      <c r="V443" s="23">
        <v>0.8</v>
      </c>
    </row>
    <row r="444" ht="33" spans="1:22">
      <c r="A444" s="16">
        <v>8089</v>
      </c>
      <c r="B444" s="16" t="s">
        <v>974</v>
      </c>
      <c r="C444" s="19">
        <v>70</v>
      </c>
      <c r="D444" s="19">
        <v>74</v>
      </c>
      <c r="E444" s="19">
        <v>74</v>
      </c>
      <c r="F444" s="19">
        <v>64</v>
      </c>
      <c r="G444" s="19">
        <v>34</v>
      </c>
      <c r="H444" s="20">
        <v>2502.38</v>
      </c>
      <c r="I444" s="20">
        <v>2618.16</v>
      </c>
      <c r="J444" s="21">
        <v>2620.84</v>
      </c>
      <c r="K444" s="21">
        <v>2243.54</v>
      </c>
      <c r="L444" s="21">
        <v>1195.64</v>
      </c>
      <c r="M444" s="22">
        <v>64</v>
      </c>
      <c r="N444" s="22">
        <v>81</v>
      </c>
      <c r="O444" s="22">
        <v>78</v>
      </c>
      <c r="P444" s="22">
        <v>123</v>
      </c>
      <c r="Q444" s="22">
        <v>78</v>
      </c>
      <c r="R444" s="17">
        <v>0.522388059701492</v>
      </c>
      <c r="S444" s="17">
        <v>0.47741935483871</v>
      </c>
      <c r="T444" s="17">
        <v>0.486842105263158</v>
      </c>
      <c r="U444" s="17">
        <v>0.342245989304813</v>
      </c>
      <c r="V444" s="23">
        <v>0.303571428571429</v>
      </c>
    </row>
    <row r="445" ht="33" spans="1:22">
      <c r="A445" s="16">
        <v>9491</v>
      </c>
      <c r="B445" s="16" t="s">
        <v>975</v>
      </c>
      <c r="C445" s="19">
        <v>7</v>
      </c>
      <c r="D445" s="19">
        <v>9</v>
      </c>
      <c r="E445" s="19">
        <v>19</v>
      </c>
      <c r="F445" s="19">
        <v>2</v>
      </c>
      <c r="G445" s="19">
        <v>3</v>
      </c>
      <c r="H445" s="20">
        <v>349.81</v>
      </c>
      <c r="I445" s="20">
        <v>360.45</v>
      </c>
      <c r="J445" s="21">
        <v>833.76</v>
      </c>
      <c r="K445" s="21">
        <v>94.32</v>
      </c>
      <c r="L445" s="21">
        <v>142.28</v>
      </c>
      <c r="M445" s="22">
        <v>2</v>
      </c>
      <c r="N445" s="22">
        <v>2</v>
      </c>
      <c r="O445" s="22">
        <v>3</v>
      </c>
      <c r="P445" s="22">
        <v>1</v>
      </c>
      <c r="Q445" s="22">
        <v>16</v>
      </c>
      <c r="R445" s="17">
        <v>0.777777777777778</v>
      </c>
      <c r="S445" s="17">
        <v>0.818181818181818</v>
      </c>
      <c r="T445" s="17">
        <v>0.863636363636364</v>
      </c>
      <c r="U445" s="17">
        <v>0.666666666666667</v>
      </c>
      <c r="V445" s="23">
        <v>0.157894736842105</v>
      </c>
    </row>
    <row r="446" ht="33" spans="1:22">
      <c r="A446" s="16">
        <v>9492</v>
      </c>
      <c r="B446" s="16" t="s">
        <v>976</v>
      </c>
      <c r="C446" s="19">
        <v>2</v>
      </c>
      <c r="D446" s="19">
        <v>6</v>
      </c>
      <c r="E446" s="19">
        <v>8</v>
      </c>
      <c r="F446" s="19">
        <v>3</v>
      </c>
      <c r="G446" s="19">
        <v>5</v>
      </c>
      <c r="H446" s="20">
        <v>54.98</v>
      </c>
      <c r="I446" s="20">
        <v>168</v>
      </c>
      <c r="J446" s="21">
        <v>227.36</v>
      </c>
      <c r="K446" s="21">
        <v>86.52</v>
      </c>
      <c r="L446" s="21">
        <v>144.2</v>
      </c>
      <c r="M446" s="22">
        <v>1</v>
      </c>
      <c r="N446" s="22">
        <v>1</v>
      </c>
      <c r="O446" s="22">
        <v>1</v>
      </c>
      <c r="P446" s="22">
        <v>0</v>
      </c>
      <c r="Q446" s="22">
        <v>10</v>
      </c>
      <c r="R446" s="17">
        <v>0.666666666666667</v>
      </c>
      <c r="S446" s="17">
        <v>0.857142857142857</v>
      </c>
      <c r="T446" s="17">
        <v>0.888888888888889</v>
      </c>
      <c r="U446" s="17">
        <v>1</v>
      </c>
      <c r="V446" s="23">
        <v>0.333333333333333</v>
      </c>
    </row>
    <row r="447" ht="16.5" spans="1:22">
      <c r="A447" s="16">
        <v>9493</v>
      </c>
      <c r="B447" s="16" t="e">
        <v>#N/A</v>
      </c>
      <c r="C447" s="19">
        <v>5</v>
      </c>
      <c r="D447" s="19">
        <v>1</v>
      </c>
      <c r="E447" s="19">
        <v>0</v>
      </c>
      <c r="F447" s="19">
        <v>0</v>
      </c>
      <c r="G447" s="19">
        <v>0</v>
      </c>
      <c r="H447" s="20">
        <v>148.9</v>
      </c>
      <c r="I447" s="20">
        <v>29.78</v>
      </c>
      <c r="J447" s="21">
        <v>0</v>
      </c>
      <c r="K447" s="21">
        <v>0</v>
      </c>
      <c r="L447" s="21">
        <v>0</v>
      </c>
      <c r="M447" s="22">
        <v>0</v>
      </c>
      <c r="N447" s="22">
        <v>0</v>
      </c>
      <c r="O447" s="22">
        <v>0</v>
      </c>
      <c r="P447" s="22">
        <v>0</v>
      </c>
      <c r="Q447" s="22" t="e">
        <v>#N/A</v>
      </c>
      <c r="R447" s="17">
        <v>1</v>
      </c>
      <c r="S447" s="17">
        <v>1</v>
      </c>
      <c r="T447" s="17">
        <v>0</v>
      </c>
      <c r="U447" s="17">
        <v>0</v>
      </c>
      <c r="V447" s="23" t="e">
        <v>#N/A</v>
      </c>
    </row>
    <row r="448" ht="33" spans="1:22">
      <c r="A448" s="16">
        <v>8609</v>
      </c>
      <c r="B448" s="16" t="s">
        <v>977</v>
      </c>
      <c r="C448" s="19">
        <v>24</v>
      </c>
      <c r="D448" s="19">
        <v>21</v>
      </c>
      <c r="E448" s="19">
        <v>47</v>
      </c>
      <c r="F448" s="19">
        <v>73</v>
      </c>
      <c r="G448" s="19">
        <v>29</v>
      </c>
      <c r="H448" s="20">
        <v>1151.76</v>
      </c>
      <c r="I448" s="20">
        <v>1007.79</v>
      </c>
      <c r="J448" s="21">
        <v>2303.03</v>
      </c>
      <c r="K448" s="21">
        <v>3832.32999999999</v>
      </c>
      <c r="L448" s="21">
        <v>1691.27</v>
      </c>
      <c r="M448" s="22">
        <v>4</v>
      </c>
      <c r="N448" s="22">
        <v>5</v>
      </c>
      <c r="O448" s="22">
        <v>4</v>
      </c>
      <c r="P448" s="22">
        <v>8</v>
      </c>
      <c r="Q448" s="22">
        <v>6</v>
      </c>
      <c r="R448" s="17">
        <v>0.857142857142857</v>
      </c>
      <c r="S448" s="17">
        <v>0.807692307692308</v>
      </c>
      <c r="T448" s="17">
        <v>0.92156862745098</v>
      </c>
      <c r="U448" s="17">
        <v>0.901234567901235</v>
      </c>
      <c r="V448" s="23">
        <v>0.828571428571429</v>
      </c>
    </row>
    <row r="449" ht="33" spans="1:22">
      <c r="A449" s="16">
        <v>8610</v>
      </c>
      <c r="B449" s="16" t="s">
        <v>978</v>
      </c>
      <c r="C449" s="19">
        <v>14</v>
      </c>
      <c r="D449" s="19">
        <v>9</v>
      </c>
      <c r="E449" s="19">
        <v>6</v>
      </c>
      <c r="F449" s="19">
        <v>10</v>
      </c>
      <c r="G449" s="19">
        <v>6</v>
      </c>
      <c r="H449" s="20">
        <v>386.26</v>
      </c>
      <c r="I449" s="20">
        <v>248.31</v>
      </c>
      <c r="J449" s="21">
        <v>163.81</v>
      </c>
      <c r="K449" s="21">
        <v>279.7</v>
      </c>
      <c r="L449" s="21">
        <v>164.58</v>
      </c>
      <c r="M449" s="22">
        <v>4</v>
      </c>
      <c r="N449" s="22">
        <v>4</v>
      </c>
      <c r="O449" s="22">
        <v>5</v>
      </c>
      <c r="P449" s="22">
        <v>5</v>
      </c>
      <c r="Q449" s="22">
        <v>6</v>
      </c>
      <c r="R449" s="17">
        <v>0.777777777777778</v>
      </c>
      <c r="S449" s="17">
        <v>0.692307692307692</v>
      </c>
      <c r="T449" s="17">
        <v>0.545454545454545</v>
      </c>
      <c r="U449" s="17">
        <v>0.666666666666667</v>
      </c>
      <c r="V449" s="23">
        <v>0.5</v>
      </c>
    </row>
    <row r="450" ht="33" spans="1:22">
      <c r="A450" s="16">
        <v>8611</v>
      </c>
      <c r="B450" s="16" t="s">
        <v>979</v>
      </c>
      <c r="C450" s="19">
        <v>23</v>
      </c>
      <c r="D450" s="19">
        <v>32</v>
      </c>
      <c r="E450" s="19">
        <v>34</v>
      </c>
      <c r="F450" s="19">
        <v>27</v>
      </c>
      <c r="G450" s="19">
        <v>22</v>
      </c>
      <c r="H450" s="20">
        <v>555.22</v>
      </c>
      <c r="I450" s="20">
        <v>768</v>
      </c>
      <c r="J450" s="21">
        <v>819.22</v>
      </c>
      <c r="K450" s="21">
        <v>651.22</v>
      </c>
      <c r="L450" s="21">
        <v>534.44</v>
      </c>
      <c r="M450" s="22">
        <v>0</v>
      </c>
      <c r="N450" s="22">
        <v>0</v>
      </c>
      <c r="O450" s="22">
        <v>0</v>
      </c>
      <c r="P450" s="22">
        <v>3</v>
      </c>
      <c r="Q450" s="22">
        <v>2</v>
      </c>
      <c r="R450" s="17">
        <v>1</v>
      </c>
      <c r="S450" s="17">
        <v>1</v>
      </c>
      <c r="T450" s="17">
        <v>1</v>
      </c>
      <c r="U450" s="17">
        <v>0.9</v>
      </c>
      <c r="V450" s="23">
        <v>0.916666666666667</v>
      </c>
    </row>
    <row r="451" ht="33" spans="1:22">
      <c r="A451" s="16">
        <v>8988</v>
      </c>
      <c r="B451" s="16" t="s">
        <v>980</v>
      </c>
      <c r="C451" s="19">
        <v>40</v>
      </c>
      <c r="D451" s="19">
        <v>59</v>
      </c>
      <c r="E451" s="19">
        <v>71</v>
      </c>
      <c r="F451" s="19">
        <v>9</v>
      </c>
      <c r="G451" s="19">
        <v>30</v>
      </c>
      <c r="H451" s="20">
        <v>1406</v>
      </c>
      <c r="I451" s="20">
        <v>2073.85</v>
      </c>
      <c r="J451" s="21">
        <v>2671.49</v>
      </c>
      <c r="K451" s="21">
        <v>349.86</v>
      </c>
      <c r="L451" s="21">
        <v>1159</v>
      </c>
      <c r="M451" s="22">
        <v>15</v>
      </c>
      <c r="N451" s="22">
        <v>15</v>
      </c>
      <c r="O451" s="22">
        <v>65</v>
      </c>
      <c r="P451" s="22">
        <v>3</v>
      </c>
      <c r="Q451" s="22">
        <v>43</v>
      </c>
      <c r="R451" s="17">
        <v>0.727272727272727</v>
      </c>
      <c r="S451" s="17">
        <v>0.797297297297297</v>
      </c>
      <c r="T451" s="17">
        <v>0.522058823529412</v>
      </c>
      <c r="U451" s="17">
        <v>0.75</v>
      </c>
      <c r="V451" s="23">
        <v>0.410958904109589</v>
      </c>
    </row>
    <row r="452" ht="33" spans="1:22">
      <c r="A452" s="16">
        <v>8960</v>
      </c>
      <c r="B452" s="16" t="s">
        <v>981</v>
      </c>
      <c r="C452" s="19">
        <v>9</v>
      </c>
      <c r="D452" s="19">
        <v>11</v>
      </c>
      <c r="E452" s="19">
        <v>21</v>
      </c>
      <c r="F452" s="19">
        <v>20</v>
      </c>
      <c r="G452" s="19">
        <v>4</v>
      </c>
      <c r="H452" s="20">
        <v>193.68</v>
      </c>
      <c r="I452" s="20">
        <v>236.72</v>
      </c>
      <c r="J452" s="21">
        <v>468.12</v>
      </c>
      <c r="K452" s="21">
        <v>452</v>
      </c>
      <c r="L452" s="21">
        <v>89.04</v>
      </c>
      <c r="M452" s="22">
        <v>14</v>
      </c>
      <c r="N452" s="22">
        <v>5</v>
      </c>
      <c r="O452" s="22">
        <v>9</v>
      </c>
      <c r="P452" s="22">
        <v>2</v>
      </c>
      <c r="Q452" s="22">
        <v>1</v>
      </c>
      <c r="R452" s="17">
        <v>0.391304347826087</v>
      </c>
      <c r="S452" s="17">
        <v>0.6875</v>
      </c>
      <c r="T452" s="17">
        <v>0.7</v>
      </c>
      <c r="U452" s="17">
        <v>0.909090909090909</v>
      </c>
      <c r="V452" s="23">
        <v>0.8</v>
      </c>
    </row>
    <row r="453" ht="33" spans="1:22">
      <c r="A453" s="16">
        <v>9499</v>
      </c>
      <c r="B453" s="16" t="s">
        <v>982</v>
      </c>
      <c r="C453" s="19">
        <v>14</v>
      </c>
      <c r="D453" s="19">
        <v>31</v>
      </c>
      <c r="E453" s="19">
        <v>47</v>
      </c>
      <c r="F453" s="19">
        <v>34</v>
      </c>
      <c r="G453" s="19">
        <v>35</v>
      </c>
      <c r="H453" s="20">
        <v>738.87</v>
      </c>
      <c r="I453" s="20">
        <v>1645</v>
      </c>
      <c r="J453" s="21">
        <v>2488.07</v>
      </c>
      <c r="K453" s="21">
        <v>1798.31</v>
      </c>
      <c r="L453" s="21">
        <v>1949.56</v>
      </c>
      <c r="M453" s="22">
        <v>44</v>
      </c>
      <c r="N453" s="22">
        <v>24</v>
      </c>
      <c r="O453" s="22">
        <v>47</v>
      </c>
      <c r="P453" s="22">
        <v>60</v>
      </c>
      <c r="Q453" s="22">
        <v>55</v>
      </c>
      <c r="R453" s="17">
        <v>0.241379310344828</v>
      </c>
      <c r="S453" s="17">
        <v>0.563636363636364</v>
      </c>
      <c r="T453" s="17">
        <v>0.5</v>
      </c>
      <c r="U453" s="17">
        <v>0.361702127659574</v>
      </c>
      <c r="V453" s="23">
        <v>0.388888888888889</v>
      </c>
    </row>
    <row r="454" ht="33" spans="1:22">
      <c r="A454" s="16">
        <v>9500</v>
      </c>
      <c r="B454" s="16" t="s">
        <v>983</v>
      </c>
      <c r="C454" s="19">
        <v>5</v>
      </c>
      <c r="D454" s="19">
        <v>30</v>
      </c>
      <c r="E454" s="19">
        <v>14</v>
      </c>
      <c r="F454" s="19">
        <v>14</v>
      </c>
      <c r="G454" s="19">
        <v>23</v>
      </c>
      <c r="H454" s="20">
        <v>142.24</v>
      </c>
      <c r="I454" s="20">
        <v>852.5</v>
      </c>
      <c r="J454" s="21">
        <v>385</v>
      </c>
      <c r="K454" s="21">
        <v>374.96</v>
      </c>
      <c r="L454" s="21">
        <v>579.79</v>
      </c>
      <c r="M454" s="22">
        <v>15</v>
      </c>
      <c r="N454" s="22">
        <v>17</v>
      </c>
      <c r="O454" s="22">
        <v>23</v>
      </c>
      <c r="P454" s="22">
        <v>27</v>
      </c>
      <c r="Q454" s="22">
        <v>19</v>
      </c>
      <c r="R454" s="17">
        <v>0.25</v>
      </c>
      <c r="S454" s="17">
        <v>0.638297872340426</v>
      </c>
      <c r="T454" s="17">
        <v>0.378378378378378</v>
      </c>
      <c r="U454" s="17">
        <v>0.341463414634146</v>
      </c>
      <c r="V454" s="23">
        <v>0.547619047619048</v>
      </c>
    </row>
    <row r="455" ht="33" spans="1:22">
      <c r="A455" s="16">
        <v>9501</v>
      </c>
      <c r="B455" s="16" t="s">
        <v>984</v>
      </c>
      <c r="C455" s="19">
        <v>25</v>
      </c>
      <c r="D455" s="19">
        <v>36</v>
      </c>
      <c r="E455" s="19">
        <v>28</v>
      </c>
      <c r="F455" s="19">
        <v>4</v>
      </c>
      <c r="G455" s="19">
        <v>4</v>
      </c>
      <c r="H455" s="20">
        <v>847.749999999999</v>
      </c>
      <c r="I455" s="20">
        <v>1220.76</v>
      </c>
      <c r="J455" s="21">
        <v>961.33</v>
      </c>
      <c r="K455" s="21">
        <v>137.96</v>
      </c>
      <c r="L455" s="21">
        <v>141.41</v>
      </c>
      <c r="M455" s="22">
        <v>14</v>
      </c>
      <c r="N455" s="22">
        <v>31</v>
      </c>
      <c r="O455" s="22">
        <v>40</v>
      </c>
      <c r="P455" s="22">
        <v>26</v>
      </c>
      <c r="Q455" s="22">
        <v>19</v>
      </c>
      <c r="R455" s="17">
        <v>0.641025641025641</v>
      </c>
      <c r="S455" s="17">
        <v>0.537313432835821</v>
      </c>
      <c r="T455" s="17">
        <v>0.411764705882353</v>
      </c>
      <c r="U455" s="17">
        <v>0.133333333333333</v>
      </c>
      <c r="V455" s="23">
        <v>0.173913043478261</v>
      </c>
    </row>
    <row r="456" ht="33" spans="1:22">
      <c r="A456" s="16">
        <v>8423</v>
      </c>
      <c r="B456" s="16" t="s">
        <v>985</v>
      </c>
      <c r="C456" s="19">
        <v>17</v>
      </c>
      <c r="D456" s="19">
        <v>5</v>
      </c>
      <c r="E456" s="19">
        <v>8</v>
      </c>
      <c r="F456" s="19">
        <v>4</v>
      </c>
      <c r="G456" s="19">
        <v>6</v>
      </c>
      <c r="H456" s="20">
        <v>1140.02</v>
      </c>
      <c r="I456" s="20">
        <v>339.78</v>
      </c>
      <c r="J456" s="21">
        <v>553.8</v>
      </c>
      <c r="K456" s="21">
        <v>332.75</v>
      </c>
      <c r="L456" s="21">
        <v>489.03</v>
      </c>
      <c r="M456" s="22">
        <v>3</v>
      </c>
      <c r="N456" s="22">
        <v>2</v>
      </c>
      <c r="O456" s="22">
        <v>3</v>
      </c>
      <c r="P456" s="22">
        <v>5</v>
      </c>
      <c r="Q456" s="22">
        <v>6</v>
      </c>
      <c r="R456" s="17">
        <v>0.85</v>
      </c>
      <c r="S456" s="17">
        <v>0.714285714285714</v>
      </c>
      <c r="T456" s="17">
        <v>0.727272727272727</v>
      </c>
      <c r="U456" s="17">
        <v>0.444444444444444</v>
      </c>
      <c r="V456" s="23">
        <v>0.5</v>
      </c>
    </row>
    <row r="457" ht="33" spans="1:22">
      <c r="A457" s="16">
        <v>9388</v>
      </c>
      <c r="B457" s="16" t="s">
        <v>986</v>
      </c>
      <c r="C457" s="19">
        <v>19</v>
      </c>
      <c r="D457" s="19">
        <v>18</v>
      </c>
      <c r="E457" s="19">
        <v>24</v>
      </c>
      <c r="F457" s="19">
        <v>17</v>
      </c>
      <c r="G457" s="19">
        <v>19</v>
      </c>
      <c r="H457" s="20">
        <v>735.11</v>
      </c>
      <c r="I457" s="20">
        <v>739.14</v>
      </c>
      <c r="J457" s="21">
        <v>1021.03</v>
      </c>
      <c r="K457" s="21">
        <v>741.03</v>
      </c>
      <c r="L457" s="21">
        <v>821.66</v>
      </c>
      <c r="M457" s="22">
        <v>25</v>
      </c>
      <c r="N457" s="22">
        <v>22</v>
      </c>
      <c r="O457" s="22">
        <v>31</v>
      </c>
      <c r="P457" s="22">
        <v>26</v>
      </c>
      <c r="Q457" s="22">
        <v>22</v>
      </c>
      <c r="R457" s="17">
        <v>0.431818181818182</v>
      </c>
      <c r="S457" s="17">
        <v>0.45</v>
      </c>
      <c r="T457" s="17">
        <v>0.436363636363636</v>
      </c>
      <c r="U457" s="17">
        <v>0.395348837209302</v>
      </c>
      <c r="V457" s="23">
        <v>0.463414634146341</v>
      </c>
    </row>
    <row r="458" ht="33" spans="1:22">
      <c r="A458" s="16">
        <v>9389</v>
      </c>
      <c r="B458" s="16" t="s">
        <v>987</v>
      </c>
      <c r="C458" s="19">
        <v>8</v>
      </c>
      <c r="D458" s="19">
        <v>6</v>
      </c>
      <c r="E458" s="19">
        <v>11</v>
      </c>
      <c r="F458" s="19">
        <v>11</v>
      </c>
      <c r="G458" s="19">
        <v>9</v>
      </c>
      <c r="H458" s="20">
        <v>240.12</v>
      </c>
      <c r="I458" s="20">
        <v>180.36</v>
      </c>
      <c r="J458" s="21">
        <v>315.43</v>
      </c>
      <c r="K458" s="21">
        <v>300.89</v>
      </c>
      <c r="L458" s="21">
        <v>249.11</v>
      </c>
      <c r="M458" s="22">
        <v>1</v>
      </c>
      <c r="N458" s="22">
        <v>6</v>
      </c>
      <c r="O458" s="22">
        <v>7</v>
      </c>
      <c r="P458" s="22">
        <v>4</v>
      </c>
      <c r="Q458" s="22">
        <v>4</v>
      </c>
      <c r="R458" s="17">
        <v>0.888888888888889</v>
      </c>
      <c r="S458" s="17">
        <v>0.5</v>
      </c>
      <c r="T458" s="17">
        <v>0.611111111111111</v>
      </c>
      <c r="U458" s="17">
        <v>0.733333333333333</v>
      </c>
      <c r="V458" s="23">
        <v>0.692307692307692</v>
      </c>
    </row>
    <row r="459" ht="49.5" spans="1:22">
      <c r="A459" s="16">
        <v>9390</v>
      </c>
      <c r="B459" s="16" t="s">
        <v>988</v>
      </c>
      <c r="C459" s="19">
        <v>10</v>
      </c>
      <c r="D459" s="19">
        <v>13</v>
      </c>
      <c r="E459" s="19">
        <v>14</v>
      </c>
      <c r="F459" s="19">
        <v>12</v>
      </c>
      <c r="G459" s="19">
        <v>14</v>
      </c>
      <c r="H459" s="20">
        <v>301.22</v>
      </c>
      <c r="I459" s="20">
        <v>387.27</v>
      </c>
      <c r="J459" s="21">
        <v>418.72</v>
      </c>
      <c r="K459" s="21">
        <v>360.8</v>
      </c>
      <c r="L459" s="21">
        <v>422.04</v>
      </c>
      <c r="M459" s="22">
        <v>2</v>
      </c>
      <c r="N459" s="22">
        <v>4</v>
      </c>
      <c r="O459" s="22">
        <v>4</v>
      </c>
      <c r="P459" s="22">
        <v>4</v>
      </c>
      <c r="Q459" s="22">
        <v>4</v>
      </c>
      <c r="R459" s="17">
        <v>0.833333333333333</v>
      </c>
      <c r="S459" s="17">
        <v>0.764705882352941</v>
      </c>
      <c r="T459" s="17">
        <v>0.777777777777778</v>
      </c>
      <c r="U459" s="17">
        <v>0.75</v>
      </c>
      <c r="V459" s="23">
        <v>0.777777777777778</v>
      </c>
    </row>
    <row r="460" ht="33" spans="1:22">
      <c r="A460" s="16">
        <v>9694</v>
      </c>
      <c r="B460" s="16" t="s">
        <v>989</v>
      </c>
      <c r="C460" s="19">
        <v>17</v>
      </c>
      <c r="D460" s="19">
        <v>18</v>
      </c>
      <c r="E460" s="19">
        <v>24</v>
      </c>
      <c r="F460" s="19">
        <v>15</v>
      </c>
      <c r="G460" s="19">
        <v>12</v>
      </c>
      <c r="H460" s="20">
        <v>1210.4</v>
      </c>
      <c r="I460" s="20">
        <v>1345.59</v>
      </c>
      <c r="J460" s="21">
        <v>1878.44</v>
      </c>
      <c r="K460" s="21">
        <v>1199.85</v>
      </c>
      <c r="L460" s="21">
        <v>903.88</v>
      </c>
      <c r="M460" s="22">
        <v>16</v>
      </c>
      <c r="N460" s="22">
        <v>22</v>
      </c>
      <c r="O460" s="22">
        <v>12</v>
      </c>
      <c r="P460" s="22">
        <v>12</v>
      </c>
      <c r="Q460" s="22">
        <v>13</v>
      </c>
      <c r="R460" s="17">
        <v>0.515151515151515</v>
      </c>
      <c r="S460" s="17">
        <v>0.45</v>
      </c>
      <c r="T460" s="17">
        <v>0.666666666666667</v>
      </c>
      <c r="U460" s="17">
        <v>0.555555555555556</v>
      </c>
      <c r="V460" s="23">
        <v>0.48</v>
      </c>
    </row>
    <row r="461" ht="33" spans="1:22">
      <c r="A461" s="16">
        <v>9695</v>
      </c>
      <c r="B461" s="16" t="s">
        <v>990</v>
      </c>
      <c r="C461" s="19">
        <v>6</v>
      </c>
      <c r="D461" s="19">
        <v>4</v>
      </c>
      <c r="E461" s="19">
        <v>9</v>
      </c>
      <c r="F461" s="19">
        <v>8</v>
      </c>
      <c r="G461" s="19">
        <v>6</v>
      </c>
      <c r="H461" s="20">
        <v>232.1</v>
      </c>
      <c r="I461" s="20">
        <v>169.8</v>
      </c>
      <c r="J461" s="21">
        <v>368.91</v>
      </c>
      <c r="K461" s="21">
        <v>330.84</v>
      </c>
      <c r="L461" s="21">
        <v>243.48</v>
      </c>
      <c r="M461" s="22">
        <v>25</v>
      </c>
      <c r="N461" s="22">
        <v>27</v>
      </c>
      <c r="O461" s="22">
        <v>41</v>
      </c>
      <c r="P461" s="22">
        <v>42</v>
      </c>
      <c r="Q461" s="22">
        <v>34</v>
      </c>
      <c r="R461" s="17">
        <v>0.193548387096774</v>
      </c>
      <c r="S461" s="17">
        <v>0.129032258064516</v>
      </c>
      <c r="T461" s="17">
        <v>0.18</v>
      </c>
      <c r="U461" s="17">
        <v>0.16</v>
      </c>
      <c r="V461" s="23">
        <v>0.15</v>
      </c>
    </row>
    <row r="462" ht="33" spans="1:22">
      <c r="A462" s="16">
        <v>9696</v>
      </c>
      <c r="B462" s="16" t="s">
        <v>991</v>
      </c>
      <c r="C462" s="19">
        <v>4</v>
      </c>
      <c r="D462" s="19">
        <v>9</v>
      </c>
      <c r="E462" s="19">
        <v>15</v>
      </c>
      <c r="F462" s="19">
        <v>11</v>
      </c>
      <c r="G462" s="19">
        <v>4</v>
      </c>
      <c r="H462" s="20">
        <v>172.97</v>
      </c>
      <c r="I462" s="20">
        <v>395.91</v>
      </c>
      <c r="J462" s="21">
        <v>659.85</v>
      </c>
      <c r="K462" s="21">
        <v>481.19</v>
      </c>
      <c r="L462" s="21">
        <v>175.96</v>
      </c>
      <c r="M462" s="22">
        <v>32</v>
      </c>
      <c r="N462" s="22">
        <v>33</v>
      </c>
      <c r="O462" s="22">
        <v>33</v>
      </c>
      <c r="P462" s="22">
        <v>33</v>
      </c>
      <c r="Q462" s="22">
        <v>18</v>
      </c>
      <c r="R462" s="17">
        <v>0.111111111111111</v>
      </c>
      <c r="S462" s="17">
        <v>0.214285714285714</v>
      </c>
      <c r="T462" s="17">
        <v>0.3125</v>
      </c>
      <c r="U462" s="17">
        <v>0.25</v>
      </c>
      <c r="V462" s="23">
        <v>0.181818181818182</v>
      </c>
    </row>
    <row r="463" ht="33" spans="1:22">
      <c r="A463" s="16">
        <v>8087</v>
      </c>
      <c r="B463" s="16" t="s">
        <v>992</v>
      </c>
      <c r="C463" s="19">
        <v>28</v>
      </c>
      <c r="D463" s="19">
        <v>51</v>
      </c>
      <c r="E463" s="19">
        <v>55</v>
      </c>
      <c r="F463" s="19">
        <v>44</v>
      </c>
      <c r="G463" s="19">
        <v>11</v>
      </c>
      <c r="H463" s="20">
        <v>1545.21</v>
      </c>
      <c r="I463" s="20">
        <v>2795.92</v>
      </c>
      <c r="J463" s="21">
        <v>3136.73</v>
      </c>
      <c r="K463" s="21">
        <v>2548.12</v>
      </c>
      <c r="L463" s="21">
        <v>676.92</v>
      </c>
      <c r="M463" s="22">
        <v>4</v>
      </c>
      <c r="N463" s="22">
        <v>5</v>
      </c>
      <c r="O463" s="22">
        <v>17</v>
      </c>
      <c r="P463" s="22">
        <v>40</v>
      </c>
      <c r="Q463" s="22">
        <v>77</v>
      </c>
      <c r="R463" s="17">
        <v>0.875</v>
      </c>
      <c r="S463" s="17">
        <v>0.910714285714286</v>
      </c>
      <c r="T463" s="17">
        <v>0.763888888888889</v>
      </c>
      <c r="U463" s="17">
        <v>0.523809523809524</v>
      </c>
      <c r="V463" s="23">
        <v>0.125</v>
      </c>
    </row>
    <row r="464" ht="33" spans="1:22">
      <c r="A464" s="16">
        <v>8082</v>
      </c>
      <c r="B464" s="16" t="s">
        <v>993</v>
      </c>
      <c r="C464" s="19">
        <v>12</v>
      </c>
      <c r="D464" s="19">
        <v>13</v>
      </c>
      <c r="E464" s="19">
        <v>19</v>
      </c>
      <c r="F464" s="19">
        <v>21</v>
      </c>
      <c r="G464" s="19">
        <v>11</v>
      </c>
      <c r="H464" s="20">
        <v>465.86</v>
      </c>
      <c r="I464" s="20">
        <v>480.2</v>
      </c>
      <c r="J464" s="21">
        <v>677.45</v>
      </c>
      <c r="K464" s="21">
        <v>715.89</v>
      </c>
      <c r="L464" s="21">
        <v>382.75</v>
      </c>
      <c r="M464" s="22">
        <v>6</v>
      </c>
      <c r="N464" s="22">
        <v>3</v>
      </c>
      <c r="O464" s="22">
        <v>7</v>
      </c>
      <c r="P464" s="22">
        <v>5</v>
      </c>
      <c r="Q464" s="22">
        <v>1</v>
      </c>
      <c r="R464" s="17">
        <v>0.666666666666667</v>
      </c>
      <c r="S464" s="17">
        <v>0.8125</v>
      </c>
      <c r="T464" s="17">
        <v>0.730769230769231</v>
      </c>
      <c r="U464" s="17">
        <v>0.807692307692308</v>
      </c>
      <c r="V464" s="23">
        <v>0.916666666666667</v>
      </c>
    </row>
    <row r="465" ht="33" spans="1:22">
      <c r="A465" s="16">
        <v>9316</v>
      </c>
      <c r="B465" s="16" t="s">
        <v>994</v>
      </c>
      <c r="C465" s="19">
        <v>14</v>
      </c>
      <c r="D465" s="19">
        <v>19</v>
      </c>
      <c r="E465" s="19">
        <v>19</v>
      </c>
      <c r="F465" s="19">
        <v>10</v>
      </c>
      <c r="G465" s="19">
        <v>15</v>
      </c>
      <c r="H465" s="20">
        <v>1002.26</v>
      </c>
      <c r="I465" s="20">
        <v>1360.21</v>
      </c>
      <c r="J465" s="21">
        <v>1352.41</v>
      </c>
      <c r="K465" s="21">
        <v>692.5</v>
      </c>
      <c r="L465" s="21">
        <v>1041.64</v>
      </c>
      <c r="M465" s="22">
        <v>2</v>
      </c>
      <c r="N465" s="22">
        <v>9</v>
      </c>
      <c r="O465" s="22">
        <v>21</v>
      </c>
      <c r="P465" s="22">
        <v>13</v>
      </c>
      <c r="Q465" s="22">
        <v>22</v>
      </c>
      <c r="R465" s="17">
        <v>0.875</v>
      </c>
      <c r="S465" s="17">
        <v>0.678571428571429</v>
      </c>
      <c r="T465" s="17">
        <v>0.475</v>
      </c>
      <c r="U465" s="17">
        <v>0.434782608695652</v>
      </c>
      <c r="V465" s="23">
        <v>0.405405405405405</v>
      </c>
    </row>
    <row r="466" ht="33" spans="1:22">
      <c r="A466" s="16">
        <v>9445</v>
      </c>
      <c r="B466" s="16" t="s">
        <v>995</v>
      </c>
      <c r="C466" s="19">
        <v>20</v>
      </c>
      <c r="D466" s="19">
        <v>5</v>
      </c>
      <c r="E466" s="19">
        <v>8</v>
      </c>
      <c r="F466" s="19">
        <v>11</v>
      </c>
      <c r="G466" s="19">
        <v>5</v>
      </c>
      <c r="H466" s="20">
        <v>817.5</v>
      </c>
      <c r="I466" s="20">
        <v>201.95</v>
      </c>
      <c r="J466" s="21">
        <v>322.3</v>
      </c>
      <c r="K466" s="21">
        <v>428.89</v>
      </c>
      <c r="L466" s="21">
        <v>194.95</v>
      </c>
      <c r="M466" s="22">
        <v>18</v>
      </c>
      <c r="N466" s="22">
        <v>27</v>
      </c>
      <c r="O466" s="22">
        <v>46</v>
      </c>
      <c r="P466" s="22">
        <v>34</v>
      </c>
      <c r="Q466" s="22">
        <v>37</v>
      </c>
      <c r="R466" s="17">
        <v>0.526315789473684</v>
      </c>
      <c r="S466" s="17">
        <v>0.15625</v>
      </c>
      <c r="T466" s="17">
        <v>0.148148148148148</v>
      </c>
      <c r="U466" s="17">
        <v>0.244444444444444</v>
      </c>
      <c r="V466" s="23">
        <v>0.119047619047619</v>
      </c>
    </row>
    <row r="467" ht="33" spans="1:22">
      <c r="A467" s="16">
        <v>9446</v>
      </c>
      <c r="B467" s="16" t="s">
        <v>996</v>
      </c>
      <c r="C467" s="19">
        <v>7</v>
      </c>
      <c r="D467" s="19">
        <v>14</v>
      </c>
      <c r="E467" s="19">
        <v>14</v>
      </c>
      <c r="F467" s="19">
        <v>6</v>
      </c>
      <c r="G467" s="19">
        <v>1</v>
      </c>
      <c r="H467" s="20">
        <v>274.73</v>
      </c>
      <c r="I467" s="20">
        <v>524.26</v>
      </c>
      <c r="J467" s="21">
        <v>548.26</v>
      </c>
      <c r="K467" s="21">
        <v>237.54</v>
      </c>
      <c r="L467" s="21">
        <v>39.59</v>
      </c>
      <c r="M467" s="22">
        <v>24</v>
      </c>
      <c r="N467" s="22">
        <v>9</v>
      </c>
      <c r="O467" s="22">
        <v>40</v>
      </c>
      <c r="P467" s="22">
        <v>28</v>
      </c>
      <c r="Q467" s="22">
        <v>26</v>
      </c>
      <c r="R467" s="17">
        <v>0.225806451612903</v>
      </c>
      <c r="S467" s="17">
        <v>0.608695652173913</v>
      </c>
      <c r="T467" s="17">
        <v>0.259259259259259</v>
      </c>
      <c r="U467" s="17">
        <v>0.176470588235294</v>
      </c>
      <c r="V467" s="23">
        <v>0.037037037037037</v>
      </c>
    </row>
    <row r="468" ht="33" spans="1:22">
      <c r="A468" s="16">
        <v>9359</v>
      </c>
      <c r="B468" s="16" t="s">
        <v>997</v>
      </c>
      <c r="C468" s="19">
        <v>12</v>
      </c>
      <c r="D468" s="19">
        <v>4</v>
      </c>
      <c r="E468" s="19">
        <v>6</v>
      </c>
      <c r="F468" s="19">
        <v>5</v>
      </c>
      <c r="G468" s="19">
        <v>8</v>
      </c>
      <c r="H468" s="20">
        <v>1003.41</v>
      </c>
      <c r="I468" s="20">
        <v>319.36</v>
      </c>
      <c r="J468" s="21">
        <v>388.74</v>
      </c>
      <c r="K468" s="21">
        <v>323.95</v>
      </c>
      <c r="L468" s="21">
        <v>548.42</v>
      </c>
      <c r="M468" s="22">
        <v>6</v>
      </c>
      <c r="N468" s="22">
        <v>15</v>
      </c>
      <c r="O468" s="22">
        <v>32</v>
      </c>
      <c r="P468" s="22">
        <v>12</v>
      </c>
      <c r="Q468" s="22">
        <v>12</v>
      </c>
      <c r="R468" s="17">
        <v>0.666666666666667</v>
      </c>
      <c r="S468" s="17">
        <v>0.210526315789474</v>
      </c>
      <c r="T468" s="17">
        <v>0.157894736842105</v>
      </c>
      <c r="U468" s="17">
        <v>0.294117647058824</v>
      </c>
      <c r="V468" s="23">
        <v>0.4</v>
      </c>
    </row>
    <row r="469" ht="33" spans="1:22">
      <c r="A469" s="16">
        <v>9360</v>
      </c>
      <c r="B469" s="16" t="s">
        <v>998</v>
      </c>
      <c r="C469" s="19">
        <v>10</v>
      </c>
      <c r="D469" s="19">
        <v>16</v>
      </c>
      <c r="E469" s="19">
        <v>14</v>
      </c>
      <c r="F469" s="19">
        <v>4</v>
      </c>
      <c r="G469" s="19">
        <v>10</v>
      </c>
      <c r="H469" s="20">
        <v>431.8</v>
      </c>
      <c r="I469" s="20">
        <v>591.68</v>
      </c>
      <c r="J469" s="21">
        <v>517.72</v>
      </c>
      <c r="K469" s="21">
        <v>147.92</v>
      </c>
      <c r="L469" s="21">
        <v>371.94</v>
      </c>
      <c r="M469" s="22">
        <v>25</v>
      </c>
      <c r="N469" s="22">
        <v>25</v>
      </c>
      <c r="O469" s="22">
        <v>33</v>
      </c>
      <c r="P469" s="22">
        <v>20</v>
      </c>
      <c r="Q469" s="22">
        <v>34</v>
      </c>
      <c r="R469" s="17">
        <v>0.285714285714286</v>
      </c>
      <c r="S469" s="17">
        <v>0.390243902439024</v>
      </c>
      <c r="T469" s="17">
        <v>0.297872340425532</v>
      </c>
      <c r="U469" s="17">
        <v>0.166666666666667</v>
      </c>
      <c r="V469" s="23">
        <v>0.227272727272727</v>
      </c>
    </row>
    <row r="470" ht="33" spans="1:22">
      <c r="A470" s="16">
        <v>9361</v>
      </c>
      <c r="B470" s="16" t="s">
        <v>999</v>
      </c>
      <c r="C470" s="19">
        <v>1</v>
      </c>
      <c r="D470" s="19">
        <v>7</v>
      </c>
      <c r="E470" s="19">
        <v>14</v>
      </c>
      <c r="F470" s="19">
        <v>4</v>
      </c>
      <c r="G470" s="19">
        <v>6</v>
      </c>
      <c r="H470" s="20">
        <v>41.78</v>
      </c>
      <c r="I470" s="20">
        <v>263.2</v>
      </c>
      <c r="J470" s="21">
        <v>529.39</v>
      </c>
      <c r="K470" s="21">
        <v>150.4</v>
      </c>
      <c r="L470" s="21">
        <v>225.6</v>
      </c>
      <c r="M470" s="22">
        <v>37</v>
      </c>
      <c r="N470" s="22">
        <v>35</v>
      </c>
      <c r="O470" s="22">
        <v>39</v>
      </c>
      <c r="P470" s="22">
        <v>53</v>
      </c>
      <c r="Q470" s="22">
        <v>32</v>
      </c>
      <c r="R470" s="17">
        <v>0.0263157894736842</v>
      </c>
      <c r="S470" s="17">
        <v>0.166666666666667</v>
      </c>
      <c r="T470" s="17">
        <v>0.264150943396226</v>
      </c>
      <c r="U470" s="17">
        <v>0.0701754385964912</v>
      </c>
      <c r="V470" s="23">
        <v>0.157894736842105</v>
      </c>
    </row>
    <row r="471" ht="33" spans="1:22">
      <c r="A471" s="16">
        <v>9362</v>
      </c>
      <c r="B471" s="16" t="s">
        <v>1000</v>
      </c>
      <c r="C471" s="19">
        <v>23</v>
      </c>
      <c r="D471" s="19">
        <v>3</v>
      </c>
      <c r="E471" s="19">
        <v>8</v>
      </c>
      <c r="F471" s="19">
        <v>19</v>
      </c>
      <c r="G471" s="19">
        <v>12</v>
      </c>
      <c r="H471" s="20">
        <v>1210.87</v>
      </c>
      <c r="I471" s="20">
        <v>177.69</v>
      </c>
      <c r="J471" s="21">
        <v>440</v>
      </c>
      <c r="K471" s="21">
        <v>1045</v>
      </c>
      <c r="L471" s="21">
        <v>660</v>
      </c>
      <c r="M471" s="22">
        <v>10</v>
      </c>
      <c r="N471" s="22">
        <v>15</v>
      </c>
      <c r="O471" s="22">
        <v>13</v>
      </c>
      <c r="P471" s="22">
        <v>15</v>
      </c>
      <c r="Q471" s="22">
        <v>18</v>
      </c>
      <c r="R471" s="17">
        <v>0.696969696969697</v>
      </c>
      <c r="S471" s="17">
        <v>0.166666666666667</v>
      </c>
      <c r="T471" s="17">
        <v>0.380952380952381</v>
      </c>
      <c r="U471" s="17">
        <v>0.558823529411765</v>
      </c>
      <c r="V471" s="23">
        <v>0.4</v>
      </c>
    </row>
    <row r="472" ht="33" spans="1:22">
      <c r="A472" s="16">
        <v>9363</v>
      </c>
      <c r="B472" s="16" t="s">
        <v>1001</v>
      </c>
      <c r="C472" s="19">
        <v>4</v>
      </c>
      <c r="D472" s="19">
        <v>3</v>
      </c>
      <c r="E472" s="19">
        <v>1</v>
      </c>
      <c r="F472" s="19">
        <v>1</v>
      </c>
      <c r="G472" s="19">
        <v>7</v>
      </c>
      <c r="H472" s="20">
        <v>119.96</v>
      </c>
      <c r="I472" s="20">
        <v>89.97</v>
      </c>
      <c r="J472" s="21">
        <v>28.49</v>
      </c>
      <c r="K472" s="21">
        <v>29.99</v>
      </c>
      <c r="L472" s="21">
        <v>209.93</v>
      </c>
      <c r="M472" s="22">
        <v>6</v>
      </c>
      <c r="N472" s="22">
        <v>19</v>
      </c>
      <c r="O472" s="22">
        <v>13</v>
      </c>
      <c r="P472" s="22">
        <v>17</v>
      </c>
      <c r="Q472" s="22">
        <v>5</v>
      </c>
      <c r="R472" s="17">
        <v>0.4</v>
      </c>
      <c r="S472" s="17">
        <v>0.136363636363636</v>
      </c>
      <c r="T472" s="17">
        <v>0.0714285714285714</v>
      </c>
      <c r="U472" s="17">
        <v>0.0555555555555556</v>
      </c>
      <c r="V472" s="23">
        <v>0.583333333333333</v>
      </c>
    </row>
    <row r="473" ht="33" spans="1:22">
      <c r="A473" s="16">
        <v>9364</v>
      </c>
      <c r="B473" s="16" t="s">
        <v>1002</v>
      </c>
      <c r="C473" s="19">
        <v>3</v>
      </c>
      <c r="D473" s="19">
        <v>1</v>
      </c>
      <c r="E473" s="19">
        <v>2</v>
      </c>
      <c r="F473" s="19">
        <v>1</v>
      </c>
      <c r="G473" s="19">
        <v>0</v>
      </c>
      <c r="H473" s="20">
        <v>85.5</v>
      </c>
      <c r="I473" s="20">
        <v>28.5</v>
      </c>
      <c r="J473" s="21">
        <v>59.85</v>
      </c>
      <c r="K473" s="21">
        <v>35.35</v>
      </c>
      <c r="L473" s="21">
        <v>0</v>
      </c>
      <c r="M473" s="22">
        <v>12</v>
      </c>
      <c r="N473" s="22">
        <v>16</v>
      </c>
      <c r="O473" s="22">
        <v>12</v>
      </c>
      <c r="P473" s="22">
        <v>16</v>
      </c>
      <c r="Q473" s="22">
        <v>9</v>
      </c>
      <c r="R473" s="17">
        <v>0.2</v>
      </c>
      <c r="S473" s="17">
        <v>0.0588235294117647</v>
      </c>
      <c r="T473" s="17">
        <v>0.142857142857143</v>
      </c>
      <c r="U473" s="17">
        <v>0.0588235294117647</v>
      </c>
      <c r="V473" s="23">
        <v>0</v>
      </c>
    </row>
    <row r="474" ht="33" spans="1:22">
      <c r="A474" s="16">
        <v>9171</v>
      </c>
      <c r="B474" s="16" t="s">
        <v>1003</v>
      </c>
      <c r="C474" s="19">
        <v>7</v>
      </c>
      <c r="D474" s="19">
        <v>5</v>
      </c>
      <c r="E474" s="19">
        <v>12</v>
      </c>
      <c r="F474" s="19">
        <v>2</v>
      </c>
      <c r="G474" s="19">
        <v>3</v>
      </c>
      <c r="H474" s="20">
        <v>278.46</v>
      </c>
      <c r="I474" s="20">
        <v>206.9</v>
      </c>
      <c r="J474" s="21">
        <v>511.22</v>
      </c>
      <c r="K474" s="21">
        <v>93.42</v>
      </c>
      <c r="L474" s="21">
        <v>140.13</v>
      </c>
      <c r="M474" s="22">
        <v>29</v>
      </c>
      <c r="N474" s="22">
        <v>24</v>
      </c>
      <c r="O474" s="22">
        <v>36</v>
      </c>
      <c r="P474" s="22">
        <v>46</v>
      </c>
      <c r="Q474" s="22">
        <v>31</v>
      </c>
      <c r="R474" s="17">
        <v>0.194444444444444</v>
      </c>
      <c r="S474" s="17">
        <v>0.172413793103448</v>
      </c>
      <c r="T474" s="17">
        <v>0.25</v>
      </c>
      <c r="U474" s="17">
        <v>0.0416666666666667</v>
      </c>
      <c r="V474" s="23">
        <v>0.0882352941176471</v>
      </c>
    </row>
    <row r="475" ht="33" spans="1:22">
      <c r="A475" s="16">
        <v>9159</v>
      </c>
      <c r="B475" s="16" t="s">
        <v>1004</v>
      </c>
      <c r="C475" s="19">
        <v>0</v>
      </c>
      <c r="D475" s="19">
        <v>10</v>
      </c>
      <c r="E475" s="19">
        <v>8</v>
      </c>
      <c r="F475" s="19">
        <v>1</v>
      </c>
      <c r="G475" s="19">
        <v>3</v>
      </c>
      <c r="H475" s="20">
        <v>0</v>
      </c>
      <c r="I475" s="20">
        <v>246.5</v>
      </c>
      <c r="J475" s="21">
        <v>197.2</v>
      </c>
      <c r="K475" s="21">
        <v>24.65</v>
      </c>
      <c r="L475" s="21">
        <v>73.95</v>
      </c>
      <c r="M475" s="22">
        <v>26</v>
      </c>
      <c r="N475" s="22">
        <v>27</v>
      </c>
      <c r="O475" s="22">
        <v>21</v>
      </c>
      <c r="P475" s="22">
        <v>9</v>
      </c>
      <c r="Q475" s="22">
        <v>19</v>
      </c>
      <c r="R475" s="17">
        <v>0</v>
      </c>
      <c r="S475" s="17">
        <v>0.27027027027027</v>
      </c>
      <c r="T475" s="17">
        <v>0.275862068965517</v>
      </c>
      <c r="U475" s="17">
        <v>0.1</v>
      </c>
      <c r="V475" s="23">
        <v>0.136363636363636</v>
      </c>
    </row>
    <row r="476" ht="49.5" spans="1:22">
      <c r="A476" s="16">
        <v>9160</v>
      </c>
      <c r="B476" s="16" t="s">
        <v>1005</v>
      </c>
      <c r="C476" s="19">
        <v>2</v>
      </c>
      <c r="D476" s="19">
        <v>10</v>
      </c>
      <c r="E476" s="19">
        <v>14</v>
      </c>
      <c r="F476" s="19">
        <v>1</v>
      </c>
      <c r="G476" s="19">
        <v>5</v>
      </c>
      <c r="H476" s="20">
        <v>55.12</v>
      </c>
      <c r="I476" s="20">
        <v>262.3</v>
      </c>
      <c r="J476" s="21">
        <v>367.22</v>
      </c>
      <c r="K476" s="21">
        <v>26.23</v>
      </c>
      <c r="L476" s="21">
        <v>152.62</v>
      </c>
      <c r="M476" s="22">
        <v>14</v>
      </c>
      <c r="N476" s="22">
        <v>23</v>
      </c>
      <c r="O476" s="22">
        <v>9</v>
      </c>
      <c r="P476" s="22">
        <v>16</v>
      </c>
      <c r="Q476" s="22">
        <v>21</v>
      </c>
      <c r="R476" s="17">
        <v>0.125</v>
      </c>
      <c r="S476" s="17">
        <v>0.303030303030303</v>
      </c>
      <c r="T476" s="17">
        <v>0.608695652173913</v>
      </c>
      <c r="U476" s="17">
        <v>0.0588235294117647</v>
      </c>
      <c r="V476" s="23">
        <v>0.192307692307692</v>
      </c>
    </row>
    <row r="477" ht="33" spans="1:22">
      <c r="A477" s="16">
        <v>9733</v>
      </c>
      <c r="B477" s="16" t="s">
        <v>1006</v>
      </c>
      <c r="C477" s="19">
        <v>11</v>
      </c>
      <c r="D477" s="19">
        <v>8</v>
      </c>
      <c r="E477" s="19">
        <v>15</v>
      </c>
      <c r="F477" s="19">
        <v>18</v>
      </c>
      <c r="G477" s="19">
        <v>16</v>
      </c>
      <c r="H477" s="20">
        <v>878.63</v>
      </c>
      <c r="I477" s="20">
        <v>632.6</v>
      </c>
      <c r="J477" s="21">
        <v>1189.21</v>
      </c>
      <c r="K477" s="21">
        <v>1379.8</v>
      </c>
      <c r="L477" s="21">
        <v>1138.54</v>
      </c>
      <c r="M477" s="22">
        <v>24</v>
      </c>
      <c r="N477" s="22">
        <v>44</v>
      </c>
      <c r="O477" s="22">
        <v>56</v>
      </c>
      <c r="P477" s="22">
        <v>53</v>
      </c>
      <c r="Q477" s="22">
        <v>39</v>
      </c>
      <c r="R477" s="17">
        <v>0.314285714285714</v>
      </c>
      <c r="S477" s="17">
        <v>0.153846153846154</v>
      </c>
      <c r="T477" s="17">
        <v>0.211267605633803</v>
      </c>
      <c r="U477" s="17">
        <v>0.253521126760563</v>
      </c>
      <c r="V477" s="23">
        <v>0.290909090909091</v>
      </c>
    </row>
    <row r="478" ht="33" spans="1:22">
      <c r="A478" s="16">
        <v>9697</v>
      </c>
      <c r="B478" s="16" t="s">
        <v>1007</v>
      </c>
      <c r="C478" s="19">
        <v>3</v>
      </c>
      <c r="D478" s="19">
        <v>4</v>
      </c>
      <c r="E478" s="19">
        <v>9</v>
      </c>
      <c r="F478" s="19">
        <v>3</v>
      </c>
      <c r="G478" s="19">
        <v>3</v>
      </c>
      <c r="H478" s="20">
        <v>157.35</v>
      </c>
      <c r="I478" s="20">
        <v>209.8</v>
      </c>
      <c r="J478" s="21">
        <v>488.44</v>
      </c>
      <c r="K478" s="21">
        <v>156</v>
      </c>
      <c r="L478" s="21">
        <v>156</v>
      </c>
      <c r="M478" s="22">
        <v>2</v>
      </c>
      <c r="N478" s="22">
        <v>1</v>
      </c>
      <c r="O478" s="22">
        <v>3</v>
      </c>
      <c r="P478" s="22">
        <v>7</v>
      </c>
      <c r="Q478" s="22">
        <v>1</v>
      </c>
      <c r="R478" s="17">
        <v>0.6</v>
      </c>
      <c r="S478" s="17">
        <v>0.8</v>
      </c>
      <c r="T478" s="17">
        <v>0.75</v>
      </c>
      <c r="U478" s="17">
        <v>0.3</v>
      </c>
      <c r="V478" s="23">
        <v>0.75</v>
      </c>
    </row>
    <row r="479" ht="33" spans="1:22">
      <c r="A479" s="16">
        <v>9698</v>
      </c>
      <c r="B479" s="16" t="s">
        <v>1008</v>
      </c>
      <c r="C479" s="19">
        <v>2</v>
      </c>
      <c r="D479" s="19">
        <v>12</v>
      </c>
      <c r="E479" s="19">
        <v>15</v>
      </c>
      <c r="F479" s="19">
        <v>11</v>
      </c>
      <c r="G479" s="19">
        <v>12</v>
      </c>
      <c r="H479" s="20">
        <v>99</v>
      </c>
      <c r="I479" s="20">
        <v>520.92</v>
      </c>
      <c r="J479" s="21">
        <v>651.15</v>
      </c>
      <c r="K479" s="21">
        <v>477.51</v>
      </c>
      <c r="L479" s="21">
        <v>535.92</v>
      </c>
      <c r="M479" s="22">
        <v>4</v>
      </c>
      <c r="N479" s="22">
        <v>3</v>
      </c>
      <c r="O479" s="22">
        <v>4</v>
      </c>
      <c r="P479" s="22">
        <v>13</v>
      </c>
      <c r="Q479" s="22">
        <v>12</v>
      </c>
      <c r="R479" s="17">
        <v>0.333333333333333</v>
      </c>
      <c r="S479" s="17">
        <v>0.8</v>
      </c>
      <c r="T479" s="17">
        <v>0.789473684210526</v>
      </c>
      <c r="U479" s="17">
        <v>0.458333333333333</v>
      </c>
      <c r="V479" s="23">
        <v>0.5</v>
      </c>
    </row>
    <row r="480" ht="33" spans="1:22">
      <c r="A480" s="16">
        <v>9302</v>
      </c>
      <c r="B480" s="16" t="s">
        <v>1009</v>
      </c>
      <c r="C480" s="19">
        <v>16</v>
      </c>
      <c r="D480" s="19">
        <v>8</v>
      </c>
      <c r="E480" s="19">
        <v>21</v>
      </c>
      <c r="F480" s="19">
        <v>15</v>
      </c>
      <c r="G480" s="19">
        <v>18</v>
      </c>
      <c r="H480" s="20">
        <v>473.44</v>
      </c>
      <c r="I480" s="20">
        <v>252.72</v>
      </c>
      <c r="J480" s="21">
        <v>663.39</v>
      </c>
      <c r="K480" s="21">
        <v>473.85</v>
      </c>
      <c r="L480" s="21">
        <v>568.62</v>
      </c>
      <c r="M480" s="22">
        <v>23</v>
      </c>
      <c r="N480" s="22">
        <v>22</v>
      </c>
      <c r="O480" s="22">
        <v>17</v>
      </c>
      <c r="P480" s="22">
        <v>12</v>
      </c>
      <c r="Q480" s="22">
        <v>20</v>
      </c>
      <c r="R480" s="17">
        <v>0.41025641025641</v>
      </c>
      <c r="S480" s="17">
        <v>0.266666666666667</v>
      </c>
      <c r="T480" s="17">
        <v>0.552631578947368</v>
      </c>
      <c r="U480" s="17">
        <v>0.555555555555556</v>
      </c>
      <c r="V480" s="23">
        <v>0.473684210526316</v>
      </c>
    </row>
    <row r="481" ht="33" spans="1:22">
      <c r="A481" s="16">
        <v>9303</v>
      </c>
      <c r="B481" s="16" t="s">
        <v>1010</v>
      </c>
      <c r="C481" s="19">
        <v>2</v>
      </c>
      <c r="D481" s="19">
        <v>3</v>
      </c>
      <c r="E481" s="19">
        <v>8</v>
      </c>
      <c r="F481" s="19">
        <v>4</v>
      </c>
      <c r="G481" s="19">
        <v>5</v>
      </c>
      <c r="H481" s="20">
        <v>42.46</v>
      </c>
      <c r="I481" s="20">
        <v>62.45</v>
      </c>
      <c r="J481" s="21">
        <v>161.92</v>
      </c>
      <c r="K481" s="21">
        <v>83.96</v>
      </c>
      <c r="L481" s="21">
        <v>99.29</v>
      </c>
      <c r="M481" s="22">
        <v>6</v>
      </c>
      <c r="N481" s="22">
        <v>7</v>
      </c>
      <c r="O481" s="22">
        <v>3</v>
      </c>
      <c r="P481" s="22">
        <v>11</v>
      </c>
      <c r="Q481" s="22">
        <v>19</v>
      </c>
      <c r="R481" s="17">
        <v>0.25</v>
      </c>
      <c r="S481" s="17">
        <v>0.3</v>
      </c>
      <c r="T481" s="17">
        <v>0.727272727272727</v>
      </c>
      <c r="U481" s="17">
        <v>0.266666666666667</v>
      </c>
      <c r="V481" s="23">
        <v>0.208333333333333</v>
      </c>
    </row>
    <row r="482" ht="33" spans="1:22">
      <c r="A482" s="16">
        <v>9304</v>
      </c>
      <c r="B482" s="16" t="s">
        <v>1011</v>
      </c>
      <c r="C482" s="19">
        <v>10</v>
      </c>
      <c r="D482" s="19">
        <v>9</v>
      </c>
      <c r="E482" s="19">
        <v>26</v>
      </c>
      <c r="F482" s="19">
        <v>13</v>
      </c>
      <c r="G482" s="19">
        <v>22</v>
      </c>
      <c r="H482" s="20">
        <v>194.5</v>
      </c>
      <c r="I482" s="20">
        <v>175.05</v>
      </c>
      <c r="J482" s="21">
        <v>515.27</v>
      </c>
      <c r="K482" s="21">
        <v>266.3</v>
      </c>
      <c r="L482" s="21">
        <v>448.01</v>
      </c>
      <c r="M482" s="22">
        <v>6</v>
      </c>
      <c r="N482" s="22">
        <v>7</v>
      </c>
      <c r="O482" s="22">
        <v>10</v>
      </c>
      <c r="P482" s="22">
        <v>20</v>
      </c>
      <c r="Q482" s="22">
        <v>9</v>
      </c>
      <c r="R482" s="17">
        <v>0.625</v>
      </c>
      <c r="S482" s="17">
        <v>0.5625</v>
      </c>
      <c r="T482" s="17">
        <v>0.722222222222222</v>
      </c>
      <c r="U482" s="17">
        <v>0.393939393939394</v>
      </c>
      <c r="V482" s="23">
        <v>0.709677419354839</v>
      </c>
    </row>
    <row r="483" ht="33" spans="1:22">
      <c r="A483" s="16">
        <v>9803</v>
      </c>
      <c r="B483" s="16" t="s">
        <v>1012</v>
      </c>
      <c r="C483" s="19">
        <v>18</v>
      </c>
      <c r="D483" s="19">
        <v>18</v>
      </c>
      <c r="E483" s="19">
        <v>25</v>
      </c>
      <c r="F483" s="19">
        <v>26</v>
      </c>
      <c r="G483" s="19">
        <v>16</v>
      </c>
      <c r="H483" s="20">
        <v>775.4</v>
      </c>
      <c r="I483" s="20">
        <v>775.4</v>
      </c>
      <c r="J483" s="21">
        <v>1075.1</v>
      </c>
      <c r="K483" s="21">
        <v>1119</v>
      </c>
      <c r="L483" s="21">
        <v>687.4</v>
      </c>
      <c r="M483" s="22">
        <v>3</v>
      </c>
      <c r="N483" s="22">
        <v>6</v>
      </c>
      <c r="O483" s="22">
        <v>1</v>
      </c>
      <c r="P483" s="22">
        <v>1</v>
      </c>
      <c r="Q483" s="22">
        <v>9</v>
      </c>
      <c r="R483" s="17">
        <v>0.857142857142857</v>
      </c>
      <c r="S483" s="17">
        <v>0.75</v>
      </c>
      <c r="T483" s="17">
        <v>0.961538461538462</v>
      </c>
      <c r="U483" s="17">
        <v>0.962962962962963</v>
      </c>
      <c r="V483" s="23">
        <v>0.64</v>
      </c>
    </row>
    <row r="484" ht="33" spans="1:22">
      <c r="A484" s="16">
        <v>9494</v>
      </c>
      <c r="B484" s="16" t="s">
        <v>1013</v>
      </c>
      <c r="C484" s="19">
        <v>9</v>
      </c>
      <c r="D484" s="19">
        <v>3</v>
      </c>
      <c r="E484" s="19">
        <v>3</v>
      </c>
      <c r="F484" s="19">
        <v>3</v>
      </c>
      <c r="G484" s="19">
        <v>3</v>
      </c>
      <c r="H484" s="20">
        <v>237.91</v>
      </c>
      <c r="I484" s="20">
        <v>81.97</v>
      </c>
      <c r="J484" s="21">
        <v>80.57</v>
      </c>
      <c r="K484" s="21">
        <v>66.57</v>
      </c>
      <c r="L484" s="21">
        <v>66.57</v>
      </c>
      <c r="M484" s="22">
        <v>3</v>
      </c>
      <c r="N484" s="22">
        <v>13</v>
      </c>
      <c r="O484" s="22">
        <v>9</v>
      </c>
      <c r="P484" s="22">
        <v>2</v>
      </c>
      <c r="Q484" s="22">
        <v>7</v>
      </c>
      <c r="R484" s="17">
        <v>0.75</v>
      </c>
      <c r="S484" s="17">
        <v>0.1875</v>
      </c>
      <c r="T484" s="17">
        <v>0.25</v>
      </c>
      <c r="U484" s="17">
        <v>0.6</v>
      </c>
      <c r="V484" s="23">
        <v>0.3</v>
      </c>
    </row>
    <row r="485" ht="33" spans="1:22">
      <c r="A485" s="16">
        <v>9495</v>
      </c>
      <c r="B485" s="16" t="s">
        <v>1014</v>
      </c>
      <c r="C485" s="19">
        <v>13</v>
      </c>
      <c r="D485" s="19">
        <v>16</v>
      </c>
      <c r="E485" s="19">
        <v>29</v>
      </c>
      <c r="F485" s="19">
        <v>15</v>
      </c>
      <c r="G485" s="19">
        <v>12</v>
      </c>
      <c r="H485" s="20">
        <v>287.9</v>
      </c>
      <c r="I485" s="20">
        <v>318.56</v>
      </c>
      <c r="J485" s="21">
        <v>645.55</v>
      </c>
      <c r="K485" s="21">
        <v>365.82</v>
      </c>
      <c r="L485" s="21">
        <v>291.29</v>
      </c>
      <c r="M485" s="22">
        <v>7</v>
      </c>
      <c r="N485" s="22">
        <v>6</v>
      </c>
      <c r="O485" s="22">
        <v>4</v>
      </c>
      <c r="P485" s="22">
        <v>2</v>
      </c>
      <c r="Q485" s="22">
        <v>5</v>
      </c>
      <c r="R485" s="17">
        <v>0.65</v>
      </c>
      <c r="S485" s="17">
        <v>0.727272727272727</v>
      </c>
      <c r="T485" s="17">
        <v>0.878787878787879</v>
      </c>
      <c r="U485" s="17">
        <v>0.882352941176471</v>
      </c>
      <c r="V485" s="23">
        <v>0.705882352941177</v>
      </c>
    </row>
    <row r="486" ht="33" spans="1:22">
      <c r="A486" s="16">
        <v>9561</v>
      </c>
      <c r="B486" s="16" t="s">
        <v>1015</v>
      </c>
      <c r="C486" s="19">
        <v>18</v>
      </c>
      <c r="D486" s="19">
        <v>28</v>
      </c>
      <c r="E486" s="19">
        <v>27</v>
      </c>
      <c r="F486" s="19">
        <v>27</v>
      </c>
      <c r="G486" s="19">
        <v>23</v>
      </c>
      <c r="H486" s="20">
        <v>700.2</v>
      </c>
      <c r="I486" s="20">
        <v>1056.72</v>
      </c>
      <c r="J486" s="21">
        <v>1050.73</v>
      </c>
      <c r="K486" s="21">
        <v>1025.93</v>
      </c>
      <c r="L486" s="21">
        <v>843.07</v>
      </c>
      <c r="M486" s="22">
        <v>11</v>
      </c>
      <c r="N486" s="22">
        <v>20</v>
      </c>
      <c r="O486" s="22">
        <v>10</v>
      </c>
      <c r="P486" s="22">
        <v>15</v>
      </c>
      <c r="Q486" s="22">
        <v>28</v>
      </c>
      <c r="R486" s="17">
        <v>0.620689655172414</v>
      </c>
      <c r="S486" s="17">
        <v>0.583333333333333</v>
      </c>
      <c r="T486" s="17">
        <v>0.72972972972973</v>
      </c>
      <c r="U486" s="17">
        <v>0.642857142857143</v>
      </c>
      <c r="V486" s="23">
        <v>0.450980392156863</v>
      </c>
    </row>
    <row r="487" ht="33" spans="1:22">
      <c r="A487" s="16">
        <v>9539</v>
      </c>
      <c r="B487" s="16" t="s">
        <v>1016</v>
      </c>
      <c r="C487" s="19">
        <v>4</v>
      </c>
      <c r="D487" s="19">
        <v>4</v>
      </c>
      <c r="E487" s="19">
        <v>13</v>
      </c>
      <c r="F487" s="19">
        <v>13</v>
      </c>
      <c r="G487" s="19">
        <v>15</v>
      </c>
      <c r="H487" s="20">
        <v>78</v>
      </c>
      <c r="I487" s="20">
        <v>79.23</v>
      </c>
      <c r="J487" s="21">
        <v>262.32</v>
      </c>
      <c r="K487" s="21">
        <v>266.24</v>
      </c>
      <c r="L487" s="21">
        <v>307.2</v>
      </c>
      <c r="M487" s="22">
        <v>10</v>
      </c>
      <c r="N487" s="22">
        <v>15</v>
      </c>
      <c r="O487" s="22">
        <v>14</v>
      </c>
      <c r="P487" s="22">
        <v>13</v>
      </c>
      <c r="Q487" s="22">
        <v>13</v>
      </c>
      <c r="R487" s="17">
        <v>0.285714285714286</v>
      </c>
      <c r="S487" s="17">
        <v>0.210526315789474</v>
      </c>
      <c r="T487" s="17">
        <v>0.481481481481481</v>
      </c>
      <c r="U487" s="17">
        <v>0.5</v>
      </c>
      <c r="V487" s="23">
        <v>0.535714285714286</v>
      </c>
    </row>
    <row r="488" ht="33" spans="1:22">
      <c r="A488" s="16">
        <v>9540</v>
      </c>
      <c r="B488" s="16" t="s">
        <v>1017</v>
      </c>
      <c r="C488" s="19">
        <v>6</v>
      </c>
      <c r="D488" s="19">
        <v>6</v>
      </c>
      <c r="E488" s="19">
        <v>16</v>
      </c>
      <c r="F488" s="19">
        <v>12</v>
      </c>
      <c r="G488" s="19">
        <v>8</v>
      </c>
      <c r="H488" s="20">
        <v>124.86</v>
      </c>
      <c r="I488" s="20">
        <v>114.6</v>
      </c>
      <c r="J488" s="21">
        <v>305.31</v>
      </c>
      <c r="K488" s="21">
        <v>231.12</v>
      </c>
      <c r="L488" s="21">
        <v>154.08</v>
      </c>
      <c r="M488" s="22">
        <v>1</v>
      </c>
      <c r="N488" s="22">
        <v>10</v>
      </c>
      <c r="O488" s="22">
        <v>4</v>
      </c>
      <c r="P488" s="22">
        <v>4</v>
      </c>
      <c r="Q488" s="22">
        <v>4</v>
      </c>
      <c r="R488" s="17">
        <v>0.857142857142857</v>
      </c>
      <c r="S488" s="17">
        <v>0.375</v>
      </c>
      <c r="T488" s="17">
        <v>0.8</v>
      </c>
      <c r="U488" s="17">
        <v>0.75</v>
      </c>
      <c r="V488" s="23">
        <v>0.666666666666667</v>
      </c>
    </row>
    <row r="489" ht="33" spans="1:22">
      <c r="A489" s="16">
        <v>8944</v>
      </c>
      <c r="B489" s="16" t="s">
        <v>1018</v>
      </c>
      <c r="C489" s="19">
        <v>0</v>
      </c>
      <c r="D489" s="19">
        <v>5</v>
      </c>
      <c r="E489" s="19">
        <v>4</v>
      </c>
      <c r="F489" s="19">
        <v>10</v>
      </c>
      <c r="G489" s="19">
        <v>33</v>
      </c>
      <c r="H489" s="20">
        <v>0</v>
      </c>
      <c r="I489" s="20">
        <v>163.5</v>
      </c>
      <c r="J489" s="21">
        <v>130.97</v>
      </c>
      <c r="K489" s="21">
        <v>308.03</v>
      </c>
      <c r="L489" s="21">
        <v>1067.67</v>
      </c>
      <c r="M489" s="22">
        <v>30</v>
      </c>
      <c r="N489" s="22">
        <v>18</v>
      </c>
      <c r="O489" s="22">
        <v>21</v>
      </c>
      <c r="P489" s="22">
        <v>24</v>
      </c>
      <c r="Q489" s="22">
        <v>25</v>
      </c>
      <c r="R489" s="17">
        <v>0</v>
      </c>
      <c r="S489" s="17">
        <v>0.217391304347826</v>
      </c>
      <c r="T489" s="17">
        <v>0.16</v>
      </c>
      <c r="U489" s="17">
        <v>0.294117647058824</v>
      </c>
      <c r="V489" s="23">
        <v>0.568965517241379</v>
      </c>
    </row>
    <row r="490" ht="33" spans="1:22">
      <c r="A490" s="16">
        <v>8989</v>
      </c>
      <c r="B490" s="16" t="s">
        <v>1019</v>
      </c>
      <c r="C490" s="19">
        <v>9</v>
      </c>
      <c r="D490" s="19">
        <v>13</v>
      </c>
      <c r="E490" s="19">
        <v>5</v>
      </c>
      <c r="F490" s="19">
        <v>11</v>
      </c>
      <c r="G490" s="19">
        <v>4</v>
      </c>
      <c r="H490" s="20">
        <v>180</v>
      </c>
      <c r="I490" s="20">
        <v>260</v>
      </c>
      <c r="J490" s="21">
        <v>100.6</v>
      </c>
      <c r="K490" s="21">
        <v>226.6</v>
      </c>
      <c r="L490" s="21">
        <v>92.04</v>
      </c>
      <c r="M490" s="22">
        <v>7</v>
      </c>
      <c r="N490" s="22">
        <v>3</v>
      </c>
      <c r="O490" s="22">
        <v>14</v>
      </c>
      <c r="P490" s="22">
        <v>14</v>
      </c>
      <c r="Q490" s="22">
        <v>10</v>
      </c>
      <c r="R490" s="17">
        <v>0.5625</v>
      </c>
      <c r="S490" s="17">
        <v>0.8125</v>
      </c>
      <c r="T490" s="17">
        <v>0.263157894736842</v>
      </c>
      <c r="U490" s="17">
        <v>0.44</v>
      </c>
      <c r="V490" s="23">
        <v>0.285714285714286</v>
      </c>
    </row>
    <row r="491" ht="33" spans="1:22">
      <c r="A491" s="16">
        <v>8990</v>
      </c>
      <c r="B491" s="16" t="s">
        <v>1020</v>
      </c>
      <c r="C491" s="19">
        <v>2</v>
      </c>
      <c r="D491" s="19">
        <v>12</v>
      </c>
      <c r="E491" s="19">
        <v>11</v>
      </c>
      <c r="F491" s="19">
        <v>0</v>
      </c>
      <c r="G491" s="19">
        <v>1</v>
      </c>
      <c r="H491" s="20">
        <v>41.84</v>
      </c>
      <c r="I491" s="20">
        <v>238.56</v>
      </c>
      <c r="J491" s="21">
        <v>233.68</v>
      </c>
      <c r="K491" s="21">
        <v>0</v>
      </c>
      <c r="L491" s="21">
        <v>28.19</v>
      </c>
      <c r="M491" s="22">
        <v>4</v>
      </c>
      <c r="N491" s="22">
        <v>0</v>
      </c>
      <c r="O491" s="22">
        <v>12</v>
      </c>
      <c r="P491" s="22">
        <v>12</v>
      </c>
      <c r="Q491" s="22">
        <v>26</v>
      </c>
      <c r="R491" s="17">
        <v>0.333333333333333</v>
      </c>
      <c r="S491" s="17">
        <v>1</v>
      </c>
      <c r="T491" s="17">
        <v>0.478260869565217</v>
      </c>
      <c r="U491" s="17">
        <v>0</v>
      </c>
      <c r="V491" s="23">
        <v>0.037037037037037</v>
      </c>
    </row>
    <row r="492" ht="33" spans="1:22">
      <c r="A492" s="16">
        <v>8678</v>
      </c>
      <c r="B492" s="16" t="s">
        <v>1021</v>
      </c>
      <c r="C492" s="19">
        <v>25</v>
      </c>
      <c r="D492" s="19">
        <v>71</v>
      </c>
      <c r="E492" s="19">
        <v>75</v>
      </c>
      <c r="F492" s="19">
        <v>60</v>
      </c>
      <c r="G492" s="19">
        <v>69</v>
      </c>
      <c r="H492" s="20">
        <v>912.5</v>
      </c>
      <c r="I492" s="20">
        <v>2250.1</v>
      </c>
      <c r="J492" s="21">
        <v>2561.76</v>
      </c>
      <c r="K492" s="21">
        <v>2071.87</v>
      </c>
      <c r="L492" s="21">
        <v>2479.02</v>
      </c>
      <c r="M492" s="22">
        <v>28</v>
      </c>
      <c r="N492" s="22">
        <v>17</v>
      </c>
      <c r="O492" s="22">
        <v>12</v>
      </c>
      <c r="P492" s="22">
        <v>18</v>
      </c>
      <c r="Q492" s="22">
        <v>74</v>
      </c>
      <c r="R492" s="17">
        <v>0.471698113207547</v>
      </c>
      <c r="S492" s="17">
        <v>0.806818181818182</v>
      </c>
      <c r="T492" s="17">
        <v>0.862068965517241</v>
      </c>
      <c r="U492" s="17">
        <v>0.769230769230769</v>
      </c>
      <c r="V492" s="23">
        <v>0.482517482517482</v>
      </c>
    </row>
    <row r="493" ht="33" spans="1:22">
      <c r="A493" s="16">
        <v>8679</v>
      </c>
      <c r="B493" s="16" t="s">
        <v>1022</v>
      </c>
      <c r="C493" s="19">
        <v>14</v>
      </c>
      <c r="D493" s="19">
        <v>27</v>
      </c>
      <c r="E493" s="19">
        <v>27</v>
      </c>
      <c r="F493" s="19">
        <v>9</v>
      </c>
      <c r="G493" s="19">
        <v>6</v>
      </c>
      <c r="H493" s="20">
        <v>262.99</v>
      </c>
      <c r="I493" s="20">
        <v>508.8</v>
      </c>
      <c r="J493" s="21">
        <v>622.07</v>
      </c>
      <c r="K493" s="21">
        <v>234.35</v>
      </c>
      <c r="L493" s="21">
        <v>149.24</v>
      </c>
      <c r="M493" s="22">
        <v>12</v>
      </c>
      <c r="N493" s="22">
        <v>12</v>
      </c>
      <c r="O493" s="22">
        <v>16</v>
      </c>
      <c r="P493" s="22">
        <v>19</v>
      </c>
      <c r="Q493" s="22">
        <v>25</v>
      </c>
      <c r="R493" s="17">
        <v>0.538461538461538</v>
      </c>
      <c r="S493" s="17">
        <v>0.692307692307692</v>
      </c>
      <c r="T493" s="17">
        <v>0.627906976744186</v>
      </c>
      <c r="U493" s="17">
        <v>0.321428571428571</v>
      </c>
      <c r="V493" s="23">
        <v>0.193548387096774</v>
      </c>
    </row>
    <row r="494" ht="33" spans="1:22">
      <c r="A494" s="16">
        <v>8680</v>
      </c>
      <c r="B494" s="16" t="s">
        <v>1023</v>
      </c>
      <c r="C494" s="19">
        <v>15</v>
      </c>
      <c r="D494" s="19">
        <v>9</v>
      </c>
      <c r="E494" s="19">
        <v>20</v>
      </c>
      <c r="F494" s="19">
        <v>19</v>
      </c>
      <c r="G494" s="19">
        <v>22</v>
      </c>
      <c r="H494" s="20">
        <v>334.5</v>
      </c>
      <c r="I494" s="20">
        <v>200.7</v>
      </c>
      <c r="J494" s="21">
        <v>446</v>
      </c>
      <c r="K494" s="21">
        <v>423.7</v>
      </c>
      <c r="L494" s="21">
        <v>514.75</v>
      </c>
      <c r="M494" s="22">
        <v>19</v>
      </c>
      <c r="N494" s="22">
        <v>12</v>
      </c>
      <c r="O494" s="22">
        <v>21</v>
      </c>
      <c r="P494" s="22">
        <v>26</v>
      </c>
      <c r="Q494" s="22">
        <v>15</v>
      </c>
      <c r="R494" s="17">
        <v>0.441176470588235</v>
      </c>
      <c r="S494" s="17">
        <v>0.428571428571429</v>
      </c>
      <c r="T494" s="17">
        <v>0.48780487804878</v>
      </c>
      <c r="U494" s="17">
        <v>0.422222222222222</v>
      </c>
      <c r="V494" s="23">
        <v>0.594594594594595</v>
      </c>
    </row>
    <row r="495" ht="33" spans="1:22">
      <c r="A495" s="16">
        <v>9305</v>
      </c>
      <c r="B495" s="16" t="s">
        <v>1024</v>
      </c>
      <c r="C495" s="19">
        <v>81</v>
      </c>
      <c r="D495" s="19">
        <v>119</v>
      </c>
      <c r="E495" s="19">
        <v>28</v>
      </c>
      <c r="F495" s="19">
        <v>11</v>
      </c>
      <c r="G495" s="19">
        <v>0</v>
      </c>
      <c r="H495" s="20">
        <v>2142.45</v>
      </c>
      <c r="I495" s="20">
        <v>3557.09</v>
      </c>
      <c r="J495" s="21">
        <v>1114.4</v>
      </c>
      <c r="K495" s="21">
        <v>437.8</v>
      </c>
      <c r="L495" s="21">
        <v>0</v>
      </c>
      <c r="M495" s="22">
        <v>67</v>
      </c>
      <c r="N495" s="22">
        <v>20</v>
      </c>
      <c r="O495" s="22">
        <v>41</v>
      </c>
      <c r="P495" s="22">
        <v>31</v>
      </c>
      <c r="Q495" s="22">
        <v>110</v>
      </c>
      <c r="R495" s="17">
        <v>0.547297297297297</v>
      </c>
      <c r="S495" s="17">
        <v>0.856115107913669</v>
      </c>
      <c r="T495" s="17">
        <v>0.405797101449275</v>
      </c>
      <c r="U495" s="17">
        <v>0.261904761904762</v>
      </c>
      <c r="V495" s="23">
        <v>0</v>
      </c>
    </row>
    <row r="496" ht="33" spans="1:22">
      <c r="A496" s="16">
        <v>9306</v>
      </c>
      <c r="B496" s="16" t="s">
        <v>1025</v>
      </c>
      <c r="C496" s="19">
        <v>31</v>
      </c>
      <c r="D496" s="19">
        <v>49</v>
      </c>
      <c r="E496" s="19">
        <v>47</v>
      </c>
      <c r="F496" s="19">
        <v>26</v>
      </c>
      <c r="G496" s="19">
        <v>21</v>
      </c>
      <c r="H496" s="20">
        <v>605.58</v>
      </c>
      <c r="I496" s="20">
        <v>953.639999999999</v>
      </c>
      <c r="J496" s="21">
        <v>915.219999999999</v>
      </c>
      <c r="K496" s="21">
        <v>508.96</v>
      </c>
      <c r="L496" s="21">
        <v>409.68</v>
      </c>
      <c r="M496" s="22">
        <v>5</v>
      </c>
      <c r="N496" s="22">
        <v>11</v>
      </c>
      <c r="O496" s="22">
        <v>14</v>
      </c>
      <c r="P496" s="22">
        <v>25</v>
      </c>
      <c r="Q496" s="22">
        <v>54</v>
      </c>
      <c r="R496" s="17">
        <v>0.861111111111111</v>
      </c>
      <c r="S496" s="17">
        <v>0.816666666666667</v>
      </c>
      <c r="T496" s="17">
        <v>0.770491803278688</v>
      </c>
      <c r="U496" s="17">
        <v>0.509803921568627</v>
      </c>
      <c r="V496" s="23">
        <v>0.28</v>
      </c>
    </row>
    <row r="497" ht="33" spans="1:22">
      <c r="A497" s="16">
        <v>8842</v>
      </c>
      <c r="B497" s="16" t="s">
        <v>1026</v>
      </c>
      <c r="C497" s="19">
        <v>33</v>
      </c>
      <c r="D497" s="19">
        <v>40</v>
      </c>
      <c r="E497" s="19">
        <v>28</v>
      </c>
      <c r="F497" s="19">
        <v>33</v>
      </c>
      <c r="G497" s="19">
        <v>30</v>
      </c>
      <c r="H497" s="20">
        <v>1605.7</v>
      </c>
      <c r="I497" s="20">
        <v>1929.2</v>
      </c>
      <c r="J497" s="21">
        <v>1416.8</v>
      </c>
      <c r="K497" s="21">
        <v>1674.82</v>
      </c>
      <c r="L497" s="21">
        <v>1518.3</v>
      </c>
      <c r="M497" s="22">
        <v>5</v>
      </c>
      <c r="N497" s="22">
        <v>11</v>
      </c>
      <c r="O497" s="22">
        <v>6</v>
      </c>
      <c r="P497" s="22">
        <v>7</v>
      </c>
      <c r="Q497" s="22">
        <v>13</v>
      </c>
      <c r="R497" s="17">
        <v>0.868421052631579</v>
      </c>
      <c r="S497" s="17">
        <v>0.784313725490196</v>
      </c>
      <c r="T497" s="17">
        <v>0.823529411764706</v>
      </c>
      <c r="U497" s="17">
        <v>0.825</v>
      </c>
      <c r="V497" s="23">
        <v>0.697674418604651</v>
      </c>
    </row>
    <row r="498" ht="33" spans="1:22">
      <c r="A498" s="16">
        <v>8843</v>
      </c>
      <c r="B498" s="16" t="s">
        <v>1027</v>
      </c>
      <c r="C498" s="19">
        <v>21</v>
      </c>
      <c r="D498" s="19">
        <v>15</v>
      </c>
      <c r="E498" s="19">
        <v>39</v>
      </c>
      <c r="F498" s="19">
        <v>37</v>
      </c>
      <c r="G498" s="19">
        <v>18</v>
      </c>
      <c r="H498" s="20">
        <v>582.24</v>
      </c>
      <c r="I498" s="20">
        <v>412.35</v>
      </c>
      <c r="J498" s="21">
        <v>1099.86</v>
      </c>
      <c r="K498" s="21">
        <v>1052.76</v>
      </c>
      <c r="L498" s="21">
        <v>524.26</v>
      </c>
      <c r="M498" s="22">
        <v>1</v>
      </c>
      <c r="N498" s="22">
        <v>3</v>
      </c>
      <c r="O498" s="22">
        <v>3</v>
      </c>
      <c r="P498" s="22">
        <v>4</v>
      </c>
      <c r="Q498" s="22">
        <v>4</v>
      </c>
      <c r="R498" s="17">
        <v>0.954545454545455</v>
      </c>
      <c r="S498" s="17">
        <v>0.833333333333333</v>
      </c>
      <c r="T498" s="17">
        <v>0.928571428571429</v>
      </c>
      <c r="U498" s="17">
        <v>0.902439024390244</v>
      </c>
      <c r="V498" s="23">
        <v>0.818181818181818</v>
      </c>
    </row>
    <row r="499" ht="33" spans="1:22">
      <c r="A499" s="16">
        <v>8844</v>
      </c>
      <c r="B499" s="16" t="s">
        <v>1028</v>
      </c>
      <c r="C499" s="19">
        <v>41</v>
      </c>
      <c r="D499" s="19">
        <v>31</v>
      </c>
      <c r="E499" s="19">
        <v>31</v>
      </c>
      <c r="F499" s="19">
        <v>30</v>
      </c>
      <c r="G499" s="19">
        <v>20</v>
      </c>
      <c r="H499" s="20">
        <v>1229.59</v>
      </c>
      <c r="I499" s="20">
        <v>929.69</v>
      </c>
      <c r="J499" s="21">
        <v>932.69</v>
      </c>
      <c r="K499" s="21">
        <v>924.7</v>
      </c>
      <c r="L499" s="21">
        <v>613.8</v>
      </c>
      <c r="M499" s="22">
        <v>6</v>
      </c>
      <c r="N499" s="22">
        <v>10</v>
      </c>
      <c r="O499" s="22">
        <v>7</v>
      </c>
      <c r="P499" s="22">
        <v>3</v>
      </c>
      <c r="Q499" s="22">
        <v>6</v>
      </c>
      <c r="R499" s="17">
        <v>0.872340425531915</v>
      </c>
      <c r="S499" s="17">
        <v>0.75609756097561</v>
      </c>
      <c r="T499" s="17">
        <v>0.815789473684211</v>
      </c>
      <c r="U499" s="17">
        <v>0.909090909090909</v>
      </c>
      <c r="V499" s="23">
        <v>0.769230769230769</v>
      </c>
    </row>
    <row r="500" ht="33" spans="1:22">
      <c r="A500" s="16">
        <v>9116</v>
      </c>
      <c r="B500" s="16" t="s">
        <v>1029</v>
      </c>
      <c r="C500" s="19">
        <v>7</v>
      </c>
      <c r="D500" s="19">
        <v>12</v>
      </c>
      <c r="E500" s="19">
        <v>15</v>
      </c>
      <c r="F500" s="19">
        <v>2</v>
      </c>
      <c r="G500" s="19">
        <v>7</v>
      </c>
      <c r="H500" s="20">
        <v>271.83</v>
      </c>
      <c r="I500" s="20">
        <v>437.4</v>
      </c>
      <c r="J500" s="21">
        <v>566.55</v>
      </c>
      <c r="K500" s="21">
        <v>86.86</v>
      </c>
      <c r="L500" s="21">
        <v>309.05</v>
      </c>
      <c r="M500" s="22">
        <v>5</v>
      </c>
      <c r="N500" s="22">
        <v>16</v>
      </c>
      <c r="O500" s="22">
        <v>11</v>
      </c>
      <c r="P500" s="22">
        <v>19</v>
      </c>
      <c r="Q500" s="22">
        <v>18</v>
      </c>
      <c r="R500" s="17">
        <v>0.583333333333333</v>
      </c>
      <c r="S500" s="17">
        <v>0.428571428571429</v>
      </c>
      <c r="T500" s="17">
        <v>0.576923076923077</v>
      </c>
      <c r="U500" s="17">
        <v>0.0952380952380952</v>
      </c>
      <c r="V500" s="23">
        <v>0.28</v>
      </c>
    </row>
    <row r="501" ht="33" spans="1:22">
      <c r="A501" s="16">
        <v>9172</v>
      </c>
      <c r="B501" s="16" t="s">
        <v>1030</v>
      </c>
      <c r="C501" s="19">
        <v>0</v>
      </c>
      <c r="D501" s="19">
        <v>2</v>
      </c>
      <c r="E501" s="19">
        <v>3</v>
      </c>
      <c r="F501" s="19">
        <v>3</v>
      </c>
      <c r="G501" s="19">
        <v>3</v>
      </c>
      <c r="H501" s="20">
        <v>0</v>
      </c>
      <c r="I501" s="20">
        <v>45.98</v>
      </c>
      <c r="J501" s="21">
        <v>68.92</v>
      </c>
      <c r="K501" s="21">
        <v>74.2</v>
      </c>
      <c r="L501" s="21">
        <v>84.96</v>
      </c>
      <c r="M501" s="22">
        <v>9</v>
      </c>
      <c r="N501" s="22">
        <v>11</v>
      </c>
      <c r="O501" s="22">
        <v>20</v>
      </c>
      <c r="P501" s="22">
        <v>10</v>
      </c>
      <c r="Q501" s="22">
        <v>18</v>
      </c>
      <c r="R501" s="17">
        <v>0</v>
      </c>
      <c r="S501" s="17">
        <v>0.153846153846154</v>
      </c>
      <c r="T501" s="17">
        <v>0.130434782608696</v>
      </c>
      <c r="U501" s="17">
        <v>0.230769230769231</v>
      </c>
      <c r="V501" s="23">
        <v>0.142857142857143</v>
      </c>
    </row>
    <row r="502" ht="33" spans="1:22">
      <c r="A502" s="16">
        <v>9173</v>
      </c>
      <c r="B502" s="16" t="s">
        <v>1031</v>
      </c>
      <c r="C502" s="19">
        <v>3</v>
      </c>
      <c r="D502" s="19">
        <v>5</v>
      </c>
      <c r="E502" s="19">
        <v>5</v>
      </c>
      <c r="F502" s="19">
        <v>8</v>
      </c>
      <c r="G502" s="19">
        <v>3</v>
      </c>
      <c r="H502" s="20">
        <v>76.68</v>
      </c>
      <c r="I502" s="20">
        <v>119.1</v>
      </c>
      <c r="J502" s="21">
        <v>118.98</v>
      </c>
      <c r="K502" s="21">
        <v>183.92</v>
      </c>
      <c r="L502" s="21">
        <v>68.97</v>
      </c>
      <c r="M502" s="22">
        <v>11</v>
      </c>
      <c r="N502" s="22">
        <v>8</v>
      </c>
      <c r="O502" s="22">
        <v>15</v>
      </c>
      <c r="P502" s="22">
        <v>12</v>
      </c>
      <c r="Q502" s="22">
        <v>20</v>
      </c>
      <c r="R502" s="17">
        <v>0.214285714285714</v>
      </c>
      <c r="S502" s="17">
        <v>0.384615384615385</v>
      </c>
      <c r="T502" s="17">
        <v>0.25</v>
      </c>
      <c r="U502" s="17">
        <v>0.4</v>
      </c>
      <c r="V502" s="23">
        <v>0.130434782608696</v>
      </c>
    </row>
    <row r="503" ht="33" spans="1:22">
      <c r="A503" s="16">
        <v>9064</v>
      </c>
      <c r="B503" s="16" t="s">
        <v>1032</v>
      </c>
      <c r="C503" s="19">
        <v>19</v>
      </c>
      <c r="D503" s="19">
        <v>20</v>
      </c>
      <c r="E503" s="19">
        <v>32</v>
      </c>
      <c r="F503" s="19">
        <v>35</v>
      </c>
      <c r="G503" s="19">
        <v>28</v>
      </c>
      <c r="H503" s="20">
        <v>1109.66</v>
      </c>
      <c r="I503" s="20">
        <v>1187.74</v>
      </c>
      <c r="J503" s="21">
        <v>1915.66</v>
      </c>
      <c r="K503" s="21">
        <v>2029.92</v>
      </c>
      <c r="L503" s="21">
        <v>1624</v>
      </c>
      <c r="M503" s="22">
        <v>0</v>
      </c>
      <c r="N503" s="22">
        <v>0</v>
      </c>
      <c r="O503" s="22">
        <v>0</v>
      </c>
      <c r="P503" s="22">
        <v>0</v>
      </c>
      <c r="Q503" s="22">
        <v>13</v>
      </c>
      <c r="R503" s="17">
        <v>1</v>
      </c>
      <c r="S503" s="17">
        <v>1</v>
      </c>
      <c r="T503" s="17">
        <v>1</v>
      </c>
      <c r="U503" s="17">
        <v>1</v>
      </c>
      <c r="V503" s="23">
        <v>0.682926829268293</v>
      </c>
    </row>
    <row r="504" ht="33" spans="1:22">
      <c r="A504" s="16">
        <v>9065</v>
      </c>
      <c r="B504" s="16" t="s">
        <v>1033</v>
      </c>
      <c r="C504" s="19">
        <v>17</v>
      </c>
      <c r="D504" s="19">
        <v>19</v>
      </c>
      <c r="E504" s="19">
        <v>16</v>
      </c>
      <c r="F504" s="19">
        <v>20</v>
      </c>
      <c r="G504" s="19">
        <v>16</v>
      </c>
      <c r="H504" s="20">
        <v>524</v>
      </c>
      <c r="I504" s="20">
        <v>604</v>
      </c>
      <c r="J504" s="21">
        <v>499.99</v>
      </c>
      <c r="K504" s="21">
        <v>671.87</v>
      </c>
      <c r="L504" s="21">
        <v>532.91</v>
      </c>
      <c r="M504" s="22">
        <v>0</v>
      </c>
      <c r="N504" s="22">
        <v>1</v>
      </c>
      <c r="O504" s="22">
        <v>0</v>
      </c>
      <c r="P504" s="22">
        <v>0</v>
      </c>
      <c r="Q504" s="22">
        <v>5</v>
      </c>
      <c r="R504" s="17">
        <v>1</v>
      </c>
      <c r="S504" s="17">
        <v>0.95</v>
      </c>
      <c r="T504" s="17">
        <v>1</v>
      </c>
      <c r="U504" s="17">
        <v>1</v>
      </c>
      <c r="V504" s="23">
        <v>0.761904761904762</v>
      </c>
    </row>
    <row r="505" ht="33" spans="1:22">
      <c r="A505" s="16">
        <v>9284</v>
      </c>
      <c r="B505" s="16" t="s">
        <v>1034</v>
      </c>
      <c r="C505" s="19">
        <v>2</v>
      </c>
      <c r="D505" s="19">
        <v>8</v>
      </c>
      <c r="E505" s="19">
        <v>21</v>
      </c>
      <c r="F505" s="19">
        <v>6</v>
      </c>
      <c r="G505" s="19">
        <v>5</v>
      </c>
      <c r="H505" s="20">
        <v>78.4</v>
      </c>
      <c r="I505" s="20">
        <v>288</v>
      </c>
      <c r="J505" s="21">
        <v>775.8</v>
      </c>
      <c r="K505" s="21">
        <v>226.8</v>
      </c>
      <c r="L505" s="21">
        <v>189</v>
      </c>
      <c r="M505" s="22">
        <v>0</v>
      </c>
      <c r="N505" s="22">
        <v>1</v>
      </c>
      <c r="O505" s="22">
        <v>0</v>
      </c>
      <c r="P505" s="22">
        <v>1</v>
      </c>
      <c r="Q505" s="22">
        <v>1</v>
      </c>
      <c r="R505" s="17">
        <v>1</v>
      </c>
      <c r="S505" s="17">
        <v>0.888888888888889</v>
      </c>
      <c r="T505" s="17">
        <v>1</v>
      </c>
      <c r="U505" s="17">
        <v>0.857142857142857</v>
      </c>
      <c r="V505" s="23">
        <v>0.833333333333333</v>
      </c>
    </row>
    <row r="506" ht="33" spans="1:22">
      <c r="A506" s="16">
        <v>9117</v>
      </c>
      <c r="B506" s="16" t="s">
        <v>1035</v>
      </c>
      <c r="C506" s="19">
        <v>9</v>
      </c>
      <c r="D506" s="19">
        <v>15</v>
      </c>
      <c r="E506" s="19">
        <v>12</v>
      </c>
      <c r="F506" s="19">
        <v>18</v>
      </c>
      <c r="G506" s="19">
        <v>14</v>
      </c>
      <c r="H506" s="20">
        <v>269.82</v>
      </c>
      <c r="I506" s="20">
        <v>426.19</v>
      </c>
      <c r="J506" s="21">
        <v>351.4</v>
      </c>
      <c r="K506" s="21">
        <v>485.78</v>
      </c>
      <c r="L506" s="21">
        <v>377.85</v>
      </c>
      <c r="M506" s="22">
        <v>15</v>
      </c>
      <c r="N506" s="22">
        <v>9</v>
      </c>
      <c r="O506" s="22">
        <v>14</v>
      </c>
      <c r="P506" s="22">
        <v>18</v>
      </c>
      <c r="Q506" s="22">
        <v>13</v>
      </c>
      <c r="R506" s="17">
        <v>0.375</v>
      </c>
      <c r="S506" s="17">
        <v>0.625</v>
      </c>
      <c r="T506" s="17">
        <v>0.461538461538462</v>
      </c>
      <c r="U506" s="17">
        <v>0.5</v>
      </c>
      <c r="V506" s="23">
        <v>0.518518518518518</v>
      </c>
    </row>
    <row r="507" ht="49.5" spans="1:22">
      <c r="A507" s="16">
        <v>9068</v>
      </c>
      <c r="B507" s="16" t="s">
        <v>1036</v>
      </c>
      <c r="C507" s="19">
        <v>7</v>
      </c>
      <c r="D507" s="19">
        <v>11</v>
      </c>
      <c r="E507" s="19">
        <v>11</v>
      </c>
      <c r="F507" s="19">
        <v>8</v>
      </c>
      <c r="G507" s="19">
        <v>4</v>
      </c>
      <c r="H507" s="20">
        <v>160.3</v>
      </c>
      <c r="I507" s="20">
        <v>246.17</v>
      </c>
      <c r="J507" s="21">
        <v>251</v>
      </c>
      <c r="K507" s="21">
        <v>178.04</v>
      </c>
      <c r="L507" s="21">
        <v>89.88</v>
      </c>
      <c r="M507" s="22">
        <v>0</v>
      </c>
      <c r="N507" s="22">
        <v>2</v>
      </c>
      <c r="O507" s="22">
        <v>3</v>
      </c>
      <c r="P507" s="22">
        <v>1</v>
      </c>
      <c r="Q507" s="22">
        <v>1</v>
      </c>
      <c r="R507" s="17">
        <v>1</v>
      </c>
      <c r="S507" s="17">
        <v>0.846153846153846</v>
      </c>
      <c r="T507" s="17">
        <v>0.785714285714286</v>
      </c>
      <c r="U507" s="17">
        <v>0.888888888888889</v>
      </c>
      <c r="V507" s="23">
        <v>0.8</v>
      </c>
    </row>
    <row r="508" ht="33" spans="1:22">
      <c r="A508" s="16">
        <v>9037</v>
      </c>
      <c r="B508" s="16" t="s">
        <v>1037</v>
      </c>
      <c r="C508" s="19">
        <v>2</v>
      </c>
      <c r="D508" s="19">
        <v>0</v>
      </c>
      <c r="E508" s="19">
        <v>0</v>
      </c>
      <c r="F508" s="19">
        <v>0</v>
      </c>
      <c r="G508" s="19">
        <v>0</v>
      </c>
      <c r="H508" s="20">
        <v>74.48</v>
      </c>
      <c r="I508" s="20">
        <v>0</v>
      </c>
      <c r="J508" s="21">
        <v>0</v>
      </c>
      <c r="K508" s="21">
        <v>0</v>
      </c>
      <c r="L508" s="21">
        <v>0</v>
      </c>
      <c r="M508" s="22">
        <v>4</v>
      </c>
      <c r="N508" s="22">
        <v>9</v>
      </c>
      <c r="O508" s="22">
        <v>7</v>
      </c>
      <c r="P508" s="22">
        <v>2</v>
      </c>
      <c r="Q508" s="22">
        <v>0</v>
      </c>
      <c r="R508" s="17">
        <v>0.333333333333333</v>
      </c>
      <c r="S508" s="17">
        <v>0</v>
      </c>
      <c r="T508" s="17">
        <v>0</v>
      </c>
      <c r="U508" s="17">
        <v>0</v>
      </c>
      <c r="V508" s="23" t="s">
        <v>106</v>
      </c>
    </row>
    <row r="509" ht="49.5" spans="1:22">
      <c r="A509" s="16">
        <v>9038</v>
      </c>
      <c r="B509" s="16" t="s">
        <v>1038</v>
      </c>
      <c r="C509" s="19">
        <v>1</v>
      </c>
      <c r="D509" s="19">
        <v>4</v>
      </c>
      <c r="E509" s="19">
        <v>3</v>
      </c>
      <c r="F509" s="19">
        <v>3</v>
      </c>
      <c r="G509" s="19">
        <v>1</v>
      </c>
      <c r="H509" s="20">
        <v>29.95</v>
      </c>
      <c r="I509" s="20">
        <v>110.83</v>
      </c>
      <c r="J509" s="21">
        <v>87.58</v>
      </c>
      <c r="K509" s="21">
        <v>89.88</v>
      </c>
      <c r="L509" s="21">
        <v>31.96</v>
      </c>
      <c r="M509" s="22">
        <v>3</v>
      </c>
      <c r="N509" s="22">
        <v>3</v>
      </c>
      <c r="O509" s="22">
        <v>4</v>
      </c>
      <c r="P509" s="22">
        <v>0</v>
      </c>
      <c r="Q509" s="22">
        <v>2</v>
      </c>
      <c r="R509" s="17">
        <v>0.25</v>
      </c>
      <c r="S509" s="17">
        <v>0.571428571428571</v>
      </c>
      <c r="T509" s="17">
        <v>0.428571428571429</v>
      </c>
      <c r="U509" s="17">
        <v>1</v>
      </c>
      <c r="V509" s="23">
        <v>0.333333333333333</v>
      </c>
    </row>
    <row r="510" ht="33" spans="1:22">
      <c r="A510" s="16">
        <v>8993</v>
      </c>
      <c r="B510" s="16" t="s">
        <v>1039</v>
      </c>
      <c r="C510" s="19">
        <v>5</v>
      </c>
      <c r="D510" s="19">
        <v>10</v>
      </c>
      <c r="E510" s="19">
        <v>17</v>
      </c>
      <c r="F510" s="19">
        <v>15</v>
      </c>
      <c r="G510" s="19">
        <v>8</v>
      </c>
      <c r="H510" s="20">
        <v>178.5</v>
      </c>
      <c r="I510" s="20">
        <v>356.54</v>
      </c>
      <c r="J510" s="21">
        <v>613.32</v>
      </c>
      <c r="K510" s="21">
        <v>566.34</v>
      </c>
      <c r="L510" s="21">
        <v>301.14</v>
      </c>
      <c r="M510" s="22">
        <v>6</v>
      </c>
      <c r="N510" s="22">
        <v>4</v>
      </c>
      <c r="O510" s="22">
        <v>6</v>
      </c>
      <c r="P510" s="22">
        <v>7</v>
      </c>
      <c r="Q510" s="22">
        <v>10</v>
      </c>
      <c r="R510" s="17">
        <v>0.454545454545455</v>
      </c>
      <c r="S510" s="17">
        <v>0.714285714285714</v>
      </c>
      <c r="T510" s="17">
        <v>0.739130434782609</v>
      </c>
      <c r="U510" s="17">
        <v>0.681818181818182</v>
      </c>
      <c r="V510" s="23">
        <v>0.444444444444444</v>
      </c>
    </row>
    <row r="511" ht="33" spans="1:22">
      <c r="A511" s="16">
        <v>9039</v>
      </c>
      <c r="B511" s="16" t="s">
        <v>1040</v>
      </c>
      <c r="C511" s="19">
        <v>1</v>
      </c>
      <c r="D511" s="19">
        <v>5</v>
      </c>
      <c r="E511" s="19">
        <v>5</v>
      </c>
      <c r="F511" s="19">
        <v>0</v>
      </c>
      <c r="G511" s="19">
        <v>2</v>
      </c>
      <c r="H511" s="20">
        <v>26.5</v>
      </c>
      <c r="I511" s="20">
        <v>105.85</v>
      </c>
      <c r="J511" s="21">
        <v>107.13</v>
      </c>
      <c r="K511" s="21">
        <v>0</v>
      </c>
      <c r="L511" s="21">
        <v>43.62</v>
      </c>
      <c r="M511" s="22">
        <v>3</v>
      </c>
      <c r="N511" s="22">
        <v>2</v>
      </c>
      <c r="O511" s="22">
        <v>2</v>
      </c>
      <c r="P511" s="22">
        <v>4</v>
      </c>
      <c r="Q511" s="22">
        <v>2</v>
      </c>
      <c r="R511" s="17">
        <v>0.25</v>
      </c>
      <c r="S511" s="17">
        <v>0.714285714285714</v>
      </c>
      <c r="T511" s="17">
        <v>0.714285714285714</v>
      </c>
      <c r="U511" s="17">
        <v>0</v>
      </c>
      <c r="V511" s="23">
        <v>0.5</v>
      </c>
    </row>
    <row r="512" ht="49.5" spans="1:22">
      <c r="A512" s="16">
        <v>9040</v>
      </c>
      <c r="B512" s="16" t="s">
        <v>1041</v>
      </c>
      <c r="C512" s="19">
        <v>4</v>
      </c>
      <c r="D512" s="19">
        <v>14</v>
      </c>
      <c r="E512" s="19">
        <v>8</v>
      </c>
      <c r="F512" s="19">
        <v>5</v>
      </c>
      <c r="G512" s="19">
        <v>5</v>
      </c>
      <c r="H512" s="20">
        <v>95.96</v>
      </c>
      <c r="I512" s="20">
        <v>297.22</v>
      </c>
      <c r="J512" s="21">
        <v>169.84</v>
      </c>
      <c r="K512" s="21">
        <v>107.77</v>
      </c>
      <c r="L512" s="21">
        <v>110.2</v>
      </c>
      <c r="M512" s="22">
        <v>4</v>
      </c>
      <c r="N512" s="22">
        <v>4</v>
      </c>
      <c r="O512" s="22">
        <v>5</v>
      </c>
      <c r="P512" s="22">
        <v>7</v>
      </c>
      <c r="Q512" s="22">
        <v>2</v>
      </c>
      <c r="R512" s="17">
        <v>0.5</v>
      </c>
      <c r="S512" s="17">
        <v>0.777777777777778</v>
      </c>
      <c r="T512" s="17">
        <v>0.615384615384615</v>
      </c>
      <c r="U512" s="17">
        <v>0.416666666666667</v>
      </c>
      <c r="V512" s="23">
        <v>0.714285714285714</v>
      </c>
    </row>
    <row r="513" ht="33" spans="1:22">
      <c r="A513" s="16">
        <v>8426</v>
      </c>
      <c r="B513" s="16" t="s">
        <v>1042</v>
      </c>
      <c r="C513" s="19">
        <v>5</v>
      </c>
      <c r="D513" s="19">
        <v>12</v>
      </c>
      <c r="E513" s="19">
        <v>16</v>
      </c>
      <c r="F513" s="19">
        <v>18</v>
      </c>
      <c r="G513" s="19">
        <v>10</v>
      </c>
      <c r="H513" s="20">
        <v>236.5</v>
      </c>
      <c r="I513" s="20">
        <v>569</v>
      </c>
      <c r="J513" s="21">
        <v>749.5</v>
      </c>
      <c r="K513" s="21">
        <v>884.25</v>
      </c>
      <c r="L513" s="21">
        <v>482.75</v>
      </c>
      <c r="M513" s="22">
        <v>14</v>
      </c>
      <c r="N513" s="22">
        <v>15</v>
      </c>
      <c r="O513" s="22">
        <v>1</v>
      </c>
      <c r="P513" s="22">
        <v>4</v>
      </c>
      <c r="Q513" s="22">
        <v>9</v>
      </c>
      <c r="R513" s="17">
        <v>0.263157894736842</v>
      </c>
      <c r="S513" s="17">
        <v>0.444444444444444</v>
      </c>
      <c r="T513" s="17">
        <v>0.941176470588235</v>
      </c>
      <c r="U513" s="17">
        <v>0.818181818181818</v>
      </c>
      <c r="V513" s="23">
        <v>0.526315789473684</v>
      </c>
    </row>
    <row r="514" ht="33" spans="1:22">
      <c r="A514" s="16">
        <v>8612</v>
      </c>
      <c r="B514" s="16" t="s">
        <v>1043</v>
      </c>
      <c r="C514" s="19">
        <v>1</v>
      </c>
      <c r="D514" s="19">
        <v>2</v>
      </c>
      <c r="E514" s="19">
        <v>0</v>
      </c>
      <c r="F514" s="19">
        <v>2</v>
      </c>
      <c r="G514" s="19">
        <v>9</v>
      </c>
      <c r="H514" s="20">
        <v>45.81</v>
      </c>
      <c r="I514" s="20">
        <v>91.62</v>
      </c>
      <c r="J514" s="21">
        <v>0</v>
      </c>
      <c r="K514" s="21">
        <v>96.52</v>
      </c>
      <c r="L514" s="21">
        <v>435.04</v>
      </c>
      <c r="M514" s="22">
        <v>9</v>
      </c>
      <c r="N514" s="22">
        <v>12</v>
      </c>
      <c r="O514" s="22">
        <v>18</v>
      </c>
      <c r="P514" s="22">
        <v>11</v>
      </c>
      <c r="Q514" s="22">
        <v>8</v>
      </c>
      <c r="R514" s="17">
        <v>0.1</v>
      </c>
      <c r="S514" s="17">
        <v>0.142857142857143</v>
      </c>
      <c r="T514" s="17">
        <v>0</v>
      </c>
      <c r="U514" s="17">
        <v>0.153846153846154</v>
      </c>
      <c r="V514" s="23">
        <v>0.529411764705882</v>
      </c>
    </row>
    <row r="515" ht="33" spans="1:22">
      <c r="A515" s="16">
        <v>8681</v>
      </c>
      <c r="B515" s="16" t="s">
        <v>1044</v>
      </c>
      <c r="C515" s="19">
        <v>10</v>
      </c>
      <c r="D515" s="19">
        <v>5</v>
      </c>
      <c r="E515" s="19">
        <v>19</v>
      </c>
      <c r="F515" s="19">
        <v>9</v>
      </c>
      <c r="G515" s="19">
        <v>13</v>
      </c>
      <c r="H515" s="20">
        <v>422.74</v>
      </c>
      <c r="I515" s="20">
        <v>218.65</v>
      </c>
      <c r="J515" s="21">
        <v>883.17</v>
      </c>
      <c r="K515" s="21">
        <v>425.13</v>
      </c>
      <c r="L515" s="21">
        <v>632.66</v>
      </c>
      <c r="M515" s="22">
        <v>1</v>
      </c>
      <c r="N515" s="22">
        <v>0</v>
      </c>
      <c r="O515" s="22">
        <v>0</v>
      </c>
      <c r="P515" s="22">
        <v>0</v>
      </c>
      <c r="Q515" s="22">
        <v>6</v>
      </c>
      <c r="R515" s="17">
        <v>0.909090909090909</v>
      </c>
      <c r="S515" s="17">
        <v>1</v>
      </c>
      <c r="T515" s="17">
        <v>1</v>
      </c>
      <c r="U515" s="17">
        <v>1</v>
      </c>
      <c r="V515" s="23">
        <v>0.684210526315789</v>
      </c>
    </row>
    <row r="516" ht="33" spans="1:22">
      <c r="A516" s="16">
        <v>8684</v>
      </c>
      <c r="B516" s="16" t="s">
        <v>1045</v>
      </c>
      <c r="C516" s="19">
        <v>9</v>
      </c>
      <c r="D516" s="19">
        <v>15</v>
      </c>
      <c r="E516" s="19">
        <v>15</v>
      </c>
      <c r="F516" s="19">
        <v>6</v>
      </c>
      <c r="G516" s="19">
        <v>15</v>
      </c>
      <c r="H516" s="20">
        <v>828</v>
      </c>
      <c r="I516" s="20">
        <v>1380</v>
      </c>
      <c r="J516" s="21">
        <v>1387.98</v>
      </c>
      <c r="K516" s="21">
        <v>575.94</v>
      </c>
      <c r="L516" s="21">
        <v>1407.93</v>
      </c>
      <c r="M516" s="22">
        <v>1</v>
      </c>
      <c r="N516" s="22">
        <v>2</v>
      </c>
      <c r="O516" s="22">
        <v>4</v>
      </c>
      <c r="P516" s="22">
        <v>3</v>
      </c>
      <c r="Q516" s="22">
        <v>7</v>
      </c>
      <c r="R516" s="17">
        <v>0.9</v>
      </c>
      <c r="S516" s="17">
        <v>0.882352941176471</v>
      </c>
      <c r="T516" s="17">
        <v>0.789473684210526</v>
      </c>
      <c r="U516" s="17">
        <v>0.666666666666667</v>
      </c>
      <c r="V516" s="23">
        <v>0.681818181818182</v>
      </c>
    </row>
    <row r="517" ht="49.5" spans="1:22">
      <c r="A517" s="16">
        <v>8686</v>
      </c>
      <c r="B517" s="16" t="s">
        <v>1046</v>
      </c>
      <c r="C517" s="19">
        <v>30</v>
      </c>
      <c r="D517" s="19">
        <v>17</v>
      </c>
      <c r="E517" s="19">
        <v>33</v>
      </c>
      <c r="F517" s="19">
        <v>27</v>
      </c>
      <c r="G517" s="19">
        <v>30</v>
      </c>
      <c r="H517" s="20">
        <v>742.09</v>
      </c>
      <c r="I517" s="20">
        <v>410.64</v>
      </c>
      <c r="J517" s="21">
        <v>791.12</v>
      </c>
      <c r="K517" s="21">
        <v>655.98</v>
      </c>
      <c r="L517" s="21">
        <v>714.14</v>
      </c>
      <c r="M517" s="22">
        <v>8</v>
      </c>
      <c r="N517" s="22">
        <v>9</v>
      </c>
      <c r="O517" s="22">
        <v>9</v>
      </c>
      <c r="P517" s="22">
        <v>11</v>
      </c>
      <c r="Q517" s="22">
        <v>14</v>
      </c>
      <c r="R517" s="17">
        <v>0.789473684210526</v>
      </c>
      <c r="S517" s="17">
        <v>0.653846153846154</v>
      </c>
      <c r="T517" s="17">
        <v>0.785714285714286</v>
      </c>
      <c r="U517" s="17">
        <v>0.710526315789474</v>
      </c>
      <c r="V517" s="23">
        <v>0.681818181818182</v>
      </c>
    </row>
    <row r="518" ht="49.5" spans="1:22">
      <c r="A518" s="16">
        <v>8687</v>
      </c>
      <c r="B518" s="16" t="s">
        <v>1047</v>
      </c>
      <c r="C518" s="19">
        <v>31</v>
      </c>
      <c r="D518" s="19">
        <v>37</v>
      </c>
      <c r="E518" s="19">
        <v>35</v>
      </c>
      <c r="F518" s="19">
        <v>49</v>
      </c>
      <c r="G518" s="19">
        <v>28</v>
      </c>
      <c r="H518" s="20">
        <v>761.09</v>
      </c>
      <c r="I518" s="20">
        <v>889.64</v>
      </c>
      <c r="J518" s="21">
        <v>838.87</v>
      </c>
      <c r="K518" s="21">
        <v>1270.71</v>
      </c>
      <c r="L518" s="21">
        <v>802.77</v>
      </c>
      <c r="M518" s="22">
        <v>9</v>
      </c>
      <c r="N518" s="22">
        <v>16</v>
      </c>
      <c r="O518" s="22">
        <v>24</v>
      </c>
      <c r="P518" s="22">
        <v>20</v>
      </c>
      <c r="Q518" s="22">
        <v>18</v>
      </c>
      <c r="R518" s="17">
        <v>0.775</v>
      </c>
      <c r="S518" s="17">
        <v>0.69811320754717</v>
      </c>
      <c r="T518" s="17">
        <v>0.593220338983051</v>
      </c>
      <c r="U518" s="17">
        <v>0.710144927536232</v>
      </c>
      <c r="V518" s="23">
        <v>0.608695652173913</v>
      </c>
    </row>
    <row r="519" ht="33" spans="1:22">
      <c r="A519" s="16">
        <v>8752</v>
      </c>
      <c r="B519" s="16" t="s">
        <v>1048</v>
      </c>
      <c r="C519" s="19">
        <v>12</v>
      </c>
      <c r="D519" s="19">
        <v>3</v>
      </c>
      <c r="E519" s="19">
        <v>5</v>
      </c>
      <c r="F519" s="19">
        <v>7</v>
      </c>
      <c r="G519" s="19">
        <v>10</v>
      </c>
      <c r="H519" s="20">
        <v>533.73</v>
      </c>
      <c r="I519" s="20">
        <v>133.35</v>
      </c>
      <c r="J519" s="21">
        <v>244.42</v>
      </c>
      <c r="K519" s="21">
        <v>301.58</v>
      </c>
      <c r="L519" s="21">
        <v>433.8</v>
      </c>
      <c r="M519" s="22">
        <v>15</v>
      </c>
      <c r="N519" s="22">
        <v>22</v>
      </c>
      <c r="O519" s="22">
        <v>44</v>
      </c>
      <c r="P519" s="22">
        <v>45</v>
      </c>
      <c r="Q519" s="22">
        <v>17</v>
      </c>
      <c r="R519" s="17">
        <v>0.444444444444444</v>
      </c>
      <c r="S519" s="17">
        <v>0.12</v>
      </c>
      <c r="T519" s="17">
        <v>0.102040816326531</v>
      </c>
      <c r="U519" s="17">
        <v>0.134615384615385</v>
      </c>
      <c r="V519" s="23">
        <v>0.37037037037037</v>
      </c>
    </row>
    <row r="520" ht="49.5" spans="1:22">
      <c r="A520" s="16">
        <v>8753</v>
      </c>
      <c r="B520" s="16" t="s">
        <v>1049</v>
      </c>
      <c r="C520" s="19">
        <v>7</v>
      </c>
      <c r="D520" s="19">
        <v>10</v>
      </c>
      <c r="E520" s="19">
        <v>16</v>
      </c>
      <c r="F520" s="19">
        <v>9</v>
      </c>
      <c r="G520" s="19">
        <v>8</v>
      </c>
      <c r="H520" s="20">
        <v>189</v>
      </c>
      <c r="I520" s="20">
        <v>245.7</v>
      </c>
      <c r="J520" s="21">
        <v>402.16</v>
      </c>
      <c r="K520" s="21">
        <v>234.16</v>
      </c>
      <c r="L520" s="21">
        <v>213.7</v>
      </c>
      <c r="M520" s="22">
        <v>3</v>
      </c>
      <c r="N520" s="22">
        <v>2</v>
      </c>
      <c r="O520" s="22">
        <v>1</v>
      </c>
      <c r="P520" s="22">
        <v>5</v>
      </c>
      <c r="Q520" s="22">
        <v>6</v>
      </c>
      <c r="R520" s="17">
        <v>0.7</v>
      </c>
      <c r="S520" s="17">
        <v>0.833333333333333</v>
      </c>
      <c r="T520" s="17">
        <v>0.941176470588235</v>
      </c>
      <c r="U520" s="17">
        <v>0.642857142857143</v>
      </c>
      <c r="V520" s="23">
        <v>0.571428571428571</v>
      </c>
    </row>
    <row r="521" ht="49.5" spans="1:22">
      <c r="A521" s="16">
        <v>8754</v>
      </c>
      <c r="B521" s="16" t="s">
        <v>1050</v>
      </c>
      <c r="C521" s="19">
        <v>4</v>
      </c>
      <c r="D521" s="19">
        <v>10</v>
      </c>
      <c r="E521" s="19">
        <v>16</v>
      </c>
      <c r="F521" s="19">
        <v>9</v>
      </c>
      <c r="G521" s="19">
        <v>6</v>
      </c>
      <c r="H521" s="20">
        <v>101.35</v>
      </c>
      <c r="I521" s="20">
        <v>247.4</v>
      </c>
      <c r="J521" s="21">
        <v>380.52</v>
      </c>
      <c r="K521" s="21">
        <v>225.29</v>
      </c>
      <c r="L521" s="21">
        <v>146.25</v>
      </c>
      <c r="M521" s="22">
        <v>3</v>
      </c>
      <c r="N521" s="22">
        <v>2</v>
      </c>
      <c r="O521" s="22">
        <v>5</v>
      </c>
      <c r="P521" s="22">
        <v>3</v>
      </c>
      <c r="Q521" s="22">
        <v>4</v>
      </c>
      <c r="R521" s="17">
        <v>0.571428571428571</v>
      </c>
      <c r="S521" s="17">
        <v>0.833333333333333</v>
      </c>
      <c r="T521" s="17">
        <v>0.761904761904762</v>
      </c>
      <c r="U521" s="17">
        <v>0.75</v>
      </c>
      <c r="V521" s="23">
        <v>0.6</v>
      </c>
    </row>
    <row r="522" ht="33" spans="1:22">
      <c r="A522" s="16">
        <v>9391</v>
      </c>
      <c r="B522" s="16" t="s">
        <v>1051</v>
      </c>
      <c r="C522" s="19">
        <v>9</v>
      </c>
      <c r="D522" s="19">
        <v>4</v>
      </c>
      <c r="E522" s="19">
        <v>9</v>
      </c>
      <c r="F522" s="19">
        <v>6</v>
      </c>
      <c r="G522" s="19">
        <v>5</v>
      </c>
      <c r="H522" s="20">
        <v>1767.81</v>
      </c>
      <c r="I522" s="20">
        <v>766.66</v>
      </c>
      <c r="J522" s="21">
        <v>1774.89</v>
      </c>
      <c r="K522" s="21">
        <v>1164.09</v>
      </c>
      <c r="L522" s="21">
        <v>976.55</v>
      </c>
      <c r="M522" s="22">
        <v>0</v>
      </c>
      <c r="N522" s="22">
        <v>1</v>
      </c>
      <c r="O522" s="22">
        <v>0</v>
      </c>
      <c r="P522" s="22">
        <v>0</v>
      </c>
      <c r="Q522" s="22">
        <v>0</v>
      </c>
      <c r="R522" s="17">
        <v>1</v>
      </c>
      <c r="S522" s="17">
        <v>0.8</v>
      </c>
      <c r="T522" s="17">
        <v>1</v>
      </c>
      <c r="U522" s="17">
        <v>1</v>
      </c>
      <c r="V522" s="23">
        <v>1</v>
      </c>
    </row>
    <row r="523" ht="33" spans="1:22">
      <c r="A523" s="16">
        <v>8533</v>
      </c>
      <c r="B523" s="16" t="s">
        <v>1052</v>
      </c>
      <c r="C523" s="19">
        <v>14</v>
      </c>
      <c r="D523" s="19">
        <v>27</v>
      </c>
      <c r="E523" s="19">
        <v>31</v>
      </c>
      <c r="F523" s="19">
        <v>20</v>
      </c>
      <c r="G523" s="19">
        <v>18</v>
      </c>
      <c r="H523" s="20">
        <v>203</v>
      </c>
      <c r="I523" s="20">
        <v>391.5</v>
      </c>
      <c r="J523" s="21">
        <v>467.1</v>
      </c>
      <c r="K523" s="21">
        <v>312.68</v>
      </c>
      <c r="L523" s="21">
        <v>281.72</v>
      </c>
      <c r="M523" s="22">
        <v>5</v>
      </c>
      <c r="N523" s="22">
        <v>5</v>
      </c>
      <c r="O523" s="22">
        <v>3</v>
      </c>
      <c r="P523" s="22">
        <v>9</v>
      </c>
      <c r="Q523" s="22">
        <v>12</v>
      </c>
      <c r="R523" s="17">
        <v>0.736842105263158</v>
      </c>
      <c r="S523" s="17">
        <v>0.84375</v>
      </c>
      <c r="T523" s="17">
        <v>0.911764705882353</v>
      </c>
      <c r="U523" s="17">
        <v>0.689655172413793</v>
      </c>
      <c r="V523" s="23">
        <v>0.6</v>
      </c>
    </row>
    <row r="524" ht="33" spans="1:22">
      <c r="A524" s="16">
        <v>8900</v>
      </c>
      <c r="B524" s="16" t="s">
        <v>1053</v>
      </c>
      <c r="C524" s="19">
        <v>3</v>
      </c>
      <c r="D524" s="19">
        <v>9</v>
      </c>
      <c r="E524" s="19">
        <v>3</v>
      </c>
      <c r="F524" s="19">
        <v>9</v>
      </c>
      <c r="G524" s="19">
        <v>3</v>
      </c>
      <c r="H524" s="20">
        <v>598.05</v>
      </c>
      <c r="I524" s="20">
        <v>1782.42</v>
      </c>
      <c r="J524" s="21">
        <v>597.46</v>
      </c>
      <c r="K524" s="21">
        <v>1761.28</v>
      </c>
      <c r="L524" s="21">
        <v>597</v>
      </c>
      <c r="M524" s="22">
        <v>0</v>
      </c>
      <c r="N524" s="22">
        <v>0</v>
      </c>
      <c r="O524" s="22">
        <v>0</v>
      </c>
      <c r="P524" s="22">
        <v>0</v>
      </c>
      <c r="Q524" s="22">
        <v>1</v>
      </c>
      <c r="R524" s="17">
        <v>1</v>
      </c>
      <c r="S524" s="17">
        <v>1</v>
      </c>
      <c r="T524" s="17">
        <v>1</v>
      </c>
      <c r="U524" s="17">
        <v>1</v>
      </c>
      <c r="V524" s="23">
        <v>0.75</v>
      </c>
    </row>
    <row r="525" ht="33" spans="1:22">
      <c r="A525" s="16">
        <v>9645</v>
      </c>
      <c r="B525" s="16" t="s">
        <v>1054</v>
      </c>
      <c r="C525" s="19">
        <v>25</v>
      </c>
      <c r="D525" s="19">
        <v>16</v>
      </c>
      <c r="E525" s="19">
        <v>18</v>
      </c>
      <c r="F525" s="19">
        <v>10</v>
      </c>
      <c r="G525" s="19">
        <v>12</v>
      </c>
      <c r="H525" s="20">
        <v>1669.75</v>
      </c>
      <c r="I525" s="20">
        <v>1103.05</v>
      </c>
      <c r="J525" s="21">
        <v>1252.62</v>
      </c>
      <c r="K525" s="21">
        <v>695.9</v>
      </c>
      <c r="L525" s="21">
        <v>860.96</v>
      </c>
      <c r="M525" s="22">
        <v>9</v>
      </c>
      <c r="N525" s="22">
        <v>9</v>
      </c>
      <c r="O525" s="22">
        <v>16</v>
      </c>
      <c r="P525" s="22">
        <v>12</v>
      </c>
      <c r="Q525" s="22">
        <v>7</v>
      </c>
      <c r="R525" s="17">
        <v>0.735294117647059</v>
      </c>
      <c r="S525" s="17">
        <v>0.64</v>
      </c>
      <c r="T525" s="17">
        <v>0.529411764705882</v>
      </c>
      <c r="U525" s="17">
        <v>0.454545454545455</v>
      </c>
      <c r="V525" s="23">
        <v>0.631578947368421</v>
      </c>
    </row>
    <row r="526" ht="33" spans="1:22">
      <c r="A526" s="16">
        <v>9646</v>
      </c>
      <c r="B526" s="16" t="s">
        <v>1055</v>
      </c>
      <c r="C526" s="19">
        <v>11</v>
      </c>
      <c r="D526" s="19">
        <v>12</v>
      </c>
      <c r="E526" s="19">
        <v>10</v>
      </c>
      <c r="F526" s="19">
        <v>9</v>
      </c>
      <c r="G526" s="19">
        <v>6</v>
      </c>
      <c r="H526" s="20">
        <v>400.84</v>
      </c>
      <c r="I526" s="20">
        <v>435.04</v>
      </c>
      <c r="J526" s="21">
        <v>363.21</v>
      </c>
      <c r="K526" s="21">
        <v>313.71</v>
      </c>
      <c r="L526" s="21">
        <v>208.1</v>
      </c>
      <c r="M526" s="22">
        <v>4</v>
      </c>
      <c r="N526" s="22">
        <v>0</v>
      </c>
      <c r="O526" s="22">
        <v>9</v>
      </c>
      <c r="P526" s="22">
        <v>3</v>
      </c>
      <c r="Q526" s="22">
        <v>8</v>
      </c>
      <c r="R526" s="17">
        <v>0.733333333333333</v>
      </c>
      <c r="S526" s="17">
        <v>1</v>
      </c>
      <c r="T526" s="17">
        <v>0.526315789473684</v>
      </c>
      <c r="U526" s="17">
        <v>0.75</v>
      </c>
      <c r="V526" s="23">
        <v>0.428571428571429</v>
      </c>
    </row>
    <row r="527" ht="33" spans="1:22">
      <c r="A527" s="16">
        <v>9647</v>
      </c>
      <c r="B527" s="16" t="s">
        <v>1056</v>
      </c>
      <c r="C527" s="19">
        <v>9</v>
      </c>
      <c r="D527" s="19">
        <v>10</v>
      </c>
      <c r="E527" s="19">
        <v>11</v>
      </c>
      <c r="F527" s="19">
        <v>7</v>
      </c>
      <c r="G527" s="19">
        <v>5</v>
      </c>
      <c r="H527" s="20">
        <v>351</v>
      </c>
      <c r="I527" s="20">
        <v>390</v>
      </c>
      <c r="J527" s="21">
        <v>429</v>
      </c>
      <c r="K527" s="21">
        <v>273</v>
      </c>
      <c r="L527" s="21">
        <v>190.96</v>
      </c>
      <c r="M527" s="22">
        <v>2</v>
      </c>
      <c r="N527" s="22">
        <v>7</v>
      </c>
      <c r="O527" s="22">
        <v>4</v>
      </c>
      <c r="P527" s="22">
        <v>10</v>
      </c>
      <c r="Q527" s="22">
        <v>2</v>
      </c>
      <c r="R527" s="17">
        <v>0.818181818181818</v>
      </c>
      <c r="S527" s="17">
        <v>0.588235294117647</v>
      </c>
      <c r="T527" s="17">
        <v>0.733333333333333</v>
      </c>
      <c r="U527" s="17">
        <v>0.411764705882353</v>
      </c>
      <c r="V527" s="23">
        <v>0.714285714285714</v>
      </c>
    </row>
    <row r="528" ht="33" spans="1:22">
      <c r="A528" s="16">
        <v>8541</v>
      </c>
      <c r="B528" s="16" t="s">
        <v>1057</v>
      </c>
      <c r="C528" s="19">
        <v>28</v>
      </c>
      <c r="D528" s="19">
        <v>29</v>
      </c>
      <c r="E528" s="19">
        <v>27</v>
      </c>
      <c r="F528" s="19">
        <v>40</v>
      </c>
      <c r="G528" s="19">
        <v>31</v>
      </c>
      <c r="H528" s="20">
        <v>2049.77</v>
      </c>
      <c r="I528" s="20">
        <v>2122.85</v>
      </c>
      <c r="J528" s="21">
        <v>1974.12</v>
      </c>
      <c r="K528" s="21">
        <v>2926.35</v>
      </c>
      <c r="L528" s="21">
        <v>2225.73</v>
      </c>
      <c r="M528" s="22">
        <v>0</v>
      </c>
      <c r="N528" s="22">
        <v>0</v>
      </c>
      <c r="O528" s="22">
        <v>0</v>
      </c>
      <c r="P528" s="22">
        <v>0</v>
      </c>
      <c r="Q528" s="22">
        <v>0</v>
      </c>
      <c r="R528" s="17">
        <v>1</v>
      </c>
      <c r="S528" s="17">
        <v>1</v>
      </c>
      <c r="T528" s="17">
        <v>1</v>
      </c>
      <c r="U528" s="17">
        <v>1</v>
      </c>
      <c r="V528" s="23">
        <v>1</v>
      </c>
    </row>
    <row r="529" ht="33" spans="1:22">
      <c r="A529" s="16">
        <v>8542</v>
      </c>
      <c r="B529" s="16" t="s">
        <v>1058</v>
      </c>
      <c r="C529" s="19">
        <v>12</v>
      </c>
      <c r="D529" s="19">
        <v>21</v>
      </c>
      <c r="E529" s="19">
        <v>18</v>
      </c>
      <c r="F529" s="19">
        <v>12</v>
      </c>
      <c r="G529" s="19">
        <v>10</v>
      </c>
      <c r="H529" s="20">
        <v>589.39</v>
      </c>
      <c r="I529" s="20">
        <v>1028.79</v>
      </c>
      <c r="J529" s="21">
        <v>881.82</v>
      </c>
      <c r="K529" s="21">
        <v>572.93</v>
      </c>
      <c r="L529" s="21">
        <v>480.7</v>
      </c>
      <c r="M529" s="22">
        <v>4</v>
      </c>
      <c r="N529" s="22">
        <v>5</v>
      </c>
      <c r="O529" s="22">
        <v>6</v>
      </c>
      <c r="P529" s="22">
        <v>21</v>
      </c>
      <c r="Q529" s="22">
        <v>2</v>
      </c>
      <c r="R529" s="17">
        <v>0.75</v>
      </c>
      <c r="S529" s="17">
        <v>0.807692307692308</v>
      </c>
      <c r="T529" s="17">
        <v>0.75</v>
      </c>
      <c r="U529" s="17">
        <v>0.363636363636364</v>
      </c>
      <c r="V529" s="23">
        <v>0.833333333333333</v>
      </c>
    </row>
    <row r="530" ht="33" spans="1:22">
      <c r="A530" s="16">
        <v>8543</v>
      </c>
      <c r="B530" s="16" t="s">
        <v>1059</v>
      </c>
      <c r="C530" s="19">
        <v>22</v>
      </c>
      <c r="D530" s="19">
        <v>10</v>
      </c>
      <c r="E530" s="19">
        <v>19</v>
      </c>
      <c r="F530" s="19">
        <v>19</v>
      </c>
      <c r="G530" s="19">
        <v>20</v>
      </c>
      <c r="H530" s="20">
        <v>1061.94</v>
      </c>
      <c r="I530" s="20">
        <v>491.89</v>
      </c>
      <c r="J530" s="21">
        <v>924.22</v>
      </c>
      <c r="K530" s="21">
        <v>930.81</v>
      </c>
      <c r="L530" s="21">
        <v>979.8</v>
      </c>
      <c r="M530" s="22">
        <v>1</v>
      </c>
      <c r="N530" s="22">
        <v>1</v>
      </c>
      <c r="O530" s="22">
        <v>0</v>
      </c>
      <c r="P530" s="22">
        <v>12</v>
      </c>
      <c r="Q530" s="22">
        <v>4</v>
      </c>
      <c r="R530" s="17">
        <v>0.956521739130435</v>
      </c>
      <c r="S530" s="17">
        <v>0.909090909090909</v>
      </c>
      <c r="T530" s="17">
        <v>1</v>
      </c>
      <c r="U530" s="17">
        <v>0.612903225806452</v>
      </c>
      <c r="V530" s="23">
        <v>0.833333333333333</v>
      </c>
    </row>
    <row r="531" ht="33" spans="1:22">
      <c r="A531" s="16">
        <v>9584</v>
      </c>
      <c r="B531" s="16" t="s">
        <v>1060</v>
      </c>
      <c r="C531" s="19">
        <v>36</v>
      </c>
      <c r="D531" s="19">
        <v>28</v>
      </c>
      <c r="E531" s="19">
        <v>34</v>
      </c>
      <c r="F531" s="19">
        <v>32</v>
      </c>
      <c r="G531" s="19">
        <v>20</v>
      </c>
      <c r="H531" s="20">
        <v>1375.2</v>
      </c>
      <c r="I531" s="20">
        <v>1068.1</v>
      </c>
      <c r="J531" s="21">
        <v>1288.8</v>
      </c>
      <c r="K531" s="21">
        <v>1207.9</v>
      </c>
      <c r="L531" s="21">
        <v>752.51</v>
      </c>
      <c r="M531" s="22">
        <v>25</v>
      </c>
      <c r="N531" s="22">
        <v>43</v>
      </c>
      <c r="O531" s="22">
        <v>48</v>
      </c>
      <c r="P531" s="22">
        <v>60</v>
      </c>
      <c r="Q531" s="22">
        <v>32</v>
      </c>
      <c r="R531" s="17">
        <v>0.590163934426229</v>
      </c>
      <c r="S531" s="17">
        <v>0.394366197183099</v>
      </c>
      <c r="T531" s="17">
        <v>0.414634146341463</v>
      </c>
      <c r="U531" s="17">
        <v>0.347826086956522</v>
      </c>
      <c r="V531" s="23">
        <v>0.384615384615385</v>
      </c>
    </row>
    <row r="532" ht="33" spans="1:22">
      <c r="A532" s="16">
        <v>9605</v>
      </c>
      <c r="B532" s="16" t="s">
        <v>1061</v>
      </c>
      <c r="C532" s="19">
        <v>4</v>
      </c>
      <c r="D532" s="19">
        <v>7</v>
      </c>
      <c r="E532" s="19">
        <v>7</v>
      </c>
      <c r="F532" s="19">
        <v>7</v>
      </c>
      <c r="G532" s="19">
        <v>3</v>
      </c>
      <c r="H532" s="20">
        <v>101.92</v>
      </c>
      <c r="I532" s="20">
        <v>178.36</v>
      </c>
      <c r="J532" s="21">
        <v>178.36</v>
      </c>
      <c r="K532" s="21">
        <v>178.36</v>
      </c>
      <c r="L532" s="21">
        <v>76.44</v>
      </c>
      <c r="M532" s="22">
        <v>8</v>
      </c>
      <c r="N532" s="22">
        <v>10</v>
      </c>
      <c r="O532" s="22">
        <v>9</v>
      </c>
      <c r="P532" s="22">
        <v>5</v>
      </c>
      <c r="Q532" s="22">
        <v>4</v>
      </c>
      <c r="R532" s="17">
        <v>0.333333333333333</v>
      </c>
      <c r="S532" s="17">
        <v>0.411764705882353</v>
      </c>
      <c r="T532" s="17">
        <v>0.4375</v>
      </c>
      <c r="U532" s="17">
        <v>0.583333333333333</v>
      </c>
      <c r="V532" s="23">
        <v>0.428571428571429</v>
      </c>
    </row>
    <row r="533" ht="33" spans="1:22">
      <c r="A533" s="16">
        <v>9606</v>
      </c>
      <c r="B533" s="16" t="s">
        <v>1062</v>
      </c>
      <c r="C533" s="19">
        <v>13</v>
      </c>
      <c r="D533" s="19">
        <v>11</v>
      </c>
      <c r="E533" s="19">
        <v>7</v>
      </c>
      <c r="F533" s="19">
        <v>3</v>
      </c>
      <c r="G533" s="19">
        <v>6</v>
      </c>
      <c r="H533" s="20">
        <v>347.1</v>
      </c>
      <c r="I533" s="20">
        <v>293.7</v>
      </c>
      <c r="J533" s="21">
        <v>193.8</v>
      </c>
      <c r="K533" s="21">
        <v>87</v>
      </c>
      <c r="L533" s="21">
        <v>174</v>
      </c>
      <c r="M533" s="22">
        <v>1</v>
      </c>
      <c r="N533" s="22">
        <v>11</v>
      </c>
      <c r="O533" s="22">
        <v>6</v>
      </c>
      <c r="P533" s="22">
        <v>7</v>
      </c>
      <c r="Q533" s="22">
        <v>15</v>
      </c>
      <c r="R533" s="17">
        <v>0.928571428571429</v>
      </c>
      <c r="S533" s="17">
        <v>0.5</v>
      </c>
      <c r="T533" s="17">
        <v>0.538461538461538</v>
      </c>
      <c r="U533" s="17">
        <v>0.3</v>
      </c>
      <c r="V533" s="23">
        <v>0.285714285714286</v>
      </c>
    </row>
    <row r="534" ht="16.5" spans="1:22">
      <c r="A534" s="16">
        <v>8484</v>
      </c>
      <c r="B534" s="16" t="e">
        <v>#N/A</v>
      </c>
      <c r="C534" s="19">
        <v>0</v>
      </c>
      <c r="D534" s="19">
        <v>1</v>
      </c>
      <c r="E534" s="19">
        <v>0</v>
      </c>
      <c r="F534" s="19">
        <v>0</v>
      </c>
      <c r="G534" s="19">
        <v>0</v>
      </c>
      <c r="H534" s="20">
        <v>0</v>
      </c>
      <c r="I534" s="20">
        <v>38.07</v>
      </c>
      <c r="J534" s="21">
        <v>0</v>
      </c>
      <c r="K534" s="21">
        <v>0</v>
      </c>
      <c r="L534" s="21">
        <v>0</v>
      </c>
      <c r="M534" s="22">
        <v>8</v>
      </c>
      <c r="N534" s="22">
        <v>1</v>
      </c>
      <c r="O534" s="22">
        <v>11</v>
      </c>
      <c r="P534" s="22">
        <v>0</v>
      </c>
      <c r="Q534" s="22" t="e">
        <v>#N/A</v>
      </c>
      <c r="R534" s="17">
        <v>0</v>
      </c>
      <c r="S534" s="17">
        <v>0.5</v>
      </c>
      <c r="T534" s="17">
        <v>0</v>
      </c>
      <c r="U534" s="17">
        <v>0</v>
      </c>
      <c r="V534" s="23" t="e">
        <v>#N/A</v>
      </c>
    </row>
    <row r="535" ht="33" spans="1:22">
      <c r="A535" s="16">
        <v>8485</v>
      </c>
      <c r="B535" s="16" t="s">
        <v>1063</v>
      </c>
      <c r="C535" s="19">
        <v>5</v>
      </c>
      <c r="D535" s="19">
        <v>4</v>
      </c>
      <c r="E535" s="19">
        <v>3</v>
      </c>
      <c r="F535" s="19">
        <v>1</v>
      </c>
      <c r="G535" s="19">
        <v>3</v>
      </c>
      <c r="H535" s="20">
        <v>144.45</v>
      </c>
      <c r="I535" s="20">
        <v>115.56</v>
      </c>
      <c r="J535" s="21">
        <v>84.43</v>
      </c>
      <c r="K535" s="21">
        <v>29.92</v>
      </c>
      <c r="L535" s="21">
        <v>87.03</v>
      </c>
      <c r="M535" s="22">
        <v>6</v>
      </c>
      <c r="N535" s="22">
        <v>10</v>
      </c>
      <c r="O535" s="22">
        <v>12</v>
      </c>
      <c r="P535" s="22">
        <v>14</v>
      </c>
      <c r="Q535" s="22">
        <v>10</v>
      </c>
      <c r="R535" s="17">
        <v>0.454545454545455</v>
      </c>
      <c r="S535" s="17">
        <v>0.285714285714286</v>
      </c>
      <c r="T535" s="17">
        <v>0.2</v>
      </c>
      <c r="U535" s="17">
        <v>0.0666666666666667</v>
      </c>
      <c r="V535" s="23">
        <v>0.230769230769231</v>
      </c>
    </row>
    <row r="536" ht="33" spans="1:22">
      <c r="A536" s="16">
        <v>9084</v>
      </c>
      <c r="B536" s="16" t="s">
        <v>1064</v>
      </c>
      <c r="C536" s="19">
        <v>15</v>
      </c>
      <c r="D536" s="19">
        <v>16</v>
      </c>
      <c r="E536" s="19">
        <v>20</v>
      </c>
      <c r="F536" s="19">
        <v>9</v>
      </c>
      <c r="G536" s="19">
        <v>11</v>
      </c>
      <c r="H536" s="20">
        <v>194.85</v>
      </c>
      <c r="I536" s="20">
        <v>212.74</v>
      </c>
      <c r="J536" s="21">
        <v>259.8</v>
      </c>
      <c r="K536" s="21">
        <v>115.91</v>
      </c>
      <c r="L536" s="21">
        <v>152.69</v>
      </c>
      <c r="M536" s="22">
        <v>34</v>
      </c>
      <c r="N536" s="22">
        <v>30</v>
      </c>
      <c r="O536" s="22">
        <v>35</v>
      </c>
      <c r="P536" s="22">
        <v>30</v>
      </c>
      <c r="Q536" s="22">
        <v>22</v>
      </c>
      <c r="R536" s="17">
        <v>0.306122448979592</v>
      </c>
      <c r="S536" s="17">
        <v>0.347826086956522</v>
      </c>
      <c r="T536" s="17">
        <v>0.363636363636364</v>
      </c>
      <c r="U536" s="17">
        <v>0.230769230769231</v>
      </c>
      <c r="V536" s="23">
        <v>0.333333333333333</v>
      </c>
    </row>
    <row r="537" ht="16.5" spans="1:22">
      <c r="A537" s="16">
        <v>693</v>
      </c>
      <c r="B537" s="16" t="s">
        <v>1065</v>
      </c>
      <c r="C537" s="19">
        <v>32</v>
      </c>
      <c r="D537" s="19">
        <v>23</v>
      </c>
      <c r="E537" s="19">
        <v>13</v>
      </c>
      <c r="F537" s="19">
        <v>12</v>
      </c>
      <c r="G537" s="19">
        <v>10</v>
      </c>
      <c r="H537" s="20">
        <v>416</v>
      </c>
      <c r="I537" s="20">
        <v>359.5</v>
      </c>
      <c r="J537" s="21">
        <v>219.95</v>
      </c>
      <c r="K537" s="21">
        <v>230.4</v>
      </c>
      <c r="L537" s="21">
        <v>192</v>
      </c>
      <c r="M537" s="22">
        <v>90</v>
      </c>
      <c r="N537" s="22">
        <v>97</v>
      </c>
      <c r="O537" s="22">
        <v>115</v>
      </c>
      <c r="P537" s="22">
        <v>92</v>
      </c>
      <c r="Q537" s="22">
        <v>99</v>
      </c>
      <c r="R537" s="17">
        <v>0.262295081967213</v>
      </c>
      <c r="S537" s="17">
        <v>0.191666666666667</v>
      </c>
      <c r="T537" s="17">
        <v>0.1015625</v>
      </c>
      <c r="U537" s="17">
        <v>0.115384615384615</v>
      </c>
      <c r="V537" s="23">
        <v>0.0917431192660551</v>
      </c>
    </row>
    <row r="538" ht="33" spans="1:22">
      <c r="A538" s="16">
        <v>2462</v>
      </c>
      <c r="B538" s="16" t="s">
        <v>1066</v>
      </c>
      <c r="C538" s="19">
        <v>15</v>
      </c>
      <c r="D538" s="19">
        <v>32</v>
      </c>
      <c r="E538" s="19">
        <v>28</v>
      </c>
      <c r="F538" s="19">
        <v>14</v>
      </c>
      <c r="G538" s="19">
        <v>4</v>
      </c>
      <c r="H538" s="20">
        <v>1292.11</v>
      </c>
      <c r="I538" s="20">
        <v>2748.8</v>
      </c>
      <c r="J538" s="21">
        <v>2539.26</v>
      </c>
      <c r="K538" s="21">
        <v>1285.97</v>
      </c>
      <c r="L538" s="21">
        <v>365.44</v>
      </c>
      <c r="M538" s="22">
        <v>59</v>
      </c>
      <c r="N538" s="22">
        <v>48</v>
      </c>
      <c r="O538" s="22">
        <v>84</v>
      </c>
      <c r="P538" s="22">
        <v>87</v>
      </c>
      <c r="Q538" s="22">
        <v>112</v>
      </c>
      <c r="R538" s="17">
        <v>0.202702702702703</v>
      </c>
      <c r="S538" s="17">
        <v>0.4</v>
      </c>
      <c r="T538" s="17">
        <v>0.25</v>
      </c>
      <c r="U538" s="17">
        <v>0.138613861386139</v>
      </c>
      <c r="V538" s="23">
        <v>0.0344827586206897</v>
      </c>
    </row>
    <row r="539" ht="33" spans="1:22">
      <c r="A539" s="16">
        <v>3023</v>
      </c>
      <c r="B539" s="16" t="s">
        <v>1067</v>
      </c>
      <c r="C539" s="19">
        <v>60</v>
      </c>
      <c r="D539" s="19">
        <v>47</v>
      </c>
      <c r="E539" s="19">
        <v>114</v>
      </c>
      <c r="F539" s="19">
        <v>92</v>
      </c>
      <c r="G539" s="19">
        <v>72</v>
      </c>
      <c r="H539" s="20">
        <v>10499.63</v>
      </c>
      <c r="I539" s="20">
        <v>8251.00999999999</v>
      </c>
      <c r="J539" s="21">
        <v>20949.65</v>
      </c>
      <c r="K539" s="21">
        <v>16925.5</v>
      </c>
      <c r="L539" s="21">
        <v>13031.06</v>
      </c>
      <c r="M539" s="22">
        <v>41</v>
      </c>
      <c r="N539" s="22">
        <v>41</v>
      </c>
      <c r="O539" s="22">
        <v>39</v>
      </c>
      <c r="P539" s="22">
        <v>39</v>
      </c>
      <c r="Q539" s="22">
        <v>45</v>
      </c>
      <c r="R539" s="17">
        <v>0.594059405940594</v>
      </c>
      <c r="S539" s="17">
        <v>0.534090909090909</v>
      </c>
      <c r="T539" s="17">
        <v>0.745098039215686</v>
      </c>
      <c r="U539" s="17">
        <v>0.702290076335878</v>
      </c>
      <c r="V539" s="23">
        <v>0.615384615384615</v>
      </c>
    </row>
    <row r="540" ht="33" spans="1:22">
      <c r="A540" s="16">
        <v>3511</v>
      </c>
      <c r="B540" s="16" t="s">
        <v>1068</v>
      </c>
      <c r="C540" s="19">
        <v>11</v>
      </c>
      <c r="D540" s="19">
        <v>14</v>
      </c>
      <c r="E540" s="19">
        <v>26</v>
      </c>
      <c r="F540" s="19">
        <v>22</v>
      </c>
      <c r="G540" s="19">
        <v>16</v>
      </c>
      <c r="H540" s="20">
        <v>1986.61</v>
      </c>
      <c r="I540" s="20">
        <v>2435.62</v>
      </c>
      <c r="J540" s="21">
        <v>4604.68</v>
      </c>
      <c r="K540" s="21">
        <v>3828.97</v>
      </c>
      <c r="L540" s="21">
        <v>2796.44</v>
      </c>
      <c r="M540" s="22">
        <v>14</v>
      </c>
      <c r="N540" s="22">
        <v>3</v>
      </c>
      <c r="O540" s="22">
        <v>9</v>
      </c>
      <c r="P540" s="22">
        <v>11</v>
      </c>
      <c r="Q540" s="22">
        <v>14</v>
      </c>
      <c r="R540" s="17">
        <v>0.44</v>
      </c>
      <c r="S540" s="17">
        <v>0.823529411764706</v>
      </c>
      <c r="T540" s="17">
        <v>0.742857142857143</v>
      </c>
      <c r="U540" s="17">
        <v>0.666666666666667</v>
      </c>
      <c r="V540" s="23">
        <v>0.533333333333333</v>
      </c>
    </row>
    <row r="541" ht="66" spans="1:22">
      <c r="A541" s="16">
        <v>5919</v>
      </c>
      <c r="B541" s="16" t="s">
        <v>1069</v>
      </c>
      <c r="C541" s="19">
        <v>7</v>
      </c>
      <c r="D541" s="19">
        <v>11</v>
      </c>
      <c r="E541" s="19">
        <v>3</v>
      </c>
      <c r="F541" s="19">
        <v>2</v>
      </c>
      <c r="G541" s="19">
        <v>20</v>
      </c>
      <c r="H541" s="20">
        <v>1673</v>
      </c>
      <c r="I541" s="20">
        <v>2359.22</v>
      </c>
      <c r="J541" s="21">
        <v>643.56</v>
      </c>
      <c r="K541" s="21">
        <v>429.04</v>
      </c>
      <c r="L541" s="21">
        <v>4289.9</v>
      </c>
      <c r="M541" s="22">
        <v>4</v>
      </c>
      <c r="N541" s="22">
        <v>5</v>
      </c>
      <c r="O541" s="22">
        <v>7</v>
      </c>
      <c r="P541" s="22">
        <v>4</v>
      </c>
      <c r="Q541" s="22">
        <v>1</v>
      </c>
      <c r="R541" s="17">
        <v>0.636363636363636</v>
      </c>
      <c r="S541" s="17">
        <v>0.6875</v>
      </c>
      <c r="T541" s="17">
        <v>0.3</v>
      </c>
      <c r="U541" s="17">
        <v>0.333333333333333</v>
      </c>
      <c r="V541" s="23">
        <v>0.952380952380952</v>
      </c>
    </row>
    <row r="542" ht="33" spans="1:22">
      <c r="A542" s="16">
        <v>3575</v>
      </c>
      <c r="B542" s="16" t="s">
        <v>1070</v>
      </c>
      <c r="C542" s="19">
        <v>10</v>
      </c>
      <c r="D542" s="19">
        <v>15</v>
      </c>
      <c r="E542" s="19">
        <v>15</v>
      </c>
      <c r="F542" s="19">
        <v>20</v>
      </c>
      <c r="G542" s="19">
        <v>15</v>
      </c>
      <c r="H542" s="20">
        <v>1460.89</v>
      </c>
      <c r="I542" s="20">
        <v>2185.89</v>
      </c>
      <c r="J542" s="21">
        <v>2201.29</v>
      </c>
      <c r="K542" s="21">
        <v>2945.44</v>
      </c>
      <c r="L542" s="21">
        <v>2195.63</v>
      </c>
      <c r="M542" s="22">
        <v>9</v>
      </c>
      <c r="N542" s="22">
        <v>7</v>
      </c>
      <c r="O542" s="22">
        <v>3</v>
      </c>
      <c r="P542" s="22">
        <v>8</v>
      </c>
      <c r="Q542" s="22">
        <v>8</v>
      </c>
      <c r="R542" s="17">
        <v>0.526315789473684</v>
      </c>
      <c r="S542" s="17">
        <v>0.681818181818182</v>
      </c>
      <c r="T542" s="17">
        <v>0.833333333333333</v>
      </c>
      <c r="U542" s="17">
        <v>0.714285714285714</v>
      </c>
      <c r="V542" s="23">
        <v>0.652173913043478</v>
      </c>
    </row>
    <row r="543" ht="16.5" spans="1:22">
      <c r="A543" s="16">
        <v>3031</v>
      </c>
      <c r="B543" s="16" t="s">
        <v>1071</v>
      </c>
      <c r="C543" s="19">
        <v>16</v>
      </c>
      <c r="D543" s="19">
        <v>18</v>
      </c>
      <c r="E543" s="19">
        <v>21</v>
      </c>
      <c r="F543" s="19">
        <v>27</v>
      </c>
      <c r="G543" s="19">
        <v>21</v>
      </c>
      <c r="H543" s="20">
        <v>2152.84</v>
      </c>
      <c r="I543" s="20">
        <v>2432.2</v>
      </c>
      <c r="J543" s="21">
        <v>2848.04</v>
      </c>
      <c r="K543" s="21">
        <v>3582.48</v>
      </c>
      <c r="L543" s="21">
        <v>2815.81</v>
      </c>
      <c r="M543" s="22">
        <v>9</v>
      </c>
      <c r="N543" s="22">
        <v>6</v>
      </c>
      <c r="O543" s="22">
        <v>13</v>
      </c>
      <c r="P543" s="22">
        <v>10</v>
      </c>
      <c r="Q543" s="22">
        <v>7</v>
      </c>
      <c r="R543" s="17">
        <v>0.64</v>
      </c>
      <c r="S543" s="17">
        <v>0.75</v>
      </c>
      <c r="T543" s="17">
        <v>0.617647058823529</v>
      </c>
      <c r="U543" s="17">
        <v>0.72972972972973</v>
      </c>
      <c r="V543" s="23">
        <v>0.75</v>
      </c>
    </row>
    <row r="544" ht="16.5" spans="1:22">
      <c r="A544" s="16">
        <v>5208</v>
      </c>
      <c r="B544" s="16" t="s">
        <v>1072</v>
      </c>
      <c r="C544" s="19">
        <v>8</v>
      </c>
      <c r="D544" s="19">
        <v>12</v>
      </c>
      <c r="E544" s="19">
        <v>27</v>
      </c>
      <c r="F544" s="19">
        <v>19</v>
      </c>
      <c r="G544" s="19">
        <v>16</v>
      </c>
      <c r="H544" s="20">
        <v>1432.88</v>
      </c>
      <c r="I544" s="20">
        <v>2232.45</v>
      </c>
      <c r="J544" s="21">
        <v>4625.99</v>
      </c>
      <c r="K544" s="21">
        <v>3333.4</v>
      </c>
      <c r="L544" s="21">
        <v>2906.11</v>
      </c>
      <c r="M544" s="22">
        <v>4</v>
      </c>
      <c r="N544" s="22">
        <v>3</v>
      </c>
      <c r="O544" s="22">
        <v>5</v>
      </c>
      <c r="P544" s="22">
        <v>14</v>
      </c>
      <c r="Q544" s="22">
        <v>6</v>
      </c>
      <c r="R544" s="17">
        <v>0.666666666666667</v>
      </c>
      <c r="S544" s="17">
        <v>0.8</v>
      </c>
      <c r="T544" s="17">
        <v>0.84375</v>
      </c>
      <c r="U544" s="17">
        <v>0.575757575757576</v>
      </c>
      <c r="V544" s="23">
        <v>0.727272727272727</v>
      </c>
    </row>
    <row r="545" ht="33" spans="1:22">
      <c r="A545" s="16">
        <v>3238</v>
      </c>
      <c r="B545" s="16" t="s">
        <v>1073</v>
      </c>
      <c r="C545" s="19">
        <v>8</v>
      </c>
      <c r="D545" s="19">
        <v>17</v>
      </c>
      <c r="E545" s="19">
        <v>6</v>
      </c>
      <c r="F545" s="19">
        <v>4</v>
      </c>
      <c r="G545" s="19">
        <v>3</v>
      </c>
      <c r="H545" s="20">
        <v>1566.51</v>
      </c>
      <c r="I545" s="20">
        <v>3236</v>
      </c>
      <c r="J545" s="21">
        <v>1159.33</v>
      </c>
      <c r="K545" s="21">
        <v>766.57</v>
      </c>
      <c r="L545" s="21">
        <v>541.01</v>
      </c>
      <c r="M545" s="22">
        <v>1</v>
      </c>
      <c r="N545" s="22">
        <v>5</v>
      </c>
      <c r="O545" s="22">
        <v>5</v>
      </c>
      <c r="P545" s="22">
        <v>6</v>
      </c>
      <c r="Q545" s="22">
        <v>13</v>
      </c>
      <c r="R545" s="17">
        <v>0.888888888888889</v>
      </c>
      <c r="S545" s="17">
        <v>0.772727272727273</v>
      </c>
      <c r="T545" s="17">
        <v>0.545454545454545</v>
      </c>
      <c r="U545" s="17">
        <v>0.4</v>
      </c>
      <c r="V545" s="23">
        <v>0.1875</v>
      </c>
    </row>
    <row r="546" ht="33" spans="1:22">
      <c r="A546" s="16">
        <v>2834</v>
      </c>
      <c r="B546" s="16" t="s">
        <v>1074</v>
      </c>
      <c r="C546" s="19">
        <v>17</v>
      </c>
      <c r="D546" s="19">
        <v>10</v>
      </c>
      <c r="E546" s="19">
        <v>17</v>
      </c>
      <c r="F546" s="19">
        <v>28</v>
      </c>
      <c r="G546" s="19">
        <v>30</v>
      </c>
      <c r="H546" s="20">
        <v>1950.84</v>
      </c>
      <c r="I546" s="20">
        <v>1045.07</v>
      </c>
      <c r="J546" s="21">
        <v>1715.18</v>
      </c>
      <c r="K546" s="21">
        <v>2752.52</v>
      </c>
      <c r="L546" s="21">
        <v>2989.44</v>
      </c>
      <c r="M546" s="22">
        <v>2</v>
      </c>
      <c r="N546" s="22">
        <v>16</v>
      </c>
      <c r="O546" s="22">
        <v>18</v>
      </c>
      <c r="P546" s="22">
        <v>12</v>
      </c>
      <c r="Q546" s="22">
        <v>12</v>
      </c>
      <c r="R546" s="17">
        <v>0.894736842105263</v>
      </c>
      <c r="S546" s="17">
        <v>0.384615384615385</v>
      </c>
      <c r="T546" s="17">
        <v>0.485714285714286</v>
      </c>
      <c r="U546" s="17">
        <v>0.7</v>
      </c>
      <c r="V546" s="23">
        <v>0.714285714285714</v>
      </c>
    </row>
    <row r="547" ht="33" spans="1:22">
      <c r="A547" s="16">
        <v>3708</v>
      </c>
      <c r="B547" s="16" t="s">
        <v>1075</v>
      </c>
      <c r="C547" s="19">
        <v>12</v>
      </c>
      <c r="D547" s="19">
        <v>23</v>
      </c>
      <c r="E547" s="19">
        <v>32</v>
      </c>
      <c r="F547" s="19">
        <v>18</v>
      </c>
      <c r="G547" s="19">
        <v>17</v>
      </c>
      <c r="H547" s="20">
        <v>2171.68</v>
      </c>
      <c r="I547" s="20">
        <v>4295.31</v>
      </c>
      <c r="J547" s="21">
        <v>5869.54</v>
      </c>
      <c r="K547" s="21">
        <v>3267.84</v>
      </c>
      <c r="L547" s="21">
        <v>3113.39</v>
      </c>
      <c r="M547" s="22">
        <v>18</v>
      </c>
      <c r="N547" s="22">
        <v>11</v>
      </c>
      <c r="O547" s="22">
        <v>12</v>
      </c>
      <c r="P547" s="22">
        <v>12</v>
      </c>
      <c r="Q547" s="22">
        <v>10</v>
      </c>
      <c r="R547" s="17">
        <v>0.4</v>
      </c>
      <c r="S547" s="17">
        <v>0.676470588235294</v>
      </c>
      <c r="T547" s="17">
        <v>0.727272727272727</v>
      </c>
      <c r="U547" s="17">
        <v>0.6</v>
      </c>
      <c r="V547" s="23">
        <v>0.62962962962963</v>
      </c>
    </row>
    <row r="548" ht="16.5" spans="1:22">
      <c r="A548" s="16">
        <v>3512</v>
      </c>
      <c r="B548" s="16" t="s">
        <v>1076</v>
      </c>
      <c r="C548" s="19">
        <v>8</v>
      </c>
      <c r="D548" s="19">
        <v>9</v>
      </c>
      <c r="E548" s="19">
        <v>12</v>
      </c>
      <c r="F548" s="19">
        <v>5</v>
      </c>
      <c r="G548" s="19">
        <v>14</v>
      </c>
      <c r="H548" s="20">
        <v>1783.73</v>
      </c>
      <c r="I548" s="20">
        <v>2058.64</v>
      </c>
      <c r="J548" s="21">
        <v>2792.13</v>
      </c>
      <c r="K548" s="21">
        <v>1131.78</v>
      </c>
      <c r="L548" s="21">
        <v>3113.36</v>
      </c>
      <c r="M548" s="22">
        <v>11</v>
      </c>
      <c r="N548" s="22">
        <v>5</v>
      </c>
      <c r="O548" s="22">
        <v>2</v>
      </c>
      <c r="P548" s="22">
        <v>8</v>
      </c>
      <c r="Q548" s="22">
        <v>8</v>
      </c>
      <c r="R548" s="17">
        <v>0.421052631578947</v>
      </c>
      <c r="S548" s="17">
        <v>0.642857142857143</v>
      </c>
      <c r="T548" s="17">
        <v>0.857142857142857</v>
      </c>
      <c r="U548" s="17">
        <v>0.384615384615385</v>
      </c>
      <c r="V548" s="23">
        <v>0.636363636363636</v>
      </c>
    </row>
    <row r="549" ht="16.5" spans="1:22">
      <c r="A549" s="16">
        <v>3796</v>
      </c>
      <c r="B549" s="16" t="s">
        <v>1077</v>
      </c>
      <c r="C549" s="19">
        <v>6</v>
      </c>
      <c r="D549" s="19">
        <v>2</v>
      </c>
      <c r="E549" s="19">
        <v>3</v>
      </c>
      <c r="F549" s="19">
        <v>4</v>
      </c>
      <c r="G549" s="19">
        <v>9</v>
      </c>
      <c r="H549" s="20">
        <v>1509.63</v>
      </c>
      <c r="I549" s="20">
        <v>493</v>
      </c>
      <c r="J549" s="21">
        <v>599.94</v>
      </c>
      <c r="K549" s="21">
        <v>886.01</v>
      </c>
      <c r="L549" s="21">
        <v>1907.76</v>
      </c>
      <c r="M549" s="22">
        <v>2</v>
      </c>
      <c r="N549" s="22">
        <v>6</v>
      </c>
      <c r="O549" s="22">
        <v>3</v>
      </c>
      <c r="P549" s="22">
        <v>3</v>
      </c>
      <c r="Q549" s="22">
        <v>6</v>
      </c>
      <c r="R549" s="17">
        <v>0.75</v>
      </c>
      <c r="S549" s="17">
        <v>0.25</v>
      </c>
      <c r="T549" s="17">
        <v>0.5</v>
      </c>
      <c r="U549" s="17">
        <v>0.571428571428571</v>
      </c>
      <c r="V549" s="23">
        <v>0.6</v>
      </c>
    </row>
    <row r="550" ht="16.5" spans="1:22">
      <c r="A550" s="16">
        <v>3534</v>
      </c>
      <c r="B550" s="16" t="s">
        <v>1078</v>
      </c>
      <c r="C550" s="19">
        <v>7</v>
      </c>
      <c r="D550" s="19">
        <v>10</v>
      </c>
      <c r="E550" s="19">
        <v>7</v>
      </c>
      <c r="F550" s="19">
        <v>6</v>
      </c>
      <c r="G550" s="19">
        <v>16</v>
      </c>
      <c r="H550" s="20">
        <v>1351.12</v>
      </c>
      <c r="I550" s="20">
        <v>1851.28</v>
      </c>
      <c r="J550" s="21">
        <v>1259.93</v>
      </c>
      <c r="K550" s="21">
        <v>1079.94</v>
      </c>
      <c r="L550" s="21">
        <v>3006.78</v>
      </c>
      <c r="M550" s="22">
        <v>10</v>
      </c>
      <c r="N550" s="22">
        <v>2</v>
      </c>
      <c r="O550" s="22">
        <v>7</v>
      </c>
      <c r="P550" s="22">
        <v>6</v>
      </c>
      <c r="Q550" s="22">
        <v>13</v>
      </c>
      <c r="R550" s="17">
        <v>0.411764705882353</v>
      </c>
      <c r="S550" s="17">
        <v>0.833333333333333</v>
      </c>
      <c r="T550" s="17">
        <v>0.5</v>
      </c>
      <c r="U550" s="17">
        <v>0.5</v>
      </c>
      <c r="V550" s="23">
        <v>0.551724137931034</v>
      </c>
    </row>
    <row r="551" ht="16.5" spans="1:22">
      <c r="A551" s="16">
        <v>3535</v>
      </c>
      <c r="B551" s="16" t="s">
        <v>1079</v>
      </c>
      <c r="C551" s="19">
        <v>7</v>
      </c>
      <c r="D551" s="19">
        <v>7</v>
      </c>
      <c r="E551" s="19">
        <v>6</v>
      </c>
      <c r="F551" s="19">
        <v>6</v>
      </c>
      <c r="G551" s="19">
        <v>4</v>
      </c>
      <c r="H551" s="20">
        <v>1413.79</v>
      </c>
      <c r="I551" s="20">
        <v>1441.58</v>
      </c>
      <c r="J551" s="21">
        <v>1242.88</v>
      </c>
      <c r="K551" s="21">
        <v>1243.38</v>
      </c>
      <c r="L551" s="21">
        <v>828.92</v>
      </c>
      <c r="M551" s="22">
        <v>2</v>
      </c>
      <c r="N551" s="22">
        <v>4</v>
      </c>
      <c r="O551" s="22">
        <v>4</v>
      </c>
      <c r="P551" s="22">
        <v>3</v>
      </c>
      <c r="Q551" s="22">
        <v>1</v>
      </c>
      <c r="R551" s="17">
        <v>0.777777777777778</v>
      </c>
      <c r="S551" s="17">
        <v>0.636363636363636</v>
      </c>
      <c r="T551" s="17">
        <v>0.6</v>
      </c>
      <c r="U551" s="17">
        <v>0.666666666666667</v>
      </c>
      <c r="V551" s="23">
        <v>0.8</v>
      </c>
    </row>
    <row r="552" ht="33" spans="1:22">
      <c r="A552" s="16">
        <v>2851</v>
      </c>
      <c r="B552" s="16" t="s">
        <v>1080</v>
      </c>
      <c r="C552" s="19">
        <v>12</v>
      </c>
      <c r="D552" s="19">
        <v>15</v>
      </c>
      <c r="E552" s="19">
        <v>11</v>
      </c>
      <c r="F552" s="19">
        <v>11</v>
      </c>
      <c r="G552" s="19">
        <v>8</v>
      </c>
      <c r="H552" s="20">
        <v>1319.01</v>
      </c>
      <c r="I552" s="20">
        <v>1702.26</v>
      </c>
      <c r="J552" s="21">
        <v>1190.53</v>
      </c>
      <c r="K552" s="21">
        <v>1206.43</v>
      </c>
      <c r="L552" s="21">
        <v>890.96</v>
      </c>
      <c r="M552" s="22">
        <v>7</v>
      </c>
      <c r="N552" s="22">
        <v>10</v>
      </c>
      <c r="O552" s="22">
        <v>18</v>
      </c>
      <c r="P552" s="22">
        <v>17</v>
      </c>
      <c r="Q552" s="22">
        <v>12</v>
      </c>
      <c r="R552" s="17">
        <v>0.631578947368421</v>
      </c>
      <c r="S552" s="17">
        <v>0.6</v>
      </c>
      <c r="T552" s="17">
        <v>0.379310344827586</v>
      </c>
      <c r="U552" s="17">
        <v>0.392857142857143</v>
      </c>
      <c r="V552" s="23">
        <v>0.4</v>
      </c>
    </row>
    <row r="553" ht="33" spans="1:22">
      <c r="A553" s="16">
        <v>3536</v>
      </c>
      <c r="B553" s="16" t="s">
        <v>1081</v>
      </c>
      <c r="C553" s="19">
        <v>2</v>
      </c>
      <c r="D553" s="19">
        <v>3</v>
      </c>
      <c r="E553" s="19">
        <v>7</v>
      </c>
      <c r="F553" s="19">
        <v>6</v>
      </c>
      <c r="G553" s="19">
        <v>5</v>
      </c>
      <c r="H553" s="20">
        <v>469.44</v>
      </c>
      <c r="I553" s="20">
        <v>721.76</v>
      </c>
      <c r="J553" s="21">
        <v>1710.96</v>
      </c>
      <c r="K553" s="21">
        <v>1541.42</v>
      </c>
      <c r="L553" s="21">
        <v>1247.09</v>
      </c>
      <c r="M553" s="22">
        <v>2</v>
      </c>
      <c r="N553" s="22">
        <v>1</v>
      </c>
      <c r="O553" s="22">
        <v>3</v>
      </c>
      <c r="P553" s="22">
        <v>1</v>
      </c>
      <c r="Q553" s="22">
        <v>2</v>
      </c>
      <c r="R553" s="17">
        <v>0.5</v>
      </c>
      <c r="S553" s="17">
        <v>0.75</v>
      </c>
      <c r="T553" s="17">
        <v>0.7</v>
      </c>
      <c r="U553" s="17">
        <v>0.857142857142857</v>
      </c>
      <c r="V553" s="23">
        <v>0.714285714285714</v>
      </c>
    </row>
    <row r="554" ht="16.5" spans="1:22">
      <c r="A554" s="16">
        <v>1405</v>
      </c>
      <c r="B554" s="16" t="s">
        <v>1082</v>
      </c>
      <c r="C554" s="19">
        <v>5</v>
      </c>
      <c r="D554" s="19">
        <v>9</v>
      </c>
      <c r="E554" s="19">
        <v>28</v>
      </c>
      <c r="F554" s="19">
        <v>13</v>
      </c>
      <c r="G554" s="19">
        <v>14</v>
      </c>
      <c r="H554" s="20">
        <v>892.45</v>
      </c>
      <c r="I554" s="20">
        <v>1606.67</v>
      </c>
      <c r="J554" s="21">
        <v>4990.76</v>
      </c>
      <c r="K554" s="21">
        <v>2275.9</v>
      </c>
      <c r="L554" s="21">
        <v>2501.07</v>
      </c>
      <c r="M554" s="22">
        <v>5</v>
      </c>
      <c r="N554" s="22">
        <v>3</v>
      </c>
      <c r="O554" s="22">
        <v>1</v>
      </c>
      <c r="P554" s="22">
        <v>5</v>
      </c>
      <c r="Q554" s="22">
        <v>3</v>
      </c>
      <c r="R554" s="17">
        <v>0.5</v>
      </c>
      <c r="S554" s="17">
        <v>0.75</v>
      </c>
      <c r="T554" s="17">
        <v>0.96551724137931</v>
      </c>
      <c r="U554" s="17">
        <v>0.722222222222222</v>
      </c>
      <c r="V554" s="23">
        <v>0.823529411764706</v>
      </c>
    </row>
    <row r="555" ht="33" spans="1:22">
      <c r="A555" s="16">
        <v>3262</v>
      </c>
      <c r="B555" s="16" t="s">
        <v>1083</v>
      </c>
      <c r="C555" s="19">
        <v>37</v>
      </c>
      <c r="D555" s="19">
        <v>46</v>
      </c>
      <c r="E555" s="19">
        <v>57</v>
      </c>
      <c r="F555" s="19">
        <v>40</v>
      </c>
      <c r="G555" s="19">
        <v>60</v>
      </c>
      <c r="H555" s="20">
        <v>5779.34</v>
      </c>
      <c r="I555" s="20">
        <v>6750.34999999999</v>
      </c>
      <c r="J555" s="21">
        <v>8415.22999999999</v>
      </c>
      <c r="K555" s="21">
        <v>5841.88</v>
      </c>
      <c r="L555" s="21">
        <v>8759.16</v>
      </c>
      <c r="M555" s="22">
        <v>38</v>
      </c>
      <c r="N555" s="22">
        <v>39</v>
      </c>
      <c r="O555" s="22">
        <v>38</v>
      </c>
      <c r="P555" s="22">
        <v>45</v>
      </c>
      <c r="Q555" s="22">
        <v>40</v>
      </c>
      <c r="R555" s="17">
        <v>0.493333333333333</v>
      </c>
      <c r="S555" s="17">
        <v>0.541176470588235</v>
      </c>
      <c r="T555" s="17">
        <v>0.6</v>
      </c>
      <c r="U555" s="17">
        <v>0.470588235294118</v>
      </c>
      <c r="V555" s="23">
        <v>0.6</v>
      </c>
    </row>
    <row r="556" ht="33" spans="1:22">
      <c r="A556" s="16">
        <v>1406</v>
      </c>
      <c r="B556" s="16" t="s">
        <v>1084</v>
      </c>
      <c r="C556" s="19">
        <v>31</v>
      </c>
      <c r="D556" s="19">
        <v>35</v>
      </c>
      <c r="E556" s="19">
        <v>42</v>
      </c>
      <c r="F556" s="19">
        <v>23</v>
      </c>
      <c r="G556" s="19">
        <v>25</v>
      </c>
      <c r="H556" s="20">
        <v>4382.16</v>
      </c>
      <c r="I556" s="20">
        <v>5025.65</v>
      </c>
      <c r="J556" s="21">
        <v>5953.35</v>
      </c>
      <c r="K556" s="21">
        <v>3190.13</v>
      </c>
      <c r="L556" s="21">
        <v>3469.65</v>
      </c>
      <c r="M556" s="22">
        <v>10</v>
      </c>
      <c r="N556" s="22">
        <v>8</v>
      </c>
      <c r="O556" s="22">
        <v>10</v>
      </c>
      <c r="P556" s="22">
        <v>6</v>
      </c>
      <c r="Q556" s="22">
        <v>5</v>
      </c>
      <c r="R556" s="17">
        <v>0.75609756097561</v>
      </c>
      <c r="S556" s="17">
        <v>0.813953488372093</v>
      </c>
      <c r="T556" s="17">
        <v>0.807692307692308</v>
      </c>
      <c r="U556" s="17">
        <v>0.793103448275862</v>
      </c>
      <c r="V556" s="23">
        <v>0.833333333333333</v>
      </c>
    </row>
    <row r="557" ht="16.5" spans="1:22">
      <c r="A557" s="16">
        <v>3776</v>
      </c>
      <c r="B557" s="16" t="s">
        <v>1085</v>
      </c>
      <c r="C557" s="19">
        <v>14</v>
      </c>
      <c r="D557" s="19">
        <v>13</v>
      </c>
      <c r="E557" s="19">
        <v>8</v>
      </c>
      <c r="F557" s="19">
        <v>15</v>
      </c>
      <c r="G557" s="19">
        <v>15</v>
      </c>
      <c r="H557" s="20">
        <v>1497.86</v>
      </c>
      <c r="I557" s="20">
        <v>1390.87</v>
      </c>
      <c r="J557" s="21">
        <v>856.42</v>
      </c>
      <c r="K557" s="21">
        <v>1607.85</v>
      </c>
      <c r="L557" s="21">
        <v>1603.9</v>
      </c>
      <c r="M557" s="22">
        <v>0</v>
      </c>
      <c r="N557" s="22">
        <v>2</v>
      </c>
      <c r="O557" s="22">
        <v>3</v>
      </c>
      <c r="P557" s="22">
        <v>0</v>
      </c>
      <c r="Q557" s="22">
        <v>3</v>
      </c>
      <c r="R557" s="17">
        <v>1</v>
      </c>
      <c r="S557" s="17">
        <v>0.866666666666667</v>
      </c>
      <c r="T557" s="17">
        <v>0.727272727272727</v>
      </c>
      <c r="U557" s="17">
        <v>1</v>
      </c>
      <c r="V557" s="23">
        <v>0.833333333333333</v>
      </c>
    </row>
    <row r="558" ht="16.5" spans="1:22">
      <c r="A558" s="16">
        <v>4491</v>
      </c>
      <c r="B558" s="16" t="s">
        <v>1086</v>
      </c>
      <c r="C558" s="19">
        <v>24</v>
      </c>
      <c r="D558" s="19">
        <v>20</v>
      </c>
      <c r="E558" s="19">
        <v>20</v>
      </c>
      <c r="F558" s="19">
        <v>14</v>
      </c>
      <c r="G558" s="19">
        <v>15</v>
      </c>
      <c r="H558" s="20">
        <v>3510.89</v>
      </c>
      <c r="I558" s="20">
        <v>2928.67</v>
      </c>
      <c r="J558" s="21">
        <v>2942.54</v>
      </c>
      <c r="K558" s="21">
        <v>2082.88</v>
      </c>
      <c r="L558" s="21">
        <v>2237.4</v>
      </c>
      <c r="M558" s="22">
        <v>1</v>
      </c>
      <c r="N558" s="22">
        <v>0</v>
      </c>
      <c r="O558" s="22">
        <v>1</v>
      </c>
      <c r="P558" s="22">
        <v>2</v>
      </c>
      <c r="Q558" s="22">
        <v>2</v>
      </c>
      <c r="R558" s="17">
        <v>0.96</v>
      </c>
      <c r="S558" s="17">
        <v>1</v>
      </c>
      <c r="T558" s="17">
        <v>0.952380952380952</v>
      </c>
      <c r="U558" s="17">
        <v>0.875</v>
      </c>
      <c r="V558" s="23">
        <v>0.882352941176471</v>
      </c>
    </row>
    <row r="559" ht="16.5" spans="1:22">
      <c r="A559" s="16">
        <v>4537</v>
      </c>
      <c r="B559" s="16" t="s">
        <v>1087</v>
      </c>
      <c r="C559" s="19">
        <v>2</v>
      </c>
      <c r="D559" s="19">
        <v>6</v>
      </c>
      <c r="E559" s="19">
        <v>11</v>
      </c>
      <c r="F559" s="19">
        <v>3</v>
      </c>
      <c r="G559" s="19">
        <v>5</v>
      </c>
      <c r="H559" s="20">
        <v>356.99</v>
      </c>
      <c r="I559" s="20">
        <v>1070.94</v>
      </c>
      <c r="J559" s="21">
        <v>1963.42</v>
      </c>
      <c r="K559" s="21">
        <v>535.47</v>
      </c>
      <c r="L559" s="21">
        <v>865.71</v>
      </c>
      <c r="M559" s="22">
        <v>0</v>
      </c>
      <c r="N559" s="22">
        <v>0</v>
      </c>
      <c r="O559" s="22">
        <v>0</v>
      </c>
      <c r="P559" s="22">
        <v>0</v>
      </c>
      <c r="Q559" s="22">
        <v>1</v>
      </c>
      <c r="R559" s="17">
        <v>1</v>
      </c>
      <c r="S559" s="17">
        <v>1</v>
      </c>
      <c r="T559" s="17">
        <v>1</v>
      </c>
      <c r="U559" s="17">
        <v>1</v>
      </c>
      <c r="V559" s="23">
        <v>0.833333333333333</v>
      </c>
    </row>
    <row r="560" ht="16.5" spans="1:22">
      <c r="A560" s="16">
        <v>4120</v>
      </c>
      <c r="B560" s="16" t="s">
        <v>1088</v>
      </c>
      <c r="C560" s="19">
        <v>5</v>
      </c>
      <c r="D560" s="19">
        <v>2</v>
      </c>
      <c r="E560" s="19">
        <v>9</v>
      </c>
      <c r="F560" s="19">
        <v>7</v>
      </c>
      <c r="G560" s="19">
        <v>2</v>
      </c>
      <c r="H560" s="20">
        <v>624.95</v>
      </c>
      <c r="I560" s="20">
        <v>249.98</v>
      </c>
      <c r="J560" s="21">
        <v>1156.16</v>
      </c>
      <c r="K560" s="21">
        <v>912.12</v>
      </c>
      <c r="L560" s="21">
        <v>256.23</v>
      </c>
      <c r="M560" s="22">
        <v>0</v>
      </c>
      <c r="N560" s="22">
        <v>3</v>
      </c>
      <c r="O560" s="22">
        <v>0</v>
      </c>
      <c r="P560" s="22">
        <v>0</v>
      </c>
      <c r="Q560" s="22">
        <v>0</v>
      </c>
      <c r="R560" s="17">
        <v>1</v>
      </c>
      <c r="S560" s="17">
        <v>0.4</v>
      </c>
      <c r="T560" s="17">
        <v>1</v>
      </c>
      <c r="U560" s="17">
        <v>1</v>
      </c>
      <c r="V560" s="23">
        <v>1</v>
      </c>
    </row>
    <row r="561" ht="16.5" spans="1:22">
      <c r="A561" s="16">
        <v>4647</v>
      </c>
      <c r="B561" s="16" t="s">
        <v>1089</v>
      </c>
      <c r="C561" s="19">
        <v>2</v>
      </c>
      <c r="D561" s="19">
        <v>1</v>
      </c>
      <c r="E561" s="19">
        <v>4</v>
      </c>
      <c r="F561" s="19">
        <v>7</v>
      </c>
      <c r="G561" s="19">
        <v>1</v>
      </c>
      <c r="H561" s="20">
        <v>815.1</v>
      </c>
      <c r="I561" s="20">
        <v>479.15</v>
      </c>
      <c r="J561" s="21">
        <v>1812.5</v>
      </c>
      <c r="K561" s="21">
        <v>3286.88</v>
      </c>
      <c r="L561" s="21">
        <v>479.05</v>
      </c>
      <c r="M561" s="22">
        <v>1</v>
      </c>
      <c r="N561" s="22">
        <v>1</v>
      </c>
      <c r="O561" s="22">
        <v>1</v>
      </c>
      <c r="P561" s="22">
        <v>1</v>
      </c>
      <c r="Q561" s="22">
        <v>0</v>
      </c>
      <c r="R561" s="17">
        <v>0.666666666666667</v>
      </c>
      <c r="S561" s="17">
        <v>0.5</v>
      </c>
      <c r="T561" s="17">
        <v>0.8</v>
      </c>
      <c r="U561" s="17">
        <v>0.875</v>
      </c>
      <c r="V561" s="23">
        <v>1</v>
      </c>
    </row>
    <row r="562" ht="33" spans="1:22">
      <c r="A562" s="16">
        <v>4324</v>
      </c>
      <c r="B562" s="16" t="s">
        <v>1090</v>
      </c>
      <c r="C562" s="19">
        <v>0</v>
      </c>
      <c r="D562" s="19">
        <v>3</v>
      </c>
      <c r="E562" s="19">
        <v>7</v>
      </c>
      <c r="F562" s="19">
        <v>5</v>
      </c>
      <c r="G562" s="19">
        <v>11</v>
      </c>
      <c r="H562" s="20">
        <v>0</v>
      </c>
      <c r="I562" s="20">
        <v>773.04</v>
      </c>
      <c r="J562" s="21">
        <v>1803.76</v>
      </c>
      <c r="K562" s="21">
        <v>1198.21</v>
      </c>
      <c r="L562" s="21">
        <v>2565.18</v>
      </c>
      <c r="M562" s="22">
        <v>0</v>
      </c>
      <c r="N562" s="22">
        <v>2</v>
      </c>
      <c r="O562" s="22">
        <v>1</v>
      </c>
      <c r="P562" s="22">
        <v>3</v>
      </c>
      <c r="Q562" s="22">
        <v>6</v>
      </c>
      <c r="R562" s="17">
        <v>0</v>
      </c>
      <c r="S562" s="17">
        <v>0.6</v>
      </c>
      <c r="T562" s="17">
        <v>0.875</v>
      </c>
      <c r="U562" s="17">
        <v>0.625</v>
      </c>
      <c r="V562" s="23">
        <v>0.647058823529412</v>
      </c>
    </row>
    <row r="563" ht="33" spans="1:22">
      <c r="A563" s="16">
        <v>4323</v>
      </c>
      <c r="B563" s="16" t="s">
        <v>1091</v>
      </c>
      <c r="C563" s="19">
        <v>28</v>
      </c>
      <c r="D563" s="19">
        <v>20</v>
      </c>
      <c r="E563" s="19">
        <v>36</v>
      </c>
      <c r="F563" s="19">
        <v>37</v>
      </c>
      <c r="G563" s="19">
        <v>26</v>
      </c>
      <c r="H563" s="20">
        <v>5952.71</v>
      </c>
      <c r="I563" s="20">
        <v>4176.39</v>
      </c>
      <c r="J563" s="21">
        <v>7695.09999999999</v>
      </c>
      <c r="K563" s="21">
        <v>7972.75999999999</v>
      </c>
      <c r="L563" s="21">
        <v>5589.36</v>
      </c>
      <c r="M563" s="22">
        <v>2</v>
      </c>
      <c r="N563" s="22">
        <v>13</v>
      </c>
      <c r="O563" s="22">
        <v>12</v>
      </c>
      <c r="P563" s="22">
        <v>16</v>
      </c>
      <c r="Q563" s="22">
        <v>18</v>
      </c>
      <c r="R563" s="17">
        <v>0.933333333333333</v>
      </c>
      <c r="S563" s="17">
        <v>0.606060606060606</v>
      </c>
      <c r="T563" s="17">
        <v>0.75</v>
      </c>
      <c r="U563" s="17">
        <v>0.69811320754717</v>
      </c>
      <c r="V563" s="23">
        <v>0.590909090909091</v>
      </c>
    </row>
    <row r="564" ht="16.5" spans="1:22">
      <c r="A564" s="16">
        <v>5012</v>
      </c>
      <c r="B564" s="16" t="s">
        <v>1092</v>
      </c>
      <c r="C564" s="19">
        <v>5</v>
      </c>
      <c r="D564" s="19">
        <v>6</v>
      </c>
      <c r="E564" s="19">
        <v>5</v>
      </c>
      <c r="F564" s="19">
        <v>8</v>
      </c>
      <c r="G564" s="19">
        <v>4</v>
      </c>
      <c r="H564" s="20">
        <v>1375.75</v>
      </c>
      <c r="I564" s="20">
        <v>1626.48</v>
      </c>
      <c r="J564" s="21">
        <v>1342.08</v>
      </c>
      <c r="K564" s="21">
        <v>2200.42</v>
      </c>
      <c r="L564" s="21">
        <v>1087.74</v>
      </c>
      <c r="M564" s="22">
        <v>3</v>
      </c>
      <c r="N564" s="22">
        <v>1</v>
      </c>
      <c r="O564" s="22">
        <v>4</v>
      </c>
      <c r="P564" s="22">
        <v>4</v>
      </c>
      <c r="Q564" s="22">
        <v>3</v>
      </c>
      <c r="R564" s="17">
        <v>0.625</v>
      </c>
      <c r="S564" s="17">
        <v>0.857142857142857</v>
      </c>
      <c r="T564" s="17">
        <v>0.555555555555556</v>
      </c>
      <c r="U564" s="17">
        <v>0.666666666666667</v>
      </c>
      <c r="V564" s="23">
        <v>0.571428571428571</v>
      </c>
    </row>
    <row r="565" ht="33" spans="1:22">
      <c r="A565" s="16">
        <v>4812</v>
      </c>
      <c r="B565" s="16" t="s">
        <v>1093</v>
      </c>
      <c r="C565" s="19">
        <v>4</v>
      </c>
      <c r="D565" s="19">
        <v>16</v>
      </c>
      <c r="E565" s="19">
        <v>11</v>
      </c>
      <c r="F565" s="19">
        <v>20</v>
      </c>
      <c r="G565" s="19">
        <v>10</v>
      </c>
      <c r="H565" s="20">
        <v>859.07</v>
      </c>
      <c r="I565" s="20">
        <v>3259.19</v>
      </c>
      <c r="J565" s="21">
        <v>2142.58</v>
      </c>
      <c r="K565" s="21">
        <v>3730.02</v>
      </c>
      <c r="L565" s="21">
        <v>1857.96</v>
      </c>
      <c r="M565" s="22">
        <v>0</v>
      </c>
      <c r="N565" s="22">
        <v>0</v>
      </c>
      <c r="O565" s="22">
        <v>1</v>
      </c>
      <c r="P565" s="22">
        <v>0</v>
      </c>
      <c r="Q565" s="22">
        <v>3</v>
      </c>
      <c r="R565" s="17">
        <v>1</v>
      </c>
      <c r="S565" s="17">
        <v>1</v>
      </c>
      <c r="T565" s="17">
        <v>0.916666666666667</v>
      </c>
      <c r="U565" s="17">
        <v>1</v>
      </c>
      <c r="V565" s="23">
        <v>0.769230769230769</v>
      </c>
    </row>
    <row r="566" ht="16.5" spans="1:22">
      <c r="A566" s="16">
        <v>5122</v>
      </c>
      <c r="B566" s="16" t="s">
        <v>1094</v>
      </c>
      <c r="C566" s="19">
        <v>11</v>
      </c>
      <c r="D566" s="19">
        <v>7</v>
      </c>
      <c r="E566" s="19">
        <v>15</v>
      </c>
      <c r="F566" s="19">
        <v>7</v>
      </c>
      <c r="G566" s="19">
        <v>9</v>
      </c>
      <c r="H566" s="20">
        <v>2580.1</v>
      </c>
      <c r="I566" s="20">
        <v>1643.68</v>
      </c>
      <c r="J566" s="21">
        <v>3521.92</v>
      </c>
      <c r="K566" s="21">
        <v>1672.69</v>
      </c>
      <c r="L566" s="21">
        <v>2159.38</v>
      </c>
      <c r="M566" s="22">
        <v>2</v>
      </c>
      <c r="N566" s="22">
        <v>0</v>
      </c>
      <c r="O566" s="22">
        <v>0</v>
      </c>
      <c r="P566" s="22">
        <v>1</v>
      </c>
      <c r="Q566" s="22">
        <v>1</v>
      </c>
      <c r="R566" s="17">
        <v>0.846153846153846</v>
      </c>
      <c r="S566" s="17">
        <v>1</v>
      </c>
      <c r="T566" s="17">
        <v>1</v>
      </c>
      <c r="U566" s="17">
        <v>0.875</v>
      </c>
      <c r="V566" s="23">
        <v>0.9</v>
      </c>
    </row>
    <row r="567" ht="16.5" spans="1:22">
      <c r="A567" s="16">
        <v>4325</v>
      </c>
      <c r="B567" s="16" t="s">
        <v>1095</v>
      </c>
      <c r="C567" s="19">
        <v>5</v>
      </c>
      <c r="D567" s="19">
        <v>7</v>
      </c>
      <c r="E567" s="19">
        <v>14</v>
      </c>
      <c r="F567" s="19">
        <v>11</v>
      </c>
      <c r="G567" s="19">
        <v>8</v>
      </c>
      <c r="H567" s="20">
        <v>1123.76</v>
      </c>
      <c r="I567" s="20">
        <v>1601.37</v>
      </c>
      <c r="J567" s="21">
        <v>3266.03</v>
      </c>
      <c r="K567" s="21">
        <v>2449.5</v>
      </c>
      <c r="L567" s="21">
        <v>1682.8</v>
      </c>
      <c r="M567" s="22">
        <v>0</v>
      </c>
      <c r="N567" s="22">
        <v>1</v>
      </c>
      <c r="O567" s="22">
        <v>2</v>
      </c>
      <c r="P567" s="22">
        <v>3</v>
      </c>
      <c r="Q567" s="22">
        <v>1</v>
      </c>
      <c r="R567" s="17">
        <v>1</v>
      </c>
      <c r="S567" s="17">
        <v>0.875</v>
      </c>
      <c r="T567" s="17">
        <v>0.875</v>
      </c>
      <c r="U567" s="17">
        <v>0.785714285714286</v>
      </c>
      <c r="V567" s="23">
        <v>0.888888888888889</v>
      </c>
    </row>
    <row r="568" ht="33" spans="1:22">
      <c r="A568" s="16">
        <v>4543</v>
      </c>
      <c r="B568" s="16" t="s">
        <v>1096</v>
      </c>
      <c r="C568" s="19">
        <v>40</v>
      </c>
      <c r="D568" s="19">
        <v>50</v>
      </c>
      <c r="E568" s="19">
        <v>66</v>
      </c>
      <c r="F568" s="19">
        <v>47</v>
      </c>
      <c r="G568" s="19">
        <v>36</v>
      </c>
      <c r="H568" s="20">
        <v>5893.27</v>
      </c>
      <c r="I568" s="20">
        <v>7350.04</v>
      </c>
      <c r="J568" s="21">
        <v>10132.12</v>
      </c>
      <c r="K568" s="21">
        <v>7342.34</v>
      </c>
      <c r="L568" s="21">
        <v>5565.96</v>
      </c>
      <c r="M568" s="22">
        <v>12</v>
      </c>
      <c r="N568" s="22">
        <v>16</v>
      </c>
      <c r="O568" s="22">
        <v>31</v>
      </c>
      <c r="P568" s="22">
        <v>24</v>
      </c>
      <c r="Q568" s="22">
        <v>35</v>
      </c>
      <c r="R568" s="17">
        <v>0.769230769230769</v>
      </c>
      <c r="S568" s="17">
        <v>0.757575757575758</v>
      </c>
      <c r="T568" s="17">
        <v>0.680412371134021</v>
      </c>
      <c r="U568" s="17">
        <v>0.661971830985915</v>
      </c>
      <c r="V568" s="23">
        <v>0.507042253521127</v>
      </c>
    </row>
    <row r="569" ht="16.5" spans="1:22">
      <c r="A569" s="16">
        <v>4671</v>
      </c>
      <c r="B569" s="16" t="s">
        <v>1097</v>
      </c>
      <c r="C569" s="19">
        <v>1</v>
      </c>
      <c r="D569" s="19">
        <v>7</v>
      </c>
      <c r="E569" s="19">
        <v>10</v>
      </c>
      <c r="F569" s="19">
        <v>7</v>
      </c>
      <c r="G569" s="19">
        <v>2</v>
      </c>
      <c r="H569" s="20">
        <v>231</v>
      </c>
      <c r="I569" s="20">
        <v>1562.75</v>
      </c>
      <c r="J569" s="21">
        <v>2227.94</v>
      </c>
      <c r="K569" s="21">
        <v>1550.31</v>
      </c>
      <c r="L569" s="21">
        <v>431.32</v>
      </c>
      <c r="M569" s="22">
        <v>0</v>
      </c>
      <c r="N569" s="22">
        <v>0</v>
      </c>
      <c r="O569" s="22">
        <v>1</v>
      </c>
      <c r="P569" s="22">
        <v>2</v>
      </c>
      <c r="Q569" s="22">
        <v>1</v>
      </c>
      <c r="R569" s="17">
        <v>1</v>
      </c>
      <c r="S569" s="17">
        <v>1</v>
      </c>
      <c r="T569" s="17">
        <v>0.909090909090909</v>
      </c>
      <c r="U569" s="17">
        <v>0.777777777777778</v>
      </c>
      <c r="V569" s="23">
        <v>0.666666666666667</v>
      </c>
    </row>
    <row r="570" ht="33" spans="1:22">
      <c r="A570" s="16">
        <v>5060</v>
      </c>
      <c r="B570" s="16" t="s">
        <v>1098</v>
      </c>
      <c r="C570" s="19">
        <v>1</v>
      </c>
      <c r="D570" s="19">
        <v>1</v>
      </c>
      <c r="E570" s="19">
        <v>4</v>
      </c>
      <c r="F570" s="19">
        <v>2</v>
      </c>
      <c r="G570" s="19">
        <v>5</v>
      </c>
      <c r="H570" s="20">
        <v>175.96</v>
      </c>
      <c r="I570" s="20">
        <v>165.96</v>
      </c>
      <c r="J570" s="21">
        <v>665.25</v>
      </c>
      <c r="K570" s="21">
        <v>349</v>
      </c>
      <c r="L570" s="21">
        <v>897.34</v>
      </c>
      <c r="M570" s="22">
        <v>0</v>
      </c>
      <c r="N570" s="22">
        <v>0</v>
      </c>
      <c r="O570" s="22">
        <v>0</v>
      </c>
      <c r="P570" s="22">
        <v>0</v>
      </c>
      <c r="Q570" s="22">
        <v>0</v>
      </c>
      <c r="R570" s="17">
        <v>1</v>
      </c>
      <c r="S570" s="17">
        <v>1</v>
      </c>
      <c r="T570" s="17">
        <v>1</v>
      </c>
      <c r="U570" s="17">
        <v>1</v>
      </c>
      <c r="V570" s="23">
        <v>1</v>
      </c>
    </row>
    <row r="571" ht="16.5" spans="1:22">
      <c r="A571" s="16">
        <v>5061</v>
      </c>
      <c r="B571" s="16" t="s">
        <v>1099</v>
      </c>
      <c r="C571" s="19">
        <v>2</v>
      </c>
      <c r="D571" s="19">
        <v>3</v>
      </c>
      <c r="E571" s="19">
        <v>2</v>
      </c>
      <c r="F571" s="19">
        <v>4</v>
      </c>
      <c r="G571" s="19">
        <v>5</v>
      </c>
      <c r="H571" s="20">
        <v>348.3</v>
      </c>
      <c r="I571" s="20">
        <v>518.78</v>
      </c>
      <c r="J571" s="21">
        <v>330</v>
      </c>
      <c r="K571" s="21">
        <v>781.92</v>
      </c>
      <c r="L571" s="21">
        <v>885.16</v>
      </c>
      <c r="M571" s="22">
        <v>0</v>
      </c>
      <c r="N571" s="22">
        <v>0</v>
      </c>
      <c r="O571" s="22">
        <v>1</v>
      </c>
      <c r="P571" s="22">
        <v>2</v>
      </c>
      <c r="Q571" s="22">
        <v>1</v>
      </c>
      <c r="R571" s="17">
        <v>1</v>
      </c>
      <c r="S571" s="17">
        <v>1</v>
      </c>
      <c r="T571" s="17">
        <v>0.666666666666667</v>
      </c>
      <c r="U571" s="17">
        <v>0.666666666666667</v>
      </c>
      <c r="V571" s="23">
        <v>0.833333333333333</v>
      </c>
    </row>
    <row r="572" ht="33" spans="1:22">
      <c r="A572" s="16">
        <v>4691</v>
      </c>
      <c r="B572" s="16" t="s">
        <v>1100</v>
      </c>
      <c r="C572" s="19">
        <v>9</v>
      </c>
      <c r="D572" s="19">
        <v>8</v>
      </c>
      <c r="E572" s="19">
        <v>13</v>
      </c>
      <c r="F572" s="19">
        <v>6</v>
      </c>
      <c r="G572" s="19">
        <v>10</v>
      </c>
      <c r="H572" s="20">
        <v>2233.41</v>
      </c>
      <c r="I572" s="20">
        <v>1986.41</v>
      </c>
      <c r="J572" s="21">
        <v>3235.34</v>
      </c>
      <c r="K572" s="21">
        <v>1516.8</v>
      </c>
      <c r="L572" s="21">
        <v>2522.94</v>
      </c>
      <c r="M572" s="22">
        <v>2</v>
      </c>
      <c r="N572" s="22">
        <v>1</v>
      </c>
      <c r="O572" s="22">
        <v>3</v>
      </c>
      <c r="P572" s="22">
        <v>8</v>
      </c>
      <c r="Q572" s="22">
        <v>5</v>
      </c>
      <c r="R572" s="17">
        <v>0.818181818181818</v>
      </c>
      <c r="S572" s="17">
        <v>0.888888888888889</v>
      </c>
      <c r="T572" s="17">
        <v>0.8125</v>
      </c>
      <c r="U572" s="17">
        <v>0.428571428571429</v>
      </c>
      <c r="V572" s="23">
        <v>0.666666666666667</v>
      </c>
    </row>
    <row r="573" ht="33" spans="1:22">
      <c r="A573" s="16">
        <v>4692</v>
      </c>
      <c r="B573" s="16" t="s">
        <v>1101</v>
      </c>
      <c r="C573" s="19">
        <v>7</v>
      </c>
      <c r="D573" s="19">
        <v>5</v>
      </c>
      <c r="E573" s="19">
        <v>12</v>
      </c>
      <c r="F573" s="19">
        <v>4</v>
      </c>
      <c r="G573" s="19">
        <v>5</v>
      </c>
      <c r="H573" s="20">
        <v>1741.59</v>
      </c>
      <c r="I573" s="20">
        <v>1297.95</v>
      </c>
      <c r="J573" s="21">
        <v>3078.71</v>
      </c>
      <c r="K573" s="21">
        <v>1128.96</v>
      </c>
      <c r="L573" s="21">
        <v>1480.05</v>
      </c>
      <c r="M573" s="22">
        <v>0</v>
      </c>
      <c r="N573" s="22">
        <v>0</v>
      </c>
      <c r="O573" s="22">
        <v>0</v>
      </c>
      <c r="P573" s="22">
        <v>0</v>
      </c>
      <c r="Q573" s="22">
        <v>0</v>
      </c>
      <c r="R573" s="17">
        <v>1</v>
      </c>
      <c r="S573" s="17">
        <v>1</v>
      </c>
      <c r="T573" s="17">
        <v>1</v>
      </c>
      <c r="U573" s="17">
        <v>1</v>
      </c>
      <c r="V573" s="23">
        <v>1</v>
      </c>
    </row>
    <row r="574" ht="16.5" spans="1:22">
      <c r="A574" s="16">
        <v>5096</v>
      </c>
      <c r="B574" s="16" t="s">
        <v>1102</v>
      </c>
      <c r="C574" s="19">
        <v>3</v>
      </c>
      <c r="D574" s="19">
        <v>4</v>
      </c>
      <c r="E574" s="19">
        <v>1</v>
      </c>
      <c r="F574" s="19">
        <v>5</v>
      </c>
      <c r="G574" s="19">
        <v>4</v>
      </c>
      <c r="H574" s="20">
        <v>793.32</v>
      </c>
      <c r="I574" s="20">
        <v>1057.76</v>
      </c>
      <c r="J574" s="21">
        <v>264.44</v>
      </c>
      <c r="K574" s="21">
        <v>1510.87</v>
      </c>
      <c r="L574" s="21">
        <v>1258.02</v>
      </c>
      <c r="M574" s="22">
        <v>2</v>
      </c>
      <c r="N574" s="22">
        <v>1</v>
      </c>
      <c r="O574" s="22">
        <v>0</v>
      </c>
      <c r="P574" s="22">
        <v>0</v>
      </c>
      <c r="Q574" s="22">
        <v>0</v>
      </c>
      <c r="R574" s="17">
        <v>0.6</v>
      </c>
      <c r="S574" s="17">
        <v>0.8</v>
      </c>
      <c r="T574" s="17">
        <v>1</v>
      </c>
      <c r="U574" s="17">
        <v>1</v>
      </c>
      <c r="V574" s="23">
        <v>1</v>
      </c>
    </row>
    <row r="575" ht="16.5" spans="1:22">
      <c r="A575" s="16">
        <v>5611</v>
      </c>
      <c r="B575" s="16" t="s">
        <v>1103</v>
      </c>
      <c r="C575" s="19">
        <v>21</v>
      </c>
      <c r="D575" s="19">
        <v>16</v>
      </c>
      <c r="E575" s="19">
        <v>57</v>
      </c>
      <c r="F575" s="19">
        <v>27</v>
      </c>
      <c r="G575" s="19">
        <v>23</v>
      </c>
      <c r="H575" s="20">
        <v>223.19</v>
      </c>
      <c r="I575" s="20">
        <v>161.24</v>
      </c>
      <c r="J575" s="21">
        <v>518.69</v>
      </c>
      <c r="K575" s="21">
        <v>292.73</v>
      </c>
      <c r="L575" s="21">
        <v>276.37</v>
      </c>
      <c r="M575" s="22">
        <v>62</v>
      </c>
      <c r="N575" s="22">
        <v>81</v>
      </c>
      <c r="O575" s="22">
        <v>68</v>
      </c>
      <c r="P575" s="22">
        <v>76</v>
      </c>
      <c r="Q575" s="22">
        <v>90</v>
      </c>
      <c r="R575" s="17">
        <v>0.253012048192771</v>
      </c>
      <c r="S575" s="17">
        <v>0.164948453608247</v>
      </c>
      <c r="T575" s="17">
        <v>0.456</v>
      </c>
      <c r="U575" s="17">
        <v>0.262135922330097</v>
      </c>
      <c r="V575" s="23">
        <v>0.20353982300885</v>
      </c>
    </row>
    <row r="576" ht="16.5" spans="1:22">
      <c r="A576" s="16">
        <v>5125</v>
      </c>
      <c r="B576" s="16" t="s">
        <v>1104</v>
      </c>
      <c r="C576" s="19">
        <v>4</v>
      </c>
      <c r="D576" s="19">
        <v>3</v>
      </c>
      <c r="E576" s="19">
        <v>9</v>
      </c>
      <c r="F576" s="19">
        <v>3</v>
      </c>
      <c r="G576" s="19">
        <v>3</v>
      </c>
      <c r="H576" s="20">
        <v>911.53</v>
      </c>
      <c r="I576" s="20">
        <v>523.98</v>
      </c>
      <c r="J576" s="21">
        <v>1549.55</v>
      </c>
      <c r="K576" s="21">
        <v>551.47</v>
      </c>
      <c r="L576" s="21">
        <v>516.2</v>
      </c>
      <c r="M576" s="22">
        <v>6</v>
      </c>
      <c r="N576" s="22">
        <v>4</v>
      </c>
      <c r="O576" s="22">
        <v>4</v>
      </c>
      <c r="P576" s="22">
        <v>2</v>
      </c>
      <c r="Q576" s="22">
        <v>3</v>
      </c>
      <c r="R576" s="17">
        <v>0.4</v>
      </c>
      <c r="S576" s="17">
        <v>0.428571428571429</v>
      </c>
      <c r="T576" s="17">
        <v>0.692307692307692</v>
      </c>
      <c r="U576" s="17">
        <v>0.6</v>
      </c>
      <c r="V576" s="23">
        <v>0.5</v>
      </c>
    </row>
    <row r="577" ht="33" spans="1:22">
      <c r="A577" s="16">
        <v>6906</v>
      </c>
      <c r="B577" s="16" t="s">
        <v>1105</v>
      </c>
      <c r="C577" s="19">
        <v>19</v>
      </c>
      <c r="D577" s="19">
        <v>11</v>
      </c>
      <c r="E577" s="19">
        <v>13</v>
      </c>
      <c r="F577" s="19">
        <v>10</v>
      </c>
      <c r="G577" s="19">
        <v>6</v>
      </c>
      <c r="H577" s="20">
        <v>5614</v>
      </c>
      <c r="I577" s="20">
        <v>3344.96</v>
      </c>
      <c r="J577" s="21">
        <v>3974.5</v>
      </c>
      <c r="K577" s="21">
        <v>3130.5</v>
      </c>
      <c r="L577" s="21">
        <v>1889.32</v>
      </c>
      <c r="M577" s="22">
        <v>5</v>
      </c>
      <c r="N577" s="22">
        <v>2</v>
      </c>
      <c r="O577" s="22">
        <v>1</v>
      </c>
      <c r="P577" s="22">
        <v>4</v>
      </c>
      <c r="Q577" s="22">
        <v>6</v>
      </c>
      <c r="R577" s="17">
        <v>0.791666666666667</v>
      </c>
      <c r="S577" s="17">
        <v>0.846153846153846</v>
      </c>
      <c r="T577" s="17">
        <v>0.928571428571429</v>
      </c>
      <c r="U577" s="17">
        <v>0.714285714285714</v>
      </c>
      <c r="V577" s="23">
        <v>0.5</v>
      </c>
    </row>
    <row r="578" ht="33" spans="1:22">
      <c r="A578" s="16">
        <v>6907</v>
      </c>
      <c r="B578" s="16" t="s">
        <v>1106</v>
      </c>
      <c r="C578" s="19">
        <v>15</v>
      </c>
      <c r="D578" s="19">
        <v>11</v>
      </c>
      <c r="E578" s="19">
        <v>9</v>
      </c>
      <c r="F578" s="19">
        <v>9</v>
      </c>
      <c r="G578" s="19">
        <v>6</v>
      </c>
      <c r="H578" s="20">
        <v>4646</v>
      </c>
      <c r="I578" s="20">
        <v>3463.5</v>
      </c>
      <c r="J578" s="21">
        <v>2861</v>
      </c>
      <c r="K578" s="21">
        <v>2896.68</v>
      </c>
      <c r="L578" s="21">
        <v>1935.58</v>
      </c>
      <c r="M578" s="22">
        <v>1</v>
      </c>
      <c r="N578" s="22">
        <v>1</v>
      </c>
      <c r="O578" s="22">
        <v>1</v>
      </c>
      <c r="P578" s="22">
        <v>1</v>
      </c>
      <c r="Q578" s="22">
        <v>3</v>
      </c>
      <c r="R578" s="17">
        <v>0.9375</v>
      </c>
      <c r="S578" s="17">
        <v>0.916666666666667</v>
      </c>
      <c r="T578" s="17">
        <v>0.9</v>
      </c>
      <c r="U578" s="17">
        <v>0.9</v>
      </c>
      <c r="V578" s="23">
        <v>0.666666666666667</v>
      </c>
    </row>
    <row r="579" ht="33" spans="1:22">
      <c r="A579" s="16">
        <v>6872</v>
      </c>
      <c r="B579" s="16" t="s">
        <v>1107</v>
      </c>
      <c r="C579" s="19">
        <v>5</v>
      </c>
      <c r="D579" s="19">
        <v>5</v>
      </c>
      <c r="E579" s="19">
        <v>7</v>
      </c>
      <c r="F579" s="19">
        <v>6</v>
      </c>
      <c r="G579" s="19">
        <v>6</v>
      </c>
      <c r="H579" s="20">
        <v>960</v>
      </c>
      <c r="I579" s="20">
        <v>990</v>
      </c>
      <c r="J579" s="21">
        <v>1385.5</v>
      </c>
      <c r="K579" s="21">
        <v>1170.68</v>
      </c>
      <c r="L579" s="21">
        <v>1178.25</v>
      </c>
      <c r="M579" s="22">
        <v>14</v>
      </c>
      <c r="N579" s="22">
        <v>5</v>
      </c>
      <c r="O579" s="22">
        <v>10</v>
      </c>
      <c r="P579" s="22">
        <v>5</v>
      </c>
      <c r="Q579" s="22">
        <v>12</v>
      </c>
      <c r="R579" s="17">
        <v>0.263157894736842</v>
      </c>
      <c r="S579" s="17">
        <v>0.5</v>
      </c>
      <c r="T579" s="17">
        <v>0.411764705882353</v>
      </c>
      <c r="U579" s="17">
        <v>0.545454545454545</v>
      </c>
      <c r="V579" s="23">
        <v>0.333333333333333</v>
      </c>
    </row>
    <row r="580" ht="33" spans="1:22">
      <c r="A580" s="16">
        <v>6873</v>
      </c>
      <c r="B580" s="16" t="s">
        <v>1108</v>
      </c>
      <c r="C580" s="19">
        <v>12</v>
      </c>
      <c r="D580" s="19">
        <v>2</v>
      </c>
      <c r="E580" s="19">
        <v>4</v>
      </c>
      <c r="F580" s="19">
        <v>1</v>
      </c>
      <c r="G580" s="19">
        <v>1</v>
      </c>
      <c r="H580" s="20">
        <v>2251.23</v>
      </c>
      <c r="I580" s="20">
        <v>410</v>
      </c>
      <c r="J580" s="21">
        <v>822</v>
      </c>
      <c r="K580" s="21">
        <v>224.9</v>
      </c>
      <c r="L580" s="21">
        <v>224.9</v>
      </c>
      <c r="M580" s="22">
        <v>10</v>
      </c>
      <c r="N580" s="22">
        <v>9</v>
      </c>
      <c r="O580" s="22">
        <v>16</v>
      </c>
      <c r="P580" s="22">
        <v>17</v>
      </c>
      <c r="Q580" s="22">
        <v>16</v>
      </c>
      <c r="R580" s="17">
        <v>0.545454545454545</v>
      </c>
      <c r="S580" s="17">
        <v>0.181818181818182</v>
      </c>
      <c r="T580" s="17">
        <v>0.2</v>
      </c>
      <c r="U580" s="17">
        <v>0.0555555555555556</v>
      </c>
      <c r="V580" s="23">
        <v>0.0588235294117647</v>
      </c>
    </row>
    <row r="581" ht="33" spans="1:22">
      <c r="A581" s="16">
        <v>6908</v>
      </c>
      <c r="B581" s="16" t="s">
        <v>1109</v>
      </c>
      <c r="C581" s="19">
        <v>5</v>
      </c>
      <c r="D581" s="19">
        <v>4</v>
      </c>
      <c r="E581" s="19">
        <v>5</v>
      </c>
      <c r="F581" s="19">
        <v>6</v>
      </c>
      <c r="G581" s="19">
        <v>3</v>
      </c>
      <c r="H581" s="20">
        <v>915</v>
      </c>
      <c r="I581" s="20">
        <v>760</v>
      </c>
      <c r="J581" s="21">
        <v>950</v>
      </c>
      <c r="K581" s="21">
        <v>1164</v>
      </c>
      <c r="L581" s="21">
        <v>585</v>
      </c>
      <c r="M581" s="22">
        <v>1</v>
      </c>
      <c r="N581" s="22">
        <v>2</v>
      </c>
      <c r="O581" s="22">
        <v>5</v>
      </c>
      <c r="P581" s="22">
        <v>1</v>
      </c>
      <c r="Q581" s="22">
        <v>0</v>
      </c>
      <c r="R581" s="17">
        <v>0.833333333333333</v>
      </c>
      <c r="S581" s="17">
        <v>0.666666666666667</v>
      </c>
      <c r="T581" s="17">
        <v>0.5</v>
      </c>
      <c r="U581" s="17">
        <v>0.857142857142857</v>
      </c>
      <c r="V581" s="23">
        <v>1</v>
      </c>
    </row>
    <row r="582" ht="33" spans="1:22">
      <c r="A582" s="16">
        <v>6909</v>
      </c>
      <c r="B582" s="16" t="s">
        <v>1110</v>
      </c>
      <c r="C582" s="19">
        <v>2</v>
      </c>
      <c r="D582" s="19">
        <v>4</v>
      </c>
      <c r="E582" s="19">
        <v>8</v>
      </c>
      <c r="F582" s="19">
        <v>5</v>
      </c>
      <c r="G582" s="19">
        <v>3</v>
      </c>
      <c r="H582" s="20">
        <v>393.09</v>
      </c>
      <c r="I582" s="20">
        <v>743.96</v>
      </c>
      <c r="J582" s="21">
        <v>1487.92</v>
      </c>
      <c r="K582" s="21">
        <v>932.45</v>
      </c>
      <c r="L582" s="21">
        <v>557.97</v>
      </c>
      <c r="M582" s="22">
        <v>5</v>
      </c>
      <c r="N582" s="22">
        <v>8</v>
      </c>
      <c r="O582" s="22">
        <v>6</v>
      </c>
      <c r="P582" s="22">
        <v>7</v>
      </c>
      <c r="Q582" s="22">
        <v>2</v>
      </c>
      <c r="R582" s="17">
        <v>0.285714285714286</v>
      </c>
      <c r="S582" s="17">
        <v>0.333333333333333</v>
      </c>
      <c r="T582" s="17">
        <v>0.571428571428571</v>
      </c>
      <c r="U582" s="17">
        <v>0.416666666666667</v>
      </c>
      <c r="V582" s="23">
        <v>0.6</v>
      </c>
    </row>
    <row r="583" ht="33" spans="1:22">
      <c r="A583" s="16">
        <v>6910</v>
      </c>
      <c r="B583" s="16" t="s">
        <v>1111</v>
      </c>
      <c r="C583" s="19">
        <v>82</v>
      </c>
      <c r="D583" s="19">
        <v>1</v>
      </c>
      <c r="E583" s="19">
        <v>1</v>
      </c>
      <c r="F583" s="19">
        <v>38</v>
      </c>
      <c r="G583" s="19">
        <v>12</v>
      </c>
      <c r="H583" s="20">
        <v>18755</v>
      </c>
      <c r="I583" s="20">
        <v>240</v>
      </c>
      <c r="J583" s="21">
        <v>245.59</v>
      </c>
      <c r="K583" s="21">
        <v>9692.21</v>
      </c>
      <c r="L583" s="21">
        <v>3053.53</v>
      </c>
      <c r="M583" s="22">
        <v>33</v>
      </c>
      <c r="N583" s="22">
        <v>34</v>
      </c>
      <c r="O583" s="22">
        <v>34</v>
      </c>
      <c r="P583" s="22">
        <v>42</v>
      </c>
      <c r="Q583" s="22">
        <v>37</v>
      </c>
      <c r="R583" s="17">
        <v>0.71304347826087</v>
      </c>
      <c r="S583" s="17">
        <v>0.0285714285714286</v>
      </c>
      <c r="T583" s="17">
        <v>0.0285714285714286</v>
      </c>
      <c r="U583" s="17">
        <v>0.475</v>
      </c>
      <c r="V583" s="23">
        <v>0.244897959183673</v>
      </c>
    </row>
    <row r="584" ht="33" spans="1:22">
      <c r="A584" s="16">
        <v>6911</v>
      </c>
      <c r="B584" s="16" t="s">
        <v>1112</v>
      </c>
      <c r="C584" s="19">
        <v>49</v>
      </c>
      <c r="D584" s="19">
        <v>4</v>
      </c>
      <c r="E584" s="19">
        <v>65</v>
      </c>
      <c r="F584" s="19">
        <v>18</v>
      </c>
      <c r="G584" s="19">
        <v>0</v>
      </c>
      <c r="H584" s="20">
        <v>11858</v>
      </c>
      <c r="I584" s="20">
        <v>1040</v>
      </c>
      <c r="J584" s="21">
        <v>17412.01</v>
      </c>
      <c r="K584" s="21">
        <v>5050.5</v>
      </c>
      <c r="L584" s="21">
        <v>0</v>
      </c>
      <c r="M584" s="22">
        <v>24</v>
      </c>
      <c r="N584" s="22">
        <v>17</v>
      </c>
      <c r="O584" s="22">
        <v>31</v>
      </c>
      <c r="P584" s="22">
        <v>43</v>
      </c>
      <c r="Q584" s="22">
        <v>25</v>
      </c>
      <c r="R584" s="17">
        <v>0.671232876712329</v>
      </c>
      <c r="S584" s="17">
        <v>0.19047619047619</v>
      </c>
      <c r="T584" s="17">
        <v>0.677083333333333</v>
      </c>
      <c r="U584" s="17">
        <v>0.295081967213115</v>
      </c>
      <c r="V584" s="23">
        <v>0</v>
      </c>
    </row>
    <row r="585" ht="33" spans="1:22">
      <c r="A585" s="16">
        <v>6912</v>
      </c>
      <c r="B585" s="16" t="s">
        <v>1113</v>
      </c>
      <c r="C585" s="19">
        <v>10</v>
      </c>
      <c r="D585" s="19">
        <v>2</v>
      </c>
      <c r="E585" s="19">
        <v>23</v>
      </c>
      <c r="F585" s="19">
        <v>21</v>
      </c>
      <c r="G585" s="19">
        <v>13</v>
      </c>
      <c r="H585" s="20">
        <v>2215</v>
      </c>
      <c r="I585" s="20">
        <v>411.98</v>
      </c>
      <c r="J585" s="21">
        <v>4781.88</v>
      </c>
      <c r="K585" s="21">
        <v>4407.5</v>
      </c>
      <c r="L585" s="21">
        <v>2707.5</v>
      </c>
      <c r="M585" s="22">
        <v>10</v>
      </c>
      <c r="N585" s="22">
        <v>15</v>
      </c>
      <c r="O585" s="22">
        <v>13</v>
      </c>
      <c r="P585" s="22">
        <v>3</v>
      </c>
      <c r="Q585" s="22">
        <v>9</v>
      </c>
      <c r="R585" s="17">
        <v>0.5</v>
      </c>
      <c r="S585" s="17">
        <v>0.117647058823529</v>
      </c>
      <c r="T585" s="17">
        <v>0.638888888888889</v>
      </c>
      <c r="U585" s="17">
        <v>0.875</v>
      </c>
      <c r="V585" s="23">
        <v>0.590909090909091</v>
      </c>
    </row>
    <row r="586" ht="33" spans="1:22">
      <c r="A586" s="16">
        <v>6913</v>
      </c>
      <c r="B586" s="16" t="s">
        <v>1114</v>
      </c>
      <c r="C586" s="19">
        <v>5</v>
      </c>
      <c r="D586" s="19">
        <v>5</v>
      </c>
      <c r="E586" s="19">
        <v>15</v>
      </c>
      <c r="F586" s="19">
        <v>15</v>
      </c>
      <c r="G586" s="19">
        <v>13</v>
      </c>
      <c r="H586" s="20">
        <v>1102.5</v>
      </c>
      <c r="I586" s="20">
        <v>1122.5</v>
      </c>
      <c r="J586" s="21">
        <v>3366.5</v>
      </c>
      <c r="K586" s="21">
        <v>3230.5</v>
      </c>
      <c r="L586" s="21">
        <v>2639.6</v>
      </c>
      <c r="M586" s="22">
        <v>15</v>
      </c>
      <c r="N586" s="22">
        <v>20</v>
      </c>
      <c r="O586" s="22">
        <v>21</v>
      </c>
      <c r="P586" s="22">
        <v>9</v>
      </c>
      <c r="Q586" s="22">
        <v>8</v>
      </c>
      <c r="R586" s="17">
        <v>0.25</v>
      </c>
      <c r="S586" s="17">
        <v>0.2</v>
      </c>
      <c r="T586" s="17">
        <v>0.416666666666667</v>
      </c>
      <c r="U586" s="17">
        <v>0.625</v>
      </c>
      <c r="V586" s="23">
        <v>0.619047619047619</v>
      </c>
    </row>
    <row r="587" ht="33" spans="1:22">
      <c r="A587" s="16">
        <v>6914</v>
      </c>
      <c r="B587" s="16" t="s">
        <v>1115</v>
      </c>
      <c r="C587" s="19">
        <v>10</v>
      </c>
      <c r="D587" s="19">
        <v>9</v>
      </c>
      <c r="E587" s="19">
        <v>21</v>
      </c>
      <c r="F587" s="19">
        <v>27</v>
      </c>
      <c r="G587" s="19">
        <v>23</v>
      </c>
      <c r="H587" s="20">
        <v>3040</v>
      </c>
      <c r="I587" s="20">
        <v>2756</v>
      </c>
      <c r="J587" s="21">
        <v>6427</v>
      </c>
      <c r="K587" s="21">
        <v>7424.87</v>
      </c>
      <c r="L587" s="21">
        <v>6126.4</v>
      </c>
      <c r="M587" s="22">
        <v>28</v>
      </c>
      <c r="N587" s="22">
        <v>25</v>
      </c>
      <c r="O587" s="22">
        <v>33</v>
      </c>
      <c r="P587" s="22">
        <v>19</v>
      </c>
      <c r="Q587" s="22">
        <v>31</v>
      </c>
      <c r="R587" s="17">
        <v>0.263157894736842</v>
      </c>
      <c r="S587" s="17">
        <v>0.264705882352941</v>
      </c>
      <c r="T587" s="17">
        <v>0.388888888888889</v>
      </c>
      <c r="U587" s="17">
        <v>0.58695652173913</v>
      </c>
      <c r="V587" s="23">
        <v>0.425925925925926</v>
      </c>
    </row>
    <row r="588" ht="33" spans="1:22">
      <c r="A588" s="16">
        <v>6915</v>
      </c>
      <c r="B588" s="16" t="s">
        <v>1116</v>
      </c>
      <c r="C588" s="19">
        <v>14</v>
      </c>
      <c r="D588" s="19">
        <v>9</v>
      </c>
      <c r="E588" s="19">
        <v>14</v>
      </c>
      <c r="F588" s="19">
        <v>8</v>
      </c>
      <c r="G588" s="19">
        <v>3</v>
      </c>
      <c r="H588" s="20">
        <v>4170.34</v>
      </c>
      <c r="I588" s="20">
        <v>2724</v>
      </c>
      <c r="J588" s="21">
        <v>4283</v>
      </c>
      <c r="K588" s="21">
        <v>2578.3</v>
      </c>
      <c r="L588" s="21">
        <v>953.44</v>
      </c>
      <c r="M588" s="22">
        <v>9</v>
      </c>
      <c r="N588" s="22">
        <v>30</v>
      </c>
      <c r="O588" s="22">
        <v>17</v>
      </c>
      <c r="P588" s="22">
        <v>34</v>
      </c>
      <c r="Q588" s="22">
        <v>42</v>
      </c>
      <c r="R588" s="17">
        <v>0.608695652173913</v>
      </c>
      <c r="S588" s="17">
        <v>0.230769230769231</v>
      </c>
      <c r="T588" s="17">
        <v>0.451612903225806</v>
      </c>
      <c r="U588" s="17">
        <v>0.19047619047619</v>
      </c>
      <c r="V588" s="23">
        <v>0.0666666666666667</v>
      </c>
    </row>
    <row r="589" ht="33" spans="1:22">
      <c r="A589" s="16">
        <v>7189</v>
      </c>
      <c r="B589" s="16" t="s">
        <v>1117</v>
      </c>
      <c r="C589" s="19">
        <v>8</v>
      </c>
      <c r="D589" s="19">
        <v>7</v>
      </c>
      <c r="E589" s="19">
        <v>11</v>
      </c>
      <c r="F589" s="19">
        <v>11</v>
      </c>
      <c r="G589" s="19">
        <v>3</v>
      </c>
      <c r="H589" s="20">
        <v>1872.8</v>
      </c>
      <c r="I589" s="20">
        <v>1659</v>
      </c>
      <c r="J589" s="21">
        <v>2647.5</v>
      </c>
      <c r="K589" s="21">
        <v>2756.23</v>
      </c>
      <c r="L589" s="21">
        <v>741.08</v>
      </c>
      <c r="M589" s="22">
        <v>9</v>
      </c>
      <c r="N589" s="22">
        <v>14</v>
      </c>
      <c r="O589" s="22">
        <v>16</v>
      </c>
      <c r="P589" s="22">
        <v>12</v>
      </c>
      <c r="Q589" s="22">
        <v>23</v>
      </c>
      <c r="R589" s="17">
        <v>0.470588235294118</v>
      </c>
      <c r="S589" s="17">
        <v>0.333333333333333</v>
      </c>
      <c r="T589" s="17">
        <v>0.407407407407407</v>
      </c>
      <c r="U589" s="17">
        <v>0.478260869565217</v>
      </c>
      <c r="V589" s="23">
        <v>0.115384615384615</v>
      </c>
    </row>
    <row r="590" ht="33" spans="1:22">
      <c r="A590" s="16">
        <v>7190</v>
      </c>
      <c r="B590" s="16" t="s">
        <v>1118</v>
      </c>
      <c r="C590" s="19">
        <v>2</v>
      </c>
      <c r="D590" s="19">
        <v>1</v>
      </c>
      <c r="E590" s="19">
        <v>0</v>
      </c>
      <c r="F590" s="19">
        <v>0</v>
      </c>
      <c r="G590" s="19">
        <v>2</v>
      </c>
      <c r="H590" s="20">
        <v>468</v>
      </c>
      <c r="I590" s="20">
        <v>238</v>
      </c>
      <c r="J590" s="21">
        <v>0</v>
      </c>
      <c r="K590" s="21">
        <v>0</v>
      </c>
      <c r="L590" s="21">
        <v>474.32</v>
      </c>
      <c r="M590" s="22">
        <v>18</v>
      </c>
      <c r="N590" s="22">
        <v>31</v>
      </c>
      <c r="O590" s="22">
        <v>30</v>
      </c>
      <c r="P590" s="22">
        <v>23</v>
      </c>
      <c r="Q590" s="22">
        <v>24</v>
      </c>
      <c r="R590" s="17">
        <v>0.1</v>
      </c>
      <c r="S590" s="17">
        <v>0.03125</v>
      </c>
      <c r="T590" s="17">
        <v>0</v>
      </c>
      <c r="U590" s="17">
        <v>0</v>
      </c>
      <c r="V590" s="23">
        <v>0.0769230769230769</v>
      </c>
    </row>
    <row r="591" ht="33" spans="1:22">
      <c r="A591" s="16">
        <v>7314</v>
      </c>
      <c r="B591" s="16" t="s">
        <v>1119</v>
      </c>
      <c r="C591" s="19">
        <v>1</v>
      </c>
      <c r="D591" s="19">
        <v>3</v>
      </c>
      <c r="E591" s="19">
        <v>8</v>
      </c>
      <c r="F591" s="19">
        <v>5</v>
      </c>
      <c r="G591" s="19">
        <v>4</v>
      </c>
      <c r="H591" s="20">
        <v>300</v>
      </c>
      <c r="I591" s="20">
        <v>757.92</v>
      </c>
      <c r="J591" s="21">
        <v>1660.98</v>
      </c>
      <c r="K591" s="21">
        <v>1097.6</v>
      </c>
      <c r="L591" s="21">
        <v>893.98</v>
      </c>
      <c r="M591" s="22">
        <v>4</v>
      </c>
      <c r="N591" s="22">
        <v>3</v>
      </c>
      <c r="O591" s="22">
        <v>3</v>
      </c>
      <c r="P591" s="22">
        <v>8</v>
      </c>
      <c r="Q591" s="22">
        <v>9</v>
      </c>
      <c r="R591" s="17">
        <v>0.2</v>
      </c>
      <c r="S591" s="17">
        <v>0.5</v>
      </c>
      <c r="T591" s="17">
        <v>0.727272727272727</v>
      </c>
      <c r="U591" s="17">
        <v>0.384615384615385</v>
      </c>
      <c r="V591" s="23">
        <v>0.307692307692308</v>
      </c>
    </row>
    <row r="592" ht="33" spans="1:22">
      <c r="A592" s="16">
        <v>7315</v>
      </c>
      <c r="B592" s="16" t="s">
        <v>1120</v>
      </c>
      <c r="C592" s="19">
        <v>14</v>
      </c>
      <c r="D592" s="19">
        <v>12</v>
      </c>
      <c r="E592" s="19">
        <v>7</v>
      </c>
      <c r="F592" s="19">
        <v>1</v>
      </c>
      <c r="G592" s="19">
        <v>7</v>
      </c>
      <c r="H592" s="20">
        <v>3208</v>
      </c>
      <c r="I592" s="20">
        <v>2801.4</v>
      </c>
      <c r="J592" s="21">
        <v>1686.2</v>
      </c>
      <c r="K592" s="21">
        <v>235.5</v>
      </c>
      <c r="L592" s="21">
        <v>1642.79</v>
      </c>
      <c r="M592" s="22">
        <v>3</v>
      </c>
      <c r="N592" s="22">
        <v>1</v>
      </c>
      <c r="O592" s="22">
        <v>4</v>
      </c>
      <c r="P592" s="22">
        <v>5</v>
      </c>
      <c r="Q592" s="22">
        <v>1</v>
      </c>
      <c r="R592" s="17">
        <v>0.823529411764706</v>
      </c>
      <c r="S592" s="17">
        <v>0.923076923076923</v>
      </c>
      <c r="T592" s="17">
        <v>0.636363636363636</v>
      </c>
      <c r="U592" s="17">
        <v>0.166666666666667</v>
      </c>
      <c r="V592" s="23">
        <v>0.875</v>
      </c>
    </row>
    <row r="593" ht="33" spans="1:22">
      <c r="A593" s="16">
        <v>7248</v>
      </c>
      <c r="B593" s="16" t="s">
        <v>1121</v>
      </c>
      <c r="C593" s="19">
        <v>17</v>
      </c>
      <c r="D593" s="19">
        <v>16</v>
      </c>
      <c r="E593" s="19">
        <v>24</v>
      </c>
      <c r="F593" s="19">
        <v>1</v>
      </c>
      <c r="G593" s="19">
        <v>17</v>
      </c>
      <c r="H593" s="20">
        <v>1509.62</v>
      </c>
      <c r="I593" s="20">
        <v>1470.98</v>
      </c>
      <c r="J593" s="21">
        <v>2248.2</v>
      </c>
      <c r="K593" s="21">
        <v>101.75</v>
      </c>
      <c r="L593" s="21">
        <v>1513</v>
      </c>
      <c r="M593" s="22">
        <v>0</v>
      </c>
      <c r="N593" s="22">
        <v>16</v>
      </c>
      <c r="O593" s="22">
        <v>22</v>
      </c>
      <c r="P593" s="22">
        <v>42</v>
      </c>
      <c r="Q593" s="22">
        <v>26</v>
      </c>
      <c r="R593" s="17">
        <v>1</v>
      </c>
      <c r="S593" s="17">
        <v>0.5</v>
      </c>
      <c r="T593" s="17">
        <v>0.521739130434783</v>
      </c>
      <c r="U593" s="17">
        <v>0.0232558139534884</v>
      </c>
      <c r="V593" s="23">
        <v>0.395348837209302</v>
      </c>
    </row>
    <row r="594" ht="33" spans="1:22">
      <c r="A594" s="16">
        <v>7316</v>
      </c>
      <c r="B594" s="16" t="s">
        <v>1122</v>
      </c>
      <c r="C594" s="19">
        <v>7</v>
      </c>
      <c r="D594" s="19">
        <v>8</v>
      </c>
      <c r="E594" s="19">
        <v>9</v>
      </c>
      <c r="F594" s="19">
        <v>4</v>
      </c>
      <c r="G594" s="19">
        <v>8</v>
      </c>
      <c r="H594" s="20">
        <v>719.5</v>
      </c>
      <c r="I594" s="20">
        <v>852</v>
      </c>
      <c r="J594" s="21">
        <v>958</v>
      </c>
      <c r="K594" s="21">
        <v>378</v>
      </c>
      <c r="L594" s="21">
        <v>811</v>
      </c>
      <c r="M594" s="22">
        <v>6</v>
      </c>
      <c r="N594" s="22">
        <v>2</v>
      </c>
      <c r="O594" s="22">
        <v>7</v>
      </c>
      <c r="P594" s="22">
        <v>6</v>
      </c>
      <c r="Q594" s="22">
        <v>6</v>
      </c>
      <c r="R594" s="17">
        <v>0.538461538461538</v>
      </c>
      <c r="S594" s="17">
        <v>0.8</v>
      </c>
      <c r="T594" s="17">
        <v>0.5625</v>
      </c>
      <c r="U594" s="17">
        <v>0.4</v>
      </c>
      <c r="V594" s="23">
        <v>0.571428571428571</v>
      </c>
    </row>
    <row r="595" ht="33" spans="1:22">
      <c r="A595" s="16">
        <v>7317</v>
      </c>
      <c r="B595" s="16" t="s">
        <v>1123</v>
      </c>
      <c r="C595" s="19">
        <v>14</v>
      </c>
      <c r="D595" s="19">
        <v>14</v>
      </c>
      <c r="E595" s="19">
        <v>3</v>
      </c>
      <c r="F595" s="19">
        <v>0</v>
      </c>
      <c r="G595" s="19">
        <v>2</v>
      </c>
      <c r="H595" s="20">
        <v>1325.45</v>
      </c>
      <c r="I595" s="20">
        <v>1358</v>
      </c>
      <c r="J595" s="21">
        <v>291</v>
      </c>
      <c r="K595" s="21">
        <v>0</v>
      </c>
      <c r="L595" s="21">
        <v>194</v>
      </c>
      <c r="M595" s="22">
        <v>0</v>
      </c>
      <c r="N595" s="22">
        <v>0</v>
      </c>
      <c r="O595" s="22">
        <v>3</v>
      </c>
      <c r="P595" s="22">
        <v>5</v>
      </c>
      <c r="Q595" s="22">
        <v>6</v>
      </c>
      <c r="R595" s="17">
        <v>1</v>
      </c>
      <c r="S595" s="17">
        <v>1</v>
      </c>
      <c r="T595" s="17">
        <v>0.5</v>
      </c>
      <c r="U595" s="17">
        <v>0</v>
      </c>
      <c r="V595" s="23">
        <v>0.25</v>
      </c>
    </row>
    <row r="596" ht="33" spans="1:22">
      <c r="A596" s="16">
        <v>7249</v>
      </c>
      <c r="B596" s="16" t="s">
        <v>1124</v>
      </c>
      <c r="C596" s="19">
        <v>51</v>
      </c>
      <c r="D596" s="19">
        <v>60</v>
      </c>
      <c r="E596" s="19">
        <v>99</v>
      </c>
      <c r="F596" s="19">
        <v>71</v>
      </c>
      <c r="G596" s="19">
        <v>53</v>
      </c>
      <c r="H596" s="20">
        <v>4906.76</v>
      </c>
      <c r="I596" s="20">
        <v>5879.39999999999</v>
      </c>
      <c r="J596" s="21">
        <v>10154.62</v>
      </c>
      <c r="K596" s="21">
        <v>7631</v>
      </c>
      <c r="L596" s="21">
        <v>5751.88</v>
      </c>
      <c r="M596" s="22">
        <v>23</v>
      </c>
      <c r="N596" s="22">
        <v>23</v>
      </c>
      <c r="O596" s="22">
        <v>23</v>
      </c>
      <c r="P596" s="22">
        <v>11</v>
      </c>
      <c r="Q596" s="22">
        <v>19</v>
      </c>
      <c r="R596" s="17">
        <v>0.689189189189189</v>
      </c>
      <c r="S596" s="17">
        <v>0.72289156626506</v>
      </c>
      <c r="T596" s="17">
        <v>0.811475409836066</v>
      </c>
      <c r="U596" s="17">
        <v>0.865853658536585</v>
      </c>
      <c r="V596" s="23">
        <v>0.736111111111111</v>
      </c>
    </row>
    <row r="597" ht="33" spans="1:22">
      <c r="A597" s="16">
        <v>7250</v>
      </c>
      <c r="B597" s="16" t="s">
        <v>1125</v>
      </c>
      <c r="C597" s="19">
        <v>82</v>
      </c>
      <c r="D597" s="19">
        <v>71</v>
      </c>
      <c r="E597" s="19">
        <v>115</v>
      </c>
      <c r="F597" s="19">
        <v>52</v>
      </c>
      <c r="G597" s="19">
        <v>51</v>
      </c>
      <c r="H597" s="20">
        <v>7826.97999999999</v>
      </c>
      <c r="I597" s="20">
        <v>7061.9</v>
      </c>
      <c r="J597" s="21">
        <v>11728.42</v>
      </c>
      <c r="K597" s="21">
        <v>5513</v>
      </c>
      <c r="L597" s="21">
        <v>5377</v>
      </c>
      <c r="M597" s="22">
        <v>20</v>
      </c>
      <c r="N597" s="22">
        <v>9</v>
      </c>
      <c r="O597" s="22">
        <v>16</v>
      </c>
      <c r="P597" s="22">
        <v>25</v>
      </c>
      <c r="Q597" s="22">
        <v>21</v>
      </c>
      <c r="R597" s="17">
        <v>0.803921568627451</v>
      </c>
      <c r="S597" s="17">
        <v>0.8875</v>
      </c>
      <c r="T597" s="17">
        <v>0.877862595419847</v>
      </c>
      <c r="U597" s="17">
        <v>0.675324675324675</v>
      </c>
      <c r="V597" s="23">
        <v>0.708333333333333</v>
      </c>
    </row>
    <row r="598" ht="33" spans="1:22">
      <c r="A598" s="16">
        <v>7318</v>
      </c>
      <c r="B598" s="16" t="s">
        <v>1126</v>
      </c>
      <c r="C598" s="19">
        <v>14</v>
      </c>
      <c r="D598" s="19">
        <v>10</v>
      </c>
      <c r="E598" s="19">
        <v>16</v>
      </c>
      <c r="F598" s="19">
        <v>19</v>
      </c>
      <c r="G598" s="19">
        <v>15</v>
      </c>
      <c r="H598" s="20">
        <v>2682.98</v>
      </c>
      <c r="I598" s="20">
        <v>2004.47</v>
      </c>
      <c r="J598" s="21">
        <v>3035.16</v>
      </c>
      <c r="K598" s="21">
        <v>3673.06</v>
      </c>
      <c r="L598" s="21">
        <v>2749.1</v>
      </c>
      <c r="M598" s="22">
        <v>7</v>
      </c>
      <c r="N598" s="22">
        <v>11</v>
      </c>
      <c r="O598" s="22">
        <v>6</v>
      </c>
      <c r="P598" s="22">
        <v>5</v>
      </c>
      <c r="Q598" s="22">
        <v>4</v>
      </c>
      <c r="R598" s="17">
        <v>0.666666666666667</v>
      </c>
      <c r="S598" s="17">
        <v>0.476190476190476</v>
      </c>
      <c r="T598" s="17">
        <v>0.727272727272727</v>
      </c>
      <c r="U598" s="17">
        <v>0.791666666666667</v>
      </c>
      <c r="V598" s="23">
        <v>0.789473684210526</v>
      </c>
    </row>
    <row r="599" ht="33" spans="1:22">
      <c r="A599" s="16">
        <v>7319</v>
      </c>
      <c r="B599" s="16" t="s">
        <v>1127</v>
      </c>
      <c r="C599" s="19">
        <v>9</v>
      </c>
      <c r="D599" s="19">
        <v>10</v>
      </c>
      <c r="E599" s="19">
        <v>11</v>
      </c>
      <c r="F599" s="19">
        <v>5</v>
      </c>
      <c r="G599" s="19">
        <v>2</v>
      </c>
      <c r="H599" s="20">
        <v>1681.1</v>
      </c>
      <c r="I599" s="20">
        <v>1878.5</v>
      </c>
      <c r="J599" s="21">
        <v>2114.75</v>
      </c>
      <c r="K599" s="21">
        <v>1053.64</v>
      </c>
      <c r="L599" s="21">
        <v>426.9</v>
      </c>
      <c r="M599" s="22">
        <v>10</v>
      </c>
      <c r="N599" s="22">
        <v>7</v>
      </c>
      <c r="O599" s="22">
        <v>7</v>
      </c>
      <c r="P599" s="22">
        <v>14</v>
      </c>
      <c r="Q599" s="22">
        <v>4</v>
      </c>
      <c r="R599" s="17">
        <v>0.473684210526316</v>
      </c>
      <c r="S599" s="17">
        <v>0.588235294117647</v>
      </c>
      <c r="T599" s="17">
        <v>0.611111111111111</v>
      </c>
      <c r="U599" s="17">
        <v>0.263157894736842</v>
      </c>
      <c r="V599" s="23">
        <v>0.333333333333333</v>
      </c>
    </row>
    <row r="600" ht="33" spans="1:22">
      <c r="A600" s="16">
        <v>7348</v>
      </c>
      <c r="B600" s="16" t="s">
        <v>1128</v>
      </c>
      <c r="C600" s="19">
        <v>1</v>
      </c>
      <c r="D600" s="19">
        <v>0</v>
      </c>
      <c r="E600" s="19">
        <v>0</v>
      </c>
      <c r="F600" s="19">
        <v>0</v>
      </c>
      <c r="G600" s="19">
        <v>0</v>
      </c>
      <c r="H600" s="20">
        <v>155</v>
      </c>
      <c r="I600" s="20">
        <v>0</v>
      </c>
      <c r="J600" s="21">
        <v>0</v>
      </c>
      <c r="K600" s="21">
        <v>0</v>
      </c>
      <c r="L600" s="21">
        <v>0</v>
      </c>
      <c r="M600" s="22">
        <v>15</v>
      </c>
      <c r="N600" s="22">
        <v>13</v>
      </c>
      <c r="O600" s="22">
        <v>23</v>
      </c>
      <c r="P600" s="22">
        <v>20</v>
      </c>
      <c r="Q600" s="22">
        <v>6</v>
      </c>
      <c r="R600" s="17">
        <v>0.0625</v>
      </c>
      <c r="S600" s="17">
        <v>0</v>
      </c>
      <c r="T600" s="17">
        <v>0</v>
      </c>
      <c r="U600" s="17">
        <v>0</v>
      </c>
      <c r="V600" s="23">
        <v>0</v>
      </c>
    </row>
    <row r="601" ht="33" spans="1:22">
      <c r="A601" s="16">
        <v>7349</v>
      </c>
      <c r="B601" s="16" t="s">
        <v>1129</v>
      </c>
      <c r="C601" s="19">
        <v>5</v>
      </c>
      <c r="D601" s="19">
        <v>4</v>
      </c>
      <c r="E601" s="19">
        <v>1</v>
      </c>
      <c r="F601" s="19">
        <v>0</v>
      </c>
      <c r="G601" s="19">
        <v>1</v>
      </c>
      <c r="H601" s="20">
        <v>773.68</v>
      </c>
      <c r="I601" s="20">
        <v>639.36</v>
      </c>
      <c r="J601" s="21">
        <v>158</v>
      </c>
      <c r="K601" s="21">
        <v>0</v>
      </c>
      <c r="L601" s="21">
        <v>189.7</v>
      </c>
      <c r="M601" s="22">
        <v>9</v>
      </c>
      <c r="N601" s="22">
        <v>11</v>
      </c>
      <c r="O601" s="22">
        <v>9</v>
      </c>
      <c r="P601" s="22">
        <v>15</v>
      </c>
      <c r="Q601" s="22">
        <v>10</v>
      </c>
      <c r="R601" s="17">
        <v>0.357142857142857</v>
      </c>
      <c r="S601" s="17">
        <v>0.266666666666667</v>
      </c>
      <c r="T601" s="17">
        <v>0.1</v>
      </c>
      <c r="U601" s="17">
        <v>0</v>
      </c>
      <c r="V601" s="23">
        <v>0.0909090909090909</v>
      </c>
    </row>
    <row r="602" ht="33" spans="1:22">
      <c r="A602" s="16">
        <v>7193</v>
      </c>
      <c r="B602" s="16" t="s">
        <v>1130</v>
      </c>
      <c r="C602" s="19">
        <v>17</v>
      </c>
      <c r="D602" s="19">
        <v>13</v>
      </c>
      <c r="E602" s="19">
        <v>15</v>
      </c>
      <c r="F602" s="19">
        <v>0</v>
      </c>
      <c r="G602" s="19">
        <v>0</v>
      </c>
      <c r="H602" s="20">
        <v>2798.26</v>
      </c>
      <c r="I602" s="20">
        <v>2204.89</v>
      </c>
      <c r="J602" s="21">
        <v>2562</v>
      </c>
      <c r="K602" s="21">
        <v>0</v>
      </c>
      <c r="L602" s="21">
        <v>0</v>
      </c>
      <c r="M602" s="22">
        <v>15</v>
      </c>
      <c r="N602" s="22">
        <v>17</v>
      </c>
      <c r="O602" s="22">
        <v>11</v>
      </c>
      <c r="P602" s="22">
        <v>7</v>
      </c>
      <c r="Q602" s="22">
        <v>27</v>
      </c>
      <c r="R602" s="17">
        <v>0.53125</v>
      </c>
      <c r="S602" s="17">
        <v>0.433333333333333</v>
      </c>
      <c r="T602" s="17">
        <v>0.576923076923077</v>
      </c>
      <c r="U602" s="17">
        <v>0</v>
      </c>
      <c r="V602" s="23">
        <v>0</v>
      </c>
    </row>
    <row r="603" ht="33" spans="1:22">
      <c r="A603" s="16">
        <v>7194</v>
      </c>
      <c r="B603" s="16" t="s">
        <v>1131</v>
      </c>
      <c r="C603" s="19">
        <v>6</v>
      </c>
      <c r="D603" s="19">
        <v>4</v>
      </c>
      <c r="E603" s="19">
        <v>14</v>
      </c>
      <c r="F603" s="19">
        <v>3</v>
      </c>
      <c r="G603" s="19">
        <v>13</v>
      </c>
      <c r="H603" s="20">
        <v>1039</v>
      </c>
      <c r="I603" s="20">
        <v>704</v>
      </c>
      <c r="J603" s="21">
        <v>2464</v>
      </c>
      <c r="K603" s="21">
        <v>527.5</v>
      </c>
      <c r="L603" s="21">
        <v>2198.93</v>
      </c>
      <c r="M603" s="22">
        <v>25</v>
      </c>
      <c r="N603" s="22">
        <v>21</v>
      </c>
      <c r="O603" s="22">
        <v>16</v>
      </c>
      <c r="P603" s="22">
        <v>27</v>
      </c>
      <c r="Q603" s="22">
        <v>12</v>
      </c>
      <c r="R603" s="17">
        <v>0.193548387096774</v>
      </c>
      <c r="S603" s="17">
        <v>0.16</v>
      </c>
      <c r="T603" s="17">
        <v>0.466666666666667</v>
      </c>
      <c r="U603" s="17">
        <v>0.1</v>
      </c>
      <c r="V603" s="23">
        <v>0.52</v>
      </c>
    </row>
    <row r="604" ht="33" spans="1:22">
      <c r="A604" s="16">
        <v>7421</v>
      </c>
      <c r="B604" s="16" t="s">
        <v>1132</v>
      </c>
      <c r="C604" s="19">
        <v>11</v>
      </c>
      <c r="D604" s="19">
        <v>9</v>
      </c>
      <c r="E604" s="19">
        <v>3</v>
      </c>
      <c r="F604" s="19">
        <v>0</v>
      </c>
      <c r="G604" s="19">
        <v>1</v>
      </c>
      <c r="H604" s="20">
        <v>1572</v>
      </c>
      <c r="I604" s="20">
        <v>1323</v>
      </c>
      <c r="J604" s="21">
        <v>451</v>
      </c>
      <c r="K604" s="21">
        <v>0</v>
      </c>
      <c r="L604" s="21">
        <v>199</v>
      </c>
      <c r="M604" s="22">
        <v>24</v>
      </c>
      <c r="N604" s="22">
        <v>31</v>
      </c>
      <c r="O604" s="22">
        <v>42</v>
      </c>
      <c r="P604" s="22">
        <v>28</v>
      </c>
      <c r="Q604" s="22">
        <v>43</v>
      </c>
      <c r="R604" s="17">
        <v>0.314285714285714</v>
      </c>
      <c r="S604" s="17">
        <v>0.225</v>
      </c>
      <c r="T604" s="17">
        <v>0.0666666666666667</v>
      </c>
      <c r="U604" s="17">
        <v>0</v>
      </c>
      <c r="V604" s="23">
        <v>0.0227272727272727</v>
      </c>
    </row>
    <row r="605" ht="33" spans="1:22">
      <c r="A605" s="16">
        <v>7422</v>
      </c>
      <c r="B605" s="16" t="s">
        <v>1133</v>
      </c>
      <c r="C605" s="19">
        <v>16</v>
      </c>
      <c r="D605" s="19">
        <v>15</v>
      </c>
      <c r="E605" s="19">
        <v>6</v>
      </c>
      <c r="F605" s="19">
        <v>0</v>
      </c>
      <c r="G605" s="19">
        <v>0</v>
      </c>
      <c r="H605" s="20">
        <v>2118</v>
      </c>
      <c r="I605" s="20">
        <v>2070</v>
      </c>
      <c r="J605" s="21">
        <v>948.5</v>
      </c>
      <c r="K605" s="21">
        <v>0</v>
      </c>
      <c r="L605" s="21">
        <v>0</v>
      </c>
      <c r="M605" s="22">
        <v>24</v>
      </c>
      <c r="N605" s="22">
        <v>31</v>
      </c>
      <c r="O605" s="22">
        <v>50</v>
      </c>
      <c r="P605" s="22">
        <v>35</v>
      </c>
      <c r="Q605" s="22">
        <v>36</v>
      </c>
      <c r="R605" s="17">
        <v>0.4</v>
      </c>
      <c r="S605" s="17">
        <v>0.326086956521739</v>
      </c>
      <c r="T605" s="17">
        <v>0.107142857142857</v>
      </c>
      <c r="U605" s="17">
        <v>0</v>
      </c>
      <c r="V605" s="23">
        <v>0</v>
      </c>
    </row>
    <row r="606" ht="33" spans="1:22">
      <c r="A606" s="16">
        <v>7251</v>
      </c>
      <c r="B606" s="16" t="s">
        <v>1134</v>
      </c>
      <c r="C606" s="19">
        <v>22</v>
      </c>
      <c r="D606" s="19">
        <v>18</v>
      </c>
      <c r="E606" s="19">
        <v>20</v>
      </c>
      <c r="F606" s="19">
        <v>20</v>
      </c>
      <c r="G606" s="19">
        <v>6</v>
      </c>
      <c r="H606" s="20">
        <v>3987.3</v>
      </c>
      <c r="I606" s="20">
        <v>3337.8</v>
      </c>
      <c r="J606" s="21">
        <v>3734.1</v>
      </c>
      <c r="K606" s="21">
        <v>3712.1</v>
      </c>
      <c r="L606" s="21">
        <v>1108.7</v>
      </c>
      <c r="M606" s="22">
        <v>4</v>
      </c>
      <c r="N606" s="22">
        <v>11</v>
      </c>
      <c r="O606" s="22">
        <v>10</v>
      </c>
      <c r="P606" s="22">
        <v>7</v>
      </c>
      <c r="Q606" s="22">
        <v>4</v>
      </c>
      <c r="R606" s="17">
        <v>0.846153846153846</v>
      </c>
      <c r="S606" s="17">
        <v>0.620689655172414</v>
      </c>
      <c r="T606" s="17">
        <v>0.666666666666667</v>
      </c>
      <c r="U606" s="17">
        <v>0.740740740740741</v>
      </c>
      <c r="V606" s="23">
        <v>0.6</v>
      </c>
    </row>
    <row r="607" ht="33" spans="1:22">
      <c r="A607" s="16">
        <v>7252</v>
      </c>
      <c r="B607" s="16" t="s">
        <v>1135</v>
      </c>
      <c r="C607" s="19">
        <v>5</v>
      </c>
      <c r="D607" s="19">
        <v>4</v>
      </c>
      <c r="E607" s="19">
        <v>14</v>
      </c>
      <c r="F607" s="19">
        <v>16</v>
      </c>
      <c r="G607" s="19">
        <v>5</v>
      </c>
      <c r="H607" s="20">
        <v>927.18</v>
      </c>
      <c r="I607" s="20">
        <v>760.18</v>
      </c>
      <c r="J607" s="21">
        <v>2618.45</v>
      </c>
      <c r="K607" s="21">
        <v>2960.9</v>
      </c>
      <c r="L607" s="21">
        <v>916.55</v>
      </c>
      <c r="M607" s="22">
        <v>10</v>
      </c>
      <c r="N607" s="22">
        <v>25</v>
      </c>
      <c r="O607" s="22">
        <v>26</v>
      </c>
      <c r="P607" s="22">
        <v>13</v>
      </c>
      <c r="Q607" s="22">
        <v>2</v>
      </c>
      <c r="R607" s="17">
        <v>0.333333333333333</v>
      </c>
      <c r="S607" s="17">
        <v>0.137931034482759</v>
      </c>
      <c r="T607" s="17">
        <v>0.35</v>
      </c>
      <c r="U607" s="17">
        <v>0.551724137931034</v>
      </c>
      <c r="V607" s="23">
        <v>0.714285714285714</v>
      </c>
    </row>
    <row r="608" ht="33" spans="1:22">
      <c r="A608" s="16">
        <v>7195</v>
      </c>
      <c r="B608" s="16" t="s">
        <v>1136</v>
      </c>
      <c r="C608" s="19">
        <v>0</v>
      </c>
      <c r="D608" s="19">
        <v>1</v>
      </c>
      <c r="E608" s="19">
        <v>0</v>
      </c>
      <c r="F608" s="19">
        <v>4</v>
      </c>
      <c r="G608" s="19">
        <v>1</v>
      </c>
      <c r="H608" s="20">
        <v>0</v>
      </c>
      <c r="I608" s="20">
        <v>141.29</v>
      </c>
      <c r="J608" s="21">
        <v>0</v>
      </c>
      <c r="K608" s="21">
        <v>660</v>
      </c>
      <c r="L608" s="21">
        <v>165</v>
      </c>
      <c r="M608" s="22">
        <v>14</v>
      </c>
      <c r="N608" s="22">
        <v>10</v>
      </c>
      <c r="O608" s="22">
        <v>17</v>
      </c>
      <c r="P608" s="22">
        <v>19</v>
      </c>
      <c r="Q608" s="22">
        <v>12</v>
      </c>
      <c r="R608" s="17">
        <v>0</v>
      </c>
      <c r="S608" s="17">
        <v>0.0909090909090909</v>
      </c>
      <c r="T608" s="17">
        <v>0</v>
      </c>
      <c r="U608" s="17">
        <v>0.173913043478261</v>
      </c>
      <c r="V608" s="23">
        <v>0.0769230769230769</v>
      </c>
    </row>
    <row r="609" ht="33" spans="1:22">
      <c r="A609" s="16">
        <v>7196</v>
      </c>
      <c r="B609" s="16" t="s">
        <v>1137</v>
      </c>
      <c r="C609" s="19">
        <v>0</v>
      </c>
      <c r="D609" s="19">
        <v>0</v>
      </c>
      <c r="E609" s="19">
        <v>7</v>
      </c>
      <c r="F609" s="19">
        <v>0</v>
      </c>
      <c r="G609" s="19">
        <v>0</v>
      </c>
      <c r="H609" s="20">
        <v>0</v>
      </c>
      <c r="I609" s="20">
        <v>0</v>
      </c>
      <c r="J609" s="21">
        <v>910.13</v>
      </c>
      <c r="K609" s="21">
        <v>0</v>
      </c>
      <c r="L609" s="21">
        <v>0</v>
      </c>
      <c r="M609" s="22">
        <v>22</v>
      </c>
      <c r="N609" s="22">
        <v>10</v>
      </c>
      <c r="O609" s="22">
        <v>18</v>
      </c>
      <c r="P609" s="22">
        <v>17</v>
      </c>
      <c r="Q609" s="22">
        <v>12</v>
      </c>
      <c r="R609" s="17">
        <v>0</v>
      </c>
      <c r="S609" s="17">
        <v>0</v>
      </c>
      <c r="T609" s="17">
        <v>0.28</v>
      </c>
      <c r="U609" s="17">
        <v>0</v>
      </c>
      <c r="V609" s="23">
        <v>0</v>
      </c>
    </row>
    <row r="610" ht="33" spans="1:22">
      <c r="A610" s="16">
        <v>8196</v>
      </c>
      <c r="B610" s="16" t="s">
        <v>1138</v>
      </c>
      <c r="C610" s="19">
        <v>11</v>
      </c>
      <c r="D610" s="19">
        <v>4</v>
      </c>
      <c r="E610" s="19">
        <v>14</v>
      </c>
      <c r="F610" s="19">
        <v>3</v>
      </c>
      <c r="G610" s="19">
        <v>2</v>
      </c>
      <c r="H610" s="20">
        <v>2232.56</v>
      </c>
      <c r="I610" s="20">
        <v>853.12</v>
      </c>
      <c r="J610" s="21">
        <v>3148</v>
      </c>
      <c r="K610" s="21">
        <v>725</v>
      </c>
      <c r="L610" s="21">
        <v>490</v>
      </c>
      <c r="M610" s="22">
        <v>15</v>
      </c>
      <c r="N610" s="22">
        <v>10</v>
      </c>
      <c r="O610" s="22">
        <v>15</v>
      </c>
      <c r="P610" s="22">
        <v>22</v>
      </c>
      <c r="Q610" s="22">
        <v>17</v>
      </c>
      <c r="R610" s="17">
        <v>0.423076923076923</v>
      </c>
      <c r="S610" s="17">
        <v>0.285714285714286</v>
      </c>
      <c r="T610" s="17">
        <v>0.482758620689655</v>
      </c>
      <c r="U610" s="17">
        <v>0.12</v>
      </c>
      <c r="V610" s="23">
        <v>0.105263157894737</v>
      </c>
    </row>
    <row r="611" ht="33" spans="1:22">
      <c r="A611" s="16">
        <v>8125</v>
      </c>
      <c r="B611" s="16" t="s">
        <v>1139</v>
      </c>
      <c r="C611" s="19">
        <v>19</v>
      </c>
      <c r="D611" s="19">
        <v>1</v>
      </c>
      <c r="E611" s="19">
        <v>6</v>
      </c>
      <c r="F611" s="19">
        <v>14</v>
      </c>
      <c r="G611" s="19">
        <v>12</v>
      </c>
      <c r="H611" s="20">
        <v>4302.38</v>
      </c>
      <c r="I611" s="20">
        <v>240</v>
      </c>
      <c r="J611" s="21">
        <v>1320</v>
      </c>
      <c r="K611" s="21">
        <v>3089</v>
      </c>
      <c r="L611" s="21">
        <v>2655</v>
      </c>
      <c r="M611" s="22">
        <v>7</v>
      </c>
      <c r="N611" s="22">
        <v>3</v>
      </c>
      <c r="O611" s="22">
        <v>3</v>
      </c>
      <c r="P611" s="22">
        <v>1</v>
      </c>
      <c r="Q611" s="22">
        <v>2</v>
      </c>
      <c r="R611" s="17">
        <v>0.730769230769231</v>
      </c>
      <c r="S611" s="17">
        <v>0.25</v>
      </c>
      <c r="T611" s="17">
        <v>0.666666666666667</v>
      </c>
      <c r="U611" s="17">
        <v>0.933333333333333</v>
      </c>
      <c r="V611" s="23">
        <v>0.857142857142857</v>
      </c>
    </row>
    <row r="612" ht="33" spans="1:22">
      <c r="A612" s="16">
        <v>8392</v>
      </c>
      <c r="B612" s="16" t="s">
        <v>1140</v>
      </c>
      <c r="C612" s="19">
        <v>5</v>
      </c>
      <c r="D612" s="19">
        <v>6</v>
      </c>
      <c r="E612" s="19">
        <v>5</v>
      </c>
      <c r="F612" s="19">
        <v>11</v>
      </c>
      <c r="G612" s="19">
        <v>10</v>
      </c>
      <c r="H612" s="20">
        <v>1102</v>
      </c>
      <c r="I612" s="20">
        <v>1368</v>
      </c>
      <c r="J612" s="21">
        <v>1140</v>
      </c>
      <c r="K612" s="21">
        <v>2508</v>
      </c>
      <c r="L612" s="21">
        <v>2265</v>
      </c>
      <c r="M612" s="22">
        <v>3</v>
      </c>
      <c r="N612" s="22">
        <v>1</v>
      </c>
      <c r="O612" s="22">
        <v>5</v>
      </c>
      <c r="P612" s="22">
        <v>9</v>
      </c>
      <c r="Q612" s="22">
        <v>8</v>
      </c>
      <c r="R612" s="17">
        <v>0.625</v>
      </c>
      <c r="S612" s="17">
        <v>0.857142857142857</v>
      </c>
      <c r="T612" s="17">
        <v>0.5</v>
      </c>
      <c r="U612" s="17">
        <v>0.55</v>
      </c>
      <c r="V612" s="23">
        <v>0.555555555555556</v>
      </c>
    </row>
    <row r="613" ht="33" spans="1:22">
      <c r="A613" s="16">
        <v>8757</v>
      </c>
      <c r="B613" s="16" t="s">
        <v>1141</v>
      </c>
      <c r="C613" s="19">
        <v>10</v>
      </c>
      <c r="D613" s="19">
        <v>6</v>
      </c>
      <c r="E613" s="19">
        <v>6</v>
      </c>
      <c r="F613" s="19">
        <v>5</v>
      </c>
      <c r="G613" s="19">
        <v>6</v>
      </c>
      <c r="H613" s="20">
        <v>630.6</v>
      </c>
      <c r="I613" s="20">
        <v>378.6</v>
      </c>
      <c r="J613" s="21">
        <v>378.6</v>
      </c>
      <c r="K613" s="21">
        <v>315.6</v>
      </c>
      <c r="L613" s="21">
        <v>379.8</v>
      </c>
      <c r="M613" s="22">
        <v>8</v>
      </c>
      <c r="N613" s="22">
        <v>5</v>
      </c>
      <c r="O613" s="22">
        <v>10</v>
      </c>
      <c r="P613" s="22">
        <v>14</v>
      </c>
      <c r="Q613" s="22">
        <v>3</v>
      </c>
      <c r="R613" s="17">
        <v>0.555555555555556</v>
      </c>
      <c r="S613" s="17">
        <v>0.545454545454545</v>
      </c>
      <c r="T613" s="17">
        <v>0.375</v>
      </c>
      <c r="U613" s="17">
        <v>0.263157894736842</v>
      </c>
      <c r="V613" s="23">
        <v>0.666666666666667</v>
      </c>
    </row>
    <row r="614" ht="33" spans="1:22">
      <c r="A614" s="16">
        <v>8758</v>
      </c>
      <c r="B614" s="16" t="s">
        <v>1142</v>
      </c>
      <c r="C614" s="19">
        <v>7</v>
      </c>
      <c r="D614" s="19">
        <v>5</v>
      </c>
      <c r="E614" s="19">
        <v>6</v>
      </c>
      <c r="F614" s="19">
        <v>0</v>
      </c>
      <c r="G614" s="19">
        <v>11</v>
      </c>
      <c r="H614" s="20">
        <v>507.5</v>
      </c>
      <c r="I614" s="20">
        <v>362.5</v>
      </c>
      <c r="J614" s="21">
        <v>438.63</v>
      </c>
      <c r="K614" s="21">
        <v>0</v>
      </c>
      <c r="L614" s="21">
        <v>844.91</v>
      </c>
      <c r="M614" s="22">
        <v>0</v>
      </c>
      <c r="N614" s="22">
        <v>0</v>
      </c>
      <c r="O614" s="22">
        <v>0</v>
      </c>
      <c r="P614" s="22">
        <v>0</v>
      </c>
      <c r="Q614" s="22">
        <v>0</v>
      </c>
      <c r="R614" s="17">
        <v>1</v>
      </c>
      <c r="S614" s="17">
        <v>1</v>
      </c>
      <c r="T614" s="17">
        <v>1</v>
      </c>
      <c r="U614" s="17">
        <v>0</v>
      </c>
      <c r="V614" s="23">
        <v>1</v>
      </c>
    </row>
    <row r="615" ht="33" spans="1:22">
      <c r="A615" s="16">
        <v>8759</v>
      </c>
      <c r="B615" s="16" t="s">
        <v>1143</v>
      </c>
      <c r="C615" s="19">
        <v>7</v>
      </c>
      <c r="D615" s="19">
        <v>4</v>
      </c>
      <c r="E615" s="19">
        <v>8</v>
      </c>
      <c r="F615" s="19">
        <v>2</v>
      </c>
      <c r="G615" s="19">
        <v>5</v>
      </c>
      <c r="H615" s="20">
        <v>439.6</v>
      </c>
      <c r="I615" s="20">
        <v>251.2</v>
      </c>
      <c r="J615" s="21">
        <v>508.68</v>
      </c>
      <c r="K615" s="21">
        <v>131.88</v>
      </c>
      <c r="L615" s="21">
        <v>329.7</v>
      </c>
      <c r="M615" s="22">
        <v>7</v>
      </c>
      <c r="N615" s="22">
        <v>2</v>
      </c>
      <c r="O615" s="22">
        <v>9</v>
      </c>
      <c r="P615" s="22">
        <v>13</v>
      </c>
      <c r="Q615" s="22">
        <v>7</v>
      </c>
      <c r="R615" s="17">
        <v>0.5</v>
      </c>
      <c r="S615" s="17">
        <v>0.666666666666667</v>
      </c>
      <c r="T615" s="17">
        <v>0.470588235294118</v>
      </c>
      <c r="U615" s="17">
        <v>0.133333333333333</v>
      </c>
      <c r="V615" s="23">
        <v>0.416666666666667</v>
      </c>
    </row>
    <row r="616" ht="33" spans="1:22">
      <c r="A616" s="16">
        <v>8760</v>
      </c>
      <c r="B616" s="16" t="s">
        <v>1144</v>
      </c>
      <c r="C616" s="19">
        <v>4</v>
      </c>
      <c r="D616" s="19">
        <v>6</v>
      </c>
      <c r="E616" s="19">
        <v>6</v>
      </c>
      <c r="F616" s="19">
        <v>3</v>
      </c>
      <c r="G616" s="19">
        <v>13</v>
      </c>
      <c r="H616" s="20">
        <v>279.99</v>
      </c>
      <c r="I616" s="20">
        <v>385</v>
      </c>
      <c r="J616" s="21">
        <v>424.14</v>
      </c>
      <c r="K616" s="21">
        <v>216.27</v>
      </c>
      <c r="L616" s="21">
        <v>937.17</v>
      </c>
      <c r="M616" s="22">
        <v>0</v>
      </c>
      <c r="N616" s="22">
        <v>0</v>
      </c>
      <c r="O616" s="22">
        <v>0</v>
      </c>
      <c r="P616" s="22">
        <v>0</v>
      </c>
      <c r="Q616" s="22">
        <v>0</v>
      </c>
      <c r="R616" s="17">
        <v>1</v>
      </c>
      <c r="S616" s="17">
        <v>1</v>
      </c>
      <c r="T616" s="17">
        <v>1</v>
      </c>
      <c r="U616" s="17">
        <v>1</v>
      </c>
      <c r="V616" s="23">
        <v>1</v>
      </c>
    </row>
    <row r="617" ht="33" spans="1:22">
      <c r="A617" s="16">
        <v>9649</v>
      </c>
      <c r="B617" s="16" t="s">
        <v>1145</v>
      </c>
      <c r="C617" s="19">
        <v>51</v>
      </c>
      <c r="D617" s="19">
        <v>60</v>
      </c>
      <c r="E617" s="19">
        <v>57</v>
      </c>
      <c r="F617" s="19">
        <v>45</v>
      </c>
      <c r="G617" s="19">
        <v>65</v>
      </c>
      <c r="H617" s="20">
        <v>3688.66</v>
      </c>
      <c r="I617" s="20">
        <v>3987.9</v>
      </c>
      <c r="J617" s="21">
        <v>3783.1</v>
      </c>
      <c r="K617" s="21">
        <v>2763.94</v>
      </c>
      <c r="L617" s="21">
        <v>3946.6</v>
      </c>
      <c r="M617" s="22">
        <v>30</v>
      </c>
      <c r="N617" s="22">
        <v>36</v>
      </c>
      <c r="O617" s="22">
        <v>63</v>
      </c>
      <c r="P617" s="22">
        <v>45</v>
      </c>
      <c r="Q617" s="22">
        <v>83</v>
      </c>
      <c r="R617" s="17">
        <v>0.62962962962963</v>
      </c>
      <c r="S617" s="17">
        <v>0.625</v>
      </c>
      <c r="T617" s="17">
        <v>0.475</v>
      </c>
      <c r="U617" s="17">
        <v>0.5</v>
      </c>
      <c r="V617" s="23">
        <v>0.439189189189189</v>
      </c>
    </row>
    <row r="618" ht="16.5" spans="1:22">
      <c r="A618" s="16">
        <v>9885</v>
      </c>
      <c r="B618" s="16" t="e">
        <v>#N/A</v>
      </c>
      <c r="C618" s="19">
        <v>1</v>
      </c>
      <c r="D618" s="19">
        <v>0</v>
      </c>
      <c r="E618" s="19">
        <v>0</v>
      </c>
      <c r="F618" s="19">
        <v>0</v>
      </c>
      <c r="G618" s="19">
        <v>0</v>
      </c>
      <c r="H618" s="20">
        <v>179.28</v>
      </c>
      <c r="I618" s="20">
        <v>0</v>
      </c>
      <c r="J618" s="21">
        <v>0</v>
      </c>
      <c r="K618" s="21">
        <v>0</v>
      </c>
      <c r="L618" s="21">
        <v>0</v>
      </c>
      <c r="M618" s="22">
        <v>0</v>
      </c>
      <c r="N618" s="22">
        <v>0</v>
      </c>
      <c r="O618" s="22">
        <v>1</v>
      </c>
      <c r="P618" s="22">
        <v>0</v>
      </c>
      <c r="Q618" s="22" t="e">
        <v>#N/A</v>
      </c>
      <c r="R618" s="17">
        <v>1</v>
      </c>
      <c r="S618" s="17">
        <v>0</v>
      </c>
      <c r="T618" s="17">
        <v>0</v>
      </c>
      <c r="U618" s="17">
        <v>0</v>
      </c>
      <c r="V618" s="23" t="e">
        <v>#N/A</v>
      </c>
    </row>
    <row r="619" ht="33" spans="1:22">
      <c r="A619" s="16">
        <v>9650</v>
      </c>
      <c r="B619" s="16" t="s">
        <v>1146</v>
      </c>
      <c r="C619" s="19">
        <v>51</v>
      </c>
      <c r="D619" s="19">
        <v>48</v>
      </c>
      <c r="E619" s="19">
        <v>52</v>
      </c>
      <c r="F619" s="19">
        <v>55</v>
      </c>
      <c r="G619" s="19">
        <v>55</v>
      </c>
      <c r="H619" s="20">
        <v>3939.5</v>
      </c>
      <c r="I619" s="20">
        <v>3444.8</v>
      </c>
      <c r="J619" s="21">
        <v>3558.3</v>
      </c>
      <c r="K619" s="21">
        <v>3406.16</v>
      </c>
      <c r="L619" s="21">
        <v>3375.89</v>
      </c>
      <c r="M619" s="22">
        <v>37</v>
      </c>
      <c r="N619" s="22">
        <v>30</v>
      </c>
      <c r="O619" s="22">
        <v>62</v>
      </c>
      <c r="P619" s="22">
        <v>59</v>
      </c>
      <c r="Q619" s="22">
        <v>65</v>
      </c>
      <c r="R619" s="17">
        <v>0.579545454545455</v>
      </c>
      <c r="S619" s="17">
        <v>0.615384615384615</v>
      </c>
      <c r="T619" s="17">
        <v>0.456140350877193</v>
      </c>
      <c r="U619" s="17">
        <v>0.482456140350877</v>
      </c>
      <c r="V619" s="23">
        <v>0.458333333333333</v>
      </c>
    </row>
    <row r="620" ht="33" spans="1:22">
      <c r="A620" s="16">
        <v>9165</v>
      </c>
      <c r="B620" s="16" t="s">
        <v>1147</v>
      </c>
      <c r="C620" s="19">
        <v>10</v>
      </c>
      <c r="D620" s="19">
        <v>14</v>
      </c>
      <c r="E620" s="19">
        <v>9</v>
      </c>
      <c r="F620" s="19">
        <v>6</v>
      </c>
      <c r="G620" s="19">
        <v>2</v>
      </c>
      <c r="H620" s="20">
        <v>735</v>
      </c>
      <c r="I620" s="20">
        <v>1031.5</v>
      </c>
      <c r="J620" s="21">
        <v>681.18</v>
      </c>
      <c r="K620" s="21">
        <v>468.6</v>
      </c>
      <c r="L620" s="21">
        <v>156</v>
      </c>
      <c r="M620" s="22">
        <v>1</v>
      </c>
      <c r="N620" s="22">
        <v>1</v>
      </c>
      <c r="O620" s="22">
        <v>1</v>
      </c>
      <c r="P620" s="22">
        <v>9</v>
      </c>
      <c r="Q620" s="22">
        <v>18</v>
      </c>
      <c r="R620" s="17">
        <v>0.909090909090909</v>
      </c>
      <c r="S620" s="17">
        <v>0.933333333333333</v>
      </c>
      <c r="T620" s="17">
        <v>0.9</v>
      </c>
      <c r="U620" s="17">
        <v>0.4</v>
      </c>
      <c r="V620" s="23">
        <v>0.1</v>
      </c>
    </row>
    <row r="621" ht="16.5" spans="1:22">
      <c r="A621" s="16">
        <v>9166</v>
      </c>
      <c r="B621" s="16" t="e">
        <v>#N/A</v>
      </c>
      <c r="C621" s="19">
        <v>3</v>
      </c>
      <c r="D621" s="19">
        <v>3</v>
      </c>
      <c r="E621" s="19">
        <v>0</v>
      </c>
      <c r="F621" s="19">
        <v>0</v>
      </c>
      <c r="G621" s="19">
        <v>0</v>
      </c>
      <c r="H621" s="20">
        <v>207</v>
      </c>
      <c r="I621" s="20">
        <v>207</v>
      </c>
      <c r="J621" s="21">
        <v>0</v>
      </c>
      <c r="K621" s="21">
        <v>0</v>
      </c>
      <c r="L621" s="21">
        <v>0</v>
      </c>
      <c r="M621" s="22">
        <v>3</v>
      </c>
      <c r="N621" s="22">
        <v>0</v>
      </c>
      <c r="O621" s="22">
        <v>0</v>
      </c>
      <c r="P621" s="22">
        <v>0</v>
      </c>
      <c r="Q621" s="22" t="e">
        <v>#N/A</v>
      </c>
      <c r="R621" s="17">
        <v>0.5</v>
      </c>
      <c r="S621" s="17">
        <v>1</v>
      </c>
      <c r="T621" s="17">
        <v>0</v>
      </c>
      <c r="U621" s="17">
        <v>0</v>
      </c>
      <c r="V621" s="23" t="e">
        <v>#N/A</v>
      </c>
    </row>
    <row r="622" ht="33" spans="1:22">
      <c r="A622" s="16">
        <v>9121</v>
      </c>
      <c r="B622" s="16" t="s">
        <v>1148</v>
      </c>
      <c r="C622" s="19">
        <v>5</v>
      </c>
      <c r="D622" s="19">
        <v>4</v>
      </c>
      <c r="E622" s="19">
        <v>7</v>
      </c>
      <c r="F622" s="19">
        <v>4</v>
      </c>
      <c r="G622" s="19">
        <v>7</v>
      </c>
      <c r="H622" s="20">
        <v>281.86</v>
      </c>
      <c r="I622" s="20">
        <v>224.99</v>
      </c>
      <c r="J622" s="21">
        <v>402.26</v>
      </c>
      <c r="K622" s="21">
        <v>235.46</v>
      </c>
      <c r="L622" s="21">
        <v>412.3</v>
      </c>
      <c r="M622" s="22">
        <v>2</v>
      </c>
      <c r="N622" s="22">
        <v>2</v>
      </c>
      <c r="O622" s="22">
        <v>0</v>
      </c>
      <c r="P622" s="22">
        <v>1</v>
      </c>
      <c r="Q622" s="22">
        <v>1</v>
      </c>
      <c r="R622" s="17">
        <v>0.714285714285714</v>
      </c>
      <c r="S622" s="17">
        <v>0.666666666666667</v>
      </c>
      <c r="T622" s="17">
        <v>1</v>
      </c>
      <c r="U622" s="17">
        <v>0.8</v>
      </c>
      <c r="V622" s="23">
        <v>0.875</v>
      </c>
    </row>
    <row r="623" ht="33" spans="1:22">
      <c r="A623" s="16">
        <v>9901</v>
      </c>
      <c r="B623" s="16" t="s">
        <v>1149</v>
      </c>
      <c r="C623" s="19">
        <v>6</v>
      </c>
      <c r="D623" s="19">
        <v>7</v>
      </c>
      <c r="E623" s="19">
        <v>10</v>
      </c>
      <c r="F623" s="19">
        <v>12</v>
      </c>
      <c r="G623" s="19">
        <v>8</v>
      </c>
      <c r="H623" s="20">
        <v>712</v>
      </c>
      <c r="I623" s="20">
        <v>833</v>
      </c>
      <c r="J623" s="21">
        <v>1152</v>
      </c>
      <c r="K623" s="21">
        <v>1318</v>
      </c>
      <c r="L623" s="21">
        <v>859.18</v>
      </c>
      <c r="M623" s="22">
        <v>3</v>
      </c>
      <c r="N623" s="22">
        <v>10</v>
      </c>
      <c r="O623" s="22">
        <v>8</v>
      </c>
      <c r="P623" s="22">
        <v>8</v>
      </c>
      <c r="Q623" s="22">
        <v>9</v>
      </c>
      <c r="R623" s="17">
        <v>0.666666666666667</v>
      </c>
      <c r="S623" s="17">
        <v>0.411764705882353</v>
      </c>
      <c r="T623" s="17">
        <v>0.555555555555556</v>
      </c>
      <c r="U623" s="17">
        <v>0.6</v>
      </c>
      <c r="V623" s="23">
        <v>0.470588235294118</v>
      </c>
    </row>
    <row r="624" ht="33" spans="1:22">
      <c r="A624" s="16">
        <v>9895</v>
      </c>
      <c r="B624" s="16" t="s">
        <v>1150</v>
      </c>
      <c r="C624" s="19">
        <v>5</v>
      </c>
      <c r="D624" s="19">
        <v>6</v>
      </c>
      <c r="E624" s="19">
        <v>6</v>
      </c>
      <c r="F624" s="19">
        <v>7</v>
      </c>
      <c r="G624" s="19">
        <v>6</v>
      </c>
      <c r="H624" s="20">
        <v>555.5</v>
      </c>
      <c r="I624" s="20">
        <v>600.5</v>
      </c>
      <c r="J624" s="21">
        <v>606.4</v>
      </c>
      <c r="K624" s="21">
        <v>743</v>
      </c>
      <c r="L624" s="21">
        <v>649</v>
      </c>
      <c r="M624" s="22">
        <v>2</v>
      </c>
      <c r="N624" s="22">
        <v>3</v>
      </c>
      <c r="O624" s="22">
        <v>3</v>
      </c>
      <c r="P624" s="22">
        <v>3</v>
      </c>
      <c r="Q624" s="22">
        <v>2</v>
      </c>
      <c r="R624" s="17">
        <v>0.714285714285714</v>
      </c>
      <c r="S624" s="17">
        <v>0.666666666666667</v>
      </c>
      <c r="T624" s="17">
        <v>0.666666666666667</v>
      </c>
      <c r="U624" s="17">
        <v>0.7</v>
      </c>
      <c r="V624" s="23">
        <v>0.75</v>
      </c>
    </row>
    <row r="625" ht="33" spans="1:22">
      <c r="A625" s="16">
        <v>8116</v>
      </c>
      <c r="B625" s="16" t="s">
        <v>1151</v>
      </c>
      <c r="C625" s="19">
        <v>12</v>
      </c>
      <c r="D625" s="19">
        <v>24</v>
      </c>
      <c r="E625" s="19">
        <v>8</v>
      </c>
      <c r="F625" s="19">
        <v>16</v>
      </c>
      <c r="G625" s="19">
        <v>10</v>
      </c>
      <c r="H625" s="20">
        <v>1002.8</v>
      </c>
      <c r="I625" s="20">
        <v>2011.8</v>
      </c>
      <c r="J625" s="21">
        <v>667.2</v>
      </c>
      <c r="K625" s="21">
        <v>1322.9</v>
      </c>
      <c r="L625" s="21">
        <v>822</v>
      </c>
      <c r="M625" s="22">
        <v>0</v>
      </c>
      <c r="N625" s="22">
        <v>0</v>
      </c>
      <c r="O625" s="22">
        <v>0</v>
      </c>
      <c r="P625" s="22">
        <v>0</v>
      </c>
      <c r="Q625" s="22">
        <v>1</v>
      </c>
      <c r="R625" s="17">
        <v>1</v>
      </c>
      <c r="S625" s="17">
        <v>1</v>
      </c>
      <c r="T625" s="17">
        <v>1</v>
      </c>
      <c r="U625" s="17">
        <v>1</v>
      </c>
      <c r="V625" s="23">
        <v>0.909090909090909</v>
      </c>
    </row>
    <row r="626" ht="16.5" spans="1:22">
      <c r="A626" s="16">
        <v>9623</v>
      </c>
      <c r="B626" s="16" t="e">
        <v>#N/A</v>
      </c>
      <c r="C626" s="19">
        <v>2</v>
      </c>
      <c r="D626" s="19">
        <v>0</v>
      </c>
      <c r="E626" s="19">
        <v>0</v>
      </c>
      <c r="F626" s="19">
        <v>0</v>
      </c>
      <c r="G626" s="19">
        <v>0</v>
      </c>
      <c r="H626" s="20">
        <v>179</v>
      </c>
      <c r="I626" s="20">
        <v>0</v>
      </c>
      <c r="J626" s="21">
        <v>0</v>
      </c>
      <c r="K626" s="21">
        <v>0</v>
      </c>
      <c r="L626" s="21">
        <v>0</v>
      </c>
      <c r="M626" s="22">
        <v>0</v>
      </c>
      <c r="N626" s="22">
        <v>0</v>
      </c>
      <c r="O626" s="22">
        <v>0</v>
      </c>
      <c r="P626" s="22">
        <v>0</v>
      </c>
      <c r="Q626" s="22" t="e">
        <v>#N/A</v>
      </c>
      <c r="R626" s="17">
        <v>1</v>
      </c>
      <c r="S626" s="17">
        <v>0</v>
      </c>
      <c r="T626" s="17">
        <v>0</v>
      </c>
      <c r="U626" s="17">
        <v>0</v>
      </c>
      <c r="V626" s="23" t="e">
        <v>#N/A</v>
      </c>
    </row>
    <row r="627" ht="33" spans="1:22">
      <c r="A627" s="16">
        <v>8727</v>
      </c>
      <c r="B627" s="16" t="s">
        <v>1152</v>
      </c>
      <c r="C627" s="19">
        <v>3</v>
      </c>
      <c r="D627" s="19">
        <v>2</v>
      </c>
      <c r="E627" s="19">
        <v>6</v>
      </c>
      <c r="F627" s="19">
        <v>5</v>
      </c>
      <c r="G627" s="19">
        <v>5</v>
      </c>
      <c r="H627" s="20">
        <v>322</v>
      </c>
      <c r="I627" s="20">
        <v>202.4</v>
      </c>
      <c r="J627" s="21">
        <v>593.6</v>
      </c>
      <c r="K627" s="21">
        <v>529</v>
      </c>
      <c r="L627" s="21">
        <v>531</v>
      </c>
      <c r="M627" s="22">
        <v>1</v>
      </c>
      <c r="N627" s="22">
        <v>4</v>
      </c>
      <c r="O627" s="22">
        <v>1</v>
      </c>
      <c r="P627" s="22">
        <v>2</v>
      </c>
      <c r="Q627" s="22">
        <v>3</v>
      </c>
      <c r="R627" s="17">
        <v>0.75</v>
      </c>
      <c r="S627" s="17">
        <v>0.333333333333333</v>
      </c>
      <c r="T627" s="17">
        <v>0.857142857142857</v>
      </c>
      <c r="U627" s="17">
        <v>0.714285714285714</v>
      </c>
      <c r="V627" s="23">
        <v>0.625</v>
      </c>
    </row>
    <row r="628" ht="33" spans="1:22">
      <c r="A628" s="16">
        <v>8845</v>
      </c>
      <c r="B628" s="16" t="s">
        <v>1153</v>
      </c>
      <c r="C628" s="19">
        <v>9</v>
      </c>
      <c r="D628" s="19">
        <v>6</v>
      </c>
      <c r="E628" s="19">
        <v>12</v>
      </c>
      <c r="F628" s="19">
        <v>12</v>
      </c>
      <c r="G628" s="19">
        <v>13</v>
      </c>
      <c r="H628" s="20">
        <v>923.6</v>
      </c>
      <c r="I628" s="20">
        <v>632.7</v>
      </c>
      <c r="J628" s="21">
        <v>1249.95</v>
      </c>
      <c r="K628" s="21">
        <v>1182.32</v>
      </c>
      <c r="L628" s="21">
        <v>1307.58</v>
      </c>
      <c r="M628" s="22">
        <v>1</v>
      </c>
      <c r="N628" s="22">
        <v>0</v>
      </c>
      <c r="O628" s="22">
        <v>1</v>
      </c>
      <c r="P628" s="22">
        <v>0</v>
      </c>
      <c r="Q628" s="22">
        <v>8</v>
      </c>
      <c r="R628" s="17">
        <v>0.9</v>
      </c>
      <c r="S628" s="17">
        <v>1</v>
      </c>
      <c r="T628" s="17">
        <v>0.923076923076923</v>
      </c>
      <c r="U628" s="17">
        <v>1</v>
      </c>
      <c r="V628" s="23">
        <v>0.619047619047619</v>
      </c>
    </row>
    <row r="629" ht="33" spans="1:22">
      <c r="A629" s="16">
        <v>9513</v>
      </c>
      <c r="B629" s="16" t="s">
        <v>1154</v>
      </c>
      <c r="C629" s="19">
        <v>9</v>
      </c>
      <c r="D629" s="19">
        <v>16</v>
      </c>
      <c r="E629" s="19">
        <v>12</v>
      </c>
      <c r="F629" s="19">
        <v>18</v>
      </c>
      <c r="G629" s="19">
        <v>20</v>
      </c>
      <c r="H629" s="20">
        <v>1532.4</v>
      </c>
      <c r="I629" s="20">
        <v>2725.27</v>
      </c>
      <c r="J629" s="21">
        <v>2044.4</v>
      </c>
      <c r="K629" s="21">
        <v>3182.2</v>
      </c>
      <c r="L629" s="21">
        <v>3646.3</v>
      </c>
      <c r="M629" s="22">
        <v>3</v>
      </c>
      <c r="N629" s="22">
        <v>1</v>
      </c>
      <c r="O629" s="22">
        <v>2</v>
      </c>
      <c r="P629" s="22">
        <v>2</v>
      </c>
      <c r="Q629" s="22">
        <v>1</v>
      </c>
      <c r="R629" s="17">
        <v>0.75</v>
      </c>
      <c r="S629" s="17">
        <v>0.941176470588235</v>
      </c>
      <c r="T629" s="17">
        <v>0.857142857142857</v>
      </c>
      <c r="U629" s="17">
        <v>0.9</v>
      </c>
      <c r="V629" s="23">
        <v>0.952380952380952</v>
      </c>
    </row>
    <row r="630" ht="33" spans="1:22">
      <c r="A630" s="16">
        <v>9625</v>
      </c>
      <c r="B630" s="16" t="s">
        <v>1155</v>
      </c>
      <c r="C630" s="19">
        <v>0</v>
      </c>
      <c r="D630" s="19">
        <v>2</v>
      </c>
      <c r="E630" s="19">
        <v>8</v>
      </c>
      <c r="F630" s="19">
        <v>3</v>
      </c>
      <c r="G630" s="19">
        <v>1</v>
      </c>
      <c r="H630" s="20">
        <v>0</v>
      </c>
      <c r="I630" s="20">
        <v>255.2</v>
      </c>
      <c r="J630" s="21">
        <v>1053.34</v>
      </c>
      <c r="K630" s="21">
        <v>422.04</v>
      </c>
      <c r="L630" s="21">
        <v>140.68</v>
      </c>
      <c r="M630" s="22">
        <v>4</v>
      </c>
      <c r="N630" s="22">
        <v>0</v>
      </c>
      <c r="O630" s="22">
        <v>2</v>
      </c>
      <c r="P630" s="22">
        <v>0</v>
      </c>
      <c r="Q630" s="22">
        <v>3</v>
      </c>
      <c r="R630" s="17">
        <v>0</v>
      </c>
      <c r="S630" s="17">
        <v>1</v>
      </c>
      <c r="T630" s="17">
        <v>0.8</v>
      </c>
      <c r="U630" s="17">
        <v>1</v>
      </c>
      <c r="V630" s="23">
        <v>0.25</v>
      </c>
    </row>
    <row r="631" ht="33" spans="1:22">
      <c r="A631" s="16">
        <v>8847</v>
      </c>
      <c r="B631" s="16" t="s">
        <v>1156</v>
      </c>
      <c r="C631" s="19">
        <v>19</v>
      </c>
      <c r="D631" s="19">
        <v>9</v>
      </c>
      <c r="E631" s="19">
        <v>12</v>
      </c>
      <c r="F631" s="19">
        <v>14</v>
      </c>
      <c r="G631" s="19">
        <v>13</v>
      </c>
      <c r="H631" s="20">
        <v>1869.8</v>
      </c>
      <c r="I631" s="20">
        <v>881.89</v>
      </c>
      <c r="J631" s="21">
        <v>1150.6</v>
      </c>
      <c r="K631" s="21">
        <v>1391.2</v>
      </c>
      <c r="L631" s="21">
        <v>1329</v>
      </c>
      <c r="M631" s="22">
        <v>3</v>
      </c>
      <c r="N631" s="22">
        <v>1</v>
      </c>
      <c r="O631" s="22">
        <v>0</v>
      </c>
      <c r="P631" s="22">
        <v>4</v>
      </c>
      <c r="Q631" s="22">
        <v>3</v>
      </c>
      <c r="R631" s="17">
        <v>0.863636363636364</v>
      </c>
      <c r="S631" s="17">
        <v>0.9</v>
      </c>
      <c r="T631" s="17">
        <v>1</v>
      </c>
      <c r="U631" s="17">
        <v>0.777777777777778</v>
      </c>
      <c r="V631" s="23">
        <v>0.8125</v>
      </c>
    </row>
    <row r="632" ht="33" spans="1:22">
      <c r="A632" s="16">
        <v>8848</v>
      </c>
      <c r="B632" s="16" t="s">
        <v>1157</v>
      </c>
      <c r="C632" s="19">
        <v>2</v>
      </c>
      <c r="D632" s="19">
        <v>8</v>
      </c>
      <c r="E632" s="19">
        <v>6</v>
      </c>
      <c r="F632" s="19">
        <v>6</v>
      </c>
      <c r="G632" s="19">
        <v>8</v>
      </c>
      <c r="H632" s="20">
        <v>178</v>
      </c>
      <c r="I632" s="20">
        <v>712</v>
      </c>
      <c r="J632" s="21">
        <v>534</v>
      </c>
      <c r="K632" s="21">
        <v>534</v>
      </c>
      <c r="L632" s="21">
        <v>714</v>
      </c>
      <c r="M632" s="22">
        <v>0</v>
      </c>
      <c r="N632" s="22">
        <v>0</v>
      </c>
      <c r="O632" s="22">
        <v>0</v>
      </c>
      <c r="P632" s="22">
        <v>0</v>
      </c>
      <c r="Q632" s="22">
        <v>0</v>
      </c>
      <c r="R632" s="17">
        <v>1</v>
      </c>
      <c r="S632" s="17">
        <v>1</v>
      </c>
      <c r="T632" s="17">
        <v>1</v>
      </c>
      <c r="U632" s="17">
        <v>1</v>
      </c>
      <c r="V632" s="23">
        <v>1</v>
      </c>
    </row>
    <row r="633" ht="16.5" spans="1:22">
      <c r="A633" s="16">
        <v>9514</v>
      </c>
      <c r="B633" s="16" t="s">
        <v>1158</v>
      </c>
      <c r="C633" s="19">
        <v>3</v>
      </c>
      <c r="D633" s="19">
        <v>4</v>
      </c>
      <c r="E633" s="19">
        <v>4</v>
      </c>
      <c r="F633" s="19">
        <v>6</v>
      </c>
      <c r="G633" s="19">
        <v>4</v>
      </c>
      <c r="H633" s="20">
        <v>456</v>
      </c>
      <c r="I633" s="20">
        <v>547.2</v>
      </c>
      <c r="J633" s="21">
        <v>519.56</v>
      </c>
      <c r="K633" s="21">
        <v>833.12</v>
      </c>
      <c r="L633" s="21">
        <v>573.12</v>
      </c>
      <c r="M633" s="22">
        <v>1</v>
      </c>
      <c r="N633" s="22">
        <v>0</v>
      </c>
      <c r="O633" s="22">
        <v>1</v>
      </c>
      <c r="P633" s="22">
        <v>0</v>
      </c>
      <c r="Q633" s="22">
        <v>2</v>
      </c>
      <c r="R633" s="17">
        <v>0.75</v>
      </c>
      <c r="S633" s="17">
        <v>1</v>
      </c>
      <c r="T633" s="17">
        <v>0.8</v>
      </c>
      <c r="U633" s="17">
        <v>1</v>
      </c>
      <c r="V633" s="23">
        <v>0.666666666666667</v>
      </c>
    </row>
    <row r="634" ht="16.5" spans="1:22">
      <c r="A634" s="16">
        <v>8437</v>
      </c>
      <c r="B634" s="16" t="s">
        <v>1159</v>
      </c>
      <c r="C634" s="19">
        <v>15</v>
      </c>
      <c r="D634" s="19">
        <v>10</v>
      </c>
      <c r="E634" s="19">
        <v>12</v>
      </c>
      <c r="F634" s="19">
        <v>20</v>
      </c>
      <c r="G634" s="19">
        <v>13</v>
      </c>
      <c r="H634" s="20">
        <v>1067.43</v>
      </c>
      <c r="I634" s="20">
        <v>714</v>
      </c>
      <c r="J634" s="21">
        <v>828.24</v>
      </c>
      <c r="K634" s="21">
        <v>1142.4</v>
      </c>
      <c r="L634" s="21">
        <v>748.14</v>
      </c>
      <c r="M634" s="22">
        <v>5</v>
      </c>
      <c r="N634" s="22">
        <v>6</v>
      </c>
      <c r="O634" s="22">
        <v>4</v>
      </c>
      <c r="P634" s="22">
        <v>1</v>
      </c>
      <c r="Q634" s="22">
        <v>10</v>
      </c>
      <c r="R634" s="17">
        <v>0.75</v>
      </c>
      <c r="S634" s="17">
        <v>0.625</v>
      </c>
      <c r="T634" s="17">
        <v>0.75</v>
      </c>
      <c r="U634" s="17">
        <v>0.952380952380952</v>
      </c>
      <c r="V634" s="23">
        <v>0.565217391304348</v>
      </c>
    </row>
    <row r="635" ht="33" spans="1:22">
      <c r="A635" s="16">
        <v>8766</v>
      </c>
      <c r="B635" s="16" t="s">
        <v>1160</v>
      </c>
      <c r="C635" s="19">
        <v>15</v>
      </c>
      <c r="D635" s="19">
        <v>9</v>
      </c>
      <c r="E635" s="19">
        <v>34</v>
      </c>
      <c r="F635" s="19">
        <v>14</v>
      </c>
      <c r="G635" s="19">
        <v>14</v>
      </c>
      <c r="H635" s="20">
        <v>1217</v>
      </c>
      <c r="I635" s="20">
        <v>707</v>
      </c>
      <c r="J635" s="21">
        <v>2734</v>
      </c>
      <c r="K635" s="21">
        <v>1185</v>
      </c>
      <c r="L635" s="21">
        <v>1185.7</v>
      </c>
      <c r="M635" s="22">
        <v>10</v>
      </c>
      <c r="N635" s="22">
        <v>8</v>
      </c>
      <c r="O635" s="22">
        <v>4</v>
      </c>
      <c r="P635" s="22">
        <v>1</v>
      </c>
      <c r="Q635" s="22">
        <v>4</v>
      </c>
      <c r="R635" s="17">
        <v>0.6</v>
      </c>
      <c r="S635" s="17">
        <v>0.529411764705882</v>
      </c>
      <c r="T635" s="17">
        <v>0.894736842105263</v>
      </c>
      <c r="U635" s="17">
        <v>0.933333333333333</v>
      </c>
      <c r="V635" s="23">
        <v>0.777777777777778</v>
      </c>
    </row>
    <row r="636" ht="33" spans="1:22">
      <c r="A636" s="16">
        <v>8767</v>
      </c>
      <c r="B636" s="16" t="s">
        <v>1161</v>
      </c>
      <c r="C636" s="19">
        <v>9</v>
      </c>
      <c r="D636" s="19">
        <v>10</v>
      </c>
      <c r="E636" s="19">
        <v>23</v>
      </c>
      <c r="F636" s="19">
        <v>15</v>
      </c>
      <c r="G636" s="19">
        <v>14</v>
      </c>
      <c r="H636" s="20">
        <v>732</v>
      </c>
      <c r="I636" s="20">
        <v>820</v>
      </c>
      <c r="J636" s="21">
        <v>1885</v>
      </c>
      <c r="K636" s="21">
        <v>1245</v>
      </c>
      <c r="L636" s="21">
        <v>1168</v>
      </c>
      <c r="M636" s="22">
        <v>7</v>
      </c>
      <c r="N636" s="22">
        <v>9</v>
      </c>
      <c r="O636" s="22">
        <v>4</v>
      </c>
      <c r="P636" s="22">
        <v>3</v>
      </c>
      <c r="Q636" s="22">
        <v>7</v>
      </c>
      <c r="R636" s="17">
        <v>0.5625</v>
      </c>
      <c r="S636" s="17">
        <v>0.526315789473684</v>
      </c>
      <c r="T636" s="17">
        <v>0.851851851851852</v>
      </c>
      <c r="U636" s="17">
        <v>0.833333333333333</v>
      </c>
      <c r="V636" s="23">
        <v>0.666666666666667</v>
      </c>
    </row>
    <row r="637" ht="33" spans="1:22">
      <c r="A637" s="16">
        <v>8768</v>
      </c>
      <c r="B637" s="16" t="s">
        <v>1162</v>
      </c>
      <c r="C637" s="19">
        <v>4</v>
      </c>
      <c r="D637" s="19">
        <v>2</v>
      </c>
      <c r="E637" s="19">
        <v>6</v>
      </c>
      <c r="F637" s="19">
        <v>2</v>
      </c>
      <c r="G637" s="19">
        <v>0</v>
      </c>
      <c r="H637" s="20">
        <v>740</v>
      </c>
      <c r="I637" s="20">
        <v>333</v>
      </c>
      <c r="J637" s="21">
        <v>1082.26</v>
      </c>
      <c r="K637" s="21">
        <v>388.5</v>
      </c>
      <c r="L637" s="21">
        <v>0</v>
      </c>
      <c r="M637" s="22">
        <v>0</v>
      </c>
      <c r="N637" s="22">
        <v>1</v>
      </c>
      <c r="O637" s="22">
        <v>0</v>
      </c>
      <c r="P637" s="22">
        <v>4</v>
      </c>
      <c r="Q637" s="22">
        <v>3</v>
      </c>
      <c r="R637" s="17">
        <v>1</v>
      </c>
      <c r="S637" s="17">
        <v>0.666666666666667</v>
      </c>
      <c r="T637" s="17">
        <v>1</v>
      </c>
      <c r="U637" s="17">
        <v>0.333333333333333</v>
      </c>
      <c r="V637" s="23">
        <v>0</v>
      </c>
    </row>
    <row r="638" ht="33" spans="1:22">
      <c r="A638" s="16">
        <v>8769</v>
      </c>
      <c r="B638" s="16" t="s">
        <v>1163</v>
      </c>
      <c r="C638" s="19">
        <v>10</v>
      </c>
      <c r="D638" s="19">
        <v>8</v>
      </c>
      <c r="E638" s="19">
        <v>11</v>
      </c>
      <c r="F638" s="19">
        <v>11</v>
      </c>
      <c r="G638" s="19">
        <v>4</v>
      </c>
      <c r="H638" s="20">
        <v>1983.72</v>
      </c>
      <c r="I638" s="20">
        <v>1592</v>
      </c>
      <c r="J638" s="21">
        <v>2306.38</v>
      </c>
      <c r="K638" s="21">
        <v>2281.63</v>
      </c>
      <c r="L638" s="21">
        <v>875.6</v>
      </c>
      <c r="M638" s="22">
        <v>0</v>
      </c>
      <c r="N638" s="22">
        <v>0</v>
      </c>
      <c r="O638" s="22">
        <v>0</v>
      </c>
      <c r="P638" s="22">
        <v>0</v>
      </c>
      <c r="Q638" s="22">
        <v>0</v>
      </c>
      <c r="R638" s="17">
        <v>1</v>
      </c>
      <c r="S638" s="17">
        <v>1</v>
      </c>
      <c r="T638" s="17">
        <v>1</v>
      </c>
      <c r="U638" s="17">
        <v>1</v>
      </c>
      <c r="V638" s="23">
        <v>1</v>
      </c>
    </row>
    <row r="639" ht="16.5" spans="1:22">
      <c r="A639" s="16">
        <v>8696</v>
      </c>
      <c r="B639" s="16" t="e">
        <v>#N/A</v>
      </c>
      <c r="C639" s="19">
        <v>2</v>
      </c>
      <c r="D639" s="19">
        <v>1</v>
      </c>
      <c r="E639" s="19">
        <v>0</v>
      </c>
      <c r="F639" s="19">
        <v>0</v>
      </c>
      <c r="G639" s="19">
        <v>0</v>
      </c>
      <c r="H639" s="20">
        <v>169.98</v>
      </c>
      <c r="I639" s="20">
        <v>84.99</v>
      </c>
      <c r="J639" s="21">
        <v>0</v>
      </c>
      <c r="K639" s="21">
        <v>0</v>
      </c>
      <c r="L639" s="21">
        <v>0</v>
      </c>
      <c r="M639" s="22">
        <v>0</v>
      </c>
      <c r="N639" s="22">
        <v>0</v>
      </c>
      <c r="O639" s="22">
        <v>0</v>
      </c>
      <c r="P639" s="22">
        <v>0</v>
      </c>
      <c r="Q639" s="22" t="e">
        <v>#N/A</v>
      </c>
      <c r="R639" s="17">
        <v>1</v>
      </c>
      <c r="S639" s="17">
        <v>1</v>
      </c>
      <c r="T639" s="17">
        <v>0</v>
      </c>
      <c r="U639" s="17">
        <v>0</v>
      </c>
      <c r="V639" s="23" t="e">
        <v>#N/A</v>
      </c>
    </row>
    <row r="640" ht="33" spans="1:22">
      <c r="A640" s="16">
        <v>8697</v>
      </c>
      <c r="B640" s="16" t="s">
        <v>1164</v>
      </c>
      <c r="C640" s="19">
        <v>5</v>
      </c>
      <c r="D640" s="19">
        <v>9</v>
      </c>
      <c r="E640" s="19">
        <v>8</v>
      </c>
      <c r="F640" s="19">
        <v>6</v>
      </c>
      <c r="G640" s="19">
        <v>6</v>
      </c>
      <c r="H640" s="20">
        <v>460</v>
      </c>
      <c r="I640" s="20">
        <v>795.5</v>
      </c>
      <c r="J640" s="21">
        <v>717.26</v>
      </c>
      <c r="K640" s="21">
        <v>549.23</v>
      </c>
      <c r="L640" s="21">
        <v>553.62</v>
      </c>
      <c r="M640" s="22">
        <v>3</v>
      </c>
      <c r="N640" s="22">
        <v>3</v>
      </c>
      <c r="O640" s="22">
        <v>0</v>
      </c>
      <c r="P640" s="22">
        <v>0</v>
      </c>
      <c r="Q640" s="22">
        <v>0</v>
      </c>
      <c r="R640" s="17">
        <v>0.625</v>
      </c>
      <c r="S640" s="17">
        <v>0.75</v>
      </c>
      <c r="T640" s="17">
        <v>1</v>
      </c>
      <c r="U640" s="17">
        <v>1</v>
      </c>
      <c r="V640" s="23">
        <v>1</v>
      </c>
    </row>
    <row r="641" ht="33" spans="1:22">
      <c r="A641" s="16">
        <v>8849</v>
      </c>
      <c r="B641" s="16" t="s">
        <v>1165</v>
      </c>
      <c r="C641" s="19">
        <v>4</v>
      </c>
      <c r="D641" s="19">
        <v>3</v>
      </c>
      <c r="E641" s="19">
        <v>4</v>
      </c>
      <c r="F641" s="19">
        <v>6</v>
      </c>
      <c r="G641" s="19">
        <v>3</v>
      </c>
      <c r="H641" s="20">
        <v>436</v>
      </c>
      <c r="I641" s="20">
        <v>321.55</v>
      </c>
      <c r="J641" s="21">
        <v>427</v>
      </c>
      <c r="K641" s="21">
        <v>654</v>
      </c>
      <c r="L641" s="21">
        <v>327</v>
      </c>
      <c r="M641" s="22">
        <v>0</v>
      </c>
      <c r="N641" s="22">
        <v>2</v>
      </c>
      <c r="O641" s="22">
        <v>1</v>
      </c>
      <c r="P641" s="22">
        <v>1</v>
      </c>
      <c r="Q641" s="22">
        <v>1</v>
      </c>
      <c r="R641" s="17">
        <v>1</v>
      </c>
      <c r="S641" s="17">
        <v>0.6</v>
      </c>
      <c r="T641" s="17">
        <v>0.8</v>
      </c>
      <c r="U641" s="17">
        <v>0.857142857142857</v>
      </c>
      <c r="V641" s="23">
        <v>0.75</v>
      </c>
    </row>
    <row r="642" ht="33" spans="1:22">
      <c r="A642" s="16">
        <v>8850</v>
      </c>
      <c r="B642" s="16" t="s">
        <v>1166</v>
      </c>
      <c r="C642" s="19">
        <v>14</v>
      </c>
      <c r="D642" s="19">
        <v>5</v>
      </c>
      <c r="E642" s="19">
        <v>7</v>
      </c>
      <c r="F642" s="19">
        <v>18</v>
      </c>
      <c r="G642" s="19">
        <v>13</v>
      </c>
      <c r="H642" s="20">
        <v>1395.81</v>
      </c>
      <c r="I642" s="20">
        <v>505</v>
      </c>
      <c r="J642" s="21">
        <v>729.99</v>
      </c>
      <c r="K642" s="21">
        <v>1864.5</v>
      </c>
      <c r="L642" s="21">
        <v>1368</v>
      </c>
      <c r="M642" s="22">
        <v>3</v>
      </c>
      <c r="N642" s="22">
        <v>3</v>
      </c>
      <c r="O642" s="22">
        <v>10</v>
      </c>
      <c r="P642" s="22">
        <v>2</v>
      </c>
      <c r="Q642" s="22">
        <v>6</v>
      </c>
      <c r="R642" s="17">
        <v>0.823529411764706</v>
      </c>
      <c r="S642" s="17">
        <v>0.625</v>
      </c>
      <c r="T642" s="17">
        <v>0.411764705882353</v>
      </c>
      <c r="U642" s="17">
        <v>0.9</v>
      </c>
      <c r="V642" s="23">
        <v>0.684210526315789</v>
      </c>
    </row>
    <row r="643" ht="33" spans="1:22">
      <c r="A643" s="16">
        <v>8851</v>
      </c>
      <c r="B643" s="16" t="s">
        <v>1167</v>
      </c>
      <c r="C643" s="19">
        <v>20</v>
      </c>
      <c r="D643" s="19">
        <v>11</v>
      </c>
      <c r="E643" s="19">
        <v>25</v>
      </c>
      <c r="F643" s="19">
        <v>18</v>
      </c>
      <c r="G643" s="19">
        <v>19</v>
      </c>
      <c r="H643" s="20">
        <v>1882</v>
      </c>
      <c r="I643" s="20">
        <v>1040.36</v>
      </c>
      <c r="J643" s="21">
        <v>2370.67</v>
      </c>
      <c r="K643" s="21">
        <v>1706.31</v>
      </c>
      <c r="L643" s="21">
        <v>1801.9</v>
      </c>
      <c r="M643" s="22">
        <v>9</v>
      </c>
      <c r="N643" s="22">
        <v>9</v>
      </c>
      <c r="O643" s="22">
        <v>6</v>
      </c>
      <c r="P643" s="22">
        <v>8</v>
      </c>
      <c r="Q643" s="22">
        <v>6</v>
      </c>
      <c r="R643" s="17">
        <v>0.689655172413793</v>
      </c>
      <c r="S643" s="17">
        <v>0.55</v>
      </c>
      <c r="T643" s="17">
        <v>0.806451612903226</v>
      </c>
      <c r="U643" s="17">
        <v>0.692307692307692</v>
      </c>
      <c r="V643" s="23">
        <v>0.76</v>
      </c>
    </row>
    <row r="644" ht="33" spans="1:22">
      <c r="A644" s="16">
        <v>8852</v>
      </c>
      <c r="B644" s="16" t="s">
        <v>1168</v>
      </c>
      <c r="C644" s="19">
        <v>14</v>
      </c>
      <c r="D644" s="19">
        <v>10</v>
      </c>
      <c r="E644" s="19">
        <v>11</v>
      </c>
      <c r="F644" s="19">
        <v>20</v>
      </c>
      <c r="G644" s="19">
        <v>14</v>
      </c>
      <c r="H644" s="20">
        <v>1313.7</v>
      </c>
      <c r="I644" s="20">
        <v>917.13</v>
      </c>
      <c r="J644" s="21">
        <v>1022.58</v>
      </c>
      <c r="K644" s="21">
        <v>1861.56</v>
      </c>
      <c r="L644" s="21">
        <v>1283.34</v>
      </c>
      <c r="M644" s="22">
        <v>1</v>
      </c>
      <c r="N644" s="22">
        <v>2</v>
      </c>
      <c r="O644" s="22">
        <v>1</v>
      </c>
      <c r="P644" s="22">
        <v>1</v>
      </c>
      <c r="Q644" s="22">
        <v>1</v>
      </c>
      <c r="R644" s="17">
        <v>0.933333333333333</v>
      </c>
      <c r="S644" s="17">
        <v>0.833333333333333</v>
      </c>
      <c r="T644" s="17">
        <v>0.916666666666667</v>
      </c>
      <c r="U644" s="17">
        <v>0.952380952380952</v>
      </c>
      <c r="V644" s="23">
        <v>0.933333333333333</v>
      </c>
    </row>
    <row r="645" ht="33" spans="1:22">
      <c r="A645" s="16">
        <v>9287</v>
      </c>
      <c r="B645" s="16" t="s">
        <v>1169</v>
      </c>
      <c r="C645" s="19">
        <v>7</v>
      </c>
      <c r="D645" s="19">
        <v>6</v>
      </c>
      <c r="E645" s="19">
        <v>6</v>
      </c>
      <c r="F645" s="19">
        <v>3</v>
      </c>
      <c r="G645" s="19">
        <v>6</v>
      </c>
      <c r="H645" s="20">
        <v>440.3</v>
      </c>
      <c r="I645" s="20">
        <v>363.38</v>
      </c>
      <c r="J645" s="21">
        <v>363.52</v>
      </c>
      <c r="K645" s="21">
        <v>178.32</v>
      </c>
      <c r="L645" s="21">
        <v>379</v>
      </c>
      <c r="M645" s="22">
        <v>0</v>
      </c>
      <c r="N645" s="22">
        <v>0</v>
      </c>
      <c r="O645" s="22">
        <v>1</v>
      </c>
      <c r="P645" s="22">
        <v>2</v>
      </c>
      <c r="Q645" s="22">
        <v>1</v>
      </c>
      <c r="R645" s="17">
        <v>1</v>
      </c>
      <c r="S645" s="17">
        <v>1</v>
      </c>
      <c r="T645" s="17">
        <v>0.857142857142857</v>
      </c>
      <c r="U645" s="17">
        <v>0.6</v>
      </c>
      <c r="V645" s="23">
        <v>0.857142857142857</v>
      </c>
    </row>
    <row r="646" ht="33" spans="1:22">
      <c r="A646" s="16">
        <v>9288</v>
      </c>
      <c r="B646" s="16" t="s">
        <v>1170</v>
      </c>
      <c r="C646" s="19">
        <v>3</v>
      </c>
      <c r="D646" s="19">
        <v>3</v>
      </c>
      <c r="E646" s="19">
        <v>5</v>
      </c>
      <c r="F646" s="19">
        <v>5</v>
      </c>
      <c r="G646" s="19">
        <v>7</v>
      </c>
      <c r="H646" s="20">
        <v>198</v>
      </c>
      <c r="I646" s="20">
        <v>210</v>
      </c>
      <c r="J646" s="21">
        <v>354.2</v>
      </c>
      <c r="K646" s="21">
        <v>360.5</v>
      </c>
      <c r="L646" s="21">
        <v>504.7</v>
      </c>
      <c r="M646" s="22">
        <v>0</v>
      </c>
      <c r="N646" s="22">
        <v>2</v>
      </c>
      <c r="O646" s="22">
        <v>6</v>
      </c>
      <c r="P646" s="22">
        <v>2</v>
      </c>
      <c r="Q646" s="22">
        <v>1</v>
      </c>
      <c r="R646" s="17">
        <v>1</v>
      </c>
      <c r="S646" s="17">
        <v>0.6</v>
      </c>
      <c r="T646" s="17">
        <v>0.454545454545455</v>
      </c>
      <c r="U646" s="17">
        <v>0.714285714285714</v>
      </c>
      <c r="V646" s="23">
        <v>0.875</v>
      </c>
    </row>
    <row r="647" ht="33" spans="1:22">
      <c r="A647" s="16">
        <v>9123</v>
      </c>
      <c r="B647" s="16" t="s">
        <v>1171</v>
      </c>
      <c r="C647" s="19">
        <v>6</v>
      </c>
      <c r="D647" s="19">
        <v>3</v>
      </c>
      <c r="E647" s="19">
        <v>3</v>
      </c>
      <c r="F647" s="19">
        <v>5</v>
      </c>
      <c r="G647" s="19">
        <v>5</v>
      </c>
      <c r="H647" s="20">
        <v>377.07</v>
      </c>
      <c r="I647" s="20">
        <v>187.79</v>
      </c>
      <c r="J647" s="21">
        <v>190.77</v>
      </c>
      <c r="K647" s="21">
        <v>316.46</v>
      </c>
      <c r="L647" s="21">
        <v>317.95</v>
      </c>
      <c r="M647" s="22">
        <v>0</v>
      </c>
      <c r="N647" s="22">
        <v>5</v>
      </c>
      <c r="O647" s="22">
        <v>3</v>
      </c>
      <c r="P647" s="22">
        <v>3</v>
      </c>
      <c r="Q647" s="22">
        <v>2</v>
      </c>
      <c r="R647" s="17">
        <v>1</v>
      </c>
      <c r="S647" s="17">
        <v>0.375</v>
      </c>
      <c r="T647" s="17">
        <v>0.5</v>
      </c>
      <c r="U647" s="17">
        <v>0.625</v>
      </c>
      <c r="V647" s="23">
        <v>0.714285714285714</v>
      </c>
    </row>
    <row r="648" ht="16.5" spans="1:22">
      <c r="A648" s="16">
        <v>9124</v>
      </c>
      <c r="B648" s="16" t="e">
        <v>#N/A</v>
      </c>
      <c r="C648" s="19">
        <v>8</v>
      </c>
      <c r="D648" s="19">
        <v>0</v>
      </c>
      <c r="E648" s="19">
        <v>0</v>
      </c>
      <c r="F648" s="19">
        <v>0</v>
      </c>
      <c r="G648" s="19">
        <v>0</v>
      </c>
      <c r="H648" s="20">
        <v>506.67</v>
      </c>
      <c r="I648" s="20">
        <v>0</v>
      </c>
      <c r="J648" s="21">
        <v>0</v>
      </c>
      <c r="K648" s="21">
        <v>0</v>
      </c>
      <c r="L648" s="21">
        <v>0</v>
      </c>
      <c r="M648" s="22">
        <v>1</v>
      </c>
      <c r="N648" s="22">
        <v>2</v>
      </c>
      <c r="O648" s="22">
        <v>0</v>
      </c>
      <c r="P648" s="22">
        <v>0</v>
      </c>
      <c r="Q648" s="22" t="e">
        <v>#N/A</v>
      </c>
      <c r="R648" s="17">
        <v>0.888888888888889</v>
      </c>
      <c r="S648" s="17">
        <v>0</v>
      </c>
      <c r="T648" s="17">
        <v>0</v>
      </c>
      <c r="U648" s="17">
        <v>0</v>
      </c>
      <c r="V648" s="23" t="e">
        <v>#N/A</v>
      </c>
    </row>
    <row r="649" ht="33" spans="1:22">
      <c r="A649" s="16">
        <v>8616</v>
      </c>
      <c r="B649" s="16" t="s">
        <v>1172</v>
      </c>
      <c r="C649" s="19">
        <v>5</v>
      </c>
      <c r="D649" s="19">
        <v>8</v>
      </c>
      <c r="E649" s="19">
        <v>6</v>
      </c>
      <c r="F649" s="19">
        <v>5</v>
      </c>
      <c r="G649" s="19">
        <v>7</v>
      </c>
      <c r="H649" s="20">
        <v>405</v>
      </c>
      <c r="I649" s="20">
        <v>599.4</v>
      </c>
      <c r="J649" s="21">
        <v>447.9</v>
      </c>
      <c r="K649" s="21">
        <v>372.05</v>
      </c>
      <c r="L649" s="21">
        <v>559.4</v>
      </c>
      <c r="M649" s="22">
        <v>4</v>
      </c>
      <c r="N649" s="22">
        <v>1</v>
      </c>
      <c r="O649" s="22">
        <v>3</v>
      </c>
      <c r="P649" s="22">
        <v>3</v>
      </c>
      <c r="Q649" s="22">
        <v>2</v>
      </c>
      <c r="R649" s="17">
        <v>0.555555555555556</v>
      </c>
      <c r="S649" s="17">
        <v>0.888888888888889</v>
      </c>
      <c r="T649" s="17">
        <v>0.666666666666667</v>
      </c>
      <c r="U649" s="17">
        <v>0.625</v>
      </c>
      <c r="V649" s="23">
        <v>0.777777777777778</v>
      </c>
    </row>
    <row r="650" ht="33" spans="1:22">
      <c r="A650" s="16">
        <v>8617</v>
      </c>
      <c r="B650" s="16" t="s">
        <v>1173</v>
      </c>
      <c r="C650" s="19">
        <v>8</v>
      </c>
      <c r="D650" s="19">
        <v>10</v>
      </c>
      <c r="E650" s="19">
        <v>9</v>
      </c>
      <c r="F650" s="19">
        <v>5</v>
      </c>
      <c r="G650" s="19">
        <v>3</v>
      </c>
      <c r="H650" s="20">
        <v>553.74</v>
      </c>
      <c r="I650" s="20">
        <v>729.32</v>
      </c>
      <c r="J650" s="21">
        <v>666</v>
      </c>
      <c r="K650" s="21">
        <v>391</v>
      </c>
      <c r="L650" s="21">
        <v>237</v>
      </c>
      <c r="M650" s="22">
        <v>0</v>
      </c>
      <c r="N650" s="22">
        <v>1</v>
      </c>
      <c r="O650" s="22">
        <v>1</v>
      </c>
      <c r="P650" s="22">
        <v>2</v>
      </c>
      <c r="Q650" s="22">
        <v>3</v>
      </c>
      <c r="R650" s="17">
        <v>1</v>
      </c>
      <c r="S650" s="17">
        <v>0.909090909090909</v>
      </c>
      <c r="T650" s="17">
        <v>0.9</v>
      </c>
      <c r="U650" s="17">
        <v>0.714285714285714</v>
      </c>
      <c r="V650" s="23">
        <v>0.5</v>
      </c>
    </row>
    <row r="651" ht="33" spans="1:22">
      <c r="A651" s="16">
        <v>8770</v>
      </c>
      <c r="B651" s="16" t="s">
        <v>1174</v>
      </c>
      <c r="C651" s="19">
        <v>1</v>
      </c>
      <c r="D651" s="19">
        <v>8</v>
      </c>
      <c r="E651" s="19">
        <v>4</v>
      </c>
      <c r="F651" s="19">
        <v>3</v>
      </c>
      <c r="G651" s="19">
        <v>2</v>
      </c>
      <c r="H651" s="20">
        <v>67.5</v>
      </c>
      <c r="I651" s="20">
        <v>540</v>
      </c>
      <c r="J651" s="21">
        <v>273.38</v>
      </c>
      <c r="K651" s="21">
        <v>219.72</v>
      </c>
      <c r="L651" s="21">
        <v>150.42</v>
      </c>
      <c r="M651" s="22">
        <v>0</v>
      </c>
      <c r="N651" s="22">
        <v>1</v>
      </c>
      <c r="O651" s="22">
        <v>0</v>
      </c>
      <c r="P651" s="22">
        <v>1</v>
      </c>
      <c r="Q651" s="22">
        <v>2</v>
      </c>
      <c r="R651" s="17">
        <v>1</v>
      </c>
      <c r="S651" s="17">
        <v>0.888888888888889</v>
      </c>
      <c r="T651" s="17">
        <v>1</v>
      </c>
      <c r="U651" s="17">
        <v>0.75</v>
      </c>
      <c r="V651" s="23">
        <v>0.5</v>
      </c>
    </row>
    <row r="652" ht="33" spans="1:22">
      <c r="A652" s="16">
        <v>8771</v>
      </c>
      <c r="B652" s="16" t="s">
        <v>1175</v>
      </c>
      <c r="C652" s="19">
        <v>1</v>
      </c>
      <c r="D652" s="19">
        <v>4</v>
      </c>
      <c r="E652" s="19">
        <v>5</v>
      </c>
      <c r="F652" s="19">
        <v>0</v>
      </c>
      <c r="G652" s="19">
        <v>6</v>
      </c>
      <c r="H652" s="20">
        <v>50</v>
      </c>
      <c r="I652" s="20">
        <v>231.45</v>
      </c>
      <c r="J652" s="21">
        <v>307.39</v>
      </c>
      <c r="K652" s="21">
        <v>0</v>
      </c>
      <c r="L652" s="21">
        <v>365.85</v>
      </c>
      <c r="M652" s="22">
        <v>2</v>
      </c>
      <c r="N652" s="22">
        <v>5</v>
      </c>
      <c r="O652" s="22">
        <v>2</v>
      </c>
      <c r="P652" s="22">
        <v>1</v>
      </c>
      <c r="Q652" s="22">
        <v>0</v>
      </c>
      <c r="R652" s="17">
        <v>0.333333333333333</v>
      </c>
      <c r="S652" s="17">
        <v>0.444444444444444</v>
      </c>
      <c r="T652" s="17">
        <v>0.714285714285714</v>
      </c>
      <c r="U652" s="17">
        <v>0</v>
      </c>
      <c r="V652" s="23">
        <v>1</v>
      </c>
    </row>
    <row r="653" ht="16.5" spans="1:22">
      <c r="A653" s="16">
        <v>9812</v>
      </c>
      <c r="B653" s="16" t="s">
        <v>1176</v>
      </c>
      <c r="C653" s="19">
        <v>8</v>
      </c>
      <c r="D653" s="19">
        <v>7</v>
      </c>
      <c r="E653" s="19">
        <v>15</v>
      </c>
      <c r="F653" s="19">
        <v>12</v>
      </c>
      <c r="G653" s="19">
        <v>7</v>
      </c>
      <c r="H653" s="20">
        <v>1380</v>
      </c>
      <c r="I653" s="20">
        <v>1207.2</v>
      </c>
      <c r="J653" s="21">
        <v>2523</v>
      </c>
      <c r="K653" s="21">
        <v>2072</v>
      </c>
      <c r="L653" s="21">
        <v>1216</v>
      </c>
      <c r="M653" s="22">
        <v>2</v>
      </c>
      <c r="N653" s="22">
        <v>2</v>
      </c>
      <c r="O653" s="22">
        <v>1</v>
      </c>
      <c r="P653" s="22">
        <v>0</v>
      </c>
      <c r="Q653" s="22">
        <v>2</v>
      </c>
      <c r="R653" s="17">
        <v>0.8</v>
      </c>
      <c r="S653" s="17">
        <v>0.777777777777778</v>
      </c>
      <c r="T653" s="17">
        <v>0.9375</v>
      </c>
      <c r="U653" s="17">
        <v>1</v>
      </c>
      <c r="V653" s="23">
        <v>0.777777777777778</v>
      </c>
    </row>
    <row r="654" ht="16.5" spans="1:22">
      <c r="A654" s="16">
        <v>8772</v>
      </c>
      <c r="B654" s="16" t="s">
        <v>1177</v>
      </c>
      <c r="C654" s="19">
        <v>6</v>
      </c>
      <c r="D654" s="19">
        <v>4</v>
      </c>
      <c r="E654" s="19">
        <v>6</v>
      </c>
      <c r="F654" s="19">
        <v>3</v>
      </c>
      <c r="G654" s="19">
        <v>4</v>
      </c>
      <c r="H654" s="20">
        <v>410</v>
      </c>
      <c r="I654" s="20">
        <v>254</v>
      </c>
      <c r="J654" s="21">
        <v>418.2</v>
      </c>
      <c r="K654" s="21">
        <v>214.2</v>
      </c>
      <c r="L654" s="21">
        <v>285.6</v>
      </c>
      <c r="M654" s="22">
        <v>2</v>
      </c>
      <c r="N654" s="22">
        <v>3</v>
      </c>
      <c r="O654" s="22">
        <v>5</v>
      </c>
      <c r="P654" s="22">
        <v>6</v>
      </c>
      <c r="Q654" s="22">
        <v>4</v>
      </c>
      <c r="R654" s="17">
        <v>0.75</v>
      </c>
      <c r="S654" s="17">
        <v>0.571428571428571</v>
      </c>
      <c r="T654" s="17">
        <v>0.545454545454545</v>
      </c>
      <c r="U654" s="17">
        <v>0.333333333333333</v>
      </c>
      <c r="V654" s="23">
        <v>0.5</v>
      </c>
    </row>
    <row r="655" ht="33" spans="1:22">
      <c r="A655" s="16">
        <v>9088</v>
      </c>
      <c r="B655" s="16" t="s">
        <v>1178</v>
      </c>
      <c r="C655" s="19">
        <v>18</v>
      </c>
      <c r="D655" s="19">
        <v>15</v>
      </c>
      <c r="E655" s="19">
        <v>11</v>
      </c>
      <c r="F655" s="19">
        <v>14</v>
      </c>
      <c r="G655" s="19">
        <v>17</v>
      </c>
      <c r="H655" s="20">
        <v>1088.1</v>
      </c>
      <c r="I655" s="20">
        <v>906.75</v>
      </c>
      <c r="J655" s="21">
        <v>664.95</v>
      </c>
      <c r="K655" s="21">
        <v>839.85</v>
      </c>
      <c r="L655" s="21">
        <v>1027.65</v>
      </c>
      <c r="M655" s="22">
        <v>2</v>
      </c>
      <c r="N655" s="22">
        <v>0</v>
      </c>
      <c r="O655" s="22">
        <v>1</v>
      </c>
      <c r="P655" s="22">
        <v>1</v>
      </c>
      <c r="Q655" s="22">
        <v>3</v>
      </c>
      <c r="R655" s="17">
        <v>0.9</v>
      </c>
      <c r="S655" s="17">
        <v>1</v>
      </c>
      <c r="T655" s="17">
        <v>0.916666666666667</v>
      </c>
      <c r="U655" s="17">
        <v>0.933333333333333</v>
      </c>
      <c r="V655" s="23">
        <v>0.85</v>
      </c>
    </row>
    <row r="656" ht="33" spans="1:22">
      <c r="A656" s="16">
        <v>9089</v>
      </c>
      <c r="B656" s="16" t="s">
        <v>1179</v>
      </c>
      <c r="C656" s="19">
        <v>6</v>
      </c>
      <c r="D656" s="19">
        <v>9</v>
      </c>
      <c r="E656" s="19">
        <v>7</v>
      </c>
      <c r="F656" s="19">
        <v>3</v>
      </c>
      <c r="G656" s="19">
        <v>7</v>
      </c>
      <c r="H656" s="20">
        <v>408</v>
      </c>
      <c r="I656" s="20">
        <v>612</v>
      </c>
      <c r="J656" s="21">
        <v>476</v>
      </c>
      <c r="K656" s="21">
        <v>204</v>
      </c>
      <c r="L656" s="21">
        <v>466</v>
      </c>
      <c r="M656" s="22">
        <v>1</v>
      </c>
      <c r="N656" s="22">
        <v>0</v>
      </c>
      <c r="O656" s="22">
        <v>1</v>
      </c>
      <c r="P656" s="22">
        <v>1</v>
      </c>
      <c r="Q656" s="22">
        <v>2</v>
      </c>
      <c r="R656" s="17">
        <v>0.857142857142857</v>
      </c>
      <c r="S656" s="17">
        <v>1</v>
      </c>
      <c r="T656" s="17">
        <v>0.875</v>
      </c>
      <c r="U656" s="17">
        <v>0.75</v>
      </c>
      <c r="V656" s="23">
        <v>0.777777777777778</v>
      </c>
    </row>
    <row r="657" ht="16.5" spans="1:22">
      <c r="A657" s="16">
        <v>8773</v>
      </c>
      <c r="B657" s="16" t="e">
        <v>#N/A</v>
      </c>
      <c r="C657" s="19">
        <v>4</v>
      </c>
      <c r="D657" s="19">
        <v>1</v>
      </c>
      <c r="E657" s="19">
        <v>0</v>
      </c>
      <c r="F657" s="19">
        <v>0</v>
      </c>
      <c r="G657" s="19">
        <v>0</v>
      </c>
      <c r="H657" s="20">
        <v>196.8</v>
      </c>
      <c r="I657" s="20">
        <v>49.2</v>
      </c>
      <c r="J657" s="21">
        <v>0</v>
      </c>
      <c r="K657" s="21">
        <v>0</v>
      </c>
      <c r="L657" s="21">
        <v>0</v>
      </c>
      <c r="M657" s="22">
        <v>1</v>
      </c>
      <c r="N657" s="22">
        <v>3</v>
      </c>
      <c r="O657" s="22">
        <v>3</v>
      </c>
      <c r="P657" s="22">
        <v>0</v>
      </c>
      <c r="Q657" s="22" t="e">
        <v>#N/A</v>
      </c>
      <c r="R657" s="17">
        <v>0.8</v>
      </c>
      <c r="S657" s="17">
        <v>0.25</v>
      </c>
      <c r="T657" s="17">
        <v>0</v>
      </c>
      <c r="U657" s="17">
        <v>0</v>
      </c>
      <c r="V657" s="23" t="e">
        <v>#N/A</v>
      </c>
    </row>
    <row r="658" ht="16.5" spans="1:22">
      <c r="A658" s="16">
        <v>8774</v>
      </c>
      <c r="B658" s="16" t="e">
        <v>#N/A</v>
      </c>
      <c r="C658" s="19">
        <v>3</v>
      </c>
      <c r="D658" s="19">
        <v>1</v>
      </c>
      <c r="E658" s="19">
        <v>0</v>
      </c>
      <c r="F658" s="19">
        <v>0</v>
      </c>
      <c r="G658" s="19">
        <v>0</v>
      </c>
      <c r="H658" s="20">
        <v>169.2</v>
      </c>
      <c r="I658" s="20">
        <v>56.4</v>
      </c>
      <c r="J658" s="21">
        <v>0</v>
      </c>
      <c r="K658" s="21">
        <v>0</v>
      </c>
      <c r="L658" s="21">
        <v>0</v>
      </c>
      <c r="M658" s="22">
        <v>2</v>
      </c>
      <c r="N658" s="22">
        <v>3</v>
      </c>
      <c r="O658" s="22">
        <v>7</v>
      </c>
      <c r="P658" s="22">
        <v>0</v>
      </c>
      <c r="Q658" s="22" t="e">
        <v>#N/A</v>
      </c>
      <c r="R658" s="17">
        <v>0.6</v>
      </c>
      <c r="S658" s="17">
        <v>0.25</v>
      </c>
      <c r="T658" s="17">
        <v>0</v>
      </c>
      <c r="U658" s="17">
        <v>0</v>
      </c>
      <c r="V658" s="23" t="e">
        <v>#N/A</v>
      </c>
    </row>
    <row r="659" ht="33" spans="1:22">
      <c r="A659" s="16">
        <v>9045</v>
      </c>
      <c r="B659" s="16" t="s">
        <v>1180</v>
      </c>
      <c r="C659" s="19">
        <v>19</v>
      </c>
      <c r="D659" s="19">
        <v>9</v>
      </c>
      <c r="E659" s="19">
        <v>14</v>
      </c>
      <c r="F659" s="19">
        <v>11</v>
      </c>
      <c r="G659" s="19">
        <v>11</v>
      </c>
      <c r="H659" s="20">
        <v>1302</v>
      </c>
      <c r="I659" s="20">
        <v>612</v>
      </c>
      <c r="J659" s="21">
        <v>952</v>
      </c>
      <c r="K659" s="21">
        <v>797.37</v>
      </c>
      <c r="L659" s="21">
        <v>781.02</v>
      </c>
      <c r="M659" s="22">
        <v>13</v>
      </c>
      <c r="N659" s="22">
        <v>6</v>
      </c>
      <c r="O659" s="22">
        <v>8</v>
      </c>
      <c r="P659" s="22">
        <v>10</v>
      </c>
      <c r="Q659" s="22">
        <v>15</v>
      </c>
      <c r="R659" s="17">
        <v>0.59375</v>
      </c>
      <c r="S659" s="17">
        <v>0.6</v>
      </c>
      <c r="T659" s="17">
        <v>0.636363636363636</v>
      </c>
      <c r="U659" s="17">
        <v>0.523809523809524</v>
      </c>
      <c r="V659" s="23">
        <v>0.423076923076923</v>
      </c>
    </row>
    <row r="660" ht="33" spans="1:22">
      <c r="A660" s="16">
        <v>9046</v>
      </c>
      <c r="B660" s="16" t="s">
        <v>1181</v>
      </c>
      <c r="C660" s="19">
        <v>12</v>
      </c>
      <c r="D660" s="19">
        <v>3</v>
      </c>
      <c r="E660" s="19">
        <v>11</v>
      </c>
      <c r="F660" s="19">
        <v>11</v>
      </c>
      <c r="G660" s="19">
        <v>4</v>
      </c>
      <c r="H660" s="20">
        <v>804</v>
      </c>
      <c r="I660" s="20">
        <v>204</v>
      </c>
      <c r="J660" s="21">
        <v>741</v>
      </c>
      <c r="K660" s="21">
        <v>744.37</v>
      </c>
      <c r="L660" s="21">
        <v>280.02</v>
      </c>
      <c r="M660" s="22">
        <v>5</v>
      </c>
      <c r="N660" s="22">
        <v>12</v>
      </c>
      <c r="O660" s="22">
        <v>15</v>
      </c>
      <c r="P660" s="22">
        <v>7</v>
      </c>
      <c r="Q660" s="22">
        <v>13</v>
      </c>
      <c r="R660" s="17">
        <v>0.705882352941177</v>
      </c>
      <c r="S660" s="17">
        <v>0.2</v>
      </c>
      <c r="T660" s="17">
        <v>0.423076923076923</v>
      </c>
      <c r="U660" s="17">
        <v>0.611111111111111</v>
      </c>
      <c r="V660" s="23">
        <v>0.235294117647059</v>
      </c>
    </row>
    <row r="661" ht="33" spans="1:22">
      <c r="A661" s="16">
        <v>9515</v>
      </c>
      <c r="B661" s="16" t="s">
        <v>1182</v>
      </c>
      <c r="C661" s="19">
        <v>10</v>
      </c>
      <c r="D661" s="19">
        <v>12</v>
      </c>
      <c r="E661" s="19">
        <v>11</v>
      </c>
      <c r="F661" s="19">
        <v>8</v>
      </c>
      <c r="G661" s="19">
        <v>14</v>
      </c>
      <c r="H661" s="20">
        <v>650</v>
      </c>
      <c r="I661" s="20">
        <v>780</v>
      </c>
      <c r="J661" s="21">
        <v>715</v>
      </c>
      <c r="K661" s="21">
        <v>520</v>
      </c>
      <c r="L661" s="21">
        <v>910</v>
      </c>
      <c r="M661" s="22">
        <v>4</v>
      </c>
      <c r="N661" s="22">
        <v>6</v>
      </c>
      <c r="O661" s="22">
        <v>3</v>
      </c>
      <c r="P661" s="22">
        <v>2</v>
      </c>
      <c r="Q661" s="22">
        <v>1</v>
      </c>
      <c r="R661" s="17">
        <v>0.714285714285714</v>
      </c>
      <c r="S661" s="17">
        <v>0.666666666666667</v>
      </c>
      <c r="T661" s="17">
        <v>0.785714285714286</v>
      </c>
      <c r="U661" s="17">
        <v>0.8</v>
      </c>
      <c r="V661" s="23">
        <v>0.933333333333333</v>
      </c>
    </row>
    <row r="662" ht="33" spans="1:22">
      <c r="A662" s="16">
        <v>9516</v>
      </c>
      <c r="B662" s="16" t="s">
        <v>1183</v>
      </c>
      <c r="C662" s="19">
        <v>12</v>
      </c>
      <c r="D662" s="19">
        <v>13</v>
      </c>
      <c r="E662" s="19">
        <v>12</v>
      </c>
      <c r="F662" s="19">
        <v>7</v>
      </c>
      <c r="G662" s="19">
        <v>16</v>
      </c>
      <c r="H662" s="20">
        <v>737</v>
      </c>
      <c r="I662" s="20">
        <v>797.5</v>
      </c>
      <c r="J662" s="21">
        <v>756.4</v>
      </c>
      <c r="K662" s="21">
        <v>445.5</v>
      </c>
      <c r="L662" s="21">
        <v>1062</v>
      </c>
      <c r="M662" s="22">
        <v>4</v>
      </c>
      <c r="N662" s="22">
        <v>3</v>
      </c>
      <c r="O662" s="22">
        <v>6</v>
      </c>
      <c r="P662" s="22">
        <v>9</v>
      </c>
      <c r="Q662" s="22">
        <v>0</v>
      </c>
      <c r="R662" s="17">
        <v>0.75</v>
      </c>
      <c r="S662" s="17">
        <v>0.8125</v>
      </c>
      <c r="T662" s="17">
        <v>0.666666666666667</v>
      </c>
      <c r="U662" s="17">
        <v>0.4375</v>
      </c>
      <c r="V662" s="23">
        <v>1</v>
      </c>
    </row>
    <row r="663" ht="33" spans="1:22">
      <c r="A663" s="16">
        <v>8618</v>
      </c>
      <c r="B663" s="16" t="s">
        <v>1184</v>
      </c>
      <c r="C663" s="19">
        <v>5</v>
      </c>
      <c r="D663" s="19">
        <v>8</v>
      </c>
      <c r="E663" s="19">
        <v>8</v>
      </c>
      <c r="F663" s="19">
        <v>4</v>
      </c>
      <c r="G663" s="19">
        <v>8</v>
      </c>
      <c r="H663" s="20">
        <v>283</v>
      </c>
      <c r="I663" s="20">
        <v>475.5</v>
      </c>
      <c r="J663" s="21">
        <v>475.87</v>
      </c>
      <c r="K663" s="21">
        <v>232.92</v>
      </c>
      <c r="L663" s="21">
        <v>457.6</v>
      </c>
      <c r="M663" s="22">
        <v>0</v>
      </c>
      <c r="N663" s="22">
        <v>2</v>
      </c>
      <c r="O663" s="22">
        <v>1</v>
      </c>
      <c r="P663" s="22">
        <v>1</v>
      </c>
      <c r="Q663" s="22">
        <v>1</v>
      </c>
      <c r="R663" s="17">
        <v>1</v>
      </c>
      <c r="S663" s="17">
        <v>0.8</v>
      </c>
      <c r="T663" s="17">
        <v>0.888888888888889</v>
      </c>
      <c r="U663" s="17">
        <v>0.8</v>
      </c>
      <c r="V663" s="23">
        <v>0.888888888888889</v>
      </c>
    </row>
    <row r="664" ht="16.5" spans="1:22">
      <c r="A664" s="16">
        <v>8619</v>
      </c>
      <c r="B664" s="16" t="e">
        <v>#N/A</v>
      </c>
      <c r="C664" s="19">
        <v>3</v>
      </c>
      <c r="D664" s="19">
        <v>4</v>
      </c>
      <c r="E664" s="19">
        <v>0</v>
      </c>
      <c r="F664" s="19">
        <v>0</v>
      </c>
      <c r="G664" s="19">
        <v>0</v>
      </c>
      <c r="H664" s="20">
        <v>177</v>
      </c>
      <c r="I664" s="20">
        <v>236</v>
      </c>
      <c r="J664" s="21">
        <v>0</v>
      </c>
      <c r="K664" s="21">
        <v>0</v>
      </c>
      <c r="L664" s="21">
        <v>0</v>
      </c>
      <c r="M664" s="22">
        <v>1</v>
      </c>
      <c r="N664" s="22">
        <v>0</v>
      </c>
      <c r="O664" s="22">
        <v>0</v>
      </c>
      <c r="P664" s="22">
        <v>0</v>
      </c>
      <c r="Q664" s="22" t="e">
        <v>#N/A</v>
      </c>
      <c r="R664" s="17">
        <v>0.75</v>
      </c>
      <c r="S664" s="17">
        <v>1</v>
      </c>
      <c r="T664" s="17">
        <v>0</v>
      </c>
      <c r="U664" s="17">
        <v>0</v>
      </c>
      <c r="V664" s="23" t="e">
        <v>#N/A</v>
      </c>
    </row>
    <row r="665" ht="33" spans="1:22">
      <c r="A665" s="16">
        <v>9517</v>
      </c>
      <c r="B665" s="16" t="s">
        <v>1185</v>
      </c>
      <c r="C665" s="19">
        <v>3</v>
      </c>
      <c r="D665" s="19">
        <v>7</v>
      </c>
      <c r="E665" s="19">
        <v>6</v>
      </c>
      <c r="F665" s="19">
        <v>15</v>
      </c>
      <c r="G665" s="19">
        <v>8</v>
      </c>
      <c r="H665" s="20">
        <v>207</v>
      </c>
      <c r="I665" s="20">
        <v>472.65</v>
      </c>
      <c r="J665" s="21">
        <v>400.2</v>
      </c>
      <c r="K665" s="21">
        <v>996.06</v>
      </c>
      <c r="L665" s="21">
        <v>544.15</v>
      </c>
      <c r="M665" s="22">
        <v>0</v>
      </c>
      <c r="N665" s="22">
        <v>1</v>
      </c>
      <c r="O665" s="22">
        <v>2</v>
      </c>
      <c r="P665" s="22">
        <v>3</v>
      </c>
      <c r="Q665" s="22">
        <v>0</v>
      </c>
      <c r="R665" s="17">
        <v>1</v>
      </c>
      <c r="S665" s="17">
        <v>0.875</v>
      </c>
      <c r="T665" s="17">
        <v>0.75</v>
      </c>
      <c r="U665" s="17">
        <v>0.833333333333333</v>
      </c>
      <c r="V665" s="23">
        <v>1</v>
      </c>
    </row>
    <row r="666" ht="33" spans="1:22">
      <c r="A666" s="16">
        <v>9518</v>
      </c>
      <c r="B666" s="16" t="s">
        <v>1186</v>
      </c>
      <c r="C666" s="19">
        <v>10</v>
      </c>
      <c r="D666" s="19">
        <v>5</v>
      </c>
      <c r="E666" s="19">
        <v>8</v>
      </c>
      <c r="F666" s="19">
        <v>7</v>
      </c>
      <c r="G666" s="19">
        <v>4</v>
      </c>
      <c r="H666" s="20">
        <v>690</v>
      </c>
      <c r="I666" s="20">
        <v>345</v>
      </c>
      <c r="J666" s="21">
        <v>561.28</v>
      </c>
      <c r="K666" s="21">
        <v>510.11</v>
      </c>
      <c r="L666" s="21">
        <v>289.8</v>
      </c>
      <c r="M666" s="22">
        <v>1</v>
      </c>
      <c r="N666" s="22">
        <v>2</v>
      </c>
      <c r="O666" s="22">
        <v>3</v>
      </c>
      <c r="P666" s="22">
        <v>1</v>
      </c>
      <c r="Q666" s="22">
        <v>3</v>
      </c>
      <c r="R666" s="17">
        <v>0.909090909090909</v>
      </c>
      <c r="S666" s="17">
        <v>0.714285714285714</v>
      </c>
      <c r="T666" s="17">
        <v>0.727272727272727</v>
      </c>
      <c r="U666" s="17">
        <v>0.875</v>
      </c>
      <c r="V666" s="23">
        <v>0.571428571428571</v>
      </c>
    </row>
    <row r="667" ht="33" spans="1:22">
      <c r="A667" s="16">
        <v>8775</v>
      </c>
      <c r="B667" s="16" t="s">
        <v>1187</v>
      </c>
      <c r="C667" s="19">
        <v>3</v>
      </c>
      <c r="D667" s="19">
        <v>5</v>
      </c>
      <c r="E667" s="19">
        <v>0</v>
      </c>
      <c r="F667" s="19">
        <v>2</v>
      </c>
      <c r="G667" s="19">
        <v>1</v>
      </c>
      <c r="H667" s="20">
        <v>166.74</v>
      </c>
      <c r="I667" s="20">
        <v>287.34</v>
      </c>
      <c r="J667" s="21">
        <v>0</v>
      </c>
      <c r="K667" s="21">
        <v>119.01</v>
      </c>
      <c r="L667" s="21">
        <v>61.76</v>
      </c>
      <c r="M667" s="22">
        <v>0</v>
      </c>
      <c r="N667" s="22">
        <v>0</v>
      </c>
      <c r="O667" s="22">
        <v>0</v>
      </c>
      <c r="P667" s="22">
        <v>0</v>
      </c>
      <c r="Q667" s="22">
        <v>0</v>
      </c>
      <c r="R667" s="17">
        <v>1</v>
      </c>
      <c r="S667" s="17">
        <v>1</v>
      </c>
      <c r="T667" s="17">
        <v>0</v>
      </c>
      <c r="U667" s="17">
        <v>1</v>
      </c>
      <c r="V667" s="23">
        <v>1</v>
      </c>
    </row>
    <row r="668" ht="16.5" spans="1:22">
      <c r="A668" s="16">
        <v>8776</v>
      </c>
      <c r="B668" s="16" t="e">
        <v>#N/A</v>
      </c>
      <c r="C668" s="19">
        <v>4</v>
      </c>
      <c r="D668" s="19">
        <v>2</v>
      </c>
      <c r="E668" s="19">
        <v>0</v>
      </c>
      <c r="F668" s="19">
        <v>0</v>
      </c>
      <c r="G668" s="19">
        <v>0</v>
      </c>
      <c r="H668" s="20">
        <v>238.4</v>
      </c>
      <c r="I668" s="20">
        <v>117.82</v>
      </c>
      <c r="J668" s="21">
        <v>0</v>
      </c>
      <c r="K668" s="21">
        <v>0</v>
      </c>
      <c r="L668" s="21">
        <v>0</v>
      </c>
      <c r="M668" s="22">
        <v>0</v>
      </c>
      <c r="N668" s="22">
        <v>1</v>
      </c>
      <c r="O668" s="22">
        <v>0</v>
      </c>
      <c r="P668" s="22">
        <v>0</v>
      </c>
      <c r="Q668" s="22" t="e">
        <v>#N/A</v>
      </c>
      <c r="R668" s="17">
        <v>1</v>
      </c>
      <c r="S668" s="17">
        <v>0.666666666666667</v>
      </c>
      <c r="T668" s="17">
        <v>0</v>
      </c>
      <c r="U668" s="17">
        <v>0</v>
      </c>
      <c r="V668" s="23" t="e">
        <v>#N/A</v>
      </c>
    </row>
    <row r="669" ht="33" spans="1:22">
      <c r="A669" s="16">
        <v>9282</v>
      </c>
      <c r="B669" s="16" t="s">
        <v>1188</v>
      </c>
      <c r="C669" s="19">
        <v>8</v>
      </c>
      <c r="D669" s="19">
        <v>4</v>
      </c>
      <c r="E669" s="19">
        <v>10</v>
      </c>
      <c r="F669" s="19">
        <v>6</v>
      </c>
      <c r="G669" s="19">
        <v>8</v>
      </c>
      <c r="H669" s="20">
        <v>935.16</v>
      </c>
      <c r="I669" s="20">
        <v>481.6</v>
      </c>
      <c r="J669" s="21">
        <v>1165.94</v>
      </c>
      <c r="K669" s="21">
        <v>720.76</v>
      </c>
      <c r="L669" s="21">
        <v>942.77</v>
      </c>
      <c r="M669" s="22">
        <v>3</v>
      </c>
      <c r="N669" s="22">
        <v>4</v>
      </c>
      <c r="O669" s="22">
        <v>4</v>
      </c>
      <c r="P669" s="22">
        <v>7</v>
      </c>
      <c r="Q669" s="22">
        <v>3</v>
      </c>
      <c r="R669" s="17">
        <v>0.727272727272727</v>
      </c>
      <c r="S669" s="17">
        <v>0.5</v>
      </c>
      <c r="T669" s="17">
        <v>0.714285714285714</v>
      </c>
      <c r="U669" s="17">
        <v>0.461538461538462</v>
      </c>
      <c r="V669" s="23">
        <v>0.727272727272727</v>
      </c>
    </row>
    <row r="670" ht="33" spans="1:22">
      <c r="A670" s="16">
        <v>9311</v>
      </c>
      <c r="B670" s="16" t="s">
        <v>1189</v>
      </c>
      <c r="C670" s="19">
        <v>10</v>
      </c>
      <c r="D670" s="19">
        <v>8</v>
      </c>
      <c r="E670" s="19">
        <v>9</v>
      </c>
      <c r="F670" s="19">
        <v>5</v>
      </c>
      <c r="G670" s="19">
        <v>7</v>
      </c>
      <c r="H670" s="20">
        <v>1232.93</v>
      </c>
      <c r="I670" s="20">
        <v>976</v>
      </c>
      <c r="J670" s="21">
        <v>1094.9</v>
      </c>
      <c r="K670" s="21">
        <v>643.28</v>
      </c>
      <c r="L670" s="21">
        <v>888.36</v>
      </c>
      <c r="M670" s="22">
        <v>2</v>
      </c>
      <c r="N670" s="22">
        <v>2</v>
      </c>
      <c r="O670" s="22">
        <v>5</v>
      </c>
      <c r="P670" s="22">
        <v>4</v>
      </c>
      <c r="Q670" s="22">
        <v>5</v>
      </c>
      <c r="R670" s="17">
        <v>0.833333333333333</v>
      </c>
      <c r="S670" s="17">
        <v>0.8</v>
      </c>
      <c r="T670" s="17">
        <v>0.642857142857143</v>
      </c>
      <c r="U670" s="17">
        <v>0.555555555555556</v>
      </c>
      <c r="V670" s="23">
        <v>0.583333333333333</v>
      </c>
    </row>
    <row r="671" ht="33" spans="1:22">
      <c r="A671" s="16">
        <v>8620</v>
      </c>
      <c r="B671" s="16" t="s">
        <v>1190</v>
      </c>
      <c r="C671" s="19">
        <v>9</v>
      </c>
      <c r="D671" s="19">
        <v>10</v>
      </c>
      <c r="E671" s="19">
        <v>11</v>
      </c>
      <c r="F671" s="19">
        <v>4</v>
      </c>
      <c r="G671" s="19">
        <v>5</v>
      </c>
      <c r="H671" s="20">
        <v>616.5</v>
      </c>
      <c r="I671" s="20">
        <v>685</v>
      </c>
      <c r="J671" s="21">
        <v>765.35</v>
      </c>
      <c r="K671" s="21">
        <v>282.35</v>
      </c>
      <c r="L671" s="21">
        <v>323.62</v>
      </c>
      <c r="M671" s="22">
        <v>4</v>
      </c>
      <c r="N671" s="22">
        <v>4</v>
      </c>
      <c r="O671" s="22">
        <v>4</v>
      </c>
      <c r="P671" s="22">
        <v>15</v>
      </c>
      <c r="Q671" s="22">
        <v>11</v>
      </c>
      <c r="R671" s="17">
        <v>0.692307692307692</v>
      </c>
      <c r="S671" s="17">
        <v>0.714285714285714</v>
      </c>
      <c r="T671" s="17">
        <v>0.733333333333333</v>
      </c>
      <c r="U671" s="17">
        <v>0.210526315789474</v>
      </c>
      <c r="V671" s="23">
        <v>0.3125</v>
      </c>
    </row>
    <row r="672" ht="33" spans="1:22">
      <c r="A672" s="16">
        <v>8621</v>
      </c>
      <c r="B672" s="16" t="s">
        <v>1191</v>
      </c>
      <c r="C672" s="19">
        <v>7</v>
      </c>
      <c r="D672" s="19">
        <v>3</v>
      </c>
      <c r="E672" s="19">
        <v>4</v>
      </c>
      <c r="F672" s="19">
        <v>3</v>
      </c>
      <c r="G672" s="19">
        <v>0</v>
      </c>
      <c r="H672" s="20">
        <v>488.2</v>
      </c>
      <c r="I672" s="20">
        <v>214.2</v>
      </c>
      <c r="J672" s="21">
        <v>283.4</v>
      </c>
      <c r="K672" s="21">
        <v>211.8</v>
      </c>
      <c r="L672" s="21">
        <v>0</v>
      </c>
      <c r="M672" s="22">
        <v>4</v>
      </c>
      <c r="N672" s="22">
        <v>4</v>
      </c>
      <c r="O672" s="22">
        <v>6</v>
      </c>
      <c r="P672" s="22">
        <v>6</v>
      </c>
      <c r="Q672" s="22">
        <v>7</v>
      </c>
      <c r="R672" s="17">
        <v>0.636363636363636</v>
      </c>
      <c r="S672" s="17">
        <v>0.428571428571429</v>
      </c>
      <c r="T672" s="17">
        <v>0.4</v>
      </c>
      <c r="U672" s="17">
        <v>0.333333333333333</v>
      </c>
      <c r="V672" s="23">
        <v>0</v>
      </c>
    </row>
    <row r="673" ht="33" spans="1:22">
      <c r="A673" s="16">
        <v>8999</v>
      </c>
      <c r="B673" s="16" t="s">
        <v>1192</v>
      </c>
      <c r="C673" s="19">
        <v>8</v>
      </c>
      <c r="D673" s="19">
        <v>2</v>
      </c>
      <c r="E673" s="19">
        <v>10</v>
      </c>
      <c r="F673" s="19">
        <v>9</v>
      </c>
      <c r="G673" s="19">
        <v>5</v>
      </c>
      <c r="H673" s="20">
        <v>570.54</v>
      </c>
      <c r="I673" s="20">
        <v>150.78</v>
      </c>
      <c r="J673" s="21">
        <v>768.98</v>
      </c>
      <c r="K673" s="21">
        <v>702.28</v>
      </c>
      <c r="L673" s="21">
        <v>395.8</v>
      </c>
      <c r="M673" s="22">
        <v>1</v>
      </c>
      <c r="N673" s="22">
        <v>2</v>
      </c>
      <c r="O673" s="22">
        <v>3</v>
      </c>
      <c r="P673" s="22">
        <v>1</v>
      </c>
      <c r="Q673" s="22">
        <v>3</v>
      </c>
      <c r="R673" s="17">
        <v>0.888888888888889</v>
      </c>
      <c r="S673" s="17">
        <v>0.5</v>
      </c>
      <c r="T673" s="17">
        <v>0.769230769230769</v>
      </c>
      <c r="U673" s="17">
        <v>0.9</v>
      </c>
      <c r="V673" s="23">
        <v>0.625</v>
      </c>
    </row>
    <row r="674" ht="16.5" spans="1:22">
      <c r="A674" s="16">
        <v>9000</v>
      </c>
      <c r="B674" s="16" t="e">
        <v>#N/A</v>
      </c>
      <c r="C674" s="19">
        <v>0</v>
      </c>
      <c r="D674" s="19">
        <v>1</v>
      </c>
      <c r="E674" s="19">
        <v>0</v>
      </c>
      <c r="F674" s="19">
        <v>0</v>
      </c>
      <c r="G674" s="19">
        <v>0</v>
      </c>
      <c r="H674" s="20">
        <v>0</v>
      </c>
      <c r="I674" s="20">
        <v>63.99</v>
      </c>
      <c r="J674" s="21">
        <v>0</v>
      </c>
      <c r="K674" s="21">
        <v>0</v>
      </c>
      <c r="L674" s="21">
        <v>0</v>
      </c>
      <c r="M674" s="22">
        <v>1</v>
      </c>
      <c r="N674" s="22">
        <v>0</v>
      </c>
      <c r="O674" s="22">
        <v>0</v>
      </c>
      <c r="P674" s="22">
        <v>0</v>
      </c>
      <c r="Q674" s="22" t="e">
        <v>#N/A</v>
      </c>
      <c r="R674" s="17">
        <v>0</v>
      </c>
      <c r="S674" s="17">
        <v>1</v>
      </c>
      <c r="T674" s="17">
        <v>0</v>
      </c>
      <c r="U674" s="17">
        <v>0</v>
      </c>
      <c r="V674" s="23" t="e">
        <v>#N/A</v>
      </c>
    </row>
    <row r="675" ht="33" spans="1:22">
      <c r="A675" s="16">
        <v>9771</v>
      </c>
      <c r="B675" s="16" t="s">
        <v>1193</v>
      </c>
      <c r="C675" s="19">
        <v>9</v>
      </c>
      <c r="D675" s="19">
        <v>7</v>
      </c>
      <c r="E675" s="19">
        <v>16</v>
      </c>
      <c r="F675" s="19">
        <v>12</v>
      </c>
      <c r="G675" s="19">
        <v>5</v>
      </c>
      <c r="H675" s="20">
        <v>670.57</v>
      </c>
      <c r="I675" s="20">
        <v>537.6</v>
      </c>
      <c r="J675" s="21">
        <v>1228.8</v>
      </c>
      <c r="K675" s="21">
        <v>921.6</v>
      </c>
      <c r="L675" s="21">
        <v>384</v>
      </c>
      <c r="M675" s="22">
        <v>6</v>
      </c>
      <c r="N675" s="22">
        <v>3</v>
      </c>
      <c r="O675" s="22">
        <v>4</v>
      </c>
      <c r="P675" s="22">
        <v>2</v>
      </c>
      <c r="Q675" s="22">
        <v>2</v>
      </c>
      <c r="R675" s="17">
        <v>0.6</v>
      </c>
      <c r="S675" s="17">
        <v>0.7</v>
      </c>
      <c r="T675" s="17">
        <v>0.8</v>
      </c>
      <c r="U675" s="17">
        <v>0.857142857142857</v>
      </c>
      <c r="V675" s="23">
        <v>0.714285714285714</v>
      </c>
    </row>
    <row r="676" ht="33" spans="1:22">
      <c r="A676" s="16">
        <v>9805</v>
      </c>
      <c r="B676" s="16" t="s">
        <v>1194</v>
      </c>
      <c r="C676" s="19">
        <v>2</v>
      </c>
      <c r="D676" s="19">
        <v>7</v>
      </c>
      <c r="E676" s="19">
        <v>11</v>
      </c>
      <c r="F676" s="19">
        <v>5</v>
      </c>
      <c r="G676" s="19">
        <v>11</v>
      </c>
      <c r="H676" s="20">
        <v>140</v>
      </c>
      <c r="I676" s="20">
        <v>490</v>
      </c>
      <c r="J676" s="21">
        <v>778.4</v>
      </c>
      <c r="K676" s="21">
        <v>346.1</v>
      </c>
      <c r="L676" s="21">
        <v>753.5</v>
      </c>
      <c r="M676" s="22">
        <v>3</v>
      </c>
      <c r="N676" s="22">
        <v>0</v>
      </c>
      <c r="O676" s="22">
        <v>4</v>
      </c>
      <c r="P676" s="22">
        <v>4</v>
      </c>
      <c r="Q676" s="22">
        <v>2</v>
      </c>
      <c r="R676" s="17">
        <v>0.4</v>
      </c>
      <c r="S676" s="17">
        <v>1</v>
      </c>
      <c r="T676" s="17">
        <v>0.733333333333333</v>
      </c>
      <c r="U676" s="17">
        <v>0.555555555555556</v>
      </c>
      <c r="V676" s="23">
        <v>0.846153846153846</v>
      </c>
    </row>
    <row r="677" ht="16.5" spans="1:22">
      <c r="A677" s="16">
        <v>9048</v>
      </c>
      <c r="B677" s="16" t="e">
        <v>#N/A</v>
      </c>
      <c r="C677" s="19">
        <v>1</v>
      </c>
      <c r="D677" s="19">
        <v>3</v>
      </c>
      <c r="E677" s="19">
        <v>0</v>
      </c>
      <c r="F677" s="19">
        <v>0</v>
      </c>
      <c r="G677" s="19">
        <v>0</v>
      </c>
      <c r="H677" s="20">
        <v>73.8</v>
      </c>
      <c r="I677" s="20">
        <v>179.97</v>
      </c>
      <c r="J677" s="21">
        <v>0</v>
      </c>
      <c r="K677" s="21">
        <v>0</v>
      </c>
      <c r="L677" s="21">
        <v>0</v>
      </c>
      <c r="M677" s="22">
        <v>0</v>
      </c>
      <c r="N677" s="22">
        <v>0</v>
      </c>
      <c r="O677" s="22">
        <v>0</v>
      </c>
      <c r="P677" s="22">
        <v>0</v>
      </c>
      <c r="Q677" s="22" t="e">
        <v>#N/A</v>
      </c>
      <c r="R677" s="17">
        <v>1</v>
      </c>
      <c r="S677" s="17">
        <v>1</v>
      </c>
      <c r="T677" s="17">
        <v>0</v>
      </c>
      <c r="U677" s="17">
        <v>0</v>
      </c>
      <c r="V677" s="23" t="e">
        <v>#N/A</v>
      </c>
    </row>
    <row r="678" ht="33" spans="1:22">
      <c r="A678" s="16">
        <v>8622</v>
      </c>
      <c r="B678" s="16" t="s">
        <v>1195</v>
      </c>
      <c r="C678" s="19">
        <v>7</v>
      </c>
      <c r="D678" s="19">
        <v>9</v>
      </c>
      <c r="E678" s="19">
        <v>13</v>
      </c>
      <c r="F678" s="19">
        <v>2</v>
      </c>
      <c r="G678" s="19">
        <v>2</v>
      </c>
      <c r="H678" s="20">
        <v>399</v>
      </c>
      <c r="I678" s="20">
        <v>513</v>
      </c>
      <c r="J678" s="21">
        <v>742.08</v>
      </c>
      <c r="K678" s="21">
        <v>113.43</v>
      </c>
      <c r="L678" s="21">
        <v>114</v>
      </c>
      <c r="M678" s="22">
        <v>3</v>
      </c>
      <c r="N678" s="22">
        <v>2</v>
      </c>
      <c r="O678" s="22">
        <v>3</v>
      </c>
      <c r="P678" s="22">
        <v>4</v>
      </c>
      <c r="Q678" s="22">
        <v>2</v>
      </c>
      <c r="R678" s="17">
        <v>0.7</v>
      </c>
      <c r="S678" s="17">
        <v>0.818181818181818</v>
      </c>
      <c r="T678" s="17">
        <v>0.8125</v>
      </c>
      <c r="U678" s="17">
        <v>0.333333333333333</v>
      </c>
      <c r="V678" s="23">
        <v>0.5</v>
      </c>
    </row>
    <row r="679" ht="16.5" spans="1:22">
      <c r="A679" s="16">
        <v>8623</v>
      </c>
      <c r="B679" s="16" t="e">
        <v>#N/A</v>
      </c>
      <c r="C679" s="19">
        <v>1</v>
      </c>
      <c r="D679" s="19">
        <v>1</v>
      </c>
      <c r="E679" s="19">
        <v>0</v>
      </c>
      <c r="F679" s="19">
        <v>0</v>
      </c>
      <c r="G679" s="19">
        <v>0</v>
      </c>
      <c r="H679" s="20">
        <v>58.47</v>
      </c>
      <c r="I679" s="20">
        <v>58.47</v>
      </c>
      <c r="J679" s="21">
        <v>0</v>
      </c>
      <c r="K679" s="21">
        <v>0</v>
      </c>
      <c r="L679" s="21">
        <v>0</v>
      </c>
      <c r="M679" s="22">
        <v>1</v>
      </c>
      <c r="N679" s="22">
        <v>1</v>
      </c>
      <c r="O679" s="22">
        <v>0</v>
      </c>
      <c r="P679" s="22">
        <v>0</v>
      </c>
      <c r="Q679" s="22" t="e">
        <v>#N/A</v>
      </c>
      <c r="R679" s="17">
        <v>0.5</v>
      </c>
      <c r="S679" s="17">
        <v>0.5</v>
      </c>
      <c r="T679" s="17">
        <v>0</v>
      </c>
      <c r="U679" s="17">
        <v>0</v>
      </c>
      <c r="V679" s="23" t="e">
        <v>#N/A</v>
      </c>
    </row>
    <row r="680" ht="33" spans="1:22">
      <c r="A680" s="16">
        <v>9049</v>
      </c>
      <c r="B680" s="16" t="s">
        <v>1196</v>
      </c>
      <c r="C680" s="19">
        <v>7</v>
      </c>
      <c r="D680" s="19">
        <v>10</v>
      </c>
      <c r="E680" s="19">
        <v>7</v>
      </c>
      <c r="F680" s="19">
        <v>7</v>
      </c>
      <c r="G680" s="19">
        <v>8</v>
      </c>
      <c r="H680" s="20">
        <v>362.22</v>
      </c>
      <c r="I680" s="20">
        <v>519.46</v>
      </c>
      <c r="J680" s="21">
        <v>362.44</v>
      </c>
      <c r="K680" s="21">
        <v>361.08</v>
      </c>
      <c r="L680" s="21">
        <v>430.98</v>
      </c>
      <c r="M680" s="22">
        <v>0</v>
      </c>
      <c r="N680" s="22">
        <v>0</v>
      </c>
      <c r="O680" s="22">
        <v>1</v>
      </c>
      <c r="P680" s="22">
        <v>2</v>
      </c>
      <c r="Q680" s="22">
        <v>2</v>
      </c>
      <c r="R680" s="17">
        <v>1</v>
      </c>
      <c r="S680" s="17">
        <v>1</v>
      </c>
      <c r="T680" s="17">
        <v>0.875</v>
      </c>
      <c r="U680" s="17">
        <v>0.777777777777778</v>
      </c>
      <c r="V680" s="23">
        <v>0.8</v>
      </c>
    </row>
    <row r="681" ht="33" spans="1:22">
      <c r="A681" s="16">
        <v>9289</v>
      </c>
      <c r="B681" s="16" t="s">
        <v>1197</v>
      </c>
      <c r="C681" s="19">
        <v>4</v>
      </c>
      <c r="D681" s="19">
        <v>4</v>
      </c>
      <c r="E681" s="19">
        <v>5</v>
      </c>
      <c r="F681" s="19">
        <v>3</v>
      </c>
      <c r="G681" s="19">
        <v>2</v>
      </c>
      <c r="H681" s="20">
        <v>291.8</v>
      </c>
      <c r="I681" s="20">
        <v>251.23</v>
      </c>
      <c r="J681" s="21">
        <v>295.99</v>
      </c>
      <c r="K681" s="21">
        <v>175.88</v>
      </c>
      <c r="L681" s="21">
        <v>126.38</v>
      </c>
      <c r="M681" s="22">
        <v>5</v>
      </c>
      <c r="N681" s="22">
        <v>1</v>
      </c>
      <c r="O681" s="22">
        <v>2</v>
      </c>
      <c r="P681" s="22">
        <v>7</v>
      </c>
      <c r="Q681" s="22">
        <v>1</v>
      </c>
      <c r="R681" s="17">
        <v>0.444444444444444</v>
      </c>
      <c r="S681" s="17">
        <v>0.8</v>
      </c>
      <c r="T681" s="17">
        <v>0.714285714285714</v>
      </c>
      <c r="U681" s="17">
        <v>0.3</v>
      </c>
      <c r="V681" s="23">
        <v>0.666666666666667</v>
      </c>
    </row>
    <row r="682" ht="33" spans="1:22">
      <c r="A682" s="16">
        <v>9290</v>
      </c>
      <c r="B682" s="16" t="s">
        <v>1198</v>
      </c>
      <c r="C682" s="19">
        <v>2</v>
      </c>
      <c r="D682" s="19">
        <v>4</v>
      </c>
      <c r="E682" s="19">
        <v>7</v>
      </c>
      <c r="F682" s="19">
        <v>5</v>
      </c>
      <c r="G682" s="19">
        <v>4</v>
      </c>
      <c r="H682" s="20">
        <v>122.85</v>
      </c>
      <c r="I682" s="20">
        <v>236.85</v>
      </c>
      <c r="J682" s="21">
        <v>419.33</v>
      </c>
      <c r="K682" s="21">
        <v>322.46</v>
      </c>
      <c r="L682" s="21">
        <v>269.96</v>
      </c>
      <c r="M682" s="22">
        <v>4</v>
      </c>
      <c r="N682" s="22">
        <v>1</v>
      </c>
      <c r="O682" s="22">
        <v>1</v>
      </c>
      <c r="P682" s="22">
        <v>6</v>
      </c>
      <c r="Q682" s="22">
        <v>5</v>
      </c>
      <c r="R682" s="17">
        <v>0.333333333333333</v>
      </c>
      <c r="S682" s="17">
        <v>0.8</v>
      </c>
      <c r="T682" s="17">
        <v>0.875</v>
      </c>
      <c r="U682" s="17">
        <v>0.454545454545455</v>
      </c>
      <c r="V682" s="23">
        <v>0.444444444444444</v>
      </c>
    </row>
    <row r="683" ht="16.5" spans="1:22">
      <c r="A683" s="16">
        <v>9291</v>
      </c>
      <c r="B683" s="16" t="e">
        <v>#N/A</v>
      </c>
      <c r="C683" s="19">
        <v>3</v>
      </c>
      <c r="D683" s="19">
        <v>3</v>
      </c>
      <c r="E683" s="19">
        <v>0</v>
      </c>
      <c r="F683" s="19">
        <v>0</v>
      </c>
      <c r="G683" s="19">
        <v>0</v>
      </c>
      <c r="H683" s="20">
        <v>231.35</v>
      </c>
      <c r="I683" s="20">
        <v>222.73</v>
      </c>
      <c r="J683" s="21">
        <v>0</v>
      </c>
      <c r="K683" s="21">
        <v>0</v>
      </c>
      <c r="L683" s="21">
        <v>0</v>
      </c>
      <c r="M683" s="22">
        <v>1</v>
      </c>
      <c r="N683" s="22">
        <v>0</v>
      </c>
      <c r="O683" s="22">
        <v>0</v>
      </c>
      <c r="P683" s="22">
        <v>0</v>
      </c>
      <c r="Q683" s="22" t="e">
        <v>#N/A</v>
      </c>
      <c r="R683" s="17">
        <v>0.75</v>
      </c>
      <c r="S683" s="17">
        <v>1</v>
      </c>
      <c r="T683" s="17">
        <v>0</v>
      </c>
      <c r="U683" s="17">
        <v>0</v>
      </c>
      <c r="V683" s="23" t="e">
        <v>#N/A</v>
      </c>
    </row>
    <row r="684" ht="33" spans="1:22">
      <c r="A684" s="16">
        <v>8550</v>
      </c>
      <c r="B684" s="16" t="s">
        <v>1199</v>
      </c>
      <c r="C684" s="19">
        <v>7</v>
      </c>
      <c r="D684" s="19">
        <v>10</v>
      </c>
      <c r="E684" s="19">
        <v>7</v>
      </c>
      <c r="F684" s="19">
        <v>7</v>
      </c>
      <c r="G684" s="19">
        <v>6</v>
      </c>
      <c r="H684" s="20">
        <v>558.92</v>
      </c>
      <c r="I684" s="20">
        <v>808.32</v>
      </c>
      <c r="J684" s="21">
        <v>537.88</v>
      </c>
      <c r="K684" s="21">
        <v>550.24</v>
      </c>
      <c r="L684" s="21">
        <v>490.35</v>
      </c>
      <c r="M684" s="22">
        <v>2</v>
      </c>
      <c r="N684" s="22">
        <v>1</v>
      </c>
      <c r="O684" s="22">
        <v>2</v>
      </c>
      <c r="P684" s="22">
        <v>3</v>
      </c>
      <c r="Q684" s="22">
        <v>10</v>
      </c>
      <c r="R684" s="17">
        <v>0.777777777777778</v>
      </c>
      <c r="S684" s="17">
        <v>0.909090909090909</v>
      </c>
      <c r="T684" s="17">
        <v>0.777777777777778</v>
      </c>
      <c r="U684" s="17">
        <v>0.7</v>
      </c>
      <c r="V684" s="23">
        <v>0.375</v>
      </c>
    </row>
    <row r="685" ht="33" spans="1:22">
      <c r="A685" s="16">
        <v>8551</v>
      </c>
      <c r="B685" s="16" t="s">
        <v>1200</v>
      </c>
      <c r="C685" s="19">
        <v>5</v>
      </c>
      <c r="D685" s="19">
        <v>7</v>
      </c>
      <c r="E685" s="19">
        <v>10</v>
      </c>
      <c r="F685" s="19">
        <v>3</v>
      </c>
      <c r="G685" s="19">
        <v>6</v>
      </c>
      <c r="H685" s="20">
        <v>385</v>
      </c>
      <c r="I685" s="20">
        <v>549</v>
      </c>
      <c r="J685" s="21">
        <v>763</v>
      </c>
      <c r="K685" s="21">
        <v>226</v>
      </c>
      <c r="L685" s="21">
        <v>437</v>
      </c>
      <c r="M685" s="22">
        <v>2</v>
      </c>
      <c r="N685" s="22">
        <v>1</v>
      </c>
      <c r="O685" s="22">
        <v>3</v>
      </c>
      <c r="P685" s="22">
        <v>5</v>
      </c>
      <c r="Q685" s="22">
        <v>5</v>
      </c>
      <c r="R685" s="17">
        <v>0.714285714285714</v>
      </c>
      <c r="S685" s="17">
        <v>0.875</v>
      </c>
      <c r="T685" s="17">
        <v>0.769230769230769</v>
      </c>
      <c r="U685" s="17">
        <v>0.375</v>
      </c>
      <c r="V685" s="23">
        <v>0.545454545454545</v>
      </c>
    </row>
    <row r="686" ht="16.5" spans="1:22">
      <c r="A686" s="16">
        <v>9626</v>
      </c>
      <c r="B686" s="16" t="s">
        <v>1201</v>
      </c>
      <c r="C686" s="19">
        <v>6</v>
      </c>
      <c r="D686" s="19">
        <v>4</v>
      </c>
      <c r="E686" s="19">
        <v>5</v>
      </c>
      <c r="F686" s="19">
        <v>7</v>
      </c>
      <c r="G686" s="19">
        <v>6</v>
      </c>
      <c r="H686" s="20">
        <v>606</v>
      </c>
      <c r="I686" s="20">
        <v>404</v>
      </c>
      <c r="J686" s="21">
        <v>505</v>
      </c>
      <c r="K686" s="21">
        <v>742.35</v>
      </c>
      <c r="L686" s="21">
        <v>636.3</v>
      </c>
      <c r="M686" s="22">
        <v>5</v>
      </c>
      <c r="N686" s="22">
        <v>2</v>
      </c>
      <c r="O686" s="22">
        <v>2</v>
      </c>
      <c r="P686" s="22">
        <v>4</v>
      </c>
      <c r="Q686" s="22">
        <v>3</v>
      </c>
      <c r="R686" s="17">
        <v>0.545454545454545</v>
      </c>
      <c r="S686" s="17">
        <v>0.666666666666667</v>
      </c>
      <c r="T686" s="17">
        <v>0.714285714285714</v>
      </c>
      <c r="U686" s="17">
        <v>0.636363636363636</v>
      </c>
      <c r="V686" s="23">
        <v>0.666666666666667</v>
      </c>
    </row>
    <row r="687" ht="16.5" spans="1:22">
      <c r="A687" s="16">
        <v>9816</v>
      </c>
      <c r="B687" s="16" t="e">
        <v>#N/A</v>
      </c>
      <c r="C687" s="19">
        <v>1</v>
      </c>
      <c r="D687" s="19">
        <v>0</v>
      </c>
      <c r="E687" s="19">
        <v>0</v>
      </c>
      <c r="F687" s="19">
        <v>0</v>
      </c>
      <c r="G687" s="19">
        <v>0</v>
      </c>
      <c r="H687" s="20">
        <v>125</v>
      </c>
      <c r="I687" s="20">
        <v>0</v>
      </c>
      <c r="J687" s="21">
        <v>0</v>
      </c>
      <c r="K687" s="21">
        <v>0</v>
      </c>
      <c r="L687" s="21">
        <v>0</v>
      </c>
      <c r="M687" s="22">
        <v>0</v>
      </c>
      <c r="N687" s="22">
        <v>0</v>
      </c>
      <c r="O687" s="22">
        <v>0</v>
      </c>
      <c r="P687" s="22">
        <v>0</v>
      </c>
      <c r="Q687" s="22" t="e">
        <v>#N/A</v>
      </c>
      <c r="R687" s="17">
        <v>1</v>
      </c>
      <c r="S687" s="17">
        <v>0</v>
      </c>
      <c r="T687" s="17">
        <v>0</v>
      </c>
      <c r="U687" s="17">
        <v>0</v>
      </c>
      <c r="V687" s="23" t="e">
        <v>#N/A</v>
      </c>
    </row>
    <row r="688" ht="33" spans="1:22">
      <c r="A688" s="16">
        <v>9904</v>
      </c>
      <c r="B688" s="16" t="s">
        <v>1202</v>
      </c>
      <c r="C688" s="19">
        <v>10</v>
      </c>
      <c r="D688" s="19">
        <v>12</v>
      </c>
      <c r="E688" s="19">
        <v>10</v>
      </c>
      <c r="F688" s="19">
        <v>11</v>
      </c>
      <c r="G688" s="19">
        <v>12</v>
      </c>
      <c r="H688" s="20">
        <v>1450</v>
      </c>
      <c r="I688" s="20">
        <v>1732.75</v>
      </c>
      <c r="J688" s="21">
        <v>1425</v>
      </c>
      <c r="K688" s="21">
        <v>1595</v>
      </c>
      <c r="L688" s="21">
        <v>1717</v>
      </c>
      <c r="M688" s="22">
        <v>4</v>
      </c>
      <c r="N688" s="22">
        <v>1</v>
      </c>
      <c r="O688" s="22">
        <v>2</v>
      </c>
      <c r="P688" s="22">
        <v>2</v>
      </c>
      <c r="Q688" s="22">
        <v>5</v>
      </c>
      <c r="R688" s="17">
        <v>0.714285714285714</v>
      </c>
      <c r="S688" s="17">
        <v>0.923076923076923</v>
      </c>
      <c r="T688" s="17">
        <v>0.833333333333333</v>
      </c>
      <c r="U688" s="17">
        <v>0.846153846153846</v>
      </c>
      <c r="V688" s="23">
        <v>0.705882352941177</v>
      </c>
    </row>
    <row r="689" ht="16.5" spans="1:22">
      <c r="A689" s="16">
        <v>8779</v>
      </c>
      <c r="B689" s="16" t="e">
        <v>#N/A</v>
      </c>
      <c r="C689" s="19">
        <v>6</v>
      </c>
      <c r="D689" s="19">
        <v>1</v>
      </c>
      <c r="E689" s="19">
        <v>0</v>
      </c>
      <c r="F689" s="19">
        <v>0</v>
      </c>
      <c r="G689" s="19">
        <v>0</v>
      </c>
      <c r="H689" s="20">
        <v>454</v>
      </c>
      <c r="I689" s="20">
        <v>76</v>
      </c>
      <c r="J689" s="21">
        <v>0</v>
      </c>
      <c r="K689" s="21">
        <v>0</v>
      </c>
      <c r="L689" s="21">
        <v>0</v>
      </c>
      <c r="M689" s="22">
        <v>0</v>
      </c>
      <c r="N689" s="22">
        <v>3</v>
      </c>
      <c r="O689" s="22">
        <v>4</v>
      </c>
      <c r="P689" s="22">
        <v>0</v>
      </c>
      <c r="Q689" s="22" t="e">
        <v>#N/A</v>
      </c>
      <c r="R689" s="17">
        <v>1</v>
      </c>
      <c r="S689" s="17">
        <v>0.25</v>
      </c>
      <c r="T689" s="17">
        <v>0</v>
      </c>
      <c r="U689" s="17">
        <v>0</v>
      </c>
      <c r="V689" s="23" t="e">
        <v>#N/A</v>
      </c>
    </row>
    <row r="690" ht="33" spans="1:22">
      <c r="A690" s="16">
        <v>8780</v>
      </c>
      <c r="B690" s="16" t="s">
        <v>1203</v>
      </c>
      <c r="C690" s="19">
        <v>3</v>
      </c>
      <c r="D690" s="19">
        <v>1</v>
      </c>
      <c r="E690" s="19">
        <v>6</v>
      </c>
      <c r="F690" s="19">
        <v>2</v>
      </c>
      <c r="G690" s="19">
        <v>4</v>
      </c>
      <c r="H690" s="20">
        <v>204</v>
      </c>
      <c r="I690" s="20">
        <v>71</v>
      </c>
      <c r="J690" s="21">
        <v>432.39</v>
      </c>
      <c r="K690" s="21">
        <v>146.26</v>
      </c>
      <c r="L690" s="21">
        <v>295.87</v>
      </c>
      <c r="M690" s="22">
        <v>2</v>
      </c>
      <c r="N690" s="22">
        <v>4</v>
      </c>
      <c r="O690" s="22">
        <v>9</v>
      </c>
      <c r="P690" s="22">
        <v>10</v>
      </c>
      <c r="Q690" s="22">
        <v>4</v>
      </c>
      <c r="R690" s="17">
        <v>0.6</v>
      </c>
      <c r="S690" s="17">
        <v>0.2</v>
      </c>
      <c r="T690" s="17">
        <v>0.4</v>
      </c>
      <c r="U690" s="17">
        <v>0.166666666666667</v>
      </c>
      <c r="V690" s="23">
        <v>0.5</v>
      </c>
    </row>
    <row r="691" ht="16.5" spans="1:22">
      <c r="A691" s="16">
        <v>8728</v>
      </c>
      <c r="B691" s="16" t="s">
        <v>1204</v>
      </c>
      <c r="C691" s="19">
        <v>14</v>
      </c>
      <c r="D691" s="19">
        <v>4</v>
      </c>
      <c r="E691" s="19">
        <v>2</v>
      </c>
      <c r="F691" s="19">
        <v>3</v>
      </c>
      <c r="G691" s="19">
        <v>6</v>
      </c>
      <c r="H691" s="20">
        <v>1021.62</v>
      </c>
      <c r="I691" s="20">
        <v>288.31</v>
      </c>
      <c r="J691" s="21">
        <v>144.98</v>
      </c>
      <c r="K691" s="21">
        <v>201.6</v>
      </c>
      <c r="L691" s="21">
        <v>408.14</v>
      </c>
      <c r="M691" s="22">
        <v>4</v>
      </c>
      <c r="N691" s="22">
        <v>4</v>
      </c>
      <c r="O691" s="22">
        <v>3</v>
      </c>
      <c r="P691" s="22">
        <v>8</v>
      </c>
      <c r="Q691" s="22">
        <v>16</v>
      </c>
      <c r="R691" s="17">
        <v>0.777777777777778</v>
      </c>
      <c r="S691" s="17">
        <v>0.5</v>
      </c>
      <c r="T691" s="17">
        <v>0.4</v>
      </c>
      <c r="U691" s="17">
        <v>0.272727272727273</v>
      </c>
      <c r="V691" s="23">
        <v>0.272727272727273</v>
      </c>
    </row>
    <row r="692" ht="16.5" spans="1:22">
      <c r="A692" s="16">
        <v>8810</v>
      </c>
      <c r="B692" s="16" t="s">
        <v>1205</v>
      </c>
      <c r="C692" s="19">
        <v>7</v>
      </c>
      <c r="D692" s="19">
        <v>4</v>
      </c>
      <c r="E692" s="19">
        <v>3</v>
      </c>
      <c r="F692" s="19">
        <v>4</v>
      </c>
      <c r="G692" s="19">
        <v>4</v>
      </c>
      <c r="H692" s="20">
        <v>512.5</v>
      </c>
      <c r="I692" s="20">
        <v>292</v>
      </c>
      <c r="J692" s="21">
        <v>209.4</v>
      </c>
      <c r="K692" s="21">
        <v>287.9</v>
      </c>
      <c r="L692" s="21">
        <v>277.6</v>
      </c>
      <c r="M692" s="22">
        <v>3</v>
      </c>
      <c r="N692" s="22">
        <v>4</v>
      </c>
      <c r="O692" s="22">
        <v>5</v>
      </c>
      <c r="P692" s="22">
        <v>12</v>
      </c>
      <c r="Q692" s="22">
        <v>8</v>
      </c>
      <c r="R692" s="17">
        <v>0.7</v>
      </c>
      <c r="S692" s="17">
        <v>0.5</v>
      </c>
      <c r="T692" s="17">
        <v>0.375</v>
      </c>
      <c r="U692" s="17">
        <v>0.25</v>
      </c>
      <c r="V692" s="23">
        <v>0.333333333333333</v>
      </c>
    </row>
    <row r="693" ht="16.5" spans="1:22">
      <c r="A693" s="16">
        <v>10349</v>
      </c>
      <c r="B693" s="16" t="s">
        <v>1206</v>
      </c>
      <c r="C693" s="19">
        <v>7</v>
      </c>
      <c r="D693" s="19">
        <v>3</v>
      </c>
      <c r="E693" s="19">
        <v>5</v>
      </c>
      <c r="F693" s="19">
        <v>4</v>
      </c>
      <c r="G693" s="19">
        <v>3</v>
      </c>
      <c r="H693" s="20">
        <v>1134</v>
      </c>
      <c r="I693" s="20">
        <v>510</v>
      </c>
      <c r="J693" s="21">
        <v>837</v>
      </c>
      <c r="K693" s="21">
        <v>723.67</v>
      </c>
      <c r="L693" s="21">
        <v>510</v>
      </c>
      <c r="M693" s="22">
        <v>0</v>
      </c>
      <c r="N693" s="22">
        <v>0</v>
      </c>
      <c r="O693" s="22">
        <v>0</v>
      </c>
      <c r="P693" s="22">
        <v>0</v>
      </c>
      <c r="Q693" s="22">
        <v>0</v>
      </c>
      <c r="R693" s="17">
        <v>1</v>
      </c>
      <c r="S693" s="17">
        <v>1</v>
      </c>
      <c r="T693" s="17">
        <v>1</v>
      </c>
      <c r="U693" s="17">
        <v>1</v>
      </c>
      <c r="V693" s="23">
        <v>1</v>
      </c>
    </row>
    <row r="694" ht="33" spans="1:22">
      <c r="A694" s="16">
        <v>8552</v>
      </c>
      <c r="B694" s="16" t="s">
        <v>1207</v>
      </c>
      <c r="C694" s="19">
        <v>2</v>
      </c>
      <c r="D694" s="19">
        <v>3</v>
      </c>
      <c r="E694" s="19">
        <v>4</v>
      </c>
      <c r="F694" s="19">
        <v>2</v>
      </c>
      <c r="G694" s="19">
        <v>3</v>
      </c>
      <c r="H694" s="20">
        <v>184</v>
      </c>
      <c r="I694" s="20">
        <v>248.4</v>
      </c>
      <c r="J694" s="21">
        <v>338.64</v>
      </c>
      <c r="K694" s="21">
        <v>170.56</v>
      </c>
      <c r="L694" s="21">
        <v>255.84</v>
      </c>
      <c r="M694" s="22">
        <v>3</v>
      </c>
      <c r="N694" s="22">
        <v>2</v>
      </c>
      <c r="O694" s="22">
        <v>2</v>
      </c>
      <c r="P694" s="22">
        <v>3</v>
      </c>
      <c r="Q694" s="22">
        <v>1</v>
      </c>
      <c r="R694" s="17">
        <v>0.4</v>
      </c>
      <c r="S694" s="17">
        <v>0.6</v>
      </c>
      <c r="T694" s="17">
        <v>0.666666666666667</v>
      </c>
      <c r="U694" s="17">
        <v>0.4</v>
      </c>
      <c r="V694" s="23">
        <v>0.75</v>
      </c>
    </row>
    <row r="695" ht="33" spans="1:22">
      <c r="A695" s="16">
        <v>8553</v>
      </c>
      <c r="B695" s="16" t="s">
        <v>1208</v>
      </c>
      <c r="C695" s="19">
        <v>2</v>
      </c>
      <c r="D695" s="19">
        <v>2</v>
      </c>
      <c r="E695" s="19">
        <v>3</v>
      </c>
      <c r="F695" s="19">
        <v>1</v>
      </c>
      <c r="G695" s="19">
        <v>1</v>
      </c>
      <c r="H695" s="20">
        <v>184</v>
      </c>
      <c r="I695" s="20">
        <v>184</v>
      </c>
      <c r="J695" s="21">
        <v>281.52</v>
      </c>
      <c r="K695" s="21">
        <v>94.76</v>
      </c>
      <c r="L695" s="21">
        <v>95.26</v>
      </c>
      <c r="M695" s="22">
        <v>3</v>
      </c>
      <c r="N695" s="22">
        <v>3</v>
      </c>
      <c r="O695" s="22">
        <v>0</v>
      </c>
      <c r="P695" s="22">
        <v>7</v>
      </c>
      <c r="Q695" s="22">
        <v>5</v>
      </c>
      <c r="R695" s="17">
        <v>0.4</v>
      </c>
      <c r="S695" s="17">
        <v>0.4</v>
      </c>
      <c r="T695" s="17">
        <v>1</v>
      </c>
      <c r="U695" s="17">
        <v>0.125</v>
      </c>
      <c r="V695" s="23">
        <v>0.166666666666667</v>
      </c>
    </row>
    <row r="696" ht="33" spans="1:22">
      <c r="A696" s="16">
        <v>8624</v>
      </c>
      <c r="B696" s="16" t="s">
        <v>1209</v>
      </c>
      <c r="C696" s="19">
        <v>6</v>
      </c>
      <c r="D696" s="19">
        <v>4</v>
      </c>
      <c r="E696" s="19">
        <v>8</v>
      </c>
      <c r="F696" s="19">
        <v>2</v>
      </c>
      <c r="G696" s="19">
        <v>6</v>
      </c>
      <c r="H696" s="20">
        <v>343.35</v>
      </c>
      <c r="I696" s="20">
        <v>219.95</v>
      </c>
      <c r="J696" s="21">
        <v>463.4</v>
      </c>
      <c r="K696" s="21">
        <v>116.7</v>
      </c>
      <c r="L696" s="21">
        <v>350.1</v>
      </c>
      <c r="M696" s="22">
        <v>5</v>
      </c>
      <c r="N696" s="22">
        <v>1</v>
      </c>
      <c r="O696" s="22">
        <v>6</v>
      </c>
      <c r="P696" s="22">
        <v>4</v>
      </c>
      <c r="Q696" s="22">
        <v>5</v>
      </c>
      <c r="R696" s="17">
        <v>0.545454545454545</v>
      </c>
      <c r="S696" s="17">
        <v>0.8</v>
      </c>
      <c r="T696" s="17">
        <v>0.571428571428571</v>
      </c>
      <c r="U696" s="17">
        <v>0.333333333333333</v>
      </c>
      <c r="V696" s="23">
        <v>0.545454545454545</v>
      </c>
    </row>
    <row r="697" ht="33" spans="1:22">
      <c r="A697" s="16">
        <v>8625</v>
      </c>
      <c r="B697" s="16" t="s">
        <v>1210</v>
      </c>
      <c r="C697" s="19">
        <v>3</v>
      </c>
      <c r="D697" s="19">
        <v>3</v>
      </c>
      <c r="E697" s="19">
        <v>10</v>
      </c>
      <c r="F697" s="19">
        <v>1</v>
      </c>
      <c r="G697" s="19">
        <v>3</v>
      </c>
      <c r="H697" s="20">
        <v>170.1</v>
      </c>
      <c r="I697" s="20">
        <v>170.25</v>
      </c>
      <c r="J697" s="21">
        <v>566.17</v>
      </c>
      <c r="K697" s="21">
        <v>56.51</v>
      </c>
      <c r="L697" s="21">
        <v>169.53</v>
      </c>
      <c r="M697" s="22">
        <v>1</v>
      </c>
      <c r="N697" s="22">
        <v>1</v>
      </c>
      <c r="O697" s="22">
        <v>2</v>
      </c>
      <c r="P697" s="22">
        <v>5</v>
      </c>
      <c r="Q697" s="22">
        <v>3</v>
      </c>
      <c r="R697" s="17">
        <v>0.75</v>
      </c>
      <c r="S697" s="17">
        <v>0.75</v>
      </c>
      <c r="T697" s="17">
        <v>0.833333333333333</v>
      </c>
      <c r="U697" s="17">
        <v>0.166666666666667</v>
      </c>
      <c r="V697" s="23">
        <v>0.5</v>
      </c>
    </row>
    <row r="698" ht="33" spans="1:22">
      <c r="A698" s="16">
        <v>9912</v>
      </c>
      <c r="B698" s="16" t="s">
        <v>1211</v>
      </c>
      <c r="C698" s="19">
        <v>5</v>
      </c>
      <c r="D698" s="19">
        <v>3</v>
      </c>
      <c r="E698" s="19">
        <v>10</v>
      </c>
      <c r="F698" s="19">
        <v>6</v>
      </c>
      <c r="G698" s="19">
        <v>7</v>
      </c>
      <c r="H698" s="20">
        <v>832</v>
      </c>
      <c r="I698" s="20">
        <v>507</v>
      </c>
      <c r="J698" s="21">
        <v>1631.5</v>
      </c>
      <c r="K698" s="21">
        <v>1044</v>
      </c>
      <c r="L698" s="21">
        <v>1195</v>
      </c>
      <c r="M698" s="22">
        <v>0</v>
      </c>
      <c r="N698" s="22">
        <v>0</v>
      </c>
      <c r="O698" s="22">
        <v>0</v>
      </c>
      <c r="P698" s="22">
        <v>0</v>
      </c>
      <c r="Q698" s="22">
        <v>0</v>
      </c>
      <c r="R698" s="17">
        <v>1</v>
      </c>
      <c r="S698" s="17">
        <v>1</v>
      </c>
      <c r="T698" s="17">
        <v>1</v>
      </c>
      <c r="U698" s="17">
        <v>1</v>
      </c>
      <c r="V698" s="23">
        <v>1</v>
      </c>
    </row>
    <row r="699" ht="33" spans="1:22">
      <c r="A699" s="16">
        <v>9981</v>
      </c>
      <c r="B699" s="16" t="s">
        <v>1212</v>
      </c>
      <c r="C699" s="19">
        <v>15</v>
      </c>
      <c r="D699" s="19">
        <v>17</v>
      </c>
      <c r="E699" s="19">
        <v>18</v>
      </c>
      <c r="F699" s="19">
        <v>11</v>
      </c>
      <c r="G699" s="19">
        <v>22</v>
      </c>
      <c r="H699" s="20">
        <v>2823</v>
      </c>
      <c r="I699" s="20">
        <v>3249</v>
      </c>
      <c r="J699" s="21">
        <v>3431.5</v>
      </c>
      <c r="K699" s="21">
        <v>2158.25</v>
      </c>
      <c r="L699" s="21">
        <v>4358.25</v>
      </c>
      <c r="M699" s="22">
        <v>4</v>
      </c>
      <c r="N699" s="22">
        <v>1</v>
      </c>
      <c r="O699" s="22">
        <v>1</v>
      </c>
      <c r="P699" s="22">
        <v>7</v>
      </c>
      <c r="Q699" s="22">
        <v>1</v>
      </c>
      <c r="R699" s="17">
        <v>0.789473684210526</v>
      </c>
      <c r="S699" s="17">
        <v>0.944444444444444</v>
      </c>
      <c r="T699" s="17">
        <v>0.947368421052632</v>
      </c>
      <c r="U699" s="17">
        <v>0.611111111111111</v>
      </c>
      <c r="V699" s="23">
        <v>0.956521739130435</v>
      </c>
    </row>
    <row r="700" ht="33" spans="1:22">
      <c r="A700" s="16">
        <v>8781</v>
      </c>
      <c r="B700" s="16" t="s">
        <v>1213</v>
      </c>
      <c r="C700" s="19">
        <v>3</v>
      </c>
      <c r="D700" s="19">
        <v>8</v>
      </c>
      <c r="E700" s="19">
        <v>8</v>
      </c>
      <c r="F700" s="19">
        <v>1</v>
      </c>
      <c r="G700" s="19">
        <v>0</v>
      </c>
      <c r="H700" s="20">
        <v>339</v>
      </c>
      <c r="I700" s="20">
        <v>812</v>
      </c>
      <c r="J700" s="21">
        <v>782</v>
      </c>
      <c r="K700" s="21">
        <v>109.99</v>
      </c>
      <c r="L700" s="21">
        <v>0</v>
      </c>
      <c r="M700" s="22">
        <v>4</v>
      </c>
      <c r="N700" s="22">
        <v>10</v>
      </c>
      <c r="O700" s="22">
        <v>17</v>
      </c>
      <c r="P700" s="22">
        <v>9</v>
      </c>
      <c r="Q700" s="22">
        <v>23</v>
      </c>
      <c r="R700" s="17">
        <v>0.428571428571429</v>
      </c>
      <c r="S700" s="17">
        <v>0.444444444444444</v>
      </c>
      <c r="T700" s="17">
        <v>0.32</v>
      </c>
      <c r="U700" s="17">
        <v>0.1</v>
      </c>
      <c r="V700" s="23">
        <v>0</v>
      </c>
    </row>
    <row r="701" ht="33" spans="1:22">
      <c r="A701" s="16">
        <v>8783</v>
      </c>
      <c r="B701" s="16" t="s">
        <v>1214</v>
      </c>
      <c r="C701" s="19">
        <v>6</v>
      </c>
      <c r="D701" s="19">
        <v>1</v>
      </c>
      <c r="E701" s="19">
        <v>7</v>
      </c>
      <c r="F701" s="19">
        <v>3</v>
      </c>
      <c r="G701" s="19">
        <v>10</v>
      </c>
      <c r="H701" s="20">
        <v>670</v>
      </c>
      <c r="I701" s="20">
        <v>96.3</v>
      </c>
      <c r="J701" s="21">
        <v>748.87</v>
      </c>
      <c r="K701" s="21">
        <v>336</v>
      </c>
      <c r="L701" s="21">
        <v>1161</v>
      </c>
      <c r="M701" s="22">
        <v>7</v>
      </c>
      <c r="N701" s="22">
        <v>9</v>
      </c>
      <c r="O701" s="22">
        <v>5</v>
      </c>
      <c r="P701" s="22">
        <v>8</v>
      </c>
      <c r="Q701" s="22">
        <v>18</v>
      </c>
      <c r="R701" s="17">
        <v>0.461538461538462</v>
      </c>
      <c r="S701" s="17">
        <v>0.1</v>
      </c>
      <c r="T701" s="17">
        <v>0.583333333333333</v>
      </c>
      <c r="U701" s="17">
        <v>0.272727272727273</v>
      </c>
      <c r="V701" s="23">
        <v>0.357142857142857</v>
      </c>
    </row>
    <row r="702" ht="33" spans="1:22">
      <c r="A702" s="16">
        <v>9938</v>
      </c>
      <c r="B702" s="16" t="s">
        <v>1215</v>
      </c>
      <c r="C702" s="19">
        <v>14</v>
      </c>
      <c r="D702" s="19">
        <v>7</v>
      </c>
      <c r="E702" s="19">
        <v>11</v>
      </c>
      <c r="F702" s="19">
        <v>14</v>
      </c>
      <c r="G702" s="19">
        <v>9</v>
      </c>
      <c r="H702" s="20">
        <v>2486</v>
      </c>
      <c r="I702" s="20">
        <v>1258</v>
      </c>
      <c r="J702" s="21">
        <v>1923</v>
      </c>
      <c r="K702" s="21">
        <v>2488</v>
      </c>
      <c r="L702" s="21">
        <v>1570.8</v>
      </c>
      <c r="M702" s="22">
        <v>3</v>
      </c>
      <c r="N702" s="22">
        <v>0</v>
      </c>
      <c r="O702" s="22">
        <v>2</v>
      </c>
      <c r="P702" s="22">
        <v>2</v>
      </c>
      <c r="Q702" s="22">
        <v>0</v>
      </c>
      <c r="R702" s="17">
        <v>0.823529411764706</v>
      </c>
      <c r="S702" s="17">
        <v>1</v>
      </c>
      <c r="T702" s="17">
        <v>0.846153846153846</v>
      </c>
      <c r="U702" s="17">
        <v>0.875</v>
      </c>
      <c r="V702" s="23">
        <v>1</v>
      </c>
    </row>
    <row r="703" ht="33" spans="1:22">
      <c r="A703" s="16">
        <v>8699</v>
      </c>
      <c r="B703" s="16" t="s">
        <v>1216</v>
      </c>
      <c r="C703" s="19">
        <v>3</v>
      </c>
      <c r="D703" s="19">
        <v>4</v>
      </c>
      <c r="E703" s="19">
        <v>3</v>
      </c>
      <c r="F703" s="19">
        <v>7</v>
      </c>
      <c r="G703" s="19">
        <v>5</v>
      </c>
      <c r="H703" s="20">
        <v>207</v>
      </c>
      <c r="I703" s="20">
        <v>248.4</v>
      </c>
      <c r="J703" s="21">
        <v>186.3</v>
      </c>
      <c r="K703" s="21">
        <v>434.7</v>
      </c>
      <c r="L703" s="21">
        <v>310.5</v>
      </c>
      <c r="M703" s="22">
        <v>0</v>
      </c>
      <c r="N703" s="22">
        <v>6</v>
      </c>
      <c r="O703" s="22">
        <v>2</v>
      </c>
      <c r="P703" s="22">
        <v>3</v>
      </c>
      <c r="Q703" s="22">
        <v>2</v>
      </c>
      <c r="R703" s="17">
        <v>1</v>
      </c>
      <c r="S703" s="17">
        <v>0.4</v>
      </c>
      <c r="T703" s="17">
        <v>0.6</v>
      </c>
      <c r="U703" s="17">
        <v>0.7</v>
      </c>
      <c r="V703" s="23">
        <v>0.714285714285714</v>
      </c>
    </row>
    <row r="704" ht="16.5" spans="1:22">
      <c r="A704" s="16">
        <v>9627</v>
      </c>
      <c r="B704" s="16" t="s">
        <v>1217</v>
      </c>
      <c r="C704" s="19">
        <v>21</v>
      </c>
      <c r="D704" s="19">
        <v>16</v>
      </c>
      <c r="E704" s="19">
        <v>6</v>
      </c>
      <c r="F704" s="19">
        <v>12</v>
      </c>
      <c r="G704" s="19">
        <v>7</v>
      </c>
      <c r="H704" s="20">
        <v>3255</v>
      </c>
      <c r="I704" s="20">
        <v>2449</v>
      </c>
      <c r="J704" s="21">
        <v>910</v>
      </c>
      <c r="K704" s="21">
        <v>1855</v>
      </c>
      <c r="L704" s="21">
        <v>1067</v>
      </c>
      <c r="M704" s="22">
        <v>13</v>
      </c>
      <c r="N704" s="22">
        <v>6</v>
      </c>
      <c r="O704" s="22">
        <v>7</v>
      </c>
      <c r="P704" s="22">
        <v>4</v>
      </c>
      <c r="Q704" s="22">
        <v>5</v>
      </c>
      <c r="R704" s="17">
        <v>0.617647058823529</v>
      </c>
      <c r="S704" s="17">
        <v>0.727272727272727</v>
      </c>
      <c r="T704" s="17">
        <v>0.461538461538462</v>
      </c>
      <c r="U704" s="17">
        <v>0.75</v>
      </c>
      <c r="V704" s="23">
        <v>0.583333333333333</v>
      </c>
    </row>
    <row r="705" ht="33" spans="1:22">
      <c r="A705" s="16">
        <v>9860</v>
      </c>
      <c r="B705" s="16" t="s">
        <v>1218</v>
      </c>
      <c r="C705" s="19">
        <v>3</v>
      </c>
      <c r="D705" s="19">
        <v>13</v>
      </c>
      <c r="E705" s="19">
        <v>10</v>
      </c>
      <c r="F705" s="19">
        <v>11</v>
      </c>
      <c r="G705" s="19">
        <v>10</v>
      </c>
      <c r="H705" s="20">
        <v>237</v>
      </c>
      <c r="I705" s="20">
        <v>1029</v>
      </c>
      <c r="J705" s="21">
        <v>792</v>
      </c>
      <c r="K705" s="21">
        <v>881.8</v>
      </c>
      <c r="L705" s="21">
        <v>796</v>
      </c>
      <c r="M705" s="22">
        <v>2</v>
      </c>
      <c r="N705" s="22">
        <v>0</v>
      </c>
      <c r="O705" s="22">
        <v>1</v>
      </c>
      <c r="P705" s="22">
        <v>0</v>
      </c>
      <c r="Q705" s="22">
        <v>2</v>
      </c>
      <c r="R705" s="17">
        <v>0.6</v>
      </c>
      <c r="S705" s="17">
        <v>1</v>
      </c>
      <c r="T705" s="17">
        <v>0.909090909090909</v>
      </c>
      <c r="U705" s="17">
        <v>1</v>
      </c>
      <c r="V705" s="23">
        <v>0.833333333333333</v>
      </c>
    </row>
    <row r="706" ht="16.5" spans="1:22">
      <c r="A706" s="16">
        <v>9939</v>
      </c>
      <c r="B706" s="16" t="e">
        <v>#N/A</v>
      </c>
      <c r="C706" s="19">
        <v>1</v>
      </c>
      <c r="D706" s="19">
        <v>0</v>
      </c>
      <c r="E706" s="19">
        <v>0</v>
      </c>
      <c r="F706" s="19">
        <v>0</v>
      </c>
      <c r="G706" s="19">
        <v>0</v>
      </c>
      <c r="H706" s="20">
        <v>89</v>
      </c>
      <c r="I706" s="20">
        <v>0</v>
      </c>
      <c r="J706" s="21">
        <v>0</v>
      </c>
      <c r="K706" s="21">
        <v>0</v>
      </c>
      <c r="L706" s="21">
        <v>0</v>
      </c>
      <c r="M706" s="22">
        <v>2</v>
      </c>
      <c r="N706" s="22">
        <v>0</v>
      </c>
      <c r="O706" s="22">
        <v>1</v>
      </c>
      <c r="P706" s="22">
        <v>0</v>
      </c>
      <c r="Q706" s="22" t="e">
        <v>#N/A</v>
      </c>
      <c r="R706" s="17">
        <v>0.333333333333333</v>
      </c>
      <c r="S706" s="17">
        <v>0</v>
      </c>
      <c r="T706" s="17">
        <v>0</v>
      </c>
      <c r="U706" s="17">
        <v>0</v>
      </c>
      <c r="V706" s="23" t="e">
        <v>#N/A</v>
      </c>
    </row>
    <row r="707" ht="16.5" spans="1:22">
      <c r="A707" s="16">
        <v>542</v>
      </c>
      <c r="B707" s="16" t="s">
        <v>1219</v>
      </c>
      <c r="C707" s="19">
        <v>41</v>
      </c>
      <c r="D707" s="19">
        <v>43</v>
      </c>
      <c r="E707" s="19">
        <v>72</v>
      </c>
      <c r="F707" s="19">
        <v>57</v>
      </c>
      <c r="G707" s="19">
        <v>57</v>
      </c>
      <c r="H707" s="20">
        <v>982.39</v>
      </c>
      <c r="I707" s="20">
        <v>1095.26</v>
      </c>
      <c r="J707" s="21">
        <v>1827.98</v>
      </c>
      <c r="K707" s="21">
        <v>1452.8</v>
      </c>
      <c r="L707" s="21">
        <v>1445.42</v>
      </c>
      <c r="M707" s="22">
        <v>15</v>
      </c>
      <c r="N707" s="22">
        <v>14</v>
      </c>
      <c r="O707" s="22">
        <v>12</v>
      </c>
      <c r="P707" s="22">
        <v>13</v>
      </c>
      <c r="Q707" s="22">
        <v>12</v>
      </c>
      <c r="R707" s="17">
        <v>0.732142857142857</v>
      </c>
      <c r="S707" s="17">
        <v>0.754385964912281</v>
      </c>
      <c r="T707" s="17">
        <v>0.857142857142857</v>
      </c>
      <c r="U707" s="17">
        <v>0.814285714285714</v>
      </c>
      <c r="V707" s="23">
        <v>0.826086956521739</v>
      </c>
    </row>
    <row r="708" ht="33" spans="1:22">
      <c r="A708" s="16">
        <v>5869</v>
      </c>
      <c r="B708" s="16" t="s">
        <v>1220</v>
      </c>
      <c r="C708" s="19">
        <v>12</v>
      </c>
      <c r="D708" s="19">
        <v>11</v>
      </c>
      <c r="E708" s="19">
        <v>19</v>
      </c>
      <c r="F708" s="19">
        <v>15</v>
      </c>
      <c r="G708" s="19">
        <v>16</v>
      </c>
      <c r="H708" s="20">
        <v>2114.38</v>
      </c>
      <c r="I708" s="20">
        <v>1989.19</v>
      </c>
      <c r="J708" s="21">
        <v>3476.91</v>
      </c>
      <c r="K708" s="21">
        <v>2719.8</v>
      </c>
      <c r="L708" s="21">
        <v>2823.84</v>
      </c>
      <c r="M708" s="22">
        <v>0</v>
      </c>
      <c r="N708" s="22">
        <v>2</v>
      </c>
      <c r="O708" s="22">
        <v>6</v>
      </c>
      <c r="P708" s="22">
        <v>0</v>
      </c>
      <c r="Q708" s="22">
        <v>0</v>
      </c>
      <c r="R708" s="17">
        <v>1</v>
      </c>
      <c r="S708" s="17">
        <v>0.846153846153846</v>
      </c>
      <c r="T708" s="17">
        <v>0.76</v>
      </c>
      <c r="U708" s="17">
        <v>1</v>
      </c>
      <c r="V708" s="23">
        <v>1</v>
      </c>
    </row>
    <row r="709" ht="33" spans="1:22">
      <c r="A709" s="16">
        <v>5987</v>
      </c>
      <c r="B709" s="16" t="s">
        <v>1221</v>
      </c>
      <c r="C709" s="19">
        <v>4</v>
      </c>
      <c r="D709" s="19">
        <v>4</v>
      </c>
      <c r="E709" s="19">
        <v>6</v>
      </c>
      <c r="F709" s="19">
        <v>4</v>
      </c>
      <c r="G709" s="19">
        <v>5</v>
      </c>
      <c r="H709" s="20">
        <v>707.47</v>
      </c>
      <c r="I709" s="20">
        <v>707.47</v>
      </c>
      <c r="J709" s="21">
        <v>1061.94</v>
      </c>
      <c r="K709" s="21">
        <v>707.96</v>
      </c>
      <c r="L709" s="21">
        <v>884.46</v>
      </c>
      <c r="M709" s="22">
        <v>2</v>
      </c>
      <c r="N709" s="22">
        <v>4</v>
      </c>
      <c r="O709" s="22">
        <v>1</v>
      </c>
      <c r="P709" s="22">
        <v>0</v>
      </c>
      <c r="Q709" s="22">
        <v>1</v>
      </c>
      <c r="R709" s="17">
        <v>0.666666666666667</v>
      </c>
      <c r="S709" s="17">
        <v>0.5</v>
      </c>
      <c r="T709" s="17">
        <v>0.857142857142857</v>
      </c>
      <c r="U709" s="17">
        <v>1</v>
      </c>
      <c r="V709" s="23">
        <v>0.833333333333333</v>
      </c>
    </row>
    <row r="710" ht="33" spans="1:22">
      <c r="A710" s="16">
        <v>5362</v>
      </c>
      <c r="B710" s="16" t="s">
        <v>1222</v>
      </c>
      <c r="C710" s="19">
        <v>20</v>
      </c>
      <c r="D710" s="19">
        <v>12</v>
      </c>
      <c r="E710" s="19">
        <v>12</v>
      </c>
      <c r="F710" s="19">
        <v>5</v>
      </c>
      <c r="G710" s="19">
        <v>8</v>
      </c>
      <c r="H710" s="20">
        <v>3728</v>
      </c>
      <c r="I710" s="20">
        <v>2210.4</v>
      </c>
      <c r="J710" s="21">
        <v>2184.14</v>
      </c>
      <c r="K710" s="21">
        <v>932</v>
      </c>
      <c r="L710" s="21">
        <v>1483.74</v>
      </c>
      <c r="M710" s="22">
        <v>1</v>
      </c>
      <c r="N710" s="22">
        <v>3</v>
      </c>
      <c r="O710" s="22">
        <v>9</v>
      </c>
      <c r="P710" s="22">
        <v>3</v>
      </c>
      <c r="Q710" s="22">
        <v>9</v>
      </c>
      <c r="R710" s="17">
        <v>0.952380952380952</v>
      </c>
      <c r="S710" s="17">
        <v>0.8</v>
      </c>
      <c r="T710" s="17">
        <v>0.571428571428571</v>
      </c>
      <c r="U710" s="17">
        <v>0.625</v>
      </c>
      <c r="V710" s="23">
        <v>0.470588235294118</v>
      </c>
    </row>
    <row r="711" ht="33" spans="1:22">
      <c r="A711" s="16">
        <v>5363</v>
      </c>
      <c r="B711" s="16" t="s">
        <v>1223</v>
      </c>
      <c r="C711" s="19">
        <v>17</v>
      </c>
      <c r="D711" s="19">
        <v>9</v>
      </c>
      <c r="E711" s="19">
        <v>12</v>
      </c>
      <c r="F711" s="19">
        <v>6</v>
      </c>
      <c r="G711" s="19">
        <v>10</v>
      </c>
      <c r="H711" s="20">
        <v>2825.74</v>
      </c>
      <c r="I711" s="20">
        <v>1534.24</v>
      </c>
      <c r="J711" s="21">
        <v>2037.5</v>
      </c>
      <c r="K711" s="21">
        <v>1034.45</v>
      </c>
      <c r="L711" s="21">
        <v>1666.35</v>
      </c>
      <c r="M711" s="22">
        <v>1</v>
      </c>
      <c r="N711" s="22">
        <v>1</v>
      </c>
      <c r="O711" s="22">
        <v>1</v>
      </c>
      <c r="P711" s="22">
        <v>1</v>
      </c>
      <c r="Q711" s="22">
        <v>0</v>
      </c>
      <c r="R711" s="17">
        <v>0.944444444444444</v>
      </c>
      <c r="S711" s="17">
        <v>0.9</v>
      </c>
      <c r="T711" s="17">
        <v>0.923076923076923</v>
      </c>
      <c r="U711" s="17">
        <v>0.857142857142857</v>
      </c>
      <c r="V711" s="23">
        <v>1</v>
      </c>
    </row>
    <row r="712" ht="16.5" spans="1:22">
      <c r="A712" s="16">
        <v>9953</v>
      </c>
      <c r="B712" s="16" t="s">
        <v>1224</v>
      </c>
      <c r="C712" s="19">
        <v>4</v>
      </c>
      <c r="D712" s="19">
        <v>6</v>
      </c>
      <c r="E712" s="19">
        <v>5</v>
      </c>
      <c r="F712" s="19">
        <v>3</v>
      </c>
      <c r="G712" s="19">
        <v>7</v>
      </c>
      <c r="H712" s="20">
        <v>880</v>
      </c>
      <c r="I712" s="20">
        <v>1280</v>
      </c>
      <c r="J712" s="21">
        <v>1068</v>
      </c>
      <c r="K712" s="21">
        <v>604.2</v>
      </c>
      <c r="L712" s="21">
        <v>1441.6</v>
      </c>
      <c r="M712" s="22">
        <v>3</v>
      </c>
      <c r="N712" s="22">
        <v>3</v>
      </c>
      <c r="O712" s="22">
        <v>1</v>
      </c>
      <c r="P712" s="22">
        <v>1</v>
      </c>
      <c r="Q712" s="22">
        <v>3</v>
      </c>
      <c r="R712" s="17">
        <v>0.571428571428571</v>
      </c>
      <c r="S712" s="17">
        <v>0.666666666666667</v>
      </c>
      <c r="T712" s="17">
        <v>0.833333333333333</v>
      </c>
      <c r="U712" s="17">
        <v>0.75</v>
      </c>
      <c r="V712" s="23">
        <v>0.7</v>
      </c>
    </row>
    <row r="713" ht="16.5" spans="1:22">
      <c r="A713" s="16">
        <v>9008</v>
      </c>
      <c r="B713" s="16" t="s">
        <v>1225</v>
      </c>
      <c r="C713" s="19">
        <v>6</v>
      </c>
      <c r="D713" s="19">
        <v>2</v>
      </c>
      <c r="E713" s="19">
        <v>3</v>
      </c>
      <c r="F713" s="19">
        <v>3</v>
      </c>
      <c r="G713" s="19">
        <v>8</v>
      </c>
      <c r="H713" s="20">
        <v>721.95</v>
      </c>
      <c r="I713" s="20">
        <v>239.98</v>
      </c>
      <c r="J713" s="21">
        <v>359.97</v>
      </c>
      <c r="K713" s="21">
        <v>344.97</v>
      </c>
      <c r="L713" s="21">
        <v>919.92</v>
      </c>
      <c r="M713" s="22">
        <v>9</v>
      </c>
      <c r="N713" s="22">
        <v>12</v>
      </c>
      <c r="O713" s="22">
        <v>9</v>
      </c>
      <c r="P713" s="22">
        <v>20</v>
      </c>
      <c r="Q713" s="22">
        <v>11</v>
      </c>
      <c r="R713" s="17">
        <v>0.4</v>
      </c>
      <c r="S713" s="17">
        <v>0.142857142857143</v>
      </c>
      <c r="T713" s="17">
        <v>0.25</v>
      </c>
      <c r="U713" s="17">
        <v>0.130434782608696</v>
      </c>
      <c r="V713" s="23">
        <v>0.421052631578947</v>
      </c>
    </row>
    <row r="714" ht="16.5" spans="1:22">
      <c r="A714" s="16">
        <v>2763</v>
      </c>
      <c r="B714" s="16" t="s">
        <v>1226</v>
      </c>
      <c r="C714" s="19">
        <v>6</v>
      </c>
      <c r="D714" s="19">
        <v>7</v>
      </c>
      <c r="E714" s="19">
        <v>3</v>
      </c>
      <c r="F714" s="19">
        <v>11</v>
      </c>
      <c r="G714" s="19">
        <v>10</v>
      </c>
      <c r="H714" s="20">
        <v>579.9</v>
      </c>
      <c r="I714" s="20">
        <v>679.88</v>
      </c>
      <c r="J714" s="21">
        <v>299.44</v>
      </c>
      <c r="K714" s="21">
        <v>1099.28</v>
      </c>
      <c r="L714" s="21">
        <v>956.36</v>
      </c>
      <c r="M714" s="22">
        <v>0</v>
      </c>
      <c r="N714" s="22">
        <v>0</v>
      </c>
      <c r="O714" s="22">
        <v>0</v>
      </c>
      <c r="P714" s="22">
        <v>2</v>
      </c>
      <c r="Q714" s="22">
        <v>2</v>
      </c>
      <c r="R714" s="17">
        <v>1</v>
      </c>
      <c r="S714" s="17">
        <v>1</v>
      </c>
      <c r="T714" s="17">
        <v>1</v>
      </c>
      <c r="U714" s="17">
        <v>0.846153846153846</v>
      </c>
      <c r="V714" s="23">
        <v>0.833333333333333</v>
      </c>
    </row>
    <row r="715" ht="16.5" spans="1:22">
      <c r="A715" s="16">
        <v>2764</v>
      </c>
      <c r="B715" s="16" t="s">
        <v>1227</v>
      </c>
      <c r="C715" s="19">
        <v>4</v>
      </c>
      <c r="D715" s="19">
        <v>4</v>
      </c>
      <c r="E715" s="19">
        <v>8</v>
      </c>
      <c r="F715" s="19">
        <v>3</v>
      </c>
      <c r="G715" s="19">
        <v>4</v>
      </c>
      <c r="H715" s="20">
        <v>334</v>
      </c>
      <c r="I715" s="20">
        <v>330.36</v>
      </c>
      <c r="J715" s="21">
        <v>677.24</v>
      </c>
      <c r="K715" s="21">
        <v>245.37</v>
      </c>
      <c r="L715" s="21">
        <v>327.16</v>
      </c>
      <c r="M715" s="22">
        <v>1</v>
      </c>
      <c r="N715" s="22">
        <v>2</v>
      </c>
      <c r="O715" s="22">
        <v>0</v>
      </c>
      <c r="P715" s="22">
        <v>2</v>
      </c>
      <c r="Q715" s="22">
        <v>2</v>
      </c>
      <c r="R715" s="17">
        <v>0.8</v>
      </c>
      <c r="S715" s="17">
        <v>0.666666666666667</v>
      </c>
      <c r="T715" s="17">
        <v>1</v>
      </c>
      <c r="U715" s="17">
        <v>0.6</v>
      </c>
      <c r="V715" s="23">
        <v>0.666666666666667</v>
      </c>
    </row>
    <row r="716" ht="16.5" spans="1:22">
      <c r="A716" s="16">
        <v>2798</v>
      </c>
      <c r="B716" s="16" t="s">
        <v>1228</v>
      </c>
      <c r="C716" s="19">
        <v>3</v>
      </c>
      <c r="D716" s="19">
        <v>5</v>
      </c>
      <c r="E716" s="19">
        <v>7</v>
      </c>
      <c r="F716" s="19">
        <v>6</v>
      </c>
      <c r="G716" s="19">
        <v>3</v>
      </c>
      <c r="H716" s="20">
        <v>306.91</v>
      </c>
      <c r="I716" s="20">
        <v>525.31</v>
      </c>
      <c r="J716" s="21">
        <v>710.73</v>
      </c>
      <c r="K716" s="21">
        <v>595.93</v>
      </c>
      <c r="L716" s="21">
        <v>291.03</v>
      </c>
      <c r="M716" s="22">
        <v>0</v>
      </c>
      <c r="N716" s="22">
        <v>0</v>
      </c>
      <c r="O716" s="22">
        <v>0</v>
      </c>
      <c r="P716" s="22">
        <v>0</v>
      </c>
      <c r="Q716" s="22">
        <v>1</v>
      </c>
      <c r="R716" s="17">
        <v>1</v>
      </c>
      <c r="S716" s="17">
        <v>1</v>
      </c>
      <c r="T716" s="17">
        <v>1</v>
      </c>
      <c r="U716" s="17">
        <v>1</v>
      </c>
      <c r="V716" s="23">
        <v>0.75</v>
      </c>
    </row>
    <row r="717" ht="16.5" spans="1:22">
      <c r="A717" s="16">
        <v>2772</v>
      </c>
      <c r="B717" s="16" t="s">
        <v>1229</v>
      </c>
      <c r="C717" s="19">
        <v>7</v>
      </c>
      <c r="D717" s="19">
        <v>12</v>
      </c>
      <c r="E717" s="19">
        <v>17</v>
      </c>
      <c r="F717" s="19">
        <v>11</v>
      </c>
      <c r="G717" s="19">
        <v>15</v>
      </c>
      <c r="H717" s="20">
        <v>923.5</v>
      </c>
      <c r="I717" s="20">
        <v>1605.78</v>
      </c>
      <c r="J717" s="21">
        <v>2258.8</v>
      </c>
      <c r="K717" s="21">
        <v>1530.35</v>
      </c>
      <c r="L717" s="21">
        <v>2053.78</v>
      </c>
      <c r="M717" s="22">
        <v>1</v>
      </c>
      <c r="N717" s="22">
        <v>0</v>
      </c>
      <c r="O717" s="22">
        <v>1</v>
      </c>
      <c r="P717" s="22">
        <v>3</v>
      </c>
      <c r="Q717" s="22">
        <v>1</v>
      </c>
      <c r="R717" s="17">
        <v>0.875</v>
      </c>
      <c r="S717" s="17">
        <v>1</v>
      </c>
      <c r="T717" s="17">
        <v>0.944444444444444</v>
      </c>
      <c r="U717" s="17">
        <v>0.785714285714286</v>
      </c>
      <c r="V717" s="23">
        <v>0.9375</v>
      </c>
    </row>
    <row r="718" ht="16.5" spans="1:22">
      <c r="A718" s="16">
        <v>2893</v>
      </c>
      <c r="B718" s="16" t="s">
        <v>1230</v>
      </c>
      <c r="C718" s="19">
        <v>5</v>
      </c>
      <c r="D718" s="19">
        <v>5</v>
      </c>
      <c r="E718" s="19">
        <v>13</v>
      </c>
      <c r="F718" s="19">
        <v>13</v>
      </c>
      <c r="G718" s="19">
        <v>10</v>
      </c>
      <c r="H718" s="20">
        <v>759.83</v>
      </c>
      <c r="I718" s="20">
        <v>759.83</v>
      </c>
      <c r="J718" s="21">
        <v>2016.47</v>
      </c>
      <c r="K718" s="21">
        <v>2077.57</v>
      </c>
      <c r="L718" s="21">
        <v>1604.22</v>
      </c>
      <c r="M718" s="22">
        <v>1</v>
      </c>
      <c r="N718" s="22">
        <v>0</v>
      </c>
      <c r="O718" s="22">
        <v>0</v>
      </c>
      <c r="P718" s="22">
        <v>0</v>
      </c>
      <c r="Q718" s="22">
        <v>0</v>
      </c>
      <c r="R718" s="17">
        <v>0.833333333333333</v>
      </c>
      <c r="S718" s="17">
        <v>1</v>
      </c>
      <c r="T718" s="17">
        <v>1</v>
      </c>
      <c r="U718" s="17">
        <v>1</v>
      </c>
      <c r="V718" s="23">
        <v>1</v>
      </c>
    </row>
    <row r="719" ht="16.5" spans="1:22">
      <c r="A719" s="16">
        <v>2388</v>
      </c>
      <c r="B719" s="16" t="s">
        <v>1231</v>
      </c>
      <c r="C719" s="19">
        <v>40</v>
      </c>
      <c r="D719" s="19">
        <v>10</v>
      </c>
      <c r="E719" s="19">
        <v>33</v>
      </c>
      <c r="F719" s="19">
        <v>56</v>
      </c>
      <c r="G719" s="19">
        <v>51</v>
      </c>
      <c r="H719" s="20">
        <v>2003.08</v>
      </c>
      <c r="I719" s="20">
        <v>498.95</v>
      </c>
      <c r="J719" s="21">
        <v>1330.58</v>
      </c>
      <c r="K719" s="21">
        <v>2123.86</v>
      </c>
      <c r="L719" s="21">
        <v>1927.56</v>
      </c>
      <c r="M719" s="22">
        <v>17</v>
      </c>
      <c r="N719" s="22">
        <v>36</v>
      </c>
      <c r="O719" s="22">
        <v>29</v>
      </c>
      <c r="P719" s="22">
        <v>23</v>
      </c>
      <c r="Q719" s="22">
        <v>22</v>
      </c>
      <c r="R719" s="17">
        <v>0.701754385964912</v>
      </c>
      <c r="S719" s="17">
        <v>0.217391304347826</v>
      </c>
      <c r="T719" s="17">
        <v>0.532258064516129</v>
      </c>
      <c r="U719" s="17">
        <v>0.708860759493671</v>
      </c>
      <c r="V719" s="23">
        <v>0.698630136986301</v>
      </c>
    </row>
    <row r="720" ht="16.5" spans="1:22">
      <c r="A720" s="16">
        <v>3452</v>
      </c>
      <c r="B720" s="16" t="s">
        <v>1232</v>
      </c>
      <c r="C720" s="19">
        <v>15</v>
      </c>
      <c r="D720" s="19">
        <v>16</v>
      </c>
      <c r="E720" s="19">
        <v>21</v>
      </c>
      <c r="F720" s="19">
        <v>22</v>
      </c>
      <c r="G720" s="19">
        <v>31</v>
      </c>
      <c r="H720" s="20">
        <v>511.29</v>
      </c>
      <c r="I720" s="20">
        <v>538.56</v>
      </c>
      <c r="J720" s="21">
        <v>704.86</v>
      </c>
      <c r="K720" s="21">
        <v>740.02</v>
      </c>
      <c r="L720" s="21">
        <v>1036.09</v>
      </c>
      <c r="M720" s="22">
        <v>9</v>
      </c>
      <c r="N720" s="22">
        <v>8</v>
      </c>
      <c r="O720" s="22">
        <v>13</v>
      </c>
      <c r="P720" s="22">
        <v>11</v>
      </c>
      <c r="Q720" s="22">
        <v>9</v>
      </c>
      <c r="R720" s="17">
        <v>0.625</v>
      </c>
      <c r="S720" s="17">
        <v>0.666666666666667</v>
      </c>
      <c r="T720" s="17">
        <v>0.617647058823529</v>
      </c>
      <c r="U720" s="17">
        <v>0.666666666666667</v>
      </c>
      <c r="V720" s="23">
        <v>0.775</v>
      </c>
    </row>
    <row r="721" ht="16.5" spans="1:22">
      <c r="A721" s="16">
        <v>9135</v>
      </c>
      <c r="B721" s="16" t="s">
        <v>1233</v>
      </c>
      <c r="C721" s="19">
        <v>1</v>
      </c>
      <c r="D721" s="19">
        <v>3</v>
      </c>
      <c r="E721" s="19">
        <v>0</v>
      </c>
      <c r="F721" s="19">
        <v>2</v>
      </c>
      <c r="G721" s="19">
        <v>6</v>
      </c>
      <c r="H721" s="20">
        <v>100.53</v>
      </c>
      <c r="I721" s="20">
        <v>229</v>
      </c>
      <c r="J721" s="21">
        <v>0</v>
      </c>
      <c r="K721" s="21">
        <v>130</v>
      </c>
      <c r="L721" s="21">
        <v>390</v>
      </c>
      <c r="M721" s="22">
        <v>8</v>
      </c>
      <c r="N721" s="22">
        <v>0</v>
      </c>
      <c r="O721" s="22">
        <v>3</v>
      </c>
      <c r="P721" s="22">
        <v>11</v>
      </c>
      <c r="Q721" s="22">
        <v>0</v>
      </c>
      <c r="R721" s="17">
        <v>0.111111111111111</v>
      </c>
      <c r="S721" s="17">
        <v>1</v>
      </c>
      <c r="T721" s="17">
        <v>0</v>
      </c>
      <c r="U721" s="17">
        <v>0.153846153846154</v>
      </c>
      <c r="V721" s="23">
        <v>1</v>
      </c>
    </row>
    <row r="722" ht="33" spans="1:22">
      <c r="A722" s="16">
        <v>9577</v>
      </c>
      <c r="B722" s="16" t="s">
        <v>1234</v>
      </c>
      <c r="C722" s="19">
        <v>10</v>
      </c>
      <c r="D722" s="19">
        <v>12</v>
      </c>
      <c r="E722" s="19">
        <v>10</v>
      </c>
      <c r="F722" s="19">
        <v>8</v>
      </c>
      <c r="G722" s="19">
        <v>5</v>
      </c>
      <c r="H722" s="20">
        <v>2432</v>
      </c>
      <c r="I722" s="20">
        <v>3030</v>
      </c>
      <c r="J722" s="21">
        <v>2478</v>
      </c>
      <c r="K722" s="21">
        <v>2000</v>
      </c>
      <c r="L722" s="21">
        <v>1223</v>
      </c>
      <c r="M722" s="22">
        <v>0</v>
      </c>
      <c r="N722" s="22">
        <v>0</v>
      </c>
      <c r="O722" s="22">
        <v>0</v>
      </c>
      <c r="P722" s="22">
        <v>0</v>
      </c>
      <c r="Q722" s="22">
        <v>0</v>
      </c>
      <c r="R722" s="17">
        <v>1</v>
      </c>
      <c r="S722" s="17">
        <v>1</v>
      </c>
      <c r="T722" s="17">
        <v>1</v>
      </c>
      <c r="U722" s="17">
        <v>1</v>
      </c>
      <c r="V722" s="23">
        <v>1</v>
      </c>
    </row>
    <row r="723" ht="33" spans="1:22">
      <c r="A723" s="16">
        <v>10008</v>
      </c>
      <c r="B723" s="16" t="s">
        <v>1235</v>
      </c>
      <c r="C723" s="19">
        <v>56</v>
      </c>
      <c r="D723" s="19">
        <v>50</v>
      </c>
      <c r="E723" s="19">
        <v>99</v>
      </c>
      <c r="F723" s="19">
        <v>95</v>
      </c>
      <c r="G723" s="19">
        <v>60</v>
      </c>
      <c r="H723" s="20">
        <v>1735.44</v>
      </c>
      <c r="I723" s="20">
        <v>1549.5</v>
      </c>
      <c r="J723" s="21">
        <v>3133.33</v>
      </c>
      <c r="K723" s="21">
        <v>3089.15</v>
      </c>
      <c r="L723" s="21">
        <v>2266</v>
      </c>
      <c r="M723" s="22">
        <v>28</v>
      </c>
      <c r="N723" s="22">
        <v>20</v>
      </c>
      <c r="O723" s="22">
        <v>30</v>
      </c>
      <c r="P723" s="22">
        <v>34</v>
      </c>
      <c r="Q723" s="22">
        <v>39</v>
      </c>
      <c r="R723" s="17">
        <v>0.666666666666667</v>
      </c>
      <c r="S723" s="17">
        <v>0.714285714285714</v>
      </c>
      <c r="T723" s="17">
        <v>0.767441860465116</v>
      </c>
      <c r="U723" s="17">
        <v>0.736434108527132</v>
      </c>
      <c r="V723" s="23">
        <v>0.606060606060606</v>
      </c>
    </row>
    <row r="724" ht="33" spans="1:22">
      <c r="A724" s="16">
        <v>10009</v>
      </c>
      <c r="B724" s="16" t="s">
        <v>1236</v>
      </c>
      <c r="C724" s="19">
        <v>1</v>
      </c>
      <c r="D724" s="19">
        <v>2</v>
      </c>
      <c r="E724" s="19">
        <v>6</v>
      </c>
      <c r="F724" s="19">
        <v>4</v>
      </c>
      <c r="G724" s="19">
        <v>16</v>
      </c>
      <c r="H724" s="20">
        <v>27.7</v>
      </c>
      <c r="I724" s="20">
        <v>55.4</v>
      </c>
      <c r="J724" s="21">
        <v>166.2</v>
      </c>
      <c r="K724" s="21">
        <v>110.8</v>
      </c>
      <c r="L724" s="21">
        <v>437.63</v>
      </c>
      <c r="M724" s="22">
        <v>14</v>
      </c>
      <c r="N724" s="22">
        <v>18</v>
      </c>
      <c r="O724" s="22">
        <v>24</v>
      </c>
      <c r="P724" s="22">
        <v>20</v>
      </c>
      <c r="Q724" s="22">
        <v>19</v>
      </c>
      <c r="R724" s="17">
        <v>0.0666666666666667</v>
      </c>
      <c r="S724" s="17">
        <v>0.1</v>
      </c>
      <c r="T724" s="17">
        <v>0.2</v>
      </c>
      <c r="U724" s="17">
        <v>0.166666666666667</v>
      </c>
      <c r="V724" s="23">
        <v>0.457142857142857</v>
      </c>
    </row>
    <row r="725" ht="33" spans="1:22">
      <c r="A725" s="16">
        <v>10010</v>
      </c>
      <c r="B725" s="16" t="s">
        <v>1237</v>
      </c>
      <c r="C725" s="19">
        <v>2</v>
      </c>
      <c r="D725" s="19">
        <v>12</v>
      </c>
      <c r="E725" s="19">
        <v>7</v>
      </c>
      <c r="F725" s="19">
        <v>12</v>
      </c>
      <c r="G725" s="19">
        <v>8</v>
      </c>
      <c r="H725" s="20">
        <v>52.98</v>
      </c>
      <c r="I725" s="20">
        <v>233.88</v>
      </c>
      <c r="J725" s="21">
        <v>145.43</v>
      </c>
      <c r="K725" s="21">
        <v>316.77</v>
      </c>
      <c r="L725" s="21">
        <v>214.51</v>
      </c>
      <c r="M725" s="22">
        <v>23</v>
      </c>
      <c r="N725" s="22">
        <v>18</v>
      </c>
      <c r="O725" s="22">
        <v>31</v>
      </c>
      <c r="P725" s="22">
        <v>10</v>
      </c>
      <c r="Q725" s="22">
        <v>14</v>
      </c>
      <c r="R725" s="17">
        <v>0.08</v>
      </c>
      <c r="S725" s="17">
        <v>0.4</v>
      </c>
      <c r="T725" s="17">
        <v>0.184210526315789</v>
      </c>
      <c r="U725" s="17">
        <v>0.545454545454545</v>
      </c>
      <c r="V725" s="23">
        <v>0.363636363636364</v>
      </c>
    </row>
    <row r="726" ht="33" spans="1:22">
      <c r="A726" s="16">
        <v>10012</v>
      </c>
      <c r="B726" s="16" t="s">
        <v>1238</v>
      </c>
      <c r="C726" s="19">
        <v>4</v>
      </c>
      <c r="D726" s="19">
        <v>5</v>
      </c>
      <c r="E726" s="19">
        <v>9</v>
      </c>
      <c r="F726" s="19">
        <v>8</v>
      </c>
      <c r="G726" s="19">
        <v>5</v>
      </c>
      <c r="H726" s="20">
        <v>249.6</v>
      </c>
      <c r="I726" s="20">
        <v>303</v>
      </c>
      <c r="J726" s="21">
        <v>522.4</v>
      </c>
      <c r="K726" s="21">
        <v>468</v>
      </c>
      <c r="L726" s="21">
        <v>312</v>
      </c>
      <c r="M726" s="22">
        <v>0</v>
      </c>
      <c r="N726" s="22">
        <v>0</v>
      </c>
      <c r="O726" s="22">
        <v>0</v>
      </c>
      <c r="P726" s="22">
        <v>0</v>
      </c>
      <c r="Q726" s="22">
        <v>0</v>
      </c>
      <c r="R726" s="17">
        <v>1</v>
      </c>
      <c r="S726" s="17">
        <v>1</v>
      </c>
      <c r="T726" s="17">
        <v>1</v>
      </c>
      <c r="U726" s="17">
        <v>1</v>
      </c>
      <c r="V726" s="23">
        <v>1</v>
      </c>
    </row>
    <row r="727" ht="33" spans="1:22">
      <c r="A727" s="16">
        <v>10059</v>
      </c>
      <c r="B727" s="16" t="s">
        <v>1239</v>
      </c>
      <c r="C727" s="19">
        <v>24</v>
      </c>
      <c r="D727" s="19">
        <v>30</v>
      </c>
      <c r="E727" s="19">
        <v>33</v>
      </c>
      <c r="F727" s="19">
        <v>25</v>
      </c>
      <c r="G727" s="19">
        <v>19</v>
      </c>
      <c r="H727" s="20">
        <v>444.92</v>
      </c>
      <c r="I727" s="20">
        <v>548.7</v>
      </c>
      <c r="J727" s="21">
        <v>618.93</v>
      </c>
      <c r="K727" s="21">
        <v>481.69</v>
      </c>
      <c r="L727" s="21">
        <v>362.07</v>
      </c>
      <c r="M727" s="22">
        <v>9</v>
      </c>
      <c r="N727" s="22">
        <v>16</v>
      </c>
      <c r="O727" s="22">
        <v>5</v>
      </c>
      <c r="P727" s="22">
        <v>10</v>
      </c>
      <c r="Q727" s="22">
        <v>15</v>
      </c>
      <c r="R727" s="17">
        <v>0.727272727272727</v>
      </c>
      <c r="S727" s="17">
        <v>0.652173913043478</v>
      </c>
      <c r="T727" s="17">
        <v>0.868421052631579</v>
      </c>
      <c r="U727" s="17">
        <v>0.714285714285714</v>
      </c>
      <c r="V727" s="23">
        <v>0.558823529411765</v>
      </c>
    </row>
    <row r="728" ht="33" spans="1:22">
      <c r="A728" s="16">
        <v>10060</v>
      </c>
      <c r="B728" s="16" t="s">
        <v>1240</v>
      </c>
      <c r="C728" s="19">
        <v>6</v>
      </c>
      <c r="D728" s="19">
        <v>8</v>
      </c>
      <c r="E728" s="19">
        <v>19</v>
      </c>
      <c r="F728" s="19">
        <v>8</v>
      </c>
      <c r="G728" s="19">
        <v>9</v>
      </c>
      <c r="H728" s="20">
        <v>115.26</v>
      </c>
      <c r="I728" s="20">
        <v>148</v>
      </c>
      <c r="J728" s="21">
        <v>351.5</v>
      </c>
      <c r="K728" s="21">
        <v>149</v>
      </c>
      <c r="L728" s="21">
        <v>166.5</v>
      </c>
      <c r="M728" s="22">
        <v>22</v>
      </c>
      <c r="N728" s="22">
        <v>18</v>
      </c>
      <c r="O728" s="22">
        <v>16</v>
      </c>
      <c r="P728" s="22">
        <v>19</v>
      </c>
      <c r="Q728" s="22">
        <v>16</v>
      </c>
      <c r="R728" s="17">
        <v>0.214285714285714</v>
      </c>
      <c r="S728" s="17">
        <v>0.307692307692308</v>
      </c>
      <c r="T728" s="17">
        <v>0.542857142857143</v>
      </c>
      <c r="U728" s="17">
        <v>0.296296296296296</v>
      </c>
      <c r="V728" s="23">
        <v>0.36</v>
      </c>
    </row>
    <row r="729" ht="33" spans="1:22">
      <c r="A729" s="16">
        <v>10061</v>
      </c>
      <c r="B729" s="16" t="s">
        <v>1241</v>
      </c>
      <c r="C729" s="19">
        <v>13</v>
      </c>
      <c r="D729" s="19">
        <v>5</v>
      </c>
      <c r="E729" s="19">
        <v>14</v>
      </c>
      <c r="F729" s="19">
        <v>11</v>
      </c>
      <c r="G729" s="19">
        <v>0</v>
      </c>
      <c r="H729" s="20">
        <v>297.95</v>
      </c>
      <c r="I729" s="20">
        <v>118.35</v>
      </c>
      <c r="J729" s="21">
        <v>331.38</v>
      </c>
      <c r="K729" s="21">
        <v>259.19</v>
      </c>
      <c r="L729" s="21">
        <v>0</v>
      </c>
      <c r="M729" s="22">
        <v>29</v>
      </c>
      <c r="N729" s="22">
        <v>47</v>
      </c>
      <c r="O729" s="22">
        <v>27</v>
      </c>
      <c r="P729" s="22">
        <v>31</v>
      </c>
      <c r="Q729" s="22">
        <v>51</v>
      </c>
      <c r="R729" s="17">
        <v>0.30952380952381</v>
      </c>
      <c r="S729" s="17">
        <v>0.0961538461538462</v>
      </c>
      <c r="T729" s="17">
        <v>0.341463414634146</v>
      </c>
      <c r="U729" s="17">
        <v>0.261904761904762</v>
      </c>
      <c r="V729" s="23">
        <v>0</v>
      </c>
    </row>
    <row r="730" ht="33" spans="1:22">
      <c r="A730" s="16">
        <v>10062</v>
      </c>
      <c r="B730" s="16" t="s">
        <v>1242</v>
      </c>
      <c r="C730" s="19">
        <v>6</v>
      </c>
      <c r="D730" s="19">
        <v>2</v>
      </c>
      <c r="E730" s="19">
        <v>3</v>
      </c>
      <c r="F730" s="19">
        <v>2</v>
      </c>
      <c r="G730" s="19">
        <v>9</v>
      </c>
      <c r="H730" s="20">
        <v>155.94</v>
      </c>
      <c r="I730" s="20">
        <v>51.98</v>
      </c>
      <c r="J730" s="21">
        <v>83.38</v>
      </c>
      <c r="K730" s="21">
        <v>57.18</v>
      </c>
      <c r="L730" s="21">
        <v>213.35</v>
      </c>
      <c r="M730" s="22">
        <v>9</v>
      </c>
      <c r="N730" s="22">
        <v>14</v>
      </c>
      <c r="O730" s="22">
        <v>17</v>
      </c>
      <c r="P730" s="22">
        <v>22</v>
      </c>
      <c r="Q730" s="22">
        <v>5</v>
      </c>
      <c r="R730" s="17">
        <v>0.4</v>
      </c>
      <c r="S730" s="17">
        <v>0.125</v>
      </c>
      <c r="T730" s="17">
        <v>0.15</v>
      </c>
      <c r="U730" s="17">
        <v>0.0833333333333333</v>
      </c>
      <c r="V730" s="23">
        <v>0.642857142857143</v>
      </c>
    </row>
    <row r="731" ht="33" spans="1:22">
      <c r="A731" s="16">
        <v>10089</v>
      </c>
      <c r="B731" s="16" t="s">
        <v>1243</v>
      </c>
      <c r="C731" s="19">
        <v>1</v>
      </c>
      <c r="D731" s="19">
        <v>3</v>
      </c>
      <c r="E731" s="19">
        <v>8</v>
      </c>
      <c r="F731" s="19">
        <v>4</v>
      </c>
      <c r="G731" s="19">
        <v>1</v>
      </c>
      <c r="H731" s="20">
        <v>512</v>
      </c>
      <c r="I731" s="20">
        <v>1633.12</v>
      </c>
      <c r="J731" s="21">
        <v>4296.98</v>
      </c>
      <c r="K731" s="21">
        <v>2111.2</v>
      </c>
      <c r="L731" s="21">
        <v>527.8</v>
      </c>
      <c r="M731" s="22">
        <v>2</v>
      </c>
      <c r="N731" s="22">
        <v>6</v>
      </c>
      <c r="O731" s="22">
        <v>0</v>
      </c>
      <c r="P731" s="22">
        <v>0</v>
      </c>
      <c r="Q731" s="22">
        <v>1</v>
      </c>
      <c r="R731" s="17">
        <v>0.333333333333333</v>
      </c>
      <c r="S731" s="17">
        <v>0.333333333333333</v>
      </c>
      <c r="T731" s="17">
        <v>1</v>
      </c>
      <c r="U731" s="17">
        <v>1</v>
      </c>
      <c r="V731" s="23">
        <v>0.5</v>
      </c>
    </row>
    <row r="732" ht="33" spans="1:22">
      <c r="A732" s="16">
        <v>10090</v>
      </c>
      <c r="B732" s="16" t="s">
        <v>1244</v>
      </c>
      <c r="C732" s="19">
        <v>6</v>
      </c>
      <c r="D732" s="19">
        <v>15</v>
      </c>
      <c r="E732" s="19">
        <v>21</v>
      </c>
      <c r="F732" s="19">
        <v>15</v>
      </c>
      <c r="G732" s="19">
        <v>12</v>
      </c>
      <c r="H732" s="20">
        <v>1968.76</v>
      </c>
      <c r="I732" s="20">
        <v>4485</v>
      </c>
      <c r="J732" s="21">
        <v>6195</v>
      </c>
      <c r="K732" s="21">
        <v>4425</v>
      </c>
      <c r="L732" s="21">
        <v>3540</v>
      </c>
      <c r="M732" s="22">
        <v>1</v>
      </c>
      <c r="N732" s="22">
        <v>1</v>
      </c>
      <c r="O732" s="22">
        <v>0</v>
      </c>
      <c r="P732" s="22">
        <v>0</v>
      </c>
      <c r="Q732" s="22">
        <v>0</v>
      </c>
      <c r="R732" s="17">
        <v>0.857142857142857</v>
      </c>
      <c r="S732" s="17">
        <v>0.9375</v>
      </c>
      <c r="T732" s="17">
        <v>1</v>
      </c>
      <c r="U732" s="17">
        <v>1</v>
      </c>
      <c r="V732" s="23">
        <v>1</v>
      </c>
    </row>
    <row r="733" ht="33" spans="1:22">
      <c r="A733" s="16">
        <v>10091</v>
      </c>
      <c r="B733" s="16" t="s">
        <v>1245</v>
      </c>
      <c r="C733" s="19">
        <v>3</v>
      </c>
      <c r="D733" s="19">
        <v>6</v>
      </c>
      <c r="E733" s="19">
        <v>5</v>
      </c>
      <c r="F733" s="19">
        <v>2</v>
      </c>
      <c r="G733" s="19">
        <v>3</v>
      </c>
      <c r="H733" s="20">
        <v>1600.44</v>
      </c>
      <c r="I733" s="20">
        <v>3257.82</v>
      </c>
      <c r="J733" s="21">
        <v>2724.12</v>
      </c>
      <c r="K733" s="21">
        <v>1089.56</v>
      </c>
      <c r="L733" s="21">
        <v>1635.06</v>
      </c>
      <c r="M733" s="22">
        <v>1</v>
      </c>
      <c r="N733" s="22">
        <v>1</v>
      </c>
      <c r="O733" s="22">
        <v>0</v>
      </c>
      <c r="P733" s="22">
        <v>0</v>
      </c>
      <c r="Q733" s="22">
        <v>0</v>
      </c>
      <c r="R733" s="17">
        <v>0.75</v>
      </c>
      <c r="S733" s="17">
        <v>0.857142857142857</v>
      </c>
      <c r="T733" s="17">
        <v>1</v>
      </c>
      <c r="U733" s="17">
        <v>1</v>
      </c>
      <c r="V733" s="23">
        <v>1</v>
      </c>
    </row>
    <row r="734" ht="16.5" spans="1:22">
      <c r="A734" s="16">
        <v>10095</v>
      </c>
      <c r="B734" s="16" t="e">
        <v>#N/A</v>
      </c>
      <c r="C734" s="19">
        <v>0</v>
      </c>
      <c r="D734" s="19">
        <v>0</v>
      </c>
      <c r="E734" s="19">
        <v>0</v>
      </c>
      <c r="F734" s="19">
        <v>0</v>
      </c>
      <c r="G734" s="19">
        <v>0</v>
      </c>
      <c r="H734" s="20">
        <v>0</v>
      </c>
      <c r="I734" s="20">
        <v>0</v>
      </c>
      <c r="J734" s="21">
        <v>0</v>
      </c>
      <c r="K734" s="21">
        <v>0</v>
      </c>
      <c r="L734" s="21">
        <v>0</v>
      </c>
      <c r="M734" s="22">
        <v>0</v>
      </c>
      <c r="N734" s="22">
        <v>0</v>
      </c>
      <c r="O734" s="22">
        <v>0</v>
      </c>
      <c r="P734" s="22">
        <v>0</v>
      </c>
      <c r="Q734" s="22" t="e">
        <v>#N/A</v>
      </c>
      <c r="R734" s="17">
        <v>0</v>
      </c>
      <c r="S734" s="17">
        <v>0</v>
      </c>
      <c r="T734" s="17">
        <v>0</v>
      </c>
      <c r="U734" s="17">
        <v>0</v>
      </c>
      <c r="V734" s="23" t="e">
        <v>#N/A</v>
      </c>
    </row>
    <row r="735" ht="16.5" spans="1:22">
      <c r="A735" s="16">
        <v>10096</v>
      </c>
      <c r="B735" s="16" t="e">
        <v>#N/A</v>
      </c>
      <c r="C735" s="19">
        <v>1</v>
      </c>
      <c r="D735" s="19">
        <v>0</v>
      </c>
      <c r="E735" s="19">
        <v>0</v>
      </c>
      <c r="F735" s="19">
        <v>0</v>
      </c>
      <c r="G735" s="19">
        <v>0</v>
      </c>
      <c r="H735" s="20">
        <v>63</v>
      </c>
      <c r="I735" s="20">
        <v>0</v>
      </c>
      <c r="J735" s="21">
        <v>0</v>
      </c>
      <c r="K735" s="21">
        <v>0</v>
      </c>
      <c r="L735" s="21">
        <v>0</v>
      </c>
      <c r="M735" s="22">
        <v>0</v>
      </c>
      <c r="N735" s="22">
        <v>1</v>
      </c>
      <c r="O735" s="22">
        <v>0</v>
      </c>
      <c r="P735" s="22">
        <v>0</v>
      </c>
      <c r="Q735" s="22" t="e">
        <v>#N/A</v>
      </c>
      <c r="R735" s="17">
        <v>1</v>
      </c>
      <c r="S735" s="17">
        <v>0</v>
      </c>
      <c r="T735" s="17">
        <v>0</v>
      </c>
      <c r="U735" s="17">
        <v>0</v>
      </c>
      <c r="V735" s="23" t="e">
        <v>#N/A</v>
      </c>
    </row>
    <row r="736" ht="33" spans="1:22">
      <c r="A736" s="16">
        <v>10107</v>
      </c>
      <c r="B736" s="16" t="s">
        <v>1246</v>
      </c>
      <c r="C736" s="19">
        <v>16</v>
      </c>
      <c r="D736" s="19">
        <v>16</v>
      </c>
      <c r="E736" s="19">
        <v>20</v>
      </c>
      <c r="F736" s="19">
        <v>16</v>
      </c>
      <c r="G736" s="19">
        <v>11</v>
      </c>
      <c r="H736" s="20">
        <v>3782.5</v>
      </c>
      <c r="I736" s="20">
        <v>3726.18</v>
      </c>
      <c r="J736" s="21">
        <v>4613.77</v>
      </c>
      <c r="K736" s="21">
        <v>3583.63</v>
      </c>
      <c r="L736" s="21">
        <v>2516.51</v>
      </c>
      <c r="M736" s="22">
        <v>14</v>
      </c>
      <c r="N736" s="22">
        <v>11</v>
      </c>
      <c r="O736" s="22">
        <v>15</v>
      </c>
      <c r="P736" s="22">
        <v>6</v>
      </c>
      <c r="Q736" s="22">
        <v>13</v>
      </c>
      <c r="R736" s="17">
        <v>0.533333333333333</v>
      </c>
      <c r="S736" s="17">
        <v>0.592592592592593</v>
      </c>
      <c r="T736" s="17">
        <v>0.571428571428571</v>
      </c>
      <c r="U736" s="17">
        <v>0.727272727272727</v>
      </c>
      <c r="V736" s="23">
        <v>0.458333333333333</v>
      </c>
    </row>
    <row r="737" ht="33" spans="1:22">
      <c r="A737" s="16">
        <v>10127</v>
      </c>
      <c r="B737" s="16" t="s">
        <v>1247</v>
      </c>
      <c r="C737" s="19">
        <v>2</v>
      </c>
      <c r="D737" s="19">
        <v>11</v>
      </c>
      <c r="E737" s="19">
        <v>16</v>
      </c>
      <c r="F737" s="19">
        <v>9</v>
      </c>
      <c r="G737" s="19">
        <v>1</v>
      </c>
      <c r="H737" s="20">
        <v>280</v>
      </c>
      <c r="I737" s="20">
        <v>1356.83</v>
      </c>
      <c r="J737" s="21">
        <v>1911.22</v>
      </c>
      <c r="K737" s="21">
        <v>1108.38</v>
      </c>
      <c r="L737" s="21">
        <v>138.73</v>
      </c>
      <c r="M737" s="22">
        <v>9</v>
      </c>
      <c r="N737" s="22">
        <v>11</v>
      </c>
      <c r="O737" s="22">
        <v>3</v>
      </c>
      <c r="P737" s="22">
        <v>7</v>
      </c>
      <c r="Q737" s="22">
        <v>17</v>
      </c>
      <c r="R737" s="17">
        <v>0.181818181818182</v>
      </c>
      <c r="S737" s="17">
        <v>0.5</v>
      </c>
      <c r="T737" s="17">
        <v>0.842105263157895</v>
      </c>
      <c r="U737" s="17">
        <v>0.5625</v>
      </c>
      <c r="V737" s="23">
        <v>0.0555555555555556</v>
      </c>
    </row>
    <row r="738" ht="49.5" spans="1:22">
      <c r="A738" s="16">
        <v>10128</v>
      </c>
      <c r="B738" s="16" t="s">
        <v>1248</v>
      </c>
      <c r="C738" s="19">
        <v>0</v>
      </c>
      <c r="D738" s="19">
        <v>8</v>
      </c>
      <c r="E738" s="19">
        <v>28</v>
      </c>
      <c r="F738" s="19">
        <v>19</v>
      </c>
      <c r="G738" s="19">
        <v>26</v>
      </c>
      <c r="H738" s="20">
        <v>0</v>
      </c>
      <c r="I738" s="20">
        <v>360.12</v>
      </c>
      <c r="J738" s="21">
        <v>1218.12</v>
      </c>
      <c r="K738" s="21">
        <v>798.75</v>
      </c>
      <c r="L738" s="21">
        <v>1124.5</v>
      </c>
      <c r="M738" s="22">
        <v>2</v>
      </c>
      <c r="N738" s="22">
        <v>0</v>
      </c>
      <c r="O738" s="22">
        <v>0</v>
      </c>
      <c r="P738" s="22">
        <v>3</v>
      </c>
      <c r="Q738" s="22">
        <v>2</v>
      </c>
      <c r="R738" s="17">
        <v>0</v>
      </c>
      <c r="S738" s="17">
        <v>1</v>
      </c>
      <c r="T738" s="17">
        <v>1</v>
      </c>
      <c r="U738" s="17">
        <v>0.863636363636364</v>
      </c>
      <c r="V738" s="23">
        <v>0.928571428571429</v>
      </c>
    </row>
    <row r="739" ht="33" spans="1:22">
      <c r="A739" s="16">
        <v>10133</v>
      </c>
      <c r="B739" s="16" t="s">
        <v>1249</v>
      </c>
      <c r="C739" s="19">
        <v>25</v>
      </c>
      <c r="D739" s="19">
        <v>18</v>
      </c>
      <c r="E739" s="19">
        <v>24</v>
      </c>
      <c r="F739" s="19">
        <v>6</v>
      </c>
      <c r="G739" s="19">
        <v>3</v>
      </c>
      <c r="H739" s="20">
        <v>3623.51</v>
      </c>
      <c r="I739" s="20">
        <v>2672.48</v>
      </c>
      <c r="J739" s="21">
        <v>3745.76</v>
      </c>
      <c r="K739" s="21">
        <v>972.55</v>
      </c>
      <c r="L739" s="21">
        <v>522.89</v>
      </c>
      <c r="M739" s="22">
        <v>10</v>
      </c>
      <c r="N739" s="22">
        <v>31</v>
      </c>
      <c r="O739" s="22">
        <v>31</v>
      </c>
      <c r="P739" s="22">
        <v>33</v>
      </c>
      <c r="Q739" s="22">
        <v>24</v>
      </c>
      <c r="R739" s="17">
        <v>0.714285714285714</v>
      </c>
      <c r="S739" s="17">
        <v>0.36734693877551</v>
      </c>
      <c r="T739" s="17">
        <v>0.436363636363636</v>
      </c>
      <c r="U739" s="17">
        <v>0.153846153846154</v>
      </c>
      <c r="V739" s="23">
        <v>0.111111111111111</v>
      </c>
    </row>
    <row r="740" ht="33" spans="1:22">
      <c r="A740" s="16">
        <v>10135</v>
      </c>
      <c r="B740" s="16" t="s">
        <v>1250</v>
      </c>
      <c r="C740" s="19">
        <v>7</v>
      </c>
      <c r="D740" s="19">
        <v>3</v>
      </c>
      <c r="E740" s="19">
        <v>4</v>
      </c>
      <c r="F740" s="19">
        <v>5</v>
      </c>
      <c r="G740" s="19">
        <v>4</v>
      </c>
      <c r="H740" s="20">
        <v>483</v>
      </c>
      <c r="I740" s="20">
        <v>207</v>
      </c>
      <c r="J740" s="21">
        <v>276.02</v>
      </c>
      <c r="K740" s="21">
        <v>345.05</v>
      </c>
      <c r="L740" s="21">
        <v>276.04</v>
      </c>
      <c r="M740" s="22">
        <v>0</v>
      </c>
      <c r="N740" s="22">
        <v>4</v>
      </c>
      <c r="O740" s="22">
        <v>1</v>
      </c>
      <c r="P740" s="22">
        <v>6</v>
      </c>
      <c r="Q740" s="22">
        <v>1</v>
      </c>
      <c r="R740" s="17">
        <v>1</v>
      </c>
      <c r="S740" s="17">
        <v>0.428571428571429</v>
      </c>
      <c r="T740" s="17">
        <v>0.8</v>
      </c>
      <c r="U740" s="17">
        <v>0.454545454545455</v>
      </c>
      <c r="V740" s="23">
        <v>0.8</v>
      </c>
    </row>
    <row r="741" ht="33" spans="1:22">
      <c r="A741" s="16">
        <v>10138</v>
      </c>
      <c r="B741" s="16" t="s">
        <v>1251</v>
      </c>
      <c r="C741" s="19">
        <v>28</v>
      </c>
      <c r="D741" s="19">
        <v>13</v>
      </c>
      <c r="E741" s="19">
        <v>11</v>
      </c>
      <c r="F741" s="19">
        <v>3</v>
      </c>
      <c r="G741" s="19">
        <v>1</v>
      </c>
      <c r="H741" s="20">
        <v>2296</v>
      </c>
      <c r="I741" s="20">
        <v>1095.1</v>
      </c>
      <c r="J741" s="21">
        <v>1078.84</v>
      </c>
      <c r="K741" s="21">
        <v>382.26</v>
      </c>
      <c r="L741" s="21">
        <v>127.42</v>
      </c>
      <c r="M741" s="22">
        <v>62</v>
      </c>
      <c r="N741" s="22">
        <v>62</v>
      </c>
      <c r="O741" s="22">
        <v>70</v>
      </c>
      <c r="P741" s="22">
        <v>78</v>
      </c>
      <c r="Q741" s="22">
        <v>102</v>
      </c>
      <c r="R741" s="17">
        <v>0.311111111111111</v>
      </c>
      <c r="S741" s="17">
        <v>0.173333333333333</v>
      </c>
      <c r="T741" s="17">
        <v>0.135802469135802</v>
      </c>
      <c r="U741" s="17">
        <v>0.037037037037037</v>
      </c>
      <c r="V741" s="23">
        <v>0.00970873786407767</v>
      </c>
    </row>
    <row r="742" ht="16.5" spans="1:22">
      <c r="A742" s="16">
        <v>10144</v>
      </c>
      <c r="B742" s="16" t="e">
        <v>#N/A</v>
      </c>
      <c r="C742" s="19">
        <v>0</v>
      </c>
      <c r="D742" s="19">
        <v>0</v>
      </c>
      <c r="E742" s="19">
        <v>0</v>
      </c>
      <c r="F742" s="19">
        <v>0</v>
      </c>
      <c r="G742" s="19">
        <v>0</v>
      </c>
      <c r="H742" s="20">
        <v>0</v>
      </c>
      <c r="I742" s="20">
        <v>0</v>
      </c>
      <c r="J742" s="21">
        <v>0</v>
      </c>
      <c r="K742" s="21">
        <v>0</v>
      </c>
      <c r="L742" s="21">
        <v>0</v>
      </c>
      <c r="M742" s="22">
        <v>0</v>
      </c>
      <c r="N742" s="22">
        <v>0</v>
      </c>
      <c r="O742" s="22">
        <v>0</v>
      </c>
      <c r="P742" s="22">
        <v>0</v>
      </c>
      <c r="Q742" s="22" t="e">
        <v>#N/A</v>
      </c>
      <c r="R742" s="17">
        <v>0</v>
      </c>
      <c r="S742" s="17">
        <v>0</v>
      </c>
      <c r="T742" s="17">
        <v>0</v>
      </c>
      <c r="U742" s="17">
        <v>0</v>
      </c>
      <c r="V742" s="23" t="e">
        <v>#N/A</v>
      </c>
    </row>
    <row r="743" ht="33" spans="1:22">
      <c r="A743" s="16">
        <v>10171</v>
      </c>
      <c r="B743" s="16" t="s">
        <v>1252</v>
      </c>
      <c r="C743" s="19">
        <v>2</v>
      </c>
      <c r="D743" s="19">
        <v>8</v>
      </c>
      <c r="E743" s="19">
        <v>7</v>
      </c>
      <c r="F743" s="19">
        <v>7</v>
      </c>
      <c r="G743" s="19">
        <v>8</v>
      </c>
      <c r="H743" s="20">
        <v>138</v>
      </c>
      <c r="I743" s="20">
        <v>496.8</v>
      </c>
      <c r="J743" s="21">
        <v>442.14</v>
      </c>
      <c r="K743" s="21">
        <v>431.72</v>
      </c>
      <c r="L743" s="21">
        <v>488.92</v>
      </c>
      <c r="M743" s="22">
        <v>1</v>
      </c>
      <c r="N743" s="22">
        <v>1</v>
      </c>
      <c r="O743" s="22">
        <v>2</v>
      </c>
      <c r="P743" s="22">
        <v>2</v>
      </c>
      <c r="Q743" s="22">
        <v>1</v>
      </c>
      <c r="R743" s="17">
        <v>0.666666666666667</v>
      </c>
      <c r="S743" s="17">
        <v>0.888888888888889</v>
      </c>
      <c r="T743" s="17">
        <v>0.777777777777778</v>
      </c>
      <c r="U743" s="17">
        <v>0.777777777777778</v>
      </c>
      <c r="V743" s="23">
        <v>0.888888888888889</v>
      </c>
    </row>
    <row r="744" ht="33" spans="1:22">
      <c r="A744" s="16">
        <v>10172</v>
      </c>
      <c r="B744" s="16" t="s">
        <v>1253</v>
      </c>
      <c r="C744" s="19">
        <v>2</v>
      </c>
      <c r="D744" s="19">
        <v>4</v>
      </c>
      <c r="E744" s="19">
        <v>4</v>
      </c>
      <c r="F744" s="19">
        <v>4</v>
      </c>
      <c r="G744" s="19">
        <v>0</v>
      </c>
      <c r="H744" s="20">
        <v>338</v>
      </c>
      <c r="I744" s="20">
        <v>608.4</v>
      </c>
      <c r="J744" s="21">
        <v>608.4</v>
      </c>
      <c r="K744" s="21">
        <v>608.4</v>
      </c>
      <c r="L744" s="21">
        <v>0</v>
      </c>
      <c r="M744" s="22">
        <v>0</v>
      </c>
      <c r="N744" s="22">
        <v>0</v>
      </c>
      <c r="O744" s="22">
        <v>0</v>
      </c>
      <c r="P744" s="22">
        <v>0</v>
      </c>
      <c r="Q744" s="22">
        <v>0</v>
      </c>
      <c r="R744" s="17">
        <v>1</v>
      </c>
      <c r="S744" s="17">
        <v>1</v>
      </c>
      <c r="T744" s="17">
        <v>1</v>
      </c>
      <c r="U744" s="17">
        <v>1</v>
      </c>
      <c r="V744" s="23" t="s">
        <v>106</v>
      </c>
    </row>
    <row r="745" ht="33" spans="1:22">
      <c r="A745" s="16">
        <v>10226</v>
      </c>
      <c r="B745" s="16" t="s">
        <v>1254</v>
      </c>
      <c r="C745" s="19">
        <v>4</v>
      </c>
      <c r="D745" s="19">
        <v>12</v>
      </c>
      <c r="E745" s="19">
        <v>11</v>
      </c>
      <c r="F745" s="19">
        <v>11</v>
      </c>
      <c r="G745" s="19">
        <v>7</v>
      </c>
      <c r="H745" s="20">
        <v>75.96</v>
      </c>
      <c r="I745" s="20">
        <v>227.88</v>
      </c>
      <c r="J745" s="21">
        <v>265.86</v>
      </c>
      <c r="K745" s="21">
        <v>207.39</v>
      </c>
      <c r="L745" s="21">
        <v>132.43</v>
      </c>
      <c r="M745" s="22">
        <v>56</v>
      </c>
      <c r="N745" s="22">
        <v>47</v>
      </c>
      <c r="O745" s="22">
        <v>54</v>
      </c>
      <c r="P745" s="22">
        <v>37</v>
      </c>
      <c r="Q745" s="22">
        <v>46</v>
      </c>
      <c r="R745" s="17">
        <v>0.0666666666666667</v>
      </c>
      <c r="S745" s="17">
        <v>0.203389830508475</v>
      </c>
      <c r="T745" s="17">
        <v>0.169230769230769</v>
      </c>
      <c r="U745" s="17">
        <v>0.229166666666667</v>
      </c>
      <c r="V745" s="23">
        <v>0.132075471698113</v>
      </c>
    </row>
    <row r="746" ht="33" spans="1:22">
      <c r="A746" s="16">
        <v>10298</v>
      </c>
      <c r="B746" s="16" t="s">
        <v>1255</v>
      </c>
      <c r="C746" s="19">
        <v>1</v>
      </c>
      <c r="D746" s="19">
        <v>2</v>
      </c>
      <c r="E746" s="19">
        <v>3</v>
      </c>
      <c r="F746" s="19">
        <v>4</v>
      </c>
      <c r="G746" s="19">
        <v>2</v>
      </c>
      <c r="H746" s="20">
        <v>42.49</v>
      </c>
      <c r="I746" s="20">
        <v>84.98</v>
      </c>
      <c r="J746" s="21">
        <v>124.98</v>
      </c>
      <c r="K746" s="21">
        <v>160</v>
      </c>
      <c r="L746" s="21">
        <v>86.99</v>
      </c>
      <c r="M746" s="22">
        <v>6</v>
      </c>
      <c r="N746" s="22">
        <v>11</v>
      </c>
      <c r="O746" s="22">
        <v>8</v>
      </c>
      <c r="P746" s="22">
        <v>20</v>
      </c>
      <c r="Q746" s="22">
        <v>22</v>
      </c>
      <c r="R746" s="17">
        <v>0.142857142857143</v>
      </c>
      <c r="S746" s="17">
        <v>0.153846153846154</v>
      </c>
      <c r="T746" s="17">
        <v>0.272727272727273</v>
      </c>
      <c r="U746" s="17">
        <v>0.166666666666667</v>
      </c>
      <c r="V746" s="23">
        <v>0.0833333333333333</v>
      </c>
    </row>
    <row r="747" ht="33" spans="1:22">
      <c r="A747" s="16">
        <v>7119</v>
      </c>
      <c r="B747" s="16" t="s">
        <v>1256</v>
      </c>
      <c r="C747" s="19">
        <v>30</v>
      </c>
      <c r="D747" s="19">
        <v>27</v>
      </c>
      <c r="E747" s="19">
        <v>29</v>
      </c>
      <c r="F747" s="19">
        <v>29</v>
      </c>
      <c r="G747" s="19">
        <v>24</v>
      </c>
      <c r="H747" s="20">
        <v>1397.7</v>
      </c>
      <c r="I747" s="20">
        <v>1257.93</v>
      </c>
      <c r="J747" s="21">
        <v>1351.11</v>
      </c>
      <c r="K747" s="21">
        <v>1295.11</v>
      </c>
      <c r="L747" s="21">
        <v>1027.59</v>
      </c>
      <c r="M747" s="22">
        <v>11</v>
      </c>
      <c r="N747" s="22">
        <v>29</v>
      </c>
      <c r="O747" s="22">
        <v>35</v>
      </c>
      <c r="P747" s="22">
        <v>38</v>
      </c>
      <c r="Q747" s="22">
        <v>52</v>
      </c>
      <c r="R747" s="17">
        <v>0.731707317073171</v>
      </c>
      <c r="S747" s="17">
        <v>0.482142857142857</v>
      </c>
      <c r="T747" s="17">
        <v>0.453125</v>
      </c>
      <c r="U747" s="17">
        <v>0.432835820895522</v>
      </c>
      <c r="V747" s="23">
        <v>0.315789473684211</v>
      </c>
    </row>
    <row r="748" ht="33" spans="1:22">
      <c r="A748" s="16">
        <v>8083</v>
      </c>
      <c r="B748" s="16" t="s">
        <v>1257</v>
      </c>
      <c r="C748" s="19">
        <v>16</v>
      </c>
      <c r="D748" s="19">
        <v>6</v>
      </c>
      <c r="E748" s="19">
        <v>39</v>
      </c>
      <c r="F748" s="19">
        <v>37</v>
      </c>
      <c r="G748" s="19">
        <v>51</v>
      </c>
      <c r="H748" s="20">
        <v>391.8</v>
      </c>
      <c r="I748" s="20">
        <v>148.9</v>
      </c>
      <c r="J748" s="21">
        <v>980.2</v>
      </c>
      <c r="K748" s="21">
        <v>868.36</v>
      </c>
      <c r="L748" s="21">
        <v>1168.68</v>
      </c>
      <c r="M748" s="22">
        <v>28</v>
      </c>
      <c r="N748" s="22">
        <v>30</v>
      </c>
      <c r="O748" s="22">
        <v>46</v>
      </c>
      <c r="P748" s="22">
        <v>33</v>
      </c>
      <c r="Q748" s="22">
        <v>53</v>
      </c>
      <c r="R748" s="17">
        <v>0.363636363636364</v>
      </c>
      <c r="S748" s="17">
        <v>0.166666666666667</v>
      </c>
      <c r="T748" s="17">
        <v>0.458823529411765</v>
      </c>
      <c r="U748" s="17">
        <v>0.528571428571429</v>
      </c>
      <c r="V748" s="23">
        <v>0.490384615384615</v>
      </c>
    </row>
    <row r="749" ht="33" spans="1:22">
      <c r="A749" s="16">
        <v>8254</v>
      </c>
      <c r="B749" s="16" t="s">
        <v>1258</v>
      </c>
      <c r="C749" s="19">
        <v>13</v>
      </c>
      <c r="D749" s="19">
        <v>16</v>
      </c>
      <c r="E749" s="19">
        <v>22</v>
      </c>
      <c r="F749" s="19">
        <v>18</v>
      </c>
      <c r="G749" s="19">
        <v>7</v>
      </c>
      <c r="H749" s="20">
        <v>460.2</v>
      </c>
      <c r="I749" s="20">
        <v>565.5</v>
      </c>
      <c r="J749" s="21">
        <v>772.2</v>
      </c>
      <c r="K749" s="21">
        <v>651.14</v>
      </c>
      <c r="L749" s="21">
        <v>272.32</v>
      </c>
      <c r="M749" s="22">
        <v>2</v>
      </c>
      <c r="N749" s="22">
        <v>2</v>
      </c>
      <c r="O749" s="22">
        <v>5</v>
      </c>
      <c r="P749" s="22">
        <v>9</v>
      </c>
      <c r="Q749" s="22">
        <v>5</v>
      </c>
      <c r="R749" s="17">
        <v>0.866666666666667</v>
      </c>
      <c r="S749" s="17">
        <v>0.888888888888889</v>
      </c>
      <c r="T749" s="17">
        <v>0.814814814814815</v>
      </c>
      <c r="U749" s="17">
        <v>0.666666666666667</v>
      </c>
      <c r="V749" s="23">
        <v>0.583333333333333</v>
      </c>
    </row>
    <row r="750" ht="33" spans="1:22">
      <c r="A750" s="16">
        <v>8181</v>
      </c>
      <c r="B750" s="16" t="s">
        <v>1259</v>
      </c>
      <c r="C750" s="19">
        <v>8</v>
      </c>
      <c r="D750" s="19">
        <v>18</v>
      </c>
      <c r="E750" s="19">
        <v>13</v>
      </c>
      <c r="F750" s="19">
        <v>13</v>
      </c>
      <c r="G750" s="19">
        <v>18</v>
      </c>
      <c r="H750" s="20">
        <v>374.4</v>
      </c>
      <c r="I750" s="20">
        <v>842.4</v>
      </c>
      <c r="J750" s="21">
        <v>609.1</v>
      </c>
      <c r="K750" s="21">
        <v>619.59</v>
      </c>
      <c r="L750" s="21">
        <v>850.9</v>
      </c>
      <c r="M750" s="22">
        <v>17</v>
      </c>
      <c r="N750" s="22">
        <v>18</v>
      </c>
      <c r="O750" s="22">
        <v>25</v>
      </c>
      <c r="P750" s="22">
        <v>12</v>
      </c>
      <c r="Q750" s="22">
        <v>10</v>
      </c>
      <c r="R750" s="17">
        <v>0.32</v>
      </c>
      <c r="S750" s="17">
        <v>0.5</v>
      </c>
      <c r="T750" s="17">
        <v>0.342105263157895</v>
      </c>
      <c r="U750" s="17">
        <v>0.52</v>
      </c>
      <c r="V750" s="23">
        <v>0.642857142857143</v>
      </c>
    </row>
    <row r="751" ht="33" spans="1:22">
      <c r="A751" s="16">
        <v>8374</v>
      </c>
      <c r="B751" s="16" t="s">
        <v>1260</v>
      </c>
      <c r="C751" s="19">
        <v>15</v>
      </c>
      <c r="D751" s="19">
        <v>15</v>
      </c>
      <c r="E751" s="19">
        <v>15</v>
      </c>
      <c r="F751" s="19">
        <v>18</v>
      </c>
      <c r="G751" s="19">
        <v>14</v>
      </c>
      <c r="H751" s="20">
        <v>943.5</v>
      </c>
      <c r="I751" s="20">
        <v>943.5</v>
      </c>
      <c r="J751" s="21">
        <v>962.37</v>
      </c>
      <c r="K751" s="21">
        <v>1136.56</v>
      </c>
      <c r="L751" s="21">
        <v>884.96</v>
      </c>
      <c r="M751" s="22">
        <v>0</v>
      </c>
      <c r="N751" s="22">
        <v>4</v>
      </c>
      <c r="O751" s="22">
        <v>2</v>
      </c>
      <c r="P751" s="22">
        <v>2</v>
      </c>
      <c r="Q751" s="22">
        <v>1</v>
      </c>
      <c r="R751" s="17">
        <v>1</v>
      </c>
      <c r="S751" s="17">
        <v>0.789473684210526</v>
      </c>
      <c r="T751" s="17">
        <v>0.882352941176471</v>
      </c>
      <c r="U751" s="17">
        <v>0.9</v>
      </c>
      <c r="V751" s="23">
        <v>0.933333333333333</v>
      </c>
    </row>
    <row r="752" ht="16.5" spans="1:22">
      <c r="A752" s="16">
        <v>136</v>
      </c>
      <c r="B752" s="16" t="e">
        <v>#N/A</v>
      </c>
      <c r="C752" s="19">
        <v>1</v>
      </c>
      <c r="D752" s="19">
        <v>1</v>
      </c>
      <c r="E752" s="19">
        <v>0</v>
      </c>
      <c r="F752" s="19">
        <v>0</v>
      </c>
      <c r="G752" s="19">
        <v>0</v>
      </c>
      <c r="H752" s="20">
        <v>112.99</v>
      </c>
      <c r="I752" s="20">
        <v>110.99</v>
      </c>
      <c r="J752" s="21">
        <v>0</v>
      </c>
      <c r="K752" s="21">
        <v>0</v>
      </c>
      <c r="L752" s="21">
        <v>0</v>
      </c>
      <c r="M752" s="22">
        <v>1</v>
      </c>
      <c r="N752" s="22">
        <v>0</v>
      </c>
      <c r="O752" s="22">
        <v>1</v>
      </c>
      <c r="P752" s="22">
        <v>0</v>
      </c>
      <c r="Q752" s="22" t="e">
        <v>#N/A</v>
      </c>
      <c r="R752" s="17">
        <v>0.5</v>
      </c>
      <c r="S752" s="17">
        <v>1</v>
      </c>
      <c r="T752" s="17">
        <v>0</v>
      </c>
      <c r="U752" s="17">
        <v>0</v>
      </c>
      <c r="V752" s="23" t="e">
        <v>#N/A</v>
      </c>
    </row>
    <row r="753" ht="33" spans="1:22">
      <c r="A753" s="16">
        <v>7247</v>
      </c>
      <c r="B753" s="16" t="s">
        <v>1261</v>
      </c>
      <c r="C753" s="19">
        <v>18</v>
      </c>
      <c r="D753" s="19">
        <v>19</v>
      </c>
      <c r="E753" s="19">
        <v>17</v>
      </c>
      <c r="F753" s="19">
        <v>2</v>
      </c>
      <c r="G753" s="19">
        <v>1</v>
      </c>
      <c r="H753" s="20">
        <v>1828.66</v>
      </c>
      <c r="I753" s="20">
        <v>1943.32</v>
      </c>
      <c r="J753" s="21">
        <v>1763.07</v>
      </c>
      <c r="K753" s="21">
        <v>233</v>
      </c>
      <c r="L753" s="21">
        <v>118.09</v>
      </c>
      <c r="M753" s="22">
        <v>22</v>
      </c>
      <c r="N753" s="22">
        <v>10</v>
      </c>
      <c r="O753" s="22">
        <v>25</v>
      </c>
      <c r="P753" s="22">
        <v>32</v>
      </c>
      <c r="Q753" s="22">
        <v>32</v>
      </c>
      <c r="R753" s="17">
        <v>0.45</v>
      </c>
      <c r="S753" s="17">
        <v>0.655172413793103</v>
      </c>
      <c r="T753" s="17">
        <v>0.404761904761905</v>
      </c>
      <c r="U753" s="17">
        <v>0.0588235294117647</v>
      </c>
      <c r="V753" s="23">
        <v>0.0303030303030303</v>
      </c>
    </row>
    <row r="754" ht="33" spans="1:22">
      <c r="A754" s="16">
        <v>7688</v>
      </c>
      <c r="B754" s="16" t="s">
        <v>1262</v>
      </c>
      <c r="C754" s="19">
        <v>25</v>
      </c>
      <c r="D754" s="19">
        <v>29</v>
      </c>
      <c r="E754" s="19">
        <v>35</v>
      </c>
      <c r="F754" s="19">
        <v>41</v>
      </c>
      <c r="G754" s="19">
        <v>31</v>
      </c>
      <c r="H754" s="20">
        <v>733</v>
      </c>
      <c r="I754" s="20">
        <v>850.280000000001</v>
      </c>
      <c r="J754" s="21">
        <v>1026.2</v>
      </c>
      <c r="K754" s="21">
        <v>1204.04</v>
      </c>
      <c r="L754" s="21">
        <v>1079.24</v>
      </c>
      <c r="M754" s="22">
        <v>6</v>
      </c>
      <c r="N754" s="22">
        <v>6</v>
      </c>
      <c r="O754" s="22">
        <v>21</v>
      </c>
      <c r="P754" s="22">
        <v>2</v>
      </c>
      <c r="Q754" s="22">
        <v>1</v>
      </c>
      <c r="R754" s="17">
        <v>0.806451612903226</v>
      </c>
      <c r="S754" s="17">
        <v>0.828571428571429</v>
      </c>
      <c r="T754" s="17">
        <v>0.625</v>
      </c>
      <c r="U754" s="17">
        <v>0.953488372093023</v>
      </c>
      <c r="V754" s="23">
        <v>0.96875</v>
      </c>
    </row>
    <row r="755" ht="33" spans="1:22">
      <c r="A755" s="16">
        <v>7689</v>
      </c>
      <c r="B755" s="16" t="s">
        <v>1263</v>
      </c>
      <c r="C755" s="19">
        <v>32</v>
      </c>
      <c r="D755" s="19">
        <v>22</v>
      </c>
      <c r="E755" s="19">
        <v>37</v>
      </c>
      <c r="F755" s="19">
        <v>55</v>
      </c>
      <c r="G755" s="19">
        <v>37</v>
      </c>
      <c r="H755" s="20">
        <v>1170.67</v>
      </c>
      <c r="I755" s="20">
        <v>804.97</v>
      </c>
      <c r="J755" s="21">
        <v>1353.52</v>
      </c>
      <c r="K755" s="21">
        <v>2012.21</v>
      </c>
      <c r="L755" s="21">
        <v>1359.11</v>
      </c>
      <c r="M755" s="22">
        <v>1</v>
      </c>
      <c r="N755" s="22">
        <v>0</v>
      </c>
      <c r="O755" s="22">
        <v>1</v>
      </c>
      <c r="P755" s="22">
        <v>3</v>
      </c>
      <c r="Q755" s="22">
        <v>0</v>
      </c>
      <c r="R755" s="17">
        <v>0.96969696969697</v>
      </c>
      <c r="S755" s="17">
        <v>1</v>
      </c>
      <c r="T755" s="17">
        <v>0.973684210526316</v>
      </c>
      <c r="U755" s="17">
        <v>0.948275862068966</v>
      </c>
      <c r="V755" s="23">
        <v>1</v>
      </c>
    </row>
    <row r="756" ht="16.5" spans="1:22">
      <c r="A756" s="16">
        <v>10350</v>
      </c>
      <c r="B756" s="16" t="e">
        <v>#N/A</v>
      </c>
      <c r="C756" s="19">
        <v>1</v>
      </c>
      <c r="D756" s="19">
        <v>1</v>
      </c>
      <c r="E756" s="19">
        <v>0</v>
      </c>
      <c r="F756" s="19">
        <v>0</v>
      </c>
      <c r="G756" s="19">
        <v>0</v>
      </c>
      <c r="H756" s="20">
        <v>135</v>
      </c>
      <c r="I756" s="20">
        <v>120</v>
      </c>
      <c r="J756" s="21">
        <v>0</v>
      </c>
      <c r="K756" s="21">
        <v>0</v>
      </c>
      <c r="L756" s="21">
        <v>0</v>
      </c>
      <c r="M756" s="22">
        <v>0</v>
      </c>
      <c r="N756" s="22">
        <v>0</v>
      </c>
      <c r="O756" s="22">
        <v>0</v>
      </c>
      <c r="P756" s="22">
        <v>0</v>
      </c>
      <c r="Q756" s="22" t="e">
        <v>#N/A</v>
      </c>
      <c r="R756" s="17">
        <v>1</v>
      </c>
      <c r="S756" s="17">
        <v>1</v>
      </c>
      <c r="T756" s="17">
        <v>0</v>
      </c>
      <c r="U756" s="17">
        <v>0</v>
      </c>
      <c r="V756" s="23" t="e">
        <v>#N/A</v>
      </c>
    </row>
    <row r="757" ht="33" spans="1:22">
      <c r="A757" s="16">
        <v>10386</v>
      </c>
      <c r="B757" s="16" t="s">
        <v>1264</v>
      </c>
      <c r="C757" s="19">
        <v>29</v>
      </c>
      <c r="D757" s="19">
        <v>43</v>
      </c>
      <c r="E757" s="19">
        <v>50</v>
      </c>
      <c r="F757" s="19">
        <v>20</v>
      </c>
      <c r="G757" s="19">
        <v>38</v>
      </c>
      <c r="H757" s="20">
        <v>4053</v>
      </c>
      <c r="I757" s="20">
        <v>6020</v>
      </c>
      <c r="J757" s="21">
        <v>7000.5</v>
      </c>
      <c r="K757" s="21">
        <v>2803</v>
      </c>
      <c r="L757" s="21">
        <v>5214.35</v>
      </c>
      <c r="M757" s="22">
        <v>1</v>
      </c>
      <c r="N757" s="22">
        <v>2</v>
      </c>
      <c r="O757" s="22">
        <v>3</v>
      </c>
      <c r="P757" s="22">
        <v>18</v>
      </c>
      <c r="Q757" s="22">
        <v>16</v>
      </c>
      <c r="R757" s="17">
        <v>0.966666666666667</v>
      </c>
      <c r="S757" s="17">
        <v>0.955555555555556</v>
      </c>
      <c r="T757" s="17">
        <v>0.943396226415094</v>
      </c>
      <c r="U757" s="17">
        <v>0.526315789473684</v>
      </c>
      <c r="V757" s="23">
        <v>0.703703703703704</v>
      </c>
    </row>
    <row r="758" ht="33" spans="1:22">
      <c r="A758" s="16">
        <v>10381</v>
      </c>
      <c r="B758" s="16" t="s">
        <v>1265</v>
      </c>
      <c r="C758" s="19">
        <v>10</v>
      </c>
      <c r="D758" s="19">
        <v>4</v>
      </c>
      <c r="E758" s="19">
        <v>11</v>
      </c>
      <c r="F758" s="19">
        <v>10</v>
      </c>
      <c r="G758" s="19">
        <v>10</v>
      </c>
      <c r="H758" s="20">
        <v>495.4</v>
      </c>
      <c r="I758" s="20">
        <v>213.32</v>
      </c>
      <c r="J758" s="21">
        <v>598.36</v>
      </c>
      <c r="K758" s="21">
        <v>575.5</v>
      </c>
      <c r="L758" s="21">
        <v>628.9</v>
      </c>
      <c r="M758" s="22">
        <v>2</v>
      </c>
      <c r="N758" s="22">
        <v>4</v>
      </c>
      <c r="O758" s="22">
        <v>5</v>
      </c>
      <c r="P758" s="22">
        <v>5</v>
      </c>
      <c r="Q758" s="22">
        <v>2</v>
      </c>
      <c r="R758" s="17">
        <v>0.833333333333333</v>
      </c>
      <c r="S758" s="17">
        <v>0.5</v>
      </c>
      <c r="T758" s="17">
        <v>0.6875</v>
      </c>
      <c r="U758" s="17">
        <v>0.666666666666667</v>
      </c>
      <c r="V758" s="23">
        <v>0.833333333333333</v>
      </c>
    </row>
    <row r="759" ht="16.5" spans="1:22">
      <c r="A759" s="16">
        <v>10414</v>
      </c>
      <c r="B759" s="16" t="e">
        <v>#N/A</v>
      </c>
      <c r="C759" s="19">
        <v>0</v>
      </c>
      <c r="D759" s="19">
        <v>0</v>
      </c>
      <c r="E759" s="19">
        <v>0</v>
      </c>
      <c r="F759" s="19">
        <v>0</v>
      </c>
      <c r="G759" s="19">
        <v>0</v>
      </c>
      <c r="H759" s="20">
        <v>0</v>
      </c>
      <c r="I759" s="20">
        <v>0</v>
      </c>
      <c r="J759" s="21">
        <v>0</v>
      </c>
      <c r="K759" s="21">
        <v>0</v>
      </c>
      <c r="L759" s="21">
        <v>0</v>
      </c>
      <c r="M759" s="22">
        <v>1</v>
      </c>
      <c r="N759" s="22">
        <v>1</v>
      </c>
      <c r="O759" s="22">
        <v>2</v>
      </c>
      <c r="P759" s="22">
        <v>0</v>
      </c>
      <c r="Q759" s="22" t="e">
        <v>#N/A</v>
      </c>
      <c r="R759" s="17">
        <v>0</v>
      </c>
      <c r="S759" s="17">
        <v>0</v>
      </c>
      <c r="T759" s="17">
        <v>0</v>
      </c>
      <c r="U759" s="17">
        <v>0</v>
      </c>
      <c r="V759" s="23" t="e">
        <v>#N/A</v>
      </c>
    </row>
    <row r="760" ht="16.5" spans="1:22">
      <c r="A760" s="16">
        <v>10470</v>
      </c>
      <c r="B760" s="16" t="e">
        <v>#N/A</v>
      </c>
      <c r="C760" s="19">
        <v>3</v>
      </c>
      <c r="D760" s="19">
        <v>4</v>
      </c>
      <c r="E760" s="19">
        <v>0</v>
      </c>
      <c r="F760" s="19">
        <v>0</v>
      </c>
      <c r="G760" s="19">
        <v>0</v>
      </c>
      <c r="H760" s="20">
        <v>97.47</v>
      </c>
      <c r="I760" s="20">
        <v>128.34</v>
      </c>
      <c r="J760" s="21">
        <v>0</v>
      </c>
      <c r="K760" s="21">
        <v>0</v>
      </c>
      <c r="L760" s="21">
        <v>0</v>
      </c>
      <c r="M760" s="22">
        <v>0</v>
      </c>
      <c r="N760" s="22">
        <v>0</v>
      </c>
      <c r="O760" s="22">
        <v>2</v>
      </c>
      <c r="P760" s="22">
        <v>0</v>
      </c>
      <c r="Q760" s="22" t="e">
        <v>#N/A</v>
      </c>
      <c r="R760" s="17">
        <v>1</v>
      </c>
      <c r="S760" s="17">
        <v>1</v>
      </c>
      <c r="T760" s="17">
        <v>0</v>
      </c>
      <c r="U760" s="17">
        <v>0</v>
      </c>
      <c r="V760" s="23" t="e">
        <v>#N/A</v>
      </c>
    </row>
    <row r="761" ht="33" spans="1:22">
      <c r="A761" s="16">
        <v>8126</v>
      </c>
      <c r="B761" s="16" t="s">
        <v>1266</v>
      </c>
      <c r="C761" s="19">
        <v>1</v>
      </c>
      <c r="D761" s="19">
        <v>1</v>
      </c>
      <c r="E761" s="19">
        <v>7</v>
      </c>
      <c r="F761" s="19">
        <v>4</v>
      </c>
      <c r="G761" s="19">
        <v>4</v>
      </c>
      <c r="H761" s="20">
        <v>157</v>
      </c>
      <c r="I761" s="20">
        <v>157</v>
      </c>
      <c r="J761" s="21">
        <v>1099</v>
      </c>
      <c r="K761" s="21">
        <v>628</v>
      </c>
      <c r="L761" s="21">
        <v>629</v>
      </c>
      <c r="M761" s="22">
        <v>23</v>
      </c>
      <c r="N761" s="22">
        <v>25</v>
      </c>
      <c r="O761" s="22">
        <v>25</v>
      </c>
      <c r="P761" s="22">
        <v>33</v>
      </c>
      <c r="Q761" s="22">
        <v>32</v>
      </c>
      <c r="R761" s="17">
        <v>0.0416666666666667</v>
      </c>
      <c r="S761" s="17">
        <v>0.0384615384615385</v>
      </c>
      <c r="T761" s="17">
        <v>0.21875</v>
      </c>
      <c r="U761" s="17">
        <v>0.108108108108108</v>
      </c>
      <c r="V761" s="23">
        <v>0.111111111111111</v>
      </c>
    </row>
    <row r="762" ht="33" spans="1:22">
      <c r="A762" s="16">
        <v>10464</v>
      </c>
      <c r="B762" s="16" t="s">
        <v>1267</v>
      </c>
      <c r="C762" s="19">
        <v>13</v>
      </c>
      <c r="D762" s="19">
        <v>21</v>
      </c>
      <c r="E762" s="19">
        <v>28</v>
      </c>
      <c r="F762" s="19">
        <v>7</v>
      </c>
      <c r="G762" s="19">
        <v>7</v>
      </c>
      <c r="H762" s="20">
        <v>243.81</v>
      </c>
      <c r="I762" s="20">
        <v>389.6</v>
      </c>
      <c r="J762" s="21">
        <v>518.7</v>
      </c>
      <c r="K762" s="21">
        <v>145.26</v>
      </c>
      <c r="L762" s="21">
        <v>144.05</v>
      </c>
      <c r="M762" s="22">
        <v>11</v>
      </c>
      <c r="N762" s="22">
        <v>29</v>
      </c>
      <c r="O762" s="22">
        <v>22</v>
      </c>
      <c r="P762" s="22">
        <v>23</v>
      </c>
      <c r="Q762" s="22">
        <v>31</v>
      </c>
      <c r="R762" s="17">
        <v>0.541666666666667</v>
      </c>
      <c r="S762" s="17">
        <v>0.42</v>
      </c>
      <c r="T762" s="17">
        <v>0.56</v>
      </c>
      <c r="U762" s="17">
        <v>0.233333333333333</v>
      </c>
      <c r="V762" s="23">
        <v>0.184210526315789</v>
      </c>
    </row>
    <row r="763" ht="16.5" spans="1:22">
      <c r="A763" s="16">
        <v>10465</v>
      </c>
      <c r="B763" s="16" t="e">
        <v>#N/A</v>
      </c>
      <c r="C763" s="19">
        <v>0</v>
      </c>
      <c r="D763" s="19">
        <v>0</v>
      </c>
      <c r="E763" s="19">
        <v>0</v>
      </c>
      <c r="F763" s="19">
        <v>0</v>
      </c>
      <c r="G763" s="19">
        <v>0</v>
      </c>
      <c r="H763" s="20">
        <v>0</v>
      </c>
      <c r="I763" s="20">
        <v>0</v>
      </c>
      <c r="J763" s="21">
        <v>0</v>
      </c>
      <c r="K763" s="21">
        <v>0</v>
      </c>
      <c r="L763" s="21">
        <v>0</v>
      </c>
      <c r="M763" s="22">
        <v>2</v>
      </c>
      <c r="N763" s="22">
        <v>0</v>
      </c>
      <c r="O763" s="22">
        <v>8</v>
      </c>
      <c r="P763" s="22">
        <v>0</v>
      </c>
      <c r="Q763" s="22" t="e">
        <v>#N/A</v>
      </c>
      <c r="R763" s="17">
        <v>0</v>
      </c>
      <c r="S763" s="17">
        <v>0</v>
      </c>
      <c r="T763" s="17">
        <v>0</v>
      </c>
      <c r="U763" s="17">
        <v>0</v>
      </c>
      <c r="V763" s="23" t="e">
        <v>#N/A</v>
      </c>
    </row>
    <row r="764" ht="16.5" spans="1:22">
      <c r="A764" s="16">
        <v>10466</v>
      </c>
      <c r="B764" s="16" t="e">
        <v>#N/A</v>
      </c>
      <c r="C764" s="19">
        <v>0</v>
      </c>
      <c r="D764" s="19">
        <v>0</v>
      </c>
      <c r="E764" s="19">
        <v>0</v>
      </c>
      <c r="F764" s="19">
        <v>0</v>
      </c>
      <c r="G764" s="19">
        <v>0</v>
      </c>
      <c r="H764" s="20">
        <v>0</v>
      </c>
      <c r="I764" s="20">
        <v>0</v>
      </c>
      <c r="J764" s="21">
        <v>0</v>
      </c>
      <c r="K764" s="21">
        <v>0</v>
      </c>
      <c r="L764" s="21">
        <v>0</v>
      </c>
      <c r="M764" s="22">
        <v>1</v>
      </c>
      <c r="N764" s="22">
        <v>0</v>
      </c>
      <c r="O764" s="22">
        <v>1</v>
      </c>
      <c r="P764" s="22">
        <v>0</v>
      </c>
      <c r="Q764" s="22" t="e">
        <v>#N/A</v>
      </c>
      <c r="R764" s="17">
        <v>0</v>
      </c>
      <c r="S764" s="17">
        <v>0</v>
      </c>
      <c r="T764" s="17">
        <v>0</v>
      </c>
      <c r="U764" s="17">
        <v>0</v>
      </c>
      <c r="V764" s="23" t="e">
        <v>#N/A</v>
      </c>
    </row>
    <row r="765" ht="16.5" spans="1:22">
      <c r="A765" s="16">
        <v>10554</v>
      </c>
      <c r="B765" s="16" t="s">
        <v>1268</v>
      </c>
      <c r="C765" s="19">
        <v>6</v>
      </c>
      <c r="D765" s="19">
        <v>13</v>
      </c>
      <c r="E765" s="19">
        <v>11</v>
      </c>
      <c r="F765" s="19">
        <v>7</v>
      </c>
      <c r="G765" s="19">
        <v>8</v>
      </c>
      <c r="H765" s="20">
        <v>234</v>
      </c>
      <c r="I765" s="20">
        <v>507</v>
      </c>
      <c r="J765" s="21">
        <v>429</v>
      </c>
      <c r="K765" s="21">
        <v>273</v>
      </c>
      <c r="L765" s="21">
        <v>312</v>
      </c>
      <c r="M765" s="22">
        <v>2</v>
      </c>
      <c r="N765" s="22">
        <v>0</v>
      </c>
      <c r="O765" s="22">
        <v>1</v>
      </c>
      <c r="P765" s="22">
        <v>2</v>
      </c>
      <c r="Q765" s="22">
        <v>1</v>
      </c>
      <c r="R765" s="17">
        <v>0.75</v>
      </c>
      <c r="S765" s="17">
        <v>1</v>
      </c>
      <c r="T765" s="17">
        <v>0.916666666666667</v>
      </c>
      <c r="U765" s="17">
        <v>0.777777777777778</v>
      </c>
      <c r="V765" s="23">
        <v>0.888888888888889</v>
      </c>
    </row>
    <row r="766" ht="33" spans="1:22">
      <c r="A766" s="16">
        <v>10544</v>
      </c>
      <c r="B766" s="16" t="s">
        <v>1269</v>
      </c>
      <c r="C766" s="19">
        <v>13</v>
      </c>
      <c r="D766" s="19">
        <v>10</v>
      </c>
      <c r="E766" s="19">
        <v>20</v>
      </c>
      <c r="F766" s="19">
        <v>9</v>
      </c>
      <c r="G766" s="19">
        <v>8</v>
      </c>
      <c r="H766" s="20">
        <v>1679.41</v>
      </c>
      <c r="I766" s="20">
        <v>1261.99</v>
      </c>
      <c r="J766" s="21">
        <v>2524.97</v>
      </c>
      <c r="K766" s="21">
        <v>1196.22</v>
      </c>
      <c r="L766" s="21">
        <v>1032.99</v>
      </c>
      <c r="M766" s="22">
        <v>0</v>
      </c>
      <c r="N766" s="22">
        <v>0</v>
      </c>
      <c r="O766" s="22">
        <v>0</v>
      </c>
      <c r="P766" s="22">
        <v>0</v>
      </c>
      <c r="Q766" s="22">
        <v>0</v>
      </c>
      <c r="R766" s="17">
        <v>1</v>
      </c>
      <c r="S766" s="17">
        <v>1</v>
      </c>
      <c r="T766" s="17">
        <v>1</v>
      </c>
      <c r="U766" s="17">
        <v>1</v>
      </c>
      <c r="V766" s="23">
        <v>1</v>
      </c>
    </row>
    <row r="767" ht="33" spans="1:22">
      <c r="A767" s="16">
        <v>10518</v>
      </c>
      <c r="B767" s="16" t="s">
        <v>1270</v>
      </c>
      <c r="C767" s="19">
        <v>14</v>
      </c>
      <c r="D767" s="19">
        <v>11</v>
      </c>
      <c r="E767" s="19">
        <v>10</v>
      </c>
      <c r="F767" s="19">
        <v>13</v>
      </c>
      <c r="G767" s="19">
        <v>10</v>
      </c>
      <c r="H767" s="20">
        <v>2460.89</v>
      </c>
      <c r="I767" s="20">
        <v>1933.11</v>
      </c>
      <c r="J767" s="21">
        <v>1757.45</v>
      </c>
      <c r="K767" s="21">
        <v>2286.22</v>
      </c>
      <c r="L767" s="21">
        <v>1759.17</v>
      </c>
      <c r="M767" s="22">
        <v>0</v>
      </c>
      <c r="N767" s="22">
        <v>0</v>
      </c>
      <c r="O767" s="22">
        <v>0</v>
      </c>
      <c r="P767" s="22">
        <v>0</v>
      </c>
      <c r="Q767" s="22">
        <v>2</v>
      </c>
      <c r="R767" s="17">
        <v>1</v>
      </c>
      <c r="S767" s="17">
        <v>1</v>
      </c>
      <c r="T767" s="17">
        <v>1</v>
      </c>
      <c r="U767" s="17">
        <v>1</v>
      </c>
      <c r="V767" s="23">
        <v>0.833333333333333</v>
      </c>
    </row>
    <row r="768" ht="33" spans="1:22">
      <c r="A768" s="16">
        <v>10519</v>
      </c>
      <c r="B768" s="16" t="s">
        <v>1271</v>
      </c>
      <c r="C768" s="19">
        <v>4</v>
      </c>
      <c r="D768" s="19">
        <v>5</v>
      </c>
      <c r="E768" s="19">
        <v>5</v>
      </c>
      <c r="F768" s="19">
        <v>3</v>
      </c>
      <c r="G768" s="19">
        <v>11</v>
      </c>
      <c r="H768" s="20">
        <v>356</v>
      </c>
      <c r="I768" s="20">
        <v>445</v>
      </c>
      <c r="J768" s="21">
        <v>458.35</v>
      </c>
      <c r="K768" s="21">
        <v>280.35</v>
      </c>
      <c r="L768" s="21">
        <v>1027.95</v>
      </c>
      <c r="M768" s="22">
        <v>0</v>
      </c>
      <c r="N768" s="22">
        <v>2</v>
      </c>
      <c r="O768" s="22">
        <v>1</v>
      </c>
      <c r="P768" s="22">
        <v>1</v>
      </c>
      <c r="Q768" s="22">
        <v>1</v>
      </c>
      <c r="R768" s="17">
        <v>1</v>
      </c>
      <c r="S768" s="17">
        <v>0.714285714285714</v>
      </c>
      <c r="T768" s="17">
        <v>0.833333333333333</v>
      </c>
      <c r="U768" s="17">
        <v>0.75</v>
      </c>
      <c r="V768" s="23">
        <v>0.916666666666667</v>
      </c>
    </row>
    <row r="769" ht="16.5" spans="1:22">
      <c r="A769" s="16">
        <v>10520</v>
      </c>
      <c r="B769" s="16" t="e">
        <v>#N/A</v>
      </c>
      <c r="C769" s="19">
        <v>0</v>
      </c>
      <c r="D769" s="19">
        <v>0</v>
      </c>
      <c r="E769" s="19">
        <v>0</v>
      </c>
      <c r="F769" s="19">
        <v>0</v>
      </c>
      <c r="G769" s="19">
        <v>0</v>
      </c>
      <c r="H769" s="20">
        <v>0</v>
      </c>
      <c r="I769" s="20">
        <v>0</v>
      </c>
      <c r="J769" s="21">
        <v>0</v>
      </c>
      <c r="K769" s="21">
        <v>0</v>
      </c>
      <c r="L769" s="21">
        <v>0</v>
      </c>
      <c r="M769" s="22">
        <v>0</v>
      </c>
      <c r="N769" s="22">
        <v>0</v>
      </c>
      <c r="O769" s="22">
        <v>1</v>
      </c>
      <c r="P769" s="22">
        <v>0</v>
      </c>
      <c r="Q769" s="22" t="e">
        <v>#N/A</v>
      </c>
      <c r="R769" s="17">
        <v>0</v>
      </c>
      <c r="S769" s="17">
        <v>0</v>
      </c>
      <c r="T769" s="17">
        <v>0</v>
      </c>
      <c r="U769" s="17">
        <v>0</v>
      </c>
      <c r="V769" s="23" t="e">
        <v>#N/A</v>
      </c>
    </row>
    <row r="770" ht="16.5" spans="1:22">
      <c r="A770" s="16">
        <v>10545</v>
      </c>
      <c r="B770" s="16" t="e">
        <v>#N/A</v>
      </c>
      <c r="C770" s="19">
        <v>1</v>
      </c>
      <c r="D770" s="19">
        <v>4</v>
      </c>
      <c r="E770" s="19">
        <v>0</v>
      </c>
      <c r="F770" s="19">
        <v>0</v>
      </c>
      <c r="G770" s="19">
        <v>0</v>
      </c>
      <c r="H770" s="20">
        <v>25.2</v>
      </c>
      <c r="I770" s="20">
        <v>99.6</v>
      </c>
      <c r="J770" s="21">
        <v>0</v>
      </c>
      <c r="K770" s="21">
        <v>0</v>
      </c>
      <c r="L770" s="21">
        <v>0</v>
      </c>
      <c r="M770" s="22">
        <v>0</v>
      </c>
      <c r="N770" s="22">
        <v>0</v>
      </c>
      <c r="O770" s="22">
        <v>1</v>
      </c>
      <c r="P770" s="22">
        <v>0</v>
      </c>
      <c r="Q770" s="22" t="e">
        <v>#N/A</v>
      </c>
      <c r="R770" s="17">
        <v>1</v>
      </c>
      <c r="S770" s="17">
        <v>1</v>
      </c>
      <c r="T770" s="17">
        <v>0</v>
      </c>
      <c r="U770" s="17">
        <v>0</v>
      </c>
      <c r="V770" s="23" t="e">
        <v>#N/A</v>
      </c>
    </row>
    <row r="771" ht="49.5" spans="1:22">
      <c r="A771" s="16">
        <v>10546</v>
      </c>
      <c r="B771" s="16" t="s">
        <v>1272</v>
      </c>
      <c r="C771" s="19">
        <v>25</v>
      </c>
      <c r="D771" s="19">
        <v>40</v>
      </c>
      <c r="E771" s="19">
        <v>38</v>
      </c>
      <c r="F771" s="19">
        <v>4</v>
      </c>
      <c r="G771" s="19">
        <v>9</v>
      </c>
      <c r="H771" s="20">
        <v>600</v>
      </c>
      <c r="I771" s="20">
        <v>840</v>
      </c>
      <c r="J771" s="21">
        <v>920.41</v>
      </c>
      <c r="K771" s="21">
        <v>109.96</v>
      </c>
      <c r="L771" s="21">
        <v>246.59</v>
      </c>
      <c r="M771" s="22">
        <v>3</v>
      </c>
      <c r="N771" s="22">
        <v>0</v>
      </c>
      <c r="O771" s="22">
        <v>0</v>
      </c>
      <c r="P771" s="22">
        <v>2</v>
      </c>
      <c r="Q771" s="22">
        <v>14</v>
      </c>
      <c r="R771" s="17">
        <v>0.892857142857143</v>
      </c>
      <c r="S771" s="17">
        <v>1</v>
      </c>
      <c r="T771" s="17">
        <v>1</v>
      </c>
      <c r="U771" s="17">
        <v>0.666666666666667</v>
      </c>
      <c r="V771" s="23">
        <v>0.391304347826087</v>
      </c>
    </row>
    <row r="772" ht="16.5" spans="1:22">
      <c r="A772" s="16">
        <v>10553</v>
      </c>
      <c r="B772" s="16" t="s">
        <v>1273</v>
      </c>
      <c r="C772" s="19">
        <v>2</v>
      </c>
      <c r="D772" s="19">
        <v>8</v>
      </c>
      <c r="E772" s="19">
        <v>7</v>
      </c>
      <c r="F772" s="19">
        <v>5</v>
      </c>
      <c r="G772" s="19">
        <v>6</v>
      </c>
      <c r="H772" s="20">
        <v>107.94</v>
      </c>
      <c r="I772" s="20">
        <v>424</v>
      </c>
      <c r="J772" s="21">
        <v>414.73</v>
      </c>
      <c r="K772" s="21">
        <v>263.04</v>
      </c>
      <c r="L772" s="21">
        <v>334.05</v>
      </c>
      <c r="M772" s="22">
        <v>4</v>
      </c>
      <c r="N772" s="22">
        <v>5</v>
      </c>
      <c r="O772" s="22">
        <v>2</v>
      </c>
      <c r="P772" s="22">
        <v>3</v>
      </c>
      <c r="Q772" s="22">
        <v>4</v>
      </c>
      <c r="R772" s="17">
        <v>0.333333333333333</v>
      </c>
      <c r="S772" s="17">
        <v>0.615384615384615</v>
      </c>
      <c r="T772" s="17">
        <v>0.777777777777778</v>
      </c>
      <c r="U772" s="17">
        <v>0.625</v>
      </c>
      <c r="V772" s="23">
        <v>0.6</v>
      </c>
    </row>
    <row r="773" ht="16.5" spans="1:22">
      <c r="A773" s="16">
        <v>10585</v>
      </c>
      <c r="B773" s="16" t="e">
        <v>#N/A</v>
      </c>
      <c r="C773" s="19">
        <v>1</v>
      </c>
      <c r="D773" s="19">
        <v>0</v>
      </c>
      <c r="E773" s="19">
        <v>0</v>
      </c>
      <c r="F773" s="19">
        <v>0</v>
      </c>
      <c r="G773" s="19">
        <v>0</v>
      </c>
      <c r="H773" s="20">
        <v>98</v>
      </c>
      <c r="I773" s="20">
        <v>0</v>
      </c>
      <c r="J773" s="21">
        <v>0</v>
      </c>
      <c r="K773" s="21">
        <v>0</v>
      </c>
      <c r="L773" s="21">
        <v>0</v>
      </c>
      <c r="M773" s="22">
        <v>0</v>
      </c>
      <c r="N773" s="22">
        <v>0</v>
      </c>
      <c r="O773" s="22">
        <v>0</v>
      </c>
      <c r="P773" s="22">
        <v>0</v>
      </c>
      <c r="Q773" s="22" t="e">
        <v>#N/A</v>
      </c>
      <c r="R773" s="17">
        <v>1</v>
      </c>
      <c r="S773" s="17">
        <v>0</v>
      </c>
      <c r="T773" s="17">
        <v>0</v>
      </c>
      <c r="U773" s="17">
        <v>0</v>
      </c>
      <c r="V773" s="23" t="e">
        <v>#N/A</v>
      </c>
    </row>
    <row r="774" ht="16.5" spans="1:22">
      <c r="A774" s="16">
        <v>10592</v>
      </c>
      <c r="B774" s="16" t="e">
        <v>#N/A</v>
      </c>
      <c r="C774" s="19">
        <v>0</v>
      </c>
      <c r="D774" s="19">
        <v>0</v>
      </c>
      <c r="E774" s="19">
        <v>0</v>
      </c>
      <c r="F774" s="19">
        <v>0</v>
      </c>
      <c r="G774" s="19">
        <v>0</v>
      </c>
      <c r="H774" s="20">
        <v>0</v>
      </c>
      <c r="I774" s="20">
        <v>0</v>
      </c>
      <c r="J774" s="21">
        <v>0</v>
      </c>
      <c r="K774" s="21">
        <v>0</v>
      </c>
      <c r="L774" s="21">
        <v>0</v>
      </c>
      <c r="M774" s="22">
        <v>0</v>
      </c>
      <c r="N774" s="22">
        <v>1</v>
      </c>
      <c r="O774" s="22">
        <v>3</v>
      </c>
      <c r="P774" s="22">
        <v>0</v>
      </c>
      <c r="Q774" s="22" t="e">
        <v>#N/A</v>
      </c>
      <c r="R774" s="17">
        <v>0</v>
      </c>
      <c r="S774" s="17">
        <v>0</v>
      </c>
      <c r="T774" s="17">
        <v>0</v>
      </c>
      <c r="U774" s="17">
        <v>0</v>
      </c>
      <c r="V774" s="23" t="e">
        <v>#N/A</v>
      </c>
    </row>
    <row r="775" ht="33" spans="1:22">
      <c r="A775" s="16">
        <v>10593</v>
      </c>
      <c r="B775" s="16" t="s">
        <v>1274</v>
      </c>
      <c r="C775" s="19">
        <v>0</v>
      </c>
      <c r="D775" s="19">
        <v>6</v>
      </c>
      <c r="E775" s="19">
        <v>1</v>
      </c>
      <c r="F775" s="19">
        <v>0</v>
      </c>
      <c r="G775" s="19">
        <v>0</v>
      </c>
      <c r="H775" s="20">
        <v>0</v>
      </c>
      <c r="I775" s="20">
        <v>60</v>
      </c>
      <c r="J775" s="21">
        <v>10</v>
      </c>
      <c r="K775" s="21">
        <v>0</v>
      </c>
      <c r="L775" s="21">
        <v>0</v>
      </c>
      <c r="M775" s="22">
        <v>0</v>
      </c>
      <c r="N775" s="22">
        <v>2</v>
      </c>
      <c r="O775" s="22">
        <v>5</v>
      </c>
      <c r="P775" s="22">
        <v>2</v>
      </c>
      <c r="Q775" s="22">
        <v>6</v>
      </c>
      <c r="R775" s="17">
        <v>0</v>
      </c>
      <c r="S775" s="17">
        <v>0.75</v>
      </c>
      <c r="T775" s="17">
        <v>0.166666666666667</v>
      </c>
      <c r="U775" s="17">
        <v>0</v>
      </c>
      <c r="V775" s="23">
        <v>0</v>
      </c>
    </row>
    <row r="776" ht="33" spans="1:22">
      <c r="A776" s="16">
        <v>10639</v>
      </c>
      <c r="B776" s="16" t="s">
        <v>1275</v>
      </c>
      <c r="C776" s="19">
        <v>24</v>
      </c>
      <c r="D776" s="19">
        <v>32</v>
      </c>
      <c r="E776" s="19">
        <v>26</v>
      </c>
      <c r="F776" s="19">
        <v>10</v>
      </c>
      <c r="G776" s="19">
        <v>13</v>
      </c>
      <c r="H776" s="20">
        <v>458.16</v>
      </c>
      <c r="I776" s="20">
        <v>660.38</v>
      </c>
      <c r="J776" s="21">
        <v>616.43</v>
      </c>
      <c r="K776" s="21">
        <v>340.31</v>
      </c>
      <c r="L776" s="21">
        <v>455.45</v>
      </c>
      <c r="M776" s="22">
        <v>62</v>
      </c>
      <c r="N776" s="22">
        <v>57</v>
      </c>
      <c r="O776" s="22">
        <v>84</v>
      </c>
      <c r="P776" s="22">
        <v>131</v>
      </c>
      <c r="Q776" s="22">
        <v>96</v>
      </c>
      <c r="R776" s="17">
        <v>0.27906976744186</v>
      </c>
      <c r="S776" s="17">
        <v>0.359550561797753</v>
      </c>
      <c r="T776" s="17">
        <v>0.236363636363636</v>
      </c>
      <c r="U776" s="17">
        <v>0.0709219858156028</v>
      </c>
      <c r="V776" s="23">
        <v>0.119266055045872</v>
      </c>
    </row>
    <row r="777" ht="33" spans="1:22">
      <c r="A777" s="16">
        <v>10653</v>
      </c>
      <c r="B777" s="16" t="s">
        <v>1276</v>
      </c>
      <c r="C777" s="19">
        <v>10</v>
      </c>
      <c r="D777" s="19">
        <v>10</v>
      </c>
      <c r="E777" s="19">
        <v>14</v>
      </c>
      <c r="F777" s="19">
        <v>8</v>
      </c>
      <c r="G777" s="19">
        <v>8</v>
      </c>
      <c r="H777" s="20">
        <v>1913.5</v>
      </c>
      <c r="I777" s="20">
        <v>1950</v>
      </c>
      <c r="J777" s="21">
        <v>2799</v>
      </c>
      <c r="K777" s="21">
        <v>1560</v>
      </c>
      <c r="L777" s="21">
        <v>1615.42</v>
      </c>
      <c r="M777" s="22">
        <v>0</v>
      </c>
      <c r="N777" s="22">
        <v>0</v>
      </c>
      <c r="O777" s="22">
        <v>0</v>
      </c>
      <c r="P777" s="22">
        <v>0</v>
      </c>
      <c r="Q777" s="22">
        <v>0</v>
      </c>
      <c r="R777" s="17">
        <v>1</v>
      </c>
      <c r="S777" s="17">
        <v>1</v>
      </c>
      <c r="T777" s="17">
        <v>1</v>
      </c>
      <c r="U777" s="17">
        <v>1</v>
      </c>
      <c r="V777" s="23">
        <v>1</v>
      </c>
    </row>
    <row r="778" ht="16.5" spans="1:22">
      <c r="A778" s="16">
        <v>10659</v>
      </c>
      <c r="B778" s="16" t="e">
        <v>#N/A</v>
      </c>
      <c r="C778" s="19">
        <v>4</v>
      </c>
      <c r="D778" s="19">
        <v>3</v>
      </c>
      <c r="E778" s="19">
        <v>0</v>
      </c>
      <c r="F778" s="19">
        <v>0</v>
      </c>
      <c r="G778" s="19">
        <v>0</v>
      </c>
      <c r="H778" s="20">
        <v>112</v>
      </c>
      <c r="I778" s="20">
        <v>75</v>
      </c>
      <c r="J778" s="21">
        <v>0</v>
      </c>
      <c r="K778" s="21">
        <v>0</v>
      </c>
      <c r="L778" s="21">
        <v>0</v>
      </c>
      <c r="M778" s="22">
        <v>0</v>
      </c>
      <c r="N778" s="22">
        <v>0</v>
      </c>
      <c r="O778" s="22">
        <v>0</v>
      </c>
      <c r="P778" s="22">
        <v>0</v>
      </c>
      <c r="Q778" s="22" t="e">
        <v>#N/A</v>
      </c>
      <c r="R778" s="17">
        <v>1</v>
      </c>
      <c r="S778" s="17">
        <v>1</v>
      </c>
      <c r="T778" s="17">
        <v>0</v>
      </c>
      <c r="U778" s="17">
        <v>0</v>
      </c>
      <c r="V778" s="23" t="e">
        <v>#N/A</v>
      </c>
    </row>
    <row r="779" ht="16.5" spans="1:22">
      <c r="A779" s="16">
        <v>10660</v>
      </c>
      <c r="B779" s="16" t="e">
        <v>#N/A</v>
      </c>
      <c r="C779" s="19">
        <v>0</v>
      </c>
      <c r="D779" s="19">
        <v>4</v>
      </c>
      <c r="E779" s="19">
        <v>0</v>
      </c>
      <c r="F779" s="19">
        <v>0</v>
      </c>
      <c r="G779" s="19">
        <v>0</v>
      </c>
      <c r="H779" s="20">
        <v>0</v>
      </c>
      <c r="I779" s="20">
        <v>100</v>
      </c>
      <c r="J779" s="21">
        <v>0</v>
      </c>
      <c r="K779" s="21">
        <v>0</v>
      </c>
      <c r="L779" s="21">
        <v>0</v>
      </c>
      <c r="M779" s="22">
        <v>0</v>
      </c>
      <c r="N779" s="22">
        <v>0</v>
      </c>
      <c r="O779" s="22">
        <v>0</v>
      </c>
      <c r="P779" s="22">
        <v>0</v>
      </c>
      <c r="Q779" s="22" t="e">
        <v>#N/A</v>
      </c>
      <c r="R779" s="17">
        <v>0</v>
      </c>
      <c r="S779" s="17">
        <v>1</v>
      </c>
      <c r="T779" s="17">
        <v>0</v>
      </c>
      <c r="U779" s="17">
        <v>0</v>
      </c>
      <c r="V779" s="23" t="e">
        <v>#N/A</v>
      </c>
    </row>
    <row r="780" ht="33" spans="1:22">
      <c r="A780" s="16">
        <v>10774</v>
      </c>
      <c r="B780" s="16" t="s">
        <v>1277</v>
      </c>
      <c r="C780" s="19">
        <v>3</v>
      </c>
      <c r="D780" s="19">
        <v>3</v>
      </c>
      <c r="E780" s="19">
        <v>5</v>
      </c>
      <c r="F780" s="19">
        <v>2</v>
      </c>
      <c r="G780" s="19">
        <v>10</v>
      </c>
      <c r="H780" s="20">
        <v>552.98</v>
      </c>
      <c r="I780" s="20">
        <v>562.35</v>
      </c>
      <c r="J780" s="21">
        <v>904.2</v>
      </c>
      <c r="K780" s="21">
        <v>374.9</v>
      </c>
      <c r="L780" s="21">
        <v>1882.9</v>
      </c>
      <c r="M780" s="22">
        <v>1</v>
      </c>
      <c r="N780" s="22">
        <v>0</v>
      </c>
      <c r="O780" s="22">
        <v>2</v>
      </c>
      <c r="P780" s="22">
        <v>0</v>
      </c>
      <c r="Q780" s="22">
        <v>0</v>
      </c>
      <c r="R780" s="17">
        <v>0.75</v>
      </c>
      <c r="S780" s="17">
        <v>1</v>
      </c>
      <c r="T780" s="17">
        <v>0.714285714285714</v>
      </c>
      <c r="U780" s="17">
        <v>1</v>
      </c>
      <c r="V780" s="23">
        <v>1</v>
      </c>
    </row>
    <row r="781" ht="33" spans="1:22">
      <c r="A781" s="16">
        <v>10785</v>
      </c>
      <c r="B781" s="16" t="s">
        <v>1278</v>
      </c>
      <c r="C781" s="19">
        <v>0</v>
      </c>
      <c r="D781" s="19">
        <v>14</v>
      </c>
      <c r="E781" s="19">
        <v>12</v>
      </c>
      <c r="F781" s="19">
        <v>32</v>
      </c>
      <c r="G781" s="19">
        <v>22</v>
      </c>
      <c r="H781" s="20">
        <v>0</v>
      </c>
      <c r="I781" s="20">
        <v>655.2</v>
      </c>
      <c r="J781" s="21">
        <v>561.6</v>
      </c>
      <c r="K781" s="21">
        <v>1580.54</v>
      </c>
      <c r="L781" s="21">
        <v>1099.78</v>
      </c>
      <c r="M781" s="22">
        <v>22</v>
      </c>
      <c r="N781" s="22">
        <v>19</v>
      </c>
      <c r="O781" s="22">
        <v>33</v>
      </c>
      <c r="P781" s="22">
        <v>27</v>
      </c>
      <c r="Q781" s="22">
        <v>32</v>
      </c>
      <c r="R781" s="17">
        <v>0</v>
      </c>
      <c r="S781" s="17">
        <v>0.424242424242424</v>
      </c>
      <c r="T781" s="17">
        <v>0.266666666666667</v>
      </c>
      <c r="U781" s="17">
        <v>0.542372881355932</v>
      </c>
      <c r="V781" s="23">
        <v>0.407407407407407</v>
      </c>
    </row>
    <row r="782" ht="33" spans="1:22">
      <c r="A782" s="16">
        <v>10786</v>
      </c>
      <c r="B782" s="16" t="s">
        <v>1279</v>
      </c>
      <c r="C782" s="19">
        <v>88</v>
      </c>
      <c r="D782" s="19">
        <v>30</v>
      </c>
      <c r="E782" s="19">
        <v>31</v>
      </c>
      <c r="F782" s="19">
        <v>12</v>
      </c>
      <c r="G782" s="19">
        <v>32</v>
      </c>
      <c r="H782" s="20">
        <v>3587.99</v>
      </c>
      <c r="I782" s="20">
        <v>1466.04</v>
      </c>
      <c r="J782" s="21">
        <v>1552.68</v>
      </c>
      <c r="K782" s="21">
        <v>632.28</v>
      </c>
      <c r="L782" s="21">
        <v>1714.37</v>
      </c>
      <c r="M782" s="22">
        <v>129</v>
      </c>
      <c r="N782" s="22">
        <v>196</v>
      </c>
      <c r="O782" s="22">
        <v>182</v>
      </c>
      <c r="P782" s="22">
        <v>185</v>
      </c>
      <c r="Q782" s="22">
        <v>104</v>
      </c>
      <c r="R782" s="17">
        <v>0.405529953917051</v>
      </c>
      <c r="S782" s="17">
        <v>0.132743362831858</v>
      </c>
      <c r="T782" s="17">
        <v>0.145539906103286</v>
      </c>
      <c r="U782" s="17">
        <v>0.0609137055837563</v>
      </c>
      <c r="V782" s="23">
        <v>0.235294117647059</v>
      </c>
    </row>
    <row r="783" ht="33" spans="1:22">
      <c r="A783" s="16">
        <v>10787</v>
      </c>
      <c r="B783" s="16" t="s">
        <v>1280</v>
      </c>
      <c r="C783" s="19">
        <v>12</v>
      </c>
      <c r="D783" s="19">
        <v>30</v>
      </c>
      <c r="E783" s="19">
        <v>6</v>
      </c>
      <c r="F783" s="19">
        <v>17</v>
      </c>
      <c r="G783" s="19">
        <v>15</v>
      </c>
      <c r="H783" s="20">
        <v>491.88</v>
      </c>
      <c r="I783" s="20">
        <v>1233.26</v>
      </c>
      <c r="J783" s="21">
        <v>249.5</v>
      </c>
      <c r="K783" s="21">
        <v>696.83</v>
      </c>
      <c r="L783" s="21">
        <v>614.85</v>
      </c>
      <c r="M783" s="22">
        <v>5</v>
      </c>
      <c r="N783" s="22">
        <v>18</v>
      </c>
      <c r="O783" s="22">
        <v>20</v>
      </c>
      <c r="P783" s="22">
        <v>18</v>
      </c>
      <c r="Q783" s="22">
        <v>17</v>
      </c>
      <c r="R783" s="17">
        <v>0.705882352941177</v>
      </c>
      <c r="S783" s="17">
        <v>0.625</v>
      </c>
      <c r="T783" s="17">
        <v>0.230769230769231</v>
      </c>
      <c r="U783" s="17">
        <v>0.485714285714286</v>
      </c>
      <c r="V783" s="23">
        <v>0.46875</v>
      </c>
    </row>
    <row r="784" ht="49.5" spans="1:22">
      <c r="A784" s="16">
        <v>10811</v>
      </c>
      <c r="B784" s="16" t="s">
        <v>1281</v>
      </c>
      <c r="C784" s="19">
        <v>9</v>
      </c>
      <c r="D784" s="19">
        <v>8</v>
      </c>
      <c r="E784" s="19">
        <v>2</v>
      </c>
      <c r="F784" s="19">
        <v>8</v>
      </c>
      <c r="G784" s="19">
        <v>0</v>
      </c>
      <c r="H784" s="20">
        <v>511.73</v>
      </c>
      <c r="I784" s="20">
        <v>438.24</v>
      </c>
      <c r="J784" s="21">
        <v>112.8</v>
      </c>
      <c r="K784" s="21">
        <v>451.2</v>
      </c>
      <c r="L784" s="21">
        <v>0</v>
      </c>
      <c r="M784" s="22">
        <v>3</v>
      </c>
      <c r="N784" s="22">
        <v>0</v>
      </c>
      <c r="O784" s="22">
        <v>0</v>
      </c>
      <c r="P784" s="22">
        <v>0</v>
      </c>
      <c r="Q784" s="22">
        <v>1</v>
      </c>
      <c r="R784" s="17">
        <v>0.75</v>
      </c>
      <c r="S784" s="17">
        <v>1</v>
      </c>
      <c r="T784" s="17">
        <v>1</v>
      </c>
      <c r="U784" s="17">
        <v>1</v>
      </c>
      <c r="V784" s="23">
        <v>0</v>
      </c>
    </row>
    <row r="785" ht="16.5" spans="1:22">
      <c r="A785" s="16">
        <v>10812</v>
      </c>
      <c r="B785" s="16" t="e">
        <v>#N/A</v>
      </c>
      <c r="C785" s="19">
        <v>8</v>
      </c>
      <c r="D785" s="19">
        <v>1</v>
      </c>
      <c r="E785" s="19">
        <v>0</v>
      </c>
      <c r="F785" s="19">
        <v>0</v>
      </c>
      <c r="G785" s="19">
        <v>0</v>
      </c>
      <c r="H785" s="20">
        <v>473.11</v>
      </c>
      <c r="I785" s="20">
        <v>65</v>
      </c>
      <c r="J785" s="21">
        <v>0</v>
      </c>
      <c r="K785" s="21">
        <v>0</v>
      </c>
      <c r="L785" s="21">
        <v>0</v>
      </c>
      <c r="M785" s="22">
        <v>0</v>
      </c>
      <c r="N785" s="22">
        <v>0</v>
      </c>
      <c r="O785" s="22">
        <v>0</v>
      </c>
      <c r="P785" s="22">
        <v>0</v>
      </c>
      <c r="Q785" s="22" t="e">
        <v>#N/A</v>
      </c>
      <c r="R785" s="17">
        <v>1</v>
      </c>
      <c r="S785" s="17">
        <v>1</v>
      </c>
      <c r="T785" s="17">
        <v>0</v>
      </c>
      <c r="U785" s="17">
        <v>0</v>
      </c>
      <c r="V785" s="23" t="e">
        <v>#N/A</v>
      </c>
    </row>
    <row r="786" ht="33" spans="1:22">
      <c r="A786" s="16">
        <v>10813</v>
      </c>
      <c r="B786" s="16" t="s">
        <v>1282</v>
      </c>
      <c r="C786" s="19">
        <v>2</v>
      </c>
      <c r="D786" s="19">
        <v>3</v>
      </c>
      <c r="E786" s="19">
        <v>5</v>
      </c>
      <c r="F786" s="19">
        <v>3</v>
      </c>
      <c r="G786" s="19">
        <v>4</v>
      </c>
      <c r="H786" s="20">
        <v>77.98</v>
      </c>
      <c r="I786" s="20">
        <v>116.97</v>
      </c>
      <c r="J786" s="21">
        <v>183.97</v>
      </c>
      <c r="K786" s="21">
        <v>120.48</v>
      </c>
      <c r="L786" s="21">
        <v>157.48</v>
      </c>
      <c r="M786" s="22">
        <v>0</v>
      </c>
      <c r="N786" s="22">
        <v>3</v>
      </c>
      <c r="O786" s="22">
        <v>0</v>
      </c>
      <c r="P786" s="22">
        <v>2</v>
      </c>
      <c r="Q786" s="22">
        <v>5</v>
      </c>
      <c r="R786" s="17">
        <v>1</v>
      </c>
      <c r="S786" s="17">
        <v>0.5</v>
      </c>
      <c r="T786" s="17">
        <v>1</v>
      </c>
      <c r="U786" s="17">
        <v>0.6</v>
      </c>
      <c r="V786" s="23">
        <v>0.444444444444444</v>
      </c>
    </row>
    <row r="787" ht="16.5" spans="1:22">
      <c r="A787" s="16">
        <v>10857</v>
      </c>
      <c r="B787" s="16" t="e">
        <v>#N/A</v>
      </c>
      <c r="C787" s="19">
        <v>0</v>
      </c>
      <c r="D787" s="19">
        <v>0</v>
      </c>
      <c r="E787" s="19">
        <v>0</v>
      </c>
      <c r="F787" s="19">
        <v>0</v>
      </c>
      <c r="G787" s="19">
        <v>0</v>
      </c>
      <c r="H787" s="20">
        <v>0</v>
      </c>
      <c r="I787" s="20">
        <v>0</v>
      </c>
      <c r="J787" s="21">
        <v>0</v>
      </c>
      <c r="K787" s="21">
        <v>0</v>
      </c>
      <c r="L787" s="21">
        <v>0</v>
      </c>
      <c r="M787" s="22">
        <v>0</v>
      </c>
      <c r="N787" s="22">
        <v>0</v>
      </c>
      <c r="O787" s="22">
        <v>0</v>
      </c>
      <c r="P787" s="22">
        <v>0</v>
      </c>
      <c r="Q787" s="22" t="e">
        <v>#N/A</v>
      </c>
      <c r="R787" s="17">
        <v>0</v>
      </c>
      <c r="S787" s="17">
        <v>0</v>
      </c>
      <c r="T787" s="17">
        <v>0</v>
      </c>
      <c r="U787" s="17">
        <v>0</v>
      </c>
      <c r="V787" s="23" t="e">
        <v>#N/A</v>
      </c>
    </row>
    <row r="788" ht="33" spans="1:22">
      <c r="A788" s="16">
        <v>10858</v>
      </c>
      <c r="B788" s="16" t="s">
        <v>1283</v>
      </c>
      <c r="C788" s="19">
        <v>3</v>
      </c>
      <c r="D788" s="19">
        <v>5</v>
      </c>
      <c r="E788" s="19">
        <v>4</v>
      </c>
      <c r="F788" s="19">
        <v>3</v>
      </c>
      <c r="G788" s="19">
        <v>14</v>
      </c>
      <c r="H788" s="20">
        <v>86.97</v>
      </c>
      <c r="I788" s="20">
        <v>144.95</v>
      </c>
      <c r="J788" s="21">
        <v>99.12</v>
      </c>
      <c r="K788" s="21">
        <v>75.84</v>
      </c>
      <c r="L788" s="21">
        <v>351.17</v>
      </c>
      <c r="M788" s="22">
        <v>18</v>
      </c>
      <c r="N788" s="22">
        <v>9</v>
      </c>
      <c r="O788" s="22">
        <v>22</v>
      </c>
      <c r="P788" s="22">
        <v>9</v>
      </c>
      <c r="Q788" s="22">
        <v>13</v>
      </c>
      <c r="R788" s="17">
        <v>0.142857142857143</v>
      </c>
      <c r="S788" s="17">
        <v>0.357142857142857</v>
      </c>
      <c r="T788" s="17">
        <v>0.153846153846154</v>
      </c>
      <c r="U788" s="17">
        <v>0.25</v>
      </c>
      <c r="V788" s="23">
        <v>0.518518518518518</v>
      </c>
    </row>
    <row r="789" ht="33" spans="1:22">
      <c r="A789" s="16">
        <v>10859</v>
      </c>
      <c r="B789" s="16" t="s">
        <v>1284</v>
      </c>
      <c r="C789" s="19">
        <v>9</v>
      </c>
      <c r="D789" s="19">
        <v>13</v>
      </c>
      <c r="E789" s="19">
        <v>14</v>
      </c>
      <c r="F789" s="19">
        <v>9</v>
      </c>
      <c r="G789" s="19">
        <v>7</v>
      </c>
      <c r="H789" s="20">
        <v>1154.55</v>
      </c>
      <c r="I789" s="20">
        <v>1677</v>
      </c>
      <c r="J789" s="21">
        <v>1768</v>
      </c>
      <c r="K789" s="21">
        <v>1110.34</v>
      </c>
      <c r="L789" s="21">
        <v>894.34</v>
      </c>
      <c r="M789" s="22">
        <v>1</v>
      </c>
      <c r="N789" s="22">
        <v>1</v>
      </c>
      <c r="O789" s="22">
        <v>1</v>
      </c>
      <c r="P789" s="22">
        <v>1</v>
      </c>
      <c r="Q789" s="22">
        <v>1</v>
      </c>
      <c r="R789" s="17">
        <v>0.9</v>
      </c>
      <c r="S789" s="17">
        <v>0.928571428571429</v>
      </c>
      <c r="T789" s="17">
        <v>0.933333333333333</v>
      </c>
      <c r="U789" s="17">
        <v>0.9</v>
      </c>
      <c r="V789" s="23">
        <v>0.875</v>
      </c>
    </row>
    <row r="790" ht="33" spans="1:22">
      <c r="A790" s="16">
        <v>10894</v>
      </c>
      <c r="B790" s="16" t="s">
        <v>1285</v>
      </c>
      <c r="C790" s="19">
        <v>1</v>
      </c>
      <c r="D790" s="19">
        <v>6</v>
      </c>
      <c r="E790" s="19">
        <v>9</v>
      </c>
      <c r="F790" s="19">
        <v>8</v>
      </c>
      <c r="G790" s="19">
        <v>6</v>
      </c>
      <c r="H790" s="20">
        <v>85</v>
      </c>
      <c r="I790" s="20">
        <v>455.22</v>
      </c>
      <c r="J790" s="21">
        <v>699.8</v>
      </c>
      <c r="K790" s="21">
        <v>660.64</v>
      </c>
      <c r="L790" s="21">
        <v>495.86</v>
      </c>
      <c r="M790" s="22">
        <v>5</v>
      </c>
      <c r="N790" s="22">
        <v>2</v>
      </c>
      <c r="O790" s="22">
        <v>2</v>
      </c>
      <c r="P790" s="22">
        <v>3</v>
      </c>
      <c r="Q790" s="22">
        <v>3</v>
      </c>
      <c r="R790" s="17">
        <v>0.166666666666667</v>
      </c>
      <c r="S790" s="17">
        <v>0.75</v>
      </c>
      <c r="T790" s="17">
        <v>0.818181818181818</v>
      </c>
      <c r="U790" s="17">
        <v>0.727272727272727</v>
      </c>
      <c r="V790" s="23">
        <v>0.666666666666667</v>
      </c>
    </row>
    <row r="791" ht="16.5" spans="1:22">
      <c r="A791" s="16">
        <v>10906</v>
      </c>
      <c r="B791" s="16" t="e">
        <v>#N/A</v>
      </c>
      <c r="C791" s="19">
        <v>2</v>
      </c>
      <c r="D791" s="19">
        <v>0</v>
      </c>
      <c r="E791" s="19">
        <v>0</v>
      </c>
      <c r="F791" s="19">
        <v>0</v>
      </c>
      <c r="G791" s="19">
        <v>0</v>
      </c>
      <c r="H791" s="20">
        <v>378</v>
      </c>
      <c r="I791" s="20">
        <v>0</v>
      </c>
      <c r="J791" s="21">
        <v>0</v>
      </c>
      <c r="K791" s="21">
        <v>0</v>
      </c>
      <c r="L791" s="21">
        <v>0</v>
      </c>
      <c r="M791" s="22">
        <v>0</v>
      </c>
      <c r="N791" s="22">
        <v>0</v>
      </c>
      <c r="O791" s="22">
        <v>0</v>
      </c>
      <c r="P791" s="22">
        <v>0</v>
      </c>
      <c r="Q791" s="22" t="e">
        <v>#N/A</v>
      </c>
      <c r="R791" s="17">
        <v>1</v>
      </c>
      <c r="S791" s="17">
        <v>0</v>
      </c>
      <c r="T791" s="17">
        <v>0</v>
      </c>
      <c r="U791" s="17">
        <v>0</v>
      </c>
      <c r="V791" s="23" t="e">
        <v>#N/A</v>
      </c>
    </row>
    <row r="792" ht="33" spans="1:22">
      <c r="A792" s="16">
        <v>10920</v>
      </c>
      <c r="B792" s="16" t="s">
        <v>1286</v>
      </c>
      <c r="C792" s="19">
        <v>0</v>
      </c>
      <c r="D792" s="19">
        <v>1</v>
      </c>
      <c r="E792" s="19">
        <v>1</v>
      </c>
      <c r="F792" s="19">
        <v>1</v>
      </c>
      <c r="G792" s="19">
        <v>3</v>
      </c>
      <c r="H792" s="20">
        <v>0</v>
      </c>
      <c r="I792" s="20">
        <v>239</v>
      </c>
      <c r="J792" s="21">
        <v>212</v>
      </c>
      <c r="K792" s="21">
        <v>239</v>
      </c>
      <c r="L792" s="21">
        <v>676.72</v>
      </c>
      <c r="M792" s="22">
        <v>2</v>
      </c>
      <c r="N792" s="22">
        <v>2</v>
      </c>
      <c r="O792" s="22">
        <v>3</v>
      </c>
      <c r="P792" s="22">
        <v>3</v>
      </c>
      <c r="Q792" s="22">
        <v>3</v>
      </c>
      <c r="R792" s="17">
        <v>0</v>
      </c>
      <c r="S792" s="17">
        <v>0.333333333333333</v>
      </c>
      <c r="T792" s="17">
        <v>0.25</v>
      </c>
      <c r="U792" s="17">
        <v>0.25</v>
      </c>
      <c r="V792" s="23">
        <v>0.5</v>
      </c>
    </row>
    <row r="793" ht="33" spans="1:22">
      <c r="A793" s="16">
        <v>10937</v>
      </c>
      <c r="B793" s="16" t="s">
        <v>1287</v>
      </c>
      <c r="C793" s="19">
        <v>3</v>
      </c>
      <c r="D793" s="19">
        <v>5</v>
      </c>
      <c r="E793" s="19">
        <v>7</v>
      </c>
      <c r="F793" s="19">
        <v>2</v>
      </c>
      <c r="G793" s="19">
        <v>2</v>
      </c>
      <c r="H793" s="20">
        <v>232.2</v>
      </c>
      <c r="I793" s="20">
        <v>388.59</v>
      </c>
      <c r="J793" s="21">
        <v>549.62</v>
      </c>
      <c r="K793" s="21">
        <v>149.72</v>
      </c>
      <c r="L793" s="21">
        <v>160.72</v>
      </c>
      <c r="M793" s="22">
        <v>2</v>
      </c>
      <c r="N793" s="22">
        <v>1</v>
      </c>
      <c r="O793" s="22">
        <v>3</v>
      </c>
      <c r="P793" s="22">
        <v>0</v>
      </c>
      <c r="Q793" s="22">
        <v>1</v>
      </c>
      <c r="R793" s="17">
        <v>0.6</v>
      </c>
      <c r="S793" s="17">
        <v>0.833333333333333</v>
      </c>
      <c r="T793" s="17">
        <v>0.7</v>
      </c>
      <c r="U793" s="17">
        <v>1</v>
      </c>
      <c r="V793" s="23">
        <v>0.666666666666667</v>
      </c>
    </row>
    <row r="794" ht="16.5" spans="1:22">
      <c r="A794" s="16">
        <v>10938</v>
      </c>
      <c r="B794" s="16" t="e">
        <v>#N/A</v>
      </c>
      <c r="C794" s="19">
        <v>4</v>
      </c>
      <c r="D794" s="19">
        <v>3</v>
      </c>
      <c r="E794" s="19">
        <v>0</v>
      </c>
      <c r="F794" s="19">
        <v>0</v>
      </c>
      <c r="G794" s="19">
        <v>0</v>
      </c>
      <c r="H794" s="20">
        <v>304.24</v>
      </c>
      <c r="I794" s="20">
        <v>232.2</v>
      </c>
      <c r="J794" s="21">
        <v>0</v>
      </c>
      <c r="K794" s="21">
        <v>0</v>
      </c>
      <c r="L794" s="21">
        <v>0</v>
      </c>
      <c r="M794" s="22">
        <v>0</v>
      </c>
      <c r="N794" s="22">
        <v>0</v>
      </c>
      <c r="O794" s="22">
        <v>2</v>
      </c>
      <c r="P794" s="22">
        <v>0</v>
      </c>
      <c r="Q794" s="22" t="e">
        <v>#N/A</v>
      </c>
      <c r="R794" s="17">
        <v>1</v>
      </c>
      <c r="S794" s="17">
        <v>1</v>
      </c>
      <c r="T794" s="17">
        <v>0</v>
      </c>
      <c r="U794" s="17">
        <v>0</v>
      </c>
      <c r="V794" s="23" t="e">
        <v>#N/A</v>
      </c>
    </row>
    <row r="795" ht="16.5" spans="1:22">
      <c r="A795" s="16">
        <v>10977</v>
      </c>
      <c r="B795" s="16" t="e">
        <v>#N/A</v>
      </c>
      <c r="C795" s="19">
        <v>0</v>
      </c>
      <c r="D795" s="19">
        <v>2</v>
      </c>
      <c r="E795" s="19">
        <v>0</v>
      </c>
      <c r="F795" s="19">
        <v>0</v>
      </c>
      <c r="G795" s="19">
        <v>0</v>
      </c>
      <c r="H795" s="20">
        <v>0</v>
      </c>
      <c r="I795" s="20">
        <v>214.2</v>
      </c>
      <c r="J795" s="21">
        <v>0</v>
      </c>
      <c r="K795" s="21">
        <v>0</v>
      </c>
      <c r="L795" s="21">
        <v>0</v>
      </c>
      <c r="M795" s="22">
        <v>0</v>
      </c>
      <c r="N795" s="22">
        <v>0</v>
      </c>
      <c r="O795" s="22">
        <v>0</v>
      </c>
      <c r="P795" s="22">
        <v>0</v>
      </c>
      <c r="Q795" s="22" t="e">
        <v>#N/A</v>
      </c>
      <c r="R795" s="17">
        <v>0</v>
      </c>
      <c r="S795" s="17">
        <v>1</v>
      </c>
      <c r="T795" s="17">
        <v>0</v>
      </c>
      <c r="U795" s="17">
        <v>0</v>
      </c>
      <c r="V795" s="23" t="e">
        <v>#N/A</v>
      </c>
    </row>
    <row r="796" ht="33" spans="1:22">
      <c r="A796" s="16">
        <v>10988</v>
      </c>
      <c r="B796" s="16" t="s">
        <v>1288</v>
      </c>
      <c r="C796" s="19">
        <v>46</v>
      </c>
      <c r="D796" s="19">
        <v>36</v>
      </c>
      <c r="E796" s="19">
        <v>31</v>
      </c>
      <c r="F796" s="19">
        <v>4</v>
      </c>
      <c r="G796" s="19">
        <v>23</v>
      </c>
      <c r="H796" s="20">
        <v>882.28</v>
      </c>
      <c r="I796" s="20">
        <v>690.48</v>
      </c>
      <c r="J796" s="21">
        <v>603.43</v>
      </c>
      <c r="K796" s="21">
        <v>79.08</v>
      </c>
      <c r="L796" s="21">
        <v>454.71</v>
      </c>
      <c r="M796" s="22">
        <v>14</v>
      </c>
      <c r="N796" s="22">
        <v>16</v>
      </c>
      <c r="O796" s="22">
        <v>47</v>
      </c>
      <c r="P796" s="22">
        <v>88</v>
      </c>
      <c r="Q796" s="22">
        <v>18</v>
      </c>
      <c r="R796" s="17">
        <v>0.766666666666667</v>
      </c>
      <c r="S796" s="17">
        <v>0.692307692307692</v>
      </c>
      <c r="T796" s="17">
        <v>0.397435897435897</v>
      </c>
      <c r="U796" s="17">
        <v>0.0434782608695652</v>
      </c>
      <c r="V796" s="23">
        <v>0.560975609756098</v>
      </c>
    </row>
    <row r="797" ht="33" spans="1:22">
      <c r="A797" s="16">
        <v>11002</v>
      </c>
      <c r="B797" s="16" t="s">
        <v>1289</v>
      </c>
      <c r="C797" s="19">
        <v>8</v>
      </c>
      <c r="D797" s="19">
        <v>6</v>
      </c>
      <c r="E797" s="19">
        <v>8</v>
      </c>
      <c r="F797" s="19">
        <v>11</v>
      </c>
      <c r="G797" s="19">
        <v>10</v>
      </c>
      <c r="H797" s="20">
        <v>1192</v>
      </c>
      <c r="I797" s="20">
        <v>886.55</v>
      </c>
      <c r="J797" s="21">
        <v>1184.55</v>
      </c>
      <c r="K797" s="21">
        <v>1629.05</v>
      </c>
      <c r="L797" s="21">
        <v>1479.09</v>
      </c>
      <c r="M797" s="22">
        <v>0</v>
      </c>
      <c r="N797" s="22">
        <v>0</v>
      </c>
      <c r="O797" s="22">
        <v>4</v>
      </c>
      <c r="P797" s="22">
        <v>0</v>
      </c>
      <c r="Q797" s="22">
        <v>3</v>
      </c>
      <c r="R797" s="17">
        <v>1</v>
      </c>
      <c r="S797" s="17">
        <v>1</v>
      </c>
      <c r="T797" s="17">
        <v>0.666666666666667</v>
      </c>
      <c r="U797" s="17">
        <v>1</v>
      </c>
      <c r="V797" s="23">
        <v>0.769230769230769</v>
      </c>
    </row>
    <row r="798" ht="33" spans="1:22">
      <c r="A798" s="16">
        <v>11003</v>
      </c>
      <c r="B798" s="16" t="s">
        <v>1290</v>
      </c>
      <c r="C798" s="19">
        <v>14</v>
      </c>
      <c r="D798" s="19">
        <v>15</v>
      </c>
      <c r="E798" s="19">
        <v>31</v>
      </c>
      <c r="F798" s="19">
        <v>19</v>
      </c>
      <c r="G798" s="19">
        <v>19</v>
      </c>
      <c r="H798" s="20">
        <v>725.4</v>
      </c>
      <c r="I798" s="20">
        <v>801</v>
      </c>
      <c r="J798" s="21">
        <v>1625.05</v>
      </c>
      <c r="K798" s="21">
        <v>994</v>
      </c>
      <c r="L798" s="21">
        <v>994</v>
      </c>
      <c r="M798" s="22">
        <v>4</v>
      </c>
      <c r="N798" s="22">
        <v>0</v>
      </c>
      <c r="O798" s="22">
        <v>0</v>
      </c>
      <c r="P798" s="22">
        <v>2</v>
      </c>
      <c r="Q798" s="22">
        <v>4</v>
      </c>
      <c r="R798" s="17">
        <v>0.777777777777778</v>
      </c>
      <c r="S798" s="17">
        <v>1</v>
      </c>
      <c r="T798" s="17">
        <v>1</v>
      </c>
      <c r="U798" s="17">
        <v>0.904761904761905</v>
      </c>
      <c r="V798" s="23">
        <v>0.826086956521739</v>
      </c>
    </row>
    <row r="799" ht="33" spans="1:22">
      <c r="A799" s="16">
        <v>11004</v>
      </c>
      <c r="B799" s="16" t="s">
        <v>1291</v>
      </c>
      <c r="C799" s="19">
        <v>4</v>
      </c>
      <c r="D799" s="19">
        <v>5</v>
      </c>
      <c r="E799" s="19">
        <v>7</v>
      </c>
      <c r="F799" s="19">
        <v>6</v>
      </c>
      <c r="G799" s="19">
        <v>5</v>
      </c>
      <c r="H799" s="20">
        <v>120</v>
      </c>
      <c r="I799" s="20">
        <v>150</v>
      </c>
      <c r="J799" s="21">
        <v>214.82</v>
      </c>
      <c r="K799" s="21">
        <v>190.92</v>
      </c>
      <c r="L799" s="21">
        <v>159.1</v>
      </c>
      <c r="M799" s="22">
        <v>9</v>
      </c>
      <c r="N799" s="22">
        <v>2</v>
      </c>
      <c r="O799" s="22">
        <v>12</v>
      </c>
      <c r="P799" s="22">
        <v>5</v>
      </c>
      <c r="Q799" s="22">
        <v>8</v>
      </c>
      <c r="R799" s="17">
        <v>0.307692307692308</v>
      </c>
      <c r="S799" s="17">
        <v>0.714285714285714</v>
      </c>
      <c r="T799" s="17">
        <v>0.368421052631579</v>
      </c>
      <c r="U799" s="17">
        <v>0.545454545454545</v>
      </c>
      <c r="V799" s="23">
        <v>0.384615384615385</v>
      </c>
    </row>
    <row r="800" ht="16.5" spans="1:22">
      <c r="A800" s="16">
        <v>11005</v>
      </c>
      <c r="B800" s="16" t="e">
        <v>#N/A</v>
      </c>
      <c r="C800" s="19">
        <v>8</v>
      </c>
      <c r="D800" s="19">
        <v>2</v>
      </c>
      <c r="E800" s="19">
        <v>0</v>
      </c>
      <c r="F800" s="19">
        <v>0</v>
      </c>
      <c r="G800" s="19">
        <v>0</v>
      </c>
      <c r="H800" s="20">
        <v>201.15</v>
      </c>
      <c r="I800" s="20">
        <v>47</v>
      </c>
      <c r="J800" s="21">
        <v>0</v>
      </c>
      <c r="K800" s="21">
        <v>0</v>
      </c>
      <c r="L800" s="21">
        <v>0</v>
      </c>
      <c r="M800" s="22">
        <v>2</v>
      </c>
      <c r="N800" s="22">
        <v>1</v>
      </c>
      <c r="O800" s="22">
        <v>2</v>
      </c>
      <c r="P800" s="22">
        <v>0</v>
      </c>
      <c r="Q800" s="22" t="e">
        <v>#N/A</v>
      </c>
      <c r="R800" s="17">
        <v>0.8</v>
      </c>
      <c r="S800" s="17">
        <v>0.666666666666667</v>
      </c>
      <c r="T800" s="17">
        <v>0</v>
      </c>
      <c r="U800" s="17">
        <v>0</v>
      </c>
      <c r="V800" s="23" t="e">
        <v>#N/A</v>
      </c>
    </row>
    <row r="801" ht="33" spans="1:22">
      <c r="A801" s="16">
        <v>11030</v>
      </c>
      <c r="B801" s="16" t="s">
        <v>1292</v>
      </c>
      <c r="C801" s="19">
        <v>3</v>
      </c>
      <c r="D801" s="19">
        <v>8</v>
      </c>
      <c r="E801" s="19">
        <v>8</v>
      </c>
      <c r="F801" s="19">
        <v>14</v>
      </c>
      <c r="G801" s="19">
        <v>7</v>
      </c>
      <c r="H801" s="20">
        <v>237</v>
      </c>
      <c r="I801" s="20">
        <v>561.68</v>
      </c>
      <c r="J801" s="21">
        <v>568.8</v>
      </c>
      <c r="K801" s="21">
        <v>952.8</v>
      </c>
      <c r="L801" s="21">
        <v>472.85</v>
      </c>
      <c r="M801" s="22">
        <v>2</v>
      </c>
      <c r="N801" s="22">
        <v>1</v>
      </c>
      <c r="O801" s="22">
        <v>2</v>
      </c>
      <c r="P801" s="22">
        <v>1</v>
      </c>
      <c r="Q801" s="22">
        <v>3</v>
      </c>
      <c r="R801" s="17">
        <v>0.6</v>
      </c>
      <c r="S801" s="17">
        <v>0.888888888888889</v>
      </c>
      <c r="T801" s="17">
        <v>0.8</v>
      </c>
      <c r="U801" s="17">
        <v>0.933333333333333</v>
      </c>
      <c r="V801" s="23">
        <v>0.7</v>
      </c>
    </row>
    <row r="802" ht="33" spans="1:22">
      <c r="A802" s="16">
        <v>11033</v>
      </c>
      <c r="B802" s="16" t="s">
        <v>1293</v>
      </c>
      <c r="C802" s="19">
        <v>5</v>
      </c>
      <c r="D802" s="19">
        <v>2</v>
      </c>
      <c r="E802" s="19">
        <v>2</v>
      </c>
      <c r="F802" s="19">
        <v>6</v>
      </c>
      <c r="G802" s="19">
        <v>3</v>
      </c>
      <c r="H802" s="20">
        <v>695</v>
      </c>
      <c r="I802" s="20">
        <v>269.5</v>
      </c>
      <c r="J802" s="21">
        <v>262.75</v>
      </c>
      <c r="K802" s="21">
        <v>807.5</v>
      </c>
      <c r="L802" s="21">
        <v>396.9</v>
      </c>
      <c r="M802" s="22">
        <v>3</v>
      </c>
      <c r="N802" s="22">
        <v>6</v>
      </c>
      <c r="O802" s="22">
        <v>6</v>
      </c>
      <c r="P802" s="22">
        <v>4</v>
      </c>
      <c r="Q802" s="22">
        <v>10</v>
      </c>
      <c r="R802" s="17">
        <v>0.625</v>
      </c>
      <c r="S802" s="17">
        <v>0.25</v>
      </c>
      <c r="T802" s="17">
        <v>0.25</v>
      </c>
      <c r="U802" s="17">
        <v>0.6</v>
      </c>
      <c r="V802" s="23">
        <v>0.230769230769231</v>
      </c>
    </row>
    <row r="803" ht="33" spans="1:22">
      <c r="A803" s="16">
        <v>11043</v>
      </c>
      <c r="B803" s="16" t="s">
        <v>1294</v>
      </c>
      <c r="C803" s="19">
        <v>36</v>
      </c>
      <c r="D803" s="19">
        <v>43</v>
      </c>
      <c r="E803" s="19">
        <v>79</v>
      </c>
      <c r="F803" s="19">
        <v>71</v>
      </c>
      <c r="G803" s="19">
        <v>110</v>
      </c>
      <c r="H803" s="20">
        <v>3318.8</v>
      </c>
      <c r="I803" s="20">
        <v>3651.06</v>
      </c>
      <c r="J803" s="21">
        <v>6519.7</v>
      </c>
      <c r="K803" s="21">
        <v>5874.84</v>
      </c>
      <c r="L803" s="21">
        <v>8373.33</v>
      </c>
      <c r="M803" s="22">
        <v>52</v>
      </c>
      <c r="N803" s="22">
        <v>49</v>
      </c>
      <c r="O803" s="22">
        <v>85</v>
      </c>
      <c r="P803" s="22">
        <v>127</v>
      </c>
      <c r="Q803" s="22">
        <v>91</v>
      </c>
      <c r="R803" s="17">
        <v>0.409090909090909</v>
      </c>
      <c r="S803" s="17">
        <v>0.467391304347826</v>
      </c>
      <c r="T803" s="17">
        <v>0.481707317073171</v>
      </c>
      <c r="U803" s="17">
        <v>0.358585858585859</v>
      </c>
      <c r="V803" s="23">
        <v>0.54726368159204</v>
      </c>
    </row>
    <row r="804" ht="16.5" spans="1:22">
      <c r="A804" s="16">
        <v>11053</v>
      </c>
      <c r="B804" s="16" t="e">
        <v>#N/A</v>
      </c>
      <c r="C804" s="19">
        <v>3</v>
      </c>
      <c r="D804" s="19">
        <v>0</v>
      </c>
      <c r="E804" s="19">
        <v>0</v>
      </c>
      <c r="F804" s="19">
        <v>0</v>
      </c>
      <c r="G804" s="19">
        <v>0</v>
      </c>
      <c r="H804" s="20">
        <v>297</v>
      </c>
      <c r="I804" s="20">
        <v>0</v>
      </c>
      <c r="J804" s="21">
        <v>0</v>
      </c>
      <c r="K804" s="21">
        <v>0</v>
      </c>
      <c r="L804" s="21">
        <v>0</v>
      </c>
      <c r="M804" s="22">
        <v>0</v>
      </c>
      <c r="N804" s="22">
        <v>1</v>
      </c>
      <c r="O804" s="22">
        <v>2</v>
      </c>
      <c r="P804" s="22">
        <v>0</v>
      </c>
      <c r="Q804" s="22" t="e">
        <v>#N/A</v>
      </c>
      <c r="R804" s="17">
        <v>1</v>
      </c>
      <c r="S804" s="17">
        <v>0</v>
      </c>
      <c r="T804" s="17">
        <v>0</v>
      </c>
      <c r="U804" s="17">
        <v>0</v>
      </c>
      <c r="V804" s="23" t="e">
        <v>#N/A</v>
      </c>
    </row>
    <row r="805" ht="33" spans="1:22">
      <c r="A805" s="16">
        <v>8393</v>
      </c>
      <c r="B805" s="16" t="s">
        <v>1295</v>
      </c>
      <c r="C805" s="19">
        <v>1</v>
      </c>
      <c r="D805" s="19">
        <v>0</v>
      </c>
      <c r="E805" s="19">
        <v>0</v>
      </c>
      <c r="F805" s="19">
        <v>0</v>
      </c>
      <c r="G805" s="19">
        <v>0</v>
      </c>
      <c r="H805" s="20">
        <v>174.09</v>
      </c>
      <c r="I805" s="20">
        <v>0</v>
      </c>
      <c r="J805" s="21">
        <v>0</v>
      </c>
      <c r="K805" s="21">
        <v>0</v>
      </c>
      <c r="L805" s="21">
        <v>0</v>
      </c>
      <c r="M805" s="22">
        <v>18</v>
      </c>
      <c r="N805" s="22">
        <v>19</v>
      </c>
      <c r="O805" s="22">
        <v>12</v>
      </c>
      <c r="P805" s="22">
        <v>13</v>
      </c>
      <c r="Q805" s="22">
        <v>27</v>
      </c>
      <c r="R805" s="17">
        <v>0.0526315789473684</v>
      </c>
      <c r="S805" s="17">
        <v>0</v>
      </c>
      <c r="T805" s="17">
        <v>0</v>
      </c>
      <c r="U805" s="17">
        <v>0</v>
      </c>
      <c r="V805" s="23">
        <v>0</v>
      </c>
    </row>
    <row r="806" ht="49.5" spans="1:22">
      <c r="A806" s="16">
        <v>11064</v>
      </c>
      <c r="B806" s="16" t="s">
        <v>1296</v>
      </c>
      <c r="C806" s="19">
        <v>6</v>
      </c>
      <c r="D806" s="19">
        <v>9</v>
      </c>
      <c r="E806" s="19">
        <v>11</v>
      </c>
      <c r="F806" s="19">
        <v>6</v>
      </c>
      <c r="G806" s="19">
        <v>3</v>
      </c>
      <c r="H806" s="20">
        <v>574</v>
      </c>
      <c r="I806" s="20">
        <v>850.32</v>
      </c>
      <c r="J806" s="21">
        <v>1098.18</v>
      </c>
      <c r="K806" s="21">
        <v>622.13</v>
      </c>
      <c r="L806" s="21">
        <v>310.34</v>
      </c>
      <c r="M806" s="22">
        <v>1</v>
      </c>
      <c r="N806" s="22">
        <v>1</v>
      </c>
      <c r="O806" s="22">
        <v>4</v>
      </c>
      <c r="P806" s="22">
        <v>1</v>
      </c>
      <c r="Q806" s="22">
        <v>1</v>
      </c>
      <c r="R806" s="17">
        <v>0.857142857142857</v>
      </c>
      <c r="S806" s="17">
        <v>0.9</v>
      </c>
      <c r="T806" s="17">
        <v>0.733333333333333</v>
      </c>
      <c r="U806" s="17">
        <v>0.857142857142857</v>
      </c>
      <c r="V806" s="23">
        <v>0.75</v>
      </c>
    </row>
    <row r="807" ht="16.5" spans="1:22">
      <c r="A807" s="16">
        <v>10508</v>
      </c>
      <c r="B807" s="16" t="e">
        <v>#N/A</v>
      </c>
      <c r="C807" s="19">
        <v>2</v>
      </c>
      <c r="D807" s="19">
        <v>1</v>
      </c>
      <c r="E807" s="19">
        <v>0</v>
      </c>
      <c r="F807" s="19">
        <v>0</v>
      </c>
      <c r="G807" s="19">
        <v>0</v>
      </c>
      <c r="H807" s="20">
        <v>196.2</v>
      </c>
      <c r="I807" s="20">
        <v>88.29</v>
      </c>
      <c r="J807" s="21">
        <v>0</v>
      </c>
      <c r="K807" s="21">
        <v>0</v>
      </c>
      <c r="L807" s="21">
        <v>0</v>
      </c>
      <c r="M807" s="22">
        <v>0</v>
      </c>
      <c r="N807" s="22">
        <v>0</v>
      </c>
      <c r="O807" s="22">
        <v>0</v>
      </c>
      <c r="P807" s="22">
        <v>0</v>
      </c>
      <c r="Q807" s="22" t="e">
        <v>#N/A</v>
      </c>
      <c r="R807" s="17">
        <v>1</v>
      </c>
      <c r="S807" s="17">
        <v>1</v>
      </c>
      <c r="T807" s="17">
        <v>0</v>
      </c>
      <c r="U807" s="17">
        <v>0</v>
      </c>
      <c r="V807" s="23" t="e">
        <v>#N/A</v>
      </c>
    </row>
    <row r="808" ht="33" spans="1:22">
      <c r="A808" s="16">
        <v>11076</v>
      </c>
      <c r="B808" s="16" t="s">
        <v>1297</v>
      </c>
      <c r="C808" s="19">
        <v>11</v>
      </c>
      <c r="D808" s="19">
        <v>0</v>
      </c>
      <c r="E808" s="19">
        <v>25</v>
      </c>
      <c r="F808" s="19">
        <v>27</v>
      </c>
      <c r="G808" s="19">
        <v>17</v>
      </c>
      <c r="H808" s="20">
        <v>2032.5</v>
      </c>
      <c r="I808" s="20">
        <v>0</v>
      </c>
      <c r="J808" s="21">
        <v>4422</v>
      </c>
      <c r="K808" s="21">
        <v>4050.05</v>
      </c>
      <c r="L808" s="21">
        <v>2367.9</v>
      </c>
      <c r="M808" s="22">
        <v>29</v>
      </c>
      <c r="N808" s="22">
        <v>49</v>
      </c>
      <c r="O808" s="22">
        <v>38</v>
      </c>
      <c r="P808" s="22">
        <v>43</v>
      </c>
      <c r="Q808" s="22">
        <v>67</v>
      </c>
      <c r="R808" s="17">
        <v>0.275</v>
      </c>
      <c r="S808" s="17">
        <v>0</v>
      </c>
      <c r="T808" s="17">
        <v>0.396825396825397</v>
      </c>
      <c r="U808" s="17">
        <v>0.385714285714286</v>
      </c>
      <c r="V808" s="23">
        <v>0.202380952380952</v>
      </c>
    </row>
    <row r="809" ht="16.5" spans="1:22">
      <c r="A809" s="24">
        <v>11086</v>
      </c>
      <c r="B809" s="16" t="s">
        <v>1298</v>
      </c>
      <c r="C809" s="19">
        <v>4</v>
      </c>
      <c r="D809" s="19">
        <v>0</v>
      </c>
      <c r="E809" s="19">
        <v>4</v>
      </c>
      <c r="F809" s="19">
        <v>6</v>
      </c>
      <c r="G809" s="19">
        <v>4</v>
      </c>
      <c r="H809" s="20">
        <v>509.37</v>
      </c>
      <c r="I809" s="20">
        <v>0</v>
      </c>
      <c r="J809" s="21">
        <v>504</v>
      </c>
      <c r="K809" s="21">
        <v>754.79</v>
      </c>
      <c r="L809" s="21">
        <v>503.79</v>
      </c>
      <c r="M809" s="22">
        <v>1</v>
      </c>
      <c r="N809" s="22">
        <v>0</v>
      </c>
      <c r="O809" s="22">
        <v>0</v>
      </c>
      <c r="P809" s="22">
        <v>2</v>
      </c>
      <c r="Q809" s="22">
        <v>0</v>
      </c>
      <c r="R809" s="17">
        <v>0.8</v>
      </c>
      <c r="S809" s="17">
        <v>0</v>
      </c>
      <c r="T809" s="17">
        <v>1</v>
      </c>
      <c r="U809" s="17">
        <v>0.75</v>
      </c>
      <c r="V809" s="23">
        <v>1</v>
      </c>
    </row>
    <row r="810" ht="33" spans="1:22">
      <c r="A810" s="25">
        <v>11091</v>
      </c>
      <c r="B810" s="16" t="s">
        <v>1299</v>
      </c>
      <c r="C810" s="19">
        <v>24</v>
      </c>
      <c r="D810" s="19">
        <v>20</v>
      </c>
      <c r="E810" s="19">
        <v>17</v>
      </c>
      <c r="F810" s="19">
        <v>22</v>
      </c>
      <c r="G810" s="19">
        <v>35</v>
      </c>
      <c r="H810" s="20">
        <v>2105.01</v>
      </c>
      <c r="I810" s="20">
        <v>1782.82</v>
      </c>
      <c r="J810" s="21">
        <v>1489.13</v>
      </c>
      <c r="K810" s="21">
        <v>1722.8</v>
      </c>
      <c r="L810" s="21">
        <v>2729.65</v>
      </c>
      <c r="M810" s="22">
        <v>55</v>
      </c>
      <c r="N810" s="22">
        <v>43</v>
      </c>
      <c r="O810" s="22">
        <v>88</v>
      </c>
      <c r="P810" s="22">
        <v>68</v>
      </c>
      <c r="Q810" s="22">
        <v>84</v>
      </c>
      <c r="R810" s="17">
        <v>0.30379746835443</v>
      </c>
      <c r="S810" s="17">
        <v>0.317460317460317</v>
      </c>
      <c r="T810" s="17">
        <v>0.161904761904762</v>
      </c>
      <c r="U810" s="17">
        <v>0.244444444444444</v>
      </c>
      <c r="V810" s="23">
        <v>0.294117647058824</v>
      </c>
    </row>
    <row r="811" ht="33" spans="1:22">
      <c r="A811" s="16">
        <v>11093</v>
      </c>
      <c r="B811" s="16" t="s">
        <v>1300</v>
      </c>
      <c r="C811" s="19">
        <v>13</v>
      </c>
      <c r="D811" s="19">
        <v>15</v>
      </c>
      <c r="E811" s="19">
        <v>14</v>
      </c>
      <c r="F811" s="19">
        <v>13</v>
      </c>
      <c r="G811" s="19">
        <v>13</v>
      </c>
      <c r="H811" s="20">
        <v>417.47</v>
      </c>
      <c r="I811" s="20">
        <v>481.45</v>
      </c>
      <c r="J811" s="21">
        <v>449.36</v>
      </c>
      <c r="K811" s="21">
        <v>415.86</v>
      </c>
      <c r="L811" s="21">
        <v>414.29</v>
      </c>
      <c r="M811" s="22">
        <v>3</v>
      </c>
      <c r="N811" s="22">
        <v>4</v>
      </c>
      <c r="O811" s="22">
        <v>7</v>
      </c>
      <c r="P811" s="22">
        <v>3</v>
      </c>
      <c r="Q811" s="22">
        <v>14</v>
      </c>
      <c r="R811" s="17">
        <v>0.8125</v>
      </c>
      <c r="S811" s="17">
        <v>0.789473684210526</v>
      </c>
      <c r="T811" s="17">
        <v>0.666666666666667</v>
      </c>
      <c r="U811" s="17">
        <v>0.8125</v>
      </c>
      <c r="V811" s="23">
        <v>0.481481481481481</v>
      </c>
    </row>
    <row r="812" ht="16.5" spans="1:22">
      <c r="A812" s="16">
        <v>11096</v>
      </c>
      <c r="B812" s="16" t="e">
        <v>#N/A</v>
      </c>
      <c r="C812" s="19">
        <v>3</v>
      </c>
      <c r="D812" s="19">
        <v>2</v>
      </c>
      <c r="E812" s="19">
        <v>0</v>
      </c>
      <c r="F812" s="19">
        <v>0</v>
      </c>
      <c r="G812" s="19">
        <v>0</v>
      </c>
      <c r="H812" s="20">
        <v>435</v>
      </c>
      <c r="I812" s="20">
        <v>290</v>
      </c>
      <c r="J812" s="21">
        <v>0</v>
      </c>
      <c r="K812" s="21">
        <v>0</v>
      </c>
      <c r="L812" s="21">
        <v>0</v>
      </c>
      <c r="M812" s="22">
        <v>0</v>
      </c>
      <c r="N812" s="22">
        <v>0</v>
      </c>
      <c r="O812" s="22">
        <v>0</v>
      </c>
      <c r="P812" s="22">
        <v>0</v>
      </c>
      <c r="Q812" s="22" t="e">
        <v>#N/A</v>
      </c>
      <c r="R812" s="17">
        <v>1</v>
      </c>
      <c r="S812" s="17">
        <v>1</v>
      </c>
      <c r="T812" s="17">
        <v>0</v>
      </c>
      <c r="U812" s="17">
        <v>0</v>
      </c>
      <c r="V812" s="23" t="e">
        <v>#N/A</v>
      </c>
    </row>
    <row r="813" ht="33" spans="1:22">
      <c r="A813" s="16">
        <v>11100</v>
      </c>
      <c r="B813" s="16" t="s">
        <v>1301</v>
      </c>
      <c r="C813" s="19">
        <v>0</v>
      </c>
      <c r="D813" s="19">
        <v>0</v>
      </c>
      <c r="E813" s="19">
        <v>0</v>
      </c>
      <c r="F813" s="19">
        <v>0</v>
      </c>
      <c r="G813" s="19">
        <v>0</v>
      </c>
      <c r="H813" s="20">
        <v>0</v>
      </c>
      <c r="I813" s="20">
        <v>0</v>
      </c>
      <c r="J813" s="21">
        <v>0</v>
      </c>
      <c r="K813" s="21">
        <v>0</v>
      </c>
      <c r="L813" s="21">
        <v>0</v>
      </c>
      <c r="M813" s="22">
        <v>8</v>
      </c>
      <c r="N813" s="22">
        <v>15</v>
      </c>
      <c r="O813" s="22">
        <v>3</v>
      </c>
      <c r="P813" s="22">
        <v>6</v>
      </c>
      <c r="Q813" s="22">
        <v>15</v>
      </c>
      <c r="R813" s="17">
        <v>0</v>
      </c>
      <c r="S813" s="17">
        <v>0</v>
      </c>
      <c r="T813" s="17">
        <v>0</v>
      </c>
      <c r="U813" s="17">
        <v>0</v>
      </c>
      <c r="V813" s="23">
        <v>0</v>
      </c>
    </row>
    <row r="814" ht="33" spans="1:22">
      <c r="A814" s="16">
        <v>11101</v>
      </c>
      <c r="B814" s="16" t="s">
        <v>1302</v>
      </c>
      <c r="C814" s="19">
        <v>0</v>
      </c>
      <c r="D814" s="19">
        <v>1</v>
      </c>
      <c r="E814" s="19">
        <v>4</v>
      </c>
      <c r="F814" s="19">
        <v>0</v>
      </c>
      <c r="G814" s="19">
        <v>0</v>
      </c>
      <c r="H814" s="20">
        <v>0</v>
      </c>
      <c r="I814" s="20">
        <v>162</v>
      </c>
      <c r="J814" s="21">
        <v>723.42</v>
      </c>
      <c r="K814" s="21">
        <v>0</v>
      </c>
      <c r="L814" s="21">
        <v>0</v>
      </c>
      <c r="M814" s="22">
        <v>20</v>
      </c>
      <c r="N814" s="22">
        <v>34</v>
      </c>
      <c r="O814" s="22">
        <v>41</v>
      </c>
      <c r="P814" s="22">
        <v>19</v>
      </c>
      <c r="Q814" s="22">
        <v>21</v>
      </c>
      <c r="R814" s="17">
        <v>0</v>
      </c>
      <c r="S814" s="17">
        <v>0.0285714285714286</v>
      </c>
      <c r="T814" s="17">
        <v>0.0888888888888889</v>
      </c>
      <c r="U814" s="17">
        <v>0</v>
      </c>
      <c r="V814" s="23">
        <v>0</v>
      </c>
    </row>
    <row r="815" ht="33" spans="1:22">
      <c r="A815" s="16">
        <v>11102</v>
      </c>
      <c r="B815" s="16" t="s">
        <v>56</v>
      </c>
      <c r="C815" s="19">
        <v>0</v>
      </c>
      <c r="D815" s="19">
        <v>0</v>
      </c>
      <c r="E815" s="19">
        <v>3</v>
      </c>
      <c r="F815" s="19">
        <v>10</v>
      </c>
      <c r="G815" s="19">
        <v>16</v>
      </c>
      <c r="H815" s="20">
        <v>0</v>
      </c>
      <c r="I815" s="20">
        <v>0</v>
      </c>
      <c r="J815" s="21">
        <v>96</v>
      </c>
      <c r="K815" s="21">
        <v>300.95</v>
      </c>
      <c r="L815" s="21">
        <v>448.96</v>
      </c>
      <c r="M815" s="22">
        <v>0</v>
      </c>
      <c r="N815" s="22">
        <v>0</v>
      </c>
      <c r="O815" s="22">
        <v>10</v>
      </c>
      <c r="P815" s="22">
        <v>7</v>
      </c>
      <c r="Q815" s="22">
        <v>12</v>
      </c>
      <c r="R815" s="17">
        <v>0</v>
      </c>
      <c r="S815" s="17">
        <v>0</v>
      </c>
      <c r="T815" s="17">
        <v>0.230769230769231</v>
      </c>
      <c r="U815" s="17">
        <v>0.588235294117647</v>
      </c>
      <c r="V815" s="23">
        <v>0.571428571428571</v>
      </c>
    </row>
    <row r="816" ht="33" spans="1:22">
      <c r="A816" s="16">
        <v>11103</v>
      </c>
      <c r="B816" s="16" t="s">
        <v>1303</v>
      </c>
      <c r="C816" s="19">
        <v>15</v>
      </c>
      <c r="D816" s="19">
        <v>21</v>
      </c>
      <c r="E816" s="19">
        <v>10</v>
      </c>
      <c r="F816" s="19">
        <v>21</v>
      </c>
      <c r="G816" s="19">
        <v>19</v>
      </c>
      <c r="H816" s="20">
        <v>405</v>
      </c>
      <c r="I816" s="20">
        <v>567</v>
      </c>
      <c r="J816" s="21">
        <v>270</v>
      </c>
      <c r="K816" s="21">
        <v>569.8</v>
      </c>
      <c r="L816" s="21">
        <v>518.6</v>
      </c>
      <c r="M816" s="22">
        <v>4</v>
      </c>
      <c r="N816" s="22">
        <v>2</v>
      </c>
      <c r="O816" s="22">
        <v>4</v>
      </c>
      <c r="P816" s="22">
        <v>8</v>
      </c>
      <c r="Q816" s="22">
        <v>0</v>
      </c>
      <c r="R816" s="17">
        <v>0.789473684210526</v>
      </c>
      <c r="S816" s="17">
        <v>0.91304347826087</v>
      </c>
      <c r="T816" s="17">
        <v>0.714285714285714</v>
      </c>
      <c r="U816" s="17">
        <v>0.724137931034483</v>
      </c>
      <c r="V816" s="23">
        <v>1</v>
      </c>
    </row>
    <row r="817" ht="33" spans="1:22">
      <c r="A817" s="16">
        <v>11104</v>
      </c>
      <c r="B817" s="16" t="s">
        <v>1304</v>
      </c>
      <c r="C817" s="19">
        <v>11</v>
      </c>
      <c r="D817" s="19">
        <v>14</v>
      </c>
      <c r="E817" s="19">
        <v>21</v>
      </c>
      <c r="F817" s="19">
        <v>18</v>
      </c>
      <c r="G817" s="19">
        <v>18</v>
      </c>
      <c r="H817" s="20">
        <v>242</v>
      </c>
      <c r="I817" s="20">
        <v>308</v>
      </c>
      <c r="J817" s="21">
        <v>469.92</v>
      </c>
      <c r="K817" s="21">
        <v>407.88</v>
      </c>
      <c r="L817" s="21">
        <v>407.22</v>
      </c>
      <c r="M817" s="22">
        <v>10</v>
      </c>
      <c r="N817" s="22">
        <v>4</v>
      </c>
      <c r="O817" s="22">
        <v>7</v>
      </c>
      <c r="P817" s="22">
        <v>10</v>
      </c>
      <c r="Q817" s="22">
        <v>3</v>
      </c>
      <c r="R817" s="17">
        <v>0.523809523809524</v>
      </c>
      <c r="S817" s="17">
        <v>0.777777777777778</v>
      </c>
      <c r="T817" s="17">
        <v>0.75</v>
      </c>
      <c r="U817" s="17">
        <v>0.642857142857143</v>
      </c>
      <c r="V817" s="23">
        <v>0.857142857142857</v>
      </c>
    </row>
    <row r="818" ht="33" spans="1:22">
      <c r="A818" s="16">
        <v>11106</v>
      </c>
      <c r="B818" s="16" t="s">
        <v>1305</v>
      </c>
      <c r="C818" s="19">
        <v>3</v>
      </c>
      <c r="D818" s="19">
        <v>3</v>
      </c>
      <c r="E818" s="19">
        <v>6</v>
      </c>
      <c r="F818" s="19">
        <v>4</v>
      </c>
      <c r="G818" s="19">
        <v>3</v>
      </c>
      <c r="H818" s="20">
        <v>129</v>
      </c>
      <c r="I818" s="20">
        <v>129</v>
      </c>
      <c r="J818" s="21">
        <v>253.7</v>
      </c>
      <c r="K818" s="21">
        <v>172</v>
      </c>
      <c r="L818" s="21">
        <v>129</v>
      </c>
      <c r="M818" s="22">
        <v>8</v>
      </c>
      <c r="N818" s="22">
        <v>3</v>
      </c>
      <c r="O818" s="22">
        <v>2</v>
      </c>
      <c r="P818" s="22">
        <v>3</v>
      </c>
      <c r="Q818" s="22">
        <v>0</v>
      </c>
      <c r="R818" s="17">
        <v>0.272727272727273</v>
      </c>
      <c r="S818" s="17">
        <v>0.5</v>
      </c>
      <c r="T818" s="17">
        <v>0.75</v>
      </c>
      <c r="U818" s="17">
        <v>0.571428571428571</v>
      </c>
      <c r="V818" s="23">
        <v>1</v>
      </c>
    </row>
    <row r="819" ht="33" spans="1:22">
      <c r="A819" s="16">
        <v>11137</v>
      </c>
      <c r="B819" s="16" t="s">
        <v>1306</v>
      </c>
      <c r="C819" s="19">
        <v>2</v>
      </c>
      <c r="D819" s="19">
        <v>5</v>
      </c>
      <c r="E819" s="19">
        <v>3</v>
      </c>
      <c r="F819" s="19">
        <v>3</v>
      </c>
      <c r="G819" s="19">
        <v>3</v>
      </c>
      <c r="H819" s="20">
        <v>453.69</v>
      </c>
      <c r="I819" s="20">
        <v>1035.45</v>
      </c>
      <c r="J819" s="21">
        <v>618.27</v>
      </c>
      <c r="K819" s="21">
        <v>616.77</v>
      </c>
      <c r="L819" s="21">
        <v>616.77</v>
      </c>
      <c r="M819" s="22">
        <v>1</v>
      </c>
      <c r="N819" s="22">
        <v>7</v>
      </c>
      <c r="O819" s="22">
        <v>6</v>
      </c>
      <c r="P819" s="22">
        <v>4</v>
      </c>
      <c r="Q819" s="22">
        <v>8</v>
      </c>
      <c r="R819" s="17">
        <v>0.666666666666667</v>
      </c>
      <c r="S819" s="17">
        <v>0.416666666666667</v>
      </c>
      <c r="T819" s="17">
        <v>0.333333333333333</v>
      </c>
      <c r="U819" s="17">
        <v>0.428571428571429</v>
      </c>
      <c r="V819" s="23">
        <v>0.272727272727273</v>
      </c>
    </row>
    <row r="820" ht="16.5" spans="1:22">
      <c r="A820" s="16">
        <v>11178</v>
      </c>
      <c r="B820" s="16" t="e">
        <v>#N/A</v>
      </c>
      <c r="C820" s="19">
        <v>1</v>
      </c>
      <c r="D820" s="19">
        <v>2</v>
      </c>
      <c r="E820" s="19">
        <v>0</v>
      </c>
      <c r="F820" s="19">
        <v>0</v>
      </c>
      <c r="G820" s="19">
        <v>0</v>
      </c>
      <c r="H820" s="20">
        <v>109</v>
      </c>
      <c r="I820" s="20">
        <v>218</v>
      </c>
      <c r="J820" s="21">
        <v>0</v>
      </c>
      <c r="K820" s="21">
        <v>0</v>
      </c>
      <c r="L820" s="21">
        <v>0</v>
      </c>
      <c r="M820" s="22">
        <v>1</v>
      </c>
      <c r="N820" s="22">
        <v>0</v>
      </c>
      <c r="O820" s="22">
        <v>1</v>
      </c>
      <c r="P820" s="22">
        <v>0</v>
      </c>
      <c r="Q820" s="22" t="e">
        <v>#N/A</v>
      </c>
      <c r="R820" s="17">
        <v>0.5</v>
      </c>
      <c r="S820" s="17">
        <v>1</v>
      </c>
      <c r="T820" s="17">
        <v>0</v>
      </c>
      <c r="U820" s="17">
        <v>0</v>
      </c>
      <c r="V820" s="23" t="e">
        <v>#N/A</v>
      </c>
    </row>
    <row r="821" ht="33" spans="1:22">
      <c r="A821" s="16">
        <v>11179</v>
      </c>
      <c r="B821" s="16" t="s">
        <v>1307</v>
      </c>
      <c r="C821" s="19">
        <v>4</v>
      </c>
      <c r="D821" s="19">
        <v>1</v>
      </c>
      <c r="E821" s="19">
        <v>2</v>
      </c>
      <c r="F821" s="19">
        <v>7</v>
      </c>
      <c r="G821" s="19">
        <v>6</v>
      </c>
      <c r="H821" s="20">
        <v>436</v>
      </c>
      <c r="I821" s="20">
        <v>109</v>
      </c>
      <c r="J821" s="21">
        <v>221.27</v>
      </c>
      <c r="K821" s="21">
        <v>785.89</v>
      </c>
      <c r="L821" s="21">
        <v>673.62</v>
      </c>
      <c r="M821" s="22">
        <v>0</v>
      </c>
      <c r="N821" s="22">
        <v>3</v>
      </c>
      <c r="O821" s="22">
        <v>2</v>
      </c>
      <c r="P821" s="22">
        <v>1</v>
      </c>
      <c r="Q821" s="22">
        <v>1</v>
      </c>
      <c r="R821" s="17">
        <v>1</v>
      </c>
      <c r="S821" s="17">
        <v>0.25</v>
      </c>
      <c r="T821" s="17">
        <v>0.5</v>
      </c>
      <c r="U821" s="17">
        <v>0.875</v>
      </c>
      <c r="V821" s="23">
        <v>0.857142857142857</v>
      </c>
    </row>
    <row r="822" ht="33" spans="1:22">
      <c r="A822" s="16">
        <v>11187</v>
      </c>
      <c r="B822" s="16" t="s">
        <v>1308</v>
      </c>
      <c r="C822" s="19">
        <v>3</v>
      </c>
      <c r="D822" s="19">
        <v>3</v>
      </c>
      <c r="E822" s="19">
        <v>3</v>
      </c>
      <c r="F822" s="19">
        <v>1</v>
      </c>
      <c r="G822" s="19">
        <v>2</v>
      </c>
      <c r="H822" s="20">
        <v>294.3</v>
      </c>
      <c r="I822" s="20">
        <v>294.3</v>
      </c>
      <c r="J822" s="21">
        <v>300.18</v>
      </c>
      <c r="K822" s="21">
        <v>101.04</v>
      </c>
      <c r="L822" s="21">
        <v>193.04</v>
      </c>
      <c r="M822" s="22">
        <v>0</v>
      </c>
      <c r="N822" s="22">
        <v>1</v>
      </c>
      <c r="O822" s="22">
        <v>1</v>
      </c>
      <c r="P822" s="22">
        <v>4</v>
      </c>
      <c r="Q822" s="22">
        <v>2</v>
      </c>
      <c r="R822" s="17">
        <v>1</v>
      </c>
      <c r="S822" s="17">
        <v>0.75</v>
      </c>
      <c r="T822" s="17">
        <v>0.75</v>
      </c>
      <c r="U822" s="17">
        <v>0.2</v>
      </c>
      <c r="V822" s="23">
        <v>0.5</v>
      </c>
    </row>
    <row r="823" ht="33" spans="1:22">
      <c r="A823" s="16">
        <v>11188</v>
      </c>
      <c r="B823" s="16" t="s">
        <v>1309</v>
      </c>
      <c r="C823" s="19">
        <v>4</v>
      </c>
      <c r="D823" s="19">
        <v>4</v>
      </c>
      <c r="E823" s="19">
        <v>1</v>
      </c>
      <c r="F823" s="19">
        <v>1</v>
      </c>
      <c r="G823" s="19">
        <v>5</v>
      </c>
      <c r="H823" s="20">
        <v>392.4</v>
      </c>
      <c r="I823" s="20">
        <v>392.4</v>
      </c>
      <c r="J823" s="21">
        <v>98.1</v>
      </c>
      <c r="K823" s="21">
        <v>101.04</v>
      </c>
      <c r="L823" s="21">
        <v>505.2</v>
      </c>
      <c r="M823" s="22">
        <v>1</v>
      </c>
      <c r="N823" s="22">
        <v>0</v>
      </c>
      <c r="O823" s="22">
        <v>1</v>
      </c>
      <c r="P823" s="22">
        <v>3</v>
      </c>
      <c r="Q823" s="22">
        <v>4</v>
      </c>
      <c r="R823" s="17">
        <v>0.8</v>
      </c>
      <c r="S823" s="17">
        <v>1</v>
      </c>
      <c r="T823" s="17">
        <v>0.5</v>
      </c>
      <c r="U823" s="17">
        <v>0.25</v>
      </c>
      <c r="V823" s="23">
        <v>0.555555555555556</v>
      </c>
    </row>
    <row r="824" ht="33" spans="1:22">
      <c r="A824" s="16">
        <v>11192</v>
      </c>
      <c r="B824" s="16" t="s">
        <v>1310</v>
      </c>
      <c r="C824" s="19">
        <v>2</v>
      </c>
      <c r="D824" s="19">
        <v>7</v>
      </c>
      <c r="E824" s="19">
        <v>1</v>
      </c>
      <c r="F824" s="19">
        <v>0</v>
      </c>
      <c r="G824" s="19">
        <v>2</v>
      </c>
      <c r="H824" s="20">
        <v>110.9</v>
      </c>
      <c r="I824" s="20">
        <v>388.6</v>
      </c>
      <c r="J824" s="21">
        <v>56.65</v>
      </c>
      <c r="K824" s="21">
        <v>0</v>
      </c>
      <c r="L824" s="21">
        <v>113.8</v>
      </c>
      <c r="M824" s="22">
        <v>0</v>
      </c>
      <c r="N824" s="22">
        <v>0</v>
      </c>
      <c r="O824" s="22">
        <v>0</v>
      </c>
      <c r="P824" s="22">
        <v>0</v>
      </c>
      <c r="Q824" s="22">
        <v>0</v>
      </c>
      <c r="R824" s="17">
        <v>1</v>
      </c>
      <c r="S824" s="17">
        <v>1</v>
      </c>
      <c r="T824" s="17">
        <v>1</v>
      </c>
      <c r="U824" s="17">
        <v>0</v>
      </c>
      <c r="V824" s="23">
        <v>1</v>
      </c>
    </row>
    <row r="825" ht="33" spans="1:22">
      <c r="A825" s="16">
        <v>11193</v>
      </c>
      <c r="B825" s="16" t="s">
        <v>1311</v>
      </c>
      <c r="C825" s="19">
        <v>4</v>
      </c>
      <c r="D825" s="19">
        <v>5</v>
      </c>
      <c r="E825" s="19">
        <v>5</v>
      </c>
      <c r="F825" s="19">
        <v>3</v>
      </c>
      <c r="G825" s="19">
        <v>7</v>
      </c>
      <c r="H825" s="20">
        <v>159.06</v>
      </c>
      <c r="I825" s="20">
        <v>190</v>
      </c>
      <c r="J825" s="21">
        <v>194.67</v>
      </c>
      <c r="K825" s="21">
        <v>117</v>
      </c>
      <c r="L825" s="21">
        <v>273</v>
      </c>
      <c r="M825" s="22">
        <v>0</v>
      </c>
      <c r="N825" s="22">
        <v>0</v>
      </c>
      <c r="O825" s="22">
        <v>0</v>
      </c>
      <c r="P825" s="22">
        <v>0</v>
      </c>
      <c r="Q825" s="22">
        <v>0</v>
      </c>
      <c r="R825" s="17">
        <v>1</v>
      </c>
      <c r="S825" s="17">
        <v>1</v>
      </c>
      <c r="T825" s="17">
        <v>1</v>
      </c>
      <c r="U825" s="17">
        <v>1</v>
      </c>
      <c r="V825" s="23">
        <v>1</v>
      </c>
    </row>
    <row r="826" ht="33" spans="1:22">
      <c r="A826" s="16">
        <v>11219</v>
      </c>
      <c r="B826" s="16" t="s">
        <v>1312</v>
      </c>
      <c r="C826" s="19">
        <v>0</v>
      </c>
      <c r="D826" s="19">
        <v>7</v>
      </c>
      <c r="E826" s="19">
        <v>2</v>
      </c>
      <c r="F826" s="19">
        <v>5</v>
      </c>
      <c r="G826" s="19">
        <v>1</v>
      </c>
      <c r="H826" s="20">
        <v>0</v>
      </c>
      <c r="I826" s="20">
        <v>1070.66</v>
      </c>
      <c r="J826" s="21">
        <v>306.49</v>
      </c>
      <c r="K826" s="21">
        <v>752.95</v>
      </c>
      <c r="L826" s="21">
        <v>165.65</v>
      </c>
      <c r="M826" s="22">
        <v>7</v>
      </c>
      <c r="N826" s="22">
        <v>7</v>
      </c>
      <c r="O826" s="22">
        <v>13</v>
      </c>
      <c r="P826" s="22">
        <v>21</v>
      </c>
      <c r="Q826" s="22">
        <v>8</v>
      </c>
      <c r="R826" s="17">
        <v>0</v>
      </c>
      <c r="S826" s="17">
        <v>0.5</v>
      </c>
      <c r="T826" s="17">
        <v>0.133333333333333</v>
      </c>
      <c r="U826" s="17">
        <v>0.192307692307692</v>
      </c>
      <c r="V826" s="23">
        <v>0.111111111111111</v>
      </c>
    </row>
    <row r="827" ht="33" spans="1:22">
      <c r="A827" s="16">
        <v>11223</v>
      </c>
      <c r="B827" s="16" t="s">
        <v>1313</v>
      </c>
      <c r="C827" s="19">
        <v>3</v>
      </c>
      <c r="D827" s="19">
        <v>6</v>
      </c>
      <c r="E827" s="19">
        <v>3</v>
      </c>
      <c r="F827" s="19">
        <v>2</v>
      </c>
      <c r="G827" s="19">
        <v>1</v>
      </c>
      <c r="H827" s="20">
        <v>267</v>
      </c>
      <c r="I827" s="20">
        <v>511.84</v>
      </c>
      <c r="J827" s="21">
        <v>267</v>
      </c>
      <c r="K827" s="21">
        <v>178</v>
      </c>
      <c r="L827" s="21">
        <v>89</v>
      </c>
      <c r="M827" s="22">
        <v>0</v>
      </c>
      <c r="N827" s="22">
        <v>0</v>
      </c>
      <c r="O827" s="22">
        <v>0</v>
      </c>
      <c r="P827" s="22">
        <v>0</v>
      </c>
      <c r="Q827" s="22">
        <v>3</v>
      </c>
      <c r="R827" s="17">
        <v>1</v>
      </c>
      <c r="S827" s="17">
        <v>1</v>
      </c>
      <c r="T827" s="17">
        <v>1</v>
      </c>
      <c r="U827" s="17">
        <v>1</v>
      </c>
      <c r="V827" s="23">
        <v>0.25</v>
      </c>
    </row>
    <row r="828" ht="33" spans="1:22">
      <c r="A828" s="16">
        <v>11230</v>
      </c>
      <c r="B828" s="16" t="s">
        <v>1314</v>
      </c>
      <c r="C828" s="19">
        <v>2</v>
      </c>
      <c r="D828" s="19">
        <v>16</v>
      </c>
      <c r="E828" s="19">
        <v>23</v>
      </c>
      <c r="F828" s="19">
        <v>24</v>
      </c>
      <c r="G828" s="19">
        <v>9</v>
      </c>
      <c r="H828" s="20">
        <v>140</v>
      </c>
      <c r="I828" s="20">
        <v>1120</v>
      </c>
      <c r="J828" s="21">
        <v>1610</v>
      </c>
      <c r="K828" s="21">
        <v>1681.4</v>
      </c>
      <c r="L828" s="21">
        <v>656.92</v>
      </c>
      <c r="M828" s="22">
        <v>21</v>
      </c>
      <c r="N828" s="22">
        <v>53</v>
      </c>
      <c r="O828" s="22">
        <v>57</v>
      </c>
      <c r="P828" s="22">
        <v>30</v>
      </c>
      <c r="Q828" s="22">
        <v>44</v>
      </c>
      <c r="R828" s="17">
        <v>0.0869565217391304</v>
      </c>
      <c r="S828" s="17">
        <v>0.231884057971014</v>
      </c>
      <c r="T828" s="17">
        <v>0.2875</v>
      </c>
      <c r="U828" s="17">
        <v>0.444444444444444</v>
      </c>
      <c r="V828" s="23">
        <v>0.169811320754717</v>
      </c>
    </row>
    <row r="829" ht="33" spans="1:22">
      <c r="A829" s="16">
        <v>11233</v>
      </c>
      <c r="B829" s="16" t="s">
        <v>1315</v>
      </c>
      <c r="C829" s="19">
        <v>0</v>
      </c>
      <c r="D829" s="19">
        <v>0</v>
      </c>
      <c r="E829" s="19">
        <v>0</v>
      </c>
      <c r="F829" s="19">
        <v>0</v>
      </c>
      <c r="G829" s="19">
        <v>0</v>
      </c>
      <c r="H829" s="20">
        <v>0</v>
      </c>
      <c r="I829" s="20">
        <v>0</v>
      </c>
      <c r="J829" s="21">
        <v>0</v>
      </c>
      <c r="K829" s="21">
        <v>0</v>
      </c>
      <c r="L829" s="21">
        <v>0</v>
      </c>
      <c r="M829" s="22">
        <v>9</v>
      </c>
      <c r="N829" s="22">
        <v>8</v>
      </c>
      <c r="O829" s="22">
        <v>11</v>
      </c>
      <c r="P829" s="22">
        <v>8</v>
      </c>
      <c r="Q829" s="22">
        <v>7</v>
      </c>
      <c r="R829" s="17">
        <v>0</v>
      </c>
      <c r="S829" s="17">
        <v>0</v>
      </c>
      <c r="T829" s="17">
        <v>0</v>
      </c>
      <c r="U829" s="17">
        <v>0</v>
      </c>
      <c r="V829" s="23">
        <v>0</v>
      </c>
    </row>
    <row r="830" ht="33" spans="1:22">
      <c r="A830" s="16">
        <v>11240</v>
      </c>
      <c r="B830" s="16" t="s">
        <v>1316</v>
      </c>
      <c r="C830" s="19">
        <v>2</v>
      </c>
      <c r="D830" s="19">
        <v>6</v>
      </c>
      <c r="E830" s="19">
        <v>4</v>
      </c>
      <c r="F830" s="19">
        <v>4</v>
      </c>
      <c r="G830" s="19">
        <v>0</v>
      </c>
      <c r="H830" s="20">
        <v>491.05</v>
      </c>
      <c r="I830" s="20">
        <v>1473</v>
      </c>
      <c r="J830" s="21">
        <v>980</v>
      </c>
      <c r="K830" s="21">
        <v>986</v>
      </c>
      <c r="L830" s="21">
        <v>0</v>
      </c>
      <c r="M830" s="22">
        <v>0</v>
      </c>
      <c r="N830" s="22">
        <v>0</v>
      </c>
      <c r="O830" s="22">
        <v>0</v>
      </c>
      <c r="P830" s="22">
        <v>0</v>
      </c>
      <c r="Q830" s="22">
        <v>0</v>
      </c>
      <c r="R830" s="17">
        <v>1</v>
      </c>
      <c r="S830" s="17">
        <v>1</v>
      </c>
      <c r="T830" s="17">
        <v>1</v>
      </c>
      <c r="U830" s="17">
        <v>1</v>
      </c>
      <c r="V830" s="23" t="s">
        <v>106</v>
      </c>
    </row>
    <row r="831" ht="33" spans="1:22">
      <c r="A831" s="16">
        <v>11244</v>
      </c>
      <c r="B831" s="16" t="s">
        <v>1317</v>
      </c>
      <c r="C831" s="19">
        <v>0</v>
      </c>
      <c r="D831" s="19">
        <v>0</v>
      </c>
      <c r="E831" s="19">
        <v>0</v>
      </c>
      <c r="F831" s="19">
        <v>0</v>
      </c>
      <c r="G831" s="19">
        <v>0</v>
      </c>
      <c r="H831" s="20">
        <v>0</v>
      </c>
      <c r="I831" s="20">
        <v>0</v>
      </c>
      <c r="J831" s="21">
        <v>0</v>
      </c>
      <c r="K831" s="21">
        <v>0</v>
      </c>
      <c r="L831" s="21">
        <v>0</v>
      </c>
      <c r="M831" s="22">
        <v>6</v>
      </c>
      <c r="N831" s="22">
        <v>14</v>
      </c>
      <c r="O831" s="22">
        <v>18</v>
      </c>
      <c r="P831" s="22">
        <v>13</v>
      </c>
      <c r="Q831" s="22">
        <v>10</v>
      </c>
      <c r="R831" s="17">
        <v>0</v>
      </c>
      <c r="S831" s="17">
        <v>0</v>
      </c>
      <c r="T831" s="17">
        <v>0</v>
      </c>
      <c r="U831" s="17">
        <v>0</v>
      </c>
      <c r="V831" s="23">
        <v>0</v>
      </c>
    </row>
    <row r="832" ht="33" spans="1:22">
      <c r="A832" s="16">
        <v>11245</v>
      </c>
      <c r="B832" s="16" t="s">
        <v>1318</v>
      </c>
      <c r="C832" s="19">
        <v>0</v>
      </c>
      <c r="D832" s="19">
        <v>0</v>
      </c>
      <c r="E832" s="19">
        <v>0</v>
      </c>
      <c r="F832" s="19">
        <v>0</v>
      </c>
      <c r="G832" s="19">
        <v>0</v>
      </c>
      <c r="H832" s="20">
        <v>0</v>
      </c>
      <c r="I832" s="20">
        <v>0</v>
      </c>
      <c r="J832" s="21">
        <v>0</v>
      </c>
      <c r="K832" s="21">
        <v>0</v>
      </c>
      <c r="L832" s="21">
        <v>0</v>
      </c>
      <c r="M832" s="22">
        <v>10</v>
      </c>
      <c r="N832" s="22">
        <v>10</v>
      </c>
      <c r="O832" s="22">
        <v>9</v>
      </c>
      <c r="P832" s="22">
        <v>14</v>
      </c>
      <c r="Q832" s="22">
        <v>14</v>
      </c>
      <c r="R832" s="17">
        <v>0</v>
      </c>
      <c r="S832" s="17">
        <v>0</v>
      </c>
      <c r="T832" s="17">
        <v>0</v>
      </c>
      <c r="U832" s="17">
        <v>0</v>
      </c>
      <c r="V832" s="23">
        <v>0</v>
      </c>
    </row>
    <row r="833" ht="33" spans="1:22">
      <c r="A833" s="16">
        <v>11246</v>
      </c>
      <c r="B833" s="16" t="s">
        <v>1319</v>
      </c>
      <c r="C833" s="19">
        <v>0</v>
      </c>
      <c r="D833" s="19">
        <v>0</v>
      </c>
      <c r="E833" s="19">
        <v>0</v>
      </c>
      <c r="F833" s="19">
        <v>0</v>
      </c>
      <c r="G833" s="19">
        <v>0</v>
      </c>
      <c r="H833" s="20">
        <v>0</v>
      </c>
      <c r="I833" s="20">
        <v>0</v>
      </c>
      <c r="J833" s="21">
        <v>0</v>
      </c>
      <c r="K833" s="21">
        <v>0</v>
      </c>
      <c r="L833" s="21">
        <v>0</v>
      </c>
      <c r="M833" s="22">
        <v>8</v>
      </c>
      <c r="N833" s="22">
        <v>9</v>
      </c>
      <c r="O833" s="22">
        <v>3</v>
      </c>
      <c r="P833" s="22">
        <v>9</v>
      </c>
      <c r="Q833" s="22">
        <v>3</v>
      </c>
      <c r="R833" s="17">
        <v>0</v>
      </c>
      <c r="S833" s="17">
        <v>0</v>
      </c>
      <c r="T833" s="17">
        <v>0</v>
      </c>
      <c r="U833" s="17">
        <v>0</v>
      </c>
      <c r="V833" s="23">
        <v>0</v>
      </c>
    </row>
    <row r="834" ht="16.5" spans="1:22">
      <c r="A834" s="16">
        <v>11257</v>
      </c>
      <c r="B834" s="16" t="e">
        <v>#N/A</v>
      </c>
      <c r="C834" s="19">
        <v>0</v>
      </c>
      <c r="D834" s="19">
        <v>0</v>
      </c>
      <c r="E834" s="19">
        <v>0</v>
      </c>
      <c r="F834" s="19">
        <v>0</v>
      </c>
      <c r="G834" s="19">
        <v>0</v>
      </c>
      <c r="H834" s="20">
        <v>0</v>
      </c>
      <c r="I834" s="20">
        <v>0</v>
      </c>
      <c r="J834" s="21">
        <v>0</v>
      </c>
      <c r="K834" s="21">
        <v>0</v>
      </c>
      <c r="L834" s="21">
        <v>0</v>
      </c>
      <c r="M834" s="22">
        <v>3</v>
      </c>
      <c r="N834" s="22">
        <v>0</v>
      </c>
      <c r="O834" s="22">
        <v>1</v>
      </c>
      <c r="P834" s="22">
        <v>0</v>
      </c>
      <c r="Q834" s="22" t="e">
        <v>#N/A</v>
      </c>
      <c r="R834" s="17">
        <v>0</v>
      </c>
      <c r="S834" s="17">
        <v>0</v>
      </c>
      <c r="T834" s="17">
        <v>0</v>
      </c>
      <c r="U834" s="17">
        <v>0</v>
      </c>
      <c r="V834" s="23" t="e">
        <v>#N/A</v>
      </c>
    </row>
    <row r="835" ht="16.5" spans="1:22">
      <c r="A835" s="16">
        <v>11258</v>
      </c>
      <c r="B835" s="16" t="e">
        <v>#N/A</v>
      </c>
      <c r="C835" s="19">
        <v>0</v>
      </c>
      <c r="D835" s="19">
        <v>0</v>
      </c>
      <c r="E835" s="19">
        <v>0</v>
      </c>
      <c r="F835" s="19">
        <v>0</v>
      </c>
      <c r="G835" s="19">
        <v>0</v>
      </c>
      <c r="H835" s="20">
        <v>0</v>
      </c>
      <c r="I835" s="20">
        <v>0</v>
      </c>
      <c r="J835" s="21">
        <v>0</v>
      </c>
      <c r="K835" s="21">
        <v>0</v>
      </c>
      <c r="L835" s="21">
        <v>0</v>
      </c>
      <c r="M835" s="22">
        <v>2</v>
      </c>
      <c r="N835" s="22">
        <v>2</v>
      </c>
      <c r="O835" s="22">
        <v>2</v>
      </c>
      <c r="P835" s="22">
        <v>0</v>
      </c>
      <c r="Q835" s="22" t="e">
        <v>#N/A</v>
      </c>
      <c r="R835" s="17">
        <v>0</v>
      </c>
      <c r="S835" s="17">
        <v>0</v>
      </c>
      <c r="T835" s="17">
        <v>0</v>
      </c>
      <c r="U835" s="17">
        <v>0</v>
      </c>
      <c r="V835" s="23" t="e">
        <v>#N/A</v>
      </c>
    </row>
    <row r="836" ht="33" spans="1:22">
      <c r="A836" s="16">
        <v>11262</v>
      </c>
      <c r="B836" s="16" t="s">
        <v>1320</v>
      </c>
      <c r="C836" s="19">
        <v>13</v>
      </c>
      <c r="D836" s="19">
        <v>7</v>
      </c>
      <c r="E836" s="19">
        <v>6</v>
      </c>
      <c r="F836" s="19">
        <v>3</v>
      </c>
      <c r="G836" s="19">
        <v>1</v>
      </c>
      <c r="H836" s="20">
        <v>3835</v>
      </c>
      <c r="I836" s="20">
        <v>2065</v>
      </c>
      <c r="J836" s="21">
        <v>2374</v>
      </c>
      <c r="K836" s="21">
        <v>1218</v>
      </c>
      <c r="L836" s="21">
        <v>420</v>
      </c>
      <c r="M836" s="22">
        <v>0</v>
      </c>
      <c r="N836" s="22">
        <v>0</v>
      </c>
      <c r="O836" s="22">
        <v>0</v>
      </c>
      <c r="P836" s="22">
        <v>0</v>
      </c>
      <c r="Q836" s="22">
        <v>0</v>
      </c>
      <c r="R836" s="17">
        <v>1</v>
      </c>
      <c r="S836" s="17">
        <v>1</v>
      </c>
      <c r="T836" s="17">
        <v>1</v>
      </c>
      <c r="U836" s="17">
        <v>1</v>
      </c>
      <c r="V836" s="23">
        <v>1</v>
      </c>
    </row>
    <row r="837" ht="33" spans="1:22">
      <c r="A837" s="16">
        <v>11270</v>
      </c>
      <c r="B837" s="16" t="s">
        <v>1321</v>
      </c>
      <c r="C837" s="19">
        <v>2</v>
      </c>
      <c r="D837" s="19">
        <v>4</v>
      </c>
      <c r="E837" s="19">
        <v>7</v>
      </c>
      <c r="F837" s="19">
        <v>16</v>
      </c>
      <c r="G837" s="19">
        <v>40</v>
      </c>
      <c r="H837" s="20">
        <v>92.78</v>
      </c>
      <c r="I837" s="20">
        <v>178.26</v>
      </c>
      <c r="J837" s="21">
        <v>309.63</v>
      </c>
      <c r="K837" s="21">
        <v>755.64</v>
      </c>
      <c r="L837" s="21">
        <v>2116.8</v>
      </c>
      <c r="M837" s="22">
        <v>9</v>
      </c>
      <c r="N837" s="22">
        <v>15</v>
      </c>
      <c r="O837" s="22">
        <v>29</v>
      </c>
      <c r="P837" s="22">
        <v>4</v>
      </c>
      <c r="Q837" s="22">
        <v>2</v>
      </c>
      <c r="R837" s="17">
        <v>0.181818181818182</v>
      </c>
      <c r="S837" s="17">
        <v>0.210526315789474</v>
      </c>
      <c r="T837" s="17">
        <v>0.194444444444444</v>
      </c>
      <c r="U837" s="17">
        <v>0.8</v>
      </c>
      <c r="V837" s="23">
        <v>0.952380952380952</v>
      </c>
    </row>
    <row r="838" ht="33" spans="1:22">
      <c r="A838" s="16">
        <v>11284</v>
      </c>
      <c r="B838" s="16" t="s">
        <v>1322</v>
      </c>
      <c r="C838" s="19">
        <v>0</v>
      </c>
      <c r="D838" s="19">
        <v>0</v>
      </c>
      <c r="E838" s="19">
        <v>0</v>
      </c>
      <c r="F838" s="19">
        <v>0</v>
      </c>
      <c r="G838" s="19">
        <v>0</v>
      </c>
      <c r="H838" s="20">
        <v>0</v>
      </c>
      <c r="I838" s="20">
        <v>0</v>
      </c>
      <c r="J838" s="21">
        <v>0</v>
      </c>
      <c r="K838" s="21">
        <v>0</v>
      </c>
      <c r="L838" s="21">
        <v>0</v>
      </c>
      <c r="M838" s="22">
        <v>2</v>
      </c>
      <c r="N838" s="22">
        <v>5</v>
      </c>
      <c r="O838" s="22">
        <v>15</v>
      </c>
      <c r="P838" s="22">
        <v>5</v>
      </c>
      <c r="Q838" s="22">
        <v>2</v>
      </c>
      <c r="R838" s="17">
        <v>0</v>
      </c>
      <c r="S838" s="17">
        <v>0</v>
      </c>
      <c r="T838" s="17">
        <v>0</v>
      </c>
      <c r="U838" s="17">
        <v>0</v>
      </c>
      <c r="V838" s="23">
        <v>0</v>
      </c>
    </row>
    <row r="839" ht="33" spans="1:22">
      <c r="A839" s="16">
        <v>11288</v>
      </c>
      <c r="B839" s="16" t="s">
        <v>1323</v>
      </c>
      <c r="C839" s="19">
        <v>12</v>
      </c>
      <c r="D839" s="19">
        <v>20</v>
      </c>
      <c r="E839" s="19">
        <v>15</v>
      </c>
      <c r="F839" s="19">
        <v>26</v>
      </c>
      <c r="G839" s="19">
        <v>10</v>
      </c>
      <c r="H839" s="20">
        <v>391.49</v>
      </c>
      <c r="I839" s="20">
        <v>652</v>
      </c>
      <c r="J839" s="21">
        <v>489.05</v>
      </c>
      <c r="K839" s="21">
        <v>845.710000000001</v>
      </c>
      <c r="L839" s="21">
        <v>323.94</v>
      </c>
      <c r="M839" s="22">
        <v>8</v>
      </c>
      <c r="N839" s="22">
        <v>13</v>
      </c>
      <c r="O839" s="22">
        <v>6</v>
      </c>
      <c r="P839" s="22">
        <v>7</v>
      </c>
      <c r="Q839" s="22">
        <v>15</v>
      </c>
      <c r="R839" s="17">
        <v>0.6</v>
      </c>
      <c r="S839" s="17">
        <v>0.606060606060606</v>
      </c>
      <c r="T839" s="17">
        <v>0.714285714285714</v>
      </c>
      <c r="U839" s="17">
        <v>0.787878787878788</v>
      </c>
      <c r="V839" s="23">
        <v>0.4</v>
      </c>
    </row>
    <row r="840" ht="16.5" spans="1:22">
      <c r="A840" s="16">
        <v>11289</v>
      </c>
      <c r="B840" s="16" t="e">
        <v>#N/A</v>
      </c>
      <c r="C840" s="19">
        <v>1</v>
      </c>
      <c r="D840" s="19">
        <v>2</v>
      </c>
      <c r="E840" s="19">
        <v>0</v>
      </c>
      <c r="F840" s="19">
        <v>0</v>
      </c>
      <c r="G840" s="19">
        <v>0</v>
      </c>
      <c r="H840" s="20">
        <v>28.5</v>
      </c>
      <c r="I840" s="20">
        <v>60.5</v>
      </c>
      <c r="J840" s="21">
        <v>0</v>
      </c>
      <c r="K840" s="21">
        <v>0</v>
      </c>
      <c r="L840" s="21">
        <v>0</v>
      </c>
      <c r="M840" s="22">
        <v>0</v>
      </c>
      <c r="N840" s="22">
        <v>0</v>
      </c>
      <c r="O840" s="22">
        <v>0</v>
      </c>
      <c r="P840" s="22">
        <v>0</v>
      </c>
      <c r="Q840" s="22" t="e">
        <v>#N/A</v>
      </c>
      <c r="R840" s="17">
        <v>1</v>
      </c>
      <c r="S840" s="17">
        <v>1</v>
      </c>
      <c r="T840" s="17">
        <v>0</v>
      </c>
      <c r="U840" s="17">
        <v>0</v>
      </c>
      <c r="V840" s="23" t="e">
        <v>#N/A</v>
      </c>
    </row>
    <row r="841" ht="33" spans="1:22">
      <c r="A841" s="16">
        <v>11290</v>
      </c>
      <c r="B841" s="16" t="s">
        <v>1324</v>
      </c>
      <c r="C841" s="19">
        <v>12</v>
      </c>
      <c r="D841" s="19">
        <v>14</v>
      </c>
      <c r="E841" s="19">
        <v>31</v>
      </c>
      <c r="F841" s="19">
        <v>17</v>
      </c>
      <c r="G841" s="19">
        <v>16</v>
      </c>
      <c r="H841" s="20">
        <v>705.05</v>
      </c>
      <c r="I841" s="20">
        <v>818.6</v>
      </c>
      <c r="J841" s="21">
        <v>1829</v>
      </c>
      <c r="K841" s="21">
        <v>1032.5</v>
      </c>
      <c r="L841" s="21">
        <v>1065.6</v>
      </c>
      <c r="M841" s="22">
        <v>0</v>
      </c>
      <c r="N841" s="22">
        <v>0</v>
      </c>
      <c r="O841" s="22">
        <v>0</v>
      </c>
      <c r="P841" s="22">
        <v>0</v>
      </c>
      <c r="Q841" s="22">
        <v>2</v>
      </c>
      <c r="R841" s="17">
        <v>1</v>
      </c>
      <c r="S841" s="17">
        <v>1</v>
      </c>
      <c r="T841" s="17">
        <v>1</v>
      </c>
      <c r="U841" s="17">
        <v>1</v>
      </c>
      <c r="V841" s="23">
        <v>0.888888888888889</v>
      </c>
    </row>
    <row r="842" ht="33" spans="1:22">
      <c r="A842" s="16">
        <v>11312</v>
      </c>
      <c r="B842" s="16" t="s">
        <v>1325</v>
      </c>
      <c r="C842" s="19">
        <v>8</v>
      </c>
      <c r="D842" s="19">
        <v>10</v>
      </c>
      <c r="E842" s="19">
        <v>14</v>
      </c>
      <c r="F842" s="19">
        <v>13</v>
      </c>
      <c r="G842" s="19">
        <v>11</v>
      </c>
      <c r="H842" s="20">
        <v>1080</v>
      </c>
      <c r="I842" s="20">
        <v>1350</v>
      </c>
      <c r="J842" s="21">
        <v>1876.5</v>
      </c>
      <c r="K842" s="21">
        <v>1755</v>
      </c>
      <c r="L842" s="21">
        <v>1518.75</v>
      </c>
      <c r="M842" s="22">
        <v>1</v>
      </c>
      <c r="N842" s="22">
        <v>0</v>
      </c>
      <c r="O842" s="22">
        <v>4</v>
      </c>
      <c r="P842" s="22">
        <v>4</v>
      </c>
      <c r="Q842" s="22">
        <v>3</v>
      </c>
      <c r="R842" s="17">
        <v>0.888888888888889</v>
      </c>
      <c r="S842" s="17">
        <v>1</v>
      </c>
      <c r="T842" s="17">
        <v>0.777777777777778</v>
      </c>
      <c r="U842" s="17">
        <v>0.764705882352941</v>
      </c>
      <c r="V842" s="23">
        <v>0.785714285714286</v>
      </c>
    </row>
    <row r="843" ht="33" spans="1:22">
      <c r="A843" s="16">
        <v>11327</v>
      </c>
      <c r="B843" s="16" t="s">
        <v>1326</v>
      </c>
      <c r="C843" s="19">
        <v>11</v>
      </c>
      <c r="D843" s="19">
        <v>4</v>
      </c>
      <c r="E843" s="19">
        <v>18</v>
      </c>
      <c r="F843" s="19">
        <v>16</v>
      </c>
      <c r="G843" s="19">
        <v>13</v>
      </c>
      <c r="H843" s="20">
        <v>1406.1</v>
      </c>
      <c r="I843" s="20">
        <v>516</v>
      </c>
      <c r="J843" s="21">
        <v>2212.35</v>
      </c>
      <c r="K843" s="21">
        <v>2012.4</v>
      </c>
      <c r="L843" s="21">
        <v>1694.59</v>
      </c>
      <c r="M843" s="22">
        <v>3</v>
      </c>
      <c r="N843" s="22">
        <v>0</v>
      </c>
      <c r="O843" s="22">
        <v>0</v>
      </c>
      <c r="P843" s="22">
        <v>0</v>
      </c>
      <c r="Q843" s="22">
        <v>1</v>
      </c>
      <c r="R843" s="17">
        <v>0.785714285714286</v>
      </c>
      <c r="S843" s="17">
        <v>1</v>
      </c>
      <c r="T843" s="17">
        <v>1</v>
      </c>
      <c r="U843" s="17">
        <v>1</v>
      </c>
      <c r="V843" s="23">
        <v>0.928571428571429</v>
      </c>
    </row>
    <row r="844" ht="33" spans="1:22">
      <c r="A844" s="16">
        <v>11330</v>
      </c>
      <c r="B844" s="16" t="s">
        <v>1327</v>
      </c>
      <c r="C844" s="19">
        <v>15</v>
      </c>
      <c r="D844" s="19">
        <v>27</v>
      </c>
      <c r="E844" s="19">
        <v>24</v>
      </c>
      <c r="F844" s="19">
        <v>23</v>
      </c>
      <c r="G844" s="19">
        <v>12</v>
      </c>
      <c r="H844" s="20">
        <v>495</v>
      </c>
      <c r="I844" s="20">
        <v>891</v>
      </c>
      <c r="J844" s="21">
        <v>792</v>
      </c>
      <c r="K844" s="21">
        <v>762.3</v>
      </c>
      <c r="L844" s="21">
        <v>435.72</v>
      </c>
      <c r="M844" s="22">
        <v>0</v>
      </c>
      <c r="N844" s="22">
        <v>0</v>
      </c>
      <c r="O844" s="22">
        <v>1</v>
      </c>
      <c r="P844" s="22">
        <v>1</v>
      </c>
      <c r="Q844" s="22">
        <v>0</v>
      </c>
      <c r="R844" s="17">
        <v>1</v>
      </c>
      <c r="S844" s="17">
        <v>1</v>
      </c>
      <c r="T844" s="17">
        <v>0.96</v>
      </c>
      <c r="U844" s="17">
        <v>0.958333333333333</v>
      </c>
      <c r="V844" s="23">
        <v>1</v>
      </c>
    </row>
    <row r="845" ht="33" spans="1:22">
      <c r="A845" s="16">
        <v>11331</v>
      </c>
      <c r="B845" s="16" t="s">
        <v>1328</v>
      </c>
      <c r="C845" s="19">
        <v>8</v>
      </c>
      <c r="D845" s="19">
        <v>6</v>
      </c>
      <c r="E845" s="19">
        <v>13</v>
      </c>
      <c r="F845" s="19">
        <v>11</v>
      </c>
      <c r="G845" s="19">
        <v>10</v>
      </c>
      <c r="H845" s="20">
        <v>264</v>
      </c>
      <c r="I845" s="20">
        <v>198</v>
      </c>
      <c r="J845" s="21">
        <v>429.33</v>
      </c>
      <c r="K845" s="21">
        <v>373.89</v>
      </c>
      <c r="L845" s="21">
        <v>328</v>
      </c>
      <c r="M845" s="22">
        <v>0</v>
      </c>
      <c r="N845" s="22">
        <v>0</v>
      </c>
      <c r="O845" s="22">
        <v>0</v>
      </c>
      <c r="P845" s="22">
        <v>0</v>
      </c>
      <c r="Q845" s="22">
        <v>0</v>
      </c>
      <c r="R845" s="17">
        <v>1</v>
      </c>
      <c r="S845" s="17">
        <v>1</v>
      </c>
      <c r="T845" s="17">
        <v>1</v>
      </c>
      <c r="U845" s="17">
        <v>1</v>
      </c>
      <c r="V845" s="23">
        <v>1</v>
      </c>
    </row>
    <row r="846" ht="33" spans="1:22">
      <c r="A846" s="16">
        <v>11345</v>
      </c>
      <c r="B846" s="16" t="s">
        <v>1329</v>
      </c>
      <c r="C846" s="19">
        <v>1</v>
      </c>
      <c r="D846" s="19">
        <v>3</v>
      </c>
      <c r="E846" s="19">
        <v>4</v>
      </c>
      <c r="F846" s="19">
        <v>3</v>
      </c>
      <c r="G846" s="19">
        <v>0</v>
      </c>
      <c r="H846" s="20">
        <v>166</v>
      </c>
      <c r="I846" s="20">
        <v>498</v>
      </c>
      <c r="J846" s="21">
        <v>655.7</v>
      </c>
      <c r="K846" s="21">
        <v>498</v>
      </c>
      <c r="L846" s="21">
        <v>0</v>
      </c>
      <c r="M846" s="22">
        <v>2</v>
      </c>
      <c r="N846" s="22">
        <v>2</v>
      </c>
      <c r="O846" s="22">
        <v>0</v>
      </c>
      <c r="P846" s="22">
        <v>0</v>
      </c>
      <c r="Q846" s="22">
        <v>1</v>
      </c>
      <c r="R846" s="17">
        <v>0.333333333333333</v>
      </c>
      <c r="S846" s="17">
        <v>0.6</v>
      </c>
      <c r="T846" s="17">
        <v>1</v>
      </c>
      <c r="U846" s="17">
        <v>1</v>
      </c>
      <c r="V846" s="23">
        <v>0</v>
      </c>
    </row>
    <row r="847" ht="33" spans="1:22">
      <c r="A847" s="16">
        <v>11346</v>
      </c>
      <c r="B847" s="16" t="s">
        <v>1330</v>
      </c>
      <c r="C847" s="19">
        <v>12</v>
      </c>
      <c r="D847" s="19">
        <v>11</v>
      </c>
      <c r="E847" s="19">
        <v>10</v>
      </c>
      <c r="F847" s="19">
        <v>6</v>
      </c>
      <c r="G847" s="19">
        <v>0</v>
      </c>
      <c r="H847" s="20">
        <v>1620</v>
      </c>
      <c r="I847" s="20">
        <v>1512.5</v>
      </c>
      <c r="J847" s="21">
        <v>1524.4</v>
      </c>
      <c r="K847" s="21">
        <v>859.11</v>
      </c>
      <c r="L847" s="21">
        <v>0</v>
      </c>
      <c r="M847" s="22">
        <v>5</v>
      </c>
      <c r="N847" s="22">
        <v>1</v>
      </c>
      <c r="O847" s="22">
        <v>0</v>
      </c>
      <c r="P847" s="22">
        <v>3</v>
      </c>
      <c r="Q847" s="22">
        <v>1</v>
      </c>
      <c r="R847" s="17">
        <v>0.705882352941177</v>
      </c>
      <c r="S847" s="17">
        <v>0.916666666666667</v>
      </c>
      <c r="T847" s="17">
        <v>1</v>
      </c>
      <c r="U847" s="17">
        <v>0.666666666666667</v>
      </c>
      <c r="V847" s="23">
        <v>0</v>
      </c>
    </row>
    <row r="848" ht="33" spans="1:22">
      <c r="A848" s="16">
        <v>11348</v>
      </c>
      <c r="B848" s="16" t="s">
        <v>1331</v>
      </c>
      <c r="C848" s="19">
        <v>8</v>
      </c>
      <c r="D848" s="19">
        <v>24</v>
      </c>
      <c r="E848" s="19">
        <v>18</v>
      </c>
      <c r="F848" s="19">
        <v>7</v>
      </c>
      <c r="G848" s="19">
        <v>8</v>
      </c>
      <c r="H848" s="20">
        <v>920</v>
      </c>
      <c r="I848" s="20">
        <v>2863.5</v>
      </c>
      <c r="J848" s="21">
        <v>2102.5</v>
      </c>
      <c r="K848" s="21">
        <v>780</v>
      </c>
      <c r="L848" s="21">
        <v>916</v>
      </c>
      <c r="M848" s="22">
        <v>3</v>
      </c>
      <c r="N848" s="22">
        <v>7</v>
      </c>
      <c r="O848" s="22">
        <v>10</v>
      </c>
      <c r="P848" s="22">
        <v>4</v>
      </c>
      <c r="Q848" s="22">
        <v>1</v>
      </c>
      <c r="R848" s="17">
        <v>0.727272727272727</v>
      </c>
      <c r="S848" s="17">
        <v>0.774193548387097</v>
      </c>
      <c r="T848" s="17">
        <v>0.642857142857143</v>
      </c>
      <c r="U848" s="17">
        <v>0.636363636363636</v>
      </c>
      <c r="V848" s="23">
        <v>0.888888888888889</v>
      </c>
    </row>
    <row r="849" ht="33" spans="1:22">
      <c r="A849" s="16">
        <v>11349</v>
      </c>
      <c r="B849" s="16" t="s">
        <v>1332</v>
      </c>
      <c r="C849" s="19">
        <v>7</v>
      </c>
      <c r="D849" s="19">
        <v>2</v>
      </c>
      <c r="E849" s="19">
        <v>4</v>
      </c>
      <c r="F849" s="19">
        <v>1</v>
      </c>
      <c r="G849" s="19">
        <v>3</v>
      </c>
      <c r="H849" s="20">
        <v>1060</v>
      </c>
      <c r="I849" s="20">
        <v>312</v>
      </c>
      <c r="J849" s="21">
        <v>593</v>
      </c>
      <c r="K849" s="21">
        <v>156</v>
      </c>
      <c r="L849" s="21">
        <v>468</v>
      </c>
      <c r="M849" s="22">
        <v>0</v>
      </c>
      <c r="N849" s="22">
        <v>1</v>
      </c>
      <c r="O849" s="22">
        <v>2</v>
      </c>
      <c r="P849" s="22">
        <v>0</v>
      </c>
      <c r="Q849" s="22">
        <v>0</v>
      </c>
      <c r="R849" s="17">
        <v>1</v>
      </c>
      <c r="S849" s="17">
        <v>0.666666666666667</v>
      </c>
      <c r="T849" s="17">
        <v>0.666666666666667</v>
      </c>
      <c r="U849" s="17">
        <v>1</v>
      </c>
      <c r="V849" s="23">
        <v>1</v>
      </c>
    </row>
    <row r="850" ht="33" spans="1:22">
      <c r="A850" s="16">
        <v>11350</v>
      </c>
      <c r="B850" s="16" t="s">
        <v>1333</v>
      </c>
      <c r="C850" s="19">
        <v>6</v>
      </c>
      <c r="D850" s="19">
        <v>8</v>
      </c>
      <c r="E850" s="19">
        <v>5</v>
      </c>
      <c r="F850" s="19">
        <v>5</v>
      </c>
      <c r="G850" s="19">
        <v>7</v>
      </c>
      <c r="H850" s="20">
        <v>1134.05</v>
      </c>
      <c r="I850" s="20">
        <v>1570.21</v>
      </c>
      <c r="J850" s="21">
        <v>997.21</v>
      </c>
      <c r="K850" s="21">
        <v>912.1</v>
      </c>
      <c r="L850" s="21">
        <v>1316.25</v>
      </c>
      <c r="M850" s="22">
        <v>0</v>
      </c>
      <c r="N850" s="22">
        <v>0</v>
      </c>
      <c r="O850" s="22">
        <v>0</v>
      </c>
      <c r="P850" s="22">
        <v>0</v>
      </c>
      <c r="Q850" s="22">
        <v>0</v>
      </c>
      <c r="R850" s="17">
        <v>1</v>
      </c>
      <c r="S850" s="17">
        <v>1</v>
      </c>
      <c r="T850" s="17">
        <v>1</v>
      </c>
      <c r="U850" s="17">
        <v>1</v>
      </c>
      <c r="V850" s="23">
        <v>1</v>
      </c>
    </row>
    <row r="851" ht="33" spans="1:22">
      <c r="A851" s="16">
        <v>11380</v>
      </c>
      <c r="B851" s="16" t="s">
        <v>1334</v>
      </c>
      <c r="C851" s="19">
        <v>7</v>
      </c>
      <c r="D851" s="19">
        <v>3</v>
      </c>
      <c r="E851" s="19">
        <v>4</v>
      </c>
      <c r="F851" s="19">
        <v>6</v>
      </c>
      <c r="G851" s="19">
        <v>9</v>
      </c>
      <c r="H851" s="20">
        <v>934.53</v>
      </c>
      <c r="I851" s="20">
        <v>418.5</v>
      </c>
      <c r="J851" s="21">
        <v>558</v>
      </c>
      <c r="K851" s="21">
        <v>775.5</v>
      </c>
      <c r="L851" s="21">
        <v>1271.16</v>
      </c>
      <c r="M851" s="22">
        <v>1</v>
      </c>
      <c r="N851" s="22">
        <v>0</v>
      </c>
      <c r="O851" s="22">
        <v>0</v>
      </c>
      <c r="P851" s="22">
        <v>0</v>
      </c>
      <c r="Q851" s="22">
        <v>0</v>
      </c>
      <c r="R851" s="17">
        <v>0.875</v>
      </c>
      <c r="S851" s="17">
        <v>1</v>
      </c>
      <c r="T851" s="17">
        <v>1</v>
      </c>
      <c r="U851" s="17">
        <v>1</v>
      </c>
      <c r="V851" s="23">
        <v>1</v>
      </c>
    </row>
    <row r="852" ht="16.5" spans="1:22">
      <c r="A852" s="16">
        <v>11394</v>
      </c>
      <c r="B852" s="16" t="e">
        <v>#N/A</v>
      </c>
      <c r="C852" s="19">
        <v>2</v>
      </c>
      <c r="D852" s="19">
        <v>0</v>
      </c>
      <c r="E852" s="19">
        <v>0</v>
      </c>
      <c r="F852" s="19">
        <v>0</v>
      </c>
      <c r="G852" s="19">
        <v>0</v>
      </c>
      <c r="H852" s="20">
        <v>110</v>
      </c>
      <c r="I852" s="20">
        <v>0</v>
      </c>
      <c r="J852" s="21">
        <v>0</v>
      </c>
      <c r="K852" s="21">
        <v>0</v>
      </c>
      <c r="L852" s="21">
        <v>0</v>
      </c>
      <c r="M852" s="22">
        <v>0</v>
      </c>
      <c r="N852" s="22">
        <v>2</v>
      </c>
      <c r="O852" s="22">
        <v>1</v>
      </c>
      <c r="P852" s="22">
        <v>0</v>
      </c>
      <c r="Q852" s="22" t="e">
        <v>#N/A</v>
      </c>
      <c r="R852" s="17">
        <v>1</v>
      </c>
      <c r="S852" s="17">
        <v>0</v>
      </c>
      <c r="T852" s="17">
        <v>0</v>
      </c>
      <c r="U852" s="17">
        <v>0</v>
      </c>
      <c r="V852" s="23" t="e">
        <v>#N/A</v>
      </c>
    </row>
    <row r="853" ht="33" spans="1:22">
      <c r="A853" s="16">
        <v>11398</v>
      </c>
      <c r="B853" s="16" t="s">
        <v>1335</v>
      </c>
      <c r="C853" s="19">
        <v>5</v>
      </c>
      <c r="D853" s="19">
        <v>11</v>
      </c>
      <c r="E853" s="19">
        <v>9</v>
      </c>
      <c r="F853" s="19">
        <v>14</v>
      </c>
      <c r="G853" s="19">
        <v>12</v>
      </c>
      <c r="H853" s="20">
        <v>959.05</v>
      </c>
      <c r="I853" s="20">
        <v>2173</v>
      </c>
      <c r="J853" s="21">
        <v>1766</v>
      </c>
      <c r="K853" s="21">
        <v>2760</v>
      </c>
      <c r="L853" s="21">
        <v>2363</v>
      </c>
      <c r="M853" s="22">
        <v>0</v>
      </c>
      <c r="N853" s="22">
        <v>0</v>
      </c>
      <c r="O853" s="22">
        <v>0</v>
      </c>
      <c r="P853" s="22">
        <v>0</v>
      </c>
      <c r="Q853" s="22">
        <v>4</v>
      </c>
      <c r="R853" s="17">
        <v>1</v>
      </c>
      <c r="S853" s="17">
        <v>1</v>
      </c>
      <c r="T853" s="17">
        <v>1</v>
      </c>
      <c r="U853" s="17">
        <v>1</v>
      </c>
      <c r="V853" s="23">
        <v>0.75</v>
      </c>
    </row>
    <row r="854" ht="33" spans="1:22">
      <c r="A854" s="16">
        <v>11446</v>
      </c>
      <c r="B854" s="16" t="s">
        <v>1336</v>
      </c>
      <c r="C854" s="19">
        <v>15</v>
      </c>
      <c r="D854" s="19">
        <v>29</v>
      </c>
      <c r="E854" s="19">
        <v>17</v>
      </c>
      <c r="F854" s="19">
        <v>39</v>
      </c>
      <c r="G854" s="19">
        <v>41</v>
      </c>
      <c r="H854" s="20">
        <v>178.56</v>
      </c>
      <c r="I854" s="20">
        <v>337.68</v>
      </c>
      <c r="J854" s="21">
        <v>204.59</v>
      </c>
      <c r="K854" s="21">
        <v>412.05</v>
      </c>
      <c r="L854" s="21">
        <v>467.04</v>
      </c>
      <c r="M854" s="22">
        <v>114</v>
      </c>
      <c r="N854" s="22">
        <v>104</v>
      </c>
      <c r="O854" s="22">
        <v>172</v>
      </c>
      <c r="P854" s="22">
        <v>153</v>
      </c>
      <c r="Q854" s="22">
        <v>136</v>
      </c>
      <c r="R854" s="17">
        <v>0.116279069767442</v>
      </c>
      <c r="S854" s="17">
        <v>0.218045112781955</v>
      </c>
      <c r="T854" s="17">
        <v>0.0899470899470899</v>
      </c>
      <c r="U854" s="17">
        <v>0.203125</v>
      </c>
      <c r="V854" s="23">
        <v>0.231638418079096</v>
      </c>
    </row>
    <row r="855" ht="33" spans="1:22">
      <c r="A855" s="16">
        <v>11405</v>
      </c>
      <c r="B855" s="16" t="s">
        <v>1337</v>
      </c>
      <c r="C855" s="19">
        <v>1</v>
      </c>
      <c r="D855" s="19">
        <v>1</v>
      </c>
      <c r="E855" s="19">
        <v>2</v>
      </c>
      <c r="F855" s="19">
        <v>0</v>
      </c>
      <c r="G855" s="19">
        <v>1</v>
      </c>
      <c r="H855" s="20">
        <v>175</v>
      </c>
      <c r="I855" s="20">
        <v>175</v>
      </c>
      <c r="J855" s="21">
        <v>330.5</v>
      </c>
      <c r="K855" s="21">
        <v>0</v>
      </c>
      <c r="L855" s="21">
        <v>175</v>
      </c>
      <c r="M855" s="22">
        <v>0</v>
      </c>
      <c r="N855" s="22">
        <v>0</v>
      </c>
      <c r="O855" s="22">
        <v>0</v>
      </c>
      <c r="P855" s="22">
        <v>0</v>
      </c>
      <c r="Q855" s="22">
        <v>0</v>
      </c>
      <c r="R855" s="17">
        <v>1</v>
      </c>
      <c r="S855" s="17">
        <v>1</v>
      </c>
      <c r="T855" s="17">
        <v>1</v>
      </c>
      <c r="U855" s="17">
        <v>0</v>
      </c>
      <c r="V855" s="23">
        <v>1</v>
      </c>
    </row>
    <row r="856" ht="33" spans="1:22">
      <c r="A856" s="16">
        <v>11406</v>
      </c>
      <c r="B856" s="16" t="s">
        <v>1338</v>
      </c>
      <c r="C856" s="19">
        <v>15</v>
      </c>
      <c r="D856" s="19">
        <v>14</v>
      </c>
      <c r="E856" s="19">
        <v>13</v>
      </c>
      <c r="F856" s="19">
        <v>16</v>
      </c>
      <c r="G856" s="19">
        <v>7</v>
      </c>
      <c r="H856" s="20">
        <v>1078.75</v>
      </c>
      <c r="I856" s="20">
        <v>992.4</v>
      </c>
      <c r="J856" s="21">
        <v>923.9</v>
      </c>
      <c r="K856" s="21">
        <v>1148.28</v>
      </c>
      <c r="L856" s="21">
        <v>494.31</v>
      </c>
      <c r="M856" s="22">
        <v>5</v>
      </c>
      <c r="N856" s="22">
        <v>0</v>
      </c>
      <c r="O856" s="22">
        <v>3</v>
      </c>
      <c r="P856" s="22">
        <v>5</v>
      </c>
      <c r="Q856" s="22">
        <v>2</v>
      </c>
      <c r="R856" s="17">
        <v>0.75</v>
      </c>
      <c r="S856" s="17">
        <v>1</v>
      </c>
      <c r="T856" s="17">
        <v>0.8125</v>
      </c>
      <c r="U856" s="17">
        <v>0.761904761904762</v>
      </c>
      <c r="V856" s="23">
        <v>0.777777777777778</v>
      </c>
    </row>
    <row r="857" ht="33" spans="1:22">
      <c r="A857" s="16">
        <v>11455</v>
      </c>
      <c r="B857" s="16" t="s">
        <v>1339</v>
      </c>
      <c r="C857" s="19">
        <v>23</v>
      </c>
      <c r="D857" s="19">
        <v>36</v>
      </c>
      <c r="E857" s="19">
        <v>40</v>
      </c>
      <c r="F857" s="19">
        <v>17</v>
      </c>
      <c r="G857" s="19">
        <v>14</v>
      </c>
      <c r="H857" s="20">
        <v>709.98</v>
      </c>
      <c r="I857" s="20">
        <v>1080</v>
      </c>
      <c r="J857" s="21">
        <v>1338.73</v>
      </c>
      <c r="K857" s="21">
        <v>654.93</v>
      </c>
      <c r="L857" s="21">
        <v>537.56</v>
      </c>
      <c r="M857" s="22">
        <v>49</v>
      </c>
      <c r="N857" s="22">
        <v>45</v>
      </c>
      <c r="O857" s="22">
        <v>61</v>
      </c>
      <c r="P857" s="22">
        <v>50</v>
      </c>
      <c r="Q857" s="22">
        <v>49</v>
      </c>
      <c r="R857" s="17">
        <v>0.319444444444444</v>
      </c>
      <c r="S857" s="17">
        <v>0.444444444444444</v>
      </c>
      <c r="T857" s="17">
        <v>0.396039603960396</v>
      </c>
      <c r="U857" s="17">
        <v>0.253731343283582</v>
      </c>
      <c r="V857" s="23">
        <v>0.222222222222222</v>
      </c>
    </row>
    <row r="858" ht="33" spans="1:22">
      <c r="A858" s="16">
        <v>11456</v>
      </c>
      <c r="B858" s="16" t="s">
        <v>1340</v>
      </c>
      <c r="C858" s="19">
        <v>7</v>
      </c>
      <c r="D858" s="19">
        <v>10</v>
      </c>
      <c r="E858" s="19">
        <v>17</v>
      </c>
      <c r="F858" s="19">
        <v>15</v>
      </c>
      <c r="G858" s="19">
        <v>9</v>
      </c>
      <c r="H858" s="20">
        <v>210</v>
      </c>
      <c r="I858" s="20">
        <v>300</v>
      </c>
      <c r="J858" s="21">
        <v>510</v>
      </c>
      <c r="K858" s="21">
        <v>450</v>
      </c>
      <c r="L858" s="21">
        <v>270</v>
      </c>
      <c r="M858" s="22">
        <v>3</v>
      </c>
      <c r="N858" s="22">
        <v>1</v>
      </c>
      <c r="O858" s="22">
        <v>9</v>
      </c>
      <c r="P858" s="22">
        <v>10</v>
      </c>
      <c r="Q858" s="22">
        <v>9</v>
      </c>
      <c r="R858" s="17">
        <v>0.7</v>
      </c>
      <c r="S858" s="17">
        <v>0.909090909090909</v>
      </c>
      <c r="T858" s="17">
        <v>0.653846153846154</v>
      </c>
      <c r="U858" s="17">
        <v>0.6</v>
      </c>
      <c r="V858" s="23">
        <v>0.5</v>
      </c>
    </row>
    <row r="859" ht="33" spans="1:22">
      <c r="A859" s="16">
        <v>11464</v>
      </c>
      <c r="B859" s="16" t="s">
        <v>1341</v>
      </c>
      <c r="C859" s="19">
        <v>17</v>
      </c>
      <c r="D859" s="19">
        <v>17</v>
      </c>
      <c r="E859" s="19">
        <v>19</v>
      </c>
      <c r="F859" s="19">
        <v>14</v>
      </c>
      <c r="G859" s="19">
        <v>12</v>
      </c>
      <c r="H859" s="20">
        <v>3265.25</v>
      </c>
      <c r="I859" s="20">
        <v>3222.2</v>
      </c>
      <c r="J859" s="21">
        <v>3909.57</v>
      </c>
      <c r="K859" s="21">
        <v>2834.22</v>
      </c>
      <c r="L859" s="21">
        <v>2393.86</v>
      </c>
      <c r="M859" s="22">
        <v>0</v>
      </c>
      <c r="N859" s="22">
        <v>0</v>
      </c>
      <c r="O859" s="22">
        <v>0</v>
      </c>
      <c r="P859" s="22">
        <v>0</v>
      </c>
      <c r="Q859" s="22">
        <v>6</v>
      </c>
      <c r="R859" s="17">
        <v>1</v>
      </c>
      <c r="S859" s="17">
        <v>1</v>
      </c>
      <c r="T859" s="17">
        <v>1</v>
      </c>
      <c r="U859" s="17">
        <v>1</v>
      </c>
      <c r="V859" s="23">
        <v>0.666666666666667</v>
      </c>
    </row>
    <row r="860" ht="33" spans="1:22">
      <c r="A860" s="16">
        <v>11465</v>
      </c>
      <c r="B860" s="16" t="s">
        <v>1342</v>
      </c>
      <c r="C860" s="19">
        <v>7</v>
      </c>
      <c r="D860" s="19">
        <v>6</v>
      </c>
      <c r="E860" s="19">
        <v>5</v>
      </c>
      <c r="F860" s="19">
        <v>6</v>
      </c>
      <c r="G860" s="19">
        <v>11</v>
      </c>
      <c r="H860" s="20">
        <v>593.12</v>
      </c>
      <c r="I860" s="20">
        <v>507</v>
      </c>
      <c r="J860" s="21">
        <v>422.72</v>
      </c>
      <c r="K860" s="21">
        <v>507</v>
      </c>
      <c r="L860" s="21">
        <v>962.92</v>
      </c>
      <c r="M860" s="22">
        <v>4</v>
      </c>
      <c r="N860" s="22">
        <v>3</v>
      </c>
      <c r="O860" s="22">
        <v>4</v>
      </c>
      <c r="P860" s="22">
        <v>2</v>
      </c>
      <c r="Q860" s="22">
        <v>5</v>
      </c>
      <c r="R860" s="17">
        <v>0.636363636363636</v>
      </c>
      <c r="S860" s="17">
        <v>0.666666666666667</v>
      </c>
      <c r="T860" s="17">
        <v>0.555555555555556</v>
      </c>
      <c r="U860" s="17">
        <v>0.75</v>
      </c>
      <c r="V860" s="23">
        <v>0.6875</v>
      </c>
    </row>
    <row r="861" ht="82.5" spans="1:22">
      <c r="A861" s="16">
        <v>11490</v>
      </c>
      <c r="B861" s="16" t="s">
        <v>1343</v>
      </c>
      <c r="C861" s="19">
        <v>24</v>
      </c>
      <c r="D861" s="19">
        <v>1</v>
      </c>
      <c r="E861" s="19">
        <v>15</v>
      </c>
      <c r="F861" s="19">
        <v>45</v>
      </c>
      <c r="G861" s="19">
        <v>24</v>
      </c>
      <c r="H861" s="20">
        <v>2758.2</v>
      </c>
      <c r="I861" s="20">
        <v>120.8</v>
      </c>
      <c r="J861" s="21">
        <v>1736.7</v>
      </c>
      <c r="K861" s="21">
        <v>5352.89</v>
      </c>
      <c r="L861" s="21">
        <v>2862.29</v>
      </c>
      <c r="M861" s="22">
        <v>0</v>
      </c>
      <c r="N861" s="22">
        <v>0</v>
      </c>
      <c r="O861" s="22">
        <v>0</v>
      </c>
      <c r="P861" s="22">
        <v>0</v>
      </c>
      <c r="Q861" s="22">
        <v>2</v>
      </c>
      <c r="R861" s="17">
        <v>1</v>
      </c>
      <c r="S861" s="17">
        <v>1</v>
      </c>
      <c r="T861" s="17">
        <v>1</v>
      </c>
      <c r="U861" s="17">
        <v>1</v>
      </c>
      <c r="V861" s="23">
        <v>0.923076923076923</v>
      </c>
    </row>
    <row r="862" ht="33" spans="1:22">
      <c r="A862" s="16">
        <v>4133</v>
      </c>
      <c r="B862" s="16" t="s">
        <v>1344</v>
      </c>
      <c r="C862" s="19">
        <v>19</v>
      </c>
      <c r="D862" s="19">
        <v>21</v>
      </c>
      <c r="E862" s="19">
        <v>38</v>
      </c>
      <c r="F862" s="19">
        <v>14</v>
      </c>
      <c r="G862" s="19">
        <v>14</v>
      </c>
      <c r="H862" s="20">
        <v>667.91</v>
      </c>
      <c r="I862" s="20">
        <v>812.7</v>
      </c>
      <c r="J862" s="21">
        <v>1477.44</v>
      </c>
      <c r="K862" s="21">
        <v>544.32</v>
      </c>
      <c r="L862" s="21">
        <v>544.32</v>
      </c>
      <c r="M862" s="22">
        <v>27</v>
      </c>
      <c r="N862" s="22">
        <v>23</v>
      </c>
      <c r="O862" s="22">
        <v>18</v>
      </c>
      <c r="P862" s="22">
        <v>30</v>
      </c>
      <c r="Q862" s="22">
        <v>23</v>
      </c>
      <c r="R862" s="17">
        <v>0.41304347826087</v>
      </c>
      <c r="S862" s="17">
        <v>0.477272727272727</v>
      </c>
      <c r="T862" s="17">
        <v>0.678571428571429</v>
      </c>
      <c r="U862" s="17">
        <v>0.318181818181818</v>
      </c>
      <c r="V862" s="23">
        <v>0.378378378378378</v>
      </c>
    </row>
    <row r="863" ht="16.5" spans="1:22">
      <c r="A863" s="16">
        <v>11078</v>
      </c>
      <c r="B863" s="16" t="e">
        <v>#N/A</v>
      </c>
      <c r="C863" s="19">
        <v>2</v>
      </c>
      <c r="D863" s="19">
        <v>1</v>
      </c>
      <c r="E863" s="19">
        <v>0</v>
      </c>
      <c r="F863" s="19">
        <v>0</v>
      </c>
      <c r="G863" s="19">
        <v>0</v>
      </c>
      <c r="H863" s="20">
        <v>140.4</v>
      </c>
      <c r="I863" s="20">
        <v>65</v>
      </c>
      <c r="J863" s="21">
        <v>0</v>
      </c>
      <c r="K863" s="21">
        <v>0</v>
      </c>
      <c r="L863" s="21">
        <v>0</v>
      </c>
      <c r="M863" s="22">
        <v>1</v>
      </c>
      <c r="N863" s="22">
        <v>0</v>
      </c>
      <c r="O863" s="22">
        <v>0</v>
      </c>
      <c r="P863" s="22">
        <v>0</v>
      </c>
      <c r="Q863" s="22" t="e">
        <v>#N/A</v>
      </c>
      <c r="R863" s="17">
        <v>0.666666666666667</v>
      </c>
      <c r="S863" s="17">
        <v>1</v>
      </c>
      <c r="T863" s="17">
        <v>0</v>
      </c>
      <c r="U863" s="17">
        <v>0</v>
      </c>
      <c r="V863" s="23" t="e">
        <v>#N/A</v>
      </c>
    </row>
    <row r="864" ht="33" spans="1:22">
      <c r="A864" s="26">
        <v>11510</v>
      </c>
      <c r="B864" s="16" t="s">
        <v>1345</v>
      </c>
      <c r="C864" s="19">
        <v>6</v>
      </c>
      <c r="D864" s="19">
        <v>10</v>
      </c>
      <c r="E864" s="19">
        <v>25</v>
      </c>
      <c r="F864" s="19">
        <v>10</v>
      </c>
      <c r="G864" s="19">
        <v>14</v>
      </c>
      <c r="H864" s="20">
        <v>336</v>
      </c>
      <c r="I864" s="20">
        <v>560</v>
      </c>
      <c r="J864" s="21">
        <v>1444.8</v>
      </c>
      <c r="K864" s="21">
        <v>616</v>
      </c>
      <c r="L864" s="21">
        <v>862.4</v>
      </c>
      <c r="M864" s="22">
        <v>2</v>
      </c>
      <c r="N864" s="22">
        <v>0</v>
      </c>
      <c r="O864" s="22">
        <v>0</v>
      </c>
      <c r="P864" s="22">
        <v>0</v>
      </c>
      <c r="Q864" s="22">
        <v>5</v>
      </c>
      <c r="R864" s="17">
        <v>0.75</v>
      </c>
      <c r="S864" s="17">
        <v>1</v>
      </c>
      <c r="T864" s="17">
        <v>1</v>
      </c>
      <c r="U864" s="17">
        <v>1</v>
      </c>
      <c r="V864" s="23">
        <v>0.736842105263158</v>
      </c>
    </row>
    <row r="865" ht="49.5" spans="1:22">
      <c r="A865" s="26">
        <v>11512</v>
      </c>
      <c r="B865" s="16" t="s">
        <v>1346</v>
      </c>
      <c r="C865" s="19">
        <v>12</v>
      </c>
      <c r="D865" s="19">
        <v>8</v>
      </c>
      <c r="E865" s="19">
        <v>19</v>
      </c>
      <c r="F865" s="19">
        <v>13</v>
      </c>
      <c r="G865" s="19">
        <v>9</v>
      </c>
      <c r="H865" s="20">
        <v>704</v>
      </c>
      <c r="I865" s="20">
        <v>453.04</v>
      </c>
      <c r="J865" s="21">
        <v>947.01</v>
      </c>
      <c r="K865" s="21">
        <v>617.5</v>
      </c>
      <c r="L865" s="21">
        <v>450.63</v>
      </c>
      <c r="M865" s="22">
        <v>31</v>
      </c>
      <c r="N865" s="22">
        <v>32</v>
      </c>
      <c r="O865" s="22">
        <v>52</v>
      </c>
      <c r="P865" s="22">
        <v>43</v>
      </c>
      <c r="Q865" s="22">
        <v>46</v>
      </c>
      <c r="R865" s="17">
        <v>0.27906976744186</v>
      </c>
      <c r="S865" s="17">
        <v>0.2</v>
      </c>
      <c r="T865" s="17">
        <v>0.267605633802817</v>
      </c>
      <c r="U865" s="17">
        <v>0.232142857142857</v>
      </c>
      <c r="V865" s="23">
        <v>0.163636363636364</v>
      </c>
    </row>
    <row r="866" ht="49.5" spans="1:22">
      <c r="A866" s="26">
        <v>11513</v>
      </c>
      <c r="B866" s="16" t="s">
        <v>1347</v>
      </c>
      <c r="C866" s="19">
        <v>0</v>
      </c>
      <c r="D866" s="19">
        <v>9</v>
      </c>
      <c r="E866" s="19">
        <v>8</v>
      </c>
      <c r="F866" s="19">
        <v>9</v>
      </c>
      <c r="G866" s="19">
        <v>21</v>
      </c>
      <c r="H866" s="20">
        <v>0</v>
      </c>
      <c r="I866" s="20">
        <v>520.44</v>
      </c>
      <c r="J866" s="21">
        <v>462.24</v>
      </c>
      <c r="K866" s="21">
        <v>520.44</v>
      </c>
      <c r="L866" s="21">
        <v>1229.76</v>
      </c>
      <c r="M866" s="22">
        <v>19</v>
      </c>
      <c r="N866" s="22">
        <v>31</v>
      </c>
      <c r="O866" s="22">
        <v>31</v>
      </c>
      <c r="P866" s="22">
        <v>13</v>
      </c>
      <c r="Q866" s="22">
        <v>9</v>
      </c>
      <c r="R866" s="17">
        <v>0</v>
      </c>
      <c r="S866" s="17">
        <v>0.225</v>
      </c>
      <c r="T866" s="17">
        <v>0.205128205128205</v>
      </c>
      <c r="U866" s="17">
        <v>0.409090909090909</v>
      </c>
      <c r="V866" s="23">
        <v>0.7</v>
      </c>
    </row>
    <row r="867" ht="33" spans="1:22">
      <c r="A867" s="26">
        <v>11528</v>
      </c>
      <c r="B867" s="16" t="s">
        <v>1348</v>
      </c>
      <c r="C867" s="19">
        <v>14</v>
      </c>
      <c r="D867" s="19">
        <v>34</v>
      </c>
      <c r="E867" s="19">
        <v>25</v>
      </c>
      <c r="F867" s="19">
        <v>8</v>
      </c>
      <c r="G867" s="19">
        <v>0</v>
      </c>
      <c r="H867" s="20">
        <v>1239.17</v>
      </c>
      <c r="I867" s="20">
        <v>2912.7</v>
      </c>
      <c r="J867" s="21">
        <v>2242.39</v>
      </c>
      <c r="K867" s="21">
        <v>742.24</v>
      </c>
      <c r="L867" s="21">
        <v>0</v>
      </c>
      <c r="M867" s="22">
        <v>0</v>
      </c>
      <c r="N867" s="22">
        <v>0</v>
      </c>
      <c r="O867" s="22">
        <v>0</v>
      </c>
      <c r="P867" s="22">
        <v>0</v>
      </c>
      <c r="Q867" s="22">
        <v>191</v>
      </c>
      <c r="R867" s="17">
        <v>1</v>
      </c>
      <c r="S867" s="17">
        <v>1</v>
      </c>
      <c r="T867" s="17">
        <v>1</v>
      </c>
      <c r="U867" s="17">
        <v>1</v>
      </c>
      <c r="V867" s="23">
        <v>0</v>
      </c>
    </row>
    <row r="868" ht="33" spans="1:22">
      <c r="A868" s="26">
        <v>11546</v>
      </c>
      <c r="B868" s="16" t="s">
        <v>1349</v>
      </c>
      <c r="C868" s="19">
        <v>4</v>
      </c>
      <c r="D868" s="19">
        <v>3</v>
      </c>
      <c r="E868" s="19">
        <v>1</v>
      </c>
      <c r="F868" s="19">
        <v>7</v>
      </c>
      <c r="G868" s="19">
        <v>3</v>
      </c>
      <c r="H868" s="20">
        <v>180</v>
      </c>
      <c r="I868" s="20">
        <v>135</v>
      </c>
      <c r="J868" s="21">
        <v>45</v>
      </c>
      <c r="K868" s="21">
        <v>315</v>
      </c>
      <c r="L868" s="21">
        <v>135</v>
      </c>
      <c r="M868" s="22">
        <v>0</v>
      </c>
      <c r="N868" s="22">
        <v>0</v>
      </c>
      <c r="O868" s="22">
        <v>0</v>
      </c>
      <c r="P868" s="22">
        <v>0</v>
      </c>
      <c r="Q868" s="22">
        <v>0</v>
      </c>
      <c r="R868" s="17">
        <v>1</v>
      </c>
      <c r="S868" s="17">
        <v>1</v>
      </c>
      <c r="T868" s="17">
        <v>1</v>
      </c>
      <c r="U868" s="17">
        <v>1</v>
      </c>
      <c r="V868" s="23">
        <v>1</v>
      </c>
    </row>
    <row r="869" ht="33" spans="1:22">
      <c r="A869" s="26">
        <v>11547</v>
      </c>
      <c r="B869" s="16" t="s">
        <v>437</v>
      </c>
      <c r="C869" s="19">
        <v>0</v>
      </c>
      <c r="D869" s="19">
        <v>1</v>
      </c>
      <c r="E869" s="19">
        <v>2</v>
      </c>
      <c r="F869" s="19">
        <v>6</v>
      </c>
      <c r="G869" s="19">
        <v>2</v>
      </c>
      <c r="H869" s="20">
        <v>0</v>
      </c>
      <c r="I869" s="20">
        <v>59</v>
      </c>
      <c r="J869" s="21">
        <v>118</v>
      </c>
      <c r="K869" s="21">
        <v>348</v>
      </c>
      <c r="L869" s="21">
        <v>118</v>
      </c>
      <c r="M869" s="22">
        <v>2</v>
      </c>
      <c r="N869" s="22">
        <v>1</v>
      </c>
      <c r="O869" s="22">
        <v>1</v>
      </c>
      <c r="P869" s="22">
        <v>0</v>
      </c>
      <c r="Q869" s="22">
        <v>2</v>
      </c>
      <c r="R869" s="17">
        <v>0</v>
      </c>
      <c r="S869" s="17">
        <v>0.5</v>
      </c>
      <c r="T869" s="17">
        <v>0.666666666666667</v>
      </c>
      <c r="U869" s="17">
        <v>1</v>
      </c>
      <c r="V869" s="23">
        <v>0.5</v>
      </c>
    </row>
    <row r="870" ht="33" spans="1:22">
      <c r="A870" s="26">
        <v>11552</v>
      </c>
      <c r="B870" s="16" t="s">
        <v>1350</v>
      </c>
      <c r="C870" s="19">
        <v>3</v>
      </c>
      <c r="D870" s="19">
        <v>2</v>
      </c>
      <c r="E870" s="19">
        <v>0</v>
      </c>
      <c r="F870" s="19">
        <v>0</v>
      </c>
      <c r="G870" s="19">
        <v>1</v>
      </c>
      <c r="H870" s="20">
        <v>144</v>
      </c>
      <c r="I870" s="20">
        <v>96</v>
      </c>
      <c r="J870" s="21">
        <v>0</v>
      </c>
      <c r="K870" s="21">
        <v>0</v>
      </c>
      <c r="L870" s="21">
        <v>48</v>
      </c>
      <c r="M870" s="22">
        <v>6</v>
      </c>
      <c r="N870" s="22">
        <v>3</v>
      </c>
      <c r="O870" s="22">
        <v>9</v>
      </c>
      <c r="P870" s="22">
        <v>6</v>
      </c>
      <c r="Q870" s="22">
        <v>4</v>
      </c>
      <c r="R870" s="17">
        <v>0.333333333333333</v>
      </c>
      <c r="S870" s="17">
        <v>0.4</v>
      </c>
      <c r="T870" s="17">
        <v>0</v>
      </c>
      <c r="U870" s="17">
        <v>0</v>
      </c>
      <c r="V870" s="23">
        <v>0.2</v>
      </c>
    </row>
    <row r="871" ht="33" spans="1:22">
      <c r="A871" s="26">
        <v>11553</v>
      </c>
      <c r="B871" s="16" t="s">
        <v>1351</v>
      </c>
      <c r="C871" s="19">
        <v>4</v>
      </c>
      <c r="D871" s="19">
        <v>2</v>
      </c>
      <c r="E871" s="19">
        <v>4</v>
      </c>
      <c r="F871" s="19">
        <v>4</v>
      </c>
      <c r="G871" s="19">
        <v>4</v>
      </c>
      <c r="H871" s="20">
        <v>108</v>
      </c>
      <c r="I871" s="20">
        <v>54</v>
      </c>
      <c r="J871" s="21">
        <v>108</v>
      </c>
      <c r="K871" s="21">
        <v>108</v>
      </c>
      <c r="L871" s="21">
        <v>108</v>
      </c>
      <c r="M871" s="22">
        <v>9</v>
      </c>
      <c r="N871" s="22">
        <v>5</v>
      </c>
      <c r="O871" s="22">
        <v>8</v>
      </c>
      <c r="P871" s="22">
        <v>9</v>
      </c>
      <c r="Q871" s="22">
        <v>7</v>
      </c>
      <c r="R871" s="17">
        <v>0.307692307692308</v>
      </c>
      <c r="S871" s="17">
        <v>0.285714285714286</v>
      </c>
      <c r="T871" s="17">
        <v>0.333333333333333</v>
      </c>
      <c r="U871" s="17">
        <v>0.307692307692308</v>
      </c>
      <c r="V871" s="23">
        <v>0.363636363636364</v>
      </c>
    </row>
    <row r="872" ht="33" spans="1:22">
      <c r="A872" s="26">
        <v>11554</v>
      </c>
      <c r="B872" s="16" t="s">
        <v>1352</v>
      </c>
      <c r="C872" s="19">
        <v>2</v>
      </c>
      <c r="D872" s="19">
        <v>1</v>
      </c>
      <c r="E872" s="19">
        <v>3</v>
      </c>
      <c r="F872" s="19">
        <v>2</v>
      </c>
      <c r="G872" s="19">
        <v>1</v>
      </c>
      <c r="H872" s="20">
        <v>54</v>
      </c>
      <c r="I872" s="20">
        <v>27</v>
      </c>
      <c r="J872" s="21">
        <v>81</v>
      </c>
      <c r="K872" s="21">
        <v>54</v>
      </c>
      <c r="L872" s="21">
        <v>27</v>
      </c>
      <c r="M872" s="22">
        <v>6</v>
      </c>
      <c r="N872" s="22">
        <v>3</v>
      </c>
      <c r="O872" s="22">
        <v>7</v>
      </c>
      <c r="P872" s="22">
        <v>6</v>
      </c>
      <c r="Q872" s="22">
        <v>7</v>
      </c>
      <c r="R872" s="17">
        <v>0.25</v>
      </c>
      <c r="S872" s="17">
        <v>0.25</v>
      </c>
      <c r="T872" s="17">
        <v>0.3</v>
      </c>
      <c r="U872" s="17">
        <v>0.25</v>
      </c>
      <c r="V872" s="23">
        <v>0.125</v>
      </c>
    </row>
    <row r="873" ht="33" spans="1:22">
      <c r="A873" s="26">
        <v>11600</v>
      </c>
      <c r="B873" s="16" t="s">
        <v>1353</v>
      </c>
      <c r="C873" s="19">
        <v>28</v>
      </c>
      <c r="D873" s="19">
        <v>34</v>
      </c>
      <c r="E873" s="19">
        <v>31</v>
      </c>
      <c r="F873" s="19">
        <v>27</v>
      </c>
      <c r="G873" s="19">
        <v>19</v>
      </c>
      <c r="H873" s="20">
        <v>840</v>
      </c>
      <c r="I873" s="20">
        <v>1020</v>
      </c>
      <c r="J873" s="21">
        <v>930</v>
      </c>
      <c r="K873" s="21">
        <v>861</v>
      </c>
      <c r="L873" s="21">
        <v>648</v>
      </c>
      <c r="M873" s="22">
        <v>0</v>
      </c>
      <c r="N873" s="22">
        <v>0</v>
      </c>
      <c r="O873" s="22">
        <v>0</v>
      </c>
      <c r="P873" s="22">
        <v>0</v>
      </c>
      <c r="Q873" s="22">
        <v>0</v>
      </c>
      <c r="R873" s="17">
        <v>1</v>
      </c>
      <c r="S873" s="17">
        <v>1</v>
      </c>
      <c r="T873" s="17">
        <v>1</v>
      </c>
      <c r="U873" s="17">
        <v>1</v>
      </c>
      <c r="V873" s="23">
        <v>1</v>
      </c>
    </row>
    <row r="874" ht="33" spans="1:22">
      <c r="A874" s="26">
        <v>11601</v>
      </c>
      <c r="B874" s="16" t="s">
        <v>1354</v>
      </c>
      <c r="C874" s="19">
        <v>2</v>
      </c>
      <c r="D874" s="19">
        <v>11</v>
      </c>
      <c r="E874" s="19">
        <v>4</v>
      </c>
      <c r="F874" s="19">
        <v>6</v>
      </c>
      <c r="G874" s="19">
        <v>10</v>
      </c>
      <c r="H874" s="20">
        <v>60</v>
      </c>
      <c r="I874" s="20">
        <v>341.97</v>
      </c>
      <c r="J874" s="21">
        <v>125.98</v>
      </c>
      <c r="K874" s="21">
        <v>193.47</v>
      </c>
      <c r="L874" s="21">
        <v>335.97</v>
      </c>
      <c r="M874" s="22">
        <v>0</v>
      </c>
      <c r="N874" s="22">
        <v>0</v>
      </c>
      <c r="O874" s="22">
        <v>0</v>
      </c>
      <c r="P874" s="22">
        <v>0</v>
      </c>
      <c r="Q874" s="22">
        <v>0</v>
      </c>
      <c r="R874" s="17">
        <v>1</v>
      </c>
      <c r="S874" s="17">
        <v>1</v>
      </c>
      <c r="T874" s="17">
        <v>1</v>
      </c>
      <c r="U874" s="17">
        <v>1</v>
      </c>
      <c r="V874" s="23">
        <v>1</v>
      </c>
    </row>
    <row r="875" ht="33" spans="1:22">
      <c r="A875" s="26">
        <v>11603</v>
      </c>
      <c r="B875" s="16" t="s">
        <v>443</v>
      </c>
      <c r="C875" s="19">
        <v>4</v>
      </c>
      <c r="D875" s="19">
        <v>2</v>
      </c>
      <c r="E875" s="19">
        <v>7</v>
      </c>
      <c r="F875" s="19">
        <v>2</v>
      </c>
      <c r="G875" s="19">
        <v>1</v>
      </c>
      <c r="H875" s="20">
        <v>396</v>
      </c>
      <c r="I875" s="20">
        <v>238</v>
      </c>
      <c r="J875" s="21">
        <v>803.44</v>
      </c>
      <c r="K875" s="21">
        <v>238</v>
      </c>
      <c r="L875" s="21">
        <v>119</v>
      </c>
      <c r="M875" s="22">
        <v>0</v>
      </c>
      <c r="N875" s="22">
        <v>0</v>
      </c>
      <c r="O875" s="22">
        <v>0</v>
      </c>
      <c r="P875" s="22">
        <v>0</v>
      </c>
      <c r="Q875" s="22">
        <v>0</v>
      </c>
      <c r="R875" s="17">
        <v>1</v>
      </c>
      <c r="S875" s="17">
        <v>1</v>
      </c>
      <c r="T875" s="17">
        <v>1</v>
      </c>
      <c r="U875" s="17">
        <v>1</v>
      </c>
      <c r="V875" s="23">
        <v>1</v>
      </c>
    </row>
    <row r="876" ht="33" spans="1:22">
      <c r="A876" s="26">
        <v>11650</v>
      </c>
      <c r="B876" s="16" t="s">
        <v>438</v>
      </c>
      <c r="C876" s="19">
        <v>7</v>
      </c>
      <c r="D876" s="19">
        <v>11</v>
      </c>
      <c r="E876" s="19">
        <v>14</v>
      </c>
      <c r="F876" s="19">
        <v>14</v>
      </c>
      <c r="G876" s="19">
        <v>12</v>
      </c>
      <c r="H876" s="20">
        <v>1050</v>
      </c>
      <c r="I876" s="20">
        <v>1594.5</v>
      </c>
      <c r="J876" s="21">
        <v>2100</v>
      </c>
      <c r="K876" s="21">
        <v>2064.8</v>
      </c>
      <c r="L876" s="21">
        <v>1779.8</v>
      </c>
      <c r="M876" s="22">
        <v>0</v>
      </c>
      <c r="N876" s="22">
        <v>0</v>
      </c>
      <c r="O876" s="22">
        <v>0</v>
      </c>
      <c r="P876" s="22">
        <v>0</v>
      </c>
      <c r="Q876" s="22">
        <v>6</v>
      </c>
      <c r="R876" s="17">
        <v>1</v>
      </c>
      <c r="S876" s="17">
        <v>1</v>
      </c>
      <c r="T876" s="17">
        <v>1</v>
      </c>
      <c r="U876" s="17">
        <v>1</v>
      </c>
      <c r="V876" s="23">
        <v>0.666666666666667</v>
      </c>
    </row>
    <row r="877" ht="33" spans="1:22">
      <c r="A877" s="26">
        <v>11655</v>
      </c>
      <c r="B877" s="16" t="s">
        <v>1355</v>
      </c>
      <c r="C877" s="19">
        <v>1</v>
      </c>
      <c r="D877" s="19">
        <v>2</v>
      </c>
      <c r="E877" s="19">
        <v>11</v>
      </c>
      <c r="F877" s="19">
        <v>4</v>
      </c>
      <c r="G877" s="19">
        <v>4</v>
      </c>
      <c r="H877" s="20">
        <v>30</v>
      </c>
      <c r="I877" s="20">
        <v>69.98</v>
      </c>
      <c r="J877" s="21">
        <v>365.94</v>
      </c>
      <c r="K877" s="21">
        <v>121.59</v>
      </c>
      <c r="L877" s="21">
        <v>123.18</v>
      </c>
      <c r="M877" s="22">
        <v>1</v>
      </c>
      <c r="N877" s="22">
        <v>12</v>
      </c>
      <c r="O877" s="22">
        <v>19</v>
      </c>
      <c r="P877" s="22">
        <v>18</v>
      </c>
      <c r="Q877" s="22">
        <v>29</v>
      </c>
      <c r="R877" s="17">
        <v>0.5</v>
      </c>
      <c r="S877" s="17">
        <v>0.142857142857143</v>
      </c>
      <c r="T877" s="17">
        <v>0.366666666666667</v>
      </c>
      <c r="U877" s="17">
        <v>0.181818181818182</v>
      </c>
      <c r="V877" s="23">
        <v>0.121212121212121</v>
      </c>
    </row>
    <row r="878" ht="33" spans="1:22">
      <c r="A878" s="26">
        <v>11656</v>
      </c>
      <c r="B878" s="16" t="s">
        <v>1356</v>
      </c>
      <c r="C878" s="19">
        <v>0</v>
      </c>
      <c r="D878" s="19">
        <v>0</v>
      </c>
      <c r="E878" s="19">
        <v>2</v>
      </c>
      <c r="F878" s="19">
        <v>1</v>
      </c>
      <c r="G878" s="19">
        <v>1</v>
      </c>
      <c r="H878" s="20">
        <v>0</v>
      </c>
      <c r="I878" s="20">
        <v>0</v>
      </c>
      <c r="J878" s="21">
        <v>54</v>
      </c>
      <c r="K878" s="21">
        <v>30</v>
      </c>
      <c r="L878" s="21">
        <v>30</v>
      </c>
      <c r="M878" s="22">
        <v>0</v>
      </c>
      <c r="N878" s="22">
        <v>5</v>
      </c>
      <c r="O878" s="22">
        <v>4</v>
      </c>
      <c r="P878" s="22">
        <v>2</v>
      </c>
      <c r="Q878" s="22">
        <v>2</v>
      </c>
      <c r="R878" s="17">
        <v>0</v>
      </c>
      <c r="S878" s="17">
        <v>0</v>
      </c>
      <c r="T878" s="17">
        <v>0.333333333333333</v>
      </c>
      <c r="U878" s="17">
        <v>0.333333333333333</v>
      </c>
      <c r="V878" s="23">
        <v>0.333333333333333</v>
      </c>
    </row>
    <row r="879" ht="33" spans="1:22">
      <c r="A879" s="26">
        <v>11668</v>
      </c>
      <c r="B879" s="16" t="s">
        <v>440</v>
      </c>
      <c r="C879" s="19">
        <v>2</v>
      </c>
      <c r="D879" s="19">
        <v>2</v>
      </c>
      <c r="E879" s="19">
        <v>7</v>
      </c>
      <c r="F879" s="19">
        <v>5</v>
      </c>
      <c r="G879" s="19">
        <v>5</v>
      </c>
      <c r="H879" s="20">
        <v>270</v>
      </c>
      <c r="I879" s="20">
        <v>270</v>
      </c>
      <c r="J879" s="21">
        <v>938.25</v>
      </c>
      <c r="K879" s="21">
        <v>668.25</v>
      </c>
      <c r="L879" s="21">
        <v>675</v>
      </c>
      <c r="M879" s="22">
        <v>0</v>
      </c>
      <c r="N879" s="22">
        <v>2</v>
      </c>
      <c r="O879" s="22">
        <v>6</v>
      </c>
      <c r="P879" s="22">
        <v>4</v>
      </c>
      <c r="Q879" s="22">
        <v>1</v>
      </c>
      <c r="R879" s="17">
        <v>1</v>
      </c>
      <c r="S879" s="17">
        <v>0.5</v>
      </c>
      <c r="T879" s="17">
        <v>0.538461538461538</v>
      </c>
      <c r="U879" s="17">
        <v>0.555555555555556</v>
      </c>
      <c r="V879" s="23">
        <v>0.833333333333333</v>
      </c>
    </row>
    <row r="880" ht="33" spans="1:22">
      <c r="A880" s="26">
        <v>11674</v>
      </c>
      <c r="B880" s="16" t="s">
        <v>439</v>
      </c>
      <c r="C880" s="19">
        <v>3</v>
      </c>
      <c r="D880" s="19">
        <v>11</v>
      </c>
      <c r="E880" s="19">
        <v>16</v>
      </c>
      <c r="F880" s="19">
        <v>17</v>
      </c>
      <c r="G880" s="19">
        <v>6</v>
      </c>
      <c r="H880" s="20">
        <v>197.52</v>
      </c>
      <c r="I880" s="20">
        <v>741.82</v>
      </c>
      <c r="J880" s="21">
        <v>1086.81</v>
      </c>
      <c r="K880" s="21">
        <v>1240.72</v>
      </c>
      <c r="L880" s="21">
        <v>497.36</v>
      </c>
      <c r="M880" s="22">
        <v>1</v>
      </c>
      <c r="N880" s="22">
        <v>1</v>
      </c>
      <c r="O880" s="22">
        <v>6</v>
      </c>
      <c r="P880" s="22">
        <v>6</v>
      </c>
      <c r="Q880" s="22">
        <v>3</v>
      </c>
      <c r="R880" s="17">
        <v>0.75</v>
      </c>
      <c r="S880" s="17">
        <v>0.916666666666667</v>
      </c>
      <c r="T880" s="17">
        <v>0.727272727272727</v>
      </c>
      <c r="U880" s="17">
        <v>0.739130434782609</v>
      </c>
      <c r="V880" s="23">
        <v>0.666666666666667</v>
      </c>
    </row>
    <row r="881" ht="33" spans="1:22">
      <c r="A881" s="26">
        <v>11681</v>
      </c>
      <c r="B881" s="16" t="s">
        <v>441</v>
      </c>
      <c r="C881" s="19">
        <v>1</v>
      </c>
      <c r="D881" s="19">
        <v>0</v>
      </c>
      <c r="E881" s="19">
        <v>1</v>
      </c>
      <c r="F881" s="19">
        <v>1</v>
      </c>
      <c r="G881" s="19">
        <v>1</v>
      </c>
      <c r="H881" s="20">
        <v>289</v>
      </c>
      <c r="I881" s="20">
        <v>0</v>
      </c>
      <c r="J881" s="21">
        <v>350</v>
      </c>
      <c r="K881" s="21">
        <v>350</v>
      </c>
      <c r="L881" s="21">
        <v>320</v>
      </c>
      <c r="M881" s="22">
        <v>0</v>
      </c>
      <c r="N881" s="22">
        <v>0</v>
      </c>
      <c r="O881" s="22">
        <v>0</v>
      </c>
      <c r="P881" s="22">
        <v>0</v>
      </c>
      <c r="Q881" s="22">
        <v>0</v>
      </c>
      <c r="R881" s="17">
        <v>1</v>
      </c>
      <c r="S881" s="17">
        <v>0</v>
      </c>
      <c r="T881" s="17">
        <v>1</v>
      </c>
      <c r="U881" s="17">
        <v>1</v>
      </c>
      <c r="V881" s="23">
        <v>1</v>
      </c>
    </row>
    <row r="882" ht="33" spans="1:22">
      <c r="A882" s="26">
        <v>11682</v>
      </c>
      <c r="B882" s="16" t="s">
        <v>1357</v>
      </c>
      <c r="C882" s="19">
        <v>2</v>
      </c>
      <c r="D882" s="19">
        <v>0</v>
      </c>
      <c r="E882" s="19">
        <v>1</v>
      </c>
      <c r="F882" s="19">
        <v>0</v>
      </c>
      <c r="G882" s="19">
        <v>0</v>
      </c>
      <c r="H882" s="20">
        <v>298</v>
      </c>
      <c r="I882" s="20">
        <v>0</v>
      </c>
      <c r="J882" s="21">
        <v>220</v>
      </c>
      <c r="K882" s="21">
        <v>0</v>
      </c>
      <c r="L882" s="21">
        <v>0</v>
      </c>
      <c r="M882" s="22">
        <v>0</v>
      </c>
      <c r="N882" s="22">
        <v>0</v>
      </c>
      <c r="O882" s="22">
        <v>0</v>
      </c>
      <c r="P882" s="22">
        <v>0</v>
      </c>
      <c r="Q882" s="22">
        <v>0</v>
      </c>
      <c r="R882" s="17">
        <v>1</v>
      </c>
      <c r="S882" s="17">
        <v>0</v>
      </c>
      <c r="T882" s="17">
        <v>1</v>
      </c>
      <c r="U882" s="17">
        <v>0</v>
      </c>
      <c r="V882" s="23" t="s">
        <v>106</v>
      </c>
    </row>
    <row r="883" ht="33" spans="1:22">
      <c r="A883" s="26">
        <v>11683</v>
      </c>
      <c r="B883" s="16" t="s">
        <v>451</v>
      </c>
      <c r="C883" s="19">
        <v>0</v>
      </c>
      <c r="D883" s="19">
        <v>0</v>
      </c>
      <c r="E883" s="19">
        <v>0</v>
      </c>
      <c r="F883" s="19">
        <v>0</v>
      </c>
      <c r="G883" s="19">
        <v>0</v>
      </c>
      <c r="H883" s="20">
        <v>0</v>
      </c>
      <c r="I883" s="20">
        <v>0</v>
      </c>
      <c r="J883" s="21">
        <v>0</v>
      </c>
      <c r="K883" s="21">
        <v>0</v>
      </c>
      <c r="L883" s="21">
        <v>0</v>
      </c>
      <c r="M883" s="22">
        <v>0</v>
      </c>
      <c r="N883" s="22">
        <v>0</v>
      </c>
      <c r="O883" s="22">
        <v>0</v>
      </c>
      <c r="P883" s="22">
        <v>0</v>
      </c>
      <c r="Q883" s="22">
        <v>0</v>
      </c>
      <c r="R883" s="17">
        <v>0</v>
      </c>
      <c r="S883" s="17">
        <v>0</v>
      </c>
      <c r="T883" s="17">
        <v>0</v>
      </c>
      <c r="U883" s="17">
        <v>0</v>
      </c>
      <c r="V883" s="23" t="s">
        <v>106</v>
      </c>
    </row>
    <row r="884" ht="33" spans="1:22">
      <c r="A884" s="26">
        <v>11699</v>
      </c>
      <c r="B884" s="16" t="s">
        <v>445</v>
      </c>
      <c r="C884" s="19">
        <v>4</v>
      </c>
      <c r="D884" s="19">
        <v>2</v>
      </c>
      <c r="E884" s="19">
        <v>5</v>
      </c>
      <c r="F884" s="19">
        <v>4</v>
      </c>
      <c r="G884" s="19">
        <v>4</v>
      </c>
      <c r="H884" s="20">
        <v>440</v>
      </c>
      <c r="I884" s="20">
        <v>220</v>
      </c>
      <c r="J884" s="21">
        <v>550</v>
      </c>
      <c r="K884" s="21">
        <v>445</v>
      </c>
      <c r="L884" s="21">
        <v>445</v>
      </c>
      <c r="M884" s="22">
        <v>5</v>
      </c>
      <c r="N884" s="22">
        <v>12</v>
      </c>
      <c r="O884" s="22">
        <v>10</v>
      </c>
      <c r="P884" s="22">
        <v>13</v>
      </c>
      <c r="Q884" s="22">
        <v>10</v>
      </c>
      <c r="R884" s="17">
        <v>0.444444444444444</v>
      </c>
      <c r="S884" s="17">
        <v>0.142857142857143</v>
      </c>
      <c r="T884" s="17">
        <v>0.333333333333333</v>
      </c>
      <c r="U884" s="17">
        <v>0.235294117647059</v>
      </c>
      <c r="V884" s="23">
        <v>0.285714285714286</v>
      </c>
    </row>
    <row r="885" ht="33" spans="1:22">
      <c r="A885" s="26">
        <v>11704</v>
      </c>
      <c r="B885" s="16" t="s">
        <v>444</v>
      </c>
      <c r="C885" s="19">
        <v>0</v>
      </c>
      <c r="D885" s="19">
        <v>2</v>
      </c>
      <c r="E885" s="19">
        <v>6</v>
      </c>
      <c r="F885" s="19">
        <v>4</v>
      </c>
      <c r="G885" s="19">
        <v>3</v>
      </c>
      <c r="H885" s="20">
        <v>0</v>
      </c>
      <c r="I885" s="20">
        <v>204</v>
      </c>
      <c r="J885" s="21">
        <v>612</v>
      </c>
      <c r="K885" s="21">
        <v>401</v>
      </c>
      <c r="L885" s="21">
        <v>289.6</v>
      </c>
      <c r="M885" s="22">
        <v>3</v>
      </c>
      <c r="N885" s="22">
        <v>8</v>
      </c>
      <c r="O885" s="22">
        <v>8</v>
      </c>
      <c r="P885" s="22">
        <v>8</v>
      </c>
      <c r="Q885" s="22">
        <v>10</v>
      </c>
      <c r="R885" s="17">
        <v>0</v>
      </c>
      <c r="S885" s="17">
        <v>0.2</v>
      </c>
      <c r="T885" s="17">
        <v>0.428571428571429</v>
      </c>
      <c r="U885" s="17">
        <v>0.333333333333333</v>
      </c>
      <c r="V885" s="23">
        <v>0.230769230769231</v>
      </c>
    </row>
    <row r="886" ht="33" spans="1:22">
      <c r="A886" s="26">
        <v>11733</v>
      </c>
      <c r="B886" s="16" t="s">
        <v>452</v>
      </c>
      <c r="C886" s="19">
        <v>0</v>
      </c>
      <c r="D886" s="19">
        <v>5</v>
      </c>
      <c r="E886" s="19">
        <v>4</v>
      </c>
      <c r="F886" s="19">
        <v>6</v>
      </c>
      <c r="G886" s="19">
        <v>3</v>
      </c>
      <c r="H886" s="20">
        <v>0</v>
      </c>
      <c r="I886" s="20">
        <v>175</v>
      </c>
      <c r="J886" s="21">
        <v>140</v>
      </c>
      <c r="K886" s="21">
        <v>216</v>
      </c>
      <c r="L886" s="21">
        <v>107</v>
      </c>
      <c r="M886" s="22">
        <v>0</v>
      </c>
      <c r="N886" s="22">
        <v>0</v>
      </c>
      <c r="O886" s="22">
        <v>0</v>
      </c>
      <c r="P886" s="22">
        <v>0</v>
      </c>
      <c r="Q886" s="22">
        <v>0</v>
      </c>
      <c r="R886" s="17">
        <v>0</v>
      </c>
      <c r="S886" s="17">
        <v>1</v>
      </c>
      <c r="T886" s="17">
        <v>1</v>
      </c>
      <c r="U886" s="17">
        <v>1</v>
      </c>
      <c r="V886" s="23">
        <v>1</v>
      </c>
    </row>
    <row r="887" ht="33" spans="1:22">
      <c r="A887" s="26">
        <v>11736</v>
      </c>
      <c r="B887" s="16" t="s">
        <v>455</v>
      </c>
      <c r="C887" s="19">
        <v>0</v>
      </c>
      <c r="D887" s="19">
        <v>8</v>
      </c>
      <c r="E887" s="19">
        <v>13</v>
      </c>
      <c r="F887" s="19">
        <v>14</v>
      </c>
      <c r="G887" s="19">
        <v>12</v>
      </c>
      <c r="H887" s="20">
        <v>0</v>
      </c>
      <c r="I887" s="20">
        <v>839.95</v>
      </c>
      <c r="J887" s="21">
        <v>1392</v>
      </c>
      <c r="K887" s="21">
        <v>1486</v>
      </c>
      <c r="L887" s="21">
        <v>1304.42</v>
      </c>
      <c r="M887" s="22">
        <v>2</v>
      </c>
      <c r="N887" s="22">
        <v>15</v>
      </c>
      <c r="O887" s="22">
        <v>7</v>
      </c>
      <c r="P887" s="22">
        <v>1</v>
      </c>
      <c r="Q887" s="22">
        <v>2</v>
      </c>
      <c r="R887" s="17">
        <v>0</v>
      </c>
      <c r="S887" s="17">
        <v>0.347826086956522</v>
      </c>
      <c r="T887" s="17">
        <v>0.65</v>
      </c>
      <c r="U887" s="17">
        <v>0.933333333333333</v>
      </c>
      <c r="V887" s="23">
        <v>0.857142857142857</v>
      </c>
    </row>
    <row r="888" ht="33" spans="1:22">
      <c r="A888" s="26">
        <v>11742</v>
      </c>
      <c r="B888" s="16" t="s">
        <v>442</v>
      </c>
      <c r="C888" s="19">
        <v>3</v>
      </c>
      <c r="D888" s="19">
        <v>1</v>
      </c>
      <c r="E888" s="19">
        <v>11</v>
      </c>
      <c r="F888" s="19">
        <v>13</v>
      </c>
      <c r="G888" s="19">
        <v>8</v>
      </c>
      <c r="H888" s="20">
        <v>387</v>
      </c>
      <c r="I888" s="20">
        <v>105</v>
      </c>
      <c r="J888" s="21">
        <v>1243</v>
      </c>
      <c r="K888" s="21">
        <v>1430</v>
      </c>
      <c r="L888" s="21">
        <v>880</v>
      </c>
      <c r="M888" s="22">
        <v>5</v>
      </c>
      <c r="N888" s="22">
        <v>9</v>
      </c>
      <c r="O888" s="22">
        <v>1</v>
      </c>
      <c r="P888" s="22">
        <v>1</v>
      </c>
      <c r="Q888" s="22">
        <v>0</v>
      </c>
      <c r="R888" s="17">
        <v>0.375</v>
      </c>
      <c r="S888" s="17">
        <v>0.1</v>
      </c>
      <c r="T888" s="17">
        <v>0.916666666666667</v>
      </c>
      <c r="U888" s="17">
        <v>0.928571428571429</v>
      </c>
      <c r="V888" s="23">
        <v>1</v>
      </c>
    </row>
    <row r="889" ht="33" spans="1:22">
      <c r="A889" s="26">
        <v>11745</v>
      </c>
      <c r="B889" s="16" t="s">
        <v>456</v>
      </c>
      <c r="C889" s="19">
        <v>1</v>
      </c>
      <c r="D889" s="19">
        <v>3</v>
      </c>
      <c r="E889" s="19">
        <v>9</v>
      </c>
      <c r="F889" s="19">
        <v>11</v>
      </c>
      <c r="G889" s="19">
        <v>10</v>
      </c>
      <c r="H889" s="20">
        <v>80</v>
      </c>
      <c r="I889" s="20">
        <v>240</v>
      </c>
      <c r="J889" s="21">
        <v>697.93</v>
      </c>
      <c r="K889" s="21">
        <v>839.12</v>
      </c>
      <c r="L889" s="21">
        <v>664.9</v>
      </c>
      <c r="M889" s="22">
        <v>3</v>
      </c>
      <c r="N889" s="22">
        <v>14</v>
      </c>
      <c r="O889" s="22">
        <v>13</v>
      </c>
      <c r="P889" s="22">
        <v>17</v>
      </c>
      <c r="Q889" s="22">
        <v>14</v>
      </c>
      <c r="R889" s="17">
        <v>0.25</v>
      </c>
      <c r="S889" s="17">
        <v>0.176470588235294</v>
      </c>
      <c r="T889" s="17">
        <v>0.409090909090909</v>
      </c>
      <c r="U889" s="17">
        <v>0.392857142857143</v>
      </c>
      <c r="V889" s="23">
        <v>0.416666666666667</v>
      </c>
    </row>
    <row r="890" ht="33" spans="1:22">
      <c r="A890" s="26">
        <v>11751</v>
      </c>
      <c r="B890" s="16" t="s">
        <v>453</v>
      </c>
      <c r="C890" s="19">
        <v>2</v>
      </c>
      <c r="D890" s="19">
        <v>24</v>
      </c>
      <c r="E890" s="19">
        <v>40</v>
      </c>
      <c r="F890" s="19">
        <v>28</v>
      </c>
      <c r="G890" s="19">
        <v>19</v>
      </c>
      <c r="H890" s="20">
        <v>138</v>
      </c>
      <c r="I890" s="20">
        <v>1652.55</v>
      </c>
      <c r="J890" s="21">
        <v>2761.5</v>
      </c>
      <c r="K890" s="21">
        <v>2054.96</v>
      </c>
      <c r="L890" s="21">
        <v>1387.5</v>
      </c>
      <c r="M890" s="22">
        <v>6</v>
      </c>
      <c r="N890" s="22">
        <v>10</v>
      </c>
      <c r="O890" s="22">
        <v>9</v>
      </c>
      <c r="P890" s="22">
        <v>8</v>
      </c>
      <c r="Q890" s="22">
        <v>17</v>
      </c>
      <c r="R890" s="17">
        <v>0.25</v>
      </c>
      <c r="S890" s="17">
        <v>0.705882352941177</v>
      </c>
      <c r="T890" s="17">
        <v>0.816326530612245</v>
      </c>
      <c r="U890" s="17">
        <v>0.777777777777778</v>
      </c>
      <c r="V890" s="23">
        <v>0.527777777777778</v>
      </c>
    </row>
    <row r="891" ht="33" spans="1:22">
      <c r="A891" s="26">
        <v>11756</v>
      </c>
      <c r="B891" s="16" t="s">
        <v>464</v>
      </c>
      <c r="C891" s="19">
        <v>0</v>
      </c>
      <c r="D891" s="19">
        <v>2</v>
      </c>
      <c r="E891" s="19">
        <v>0</v>
      </c>
      <c r="F891" s="19">
        <v>1</v>
      </c>
      <c r="G891" s="19">
        <v>0</v>
      </c>
      <c r="H891" s="20">
        <v>0</v>
      </c>
      <c r="I891" s="20">
        <v>596</v>
      </c>
      <c r="J891" s="21">
        <v>0</v>
      </c>
      <c r="K891" s="21">
        <v>398</v>
      </c>
      <c r="L891" s="21">
        <v>0</v>
      </c>
      <c r="M891" s="22">
        <v>0</v>
      </c>
      <c r="N891" s="22">
        <v>0</v>
      </c>
      <c r="O891" s="22">
        <v>0</v>
      </c>
      <c r="P891" s="22">
        <v>0</v>
      </c>
      <c r="Q891" s="22">
        <v>0</v>
      </c>
      <c r="R891" s="17">
        <v>0</v>
      </c>
      <c r="S891" s="17">
        <v>1</v>
      </c>
      <c r="T891" s="17">
        <v>0</v>
      </c>
      <c r="U891" s="17">
        <v>1</v>
      </c>
      <c r="V891" s="23" t="s">
        <v>106</v>
      </c>
    </row>
    <row r="892" ht="33" spans="1:22">
      <c r="A892" s="26">
        <v>11757</v>
      </c>
      <c r="B892" s="16" t="s">
        <v>465</v>
      </c>
      <c r="C892" s="19">
        <v>3</v>
      </c>
      <c r="D892" s="19">
        <v>10</v>
      </c>
      <c r="E892" s="19">
        <v>9</v>
      </c>
      <c r="F892" s="19">
        <v>4</v>
      </c>
      <c r="G892" s="19">
        <v>3</v>
      </c>
      <c r="H892" s="20">
        <v>144</v>
      </c>
      <c r="I892" s="20">
        <v>480</v>
      </c>
      <c r="J892" s="21">
        <v>432</v>
      </c>
      <c r="K892" s="21">
        <v>192</v>
      </c>
      <c r="L892" s="21">
        <v>144</v>
      </c>
      <c r="M892" s="22">
        <v>0</v>
      </c>
      <c r="N892" s="22">
        <v>0</v>
      </c>
      <c r="O892" s="22">
        <v>0</v>
      </c>
      <c r="P892" s="22">
        <v>3</v>
      </c>
      <c r="Q892" s="22">
        <v>2</v>
      </c>
      <c r="R892" s="17">
        <v>1</v>
      </c>
      <c r="S892" s="17">
        <v>1</v>
      </c>
      <c r="T892" s="17">
        <v>1</v>
      </c>
      <c r="U892" s="17">
        <v>0.571428571428571</v>
      </c>
      <c r="V892" s="23">
        <v>0.6</v>
      </c>
    </row>
    <row r="893" ht="33" spans="1:22">
      <c r="A893" s="26">
        <v>11758</v>
      </c>
      <c r="B893" s="16" t="s">
        <v>466</v>
      </c>
      <c r="C893" s="19">
        <v>2</v>
      </c>
      <c r="D893" s="19">
        <v>16</v>
      </c>
      <c r="E893" s="19">
        <v>11</v>
      </c>
      <c r="F893" s="19">
        <v>26</v>
      </c>
      <c r="G893" s="19">
        <v>22</v>
      </c>
      <c r="H893" s="20">
        <v>96</v>
      </c>
      <c r="I893" s="20">
        <v>768</v>
      </c>
      <c r="J893" s="21">
        <v>519</v>
      </c>
      <c r="K893" s="21">
        <v>1174.9</v>
      </c>
      <c r="L893" s="21">
        <v>991.57</v>
      </c>
      <c r="M893" s="22">
        <v>4</v>
      </c>
      <c r="N893" s="22">
        <v>11</v>
      </c>
      <c r="O893" s="22">
        <v>24</v>
      </c>
      <c r="P893" s="22">
        <v>20</v>
      </c>
      <c r="Q893" s="22">
        <v>20</v>
      </c>
      <c r="R893" s="17">
        <v>0.333333333333333</v>
      </c>
      <c r="S893" s="17">
        <v>0.592592592592593</v>
      </c>
      <c r="T893" s="17">
        <v>0.314285714285714</v>
      </c>
      <c r="U893" s="17">
        <v>0.565217391304348</v>
      </c>
      <c r="V893" s="23">
        <v>0.523809523809524</v>
      </c>
    </row>
    <row r="894" ht="16.5" spans="1:22">
      <c r="A894" s="26">
        <v>11764</v>
      </c>
      <c r="B894" s="16" t="e">
        <v>#N/A</v>
      </c>
      <c r="C894" s="19">
        <v>0</v>
      </c>
      <c r="D894" s="19">
        <v>0</v>
      </c>
      <c r="E894" s="19">
        <v>0</v>
      </c>
      <c r="F894" s="19">
        <v>0</v>
      </c>
      <c r="G894" s="19">
        <v>0</v>
      </c>
      <c r="H894" s="20">
        <v>0</v>
      </c>
      <c r="I894" s="20">
        <v>0</v>
      </c>
      <c r="J894" s="21">
        <v>0</v>
      </c>
      <c r="K894" s="21">
        <v>0</v>
      </c>
      <c r="L894" s="21">
        <v>0</v>
      </c>
      <c r="M894" s="22">
        <v>0</v>
      </c>
      <c r="N894" s="22">
        <v>0</v>
      </c>
      <c r="O894" s="22">
        <v>0</v>
      </c>
      <c r="P894" s="22">
        <v>0</v>
      </c>
      <c r="Q894" s="22" t="e">
        <v>#N/A</v>
      </c>
      <c r="R894" s="17">
        <v>0</v>
      </c>
      <c r="S894" s="17">
        <v>0</v>
      </c>
      <c r="T894" s="17">
        <v>0</v>
      </c>
      <c r="U894" s="17">
        <v>0</v>
      </c>
      <c r="V894" s="23" t="e">
        <v>#N/A</v>
      </c>
    </row>
    <row r="895" ht="16.5" spans="1:22">
      <c r="A895" s="26">
        <v>11765</v>
      </c>
      <c r="B895" s="16" t="e">
        <v>#N/A</v>
      </c>
      <c r="C895" s="19">
        <v>0</v>
      </c>
      <c r="D895" s="19">
        <v>0</v>
      </c>
      <c r="E895" s="19">
        <v>0</v>
      </c>
      <c r="F895" s="19">
        <v>0</v>
      </c>
      <c r="G895" s="19">
        <v>0</v>
      </c>
      <c r="H895" s="20">
        <v>0</v>
      </c>
      <c r="I895" s="20">
        <v>0</v>
      </c>
      <c r="J895" s="21">
        <v>0</v>
      </c>
      <c r="K895" s="21">
        <v>0</v>
      </c>
      <c r="L895" s="21">
        <v>0</v>
      </c>
      <c r="M895" s="22">
        <v>0</v>
      </c>
      <c r="N895" s="22">
        <v>0</v>
      </c>
      <c r="O895" s="22">
        <v>0</v>
      </c>
      <c r="P895" s="22">
        <v>0</v>
      </c>
      <c r="Q895" s="22" t="e">
        <v>#N/A</v>
      </c>
      <c r="R895" s="17">
        <v>0</v>
      </c>
      <c r="S895" s="17">
        <v>0</v>
      </c>
      <c r="T895" s="17">
        <v>0</v>
      </c>
      <c r="U895" s="17">
        <v>0</v>
      </c>
      <c r="V895" s="23" t="e">
        <v>#N/A</v>
      </c>
    </row>
    <row r="896" ht="33" spans="1:22">
      <c r="A896" s="26">
        <v>11777</v>
      </c>
      <c r="B896" s="16" t="s">
        <v>457</v>
      </c>
      <c r="C896" s="19">
        <v>0</v>
      </c>
      <c r="D896" s="19">
        <v>2</v>
      </c>
      <c r="E896" s="19">
        <v>7</v>
      </c>
      <c r="F896" s="19">
        <v>5</v>
      </c>
      <c r="G896" s="19">
        <v>5</v>
      </c>
      <c r="H896" s="20">
        <v>0</v>
      </c>
      <c r="I896" s="20">
        <v>430</v>
      </c>
      <c r="J896" s="21">
        <v>1485</v>
      </c>
      <c r="K896" s="21">
        <v>1075</v>
      </c>
      <c r="L896" s="21">
        <v>1022</v>
      </c>
      <c r="M896" s="22">
        <v>0</v>
      </c>
      <c r="N896" s="22">
        <v>0</v>
      </c>
      <c r="O896" s="22">
        <v>0</v>
      </c>
      <c r="P896" s="22">
        <v>1</v>
      </c>
      <c r="Q896" s="22">
        <v>0</v>
      </c>
      <c r="R896" s="17">
        <v>0</v>
      </c>
      <c r="S896" s="17">
        <v>1</v>
      </c>
      <c r="T896" s="17">
        <v>1</v>
      </c>
      <c r="U896" s="17">
        <v>0.833333333333333</v>
      </c>
      <c r="V896" s="23">
        <v>1</v>
      </c>
    </row>
    <row r="897" ht="33" spans="1:22">
      <c r="A897" s="26">
        <v>11778</v>
      </c>
      <c r="B897" s="16" t="s">
        <v>458</v>
      </c>
      <c r="C897" s="19">
        <v>0</v>
      </c>
      <c r="D897" s="19">
        <v>0</v>
      </c>
      <c r="E897" s="19">
        <v>1</v>
      </c>
      <c r="F897" s="19">
        <v>0</v>
      </c>
      <c r="G897" s="19">
        <v>0</v>
      </c>
      <c r="H897" s="20">
        <v>0</v>
      </c>
      <c r="I897" s="20">
        <v>0</v>
      </c>
      <c r="J897" s="21">
        <v>398</v>
      </c>
      <c r="K897" s="21">
        <v>0</v>
      </c>
      <c r="L897" s="21">
        <v>0</v>
      </c>
      <c r="M897" s="22">
        <v>0</v>
      </c>
      <c r="N897" s="22">
        <v>0</v>
      </c>
      <c r="O897" s="22">
        <v>0</v>
      </c>
      <c r="P897" s="22">
        <v>0</v>
      </c>
      <c r="Q897" s="22">
        <v>0</v>
      </c>
      <c r="R897" s="17">
        <v>0</v>
      </c>
      <c r="S897" s="17">
        <v>0</v>
      </c>
      <c r="T897" s="17">
        <v>1</v>
      </c>
      <c r="U897" s="17">
        <v>0</v>
      </c>
      <c r="V897" s="23" t="s">
        <v>106</v>
      </c>
    </row>
    <row r="898" ht="33" spans="1:22">
      <c r="A898" s="26">
        <v>11780</v>
      </c>
      <c r="B898" s="16" t="s">
        <v>459</v>
      </c>
      <c r="C898" s="19">
        <v>0</v>
      </c>
      <c r="D898" s="19">
        <v>1</v>
      </c>
      <c r="E898" s="19">
        <v>0</v>
      </c>
      <c r="F898" s="19">
        <v>1</v>
      </c>
      <c r="G898" s="19">
        <v>0</v>
      </c>
      <c r="H898" s="20">
        <v>0</v>
      </c>
      <c r="I898" s="20">
        <v>160</v>
      </c>
      <c r="J898" s="21">
        <v>0</v>
      </c>
      <c r="K898" s="21">
        <v>160</v>
      </c>
      <c r="L898" s="21">
        <v>0</v>
      </c>
      <c r="M898" s="22">
        <v>0</v>
      </c>
      <c r="N898" s="22">
        <v>0</v>
      </c>
      <c r="O898" s="22">
        <v>0</v>
      </c>
      <c r="P898" s="22">
        <v>0</v>
      </c>
      <c r="Q898" s="22">
        <v>0</v>
      </c>
      <c r="R898" s="17">
        <v>0</v>
      </c>
      <c r="S898" s="17">
        <v>1</v>
      </c>
      <c r="T898" s="17">
        <v>0</v>
      </c>
      <c r="U898" s="17">
        <v>1</v>
      </c>
      <c r="V898" s="23" t="s">
        <v>106</v>
      </c>
    </row>
    <row r="899" ht="33" spans="1:22">
      <c r="A899" s="26">
        <v>11781</v>
      </c>
      <c r="B899" s="16" t="s">
        <v>460</v>
      </c>
      <c r="C899" s="19">
        <v>0</v>
      </c>
      <c r="D899" s="19">
        <v>2</v>
      </c>
      <c r="E899" s="19">
        <v>17</v>
      </c>
      <c r="F899" s="19">
        <v>9</v>
      </c>
      <c r="G899" s="19">
        <v>6</v>
      </c>
      <c r="H899" s="20">
        <v>0</v>
      </c>
      <c r="I899" s="20">
        <v>60</v>
      </c>
      <c r="J899" s="21">
        <v>519</v>
      </c>
      <c r="K899" s="21">
        <v>252.9</v>
      </c>
      <c r="L899" s="21">
        <v>165.4</v>
      </c>
      <c r="M899" s="22">
        <v>3</v>
      </c>
      <c r="N899" s="22">
        <v>19</v>
      </c>
      <c r="O899" s="22">
        <v>21</v>
      </c>
      <c r="P899" s="22">
        <v>17</v>
      </c>
      <c r="Q899" s="22">
        <v>18</v>
      </c>
      <c r="R899" s="17">
        <v>0</v>
      </c>
      <c r="S899" s="17">
        <v>0.0952380952380952</v>
      </c>
      <c r="T899" s="17">
        <v>0.447368421052632</v>
      </c>
      <c r="U899" s="17">
        <v>0.346153846153846</v>
      </c>
      <c r="V899" s="23">
        <v>0.25</v>
      </c>
    </row>
    <row r="900" ht="33" spans="1:22">
      <c r="A900" s="26">
        <v>11792</v>
      </c>
      <c r="B900" s="16" t="s">
        <v>461</v>
      </c>
      <c r="C900" s="19">
        <v>1</v>
      </c>
      <c r="D900" s="19">
        <v>2</v>
      </c>
      <c r="E900" s="19">
        <v>3</v>
      </c>
      <c r="F900" s="19">
        <v>2</v>
      </c>
      <c r="G900" s="19">
        <v>1</v>
      </c>
      <c r="H900" s="20">
        <v>160</v>
      </c>
      <c r="I900" s="20">
        <v>292.8</v>
      </c>
      <c r="J900" s="21">
        <v>428.7</v>
      </c>
      <c r="K900" s="21">
        <v>292</v>
      </c>
      <c r="L900" s="21">
        <v>148.8</v>
      </c>
      <c r="M900" s="22">
        <v>0</v>
      </c>
      <c r="N900" s="22">
        <v>0</v>
      </c>
      <c r="O900" s="22">
        <v>0</v>
      </c>
      <c r="P900" s="22">
        <v>0</v>
      </c>
      <c r="Q900" s="22">
        <v>0</v>
      </c>
      <c r="R900" s="17">
        <v>1</v>
      </c>
      <c r="S900" s="17">
        <v>1</v>
      </c>
      <c r="T900" s="17">
        <v>1</v>
      </c>
      <c r="U900" s="17">
        <v>1</v>
      </c>
      <c r="V900" s="23">
        <v>1</v>
      </c>
    </row>
    <row r="901" ht="33" spans="1:22">
      <c r="A901" s="26">
        <v>11793</v>
      </c>
      <c r="B901" s="16" t="s">
        <v>462</v>
      </c>
      <c r="C901" s="19">
        <v>0</v>
      </c>
      <c r="D901" s="19">
        <v>2</v>
      </c>
      <c r="E901" s="19">
        <v>8</v>
      </c>
      <c r="F901" s="19">
        <v>3</v>
      </c>
      <c r="G901" s="19">
        <v>3</v>
      </c>
      <c r="H901" s="20">
        <v>0</v>
      </c>
      <c r="I901" s="20">
        <v>69</v>
      </c>
      <c r="J901" s="21">
        <v>249</v>
      </c>
      <c r="K901" s="21">
        <v>90</v>
      </c>
      <c r="L901" s="21">
        <v>90</v>
      </c>
      <c r="M901" s="22">
        <v>1</v>
      </c>
      <c r="N901" s="22">
        <v>2</v>
      </c>
      <c r="O901" s="22">
        <v>1</v>
      </c>
      <c r="P901" s="22">
        <v>2</v>
      </c>
      <c r="Q901" s="22">
        <v>0</v>
      </c>
      <c r="R901" s="17">
        <v>0</v>
      </c>
      <c r="S901" s="17">
        <v>0.5</v>
      </c>
      <c r="T901" s="17">
        <v>0.888888888888889</v>
      </c>
      <c r="U901" s="17">
        <v>0.6</v>
      </c>
      <c r="V901" s="23">
        <v>1</v>
      </c>
    </row>
    <row r="902" ht="33" spans="1:22">
      <c r="A902" s="26">
        <v>11794</v>
      </c>
      <c r="B902" s="16" t="s">
        <v>480</v>
      </c>
      <c r="C902" s="19">
        <v>1</v>
      </c>
      <c r="D902" s="19">
        <v>19</v>
      </c>
      <c r="E902" s="19">
        <v>30</v>
      </c>
      <c r="F902" s="19">
        <v>16</v>
      </c>
      <c r="G902" s="19">
        <v>12</v>
      </c>
      <c r="H902" s="20">
        <v>69</v>
      </c>
      <c r="I902" s="20">
        <v>1311</v>
      </c>
      <c r="J902" s="21">
        <v>2070</v>
      </c>
      <c r="K902" s="21">
        <v>1213.75</v>
      </c>
      <c r="L902" s="21">
        <v>925.75</v>
      </c>
      <c r="M902" s="22">
        <v>0</v>
      </c>
      <c r="N902" s="22">
        <v>0</v>
      </c>
      <c r="O902" s="22">
        <v>0</v>
      </c>
      <c r="P902" s="22">
        <v>0</v>
      </c>
      <c r="Q902" s="22">
        <v>4</v>
      </c>
      <c r="R902" s="17">
        <v>1</v>
      </c>
      <c r="S902" s="17">
        <v>1</v>
      </c>
      <c r="T902" s="17">
        <v>1</v>
      </c>
      <c r="U902" s="17">
        <v>1</v>
      </c>
      <c r="V902" s="23">
        <v>0.75</v>
      </c>
    </row>
    <row r="903" ht="33" spans="1:22">
      <c r="A903" s="26">
        <v>11808</v>
      </c>
      <c r="B903" s="16" t="s">
        <v>467</v>
      </c>
      <c r="C903" s="19">
        <v>0</v>
      </c>
      <c r="D903" s="19">
        <v>1</v>
      </c>
      <c r="E903" s="19">
        <v>7</v>
      </c>
      <c r="F903" s="19">
        <v>2</v>
      </c>
      <c r="G903" s="19">
        <v>1</v>
      </c>
      <c r="H903" s="20">
        <v>0</v>
      </c>
      <c r="I903" s="20">
        <v>48</v>
      </c>
      <c r="J903" s="21">
        <v>336</v>
      </c>
      <c r="K903" s="21">
        <v>96</v>
      </c>
      <c r="L903" s="21">
        <v>48</v>
      </c>
      <c r="M903" s="22">
        <v>1</v>
      </c>
      <c r="N903" s="22">
        <v>8</v>
      </c>
      <c r="O903" s="22">
        <v>11</v>
      </c>
      <c r="P903" s="22">
        <v>11</v>
      </c>
      <c r="Q903" s="22">
        <v>10</v>
      </c>
      <c r="R903" s="17">
        <v>0</v>
      </c>
      <c r="S903" s="17">
        <v>0.111111111111111</v>
      </c>
      <c r="T903" s="17">
        <v>0.388888888888889</v>
      </c>
      <c r="U903" s="17">
        <v>0.153846153846154</v>
      </c>
      <c r="V903" s="23">
        <v>0.0909090909090909</v>
      </c>
    </row>
    <row r="904" ht="33" spans="1:22">
      <c r="A904" s="26">
        <v>11809</v>
      </c>
      <c r="B904" s="16" t="s">
        <v>468</v>
      </c>
      <c r="C904" s="19">
        <v>2</v>
      </c>
      <c r="D904" s="19">
        <v>12</v>
      </c>
      <c r="E904" s="19">
        <v>16</v>
      </c>
      <c r="F904" s="19">
        <v>20</v>
      </c>
      <c r="G904" s="19">
        <v>16</v>
      </c>
      <c r="H904" s="20">
        <v>100</v>
      </c>
      <c r="I904" s="20">
        <v>596.34</v>
      </c>
      <c r="J904" s="21">
        <v>792.46</v>
      </c>
      <c r="K904" s="21">
        <v>987.8</v>
      </c>
      <c r="L904" s="21">
        <v>788.35</v>
      </c>
      <c r="M904" s="22">
        <v>6</v>
      </c>
      <c r="N904" s="22">
        <v>12</v>
      </c>
      <c r="O904" s="22">
        <v>9</v>
      </c>
      <c r="P904" s="22">
        <v>8</v>
      </c>
      <c r="Q904" s="22">
        <v>9</v>
      </c>
      <c r="R904" s="17">
        <v>0.25</v>
      </c>
      <c r="S904" s="17">
        <v>0.5</v>
      </c>
      <c r="T904" s="17">
        <v>0.64</v>
      </c>
      <c r="U904" s="17">
        <v>0.714285714285714</v>
      </c>
      <c r="V904" s="23">
        <v>0.64</v>
      </c>
    </row>
    <row r="905" ht="33" spans="1:22">
      <c r="A905" s="26">
        <v>11814</v>
      </c>
      <c r="B905" s="16" t="s">
        <v>470</v>
      </c>
      <c r="C905" s="19">
        <v>0</v>
      </c>
      <c r="D905" s="19">
        <v>3</v>
      </c>
      <c r="E905" s="19">
        <v>5</v>
      </c>
      <c r="F905" s="19">
        <v>6</v>
      </c>
      <c r="G905" s="19">
        <v>2</v>
      </c>
      <c r="H905" s="20">
        <v>0</v>
      </c>
      <c r="I905" s="20">
        <v>135</v>
      </c>
      <c r="J905" s="21">
        <v>225</v>
      </c>
      <c r="K905" s="21">
        <v>265.38</v>
      </c>
      <c r="L905" s="21">
        <v>79.23</v>
      </c>
      <c r="M905" s="22">
        <v>3</v>
      </c>
      <c r="N905" s="22">
        <v>14</v>
      </c>
      <c r="O905" s="22">
        <v>9</v>
      </c>
      <c r="P905" s="22">
        <v>10</v>
      </c>
      <c r="Q905" s="22">
        <v>4</v>
      </c>
      <c r="R905" s="17">
        <v>0</v>
      </c>
      <c r="S905" s="17">
        <v>0.176470588235294</v>
      </c>
      <c r="T905" s="17">
        <v>0.357142857142857</v>
      </c>
      <c r="U905" s="17">
        <v>0.375</v>
      </c>
      <c r="V905" s="23">
        <v>0.333333333333333</v>
      </c>
    </row>
    <row r="906" ht="33" spans="1:22">
      <c r="A906" s="26">
        <v>11815</v>
      </c>
      <c r="B906" s="16" t="s">
        <v>471</v>
      </c>
      <c r="C906" s="19">
        <v>0</v>
      </c>
      <c r="D906" s="19">
        <v>0</v>
      </c>
      <c r="E906" s="19">
        <v>2</v>
      </c>
      <c r="F906" s="19">
        <v>1</v>
      </c>
      <c r="G906" s="19">
        <v>1</v>
      </c>
      <c r="H906" s="20">
        <v>0</v>
      </c>
      <c r="I906" s="20">
        <v>0</v>
      </c>
      <c r="J906" s="21">
        <v>86</v>
      </c>
      <c r="K906" s="21">
        <v>34.62</v>
      </c>
      <c r="L906" s="21">
        <v>34.62</v>
      </c>
      <c r="M906" s="22">
        <v>2</v>
      </c>
      <c r="N906" s="22">
        <v>5</v>
      </c>
      <c r="O906" s="22">
        <v>10</v>
      </c>
      <c r="P906" s="22">
        <v>14</v>
      </c>
      <c r="Q906" s="22">
        <v>9</v>
      </c>
      <c r="R906" s="17">
        <v>0</v>
      </c>
      <c r="S906" s="17">
        <v>0</v>
      </c>
      <c r="T906" s="17">
        <v>0.166666666666667</v>
      </c>
      <c r="U906" s="17">
        <v>0.0666666666666667</v>
      </c>
      <c r="V906" s="23">
        <v>0.1</v>
      </c>
    </row>
    <row r="907" ht="33" spans="1:22">
      <c r="A907" s="26">
        <v>11823</v>
      </c>
      <c r="B907" s="16" t="s">
        <v>469</v>
      </c>
      <c r="C907" s="19">
        <v>5</v>
      </c>
      <c r="D907" s="19">
        <v>9</v>
      </c>
      <c r="E907" s="19">
        <v>5</v>
      </c>
      <c r="F907" s="19">
        <v>0</v>
      </c>
      <c r="G907" s="19">
        <v>4</v>
      </c>
      <c r="H907" s="20">
        <v>225</v>
      </c>
      <c r="I907" s="20">
        <v>412.5</v>
      </c>
      <c r="J907" s="21">
        <v>231</v>
      </c>
      <c r="K907" s="21">
        <v>0</v>
      </c>
      <c r="L907" s="21">
        <v>148</v>
      </c>
      <c r="M907" s="22">
        <v>0</v>
      </c>
      <c r="N907" s="22">
        <v>0</v>
      </c>
      <c r="O907" s="22">
        <v>2</v>
      </c>
      <c r="P907" s="22">
        <v>10</v>
      </c>
      <c r="Q907" s="22">
        <v>5</v>
      </c>
      <c r="R907" s="17">
        <v>1</v>
      </c>
      <c r="S907" s="17">
        <v>1</v>
      </c>
      <c r="T907" s="17">
        <v>0.714285714285714</v>
      </c>
      <c r="U907" s="17">
        <v>0</v>
      </c>
      <c r="V907" s="23">
        <v>0.444444444444444</v>
      </c>
    </row>
    <row r="908" ht="33" spans="1:22">
      <c r="A908" s="26">
        <v>11824</v>
      </c>
      <c r="B908" s="16" t="s">
        <v>472</v>
      </c>
      <c r="C908" s="19">
        <v>5</v>
      </c>
      <c r="D908" s="19">
        <v>4</v>
      </c>
      <c r="E908" s="19">
        <v>4</v>
      </c>
      <c r="F908" s="19">
        <v>7</v>
      </c>
      <c r="G908" s="19">
        <v>9</v>
      </c>
      <c r="H908" s="20">
        <v>675</v>
      </c>
      <c r="I908" s="20">
        <v>540</v>
      </c>
      <c r="J908" s="21">
        <v>547</v>
      </c>
      <c r="K908" s="21">
        <v>952</v>
      </c>
      <c r="L908" s="21">
        <v>1222</v>
      </c>
      <c r="M908" s="22">
        <v>0</v>
      </c>
      <c r="N908" s="22">
        <v>0</v>
      </c>
      <c r="O908" s="22">
        <v>0</v>
      </c>
      <c r="P908" s="22">
        <v>0</v>
      </c>
      <c r="Q908" s="22">
        <v>0</v>
      </c>
      <c r="R908" s="17">
        <v>1</v>
      </c>
      <c r="S908" s="17">
        <v>1</v>
      </c>
      <c r="T908" s="17">
        <v>1</v>
      </c>
      <c r="U908" s="17">
        <v>1</v>
      </c>
      <c r="V908" s="23">
        <v>1</v>
      </c>
    </row>
    <row r="909" ht="33" spans="1:22">
      <c r="A909" s="26">
        <v>11826</v>
      </c>
      <c r="B909" s="16" t="s">
        <v>483</v>
      </c>
      <c r="C909" s="19">
        <v>0</v>
      </c>
      <c r="D909" s="19">
        <v>11</v>
      </c>
      <c r="E909" s="19">
        <v>11</v>
      </c>
      <c r="F909" s="19">
        <v>20</v>
      </c>
      <c r="G909" s="19">
        <v>13</v>
      </c>
      <c r="H909" s="20">
        <v>0</v>
      </c>
      <c r="I909" s="20">
        <v>495</v>
      </c>
      <c r="J909" s="21">
        <v>490.5</v>
      </c>
      <c r="K909" s="21">
        <v>918.75</v>
      </c>
      <c r="L909" s="21">
        <v>585</v>
      </c>
      <c r="M909" s="22">
        <v>0</v>
      </c>
      <c r="N909" s="22">
        <v>0</v>
      </c>
      <c r="O909" s="22">
        <v>0</v>
      </c>
      <c r="P909" s="22">
        <v>0</v>
      </c>
      <c r="Q909" s="22">
        <v>0</v>
      </c>
      <c r="R909" s="17">
        <v>0</v>
      </c>
      <c r="S909" s="17">
        <v>1</v>
      </c>
      <c r="T909" s="17">
        <v>1</v>
      </c>
      <c r="U909" s="17">
        <v>1</v>
      </c>
      <c r="V909" s="23">
        <v>1</v>
      </c>
    </row>
    <row r="910" ht="33" spans="1:22">
      <c r="A910" s="26">
        <v>11830</v>
      </c>
      <c r="B910" s="16" t="s">
        <v>454</v>
      </c>
      <c r="C910" s="19">
        <v>0</v>
      </c>
      <c r="D910" s="19">
        <v>21</v>
      </c>
      <c r="E910" s="19">
        <v>22</v>
      </c>
      <c r="F910" s="19">
        <v>13</v>
      </c>
      <c r="G910" s="19">
        <v>7</v>
      </c>
      <c r="H910" s="20">
        <v>0</v>
      </c>
      <c r="I910" s="20">
        <v>1239</v>
      </c>
      <c r="J910" s="21">
        <v>1298</v>
      </c>
      <c r="K910" s="21">
        <v>767</v>
      </c>
      <c r="L910" s="21">
        <v>399.5</v>
      </c>
      <c r="M910" s="22">
        <v>0</v>
      </c>
      <c r="N910" s="22">
        <v>1</v>
      </c>
      <c r="O910" s="22">
        <v>0</v>
      </c>
      <c r="P910" s="22">
        <v>3</v>
      </c>
      <c r="Q910" s="22">
        <v>3</v>
      </c>
      <c r="R910" s="17">
        <v>0</v>
      </c>
      <c r="S910" s="17">
        <v>0.954545454545455</v>
      </c>
      <c r="T910" s="17">
        <v>1</v>
      </c>
      <c r="U910" s="17">
        <v>0.8125</v>
      </c>
      <c r="V910" s="23">
        <v>0.7</v>
      </c>
    </row>
    <row r="911" ht="33" spans="1:22">
      <c r="A911" s="26">
        <v>11833</v>
      </c>
      <c r="B911" s="16" t="s">
        <v>450</v>
      </c>
      <c r="C911" s="19">
        <v>1</v>
      </c>
      <c r="D911" s="19">
        <v>8</v>
      </c>
      <c r="E911" s="19">
        <v>11</v>
      </c>
      <c r="F911" s="19">
        <v>5</v>
      </c>
      <c r="G911" s="19">
        <v>9</v>
      </c>
      <c r="H911" s="20">
        <v>158</v>
      </c>
      <c r="I911" s="20">
        <v>360</v>
      </c>
      <c r="J911" s="21">
        <v>490.5</v>
      </c>
      <c r="K911" s="21">
        <v>222.75</v>
      </c>
      <c r="L911" s="21">
        <v>405</v>
      </c>
      <c r="M911" s="22">
        <v>1</v>
      </c>
      <c r="N911" s="22">
        <v>1</v>
      </c>
      <c r="O911" s="22">
        <v>0</v>
      </c>
      <c r="P911" s="22">
        <v>0</v>
      </c>
      <c r="Q911" s="22">
        <v>1</v>
      </c>
      <c r="R911" s="17">
        <v>0.5</v>
      </c>
      <c r="S911" s="17">
        <v>0.888888888888889</v>
      </c>
      <c r="T911" s="17">
        <v>1</v>
      </c>
      <c r="U911" s="17">
        <v>1</v>
      </c>
      <c r="V911" s="23">
        <v>0.9</v>
      </c>
    </row>
    <row r="912" ht="33" spans="1:22">
      <c r="A912" s="26">
        <v>11839</v>
      </c>
      <c r="B912" s="16" t="s">
        <v>478</v>
      </c>
      <c r="C912" s="19">
        <v>0</v>
      </c>
      <c r="D912" s="19">
        <v>40</v>
      </c>
      <c r="E912" s="19">
        <v>51</v>
      </c>
      <c r="F912" s="19">
        <v>30</v>
      </c>
      <c r="G912" s="19">
        <v>10</v>
      </c>
      <c r="H912" s="20">
        <v>0</v>
      </c>
      <c r="I912" s="20">
        <v>1680</v>
      </c>
      <c r="J912" s="21">
        <v>2186</v>
      </c>
      <c r="K912" s="21">
        <v>1496.53</v>
      </c>
      <c r="L912" s="21">
        <v>529.41</v>
      </c>
      <c r="M912" s="22">
        <v>2</v>
      </c>
      <c r="N912" s="22">
        <v>11</v>
      </c>
      <c r="O912" s="22">
        <v>14</v>
      </c>
      <c r="P912" s="22">
        <v>13</v>
      </c>
      <c r="Q912" s="22">
        <v>16</v>
      </c>
      <c r="R912" s="17">
        <v>0</v>
      </c>
      <c r="S912" s="17">
        <v>0.784313725490196</v>
      </c>
      <c r="T912" s="17">
        <v>0.784615384615385</v>
      </c>
      <c r="U912" s="17">
        <v>0.697674418604651</v>
      </c>
      <c r="V912" s="23">
        <v>0.384615384615385</v>
      </c>
    </row>
    <row r="913" ht="33" spans="1:22">
      <c r="A913" s="26">
        <v>11840</v>
      </c>
      <c r="B913" s="16" t="s">
        <v>479</v>
      </c>
      <c r="C913" s="19">
        <v>0</v>
      </c>
      <c r="D913" s="19">
        <v>55</v>
      </c>
      <c r="E913" s="19">
        <v>71</v>
      </c>
      <c r="F913" s="19">
        <v>4</v>
      </c>
      <c r="G913" s="19">
        <v>18</v>
      </c>
      <c r="H913" s="20">
        <v>0</v>
      </c>
      <c r="I913" s="20">
        <v>2310</v>
      </c>
      <c r="J913" s="21">
        <v>3223.9</v>
      </c>
      <c r="K913" s="21">
        <v>207.23</v>
      </c>
      <c r="L913" s="21">
        <v>948.15</v>
      </c>
      <c r="M913" s="22">
        <v>4</v>
      </c>
      <c r="N913" s="22">
        <v>14</v>
      </c>
      <c r="O913" s="22">
        <v>36</v>
      </c>
      <c r="P913" s="22">
        <v>58</v>
      </c>
      <c r="Q913" s="22">
        <v>23</v>
      </c>
      <c r="R913" s="17">
        <v>0</v>
      </c>
      <c r="S913" s="17">
        <v>0.797101449275362</v>
      </c>
      <c r="T913" s="17">
        <v>0.663551401869159</v>
      </c>
      <c r="U913" s="17">
        <v>0.0645161290322581</v>
      </c>
      <c r="V913" s="23">
        <v>0.439024390243902</v>
      </c>
    </row>
    <row r="914" ht="33" spans="1:22">
      <c r="A914" s="26">
        <v>11848</v>
      </c>
      <c r="B914" s="16" t="s">
        <v>448</v>
      </c>
      <c r="C914" s="19">
        <v>0</v>
      </c>
      <c r="D914" s="19">
        <v>3</v>
      </c>
      <c r="E914" s="19">
        <v>7</v>
      </c>
      <c r="F914" s="19">
        <v>6</v>
      </c>
      <c r="G914" s="19">
        <v>8</v>
      </c>
      <c r="H914" s="20">
        <v>0</v>
      </c>
      <c r="I914" s="20">
        <v>165</v>
      </c>
      <c r="J914" s="21">
        <v>385</v>
      </c>
      <c r="K914" s="21">
        <v>305.8</v>
      </c>
      <c r="L914" s="21">
        <v>396</v>
      </c>
      <c r="M914" s="22">
        <v>0</v>
      </c>
      <c r="N914" s="22">
        <v>0</v>
      </c>
      <c r="O914" s="22">
        <v>2</v>
      </c>
      <c r="P914" s="22">
        <v>3</v>
      </c>
      <c r="Q914" s="22">
        <v>4</v>
      </c>
      <c r="R914" s="17">
        <v>0</v>
      </c>
      <c r="S914" s="17">
        <v>1</v>
      </c>
      <c r="T914" s="17">
        <v>0.777777777777778</v>
      </c>
      <c r="U914" s="17">
        <v>0.666666666666667</v>
      </c>
      <c r="V914" s="23">
        <v>0.666666666666667</v>
      </c>
    </row>
    <row r="915" ht="33" spans="1:22">
      <c r="A915" s="26">
        <v>11852</v>
      </c>
      <c r="B915" s="16" t="s">
        <v>489</v>
      </c>
      <c r="C915" s="19">
        <v>0</v>
      </c>
      <c r="D915" s="19">
        <v>4</v>
      </c>
      <c r="E915" s="19">
        <v>7</v>
      </c>
      <c r="F915" s="19">
        <v>3</v>
      </c>
      <c r="G915" s="19">
        <v>9</v>
      </c>
      <c r="H915" s="20">
        <v>0</v>
      </c>
      <c r="I915" s="20">
        <v>1680</v>
      </c>
      <c r="J915" s="21">
        <v>2940</v>
      </c>
      <c r="K915" s="21">
        <v>1260</v>
      </c>
      <c r="L915" s="21">
        <v>3746.08</v>
      </c>
      <c r="M915" s="22">
        <v>0</v>
      </c>
      <c r="N915" s="22">
        <v>0</v>
      </c>
      <c r="O915" s="22">
        <v>0</v>
      </c>
      <c r="P915" s="22">
        <v>0</v>
      </c>
      <c r="Q915" s="22">
        <v>0</v>
      </c>
      <c r="R915" s="17">
        <v>0</v>
      </c>
      <c r="S915" s="17">
        <v>1</v>
      </c>
      <c r="T915" s="17">
        <v>1</v>
      </c>
      <c r="U915" s="17">
        <v>1</v>
      </c>
      <c r="V915" s="23">
        <v>1</v>
      </c>
    </row>
    <row r="916" ht="33" spans="1:22">
      <c r="A916" s="26">
        <v>11855</v>
      </c>
      <c r="B916" s="16" t="s">
        <v>473</v>
      </c>
      <c r="C916" s="19">
        <v>0</v>
      </c>
      <c r="D916" s="19">
        <v>3</v>
      </c>
      <c r="E916" s="19">
        <v>2</v>
      </c>
      <c r="F916" s="19">
        <v>8</v>
      </c>
      <c r="G916" s="19">
        <v>4</v>
      </c>
      <c r="H916" s="20">
        <v>0</v>
      </c>
      <c r="I916" s="20">
        <v>237</v>
      </c>
      <c r="J916" s="21">
        <v>158</v>
      </c>
      <c r="K916" s="21">
        <v>635</v>
      </c>
      <c r="L916" s="21">
        <v>316</v>
      </c>
      <c r="M916" s="22">
        <v>0</v>
      </c>
      <c r="N916" s="22">
        <v>5</v>
      </c>
      <c r="O916" s="22">
        <v>3</v>
      </c>
      <c r="P916" s="22">
        <v>1</v>
      </c>
      <c r="Q916" s="22">
        <v>0</v>
      </c>
      <c r="R916" s="17">
        <v>0</v>
      </c>
      <c r="S916" s="17">
        <v>0.375</v>
      </c>
      <c r="T916" s="17">
        <v>0.4</v>
      </c>
      <c r="U916" s="17">
        <v>0.888888888888889</v>
      </c>
      <c r="V916" s="23">
        <v>1</v>
      </c>
    </row>
    <row r="917" ht="33" spans="1:22">
      <c r="A917" s="26">
        <v>11856</v>
      </c>
      <c r="B917" s="16" t="s">
        <v>474</v>
      </c>
      <c r="C917" s="19">
        <v>0</v>
      </c>
      <c r="D917" s="19">
        <v>1</v>
      </c>
      <c r="E917" s="19">
        <v>2</v>
      </c>
      <c r="F917" s="19">
        <v>4</v>
      </c>
      <c r="G917" s="19">
        <v>2</v>
      </c>
      <c r="H917" s="20">
        <v>0</v>
      </c>
      <c r="I917" s="20">
        <v>39.09</v>
      </c>
      <c r="J917" s="21">
        <v>81.09</v>
      </c>
      <c r="K917" s="21">
        <v>161.18</v>
      </c>
      <c r="L917" s="21">
        <v>82</v>
      </c>
      <c r="M917" s="22">
        <v>4</v>
      </c>
      <c r="N917" s="22">
        <v>10</v>
      </c>
      <c r="O917" s="22">
        <v>12</v>
      </c>
      <c r="P917" s="22">
        <v>10</v>
      </c>
      <c r="Q917" s="22">
        <v>4</v>
      </c>
      <c r="R917" s="17">
        <v>0</v>
      </c>
      <c r="S917" s="17">
        <v>0.0909090909090909</v>
      </c>
      <c r="T917" s="17">
        <v>0.142857142857143</v>
      </c>
      <c r="U917" s="17">
        <v>0.285714285714286</v>
      </c>
      <c r="V917" s="23">
        <v>0.333333333333333</v>
      </c>
    </row>
    <row r="918" ht="33" spans="1:22">
      <c r="A918" s="26">
        <v>11857</v>
      </c>
      <c r="B918" s="16" t="s">
        <v>475</v>
      </c>
      <c r="C918" s="19">
        <v>0</v>
      </c>
      <c r="D918" s="19">
        <v>0</v>
      </c>
      <c r="E918" s="19">
        <v>5</v>
      </c>
      <c r="F918" s="19">
        <v>1</v>
      </c>
      <c r="G918" s="19">
        <v>2</v>
      </c>
      <c r="H918" s="20">
        <v>0</v>
      </c>
      <c r="I918" s="20">
        <v>0</v>
      </c>
      <c r="J918" s="21">
        <v>184.95</v>
      </c>
      <c r="K918" s="21">
        <v>38.99</v>
      </c>
      <c r="L918" s="21">
        <v>77.98</v>
      </c>
      <c r="M918" s="22">
        <v>0</v>
      </c>
      <c r="N918" s="22">
        <v>3</v>
      </c>
      <c r="O918" s="22">
        <v>12</v>
      </c>
      <c r="P918" s="22">
        <v>15</v>
      </c>
      <c r="Q918" s="22">
        <v>8</v>
      </c>
      <c r="R918" s="17">
        <v>0</v>
      </c>
      <c r="S918" s="17">
        <v>0</v>
      </c>
      <c r="T918" s="17">
        <v>0.294117647058824</v>
      </c>
      <c r="U918" s="17">
        <v>0.0625</v>
      </c>
      <c r="V918" s="23">
        <v>0.2</v>
      </c>
    </row>
    <row r="919" ht="33" spans="1:22">
      <c r="A919" s="26">
        <v>11866</v>
      </c>
      <c r="B919" s="16" t="s">
        <v>481</v>
      </c>
      <c r="C919" s="19">
        <v>0</v>
      </c>
      <c r="D919" s="19">
        <v>4</v>
      </c>
      <c r="E919" s="19">
        <v>6</v>
      </c>
      <c r="F919" s="19">
        <v>7</v>
      </c>
      <c r="G919" s="19">
        <v>14</v>
      </c>
      <c r="H919" s="20">
        <v>0</v>
      </c>
      <c r="I919" s="20">
        <v>104</v>
      </c>
      <c r="J919" s="21">
        <v>156</v>
      </c>
      <c r="K919" s="21">
        <v>179.99</v>
      </c>
      <c r="L919" s="21">
        <v>356.49</v>
      </c>
      <c r="M919" s="22">
        <v>7</v>
      </c>
      <c r="N919" s="22">
        <v>15</v>
      </c>
      <c r="O919" s="22">
        <v>28</v>
      </c>
      <c r="P919" s="22">
        <v>36</v>
      </c>
      <c r="Q919" s="22">
        <v>31</v>
      </c>
      <c r="R919" s="17">
        <v>0</v>
      </c>
      <c r="S919" s="17">
        <v>0.210526315789474</v>
      </c>
      <c r="T919" s="17">
        <v>0.176470588235294</v>
      </c>
      <c r="U919" s="17">
        <v>0.162790697674419</v>
      </c>
      <c r="V919" s="23">
        <v>0.311111111111111</v>
      </c>
    </row>
    <row r="920" ht="33" spans="1:22">
      <c r="A920" s="26">
        <v>11867</v>
      </c>
      <c r="B920" s="16" t="s">
        <v>482</v>
      </c>
      <c r="C920" s="19">
        <v>0</v>
      </c>
      <c r="D920" s="19">
        <v>9</v>
      </c>
      <c r="E920" s="19">
        <v>12</v>
      </c>
      <c r="F920" s="19">
        <v>26</v>
      </c>
      <c r="G920" s="19">
        <v>10</v>
      </c>
      <c r="H920" s="20">
        <v>0</v>
      </c>
      <c r="I920" s="20">
        <v>234</v>
      </c>
      <c r="J920" s="21">
        <v>312</v>
      </c>
      <c r="K920" s="21">
        <v>676</v>
      </c>
      <c r="L920" s="21">
        <v>260</v>
      </c>
      <c r="M920" s="22">
        <v>4</v>
      </c>
      <c r="N920" s="22">
        <v>23</v>
      </c>
      <c r="O920" s="22">
        <v>18</v>
      </c>
      <c r="P920" s="22">
        <v>17</v>
      </c>
      <c r="Q920" s="22">
        <v>37</v>
      </c>
      <c r="R920" s="17">
        <v>0</v>
      </c>
      <c r="S920" s="17">
        <v>0.28125</v>
      </c>
      <c r="T920" s="17">
        <v>0.4</v>
      </c>
      <c r="U920" s="17">
        <v>0.604651162790698</v>
      </c>
      <c r="V920" s="23">
        <v>0.212765957446809</v>
      </c>
    </row>
    <row r="921" ht="33" spans="1:22">
      <c r="A921" s="26">
        <v>11874</v>
      </c>
      <c r="B921" s="16" t="s">
        <v>487</v>
      </c>
      <c r="C921" s="19">
        <v>0</v>
      </c>
      <c r="D921" s="19">
        <v>11</v>
      </c>
      <c r="E921" s="19">
        <v>5</v>
      </c>
      <c r="F921" s="19">
        <v>8</v>
      </c>
      <c r="G921" s="19">
        <v>4</v>
      </c>
      <c r="H921" s="20">
        <v>0</v>
      </c>
      <c r="I921" s="20">
        <v>1485</v>
      </c>
      <c r="J921" s="21">
        <v>675</v>
      </c>
      <c r="K921" s="21">
        <v>1127.95</v>
      </c>
      <c r="L921" s="21">
        <v>565</v>
      </c>
      <c r="M921" s="22">
        <v>0</v>
      </c>
      <c r="N921" s="22">
        <v>0</v>
      </c>
      <c r="O921" s="22">
        <v>1</v>
      </c>
      <c r="P921" s="22">
        <v>2</v>
      </c>
      <c r="Q921" s="22">
        <v>1</v>
      </c>
      <c r="R921" s="17">
        <v>0</v>
      </c>
      <c r="S921" s="17">
        <v>1</v>
      </c>
      <c r="T921" s="17">
        <v>0.833333333333333</v>
      </c>
      <c r="U921" s="17">
        <v>0.8</v>
      </c>
      <c r="V921" s="23">
        <v>0.8</v>
      </c>
    </row>
    <row r="922" ht="33" spans="1:22">
      <c r="A922" s="26">
        <v>11875</v>
      </c>
      <c r="B922" s="16" t="s">
        <v>449</v>
      </c>
      <c r="C922" s="19">
        <v>10</v>
      </c>
      <c r="D922" s="19">
        <v>10</v>
      </c>
      <c r="E922" s="19">
        <v>20</v>
      </c>
      <c r="F922" s="19">
        <v>6</v>
      </c>
      <c r="G922" s="19">
        <v>0</v>
      </c>
      <c r="H922" s="20">
        <v>2300</v>
      </c>
      <c r="I922" s="20">
        <v>2320.34</v>
      </c>
      <c r="J922" s="21">
        <v>4838.64</v>
      </c>
      <c r="K922" s="21">
        <v>1437.44</v>
      </c>
      <c r="L922" s="21">
        <v>0</v>
      </c>
      <c r="M922" s="22">
        <v>0</v>
      </c>
      <c r="N922" s="22">
        <v>0</v>
      </c>
      <c r="O922" s="22">
        <v>0</v>
      </c>
      <c r="P922" s="22">
        <v>0</v>
      </c>
      <c r="Q922" s="22">
        <v>0</v>
      </c>
      <c r="R922" s="17">
        <v>1</v>
      </c>
      <c r="S922" s="17">
        <v>1</v>
      </c>
      <c r="T922" s="17">
        <v>1</v>
      </c>
      <c r="U922" s="17">
        <v>1</v>
      </c>
      <c r="V922" s="23" t="s">
        <v>106</v>
      </c>
    </row>
    <row r="923" ht="33" spans="1:22">
      <c r="A923" s="26">
        <v>11876</v>
      </c>
      <c r="B923" s="16" t="s">
        <v>484</v>
      </c>
      <c r="C923" s="19">
        <v>0</v>
      </c>
      <c r="D923" s="19">
        <v>0</v>
      </c>
      <c r="E923" s="19">
        <v>6</v>
      </c>
      <c r="F923" s="19">
        <v>6</v>
      </c>
      <c r="G923" s="19">
        <v>2</v>
      </c>
      <c r="H923" s="20">
        <v>0</v>
      </c>
      <c r="I923" s="20">
        <v>0</v>
      </c>
      <c r="J923" s="21">
        <v>1242.5</v>
      </c>
      <c r="K923" s="21">
        <v>1243.1</v>
      </c>
      <c r="L923" s="21">
        <v>415.2</v>
      </c>
      <c r="M923" s="22">
        <v>0</v>
      </c>
      <c r="N923" s="22">
        <v>0</v>
      </c>
      <c r="O923" s="22">
        <v>0</v>
      </c>
      <c r="P923" s="22">
        <v>0</v>
      </c>
      <c r="Q923" s="22">
        <v>0</v>
      </c>
      <c r="R923" s="17">
        <v>0</v>
      </c>
      <c r="S923" s="17">
        <v>0</v>
      </c>
      <c r="T923" s="17">
        <v>1</v>
      </c>
      <c r="U923" s="17">
        <v>1</v>
      </c>
      <c r="V923" s="23">
        <v>1</v>
      </c>
    </row>
    <row r="924" ht="16.5" spans="1:22">
      <c r="A924" s="26">
        <v>11884</v>
      </c>
      <c r="B924" s="16" t="e">
        <v>#N/A</v>
      </c>
      <c r="C924" s="19">
        <v>0</v>
      </c>
      <c r="D924" s="19">
        <v>0</v>
      </c>
      <c r="E924" s="19">
        <v>0</v>
      </c>
      <c r="F924" s="19">
        <v>0</v>
      </c>
      <c r="G924" s="19">
        <v>0</v>
      </c>
      <c r="H924" s="20">
        <v>0</v>
      </c>
      <c r="I924" s="20">
        <v>0</v>
      </c>
      <c r="J924" s="21">
        <v>0</v>
      </c>
      <c r="K924" s="21">
        <v>0</v>
      </c>
      <c r="L924" s="21">
        <v>0</v>
      </c>
      <c r="M924" s="22">
        <v>0</v>
      </c>
      <c r="N924" s="22">
        <v>0</v>
      </c>
      <c r="O924" s="22">
        <v>0</v>
      </c>
      <c r="P924" s="22">
        <v>0</v>
      </c>
      <c r="Q924" s="22" t="e">
        <v>#N/A</v>
      </c>
      <c r="R924" s="17">
        <v>0</v>
      </c>
      <c r="S924" s="17">
        <v>0</v>
      </c>
      <c r="T924" s="17">
        <v>0</v>
      </c>
      <c r="U924" s="17">
        <v>0</v>
      </c>
      <c r="V924" s="23" t="e">
        <v>#N/A</v>
      </c>
    </row>
    <row r="925" ht="16.5" spans="1:22">
      <c r="A925" s="26">
        <v>11885</v>
      </c>
      <c r="B925" s="16" t="e">
        <v>#N/A</v>
      </c>
      <c r="C925" s="19">
        <v>0</v>
      </c>
      <c r="D925" s="19">
        <v>0</v>
      </c>
      <c r="E925" s="19">
        <v>0</v>
      </c>
      <c r="F925" s="19">
        <v>0</v>
      </c>
      <c r="G925" s="19">
        <v>0</v>
      </c>
      <c r="H925" s="20">
        <v>0</v>
      </c>
      <c r="I925" s="20">
        <v>0</v>
      </c>
      <c r="J925" s="21">
        <v>0</v>
      </c>
      <c r="K925" s="21">
        <v>0</v>
      </c>
      <c r="L925" s="21">
        <v>0</v>
      </c>
      <c r="M925" s="22">
        <v>0</v>
      </c>
      <c r="N925" s="22">
        <v>0</v>
      </c>
      <c r="O925" s="22">
        <v>0</v>
      </c>
      <c r="P925" s="22">
        <v>0</v>
      </c>
      <c r="Q925" s="22" t="e">
        <v>#N/A</v>
      </c>
      <c r="R925" s="17">
        <v>0</v>
      </c>
      <c r="S925" s="17">
        <v>0</v>
      </c>
      <c r="T925" s="17">
        <v>0</v>
      </c>
      <c r="U925" s="17">
        <v>0</v>
      </c>
      <c r="V925" s="23" t="e">
        <v>#N/A</v>
      </c>
    </row>
    <row r="926" ht="33" spans="1:22">
      <c r="A926" s="26">
        <v>11890</v>
      </c>
      <c r="B926" s="16" t="s">
        <v>504</v>
      </c>
      <c r="C926" s="19">
        <v>0</v>
      </c>
      <c r="D926" s="19">
        <v>1</v>
      </c>
      <c r="E926" s="19">
        <v>5</v>
      </c>
      <c r="F926" s="19">
        <v>2</v>
      </c>
      <c r="G926" s="19">
        <v>2</v>
      </c>
      <c r="H926" s="20">
        <v>0</v>
      </c>
      <c r="I926" s="20">
        <v>46</v>
      </c>
      <c r="J926" s="21">
        <v>220</v>
      </c>
      <c r="K926" s="21">
        <v>91</v>
      </c>
      <c r="L926" s="21">
        <v>86.3</v>
      </c>
      <c r="M926" s="22">
        <v>0</v>
      </c>
      <c r="N926" s="22">
        <v>2</v>
      </c>
      <c r="O926" s="22">
        <v>5</v>
      </c>
      <c r="P926" s="22">
        <v>5</v>
      </c>
      <c r="Q926" s="22">
        <v>8</v>
      </c>
      <c r="R926" s="17">
        <v>0</v>
      </c>
      <c r="S926" s="17">
        <v>0.333333333333333</v>
      </c>
      <c r="T926" s="17">
        <v>0.5</v>
      </c>
      <c r="U926" s="17">
        <v>0.285714285714286</v>
      </c>
      <c r="V926" s="23">
        <v>0.2</v>
      </c>
    </row>
    <row r="927" ht="33" spans="1:22">
      <c r="A927" s="26">
        <v>11904</v>
      </c>
      <c r="B927" s="16" t="s">
        <v>463</v>
      </c>
      <c r="C927" s="19">
        <v>1</v>
      </c>
      <c r="D927" s="19">
        <v>3</v>
      </c>
      <c r="E927" s="19">
        <v>12</v>
      </c>
      <c r="F927" s="19">
        <v>4</v>
      </c>
      <c r="G927" s="19">
        <v>5</v>
      </c>
      <c r="H927" s="20">
        <v>94.5</v>
      </c>
      <c r="I927" s="20">
        <v>249.75</v>
      </c>
      <c r="J927" s="21">
        <v>927.68</v>
      </c>
      <c r="K927" s="21">
        <v>322.28</v>
      </c>
      <c r="L927" s="21">
        <v>403.85</v>
      </c>
      <c r="M927" s="22">
        <v>0</v>
      </c>
      <c r="N927" s="22">
        <v>6</v>
      </c>
      <c r="O927" s="22">
        <v>9</v>
      </c>
      <c r="P927" s="22">
        <v>4</v>
      </c>
      <c r="Q927" s="22">
        <v>25</v>
      </c>
      <c r="R927" s="17">
        <v>1</v>
      </c>
      <c r="S927" s="17">
        <v>0.333333333333333</v>
      </c>
      <c r="T927" s="17">
        <v>0.571428571428571</v>
      </c>
      <c r="U927" s="17">
        <v>0.5</v>
      </c>
      <c r="V927" s="23">
        <v>0.166666666666667</v>
      </c>
    </row>
    <row r="928" ht="33" spans="1:22">
      <c r="A928" s="26">
        <v>11911</v>
      </c>
      <c r="B928" s="16" t="s">
        <v>447</v>
      </c>
      <c r="C928" s="19">
        <v>4</v>
      </c>
      <c r="D928" s="19">
        <v>16</v>
      </c>
      <c r="E928" s="19">
        <v>33</v>
      </c>
      <c r="F928" s="19">
        <v>33</v>
      </c>
      <c r="G928" s="19">
        <v>29</v>
      </c>
      <c r="H928" s="20">
        <v>248.64</v>
      </c>
      <c r="I928" s="20">
        <v>994.56</v>
      </c>
      <c r="J928" s="21">
        <v>2050.78</v>
      </c>
      <c r="K928" s="21">
        <v>2048.78</v>
      </c>
      <c r="L928" s="21">
        <v>1820.46</v>
      </c>
      <c r="M928" s="22">
        <v>21</v>
      </c>
      <c r="N928" s="22">
        <v>53</v>
      </c>
      <c r="O928" s="22">
        <v>80</v>
      </c>
      <c r="P928" s="22">
        <v>80</v>
      </c>
      <c r="Q928" s="22">
        <v>85</v>
      </c>
      <c r="R928" s="17">
        <v>0.16</v>
      </c>
      <c r="S928" s="17">
        <v>0.231884057971014</v>
      </c>
      <c r="T928" s="17">
        <v>0.292035398230089</v>
      </c>
      <c r="U928" s="17">
        <v>0.292035398230089</v>
      </c>
      <c r="V928" s="23">
        <v>0.254385964912281</v>
      </c>
    </row>
    <row r="929" ht="33" spans="1:22">
      <c r="A929" s="26">
        <v>11921</v>
      </c>
      <c r="B929" s="16" t="s">
        <v>492</v>
      </c>
      <c r="C929" s="19">
        <v>0</v>
      </c>
      <c r="D929" s="19">
        <v>19</v>
      </c>
      <c r="E929" s="19">
        <v>40</v>
      </c>
      <c r="F929" s="19">
        <v>47</v>
      </c>
      <c r="G929" s="19">
        <v>22</v>
      </c>
      <c r="H929" s="20">
        <v>0</v>
      </c>
      <c r="I929" s="20">
        <v>3021</v>
      </c>
      <c r="J929" s="21">
        <v>6352.05</v>
      </c>
      <c r="K929" s="21">
        <v>7589.78</v>
      </c>
      <c r="L929" s="21">
        <v>3676.9</v>
      </c>
      <c r="M929" s="22">
        <v>0</v>
      </c>
      <c r="N929" s="22">
        <v>1</v>
      </c>
      <c r="O929" s="22">
        <v>8</v>
      </c>
      <c r="P929" s="22">
        <v>6</v>
      </c>
      <c r="Q929" s="22">
        <v>17</v>
      </c>
      <c r="R929" s="17">
        <v>0</v>
      </c>
      <c r="S929" s="17">
        <v>0.95</v>
      </c>
      <c r="T929" s="17">
        <v>0.833333333333333</v>
      </c>
      <c r="U929" s="17">
        <v>0.886792452830189</v>
      </c>
      <c r="V929" s="23">
        <v>0.564102564102564</v>
      </c>
    </row>
    <row r="930" ht="33" spans="1:22">
      <c r="A930" s="26">
        <v>11922</v>
      </c>
      <c r="B930" s="16" t="s">
        <v>493</v>
      </c>
      <c r="C930" s="19">
        <v>0</v>
      </c>
      <c r="D930" s="19">
        <v>56</v>
      </c>
      <c r="E930" s="19">
        <v>94</v>
      </c>
      <c r="F930" s="19">
        <v>30</v>
      </c>
      <c r="G930" s="19">
        <v>36</v>
      </c>
      <c r="H930" s="20">
        <v>0</v>
      </c>
      <c r="I930" s="20">
        <v>8896.05</v>
      </c>
      <c r="J930" s="21">
        <v>15954.8</v>
      </c>
      <c r="K930" s="21">
        <v>5426.11</v>
      </c>
      <c r="L930" s="21">
        <v>6539.2</v>
      </c>
      <c r="M930" s="22">
        <v>0</v>
      </c>
      <c r="N930" s="22">
        <v>11</v>
      </c>
      <c r="O930" s="22">
        <v>8</v>
      </c>
      <c r="P930" s="22">
        <v>36</v>
      </c>
      <c r="Q930" s="22">
        <v>45</v>
      </c>
      <c r="R930" s="17">
        <v>0</v>
      </c>
      <c r="S930" s="17">
        <v>0.835820895522388</v>
      </c>
      <c r="T930" s="17">
        <v>0.92156862745098</v>
      </c>
      <c r="U930" s="17">
        <v>0.454545454545455</v>
      </c>
      <c r="V930" s="23">
        <v>0.444444444444444</v>
      </c>
    </row>
    <row r="931" ht="33" spans="1:22">
      <c r="A931" s="26">
        <v>11923</v>
      </c>
      <c r="B931" s="16" t="s">
        <v>494</v>
      </c>
      <c r="C931" s="19">
        <v>0</v>
      </c>
      <c r="D931" s="19">
        <v>16</v>
      </c>
      <c r="E931" s="19">
        <v>8</v>
      </c>
      <c r="F931" s="19">
        <v>21</v>
      </c>
      <c r="G931" s="19">
        <v>19</v>
      </c>
      <c r="H931" s="20">
        <v>0</v>
      </c>
      <c r="I931" s="20">
        <v>2544</v>
      </c>
      <c r="J931" s="21">
        <v>1272</v>
      </c>
      <c r="K931" s="21">
        <v>3339</v>
      </c>
      <c r="L931" s="21">
        <v>3021</v>
      </c>
      <c r="M931" s="22">
        <v>0</v>
      </c>
      <c r="N931" s="22">
        <v>1</v>
      </c>
      <c r="O931" s="22">
        <v>2</v>
      </c>
      <c r="P931" s="22">
        <v>4</v>
      </c>
      <c r="Q931" s="22">
        <v>1</v>
      </c>
      <c r="R931" s="17">
        <v>0</v>
      </c>
      <c r="S931" s="17">
        <v>0.941176470588235</v>
      </c>
      <c r="T931" s="17">
        <v>0.8</v>
      </c>
      <c r="U931" s="17">
        <v>0.84</v>
      </c>
      <c r="V931" s="23">
        <v>0.95</v>
      </c>
    </row>
    <row r="932" ht="33" spans="1:22">
      <c r="A932" s="26">
        <v>11925</v>
      </c>
      <c r="B932" s="16" t="s">
        <v>488</v>
      </c>
      <c r="C932" s="19">
        <v>2</v>
      </c>
      <c r="D932" s="19">
        <v>7</v>
      </c>
      <c r="E932" s="19">
        <v>26</v>
      </c>
      <c r="F932" s="19">
        <v>19</v>
      </c>
      <c r="G932" s="19">
        <v>18</v>
      </c>
      <c r="H932" s="20">
        <v>598</v>
      </c>
      <c r="I932" s="20">
        <v>2078.05</v>
      </c>
      <c r="J932" s="21">
        <v>7400.68</v>
      </c>
      <c r="K932" s="21">
        <v>5419.35</v>
      </c>
      <c r="L932" s="21">
        <v>5309.96</v>
      </c>
      <c r="M932" s="22">
        <v>0</v>
      </c>
      <c r="N932" s="22">
        <v>0</v>
      </c>
      <c r="O932" s="22">
        <v>0</v>
      </c>
      <c r="P932" s="22">
        <v>0</v>
      </c>
      <c r="Q932" s="22">
        <v>0</v>
      </c>
      <c r="R932" s="17">
        <v>1</v>
      </c>
      <c r="S932" s="17">
        <v>1</v>
      </c>
      <c r="T932" s="17">
        <v>1</v>
      </c>
      <c r="U932" s="17">
        <v>1</v>
      </c>
      <c r="V932" s="23">
        <v>1</v>
      </c>
    </row>
    <row r="933" ht="33" spans="1:22">
      <c r="A933" s="26">
        <v>11926</v>
      </c>
      <c r="B933" s="16" t="s">
        <v>497</v>
      </c>
      <c r="C933" s="19">
        <v>0</v>
      </c>
      <c r="D933" s="19">
        <v>12</v>
      </c>
      <c r="E933" s="19">
        <v>22</v>
      </c>
      <c r="F933" s="19">
        <v>14</v>
      </c>
      <c r="G933" s="19">
        <v>15</v>
      </c>
      <c r="H933" s="20">
        <v>0</v>
      </c>
      <c r="I933" s="20">
        <v>948</v>
      </c>
      <c r="J933" s="21">
        <v>1734.05</v>
      </c>
      <c r="K933" s="21">
        <v>1106</v>
      </c>
      <c r="L933" s="21">
        <v>1185</v>
      </c>
      <c r="M933" s="22">
        <v>0</v>
      </c>
      <c r="N933" s="22">
        <v>0</v>
      </c>
      <c r="O933" s="22">
        <v>0</v>
      </c>
      <c r="P933" s="22">
        <v>0</v>
      </c>
      <c r="Q933" s="22">
        <v>0</v>
      </c>
      <c r="R933" s="17">
        <v>0</v>
      </c>
      <c r="S933" s="17">
        <v>1</v>
      </c>
      <c r="T933" s="17">
        <v>1</v>
      </c>
      <c r="U933" s="17">
        <v>1</v>
      </c>
      <c r="V933" s="23">
        <v>1</v>
      </c>
    </row>
    <row r="934" ht="33" spans="1:22">
      <c r="A934" s="26">
        <v>11927</v>
      </c>
      <c r="B934" s="16" t="s">
        <v>495</v>
      </c>
      <c r="C934" s="19">
        <v>0</v>
      </c>
      <c r="D934" s="19">
        <v>2</v>
      </c>
      <c r="E934" s="19">
        <v>0</v>
      </c>
      <c r="F934" s="19">
        <v>5</v>
      </c>
      <c r="G934" s="19">
        <v>6</v>
      </c>
      <c r="H934" s="20">
        <v>0</v>
      </c>
      <c r="I934" s="20">
        <v>60</v>
      </c>
      <c r="J934" s="21">
        <v>0</v>
      </c>
      <c r="K934" s="21">
        <v>150</v>
      </c>
      <c r="L934" s="21">
        <v>183</v>
      </c>
      <c r="M934" s="22">
        <v>0</v>
      </c>
      <c r="N934" s="22">
        <v>0</v>
      </c>
      <c r="O934" s="22">
        <v>0</v>
      </c>
      <c r="P934" s="22">
        <v>0</v>
      </c>
      <c r="Q934" s="22">
        <v>0</v>
      </c>
      <c r="R934" s="17">
        <v>0</v>
      </c>
      <c r="S934" s="17">
        <v>1</v>
      </c>
      <c r="T934" s="17">
        <v>0</v>
      </c>
      <c r="U934" s="17">
        <v>1</v>
      </c>
      <c r="V934" s="23">
        <v>1</v>
      </c>
    </row>
    <row r="935" ht="33" spans="1:22">
      <c r="A935" s="26">
        <v>11928</v>
      </c>
      <c r="B935" s="16" t="s">
        <v>496</v>
      </c>
      <c r="C935" s="19">
        <v>0</v>
      </c>
      <c r="D935" s="19">
        <v>0</v>
      </c>
      <c r="E935" s="19">
        <v>2</v>
      </c>
      <c r="F935" s="19">
        <v>0</v>
      </c>
      <c r="G935" s="19">
        <v>0</v>
      </c>
      <c r="H935" s="20">
        <v>0</v>
      </c>
      <c r="I935" s="20">
        <v>0</v>
      </c>
      <c r="J935" s="21">
        <v>54</v>
      </c>
      <c r="K935" s="21">
        <v>0</v>
      </c>
      <c r="L935" s="21">
        <v>0</v>
      </c>
      <c r="M935" s="22">
        <v>0</v>
      </c>
      <c r="N935" s="22">
        <v>0</v>
      </c>
      <c r="O935" s="22">
        <v>0</v>
      </c>
      <c r="P935" s="22">
        <v>0</v>
      </c>
      <c r="Q935" s="22">
        <v>0</v>
      </c>
      <c r="R935" s="17">
        <v>0</v>
      </c>
      <c r="S935" s="17">
        <v>0</v>
      </c>
      <c r="T935" s="17">
        <v>1</v>
      </c>
      <c r="U935" s="17">
        <v>0</v>
      </c>
      <c r="V935" s="23" t="s">
        <v>106</v>
      </c>
    </row>
    <row r="936" ht="33" spans="1:22">
      <c r="A936" s="26">
        <v>11929</v>
      </c>
      <c r="B936" s="16" t="s">
        <v>499</v>
      </c>
      <c r="C936" s="19">
        <v>0</v>
      </c>
      <c r="D936" s="19">
        <v>46</v>
      </c>
      <c r="E936" s="19">
        <v>2</v>
      </c>
      <c r="F936" s="19">
        <v>5</v>
      </c>
      <c r="G936" s="19">
        <v>4</v>
      </c>
      <c r="H936" s="20">
        <v>0</v>
      </c>
      <c r="I936" s="20">
        <v>5290</v>
      </c>
      <c r="J936" s="21">
        <v>236</v>
      </c>
      <c r="K936" s="21">
        <v>592</v>
      </c>
      <c r="L936" s="21">
        <v>474</v>
      </c>
      <c r="M936" s="22">
        <v>0</v>
      </c>
      <c r="N936" s="22">
        <v>20</v>
      </c>
      <c r="O936" s="22">
        <v>4</v>
      </c>
      <c r="P936" s="22">
        <v>2</v>
      </c>
      <c r="Q936" s="22">
        <v>11</v>
      </c>
      <c r="R936" s="17">
        <v>0</v>
      </c>
      <c r="S936" s="17">
        <v>0.696969696969697</v>
      </c>
      <c r="T936" s="17">
        <v>0.333333333333333</v>
      </c>
      <c r="U936" s="17">
        <v>0.714285714285714</v>
      </c>
      <c r="V936" s="23">
        <v>0.266666666666667</v>
      </c>
    </row>
    <row r="937" ht="33" spans="1:22">
      <c r="A937" s="26">
        <v>11933</v>
      </c>
      <c r="B937" s="16" t="s">
        <v>477</v>
      </c>
      <c r="C937" s="19">
        <v>0</v>
      </c>
      <c r="D937" s="19">
        <v>0</v>
      </c>
      <c r="E937" s="19">
        <v>1</v>
      </c>
      <c r="F937" s="19">
        <v>1</v>
      </c>
      <c r="G937" s="19">
        <v>2</v>
      </c>
      <c r="H937" s="20">
        <v>0</v>
      </c>
      <c r="I937" s="20">
        <v>0</v>
      </c>
      <c r="J937" s="21">
        <v>64.78</v>
      </c>
      <c r="K937" s="21">
        <v>69</v>
      </c>
      <c r="L937" s="21">
        <v>138</v>
      </c>
      <c r="M937" s="22">
        <v>0</v>
      </c>
      <c r="N937" s="22">
        <v>1</v>
      </c>
      <c r="O937" s="22">
        <v>5</v>
      </c>
      <c r="P937" s="22">
        <v>1</v>
      </c>
      <c r="Q937" s="22">
        <v>2</v>
      </c>
      <c r="R937" s="17">
        <v>0</v>
      </c>
      <c r="S937" s="17">
        <v>0</v>
      </c>
      <c r="T937" s="17">
        <v>0.166666666666667</v>
      </c>
      <c r="U937" s="17">
        <v>0.5</v>
      </c>
      <c r="V937" s="23">
        <v>0.5</v>
      </c>
    </row>
    <row r="938" ht="33" spans="1:22">
      <c r="A938" s="26">
        <v>11936</v>
      </c>
      <c r="B938" s="16" t="s">
        <v>485</v>
      </c>
      <c r="C938" s="19">
        <v>0</v>
      </c>
      <c r="D938" s="19">
        <v>3</v>
      </c>
      <c r="E938" s="19">
        <v>4</v>
      </c>
      <c r="F938" s="19">
        <v>3</v>
      </c>
      <c r="G938" s="19">
        <v>5</v>
      </c>
      <c r="H938" s="20">
        <v>0</v>
      </c>
      <c r="I938" s="20">
        <v>75</v>
      </c>
      <c r="J938" s="21">
        <v>100</v>
      </c>
      <c r="K938" s="21">
        <v>75</v>
      </c>
      <c r="L938" s="21">
        <v>125</v>
      </c>
      <c r="M938" s="22">
        <v>0</v>
      </c>
      <c r="N938" s="22">
        <v>0</v>
      </c>
      <c r="O938" s="22">
        <v>0</v>
      </c>
      <c r="P938" s="22">
        <v>0</v>
      </c>
      <c r="Q938" s="22">
        <v>1</v>
      </c>
      <c r="R938" s="17">
        <v>0</v>
      </c>
      <c r="S938" s="17">
        <v>1</v>
      </c>
      <c r="T938" s="17">
        <v>1</v>
      </c>
      <c r="U938" s="17">
        <v>1</v>
      </c>
      <c r="V938" s="23">
        <v>0.833333333333333</v>
      </c>
    </row>
    <row r="939" ht="33" spans="1:22">
      <c r="A939" s="26">
        <v>11937</v>
      </c>
      <c r="B939" s="16" t="s">
        <v>486</v>
      </c>
      <c r="C939" s="19">
        <v>0</v>
      </c>
      <c r="D939" s="19">
        <v>4</v>
      </c>
      <c r="E939" s="19">
        <v>5</v>
      </c>
      <c r="F939" s="19">
        <v>2</v>
      </c>
      <c r="G939" s="19">
        <v>2</v>
      </c>
      <c r="H939" s="20">
        <v>0</v>
      </c>
      <c r="I939" s="20">
        <v>92</v>
      </c>
      <c r="J939" s="21">
        <v>117</v>
      </c>
      <c r="K939" s="21">
        <v>46</v>
      </c>
      <c r="L939" s="21">
        <v>46</v>
      </c>
      <c r="M939" s="22">
        <v>0</v>
      </c>
      <c r="N939" s="22">
        <v>1</v>
      </c>
      <c r="O939" s="22">
        <v>0</v>
      </c>
      <c r="P939" s="22">
        <v>1</v>
      </c>
      <c r="Q939" s="22">
        <v>1</v>
      </c>
      <c r="R939" s="17">
        <v>0</v>
      </c>
      <c r="S939" s="17">
        <v>0.8</v>
      </c>
      <c r="T939" s="17">
        <v>1</v>
      </c>
      <c r="U939" s="17">
        <v>0.666666666666667</v>
      </c>
      <c r="V939" s="23">
        <v>0.666666666666667</v>
      </c>
    </row>
    <row r="940" ht="33" spans="1:22">
      <c r="A940" s="26">
        <v>11938</v>
      </c>
      <c r="B940" s="16" t="s">
        <v>509</v>
      </c>
      <c r="C940" s="19">
        <v>0</v>
      </c>
      <c r="D940" s="19">
        <v>0</v>
      </c>
      <c r="E940" s="19">
        <v>0</v>
      </c>
      <c r="F940" s="19">
        <v>3</v>
      </c>
      <c r="G940" s="19">
        <v>1</v>
      </c>
      <c r="H940" s="20">
        <v>0</v>
      </c>
      <c r="I940" s="20">
        <v>0</v>
      </c>
      <c r="J940" s="21">
        <v>0</v>
      </c>
      <c r="K940" s="21">
        <v>122.98</v>
      </c>
      <c r="L940" s="21">
        <v>38.99</v>
      </c>
      <c r="M940" s="22">
        <v>0</v>
      </c>
      <c r="N940" s="22">
        <v>0</v>
      </c>
      <c r="O940" s="22">
        <v>0</v>
      </c>
      <c r="P940" s="22">
        <v>1</v>
      </c>
      <c r="Q940" s="22">
        <v>0</v>
      </c>
      <c r="R940" s="17">
        <v>0</v>
      </c>
      <c r="S940" s="17">
        <v>0</v>
      </c>
      <c r="T940" s="17">
        <v>0</v>
      </c>
      <c r="U940" s="17">
        <v>0.75</v>
      </c>
      <c r="V940" s="23">
        <v>1</v>
      </c>
    </row>
    <row r="941" ht="33" spans="1:22">
      <c r="A941" s="16">
        <v>11982</v>
      </c>
      <c r="B941" s="16" t="s">
        <v>446</v>
      </c>
      <c r="C941" s="19">
        <v>3</v>
      </c>
      <c r="D941" s="19">
        <v>6</v>
      </c>
      <c r="E941" s="19">
        <v>6</v>
      </c>
      <c r="F941" s="19">
        <v>8</v>
      </c>
      <c r="G941" s="19">
        <v>10</v>
      </c>
      <c r="H941" s="20">
        <v>465</v>
      </c>
      <c r="I941" s="20">
        <v>915.99</v>
      </c>
      <c r="J941" s="21">
        <v>922.64</v>
      </c>
      <c r="K941" s="21">
        <v>1212.99</v>
      </c>
      <c r="L941" s="21">
        <v>1516.94</v>
      </c>
      <c r="M941" s="22">
        <v>3</v>
      </c>
      <c r="N941" s="22">
        <v>2</v>
      </c>
      <c r="O941" s="22">
        <v>3</v>
      </c>
      <c r="P941" s="22">
        <v>4</v>
      </c>
      <c r="Q941" s="22">
        <v>2</v>
      </c>
      <c r="R941" s="17">
        <v>0.5</v>
      </c>
      <c r="S941" s="17">
        <v>0.75</v>
      </c>
      <c r="T941" s="17">
        <v>0.666666666666667</v>
      </c>
      <c r="U941" s="17">
        <v>0.666666666666667</v>
      </c>
      <c r="V941" s="23">
        <v>0.833333333333333</v>
      </c>
    </row>
    <row r="942" ht="33" spans="1:22">
      <c r="A942" s="16">
        <v>12303</v>
      </c>
      <c r="B942" s="16" t="s">
        <v>476</v>
      </c>
      <c r="C942" s="19">
        <v>5</v>
      </c>
      <c r="D942" s="19">
        <v>15</v>
      </c>
      <c r="E942" s="19">
        <v>28</v>
      </c>
      <c r="F942" s="19">
        <v>23</v>
      </c>
      <c r="G942" s="19">
        <v>11</v>
      </c>
      <c r="H942" s="20">
        <v>175</v>
      </c>
      <c r="I942" s="20">
        <v>525</v>
      </c>
      <c r="J942" s="21">
        <v>978.25</v>
      </c>
      <c r="K942" s="21">
        <v>874</v>
      </c>
      <c r="L942" s="21">
        <v>420.15</v>
      </c>
      <c r="M942" s="22">
        <v>0</v>
      </c>
      <c r="N942" s="22">
        <v>0</v>
      </c>
      <c r="O942" s="22">
        <v>0</v>
      </c>
      <c r="P942" s="22">
        <v>0</v>
      </c>
      <c r="Q942" s="22">
        <v>0</v>
      </c>
      <c r="R942" s="17">
        <v>1</v>
      </c>
      <c r="S942" s="17">
        <v>1</v>
      </c>
      <c r="T942" s="17">
        <v>1</v>
      </c>
      <c r="U942" s="17">
        <v>1</v>
      </c>
      <c r="V942" s="23">
        <v>1</v>
      </c>
    </row>
    <row r="943" ht="16.5" spans="1:22">
      <c r="A943" s="16">
        <v>2429</v>
      </c>
      <c r="B943" s="16" t="e">
        <v>#N/A</v>
      </c>
      <c r="C943" s="19">
        <v>0</v>
      </c>
      <c r="D943" s="19">
        <v>0</v>
      </c>
      <c r="E943" s="19">
        <v>0</v>
      </c>
      <c r="F943" s="19">
        <v>0</v>
      </c>
      <c r="G943" s="19">
        <v>1</v>
      </c>
      <c r="H943" s="20">
        <v>0</v>
      </c>
      <c r="I943" s="20">
        <v>0</v>
      </c>
      <c r="J943" s="21">
        <v>0</v>
      </c>
      <c r="K943" s="21">
        <v>0</v>
      </c>
      <c r="L943" s="21">
        <v>189</v>
      </c>
      <c r="M943" s="22">
        <v>0</v>
      </c>
      <c r="N943" s="22">
        <v>0</v>
      </c>
      <c r="O943" s="22">
        <v>0</v>
      </c>
      <c r="P943" s="22">
        <v>0</v>
      </c>
      <c r="Q943" s="22" t="e">
        <v>#N/A</v>
      </c>
      <c r="R943" s="17">
        <v>0</v>
      </c>
      <c r="S943" s="17">
        <v>0</v>
      </c>
      <c r="T943" s="17">
        <v>0</v>
      </c>
      <c r="U943" s="17">
        <v>0</v>
      </c>
      <c r="V943" s="23" t="e">
        <v>#N/A</v>
      </c>
    </row>
    <row r="944" ht="33" spans="1:22">
      <c r="A944" s="16">
        <v>5836</v>
      </c>
      <c r="B944" s="16" t="s">
        <v>1358</v>
      </c>
      <c r="C944" s="27"/>
      <c r="D944" s="19">
        <v>0</v>
      </c>
      <c r="E944" s="19">
        <v>0</v>
      </c>
      <c r="F944" s="19">
        <v>1</v>
      </c>
      <c r="G944" s="19">
        <v>1</v>
      </c>
      <c r="H944" s="27"/>
      <c r="I944" s="20">
        <v>0</v>
      </c>
      <c r="J944" s="21">
        <v>0</v>
      </c>
      <c r="K944" s="21">
        <v>259</v>
      </c>
      <c r="L944" s="21">
        <v>264.29</v>
      </c>
      <c r="M944" s="27"/>
      <c r="N944" s="22">
        <v>0</v>
      </c>
      <c r="O944" s="22">
        <v>0</v>
      </c>
      <c r="P944" s="22">
        <v>0</v>
      </c>
      <c r="Q944" s="22">
        <v>0</v>
      </c>
      <c r="R944" s="18"/>
      <c r="S944" s="17">
        <v>0</v>
      </c>
      <c r="T944" s="17">
        <v>0</v>
      </c>
      <c r="U944" s="17">
        <v>1</v>
      </c>
      <c r="V944" s="23">
        <v>1</v>
      </c>
    </row>
    <row r="945" ht="66" spans="1:22">
      <c r="A945" s="28">
        <v>12359</v>
      </c>
      <c r="B945" s="16" t="s">
        <v>490</v>
      </c>
      <c r="C945" s="27"/>
      <c r="D945" s="19">
        <v>4</v>
      </c>
      <c r="E945" s="19">
        <v>10</v>
      </c>
      <c r="F945" s="19">
        <v>2</v>
      </c>
      <c r="G945" s="19">
        <v>3</v>
      </c>
      <c r="H945" s="27"/>
      <c r="I945" s="20">
        <v>1996</v>
      </c>
      <c r="J945" s="21">
        <v>4973.05</v>
      </c>
      <c r="K945" s="21">
        <v>998</v>
      </c>
      <c r="L945" s="21">
        <v>1497</v>
      </c>
      <c r="M945" s="27"/>
      <c r="N945" s="29">
        <v>0</v>
      </c>
      <c r="O945" s="22">
        <v>0</v>
      </c>
      <c r="P945" s="22">
        <v>0</v>
      </c>
      <c r="Q945" s="22">
        <v>0</v>
      </c>
      <c r="R945" s="18"/>
      <c r="S945" s="17">
        <v>1</v>
      </c>
      <c r="T945" s="17">
        <v>1</v>
      </c>
      <c r="U945" s="17">
        <v>1</v>
      </c>
      <c r="V945" s="23">
        <v>1</v>
      </c>
    </row>
    <row r="946" ht="16.5" spans="1:22">
      <c r="A946" s="28">
        <v>12000</v>
      </c>
      <c r="B946" s="16" t="e">
        <v>#N/A</v>
      </c>
      <c r="C946" s="27"/>
      <c r="D946" s="19">
        <v>8</v>
      </c>
      <c r="E946" s="19">
        <v>2</v>
      </c>
      <c r="F946" s="19">
        <v>0</v>
      </c>
      <c r="G946" s="19">
        <v>0</v>
      </c>
      <c r="H946" s="27"/>
      <c r="I946" s="20">
        <v>1690</v>
      </c>
      <c r="J946" s="21">
        <v>430</v>
      </c>
      <c r="K946" s="21">
        <v>0</v>
      </c>
      <c r="L946" s="21">
        <v>0</v>
      </c>
      <c r="M946" s="27"/>
      <c r="N946" s="29">
        <v>0</v>
      </c>
      <c r="O946" s="22">
        <v>0</v>
      </c>
      <c r="P946" s="22">
        <v>0</v>
      </c>
      <c r="Q946" s="22" t="e">
        <v>#N/A</v>
      </c>
      <c r="R946" s="18"/>
      <c r="S946" s="17">
        <v>1</v>
      </c>
      <c r="T946" s="17">
        <v>1</v>
      </c>
      <c r="U946" s="17">
        <v>0</v>
      </c>
      <c r="V946" s="23" t="e">
        <v>#N/A</v>
      </c>
    </row>
    <row r="947" ht="33" spans="1:22">
      <c r="A947" s="16">
        <v>11981</v>
      </c>
      <c r="B947" s="16" t="s">
        <v>503</v>
      </c>
      <c r="C947" s="27"/>
      <c r="D947" s="19">
        <v>1</v>
      </c>
      <c r="E947" s="19">
        <v>3</v>
      </c>
      <c r="F947" s="19">
        <v>10</v>
      </c>
      <c r="G947" s="19">
        <v>3</v>
      </c>
      <c r="H947" s="27"/>
      <c r="I947" s="20">
        <v>159</v>
      </c>
      <c r="J947" s="21">
        <v>448</v>
      </c>
      <c r="K947" s="21">
        <v>1555.2</v>
      </c>
      <c r="L947" s="21">
        <v>471.2</v>
      </c>
      <c r="M947" s="27"/>
      <c r="N947" s="29">
        <v>1</v>
      </c>
      <c r="O947" s="22">
        <v>0</v>
      </c>
      <c r="P947" s="22">
        <v>1</v>
      </c>
      <c r="Q947" s="22">
        <v>0</v>
      </c>
      <c r="R947" s="18"/>
      <c r="S947" s="17">
        <v>0.5</v>
      </c>
      <c r="T947" s="17">
        <v>1</v>
      </c>
      <c r="U947" s="17">
        <v>0.909090909090909</v>
      </c>
      <c r="V947" s="23">
        <v>1</v>
      </c>
    </row>
    <row r="948" ht="33" spans="1:22">
      <c r="A948" s="16">
        <v>12002</v>
      </c>
      <c r="B948" s="16" t="s">
        <v>508</v>
      </c>
      <c r="C948" s="27"/>
      <c r="D948" s="19">
        <v>0</v>
      </c>
      <c r="E948" s="19">
        <v>3</v>
      </c>
      <c r="F948" s="19">
        <v>2</v>
      </c>
      <c r="G948" s="19">
        <v>2</v>
      </c>
      <c r="H948" s="27"/>
      <c r="I948" s="20">
        <v>0</v>
      </c>
      <c r="J948" s="21">
        <v>240</v>
      </c>
      <c r="K948" s="21">
        <v>160</v>
      </c>
      <c r="L948" s="21">
        <v>145</v>
      </c>
      <c r="M948" s="27"/>
      <c r="N948" s="29">
        <v>0</v>
      </c>
      <c r="O948" s="22">
        <v>0</v>
      </c>
      <c r="P948" s="22">
        <v>0</v>
      </c>
      <c r="Q948" s="22">
        <v>7</v>
      </c>
      <c r="R948" s="18"/>
      <c r="S948" s="17">
        <v>0</v>
      </c>
      <c r="T948" s="17">
        <v>1</v>
      </c>
      <c r="U948" s="17">
        <v>1</v>
      </c>
      <c r="V948" s="23">
        <v>0.222222222222222</v>
      </c>
    </row>
    <row r="949" ht="33" spans="1:22">
      <c r="A949" s="16">
        <v>12005</v>
      </c>
      <c r="B949" s="16" t="s">
        <v>510</v>
      </c>
      <c r="C949" s="27"/>
      <c r="D949" s="19">
        <v>1</v>
      </c>
      <c r="E949" s="19">
        <v>39</v>
      </c>
      <c r="F949" s="19">
        <v>30</v>
      </c>
      <c r="G949" s="19">
        <v>29</v>
      </c>
      <c r="H949" s="27"/>
      <c r="I949" s="20">
        <v>70</v>
      </c>
      <c r="J949" s="21">
        <v>2730</v>
      </c>
      <c r="K949" s="21">
        <v>2066.9</v>
      </c>
      <c r="L949" s="21">
        <v>1955.1</v>
      </c>
      <c r="M949" s="27"/>
      <c r="N949" s="29">
        <v>49</v>
      </c>
      <c r="O949" s="22">
        <v>1</v>
      </c>
      <c r="P949" s="22">
        <v>26</v>
      </c>
      <c r="Q949" s="22">
        <v>20</v>
      </c>
      <c r="R949" s="18"/>
      <c r="S949" s="17">
        <v>0.02</v>
      </c>
      <c r="T949" s="17">
        <v>0.975</v>
      </c>
      <c r="U949" s="17">
        <v>0.535714285714286</v>
      </c>
      <c r="V949" s="23">
        <v>0.591836734693878</v>
      </c>
    </row>
    <row r="950" ht="33" spans="1:22">
      <c r="A950" s="16">
        <v>12006</v>
      </c>
      <c r="B950" s="16" t="s">
        <v>511</v>
      </c>
      <c r="C950" s="27"/>
      <c r="D950" s="19">
        <v>4</v>
      </c>
      <c r="E950" s="19">
        <v>37</v>
      </c>
      <c r="F950" s="19">
        <v>49</v>
      </c>
      <c r="G950" s="19">
        <v>46</v>
      </c>
      <c r="H950" s="27"/>
      <c r="I950" s="20">
        <v>280</v>
      </c>
      <c r="J950" s="21">
        <v>2544.5</v>
      </c>
      <c r="K950" s="21">
        <v>3138.95</v>
      </c>
      <c r="L950" s="21">
        <v>2945.76</v>
      </c>
      <c r="M950" s="27"/>
      <c r="N950" s="29">
        <v>25</v>
      </c>
      <c r="O950" s="22">
        <v>0</v>
      </c>
      <c r="P950" s="22">
        <v>43</v>
      </c>
      <c r="Q950" s="22">
        <v>36</v>
      </c>
      <c r="R950" s="18"/>
      <c r="S950" s="17">
        <v>0.137931034482759</v>
      </c>
      <c r="T950" s="17">
        <v>1</v>
      </c>
      <c r="U950" s="17">
        <v>0.532608695652174</v>
      </c>
      <c r="V950" s="23">
        <v>0.560975609756098</v>
      </c>
    </row>
    <row r="951" ht="33" spans="1:22">
      <c r="A951" s="16">
        <v>12021</v>
      </c>
      <c r="B951" s="16" t="s">
        <v>513</v>
      </c>
      <c r="C951" s="27"/>
      <c r="D951" s="19">
        <v>4</v>
      </c>
      <c r="E951" s="19">
        <v>9</v>
      </c>
      <c r="F951" s="19">
        <v>3</v>
      </c>
      <c r="G951" s="19">
        <v>1</v>
      </c>
      <c r="H951" s="27"/>
      <c r="I951" s="20">
        <v>212</v>
      </c>
      <c r="J951" s="21">
        <v>477</v>
      </c>
      <c r="K951" s="21">
        <v>158</v>
      </c>
      <c r="L951" s="21">
        <v>50.99</v>
      </c>
      <c r="M951" s="27"/>
      <c r="N951" s="29">
        <v>8</v>
      </c>
      <c r="O951" s="22">
        <v>16</v>
      </c>
      <c r="P951" s="22">
        <v>11</v>
      </c>
      <c r="Q951" s="22">
        <v>13</v>
      </c>
      <c r="R951" s="18"/>
      <c r="S951" s="17">
        <v>0.333333333333333</v>
      </c>
      <c r="T951" s="17">
        <v>0.36</v>
      </c>
      <c r="U951" s="17">
        <v>0.214285714285714</v>
      </c>
      <c r="V951" s="23">
        <v>0.0714285714285714</v>
      </c>
    </row>
    <row r="952" ht="33" spans="1:22">
      <c r="A952" s="16">
        <v>12023</v>
      </c>
      <c r="B952" s="16" t="s">
        <v>514</v>
      </c>
      <c r="C952" s="27"/>
      <c r="D952" s="19">
        <v>0</v>
      </c>
      <c r="E952" s="19">
        <v>0</v>
      </c>
      <c r="F952" s="19">
        <v>1</v>
      </c>
      <c r="G952" s="19">
        <v>3</v>
      </c>
      <c r="H952" s="27"/>
      <c r="I952" s="20">
        <v>0</v>
      </c>
      <c r="J952" s="21">
        <v>0</v>
      </c>
      <c r="K952" s="21">
        <v>53</v>
      </c>
      <c r="L952" s="21">
        <v>161.28</v>
      </c>
      <c r="M952" s="27"/>
      <c r="N952" s="29">
        <v>2</v>
      </c>
      <c r="O952" s="22">
        <v>8</v>
      </c>
      <c r="P952" s="22">
        <v>12</v>
      </c>
      <c r="Q952" s="22">
        <v>6</v>
      </c>
      <c r="R952" s="18"/>
      <c r="S952" s="17">
        <v>0</v>
      </c>
      <c r="T952" s="17">
        <v>0</v>
      </c>
      <c r="U952" s="17">
        <v>0.0769230769230769</v>
      </c>
      <c r="V952" s="23">
        <v>0.333333333333333</v>
      </c>
    </row>
    <row r="953" ht="33" spans="1:22">
      <c r="A953" s="16">
        <v>11998</v>
      </c>
      <c r="B953" s="16" t="s">
        <v>498</v>
      </c>
      <c r="C953" s="27"/>
      <c r="D953" s="19">
        <v>5</v>
      </c>
      <c r="E953" s="19">
        <v>13</v>
      </c>
      <c r="F953" s="19">
        <v>6</v>
      </c>
      <c r="G953" s="19">
        <v>8</v>
      </c>
      <c r="H953" s="27"/>
      <c r="I953" s="20">
        <v>2495</v>
      </c>
      <c r="J953" s="21">
        <v>6462.05</v>
      </c>
      <c r="K953" s="21">
        <v>2994</v>
      </c>
      <c r="L953" s="21">
        <v>3996</v>
      </c>
      <c r="M953" s="27"/>
      <c r="N953" s="29">
        <v>0</v>
      </c>
      <c r="O953" s="22">
        <v>0</v>
      </c>
      <c r="P953" s="22">
        <v>0</v>
      </c>
      <c r="Q953" s="22">
        <v>0</v>
      </c>
      <c r="R953" s="18"/>
      <c r="S953" s="17">
        <v>1</v>
      </c>
      <c r="T953" s="17">
        <v>1</v>
      </c>
      <c r="U953" s="17">
        <v>1</v>
      </c>
      <c r="V953" s="23">
        <v>1</v>
      </c>
    </row>
    <row r="954" ht="33" spans="1:22">
      <c r="A954" s="16">
        <v>12088</v>
      </c>
      <c r="B954" s="16" t="s">
        <v>506</v>
      </c>
      <c r="C954" s="27"/>
      <c r="D954" s="19">
        <v>2</v>
      </c>
      <c r="E954" s="19">
        <v>13</v>
      </c>
      <c r="F954" s="19">
        <v>5</v>
      </c>
      <c r="G954" s="19">
        <v>0</v>
      </c>
      <c r="H954" s="27"/>
      <c r="I954" s="20">
        <v>166</v>
      </c>
      <c r="J954" s="21">
        <v>1079</v>
      </c>
      <c r="K954" s="21">
        <v>398.14</v>
      </c>
      <c r="L954" s="21">
        <v>0</v>
      </c>
      <c r="M954" s="27"/>
      <c r="N954" s="29">
        <v>11</v>
      </c>
      <c r="O954" s="22">
        <v>13</v>
      </c>
      <c r="P954" s="22">
        <v>15</v>
      </c>
      <c r="Q954" s="22">
        <v>24</v>
      </c>
      <c r="R954" s="18"/>
      <c r="S954" s="17">
        <v>0.153846153846154</v>
      </c>
      <c r="T954" s="17">
        <v>0.5</v>
      </c>
      <c r="U954" s="17">
        <v>0.25</v>
      </c>
      <c r="V954" s="23">
        <v>0</v>
      </c>
    </row>
    <row r="955" ht="33" spans="1:22">
      <c r="A955" s="16">
        <v>12089</v>
      </c>
      <c r="B955" s="16" t="s">
        <v>507</v>
      </c>
      <c r="C955" s="27"/>
      <c r="D955" s="19">
        <v>1</v>
      </c>
      <c r="E955" s="19">
        <v>13</v>
      </c>
      <c r="F955" s="19">
        <v>18</v>
      </c>
      <c r="G955" s="19">
        <v>9</v>
      </c>
      <c r="H955" s="27"/>
      <c r="I955" s="20">
        <v>89</v>
      </c>
      <c r="J955" s="21">
        <v>1148.1</v>
      </c>
      <c r="K955" s="21">
        <v>1571.53</v>
      </c>
      <c r="L955" s="21">
        <v>783.15</v>
      </c>
      <c r="M955" s="27"/>
      <c r="N955" s="29">
        <v>1</v>
      </c>
      <c r="O955" s="22">
        <v>4</v>
      </c>
      <c r="P955" s="22">
        <v>7</v>
      </c>
      <c r="Q955" s="22">
        <v>5</v>
      </c>
      <c r="R955" s="18"/>
      <c r="S955" s="17">
        <v>0.5</v>
      </c>
      <c r="T955" s="17">
        <v>0.764705882352941</v>
      </c>
      <c r="U955" s="17">
        <v>0.72</v>
      </c>
      <c r="V955" s="23">
        <v>0.642857142857143</v>
      </c>
    </row>
    <row r="956" ht="33" spans="1:22">
      <c r="A956" s="16">
        <v>12011</v>
      </c>
      <c r="B956" s="16" t="s">
        <v>512</v>
      </c>
      <c r="C956" s="27"/>
      <c r="D956" s="19">
        <v>8</v>
      </c>
      <c r="E956" s="19">
        <v>17</v>
      </c>
      <c r="F956" s="19">
        <v>8</v>
      </c>
      <c r="G956" s="19">
        <v>12</v>
      </c>
      <c r="H956" s="27"/>
      <c r="I956" s="20">
        <v>1080</v>
      </c>
      <c r="J956" s="21">
        <v>2288.25</v>
      </c>
      <c r="K956" s="21">
        <v>1080</v>
      </c>
      <c r="L956" s="21">
        <v>1550.97</v>
      </c>
      <c r="M956" s="27"/>
      <c r="N956" s="29">
        <v>5</v>
      </c>
      <c r="O956" s="22">
        <v>8</v>
      </c>
      <c r="P956" s="22">
        <v>7</v>
      </c>
      <c r="Q956" s="22">
        <v>14</v>
      </c>
      <c r="R956" s="18"/>
      <c r="S956" s="17">
        <v>0.615384615384615</v>
      </c>
      <c r="T956" s="17">
        <v>0.68</v>
      </c>
      <c r="U956" s="17">
        <v>0.533333333333333</v>
      </c>
      <c r="V956" s="23">
        <v>0.461538461538462</v>
      </c>
    </row>
    <row r="957" ht="33" spans="1:22">
      <c r="A957" s="16">
        <v>12061</v>
      </c>
      <c r="B957" s="16" t="s">
        <v>500</v>
      </c>
      <c r="C957" s="27"/>
      <c r="D957" s="19">
        <v>3</v>
      </c>
      <c r="E957" s="19">
        <v>14</v>
      </c>
      <c r="F957" s="19">
        <v>17</v>
      </c>
      <c r="G957" s="19">
        <v>18</v>
      </c>
      <c r="H957" s="27"/>
      <c r="I957" s="20">
        <v>177</v>
      </c>
      <c r="J957" s="21">
        <v>699.6</v>
      </c>
      <c r="K957" s="21">
        <v>850.46</v>
      </c>
      <c r="L957" s="21">
        <v>902.43</v>
      </c>
      <c r="M957" s="27"/>
      <c r="N957" s="29">
        <v>0</v>
      </c>
      <c r="O957" s="22">
        <v>0</v>
      </c>
      <c r="P957" s="22">
        <v>0</v>
      </c>
      <c r="Q957" s="22">
        <v>0</v>
      </c>
      <c r="R957" s="18"/>
      <c r="S957" s="17">
        <v>1</v>
      </c>
      <c r="T957" s="17">
        <v>1</v>
      </c>
      <c r="U957" s="17">
        <v>1</v>
      </c>
      <c r="V957" s="23">
        <v>1</v>
      </c>
    </row>
    <row r="958" ht="33" spans="1:22">
      <c r="A958" s="16">
        <v>11989</v>
      </c>
      <c r="B958" s="16" t="s">
        <v>505</v>
      </c>
      <c r="C958" s="27"/>
      <c r="D958" s="19">
        <v>3</v>
      </c>
      <c r="E958" s="19">
        <v>8</v>
      </c>
      <c r="F958" s="19">
        <v>8</v>
      </c>
      <c r="G958" s="19">
        <v>8</v>
      </c>
      <c r="H958" s="27"/>
      <c r="I958" s="20">
        <v>315</v>
      </c>
      <c r="J958" s="21">
        <v>840</v>
      </c>
      <c r="K958" s="21">
        <v>840</v>
      </c>
      <c r="L958" s="21">
        <v>835.8</v>
      </c>
      <c r="M958" s="27"/>
      <c r="N958" s="29">
        <v>2</v>
      </c>
      <c r="O958" s="22">
        <v>7</v>
      </c>
      <c r="P958" s="22">
        <v>1</v>
      </c>
      <c r="Q958" s="22">
        <v>6</v>
      </c>
      <c r="R958" s="18"/>
      <c r="S958" s="17">
        <v>0.6</v>
      </c>
      <c r="T958" s="17">
        <v>0.533333333333333</v>
      </c>
      <c r="U958" s="17">
        <v>0.888888888888889</v>
      </c>
      <c r="V958" s="23">
        <v>0.571428571428571</v>
      </c>
    </row>
    <row r="959" ht="33" spans="1:22">
      <c r="A959" s="16">
        <v>11990</v>
      </c>
      <c r="B959" s="16" t="s">
        <v>501</v>
      </c>
      <c r="C959" s="27"/>
      <c r="D959" s="19">
        <v>0</v>
      </c>
      <c r="E959" s="19">
        <v>0</v>
      </c>
      <c r="F959" s="19">
        <v>3</v>
      </c>
      <c r="G959" s="19">
        <v>0</v>
      </c>
      <c r="H959" s="27"/>
      <c r="I959" s="20">
        <v>0</v>
      </c>
      <c r="J959" s="21">
        <v>0</v>
      </c>
      <c r="K959" s="21">
        <v>246</v>
      </c>
      <c r="L959" s="21">
        <v>0</v>
      </c>
      <c r="M959" s="27"/>
      <c r="N959" s="29">
        <v>0</v>
      </c>
      <c r="O959" s="22">
        <v>0</v>
      </c>
      <c r="P959" s="22">
        <v>0</v>
      </c>
      <c r="Q959" s="22">
        <v>2</v>
      </c>
      <c r="R959" s="18"/>
      <c r="S959" s="17">
        <v>0</v>
      </c>
      <c r="T959" s="17">
        <v>0</v>
      </c>
      <c r="U959" s="17">
        <v>1</v>
      </c>
      <c r="V959" s="23">
        <v>0</v>
      </c>
    </row>
    <row r="960" ht="33" spans="1:22">
      <c r="A960" s="16">
        <v>11991</v>
      </c>
      <c r="B960" s="16" t="s">
        <v>502</v>
      </c>
      <c r="C960" s="27"/>
      <c r="D960" s="19">
        <v>0</v>
      </c>
      <c r="E960" s="19">
        <v>2</v>
      </c>
      <c r="F960" s="19">
        <v>1</v>
      </c>
      <c r="G960" s="19">
        <v>0</v>
      </c>
      <c r="H960" s="27"/>
      <c r="I960" s="20">
        <v>0</v>
      </c>
      <c r="J960" s="21">
        <v>80</v>
      </c>
      <c r="K960" s="21">
        <v>40</v>
      </c>
      <c r="L960" s="21">
        <v>0</v>
      </c>
      <c r="M960" s="27"/>
      <c r="N960" s="29">
        <v>0</v>
      </c>
      <c r="O960" s="22">
        <v>0</v>
      </c>
      <c r="P960" s="22">
        <v>0</v>
      </c>
      <c r="Q960" s="22">
        <v>0</v>
      </c>
      <c r="R960" s="18"/>
      <c r="S960" s="17">
        <v>0</v>
      </c>
      <c r="T960" s="17">
        <v>1</v>
      </c>
      <c r="U960" s="17">
        <v>1</v>
      </c>
      <c r="V960" s="23" t="s">
        <v>106</v>
      </c>
    </row>
    <row r="961" ht="33" spans="1:22">
      <c r="A961" s="16">
        <v>12139</v>
      </c>
      <c r="B961" s="16" t="s">
        <v>518</v>
      </c>
      <c r="C961" s="27"/>
      <c r="D961" s="19">
        <v>1</v>
      </c>
      <c r="E961" s="19">
        <v>40</v>
      </c>
      <c r="F961" s="19">
        <v>3</v>
      </c>
      <c r="G961" s="19">
        <v>0</v>
      </c>
      <c r="H961" s="27"/>
      <c r="I961" s="20">
        <v>19</v>
      </c>
      <c r="J961" s="21">
        <v>1069.9</v>
      </c>
      <c r="K961" s="21">
        <v>107.97</v>
      </c>
      <c r="L961" s="21">
        <v>0</v>
      </c>
      <c r="M961" s="27"/>
      <c r="N961" s="29">
        <v>1</v>
      </c>
      <c r="O961" s="22">
        <v>2</v>
      </c>
      <c r="P961" s="22">
        <v>5</v>
      </c>
      <c r="Q961" s="22">
        <v>9</v>
      </c>
      <c r="R961" s="18"/>
      <c r="S961" s="17">
        <v>0.5</v>
      </c>
      <c r="T961" s="17">
        <v>0.952380952380952</v>
      </c>
      <c r="U961" s="17">
        <v>0.375</v>
      </c>
      <c r="V961" s="23">
        <v>0</v>
      </c>
    </row>
    <row r="962" ht="33" spans="1:22">
      <c r="A962" s="16">
        <v>12087</v>
      </c>
      <c r="B962" s="16" t="s">
        <v>519</v>
      </c>
      <c r="C962" s="27"/>
      <c r="D962" s="19">
        <v>0</v>
      </c>
      <c r="E962" s="19">
        <v>6</v>
      </c>
      <c r="F962" s="19">
        <v>11</v>
      </c>
      <c r="G962" s="19">
        <v>3</v>
      </c>
      <c r="H962" s="27"/>
      <c r="I962" s="20">
        <v>0</v>
      </c>
      <c r="J962" s="21">
        <v>292.2</v>
      </c>
      <c r="K962" s="21">
        <v>517</v>
      </c>
      <c r="L962" s="21">
        <v>139.59</v>
      </c>
      <c r="M962" s="27"/>
      <c r="N962" s="29">
        <v>0</v>
      </c>
      <c r="O962" s="22">
        <v>4</v>
      </c>
      <c r="P962" s="22">
        <v>2</v>
      </c>
      <c r="Q962" s="22">
        <v>5</v>
      </c>
      <c r="R962" s="18"/>
      <c r="S962" s="17">
        <v>0</v>
      </c>
      <c r="T962" s="17">
        <v>0.6</v>
      </c>
      <c r="U962" s="17">
        <v>0.846153846153846</v>
      </c>
      <c r="V962" s="23">
        <v>0.375</v>
      </c>
    </row>
    <row r="963" ht="33" spans="1:22">
      <c r="A963" s="16">
        <v>12105</v>
      </c>
      <c r="B963" s="16" t="s">
        <v>523</v>
      </c>
      <c r="C963" s="27"/>
      <c r="D963" s="19">
        <v>0</v>
      </c>
      <c r="E963" s="19">
        <v>6</v>
      </c>
      <c r="F963" s="19">
        <v>2</v>
      </c>
      <c r="G963" s="19">
        <v>0</v>
      </c>
      <c r="H963" s="27"/>
      <c r="I963" s="20">
        <v>0</v>
      </c>
      <c r="J963" s="21">
        <v>312</v>
      </c>
      <c r="K963" s="21">
        <v>104</v>
      </c>
      <c r="L963" s="21">
        <v>0</v>
      </c>
      <c r="M963" s="27"/>
      <c r="N963" s="29">
        <v>0</v>
      </c>
      <c r="O963" s="22">
        <v>0</v>
      </c>
      <c r="P963" s="22">
        <v>0</v>
      </c>
      <c r="Q963" s="22">
        <v>0</v>
      </c>
      <c r="R963" s="18"/>
      <c r="S963" s="17">
        <v>0</v>
      </c>
      <c r="T963" s="17">
        <v>1</v>
      </c>
      <c r="U963" s="17">
        <v>1</v>
      </c>
      <c r="V963" s="23" t="s">
        <v>106</v>
      </c>
    </row>
    <row r="964" ht="33" spans="1:22">
      <c r="A964" s="16">
        <v>12106</v>
      </c>
      <c r="B964" s="16" t="s">
        <v>524</v>
      </c>
      <c r="C964" s="27"/>
      <c r="D964" s="19">
        <v>0</v>
      </c>
      <c r="E964" s="19">
        <v>3</v>
      </c>
      <c r="F964" s="19">
        <v>3</v>
      </c>
      <c r="G964" s="19">
        <v>6</v>
      </c>
      <c r="H964" s="27"/>
      <c r="I964" s="20">
        <v>0</v>
      </c>
      <c r="J964" s="21">
        <v>156</v>
      </c>
      <c r="K964" s="21">
        <v>156</v>
      </c>
      <c r="L964" s="21">
        <v>312</v>
      </c>
      <c r="M964" s="27"/>
      <c r="N964" s="29">
        <v>0</v>
      </c>
      <c r="O964" s="22">
        <v>0</v>
      </c>
      <c r="P964" s="22">
        <v>0</v>
      </c>
      <c r="Q964" s="22">
        <v>0</v>
      </c>
      <c r="R964" s="18"/>
      <c r="S964" s="17">
        <v>0</v>
      </c>
      <c r="T964" s="17">
        <v>1</v>
      </c>
      <c r="U964" s="17">
        <v>1</v>
      </c>
      <c r="V964" s="23">
        <v>1</v>
      </c>
    </row>
    <row r="965" ht="33" spans="1:22">
      <c r="A965" s="16">
        <v>12058</v>
      </c>
      <c r="B965" s="16" t="s">
        <v>515</v>
      </c>
      <c r="C965" s="27"/>
      <c r="D965" s="19">
        <v>0</v>
      </c>
      <c r="E965" s="19">
        <v>24</v>
      </c>
      <c r="F965" s="19">
        <v>27</v>
      </c>
      <c r="G965" s="19">
        <v>16</v>
      </c>
      <c r="H965" s="27"/>
      <c r="I965" s="20">
        <v>0</v>
      </c>
      <c r="J965" s="21">
        <v>479</v>
      </c>
      <c r="K965" s="21">
        <v>544</v>
      </c>
      <c r="L965" s="21">
        <v>329</v>
      </c>
      <c r="M965" s="27"/>
      <c r="N965" s="29">
        <v>11</v>
      </c>
      <c r="O965" s="22">
        <v>36</v>
      </c>
      <c r="P965" s="22">
        <v>14</v>
      </c>
      <c r="Q965" s="22">
        <v>22</v>
      </c>
      <c r="R965" s="18"/>
      <c r="S965" s="17">
        <v>0</v>
      </c>
      <c r="T965" s="17">
        <v>0.4</v>
      </c>
      <c r="U965" s="17">
        <v>0.658536585365854</v>
      </c>
      <c r="V965" s="23">
        <v>0.421052631578947</v>
      </c>
    </row>
    <row r="966" ht="33" spans="1:22">
      <c r="A966" s="16">
        <v>12059</v>
      </c>
      <c r="B966" s="16" t="s">
        <v>516</v>
      </c>
      <c r="C966" s="27"/>
      <c r="D966" s="19">
        <v>1</v>
      </c>
      <c r="E966" s="19">
        <v>16</v>
      </c>
      <c r="F966" s="19">
        <v>6</v>
      </c>
      <c r="G966" s="19">
        <v>6</v>
      </c>
      <c r="H966" s="27"/>
      <c r="I966" s="20">
        <v>20</v>
      </c>
      <c r="J966" s="21">
        <v>340</v>
      </c>
      <c r="K966" s="21">
        <v>120</v>
      </c>
      <c r="L966" s="21">
        <v>115.95</v>
      </c>
      <c r="M966" s="27"/>
      <c r="N966" s="29">
        <v>10</v>
      </c>
      <c r="O966" s="22">
        <v>22</v>
      </c>
      <c r="P966" s="22">
        <v>21</v>
      </c>
      <c r="Q966" s="22">
        <v>30</v>
      </c>
      <c r="R966" s="18"/>
      <c r="S966" s="17">
        <v>0.0909090909090909</v>
      </c>
      <c r="T966" s="17">
        <v>0.421052631578947</v>
      </c>
      <c r="U966" s="17">
        <v>0.222222222222222</v>
      </c>
      <c r="V966" s="23">
        <v>0.166666666666667</v>
      </c>
    </row>
    <row r="967" ht="33" spans="1:22">
      <c r="A967" s="16">
        <v>12060</v>
      </c>
      <c r="B967" s="16" t="s">
        <v>517</v>
      </c>
      <c r="C967" s="27"/>
      <c r="D967" s="19">
        <v>0</v>
      </c>
      <c r="E967" s="19">
        <v>5</v>
      </c>
      <c r="F967" s="19">
        <v>2</v>
      </c>
      <c r="G967" s="19">
        <v>21</v>
      </c>
      <c r="H967" s="27"/>
      <c r="I967" s="20">
        <v>0</v>
      </c>
      <c r="J967" s="21">
        <v>100</v>
      </c>
      <c r="K967" s="21">
        <v>40</v>
      </c>
      <c r="L967" s="21">
        <v>411.83</v>
      </c>
      <c r="M967" s="27"/>
      <c r="N967" s="29">
        <v>26</v>
      </c>
      <c r="O967" s="22">
        <v>81</v>
      </c>
      <c r="P967" s="22">
        <v>65</v>
      </c>
      <c r="Q967" s="22">
        <v>82</v>
      </c>
      <c r="R967" s="18"/>
      <c r="S967" s="17">
        <v>0</v>
      </c>
      <c r="T967" s="17">
        <v>0.0581395348837209</v>
      </c>
      <c r="U967" s="17">
        <v>0.0298507462686567</v>
      </c>
      <c r="V967" s="23">
        <v>0.203883495145631</v>
      </c>
    </row>
    <row r="968" ht="33" spans="1:22">
      <c r="A968" s="16">
        <v>12143</v>
      </c>
      <c r="B968" s="16" t="s">
        <v>520</v>
      </c>
      <c r="C968" s="27"/>
      <c r="D968" s="19">
        <v>0</v>
      </c>
      <c r="E968" s="19">
        <v>1</v>
      </c>
      <c r="F968" s="19">
        <v>0</v>
      </c>
      <c r="G968" s="19">
        <v>2</v>
      </c>
      <c r="H968" s="27"/>
      <c r="I968" s="20">
        <v>0</v>
      </c>
      <c r="J968" s="21">
        <v>145</v>
      </c>
      <c r="K968" s="21">
        <v>0</v>
      </c>
      <c r="L968" s="21">
        <v>290</v>
      </c>
      <c r="M968" s="27"/>
      <c r="N968" s="29">
        <v>0</v>
      </c>
      <c r="O968" s="22">
        <v>1</v>
      </c>
      <c r="P968" s="22">
        <v>0</v>
      </c>
      <c r="Q968" s="22">
        <v>0</v>
      </c>
      <c r="R968" s="18"/>
      <c r="S968" s="17">
        <v>0</v>
      </c>
      <c r="T968" s="17">
        <v>0.5</v>
      </c>
      <c r="U968" s="17">
        <v>0</v>
      </c>
      <c r="V968" s="23">
        <v>1</v>
      </c>
    </row>
    <row r="969" ht="33" spans="1:22">
      <c r="A969" s="16">
        <v>12079</v>
      </c>
      <c r="B969" s="16" t="s">
        <v>521</v>
      </c>
      <c r="C969" s="27"/>
      <c r="D969" s="19">
        <v>0</v>
      </c>
      <c r="E969" s="19">
        <v>11</v>
      </c>
      <c r="F969" s="19">
        <v>4</v>
      </c>
      <c r="G969" s="19">
        <v>7</v>
      </c>
      <c r="H969" s="27"/>
      <c r="I969" s="20">
        <v>0</v>
      </c>
      <c r="J969" s="21">
        <v>1460</v>
      </c>
      <c r="K969" s="21">
        <v>532</v>
      </c>
      <c r="L969" s="21">
        <v>912.55</v>
      </c>
      <c r="M969" s="27"/>
      <c r="N969" s="29">
        <v>5</v>
      </c>
      <c r="O969" s="22">
        <v>0</v>
      </c>
      <c r="P969" s="22">
        <v>0</v>
      </c>
      <c r="Q969" s="22">
        <v>18</v>
      </c>
      <c r="R969" s="18"/>
      <c r="S969" s="17">
        <v>0</v>
      </c>
      <c r="T969" s="17">
        <v>1</v>
      </c>
      <c r="U969" s="17">
        <v>1</v>
      </c>
      <c r="V969" s="23">
        <v>0.28</v>
      </c>
    </row>
    <row r="970" ht="33" spans="1:22">
      <c r="A970" s="16">
        <v>12104</v>
      </c>
      <c r="B970" s="16" t="s">
        <v>522</v>
      </c>
      <c r="C970" s="27"/>
      <c r="D970" s="19">
        <v>0</v>
      </c>
      <c r="E970" s="19">
        <v>2</v>
      </c>
      <c r="F970" s="19">
        <v>1</v>
      </c>
      <c r="G970" s="19">
        <v>0</v>
      </c>
      <c r="H970" s="27"/>
      <c r="I970" s="20">
        <v>0</v>
      </c>
      <c r="J970" s="21">
        <v>170</v>
      </c>
      <c r="K970" s="21">
        <v>86.5</v>
      </c>
      <c r="L970" s="21">
        <v>0</v>
      </c>
      <c r="M970" s="27"/>
      <c r="N970" s="29">
        <v>0</v>
      </c>
      <c r="O970" s="22">
        <v>0</v>
      </c>
      <c r="P970" s="22">
        <v>0</v>
      </c>
      <c r="Q970" s="22">
        <v>0</v>
      </c>
      <c r="R970" s="18"/>
      <c r="S970" s="17">
        <v>0</v>
      </c>
      <c r="T970" s="17">
        <v>1</v>
      </c>
      <c r="U970" s="17">
        <v>1</v>
      </c>
      <c r="V970" s="23" t="s">
        <v>106</v>
      </c>
    </row>
    <row r="971" ht="33" spans="1:22">
      <c r="A971" s="16">
        <v>12072</v>
      </c>
      <c r="B971" s="16" t="s">
        <v>60</v>
      </c>
      <c r="C971" s="27"/>
      <c r="D971" s="19">
        <v>0</v>
      </c>
      <c r="E971" s="19">
        <v>1</v>
      </c>
      <c r="F971" s="19">
        <v>3</v>
      </c>
      <c r="G971" s="19">
        <v>2</v>
      </c>
      <c r="H971" s="27"/>
      <c r="I971" s="20">
        <v>0</v>
      </c>
      <c r="J971" s="21">
        <v>299</v>
      </c>
      <c r="K971" s="21">
        <v>897</v>
      </c>
      <c r="L971" s="21">
        <v>598</v>
      </c>
      <c r="M971" s="27"/>
      <c r="N971" s="30">
        <v>0</v>
      </c>
      <c r="O971" s="22">
        <v>0</v>
      </c>
      <c r="P971" s="22">
        <v>0</v>
      </c>
      <c r="Q971" s="22">
        <v>0</v>
      </c>
      <c r="R971" s="18"/>
      <c r="S971" s="17">
        <v>0</v>
      </c>
      <c r="T971" s="17">
        <v>1</v>
      </c>
      <c r="U971" s="17">
        <v>1</v>
      </c>
      <c r="V971" s="23">
        <v>1</v>
      </c>
    </row>
    <row r="972" ht="33" spans="1:22">
      <c r="A972" s="16">
        <v>12073</v>
      </c>
      <c r="B972" s="16" t="s">
        <v>44</v>
      </c>
      <c r="C972" s="27"/>
      <c r="D972" s="19">
        <v>0</v>
      </c>
      <c r="E972" s="19">
        <v>9</v>
      </c>
      <c r="F972" s="19">
        <v>2</v>
      </c>
      <c r="G972" s="19">
        <v>8</v>
      </c>
      <c r="H972" s="27"/>
      <c r="I972" s="20">
        <v>0</v>
      </c>
      <c r="J972" s="21">
        <v>3780</v>
      </c>
      <c r="K972" s="21">
        <v>840</v>
      </c>
      <c r="L972" s="21">
        <v>3360</v>
      </c>
      <c r="M972" s="27"/>
      <c r="N972" s="30">
        <v>0</v>
      </c>
      <c r="O972" s="22">
        <v>0</v>
      </c>
      <c r="P972" s="22">
        <v>0</v>
      </c>
      <c r="Q972" s="22">
        <v>0</v>
      </c>
      <c r="R972" s="18"/>
      <c r="S972" s="17">
        <v>0</v>
      </c>
      <c r="T972" s="17">
        <v>1</v>
      </c>
      <c r="U972" s="17">
        <v>1</v>
      </c>
      <c r="V972" s="23">
        <v>1</v>
      </c>
    </row>
    <row r="973" ht="33" spans="1:22">
      <c r="A973" s="16">
        <v>12074</v>
      </c>
      <c r="B973" s="16" t="s">
        <v>49</v>
      </c>
      <c r="C973" s="27"/>
      <c r="D973" s="19">
        <v>0</v>
      </c>
      <c r="E973" s="19">
        <v>32</v>
      </c>
      <c r="F973" s="19">
        <v>24</v>
      </c>
      <c r="G973" s="19">
        <v>23</v>
      </c>
      <c r="H973" s="27"/>
      <c r="I973" s="20">
        <v>0</v>
      </c>
      <c r="J973" s="21">
        <v>7020</v>
      </c>
      <c r="K973" s="21">
        <v>5698.62</v>
      </c>
      <c r="L973" s="21">
        <v>5766.52</v>
      </c>
      <c r="M973" s="27"/>
      <c r="N973" s="30">
        <v>0</v>
      </c>
      <c r="O973" s="22">
        <v>1</v>
      </c>
      <c r="P973" s="22">
        <v>0</v>
      </c>
      <c r="Q973" s="22">
        <v>1</v>
      </c>
      <c r="R973" s="18"/>
      <c r="S973" s="17">
        <v>0</v>
      </c>
      <c r="T973" s="17">
        <v>0.96969696969697</v>
      </c>
      <c r="U973" s="17">
        <v>1</v>
      </c>
      <c r="V973" s="23">
        <v>0.958333333333333</v>
      </c>
    </row>
    <row r="974" ht="33" spans="1:22">
      <c r="A974" s="16">
        <v>12075</v>
      </c>
      <c r="B974" s="16" t="s">
        <v>50</v>
      </c>
      <c r="C974" s="27"/>
      <c r="D974" s="19">
        <v>0</v>
      </c>
      <c r="E974" s="19">
        <v>4</v>
      </c>
      <c r="F974" s="19">
        <v>1</v>
      </c>
      <c r="G974" s="19">
        <v>3</v>
      </c>
      <c r="H974" s="27"/>
      <c r="I974" s="20">
        <v>0</v>
      </c>
      <c r="J974" s="21">
        <v>880</v>
      </c>
      <c r="K974" s="21">
        <v>220</v>
      </c>
      <c r="L974" s="21">
        <v>660</v>
      </c>
      <c r="M974" s="27"/>
      <c r="N974" s="30">
        <v>0</v>
      </c>
      <c r="O974" s="22">
        <v>0</v>
      </c>
      <c r="P974" s="22">
        <v>0</v>
      </c>
      <c r="Q974" s="22">
        <v>0</v>
      </c>
      <c r="R974" s="18"/>
      <c r="S974" s="17">
        <v>0</v>
      </c>
      <c r="T974" s="17">
        <v>1</v>
      </c>
      <c r="U974" s="17">
        <v>1</v>
      </c>
      <c r="V974" s="23">
        <v>1</v>
      </c>
    </row>
    <row r="975" ht="33" spans="1:22">
      <c r="A975" s="16">
        <v>12252</v>
      </c>
      <c r="B975" s="16" t="s">
        <v>51</v>
      </c>
      <c r="C975" s="27"/>
      <c r="D975" s="19">
        <v>0</v>
      </c>
      <c r="E975" s="19">
        <v>10</v>
      </c>
      <c r="F975" s="19">
        <v>1</v>
      </c>
      <c r="G975" s="19">
        <v>4</v>
      </c>
      <c r="H975" s="27"/>
      <c r="I975" s="20">
        <v>0</v>
      </c>
      <c r="J975" s="21">
        <v>402</v>
      </c>
      <c r="K975" s="21">
        <v>40</v>
      </c>
      <c r="L975" s="21">
        <v>160</v>
      </c>
      <c r="M975" s="27"/>
      <c r="N975" s="30">
        <v>0</v>
      </c>
      <c r="O975" s="22">
        <v>16</v>
      </c>
      <c r="P975" s="22">
        <v>13</v>
      </c>
      <c r="Q975" s="22">
        <v>10</v>
      </c>
      <c r="R975" s="18"/>
      <c r="S975" s="17">
        <v>0</v>
      </c>
      <c r="T975" s="17">
        <v>0.384615384615385</v>
      </c>
      <c r="U975" s="17">
        <v>0.0714285714285714</v>
      </c>
      <c r="V975" s="23">
        <v>0.285714285714286</v>
      </c>
    </row>
    <row r="976" ht="49.5" spans="1:22">
      <c r="A976" s="16">
        <v>12205</v>
      </c>
      <c r="B976" s="16" t="s">
        <v>1359</v>
      </c>
      <c r="C976" s="27"/>
      <c r="D976" s="19">
        <v>0</v>
      </c>
      <c r="E976" s="19">
        <v>16</v>
      </c>
      <c r="F976" s="19">
        <v>33</v>
      </c>
      <c r="G976" s="19">
        <v>19</v>
      </c>
      <c r="H976" s="27"/>
      <c r="I976" s="20">
        <v>0</v>
      </c>
      <c r="J976" s="21">
        <v>348</v>
      </c>
      <c r="K976" s="21">
        <v>726</v>
      </c>
      <c r="L976" s="21">
        <v>417.36</v>
      </c>
      <c r="M976" s="27"/>
      <c r="N976" s="30">
        <v>0</v>
      </c>
      <c r="O976" s="22">
        <v>121</v>
      </c>
      <c r="P976" s="22">
        <v>85</v>
      </c>
      <c r="Q976" s="22">
        <v>58</v>
      </c>
      <c r="R976" s="18"/>
      <c r="S976" s="17">
        <v>0</v>
      </c>
      <c r="T976" s="17">
        <v>0.116788321167883</v>
      </c>
      <c r="U976" s="17">
        <v>0.279661016949153</v>
      </c>
      <c r="V976" s="23">
        <v>0.246753246753247</v>
      </c>
    </row>
    <row r="977" ht="49.5" spans="1:22">
      <c r="A977" s="16">
        <v>12206</v>
      </c>
      <c r="B977" s="16" t="s">
        <v>1360</v>
      </c>
      <c r="C977" s="27"/>
      <c r="D977" s="19">
        <v>0</v>
      </c>
      <c r="E977" s="19">
        <v>2</v>
      </c>
      <c r="F977" s="19">
        <v>4</v>
      </c>
      <c r="G977" s="19">
        <v>8</v>
      </c>
      <c r="H977" s="27"/>
      <c r="I977" s="20">
        <v>0</v>
      </c>
      <c r="J977" s="21">
        <v>44</v>
      </c>
      <c r="K977" s="21">
        <v>88</v>
      </c>
      <c r="L977" s="21">
        <v>176</v>
      </c>
      <c r="M977" s="27"/>
      <c r="N977" s="30">
        <v>0</v>
      </c>
      <c r="O977" s="22">
        <v>18</v>
      </c>
      <c r="P977" s="22">
        <v>10</v>
      </c>
      <c r="Q977" s="22">
        <v>18</v>
      </c>
      <c r="R977" s="18"/>
      <c r="S977" s="17">
        <v>0</v>
      </c>
      <c r="T977" s="17">
        <v>0.1</v>
      </c>
      <c r="U977" s="17">
        <v>0.285714285714286</v>
      </c>
      <c r="V977" s="23">
        <v>0.307692307692308</v>
      </c>
    </row>
    <row r="978" ht="33" spans="1:22">
      <c r="A978" s="16">
        <v>12165</v>
      </c>
      <c r="B978" s="16" t="s">
        <v>54</v>
      </c>
      <c r="C978" s="27"/>
      <c r="D978" s="19">
        <v>0</v>
      </c>
      <c r="E978" s="19">
        <v>2</v>
      </c>
      <c r="F978" s="19">
        <v>3</v>
      </c>
      <c r="G978" s="19">
        <v>3</v>
      </c>
      <c r="H978" s="27"/>
      <c r="I978" s="20">
        <v>0</v>
      </c>
      <c r="J978" s="21">
        <v>338</v>
      </c>
      <c r="K978" s="21">
        <v>507</v>
      </c>
      <c r="L978" s="21">
        <v>510</v>
      </c>
      <c r="M978" s="27"/>
      <c r="N978" s="30">
        <v>0</v>
      </c>
      <c r="O978" s="22">
        <v>7</v>
      </c>
      <c r="P978" s="22">
        <v>14</v>
      </c>
      <c r="Q978" s="22">
        <v>7</v>
      </c>
      <c r="R978" s="18"/>
      <c r="S978" s="17">
        <v>0</v>
      </c>
      <c r="T978" s="17">
        <v>0.222222222222222</v>
      </c>
      <c r="U978" s="17">
        <v>0.176470588235294</v>
      </c>
      <c r="V978" s="23">
        <v>0.3</v>
      </c>
    </row>
    <row r="979" ht="33" spans="1:22">
      <c r="A979" s="16">
        <v>12240</v>
      </c>
      <c r="B979" s="16" t="s">
        <v>525</v>
      </c>
      <c r="C979" s="27"/>
      <c r="D979" s="19">
        <v>0</v>
      </c>
      <c r="E979" s="19">
        <v>11</v>
      </c>
      <c r="F979" s="19">
        <v>6</v>
      </c>
      <c r="G979" s="19">
        <v>4</v>
      </c>
      <c r="H979" s="27"/>
      <c r="I979" s="20">
        <v>0</v>
      </c>
      <c r="J979" s="21">
        <v>670</v>
      </c>
      <c r="K979" s="21">
        <v>360</v>
      </c>
      <c r="L979" s="21">
        <v>238</v>
      </c>
      <c r="M979" s="27"/>
      <c r="N979" s="29">
        <v>0</v>
      </c>
      <c r="O979" s="22">
        <v>4</v>
      </c>
      <c r="P979" s="22">
        <v>9</v>
      </c>
      <c r="Q979" s="22">
        <v>6</v>
      </c>
      <c r="R979" s="18"/>
      <c r="S979" s="17">
        <v>0</v>
      </c>
      <c r="T979" s="17">
        <v>0.733333333333333</v>
      </c>
      <c r="U979" s="17">
        <v>0.4</v>
      </c>
      <c r="V979" s="23">
        <v>0.4</v>
      </c>
    </row>
    <row r="980" ht="33" spans="1:22">
      <c r="A980" s="16">
        <v>12225</v>
      </c>
      <c r="B980" s="16" t="s">
        <v>526</v>
      </c>
      <c r="C980" s="27"/>
      <c r="D980" s="19">
        <v>0</v>
      </c>
      <c r="E980" s="19">
        <v>4</v>
      </c>
      <c r="F980" s="19">
        <v>3</v>
      </c>
      <c r="G980" s="19">
        <v>7</v>
      </c>
      <c r="H980" s="27"/>
      <c r="I980" s="20">
        <v>0</v>
      </c>
      <c r="J980" s="21">
        <v>236</v>
      </c>
      <c r="K980" s="21">
        <v>174.05</v>
      </c>
      <c r="L980" s="21">
        <v>413</v>
      </c>
      <c r="M980" s="27"/>
      <c r="N980" s="29">
        <v>0</v>
      </c>
      <c r="O980" s="22">
        <v>1</v>
      </c>
      <c r="P980" s="22">
        <v>0</v>
      </c>
      <c r="Q980" s="22">
        <v>19</v>
      </c>
      <c r="R980" s="18"/>
      <c r="S980" s="17">
        <v>0</v>
      </c>
      <c r="T980" s="17">
        <v>0.8</v>
      </c>
      <c r="U980" s="17">
        <v>1</v>
      </c>
      <c r="V980" s="23">
        <v>0.269230769230769</v>
      </c>
    </row>
    <row r="981" ht="33" spans="1:22">
      <c r="A981" s="16">
        <v>12248</v>
      </c>
      <c r="B981" s="16" t="s">
        <v>61</v>
      </c>
      <c r="C981" s="27"/>
      <c r="D981" s="19">
        <v>0</v>
      </c>
      <c r="E981" s="19">
        <v>10</v>
      </c>
      <c r="F981" s="19">
        <v>19</v>
      </c>
      <c r="G981" s="19">
        <v>17</v>
      </c>
      <c r="H981" s="27"/>
      <c r="I981" s="20">
        <v>0</v>
      </c>
      <c r="J981" s="21">
        <v>850</v>
      </c>
      <c r="K981" s="21">
        <v>1622</v>
      </c>
      <c r="L981" s="21">
        <v>1454</v>
      </c>
      <c r="M981" s="27"/>
      <c r="N981" s="30">
        <v>0</v>
      </c>
      <c r="O981" s="22">
        <v>6</v>
      </c>
      <c r="P981" s="22">
        <v>9</v>
      </c>
      <c r="Q981" s="22">
        <v>11</v>
      </c>
      <c r="R981" s="18"/>
      <c r="S981" s="17">
        <v>0</v>
      </c>
      <c r="T981" s="17">
        <v>0.625</v>
      </c>
      <c r="U981" s="17">
        <v>0.678571428571429</v>
      </c>
      <c r="V981" s="23">
        <v>0.607142857142857</v>
      </c>
    </row>
    <row r="982" ht="33" spans="1:22">
      <c r="A982" s="16">
        <v>12246</v>
      </c>
      <c r="B982" s="16" t="s">
        <v>62</v>
      </c>
      <c r="C982" s="27"/>
      <c r="D982" s="19">
        <v>0</v>
      </c>
      <c r="E982" s="19">
        <v>33</v>
      </c>
      <c r="F982" s="19">
        <v>48</v>
      </c>
      <c r="G982" s="19">
        <v>36</v>
      </c>
      <c r="H982" s="27"/>
      <c r="I982" s="20">
        <v>0</v>
      </c>
      <c r="J982" s="21">
        <v>3073</v>
      </c>
      <c r="K982" s="21">
        <v>4153.75</v>
      </c>
      <c r="L982" s="21">
        <v>3323</v>
      </c>
      <c r="M982" s="27"/>
      <c r="N982" s="30">
        <v>0</v>
      </c>
      <c r="O982" s="22">
        <v>3</v>
      </c>
      <c r="P982" s="22">
        <v>0</v>
      </c>
      <c r="Q982" s="22">
        <v>2</v>
      </c>
      <c r="R982" s="18"/>
      <c r="S982" s="17">
        <v>0</v>
      </c>
      <c r="T982" s="17">
        <v>0.916666666666667</v>
      </c>
      <c r="U982" s="17">
        <v>1</v>
      </c>
      <c r="V982" s="23">
        <v>0.947368421052632</v>
      </c>
    </row>
    <row r="983" ht="33" spans="1:22">
      <c r="A983" s="16">
        <v>12247</v>
      </c>
      <c r="B983" s="16" t="s">
        <v>55</v>
      </c>
      <c r="C983" s="27"/>
      <c r="D983" s="19">
        <v>0</v>
      </c>
      <c r="E983" s="19">
        <v>21</v>
      </c>
      <c r="F983" s="19">
        <v>17</v>
      </c>
      <c r="G983" s="19">
        <v>21</v>
      </c>
      <c r="H983" s="27"/>
      <c r="I983" s="20">
        <v>0</v>
      </c>
      <c r="J983" s="21">
        <v>1739</v>
      </c>
      <c r="K983" s="21">
        <v>1556.53</v>
      </c>
      <c r="L983" s="21">
        <v>2089.5</v>
      </c>
      <c r="M983" s="27"/>
      <c r="N983" s="30">
        <v>0</v>
      </c>
      <c r="O983" s="22">
        <v>0</v>
      </c>
      <c r="P983" s="22">
        <v>0</v>
      </c>
      <c r="Q983" s="22">
        <v>0</v>
      </c>
      <c r="R983" s="18"/>
      <c r="S983" s="17">
        <v>0</v>
      </c>
      <c r="T983" s="17">
        <v>1</v>
      </c>
      <c r="U983" s="17">
        <v>1</v>
      </c>
      <c r="V983" s="23">
        <v>1</v>
      </c>
    </row>
    <row r="984" ht="33" spans="1:22">
      <c r="A984" s="16">
        <v>11997</v>
      </c>
      <c r="B984" s="16" t="s">
        <v>65</v>
      </c>
      <c r="C984" s="27"/>
      <c r="D984" s="19">
        <v>0</v>
      </c>
      <c r="E984" s="19">
        <v>1</v>
      </c>
      <c r="F984" s="19">
        <v>7</v>
      </c>
      <c r="G984" s="19">
        <v>6</v>
      </c>
      <c r="H984" s="27"/>
      <c r="I984" s="20">
        <v>0</v>
      </c>
      <c r="J984" s="21">
        <v>139</v>
      </c>
      <c r="K984" s="21">
        <v>966.05</v>
      </c>
      <c r="L984" s="21">
        <v>827.05</v>
      </c>
      <c r="M984" s="27"/>
      <c r="N984" s="22">
        <v>0</v>
      </c>
      <c r="O984" s="22">
        <v>2</v>
      </c>
      <c r="P984" s="22">
        <v>1</v>
      </c>
      <c r="Q984" s="22">
        <v>0</v>
      </c>
      <c r="R984" s="18"/>
      <c r="S984" s="17">
        <v>0</v>
      </c>
      <c r="T984" s="17">
        <v>0.333333333333333</v>
      </c>
      <c r="U984" s="17">
        <v>0.875</v>
      </c>
      <c r="V984" s="23">
        <v>1</v>
      </c>
    </row>
    <row r="985" ht="33" spans="1:22">
      <c r="A985" s="16">
        <v>12071</v>
      </c>
      <c r="B985" s="16" t="s">
        <v>59</v>
      </c>
      <c r="C985" s="27"/>
      <c r="D985" s="19">
        <v>0</v>
      </c>
      <c r="E985" s="19">
        <v>2</v>
      </c>
      <c r="F985" s="19">
        <v>4</v>
      </c>
      <c r="G985" s="19">
        <v>5</v>
      </c>
      <c r="H985" s="27"/>
      <c r="I985" s="20">
        <v>0</v>
      </c>
      <c r="J985" s="21">
        <v>598</v>
      </c>
      <c r="K985" s="21">
        <v>1196</v>
      </c>
      <c r="L985" s="21">
        <v>1480.05</v>
      </c>
      <c r="M985" s="27"/>
      <c r="N985" s="30">
        <v>0</v>
      </c>
      <c r="O985" s="22">
        <v>1</v>
      </c>
      <c r="P985" s="22">
        <v>1</v>
      </c>
      <c r="Q985" s="22">
        <v>1</v>
      </c>
      <c r="R985" s="18"/>
      <c r="S985" s="17">
        <v>0</v>
      </c>
      <c r="T985" s="17">
        <v>0.666666666666667</v>
      </c>
      <c r="U985" s="17">
        <v>0.8</v>
      </c>
      <c r="V985" s="23">
        <v>0.833333333333333</v>
      </c>
    </row>
    <row r="986" ht="33" spans="1:22">
      <c r="A986" s="16">
        <v>12304</v>
      </c>
      <c r="B986" s="16" t="s">
        <v>69</v>
      </c>
      <c r="C986" s="27"/>
      <c r="D986" s="19">
        <v>0</v>
      </c>
      <c r="E986" s="19">
        <v>7</v>
      </c>
      <c r="F986" s="19">
        <v>3</v>
      </c>
      <c r="G986" s="19">
        <v>3</v>
      </c>
      <c r="H986" s="27"/>
      <c r="I986" s="20">
        <v>0</v>
      </c>
      <c r="J986" s="21">
        <v>3493</v>
      </c>
      <c r="K986" s="21">
        <v>1497</v>
      </c>
      <c r="L986" s="21">
        <v>1472.05</v>
      </c>
      <c r="M986" s="27"/>
      <c r="N986" s="22">
        <v>0</v>
      </c>
      <c r="O986" s="22">
        <v>0</v>
      </c>
      <c r="P986" s="22">
        <v>4</v>
      </c>
      <c r="Q986" s="22">
        <v>1</v>
      </c>
      <c r="R986" s="18"/>
      <c r="S986" s="17">
        <v>0</v>
      </c>
      <c r="T986" s="17">
        <v>1</v>
      </c>
      <c r="U986" s="17">
        <v>0.428571428571429</v>
      </c>
      <c r="V986" s="23">
        <v>0.75</v>
      </c>
    </row>
    <row r="987" ht="33" spans="1:22">
      <c r="A987" s="16">
        <v>12086</v>
      </c>
      <c r="B987" s="16" t="s">
        <v>72</v>
      </c>
      <c r="C987" s="27"/>
      <c r="D987" s="19">
        <v>0</v>
      </c>
      <c r="E987" s="19">
        <v>5</v>
      </c>
      <c r="F987" s="19">
        <v>17</v>
      </c>
      <c r="G987" s="19">
        <v>9</v>
      </c>
      <c r="H987" s="27"/>
      <c r="I987" s="20">
        <v>0</v>
      </c>
      <c r="J987" s="21">
        <v>375</v>
      </c>
      <c r="K987" s="21">
        <v>1271.25</v>
      </c>
      <c r="L987" s="21">
        <v>664.3</v>
      </c>
      <c r="M987" s="27"/>
      <c r="N987" s="22">
        <v>0</v>
      </c>
      <c r="O987" s="22">
        <v>17</v>
      </c>
      <c r="P987" s="22">
        <v>20</v>
      </c>
      <c r="Q987" s="22">
        <v>25</v>
      </c>
      <c r="R987" s="18"/>
      <c r="S987" s="17">
        <v>0</v>
      </c>
      <c r="T987" s="17">
        <v>0.227272727272727</v>
      </c>
      <c r="U987" s="17">
        <v>0.459459459459459</v>
      </c>
      <c r="V987" s="23">
        <v>0.264705882352941</v>
      </c>
    </row>
    <row r="988" ht="33" spans="1:22">
      <c r="A988" s="16">
        <v>12258</v>
      </c>
      <c r="B988" s="16" t="s">
        <v>73</v>
      </c>
      <c r="C988" s="27"/>
      <c r="D988" s="19">
        <v>0</v>
      </c>
      <c r="E988" s="19">
        <v>9</v>
      </c>
      <c r="F988" s="19">
        <v>33</v>
      </c>
      <c r="G988" s="19">
        <v>57</v>
      </c>
      <c r="H988" s="27"/>
      <c r="I988" s="20">
        <v>0</v>
      </c>
      <c r="J988" s="21">
        <v>252</v>
      </c>
      <c r="K988" s="21">
        <v>924</v>
      </c>
      <c r="L988" s="21">
        <v>1594.6</v>
      </c>
      <c r="M988" s="27"/>
      <c r="N988" s="22">
        <v>0</v>
      </c>
      <c r="O988" s="22">
        <v>36</v>
      </c>
      <c r="P988" s="22">
        <v>67</v>
      </c>
      <c r="Q988" s="22">
        <v>90</v>
      </c>
      <c r="R988" s="18"/>
      <c r="S988" s="17">
        <v>0</v>
      </c>
      <c r="T988" s="17">
        <v>0.2</v>
      </c>
      <c r="U988" s="17">
        <v>0.33</v>
      </c>
      <c r="V988" s="23">
        <v>0.387755102040816</v>
      </c>
    </row>
    <row r="989" ht="33" spans="1:22">
      <c r="A989" s="16">
        <v>12210</v>
      </c>
      <c r="B989" s="16" t="s">
        <v>74</v>
      </c>
      <c r="C989" s="27"/>
      <c r="D989" s="19">
        <v>0</v>
      </c>
      <c r="E989" s="19">
        <v>3</v>
      </c>
      <c r="F989" s="19">
        <v>30</v>
      </c>
      <c r="G989" s="19">
        <v>30</v>
      </c>
      <c r="H989" s="27"/>
      <c r="I989" s="20">
        <v>0</v>
      </c>
      <c r="J989" s="21">
        <v>36</v>
      </c>
      <c r="K989" s="21">
        <v>358.16</v>
      </c>
      <c r="L989" s="21">
        <v>342.2</v>
      </c>
      <c r="M989" s="27"/>
      <c r="N989" s="22">
        <v>0</v>
      </c>
      <c r="O989" s="22">
        <v>105</v>
      </c>
      <c r="P989" s="22">
        <v>102</v>
      </c>
      <c r="Q989" s="22">
        <v>96</v>
      </c>
      <c r="R989" s="18"/>
      <c r="S989" s="17">
        <v>0</v>
      </c>
      <c r="T989" s="17">
        <v>0.0277777777777778</v>
      </c>
      <c r="U989" s="17">
        <v>0.227272727272727</v>
      </c>
      <c r="V989" s="23">
        <v>0.238095238095238</v>
      </c>
    </row>
    <row r="990" ht="33" spans="1:22">
      <c r="A990" s="16">
        <v>12250</v>
      </c>
      <c r="B990" s="16" t="s">
        <v>75</v>
      </c>
      <c r="C990" s="27"/>
      <c r="D990" s="19">
        <v>0</v>
      </c>
      <c r="E990" s="19">
        <v>2</v>
      </c>
      <c r="F990" s="19">
        <v>2</v>
      </c>
      <c r="G990" s="19">
        <v>4</v>
      </c>
      <c r="H990" s="27"/>
      <c r="I990" s="20">
        <v>0</v>
      </c>
      <c r="J990" s="21">
        <v>78</v>
      </c>
      <c r="K990" s="21">
        <v>78</v>
      </c>
      <c r="L990" s="21">
        <v>141</v>
      </c>
      <c r="M990" s="27"/>
      <c r="N990" s="22">
        <v>0</v>
      </c>
      <c r="O990" s="22">
        <v>3</v>
      </c>
      <c r="P990" s="22">
        <v>2</v>
      </c>
      <c r="Q990" s="22">
        <v>2</v>
      </c>
      <c r="R990" s="18"/>
      <c r="S990" s="17">
        <v>0</v>
      </c>
      <c r="T990" s="17">
        <v>0.4</v>
      </c>
      <c r="U990" s="17">
        <v>0.5</v>
      </c>
      <c r="V990" s="23">
        <v>0.666666666666667</v>
      </c>
    </row>
    <row r="991" ht="33" spans="1:22">
      <c r="A991" s="16">
        <v>12251</v>
      </c>
      <c r="B991" s="16" t="s">
        <v>78</v>
      </c>
      <c r="C991" s="27"/>
      <c r="D991" s="19">
        <v>0</v>
      </c>
      <c r="E991" s="19">
        <v>1</v>
      </c>
      <c r="F991" s="19">
        <v>2</v>
      </c>
      <c r="G991" s="19">
        <v>1</v>
      </c>
      <c r="H991" s="27"/>
      <c r="I991" s="20">
        <v>0</v>
      </c>
      <c r="J991" s="21">
        <v>39</v>
      </c>
      <c r="K991" s="21">
        <v>78</v>
      </c>
      <c r="L991" s="21">
        <v>34</v>
      </c>
      <c r="M991" s="27"/>
      <c r="N991" s="22">
        <v>0</v>
      </c>
      <c r="O991" s="22">
        <v>4</v>
      </c>
      <c r="P991" s="22">
        <v>1</v>
      </c>
      <c r="Q991" s="22">
        <v>3</v>
      </c>
      <c r="R991" s="18"/>
      <c r="S991" s="17">
        <v>0</v>
      </c>
      <c r="T991" s="17">
        <v>0.2</v>
      </c>
      <c r="U991" s="17">
        <v>0.666666666666667</v>
      </c>
      <c r="V991" s="23">
        <v>0.25</v>
      </c>
    </row>
    <row r="992" ht="33" spans="1:22">
      <c r="A992" s="16">
        <v>12262</v>
      </c>
      <c r="B992" s="16" t="s">
        <v>66</v>
      </c>
      <c r="C992" s="27"/>
      <c r="D992" s="19">
        <v>0</v>
      </c>
      <c r="E992" s="19">
        <v>3</v>
      </c>
      <c r="F992" s="19">
        <v>4</v>
      </c>
      <c r="G992" s="19">
        <v>3</v>
      </c>
      <c r="H992" s="27"/>
      <c r="I992" s="20">
        <v>0</v>
      </c>
      <c r="J992" s="21">
        <v>426</v>
      </c>
      <c r="K992" s="21">
        <v>568</v>
      </c>
      <c r="L992" s="21">
        <v>426</v>
      </c>
      <c r="M992" s="27"/>
      <c r="N992" s="22">
        <v>0</v>
      </c>
      <c r="O992" s="22">
        <v>2</v>
      </c>
      <c r="P992" s="22">
        <v>1</v>
      </c>
      <c r="Q992" s="22">
        <v>2</v>
      </c>
      <c r="R992" s="18"/>
      <c r="S992" s="17">
        <v>0</v>
      </c>
      <c r="T992" s="17">
        <v>0.6</v>
      </c>
      <c r="U992" s="17">
        <v>0.8</v>
      </c>
      <c r="V992" s="23">
        <v>0.6</v>
      </c>
    </row>
    <row r="993" ht="33" spans="1:22">
      <c r="A993" s="16">
        <v>12244</v>
      </c>
      <c r="B993" s="16" t="s">
        <v>67</v>
      </c>
      <c r="C993" s="27"/>
      <c r="D993" s="19">
        <v>0</v>
      </c>
      <c r="E993" s="19">
        <v>2</v>
      </c>
      <c r="F993" s="19">
        <v>5</v>
      </c>
      <c r="G993" s="19">
        <v>1</v>
      </c>
      <c r="H993" s="27"/>
      <c r="I993" s="20">
        <v>0</v>
      </c>
      <c r="J993" s="21">
        <v>76</v>
      </c>
      <c r="K993" s="21">
        <v>190</v>
      </c>
      <c r="L993" s="21">
        <v>38</v>
      </c>
      <c r="M993" s="27"/>
      <c r="N993" s="22">
        <v>0</v>
      </c>
      <c r="O993" s="22">
        <v>7</v>
      </c>
      <c r="P993" s="22">
        <v>1</v>
      </c>
      <c r="Q993" s="22">
        <v>3</v>
      </c>
      <c r="R993" s="18"/>
      <c r="S993" s="17">
        <v>0</v>
      </c>
      <c r="T993" s="17">
        <v>0.222222222222222</v>
      </c>
      <c r="U993" s="17">
        <v>0.833333333333333</v>
      </c>
      <c r="V993" s="23">
        <v>0.25</v>
      </c>
    </row>
    <row r="994" ht="33" spans="1:22">
      <c r="A994" s="16">
        <v>12243</v>
      </c>
      <c r="B994" s="16" t="s">
        <v>68</v>
      </c>
      <c r="C994" s="27"/>
      <c r="D994" s="19">
        <v>0</v>
      </c>
      <c r="E994" s="19">
        <v>4</v>
      </c>
      <c r="F994" s="19">
        <v>4</v>
      </c>
      <c r="G994" s="19">
        <v>7</v>
      </c>
      <c r="H994" s="27"/>
      <c r="I994" s="20">
        <v>0</v>
      </c>
      <c r="J994" s="21">
        <v>152</v>
      </c>
      <c r="K994" s="21">
        <v>152</v>
      </c>
      <c r="L994" s="21">
        <v>261.82</v>
      </c>
      <c r="M994" s="27"/>
      <c r="N994" s="22">
        <v>0</v>
      </c>
      <c r="O994" s="22">
        <v>7</v>
      </c>
      <c r="P994" s="22">
        <v>6</v>
      </c>
      <c r="Q994" s="22">
        <v>4</v>
      </c>
      <c r="R994" s="18"/>
      <c r="S994" s="17">
        <v>0</v>
      </c>
      <c r="T994" s="17">
        <v>0.363636363636364</v>
      </c>
      <c r="U994" s="17">
        <v>0.4</v>
      </c>
      <c r="V994" s="23">
        <v>0.636363636363636</v>
      </c>
    </row>
    <row r="995" ht="33" spans="1:22">
      <c r="A995" s="16">
        <v>12332</v>
      </c>
      <c r="B995" s="16" t="s">
        <v>79</v>
      </c>
      <c r="C995" s="27"/>
      <c r="D995" s="19">
        <v>0</v>
      </c>
      <c r="E995" s="19">
        <v>14</v>
      </c>
      <c r="F995" s="19">
        <v>19</v>
      </c>
      <c r="G995" s="19">
        <v>14</v>
      </c>
      <c r="H995" s="27"/>
      <c r="I995" s="20">
        <v>0</v>
      </c>
      <c r="J995" s="21">
        <v>1526</v>
      </c>
      <c r="K995" s="21">
        <v>2166</v>
      </c>
      <c r="L995" s="21">
        <v>1596</v>
      </c>
      <c r="M995" s="27"/>
      <c r="N995" s="22">
        <v>0</v>
      </c>
      <c r="O995" s="22">
        <v>4</v>
      </c>
      <c r="P995" s="22">
        <v>5</v>
      </c>
      <c r="Q995" s="22">
        <v>6</v>
      </c>
      <c r="R995" s="18"/>
      <c r="S995" s="17">
        <v>0</v>
      </c>
      <c r="T995" s="17">
        <v>0.777777777777778</v>
      </c>
      <c r="U995" s="17">
        <v>0.791666666666667</v>
      </c>
      <c r="V995" s="23">
        <v>0.7</v>
      </c>
    </row>
    <row r="996" ht="33" spans="1:22">
      <c r="A996" s="16">
        <v>12368</v>
      </c>
      <c r="B996" s="16" t="s">
        <v>97</v>
      </c>
      <c r="C996" s="27"/>
      <c r="D996" s="19">
        <v>0</v>
      </c>
      <c r="E996" s="19">
        <v>4</v>
      </c>
      <c r="F996" s="19">
        <v>11</v>
      </c>
      <c r="G996" s="19">
        <v>9</v>
      </c>
      <c r="H996" s="27"/>
      <c r="I996" s="20">
        <v>0</v>
      </c>
      <c r="J996" s="21">
        <v>380</v>
      </c>
      <c r="K996" s="21">
        <v>1045</v>
      </c>
      <c r="L996" s="21">
        <v>883.02</v>
      </c>
      <c r="M996" s="27"/>
      <c r="N996" s="22">
        <v>0</v>
      </c>
      <c r="O996" s="22">
        <v>0</v>
      </c>
      <c r="P996" s="22">
        <v>0</v>
      </c>
      <c r="Q996" s="22">
        <v>3</v>
      </c>
      <c r="R996" s="18"/>
      <c r="S996" s="17">
        <v>0</v>
      </c>
      <c r="T996" s="17">
        <v>1</v>
      </c>
      <c r="U996" s="17">
        <v>1</v>
      </c>
      <c r="V996" s="23">
        <v>0.75</v>
      </c>
    </row>
    <row r="997" ht="33" spans="1:22">
      <c r="A997" s="16">
        <v>12085</v>
      </c>
      <c r="B997" s="16" t="s">
        <v>71</v>
      </c>
      <c r="C997" s="27"/>
      <c r="D997" s="19">
        <v>0</v>
      </c>
      <c r="E997" s="19">
        <v>5</v>
      </c>
      <c r="F997" s="19">
        <v>10</v>
      </c>
      <c r="G997" s="19">
        <v>10</v>
      </c>
      <c r="H997" s="27"/>
      <c r="I997" s="20">
        <v>0</v>
      </c>
      <c r="J997" s="21">
        <v>425</v>
      </c>
      <c r="K997" s="21">
        <v>845.75</v>
      </c>
      <c r="L997" s="21">
        <v>845.75</v>
      </c>
      <c r="M997" s="27"/>
      <c r="N997" s="22">
        <v>0</v>
      </c>
      <c r="O997" s="22">
        <v>8</v>
      </c>
      <c r="P997" s="22">
        <v>9</v>
      </c>
      <c r="Q997" s="22">
        <v>4</v>
      </c>
      <c r="R997" s="18"/>
      <c r="S997" s="17">
        <v>0</v>
      </c>
      <c r="T997" s="17">
        <v>0.384615384615385</v>
      </c>
      <c r="U997" s="17">
        <v>0.526315789473684</v>
      </c>
      <c r="V997" s="23">
        <v>0.714285714285714</v>
      </c>
    </row>
    <row r="998" ht="33" spans="1:22">
      <c r="A998" s="16">
        <v>12227</v>
      </c>
      <c r="B998" s="16" t="s">
        <v>80</v>
      </c>
      <c r="C998" s="27"/>
      <c r="D998" s="19">
        <v>0</v>
      </c>
      <c r="E998" s="19">
        <v>8</v>
      </c>
      <c r="F998" s="19">
        <v>11</v>
      </c>
      <c r="G998" s="19">
        <v>17</v>
      </c>
      <c r="H998" s="27"/>
      <c r="I998" s="20">
        <v>0</v>
      </c>
      <c r="J998" s="21">
        <v>552</v>
      </c>
      <c r="K998" s="21">
        <v>749</v>
      </c>
      <c r="L998" s="21">
        <v>1192.07</v>
      </c>
      <c r="M998" s="27"/>
      <c r="N998" s="22">
        <v>0</v>
      </c>
      <c r="O998" s="22">
        <v>4</v>
      </c>
      <c r="P998" s="22">
        <v>5</v>
      </c>
      <c r="Q998" s="22">
        <v>5</v>
      </c>
      <c r="R998" s="18"/>
      <c r="S998" s="17">
        <v>0</v>
      </c>
      <c r="T998" s="17">
        <v>0.666666666666667</v>
      </c>
      <c r="U998" s="17">
        <v>0.6875</v>
      </c>
      <c r="V998" s="23">
        <v>0.772727272727273</v>
      </c>
    </row>
    <row r="999" ht="33" spans="1:22">
      <c r="A999" s="16">
        <v>12271</v>
      </c>
      <c r="B999" s="16" t="s">
        <v>87</v>
      </c>
      <c r="C999" s="27"/>
      <c r="D999" s="19">
        <v>0</v>
      </c>
      <c r="E999" s="19">
        <v>72</v>
      </c>
      <c r="F999" s="19">
        <v>31</v>
      </c>
      <c r="G999" s="19">
        <v>8</v>
      </c>
      <c r="H999" s="27"/>
      <c r="I999" s="20">
        <v>0</v>
      </c>
      <c r="J999" s="21">
        <v>17775</v>
      </c>
      <c r="K999" s="21">
        <v>9300</v>
      </c>
      <c r="L999" s="21">
        <v>2400</v>
      </c>
      <c r="M999" s="27"/>
      <c r="N999" s="22">
        <v>0</v>
      </c>
      <c r="O999" s="22">
        <v>2</v>
      </c>
      <c r="P999" s="22">
        <v>2</v>
      </c>
      <c r="Q999" s="22">
        <v>3</v>
      </c>
      <c r="R999" s="18"/>
      <c r="S999" s="17">
        <v>0</v>
      </c>
      <c r="T999" s="17">
        <v>0.972972972972973</v>
      </c>
      <c r="U999" s="17">
        <v>0.939393939393939</v>
      </c>
      <c r="V999" s="23">
        <v>0.727272727272727</v>
      </c>
    </row>
    <row r="1000" ht="33" spans="1:22">
      <c r="A1000" s="16">
        <v>12270</v>
      </c>
      <c r="B1000" s="16" t="s">
        <v>88</v>
      </c>
      <c r="C1000" s="27"/>
      <c r="D1000" s="19">
        <v>0</v>
      </c>
      <c r="E1000" s="19">
        <v>15</v>
      </c>
      <c r="F1000" s="19">
        <v>3</v>
      </c>
      <c r="G1000" s="19">
        <v>2</v>
      </c>
      <c r="H1000" s="27"/>
      <c r="I1000" s="20">
        <v>0</v>
      </c>
      <c r="J1000" s="21">
        <v>3740</v>
      </c>
      <c r="K1000" s="21">
        <v>810</v>
      </c>
      <c r="L1000" s="21">
        <v>540</v>
      </c>
      <c r="M1000" s="27"/>
      <c r="N1000" s="22">
        <v>0</v>
      </c>
      <c r="O1000" s="22">
        <v>1</v>
      </c>
      <c r="P1000" s="22">
        <v>0</v>
      </c>
      <c r="Q1000" s="22">
        <v>0</v>
      </c>
      <c r="R1000" s="18"/>
      <c r="S1000" s="17">
        <v>0</v>
      </c>
      <c r="T1000" s="17">
        <v>0.9375</v>
      </c>
      <c r="U1000" s="17">
        <v>1</v>
      </c>
      <c r="V1000" s="23">
        <v>1</v>
      </c>
    </row>
    <row r="1001" ht="33" spans="1:22">
      <c r="A1001" s="16">
        <v>12292</v>
      </c>
      <c r="B1001" s="16" t="s">
        <v>94</v>
      </c>
      <c r="C1001" s="27"/>
      <c r="D1001" s="19">
        <v>0</v>
      </c>
      <c r="E1001" s="19">
        <v>4</v>
      </c>
      <c r="F1001" s="19">
        <v>5</v>
      </c>
      <c r="G1001" s="19">
        <v>3</v>
      </c>
      <c r="H1001" s="27"/>
      <c r="I1001" s="20">
        <v>0</v>
      </c>
      <c r="J1001" s="21">
        <v>380</v>
      </c>
      <c r="K1001" s="21">
        <v>451</v>
      </c>
      <c r="L1001" s="21">
        <v>267</v>
      </c>
      <c r="M1001" s="27"/>
      <c r="N1001" s="22">
        <v>0</v>
      </c>
      <c r="O1001" s="22">
        <v>0</v>
      </c>
      <c r="P1001" s="22">
        <v>0</v>
      </c>
      <c r="Q1001" s="22">
        <v>8</v>
      </c>
      <c r="R1001" s="18"/>
      <c r="S1001" s="17">
        <v>0</v>
      </c>
      <c r="T1001" s="17">
        <v>1</v>
      </c>
      <c r="U1001" s="17">
        <v>1</v>
      </c>
      <c r="V1001" s="23">
        <v>0.272727272727273</v>
      </c>
    </row>
    <row r="1002" ht="33" spans="1:22">
      <c r="A1002" s="16">
        <v>12213</v>
      </c>
      <c r="B1002" s="16" t="s">
        <v>124</v>
      </c>
      <c r="C1002" s="27"/>
      <c r="D1002" s="19">
        <v>0</v>
      </c>
      <c r="E1002" s="19">
        <v>0</v>
      </c>
      <c r="F1002" s="19">
        <v>73</v>
      </c>
      <c r="G1002" s="19">
        <v>46</v>
      </c>
      <c r="H1002" s="27"/>
      <c r="I1002" s="20">
        <v>0</v>
      </c>
      <c r="J1002" s="21">
        <v>0</v>
      </c>
      <c r="K1002" s="21">
        <v>2555</v>
      </c>
      <c r="L1002" s="21">
        <v>1610</v>
      </c>
      <c r="M1002" s="27"/>
      <c r="N1002" s="22">
        <v>0</v>
      </c>
      <c r="O1002" s="22">
        <v>10</v>
      </c>
      <c r="P1002" s="22">
        <v>41</v>
      </c>
      <c r="Q1002" s="22">
        <v>19</v>
      </c>
      <c r="R1002" s="18"/>
      <c r="S1002" s="17">
        <v>0</v>
      </c>
      <c r="T1002" s="17">
        <v>0</v>
      </c>
      <c r="U1002" s="17">
        <v>0.640350877192982</v>
      </c>
      <c r="V1002" s="23">
        <v>0.707692307692308</v>
      </c>
    </row>
    <row r="1003" ht="33" spans="1:22">
      <c r="A1003" s="16">
        <v>12293</v>
      </c>
      <c r="B1003" s="16" t="s">
        <v>101</v>
      </c>
      <c r="C1003" s="27"/>
      <c r="D1003" s="19">
        <v>0</v>
      </c>
      <c r="E1003" s="19">
        <v>1</v>
      </c>
      <c r="F1003" s="19">
        <v>3</v>
      </c>
      <c r="G1003" s="19">
        <v>0</v>
      </c>
      <c r="H1003" s="27"/>
      <c r="I1003" s="20">
        <v>0</v>
      </c>
      <c r="J1003" s="21">
        <v>55</v>
      </c>
      <c r="K1003" s="21">
        <v>162.25</v>
      </c>
      <c r="L1003" s="21">
        <v>0</v>
      </c>
      <c r="M1003" s="27"/>
      <c r="N1003" s="22">
        <v>0</v>
      </c>
      <c r="O1003" s="22">
        <v>1</v>
      </c>
      <c r="P1003" s="22">
        <v>0</v>
      </c>
      <c r="Q1003" s="22">
        <v>1</v>
      </c>
      <c r="R1003" s="18"/>
      <c r="S1003" s="17">
        <v>0</v>
      </c>
      <c r="T1003" s="17">
        <v>0.5</v>
      </c>
      <c r="U1003" s="17">
        <v>1</v>
      </c>
      <c r="V1003" s="23">
        <v>0</v>
      </c>
    </row>
    <row r="1004" ht="33" spans="1:22">
      <c r="A1004" s="16">
        <v>12298</v>
      </c>
      <c r="B1004" s="16" t="s">
        <v>102</v>
      </c>
      <c r="C1004" s="27"/>
      <c r="D1004" s="19">
        <v>0</v>
      </c>
      <c r="E1004" s="19">
        <v>0</v>
      </c>
      <c r="F1004" s="19">
        <v>0</v>
      </c>
      <c r="G1004" s="19">
        <v>1</v>
      </c>
      <c r="H1004" s="27"/>
      <c r="I1004" s="20">
        <v>0</v>
      </c>
      <c r="J1004" s="21">
        <v>0</v>
      </c>
      <c r="K1004" s="21">
        <v>0</v>
      </c>
      <c r="L1004" s="21">
        <v>24.78</v>
      </c>
      <c r="M1004" s="27"/>
      <c r="N1004" s="22">
        <v>0</v>
      </c>
      <c r="O1004" s="22">
        <v>2</v>
      </c>
      <c r="P1004" s="22">
        <v>4</v>
      </c>
      <c r="Q1004" s="22">
        <v>4</v>
      </c>
      <c r="R1004" s="18"/>
      <c r="S1004" s="17">
        <v>0</v>
      </c>
      <c r="T1004" s="17">
        <v>0</v>
      </c>
      <c r="U1004" s="17">
        <v>0</v>
      </c>
      <c r="V1004" s="23">
        <v>0.2</v>
      </c>
    </row>
    <row r="1005" ht="33" spans="1:22">
      <c r="A1005" s="16">
        <v>12299</v>
      </c>
      <c r="B1005" s="16" t="s">
        <v>104</v>
      </c>
      <c r="C1005" s="27"/>
      <c r="D1005" s="19">
        <v>0</v>
      </c>
      <c r="E1005" s="19">
        <v>0</v>
      </c>
      <c r="F1005" s="19">
        <v>5</v>
      </c>
      <c r="G1005" s="19">
        <v>1</v>
      </c>
      <c r="H1005" s="27"/>
      <c r="I1005" s="20">
        <v>0</v>
      </c>
      <c r="J1005" s="21">
        <v>0</v>
      </c>
      <c r="K1005" s="21">
        <v>132.1</v>
      </c>
      <c r="L1005" s="21">
        <v>28</v>
      </c>
      <c r="M1005" s="27"/>
      <c r="N1005" s="22">
        <v>0</v>
      </c>
      <c r="O1005" s="22">
        <v>4</v>
      </c>
      <c r="P1005" s="22">
        <v>5</v>
      </c>
      <c r="Q1005" s="22">
        <v>5</v>
      </c>
      <c r="R1005" s="18"/>
      <c r="S1005" s="17">
        <v>0</v>
      </c>
      <c r="T1005" s="17">
        <v>0</v>
      </c>
      <c r="U1005" s="17">
        <v>0.5</v>
      </c>
      <c r="V1005" s="23">
        <v>0.166666666666667</v>
      </c>
    </row>
    <row r="1006" ht="33" spans="1:22">
      <c r="A1006" s="16">
        <v>12320</v>
      </c>
      <c r="B1006" s="16" t="s">
        <v>90</v>
      </c>
      <c r="C1006" s="27"/>
      <c r="D1006" s="19">
        <v>0</v>
      </c>
      <c r="E1006" s="19">
        <v>0</v>
      </c>
      <c r="F1006" s="19">
        <v>1</v>
      </c>
      <c r="G1006" s="19">
        <v>3</v>
      </c>
      <c r="H1006" s="27"/>
      <c r="I1006" s="20">
        <v>0</v>
      </c>
      <c r="J1006" s="21">
        <v>0</v>
      </c>
      <c r="K1006" s="21">
        <v>75</v>
      </c>
      <c r="L1006" s="21">
        <v>225</v>
      </c>
      <c r="M1006" s="27"/>
      <c r="N1006" s="22">
        <v>0</v>
      </c>
      <c r="O1006" s="22">
        <v>3</v>
      </c>
      <c r="P1006" s="22">
        <v>0</v>
      </c>
      <c r="Q1006" s="22">
        <v>2</v>
      </c>
      <c r="R1006" s="18"/>
      <c r="S1006" s="17">
        <v>0</v>
      </c>
      <c r="T1006" s="17">
        <v>0</v>
      </c>
      <c r="U1006" s="17">
        <v>1</v>
      </c>
      <c r="V1006" s="23">
        <v>0.6</v>
      </c>
    </row>
    <row r="1007" ht="33" spans="1:22">
      <c r="A1007" s="16">
        <v>12333</v>
      </c>
      <c r="B1007" s="16" t="s">
        <v>95</v>
      </c>
      <c r="C1007" s="27"/>
      <c r="D1007" s="19">
        <v>0</v>
      </c>
      <c r="E1007" s="19">
        <v>0</v>
      </c>
      <c r="F1007" s="19">
        <v>4</v>
      </c>
      <c r="G1007" s="19">
        <v>5</v>
      </c>
      <c r="H1007" s="27"/>
      <c r="I1007" s="20">
        <v>0</v>
      </c>
      <c r="J1007" s="21">
        <v>0</v>
      </c>
      <c r="K1007" s="21">
        <v>262.4</v>
      </c>
      <c r="L1007" s="21">
        <v>348</v>
      </c>
      <c r="M1007" s="27"/>
      <c r="N1007" s="22">
        <v>0</v>
      </c>
      <c r="O1007" s="22">
        <v>2</v>
      </c>
      <c r="P1007" s="22">
        <v>1</v>
      </c>
      <c r="Q1007" s="22">
        <v>1</v>
      </c>
      <c r="R1007" s="18"/>
      <c r="S1007" s="17">
        <v>0</v>
      </c>
      <c r="T1007" s="17">
        <v>0</v>
      </c>
      <c r="U1007" s="17">
        <v>0.8</v>
      </c>
      <c r="V1007" s="23">
        <v>0.833333333333333</v>
      </c>
    </row>
    <row r="1008" ht="33" spans="1:22">
      <c r="A1008" s="16">
        <v>12334</v>
      </c>
      <c r="B1008" s="16" t="s">
        <v>96</v>
      </c>
      <c r="C1008" s="27"/>
      <c r="D1008" s="19">
        <v>0</v>
      </c>
      <c r="E1008" s="19">
        <v>1</v>
      </c>
      <c r="F1008" s="19">
        <v>13</v>
      </c>
      <c r="G1008" s="19">
        <v>8</v>
      </c>
      <c r="H1008" s="27"/>
      <c r="I1008" s="20">
        <v>0</v>
      </c>
      <c r="J1008" s="21">
        <v>225</v>
      </c>
      <c r="K1008" s="21">
        <v>1278</v>
      </c>
      <c r="L1008" s="21">
        <v>720</v>
      </c>
      <c r="M1008" s="27"/>
      <c r="N1008" s="22">
        <v>0</v>
      </c>
      <c r="O1008" s="22">
        <v>0</v>
      </c>
      <c r="P1008" s="22">
        <v>0</v>
      </c>
      <c r="Q1008" s="22">
        <v>0</v>
      </c>
      <c r="R1008" s="18"/>
      <c r="S1008" s="17">
        <v>0</v>
      </c>
      <c r="T1008" s="17">
        <v>1</v>
      </c>
      <c r="U1008" s="17">
        <v>1</v>
      </c>
      <c r="V1008" s="23">
        <v>1</v>
      </c>
    </row>
    <row r="1009" ht="33" spans="1:22">
      <c r="A1009" s="16">
        <v>12305</v>
      </c>
      <c r="B1009" s="16" t="s">
        <v>91</v>
      </c>
      <c r="C1009" s="27"/>
      <c r="D1009" s="19">
        <v>0</v>
      </c>
      <c r="E1009" s="19">
        <v>7</v>
      </c>
      <c r="F1009" s="19">
        <v>10</v>
      </c>
      <c r="G1009" s="19">
        <v>3</v>
      </c>
      <c r="H1009" s="27"/>
      <c r="I1009" s="20">
        <v>0</v>
      </c>
      <c r="J1009" s="21">
        <v>3850</v>
      </c>
      <c r="K1009" s="21">
        <v>5860</v>
      </c>
      <c r="L1009" s="21">
        <v>1770</v>
      </c>
      <c r="M1009" s="27"/>
      <c r="N1009" s="22">
        <v>0</v>
      </c>
      <c r="O1009" s="22">
        <v>1</v>
      </c>
      <c r="P1009" s="22">
        <v>3</v>
      </c>
      <c r="Q1009" s="22">
        <v>10</v>
      </c>
      <c r="R1009" s="18"/>
      <c r="S1009" s="17">
        <v>0</v>
      </c>
      <c r="T1009" s="17">
        <v>0.875</v>
      </c>
      <c r="U1009" s="17">
        <v>0.769230769230769</v>
      </c>
      <c r="V1009" s="23">
        <v>0.230769230769231</v>
      </c>
    </row>
    <row r="1010" ht="33" spans="1:22">
      <c r="A1010" s="16">
        <v>12306</v>
      </c>
      <c r="B1010" s="16" t="s">
        <v>98</v>
      </c>
      <c r="C1010" s="27"/>
      <c r="D1010" s="19">
        <v>0</v>
      </c>
      <c r="E1010" s="19">
        <v>7</v>
      </c>
      <c r="F1010" s="19">
        <v>9</v>
      </c>
      <c r="G1010" s="19">
        <v>9</v>
      </c>
      <c r="H1010" s="27"/>
      <c r="I1010" s="20">
        <v>0</v>
      </c>
      <c r="J1010" s="21">
        <v>3880</v>
      </c>
      <c r="K1010" s="21">
        <v>5293</v>
      </c>
      <c r="L1010" s="21">
        <v>5367</v>
      </c>
      <c r="M1010" s="27"/>
      <c r="N1010" s="22">
        <v>0</v>
      </c>
      <c r="O1010" s="22">
        <v>0</v>
      </c>
      <c r="P1010" s="22">
        <v>7</v>
      </c>
      <c r="Q1010" s="22">
        <v>6</v>
      </c>
      <c r="R1010" s="18"/>
      <c r="S1010" s="17">
        <v>0</v>
      </c>
      <c r="T1010" s="17">
        <v>1</v>
      </c>
      <c r="U1010" s="17">
        <v>0.5625</v>
      </c>
      <c r="V1010" s="23">
        <v>0.6</v>
      </c>
    </row>
    <row r="1011" ht="33" spans="1:22">
      <c r="A1011" s="16">
        <v>12307</v>
      </c>
      <c r="B1011" s="16" t="s">
        <v>99</v>
      </c>
      <c r="C1011" s="27"/>
      <c r="D1011" s="19">
        <v>0</v>
      </c>
      <c r="E1011" s="19">
        <v>5</v>
      </c>
      <c r="F1011" s="19">
        <v>6</v>
      </c>
      <c r="G1011" s="19">
        <v>3</v>
      </c>
      <c r="H1011" s="27"/>
      <c r="I1011" s="20">
        <v>0</v>
      </c>
      <c r="J1011" s="21">
        <v>2750</v>
      </c>
      <c r="K1011" s="21">
        <v>3480</v>
      </c>
      <c r="L1011" s="21">
        <v>1740</v>
      </c>
      <c r="M1011" s="27"/>
      <c r="N1011" s="22">
        <v>0</v>
      </c>
      <c r="O1011" s="22">
        <v>2</v>
      </c>
      <c r="P1011" s="22">
        <v>2</v>
      </c>
      <c r="Q1011" s="22">
        <v>9</v>
      </c>
      <c r="R1011" s="18"/>
      <c r="S1011" s="17">
        <v>0</v>
      </c>
      <c r="T1011" s="17">
        <v>0.714285714285714</v>
      </c>
      <c r="U1011" s="17">
        <v>0.75</v>
      </c>
      <c r="V1011" s="23">
        <v>0.25</v>
      </c>
    </row>
    <row r="1012" ht="33" spans="1:22">
      <c r="A1012" s="16">
        <v>12308</v>
      </c>
      <c r="B1012" s="16" t="s">
        <v>100</v>
      </c>
      <c r="C1012" s="27"/>
      <c r="D1012" s="19">
        <v>0</v>
      </c>
      <c r="E1012" s="19">
        <v>11</v>
      </c>
      <c r="F1012" s="19">
        <v>12</v>
      </c>
      <c r="G1012" s="19">
        <v>4</v>
      </c>
      <c r="H1012" s="27"/>
      <c r="I1012" s="20">
        <v>0</v>
      </c>
      <c r="J1012" s="21">
        <v>6050</v>
      </c>
      <c r="K1012" s="21">
        <v>7011</v>
      </c>
      <c r="L1012" s="21">
        <v>2367</v>
      </c>
      <c r="M1012" s="27"/>
      <c r="N1012" s="22">
        <v>0</v>
      </c>
      <c r="O1012" s="22">
        <v>3</v>
      </c>
      <c r="P1012" s="22">
        <v>6</v>
      </c>
      <c r="Q1012" s="22">
        <v>8</v>
      </c>
      <c r="R1012" s="18"/>
      <c r="S1012" s="17">
        <v>0</v>
      </c>
      <c r="T1012" s="17">
        <v>0.785714285714286</v>
      </c>
      <c r="U1012" s="17">
        <v>0.666666666666667</v>
      </c>
      <c r="V1012" s="23">
        <v>0.333333333333333</v>
      </c>
    </row>
    <row r="1013" ht="33" spans="1:22">
      <c r="A1013" s="16">
        <v>12309</v>
      </c>
      <c r="B1013" s="16" t="s">
        <v>82</v>
      </c>
      <c r="C1013" s="27"/>
      <c r="D1013" s="19">
        <v>0</v>
      </c>
      <c r="E1013" s="19">
        <v>3</v>
      </c>
      <c r="F1013" s="19">
        <v>3</v>
      </c>
      <c r="G1013" s="19">
        <v>2</v>
      </c>
      <c r="H1013" s="27"/>
      <c r="I1013" s="20">
        <v>0</v>
      </c>
      <c r="J1013" s="21">
        <v>1440</v>
      </c>
      <c r="K1013" s="21">
        <v>1440</v>
      </c>
      <c r="L1013" s="21">
        <v>957</v>
      </c>
      <c r="M1013" s="27"/>
      <c r="N1013" s="22">
        <v>0</v>
      </c>
      <c r="O1013" s="22">
        <v>5</v>
      </c>
      <c r="P1013" s="22">
        <v>4</v>
      </c>
      <c r="Q1013" s="22">
        <v>9</v>
      </c>
      <c r="R1013" s="18"/>
      <c r="S1013" s="17">
        <v>0</v>
      </c>
      <c r="T1013" s="17">
        <v>0.375</v>
      </c>
      <c r="U1013" s="17">
        <v>0.428571428571429</v>
      </c>
      <c r="V1013" s="23">
        <v>0.181818181818182</v>
      </c>
    </row>
    <row r="1014" ht="33" spans="1:22">
      <c r="A1014" s="16">
        <v>12310</v>
      </c>
      <c r="B1014" s="16" t="s">
        <v>83</v>
      </c>
      <c r="C1014" s="27"/>
      <c r="D1014" s="19">
        <v>0</v>
      </c>
      <c r="E1014" s="19">
        <v>4</v>
      </c>
      <c r="F1014" s="19">
        <v>7</v>
      </c>
      <c r="G1014" s="19">
        <v>1</v>
      </c>
      <c r="H1014" s="27"/>
      <c r="I1014" s="20">
        <v>0</v>
      </c>
      <c r="J1014" s="21">
        <v>1920</v>
      </c>
      <c r="K1014" s="21">
        <v>3374</v>
      </c>
      <c r="L1014" s="21">
        <v>483</v>
      </c>
      <c r="M1014" s="27"/>
      <c r="N1014" s="22">
        <v>0</v>
      </c>
      <c r="O1014" s="22">
        <v>4</v>
      </c>
      <c r="P1014" s="22">
        <v>2</v>
      </c>
      <c r="Q1014" s="22">
        <v>6</v>
      </c>
      <c r="R1014" s="18"/>
      <c r="S1014" s="17">
        <v>0</v>
      </c>
      <c r="T1014" s="17">
        <v>0.5</v>
      </c>
      <c r="U1014" s="17">
        <v>0.777777777777778</v>
      </c>
      <c r="V1014" s="23">
        <v>0.142857142857143</v>
      </c>
    </row>
    <row r="1015" ht="33" spans="1:22">
      <c r="A1015" s="16">
        <v>12321</v>
      </c>
      <c r="B1015" s="16" t="s">
        <v>92</v>
      </c>
      <c r="C1015" s="27"/>
      <c r="D1015" s="19">
        <v>0</v>
      </c>
      <c r="E1015" s="19">
        <v>0</v>
      </c>
      <c r="F1015" s="19">
        <v>11</v>
      </c>
      <c r="G1015" s="19">
        <v>21</v>
      </c>
      <c r="H1015" s="27"/>
      <c r="I1015" s="20">
        <v>0</v>
      </c>
      <c r="J1015" s="21">
        <v>0</v>
      </c>
      <c r="K1015" s="21">
        <v>394.9</v>
      </c>
      <c r="L1015" s="21">
        <v>753.9</v>
      </c>
      <c r="M1015" s="27"/>
      <c r="N1015" s="22">
        <v>0</v>
      </c>
      <c r="O1015" s="22">
        <v>10</v>
      </c>
      <c r="P1015" s="22">
        <v>25</v>
      </c>
      <c r="Q1015" s="22">
        <v>19</v>
      </c>
      <c r="R1015" s="18"/>
      <c r="S1015" s="17">
        <v>0</v>
      </c>
      <c r="T1015" s="17">
        <v>0</v>
      </c>
      <c r="U1015" s="17">
        <v>0.305555555555556</v>
      </c>
      <c r="V1015" s="23">
        <v>0.525</v>
      </c>
    </row>
    <row r="1016" ht="33" spans="1:22">
      <c r="A1016" s="16">
        <v>12272</v>
      </c>
      <c r="B1016" s="16" t="s">
        <v>93</v>
      </c>
      <c r="C1016" s="27"/>
      <c r="D1016" s="19">
        <v>0</v>
      </c>
      <c r="E1016" s="19">
        <v>7</v>
      </c>
      <c r="F1016" s="19">
        <v>23</v>
      </c>
      <c r="G1016" s="19">
        <v>24</v>
      </c>
      <c r="H1016" s="27"/>
      <c r="I1016" s="20">
        <v>0</v>
      </c>
      <c r="J1016" s="21">
        <v>476</v>
      </c>
      <c r="K1016" s="21">
        <v>1557.2</v>
      </c>
      <c r="L1016" s="21">
        <v>1708.5</v>
      </c>
      <c r="M1016" s="27"/>
      <c r="N1016" s="22">
        <v>0</v>
      </c>
      <c r="O1016" s="22">
        <v>0</v>
      </c>
      <c r="P1016" s="22">
        <v>0</v>
      </c>
      <c r="Q1016" s="22">
        <v>0</v>
      </c>
      <c r="R1016" s="18"/>
      <c r="S1016" s="17">
        <v>0</v>
      </c>
      <c r="T1016" s="17">
        <v>1</v>
      </c>
      <c r="U1016" s="17">
        <v>1</v>
      </c>
      <c r="V1016" s="23">
        <v>1</v>
      </c>
    </row>
    <row r="1017" ht="33" spans="1:22">
      <c r="A1017" s="16">
        <v>12311</v>
      </c>
      <c r="B1017" s="16" t="s">
        <v>84</v>
      </c>
      <c r="C1017" s="27"/>
      <c r="D1017" s="19">
        <v>0</v>
      </c>
      <c r="E1017" s="19">
        <v>1</v>
      </c>
      <c r="F1017" s="19">
        <v>2</v>
      </c>
      <c r="G1017" s="19">
        <v>2</v>
      </c>
      <c r="H1017" s="27"/>
      <c r="I1017" s="20">
        <v>0</v>
      </c>
      <c r="J1017" s="21">
        <v>480</v>
      </c>
      <c r="K1017" s="21">
        <v>960</v>
      </c>
      <c r="L1017" s="21">
        <v>960</v>
      </c>
      <c r="M1017" s="27"/>
      <c r="N1017" s="22">
        <v>0</v>
      </c>
      <c r="O1017" s="22">
        <v>6</v>
      </c>
      <c r="P1017" s="22">
        <v>4</v>
      </c>
      <c r="Q1017" s="22">
        <v>8</v>
      </c>
      <c r="R1017" s="18"/>
      <c r="S1017" s="17">
        <v>0</v>
      </c>
      <c r="T1017" s="17">
        <v>0.142857142857143</v>
      </c>
      <c r="U1017" s="17">
        <v>0.333333333333333</v>
      </c>
      <c r="V1017" s="23">
        <v>0.2</v>
      </c>
    </row>
    <row r="1018" ht="33" spans="1:22">
      <c r="A1018" s="16">
        <v>12312</v>
      </c>
      <c r="B1018" s="16" t="s">
        <v>85</v>
      </c>
      <c r="C1018" s="27"/>
      <c r="D1018" s="19">
        <v>0</v>
      </c>
      <c r="E1018" s="19">
        <v>4</v>
      </c>
      <c r="F1018" s="19">
        <v>3</v>
      </c>
      <c r="G1018" s="19">
        <v>3</v>
      </c>
      <c r="H1018" s="27"/>
      <c r="I1018" s="20">
        <v>0</v>
      </c>
      <c r="J1018" s="21">
        <v>1920</v>
      </c>
      <c r="K1018" s="21">
        <v>1436</v>
      </c>
      <c r="L1018" s="21">
        <v>1428</v>
      </c>
      <c r="M1018" s="27"/>
      <c r="N1018" s="22">
        <v>0</v>
      </c>
      <c r="O1018" s="22">
        <v>8</v>
      </c>
      <c r="P1018" s="22">
        <v>7</v>
      </c>
      <c r="Q1018" s="22">
        <v>8</v>
      </c>
      <c r="R1018" s="18"/>
      <c r="S1018" s="17">
        <v>0</v>
      </c>
      <c r="T1018" s="17">
        <v>0.333333333333333</v>
      </c>
      <c r="U1018" s="17">
        <v>0.3</v>
      </c>
      <c r="V1018" s="23">
        <v>0.272727272727273</v>
      </c>
    </row>
    <row r="1019" ht="33" spans="1:22">
      <c r="A1019" s="16">
        <v>12069</v>
      </c>
      <c r="B1019" s="16" t="s">
        <v>175</v>
      </c>
      <c r="C1019" s="27"/>
      <c r="D1019" s="19">
        <v>0</v>
      </c>
      <c r="E1019" s="19">
        <v>0</v>
      </c>
      <c r="F1019" s="19">
        <v>0</v>
      </c>
      <c r="G1019" s="19">
        <v>0</v>
      </c>
      <c r="H1019" s="27"/>
      <c r="I1019" s="20">
        <v>0</v>
      </c>
      <c r="J1019" s="21">
        <v>0</v>
      </c>
      <c r="K1019" s="21">
        <v>0</v>
      </c>
      <c r="L1019" s="21">
        <v>0</v>
      </c>
      <c r="M1019" s="27"/>
      <c r="N1019" s="22">
        <v>0</v>
      </c>
      <c r="O1019" s="22">
        <v>0</v>
      </c>
      <c r="P1019" s="22">
        <v>0</v>
      </c>
      <c r="Q1019" s="22">
        <v>0</v>
      </c>
      <c r="R1019" s="18"/>
      <c r="S1019" s="17">
        <v>0</v>
      </c>
      <c r="T1019" s="17">
        <v>0</v>
      </c>
      <c r="U1019" s="17">
        <v>0</v>
      </c>
      <c r="V1019" s="23" t="s">
        <v>106</v>
      </c>
    </row>
    <row r="1020" ht="33" spans="1:22">
      <c r="A1020" s="16">
        <v>12290</v>
      </c>
      <c r="B1020" s="16" t="s">
        <v>108</v>
      </c>
      <c r="C1020" s="27"/>
      <c r="D1020" s="19">
        <v>0</v>
      </c>
      <c r="E1020" s="19">
        <v>0</v>
      </c>
      <c r="F1020" s="19">
        <v>4</v>
      </c>
      <c r="G1020" s="19">
        <v>3</v>
      </c>
      <c r="H1020" s="27"/>
      <c r="I1020" s="20">
        <v>0</v>
      </c>
      <c r="J1020" s="21">
        <v>0</v>
      </c>
      <c r="K1020" s="21">
        <v>472</v>
      </c>
      <c r="L1020" s="21">
        <v>354</v>
      </c>
      <c r="M1020" s="27"/>
      <c r="N1020" s="22">
        <v>0</v>
      </c>
      <c r="O1020" s="22">
        <v>2</v>
      </c>
      <c r="P1020" s="22">
        <v>6</v>
      </c>
      <c r="Q1020" s="22">
        <v>8</v>
      </c>
      <c r="R1020" s="18"/>
      <c r="S1020" s="17">
        <v>0</v>
      </c>
      <c r="T1020" s="17">
        <v>0</v>
      </c>
      <c r="U1020" s="17">
        <v>0.4</v>
      </c>
      <c r="V1020" s="23">
        <v>0.272727272727273</v>
      </c>
    </row>
    <row r="1021" ht="33" spans="1:22">
      <c r="A1021" s="16">
        <v>12291</v>
      </c>
      <c r="B1021" s="16" t="s">
        <v>107</v>
      </c>
      <c r="C1021" s="27"/>
      <c r="D1021" s="19">
        <v>0</v>
      </c>
      <c r="E1021" s="19">
        <v>0</v>
      </c>
      <c r="F1021" s="19">
        <v>1</v>
      </c>
      <c r="G1021" s="19">
        <v>5</v>
      </c>
      <c r="H1021" s="27"/>
      <c r="I1021" s="20">
        <v>0</v>
      </c>
      <c r="J1021" s="21">
        <v>0</v>
      </c>
      <c r="K1021" s="21">
        <v>129</v>
      </c>
      <c r="L1021" s="21">
        <v>645</v>
      </c>
      <c r="M1021" s="27"/>
      <c r="N1021" s="22">
        <v>0</v>
      </c>
      <c r="O1021" s="22">
        <v>0</v>
      </c>
      <c r="P1021" s="22">
        <v>0</v>
      </c>
      <c r="Q1021" s="22">
        <v>6</v>
      </c>
      <c r="R1021" s="18"/>
      <c r="S1021" s="17">
        <v>0</v>
      </c>
      <c r="T1021" s="17">
        <v>0</v>
      </c>
      <c r="U1021" s="17">
        <v>1</v>
      </c>
      <c r="V1021" s="23">
        <v>0.454545454545455</v>
      </c>
    </row>
    <row r="1022" ht="33" spans="1:22">
      <c r="A1022" s="16">
        <v>12318</v>
      </c>
      <c r="B1022" s="16" t="s">
        <v>89</v>
      </c>
      <c r="C1022" s="27"/>
      <c r="D1022" s="19">
        <v>0</v>
      </c>
      <c r="E1022" s="19">
        <v>2</v>
      </c>
      <c r="F1022" s="19">
        <v>0</v>
      </c>
      <c r="G1022" s="19">
        <v>2</v>
      </c>
      <c r="H1022" s="27"/>
      <c r="I1022" s="20">
        <v>0</v>
      </c>
      <c r="J1022" s="21">
        <v>880</v>
      </c>
      <c r="K1022" s="21">
        <v>0</v>
      </c>
      <c r="L1022" s="21">
        <v>920</v>
      </c>
      <c r="M1022" s="27"/>
      <c r="N1022" s="22">
        <v>0</v>
      </c>
      <c r="O1022" s="22">
        <v>0</v>
      </c>
      <c r="P1022" s="22">
        <v>0</v>
      </c>
      <c r="Q1022" s="22">
        <v>0</v>
      </c>
      <c r="R1022" s="18"/>
      <c r="S1022" s="17">
        <v>0</v>
      </c>
      <c r="T1022" s="17">
        <v>1</v>
      </c>
      <c r="U1022" s="17">
        <v>0</v>
      </c>
      <c r="V1022" s="23">
        <v>1</v>
      </c>
    </row>
    <row r="1023" ht="33" spans="1:22">
      <c r="A1023" s="16">
        <v>12357</v>
      </c>
      <c r="B1023" s="16" t="s">
        <v>111</v>
      </c>
      <c r="C1023" s="27"/>
      <c r="D1023" s="19">
        <v>0</v>
      </c>
      <c r="E1023" s="19">
        <v>1</v>
      </c>
      <c r="F1023" s="19">
        <v>6</v>
      </c>
      <c r="G1023" s="19">
        <v>5</v>
      </c>
      <c r="H1023" s="27"/>
      <c r="I1023" s="20">
        <v>0</v>
      </c>
      <c r="J1023" s="21">
        <v>110</v>
      </c>
      <c r="K1023" s="21">
        <v>589.05</v>
      </c>
      <c r="L1023" s="21">
        <v>495</v>
      </c>
      <c r="M1023" s="27"/>
      <c r="N1023" s="22">
        <v>0</v>
      </c>
      <c r="O1023" s="22">
        <v>0</v>
      </c>
      <c r="P1023" s="22">
        <v>0</v>
      </c>
      <c r="Q1023" s="22">
        <v>9</v>
      </c>
      <c r="R1023" s="18"/>
      <c r="S1023" s="17">
        <v>0</v>
      </c>
      <c r="T1023" s="17">
        <v>1</v>
      </c>
      <c r="U1023" s="17">
        <v>1</v>
      </c>
      <c r="V1023" s="23">
        <v>0.357142857142857</v>
      </c>
    </row>
    <row r="1024" ht="33" spans="1:22">
      <c r="A1024" s="16">
        <v>12441</v>
      </c>
      <c r="B1024" s="16" t="s">
        <v>86</v>
      </c>
      <c r="C1024" s="27"/>
      <c r="D1024" s="27"/>
      <c r="E1024" s="19">
        <v>5</v>
      </c>
      <c r="F1024" s="19">
        <v>6</v>
      </c>
      <c r="G1024" s="19">
        <v>3</v>
      </c>
      <c r="H1024" s="27"/>
      <c r="I1024" s="27"/>
      <c r="J1024" s="21">
        <v>695</v>
      </c>
      <c r="K1024" s="21">
        <v>838</v>
      </c>
      <c r="L1024" s="21">
        <v>413</v>
      </c>
      <c r="M1024" s="27"/>
      <c r="N1024" s="31"/>
      <c r="O1024" s="22">
        <v>6</v>
      </c>
      <c r="P1024" s="22">
        <v>3</v>
      </c>
      <c r="Q1024" s="22">
        <v>2</v>
      </c>
      <c r="R1024" s="18"/>
      <c r="S1024" s="18"/>
      <c r="T1024" s="17">
        <v>0.454545454545455</v>
      </c>
      <c r="U1024" s="17">
        <v>0.666666666666667</v>
      </c>
      <c r="V1024" s="23">
        <v>0.6</v>
      </c>
    </row>
    <row r="1025" ht="33" spans="1:22">
      <c r="A1025" s="16">
        <v>7440</v>
      </c>
      <c r="B1025" s="16" t="s">
        <v>1361</v>
      </c>
      <c r="C1025" s="27"/>
      <c r="D1025" s="27"/>
      <c r="E1025" s="19">
        <v>9</v>
      </c>
      <c r="F1025" s="19">
        <v>10</v>
      </c>
      <c r="G1025" s="19">
        <v>4</v>
      </c>
      <c r="H1025" s="27"/>
      <c r="I1025" s="27"/>
      <c r="J1025" s="21">
        <v>95.34</v>
      </c>
      <c r="K1025" s="21">
        <v>101.92</v>
      </c>
      <c r="L1025" s="21">
        <v>43.92</v>
      </c>
      <c r="M1025" s="27"/>
      <c r="N1025" s="31"/>
      <c r="O1025" s="22">
        <v>1</v>
      </c>
      <c r="P1025" s="22">
        <v>0</v>
      </c>
      <c r="Q1025" s="22">
        <v>0</v>
      </c>
      <c r="R1025" s="18"/>
      <c r="S1025" s="18"/>
      <c r="T1025" s="17">
        <v>0.9</v>
      </c>
      <c r="U1025" s="17">
        <v>1</v>
      </c>
      <c r="V1025" s="23">
        <v>1</v>
      </c>
    </row>
    <row r="1026" ht="33" spans="1:22">
      <c r="A1026" s="16">
        <v>12396</v>
      </c>
      <c r="B1026" s="16" t="s">
        <v>105</v>
      </c>
      <c r="C1026" s="27"/>
      <c r="D1026" s="27"/>
      <c r="E1026" s="19">
        <v>0</v>
      </c>
      <c r="F1026" s="19">
        <v>0</v>
      </c>
      <c r="G1026" s="19">
        <v>0</v>
      </c>
      <c r="H1026" s="27"/>
      <c r="I1026" s="27"/>
      <c r="J1026" s="21">
        <v>0</v>
      </c>
      <c r="K1026" s="21">
        <v>0</v>
      </c>
      <c r="L1026" s="21">
        <v>0</v>
      </c>
      <c r="M1026" s="27"/>
      <c r="N1026" s="31"/>
      <c r="O1026" s="22">
        <v>0</v>
      </c>
      <c r="P1026" s="22">
        <v>0</v>
      </c>
      <c r="Q1026" s="22">
        <v>0</v>
      </c>
      <c r="R1026" s="18"/>
      <c r="S1026" s="18"/>
      <c r="T1026" s="17">
        <v>0</v>
      </c>
      <c r="U1026" s="17">
        <v>0</v>
      </c>
      <c r="V1026" s="23" t="s">
        <v>106</v>
      </c>
    </row>
    <row r="1027" ht="33" spans="1:22">
      <c r="A1027" s="16">
        <v>12391</v>
      </c>
      <c r="B1027" s="16" t="s">
        <v>109</v>
      </c>
      <c r="C1027" s="27"/>
      <c r="D1027" s="27"/>
      <c r="E1027" s="19">
        <v>0</v>
      </c>
      <c r="F1027" s="19">
        <v>5</v>
      </c>
      <c r="G1027" s="19">
        <v>2</v>
      </c>
      <c r="H1027" s="27"/>
      <c r="I1027" s="27"/>
      <c r="J1027" s="21">
        <v>0</v>
      </c>
      <c r="K1027" s="21">
        <v>695</v>
      </c>
      <c r="L1027" s="21">
        <v>278</v>
      </c>
      <c r="M1027" s="27"/>
      <c r="N1027" s="31"/>
      <c r="O1027" s="22">
        <v>0</v>
      </c>
      <c r="P1027" s="22">
        <v>0</v>
      </c>
      <c r="Q1027" s="22">
        <v>0</v>
      </c>
      <c r="R1027" s="18"/>
      <c r="S1027" s="18"/>
      <c r="T1027" s="17">
        <v>0</v>
      </c>
      <c r="U1027" s="17">
        <v>1</v>
      </c>
      <c r="V1027" s="23">
        <v>1</v>
      </c>
    </row>
    <row r="1028" ht="33" spans="1:22">
      <c r="A1028" s="16">
        <v>12398</v>
      </c>
      <c r="B1028" s="16" t="s">
        <v>110</v>
      </c>
      <c r="C1028" s="27"/>
      <c r="D1028" s="27"/>
      <c r="E1028" s="19">
        <v>0</v>
      </c>
      <c r="F1028" s="19">
        <v>8</v>
      </c>
      <c r="G1028" s="19">
        <v>8</v>
      </c>
      <c r="H1028" s="27"/>
      <c r="I1028" s="27"/>
      <c r="J1028" s="21">
        <v>0</v>
      </c>
      <c r="K1028" s="21">
        <v>392</v>
      </c>
      <c r="L1028" s="21">
        <v>392</v>
      </c>
      <c r="M1028" s="27"/>
      <c r="N1028" s="31"/>
      <c r="O1028" s="22">
        <v>0</v>
      </c>
      <c r="P1028" s="22">
        <v>1</v>
      </c>
      <c r="Q1028" s="22">
        <v>0</v>
      </c>
      <c r="R1028" s="18"/>
      <c r="S1028" s="18"/>
      <c r="T1028" s="17">
        <v>0</v>
      </c>
      <c r="U1028" s="17">
        <v>0.888888888888889</v>
      </c>
      <c r="V1028" s="23">
        <v>1</v>
      </c>
    </row>
    <row r="1029" ht="33" spans="1:22">
      <c r="A1029" s="16">
        <v>12423</v>
      </c>
      <c r="B1029" s="16" t="s">
        <v>112</v>
      </c>
      <c r="C1029" s="27"/>
      <c r="D1029" s="27"/>
      <c r="E1029" s="19">
        <v>1</v>
      </c>
      <c r="F1029" s="19">
        <v>2</v>
      </c>
      <c r="G1029" s="19">
        <v>1</v>
      </c>
      <c r="H1029" s="27"/>
      <c r="I1029" s="27"/>
      <c r="J1029" s="21">
        <v>58</v>
      </c>
      <c r="K1029" s="21">
        <v>116</v>
      </c>
      <c r="L1029" s="21">
        <v>58</v>
      </c>
      <c r="M1029" s="27"/>
      <c r="N1029" s="31"/>
      <c r="O1029" s="22">
        <v>0</v>
      </c>
      <c r="P1029" s="22">
        <v>0</v>
      </c>
      <c r="Q1029" s="22">
        <v>16</v>
      </c>
      <c r="R1029" s="18"/>
      <c r="S1029" s="18"/>
      <c r="T1029" s="17">
        <v>1</v>
      </c>
      <c r="U1029" s="17">
        <v>1</v>
      </c>
      <c r="V1029" s="23">
        <v>0.0588235294117647</v>
      </c>
    </row>
    <row r="1030" ht="33" spans="1:22">
      <c r="A1030" s="16">
        <v>12387</v>
      </c>
      <c r="B1030" s="16" t="s">
        <v>113</v>
      </c>
      <c r="C1030" s="27"/>
      <c r="D1030" s="27"/>
      <c r="E1030" s="19">
        <v>0</v>
      </c>
      <c r="F1030" s="19">
        <v>2</v>
      </c>
      <c r="G1030" s="19">
        <v>3</v>
      </c>
      <c r="H1030" s="27"/>
      <c r="I1030" s="27"/>
      <c r="J1030" s="21">
        <v>0</v>
      </c>
      <c r="K1030" s="21">
        <v>70</v>
      </c>
      <c r="L1030" s="21">
        <v>105</v>
      </c>
      <c r="M1030" s="27"/>
      <c r="N1030" s="31"/>
      <c r="O1030" s="22">
        <v>7</v>
      </c>
      <c r="P1030" s="22">
        <v>11</v>
      </c>
      <c r="Q1030" s="22">
        <v>9</v>
      </c>
      <c r="R1030" s="18"/>
      <c r="S1030" s="18"/>
      <c r="T1030" s="17">
        <v>0</v>
      </c>
      <c r="U1030" s="17">
        <v>0.153846153846154</v>
      </c>
      <c r="V1030" s="23">
        <v>0.25</v>
      </c>
    </row>
    <row r="1031" ht="33" spans="1:22">
      <c r="A1031" s="32">
        <v>12388</v>
      </c>
      <c r="B1031" s="16" t="s">
        <v>114</v>
      </c>
      <c r="C1031" s="27"/>
      <c r="D1031" s="27"/>
      <c r="E1031" s="19">
        <v>0</v>
      </c>
      <c r="F1031" s="19">
        <v>1</v>
      </c>
      <c r="G1031" s="19">
        <v>0</v>
      </c>
      <c r="H1031" s="27"/>
      <c r="I1031" s="27"/>
      <c r="J1031" s="21">
        <v>0</v>
      </c>
      <c r="K1031" s="21">
        <v>35</v>
      </c>
      <c r="L1031" s="21">
        <v>0</v>
      </c>
      <c r="M1031" s="27"/>
      <c r="N1031" s="31"/>
      <c r="O1031" s="22">
        <v>4</v>
      </c>
      <c r="P1031" s="22">
        <v>10</v>
      </c>
      <c r="Q1031" s="22">
        <v>11</v>
      </c>
      <c r="R1031" s="18"/>
      <c r="S1031" s="18"/>
      <c r="T1031" s="17">
        <v>0</v>
      </c>
      <c r="U1031" s="17">
        <v>0.0909090909090909</v>
      </c>
      <c r="V1031" s="23">
        <v>0</v>
      </c>
    </row>
    <row r="1032" ht="33" spans="1:22">
      <c r="A1032" s="32">
        <v>6903</v>
      </c>
      <c r="B1032" s="16" t="s">
        <v>1362</v>
      </c>
      <c r="C1032" s="27"/>
      <c r="D1032" s="27"/>
      <c r="E1032" s="19">
        <v>82</v>
      </c>
      <c r="F1032" s="19">
        <v>72</v>
      </c>
      <c r="G1032" s="19">
        <v>92</v>
      </c>
      <c r="H1032" s="27"/>
      <c r="I1032" s="27"/>
      <c r="J1032" s="21">
        <v>5581.69999999999</v>
      </c>
      <c r="K1032" s="21">
        <v>4935.04999999999</v>
      </c>
      <c r="L1032" s="21">
        <v>6233.39999999999</v>
      </c>
      <c r="M1032" s="27"/>
      <c r="N1032" s="31"/>
      <c r="O1032" s="22">
        <v>71</v>
      </c>
      <c r="P1032" s="22">
        <v>74</v>
      </c>
      <c r="Q1032" s="22">
        <v>100</v>
      </c>
      <c r="R1032" s="18"/>
      <c r="S1032" s="18"/>
      <c r="T1032" s="17">
        <v>0.535947712418301</v>
      </c>
      <c r="U1032" s="17">
        <v>0.493150684931507</v>
      </c>
      <c r="V1032" s="23">
        <v>0.479166666666667</v>
      </c>
    </row>
    <row r="1033" ht="33" spans="1:22">
      <c r="A1033" s="32">
        <v>2713</v>
      </c>
      <c r="B1033" s="16" t="s">
        <v>1363</v>
      </c>
      <c r="C1033" s="27"/>
      <c r="D1033" s="27"/>
      <c r="E1033" s="19">
        <v>10</v>
      </c>
      <c r="F1033" s="19">
        <v>21</v>
      </c>
      <c r="G1033" s="19">
        <v>12</v>
      </c>
      <c r="H1033" s="27"/>
      <c r="I1033" s="27"/>
      <c r="J1033" s="21">
        <v>1379.4</v>
      </c>
      <c r="K1033" s="21">
        <v>2901.53</v>
      </c>
      <c r="L1033" s="21">
        <v>1676.54</v>
      </c>
      <c r="M1033" s="27"/>
      <c r="N1033" s="31"/>
      <c r="O1033" s="22">
        <v>2</v>
      </c>
      <c r="P1033" s="22">
        <v>2</v>
      </c>
      <c r="Q1033" s="22">
        <v>6</v>
      </c>
      <c r="R1033" s="18"/>
      <c r="S1033" s="18"/>
      <c r="T1033" s="17">
        <v>0.833333333333333</v>
      </c>
      <c r="U1033" s="17">
        <v>0.91304347826087</v>
      </c>
      <c r="V1033" s="23">
        <v>0.666666666666667</v>
      </c>
    </row>
    <row r="1034" ht="33" spans="1:22">
      <c r="A1034" s="32">
        <v>4134</v>
      </c>
      <c r="B1034" s="16" t="s">
        <v>1364</v>
      </c>
      <c r="C1034" s="27"/>
      <c r="D1034" s="27"/>
      <c r="E1034" s="19">
        <v>72</v>
      </c>
      <c r="F1034" s="19">
        <v>81</v>
      </c>
      <c r="G1034" s="19">
        <v>77</v>
      </c>
      <c r="H1034" s="27"/>
      <c r="I1034" s="27"/>
      <c r="J1034" s="21">
        <v>2672.32</v>
      </c>
      <c r="K1034" s="21">
        <v>2999.87</v>
      </c>
      <c r="L1034" s="21">
        <v>2838.67</v>
      </c>
      <c r="M1034" s="27"/>
      <c r="N1034" s="31"/>
      <c r="O1034" s="22">
        <v>71</v>
      </c>
      <c r="P1034" s="22">
        <v>50</v>
      </c>
      <c r="Q1034" s="22">
        <v>45</v>
      </c>
      <c r="R1034" s="18"/>
      <c r="S1034" s="18"/>
      <c r="T1034" s="17">
        <v>0.503496503496504</v>
      </c>
      <c r="U1034" s="17">
        <v>0.618320610687023</v>
      </c>
      <c r="V1034" s="23">
        <v>0.631147540983607</v>
      </c>
    </row>
    <row r="1035" ht="16.5" spans="1:22">
      <c r="A1035" s="32">
        <v>994</v>
      </c>
      <c r="B1035" s="16" t="s">
        <v>1365</v>
      </c>
      <c r="C1035" s="27"/>
      <c r="D1035" s="27"/>
      <c r="E1035" s="19">
        <v>29</v>
      </c>
      <c r="F1035" s="19">
        <v>24</v>
      </c>
      <c r="G1035" s="19">
        <v>21</v>
      </c>
      <c r="H1035" s="27"/>
      <c r="I1035" s="27"/>
      <c r="J1035" s="21">
        <v>2872.55</v>
      </c>
      <c r="K1035" s="21">
        <v>2429.07</v>
      </c>
      <c r="L1035" s="21">
        <v>2232.78</v>
      </c>
      <c r="M1035" s="27"/>
      <c r="N1035" s="31"/>
      <c r="O1035" s="22">
        <v>6</v>
      </c>
      <c r="P1035" s="22">
        <v>3</v>
      </c>
      <c r="Q1035" s="22">
        <v>6</v>
      </c>
      <c r="R1035" s="18"/>
      <c r="S1035" s="18"/>
      <c r="T1035" s="17">
        <v>0.828571428571429</v>
      </c>
      <c r="U1035" s="17">
        <v>0.888888888888889</v>
      </c>
      <c r="V1035" s="23">
        <v>0.777777777777778</v>
      </c>
    </row>
    <row r="1036" ht="16.5" spans="1:22">
      <c r="A1036" s="32">
        <v>1160</v>
      </c>
      <c r="B1036" s="16" t="s">
        <v>1366</v>
      </c>
      <c r="C1036" s="27"/>
      <c r="D1036" s="27"/>
      <c r="E1036" s="19">
        <v>23</v>
      </c>
      <c r="F1036" s="19">
        <v>19</v>
      </c>
      <c r="G1036" s="19">
        <v>19</v>
      </c>
      <c r="H1036" s="27"/>
      <c r="I1036" s="27"/>
      <c r="J1036" s="21">
        <v>1483.87</v>
      </c>
      <c r="K1036" s="21">
        <v>1211.48</v>
      </c>
      <c r="L1036" s="21">
        <v>1203.85</v>
      </c>
      <c r="M1036" s="27"/>
      <c r="N1036" s="31"/>
      <c r="O1036" s="22">
        <v>21</v>
      </c>
      <c r="P1036" s="22">
        <v>19</v>
      </c>
      <c r="Q1036" s="22">
        <v>22</v>
      </c>
      <c r="R1036" s="18"/>
      <c r="S1036" s="18"/>
      <c r="T1036" s="17">
        <v>0.522727272727273</v>
      </c>
      <c r="U1036" s="17">
        <v>0.5</v>
      </c>
      <c r="V1036" s="23">
        <v>0.463414634146341</v>
      </c>
    </row>
    <row r="1037" ht="16.5" spans="1:22">
      <c r="A1037" s="32">
        <v>3183</v>
      </c>
      <c r="B1037" s="16" t="s">
        <v>1367</v>
      </c>
      <c r="C1037" s="27"/>
      <c r="D1037" s="27"/>
      <c r="E1037" s="19">
        <v>34</v>
      </c>
      <c r="F1037" s="19">
        <v>25</v>
      </c>
      <c r="G1037" s="19">
        <v>16</v>
      </c>
      <c r="H1037" s="27"/>
      <c r="I1037" s="27"/>
      <c r="J1037" s="21">
        <v>5769.73</v>
      </c>
      <c r="K1037" s="21">
        <v>4228.79</v>
      </c>
      <c r="L1037" s="21">
        <v>2695.29</v>
      </c>
      <c r="M1037" s="27"/>
      <c r="N1037" s="31"/>
      <c r="O1037" s="22">
        <v>17</v>
      </c>
      <c r="P1037" s="22">
        <v>5</v>
      </c>
      <c r="Q1037" s="22">
        <v>12</v>
      </c>
      <c r="R1037" s="18"/>
      <c r="S1037" s="18"/>
      <c r="T1037" s="17">
        <v>0.666666666666667</v>
      </c>
      <c r="U1037" s="17">
        <v>0.833333333333333</v>
      </c>
      <c r="V1037" s="23">
        <v>0.571428571428571</v>
      </c>
    </row>
    <row r="1038" ht="33" spans="1:22">
      <c r="A1038" s="32">
        <v>3855</v>
      </c>
      <c r="B1038" s="16" t="s">
        <v>1368</v>
      </c>
      <c r="C1038" s="27"/>
      <c r="D1038" s="27"/>
      <c r="E1038" s="19">
        <v>41</v>
      </c>
      <c r="F1038" s="19">
        <v>43</v>
      </c>
      <c r="G1038" s="19">
        <v>38</v>
      </c>
      <c r="H1038" s="27"/>
      <c r="I1038" s="27"/>
      <c r="J1038" s="21">
        <v>2988.8</v>
      </c>
      <c r="K1038" s="21">
        <v>3292.4</v>
      </c>
      <c r="L1038" s="21">
        <v>2903.98</v>
      </c>
      <c r="M1038" s="27"/>
      <c r="N1038" s="31"/>
      <c r="O1038" s="22">
        <v>33</v>
      </c>
      <c r="P1038" s="22">
        <v>26</v>
      </c>
      <c r="Q1038" s="22">
        <v>36</v>
      </c>
      <c r="R1038" s="18"/>
      <c r="S1038" s="18"/>
      <c r="T1038" s="17">
        <v>0.554054054054054</v>
      </c>
      <c r="U1038" s="17">
        <v>0.623188405797101</v>
      </c>
      <c r="V1038" s="23">
        <v>0.513513513513513</v>
      </c>
    </row>
    <row r="1039" ht="16.5" spans="1:22">
      <c r="A1039" s="32">
        <v>4181</v>
      </c>
      <c r="B1039" s="16" t="s">
        <v>1369</v>
      </c>
      <c r="C1039" s="27"/>
      <c r="D1039" s="27"/>
      <c r="E1039" s="19">
        <v>25</v>
      </c>
      <c r="F1039" s="19">
        <v>16</v>
      </c>
      <c r="G1039" s="19">
        <v>22</v>
      </c>
      <c r="H1039" s="27"/>
      <c r="I1039" s="27"/>
      <c r="J1039" s="21">
        <v>1200</v>
      </c>
      <c r="K1039" s="21">
        <v>777.6</v>
      </c>
      <c r="L1039" s="21">
        <v>1122.28</v>
      </c>
      <c r="M1039" s="27"/>
      <c r="N1039" s="31"/>
      <c r="O1039" s="22">
        <v>13</v>
      </c>
      <c r="P1039" s="22">
        <v>25</v>
      </c>
      <c r="Q1039" s="22">
        <v>9</v>
      </c>
      <c r="R1039" s="18"/>
      <c r="S1039" s="18"/>
      <c r="T1039" s="17">
        <v>0.657894736842105</v>
      </c>
      <c r="U1039" s="17">
        <v>0.390243902439024</v>
      </c>
      <c r="V1039" s="23">
        <v>0.709677419354839</v>
      </c>
    </row>
    <row r="1040" ht="33" spans="1:22">
      <c r="A1040" s="32">
        <v>3517</v>
      </c>
      <c r="B1040" s="16" t="s">
        <v>1370</v>
      </c>
      <c r="C1040" s="27"/>
      <c r="D1040" s="27"/>
      <c r="E1040" s="19">
        <v>21</v>
      </c>
      <c r="F1040" s="19">
        <v>26</v>
      </c>
      <c r="G1040" s="19">
        <v>43</v>
      </c>
      <c r="H1040" s="27"/>
      <c r="I1040" s="27"/>
      <c r="J1040" s="21">
        <v>1111.79</v>
      </c>
      <c r="K1040" s="21">
        <v>1334.24</v>
      </c>
      <c r="L1040" s="21">
        <v>2152.57</v>
      </c>
      <c r="M1040" s="27"/>
      <c r="N1040" s="31"/>
      <c r="O1040" s="22">
        <v>102</v>
      </c>
      <c r="P1040" s="22">
        <v>69</v>
      </c>
      <c r="Q1040" s="22">
        <v>94</v>
      </c>
      <c r="R1040" s="18"/>
      <c r="S1040" s="18"/>
      <c r="T1040" s="17">
        <v>0.170731707317073</v>
      </c>
      <c r="U1040" s="17">
        <v>0.273684210526316</v>
      </c>
      <c r="V1040" s="23">
        <v>0.313868613138686</v>
      </c>
    </row>
    <row r="1041" ht="33" spans="1:22">
      <c r="A1041" s="32">
        <v>3833</v>
      </c>
      <c r="B1041" s="16" t="s">
        <v>1371</v>
      </c>
      <c r="C1041" s="27"/>
      <c r="D1041" s="27"/>
      <c r="E1041" s="19">
        <v>47</v>
      </c>
      <c r="F1041" s="19">
        <v>49</v>
      </c>
      <c r="G1041" s="19">
        <v>41</v>
      </c>
      <c r="H1041" s="27"/>
      <c r="I1041" s="27"/>
      <c r="J1041" s="21">
        <v>3767.48</v>
      </c>
      <c r="K1041" s="21">
        <v>3575.33</v>
      </c>
      <c r="L1041" s="21">
        <v>2969.5</v>
      </c>
      <c r="M1041" s="27"/>
      <c r="N1041" s="31"/>
      <c r="O1041" s="22">
        <v>47</v>
      </c>
      <c r="P1041" s="22">
        <v>46</v>
      </c>
      <c r="Q1041" s="22">
        <v>48</v>
      </c>
      <c r="R1041" s="18"/>
      <c r="S1041" s="18"/>
      <c r="T1041" s="17">
        <v>0.5</v>
      </c>
      <c r="U1041" s="17">
        <v>0.515789473684211</v>
      </c>
      <c r="V1041" s="23">
        <v>0.460674157303371</v>
      </c>
    </row>
    <row r="1042" ht="33" spans="1:22">
      <c r="A1042" s="32">
        <v>3598</v>
      </c>
      <c r="B1042" s="16" t="s">
        <v>1372</v>
      </c>
      <c r="C1042" s="27"/>
      <c r="D1042" s="27"/>
      <c r="E1042" s="19">
        <v>12</v>
      </c>
      <c r="F1042" s="19">
        <v>21</v>
      </c>
      <c r="G1042" s="19">
        <v>21</v>
      </c>
      <c r="H1042" s="27"/>
      <c r="I1042" s="27"/>
      <c r="J1042" s="21">
        <v>644.48</v>
      </c>
      <c r="K1042" s="21">
        <v>1156.59</v>
      </c>
      <c r="L1042" s="21">
        <v>1195.59</v>
      </c>
      <c r="M1042" s="27"/>
      <c r="N1042" s="31"/>
      <c r="O1042" s="22">
        <v>29</v>
      </c>
      <c r="P1042" s="22">
        <v>9</v>
      </c>
      <c r="Q1042" s="22">
        <v>39</v>
      </c>
      <c r="R1042" s="18"/>
      <c r="S1042" s="18"/>
      <c r="T1042" s="17">
        <v>0.292682926829268</v>
      </c>
      <c r="U1042" s="17">
        <v>0.7</v>
      </c>
      <c r="V1042" s="23">
        <v>0.35</v>
      </c>
    </row>
    <row r="1043" ht="33" spans="1:22">
      <c r="A1043" s="32">
        <v>3599</v>
      </c>
      <c r="B1043" s="16" t="s">
        <v>1373</v>
      </c>
      <c r="C1043" s="27"/>
      <c r="D1043" s="27"/>
      <c r="E1043" s="19">
        <v>95</v>
      </c>
      <c r="F1043" s="19">
        <v>68</v>
      </c>
      <c r="G1043" s="19">
        <v>70</v>
      </c>
      <c r="H1043" s="27"/>
      <c r="I1043" s="27"/>
      <c r="J1043" s="21">
        <v>4979.4</v>
      </c>
      <c r="K1043" s="21">
        <v>3592.8</v>
      </c>
      <c r="L1043" s="21">
        <v>3700.4</v>
      </c>
      <c r="M1043" s="27"/>
      <c r="N1043" s="31"/>
      <c r="O1043" s="22">
        <v>82</v>
      </c>
      <c r="P1043" s="22">
        <v>92</v>
      </c>
      <c r="Q1043" s="22">
        <v>87</v>
      </c>
      <c r="R1043" s="18"/>
      <c r="S1043" s="18"/>
      <c r="T1043" s="17">
        <v>0.536723163841808</v>
      </c>
      <c r="U1043" s="17">
        <v>0.425</v>
      </c>
      <c r="V1043" s="23">
        <v>0.445859872611465</v>
      </c>
    </row>
    <row r="1044" ht="33" spans="1:22">
      <c r="A1044" s="32">
        <v>4547</v>
      </c>
      <c r="B1044" s="16" t="s">
        <v>1374</v>
      </c>
      <c r="C1044" s="27"/>
      <c r="D1044" s="27"/>
      <c r="E1044" s="19">
        <v>76</v>
      </c>
      <c r="F1044" s="19">
        <v>65</v>
      </c>
      <c r="G1044" s="19">
        <v>69</v>
      </c>
      <c r="H1044" s="27"/>
      <c r="I1044" s="27"/>
      <c r="J1044" s="21">
        <v>6915.96999999999</v>
      </c>
      <c r="K1044" s="21">
        <v>6011.05999999999</v>
      </c>
      <c r="L1044" s="21">
        <v>6314.63</v>
      </c>
      <c r="M1044" s="27"/>
      <c r="N1044" s="31"/>
      <c r="O1044" s="22">
        <v>25</v>
      </c>
      <c r="P1044" s="22">
        <v>24</v>
      </c>
      <c r="Q1044" s="22">
        <v>50</v>
      </c>
      <c r="R1044" s="18"/>
      <c r="S1044" s="18"/>
      <c r="T1044" s="17">
        <v>0.752475247524752</v>
      </c>
      <c r="U1044" s="17">
        <v>0.730337078651685</v>
      </c>
      <c r="V1044" s="23">
        <v>0.579831932773109</v>
      </c>
    </row>
    <row r="1045" ht="33" spans="1:22">
      <c r="A1045" s="32">
        <v>9061</v>
      </c>
      <c r="B1045" s="16" t="s">
        <v>1375</v>
      </c>
      <c r="C1045" s="27"/>
      <c r="D1045" s="27"/>
      <c r="E1045" s="19">
        <v>67</v>
      </c>
      <c r="F1045" s="19">
        <v>51</v>
      </c>
      <c r="G1045" s="19">
        <v>55</v>
      </c>
      <c r="H1045" s="27"/>
      <c r="I1045" s="27"/>
      <c r="J1045" s="21">
        <v>9772.80000000001</v>
      </c>
      <c r="K1045" s="21">
        <v>7653.5</v>
      </c>
      <c r="L1045" s="21">
        <v>8802.68999999999</v>
      </c>
      <c r="M1045" s="27"/>
      <c r="N1045" s="31"/>
      <c r="O1045" s="22">
        <v>76</v>
      </c>
      <c r="P1045" s="22">
        <v>74</v>
      </c>
      <c r="Q1045" s="22">
        <v>75</v>
      </c>
      <c r="R1045" s="18"/>
      <c r="S1045" s="18"/>
      <c r="T1045" s="17">
        <v>0.468531468531469</v>
      </c>
      <c r="U1045" s="17">
        <v>0.408</v>
      </c>
      <c r="V1045" s="23">
        <v>0.423076923076923</v>
      </c>
    </row>
    <row r="1046" ht="33" spans="1:22">
      <c r="A1046" s="32">
        <v>9580</v>
      </c>
      <c r="B1046" s="16" t="s">
        <v>1376</v>
      </c>
      <c r="C1046" s="27"/>
      <c r="D1046" s="27"/>
      <c r="E1046" s="19">
        <v>59</v>
      </c>
      <c r="F1046" s="19">
        <v>72</v>
      </c>
      <c r="G1046" s="19">
        <v>54</v>
      </c>
      <c r="H1046" s="27"/>
      <c r="I1046" s="27"/>
      <c r="J1046" s="21">
        <v>5347.69999999999</v>
      </c>
      <c r="K1046" s="21">
        <v>6780.65999999999</v>
      </c>
      <c r="L1046" s="21">
        <v>5068.46</v>
      </c>
      <c r="M1046" s="27"/>
      <c r="N1046" s="31"/>
      <c r="O1046" s="22">
        <v>90</v>
      </c>
      <c r="P1046" s="22">
        <v>83</v>
      </c>
      <c r="Q1046" s="22">
        <v>67</v>
      </c>
      <c r="R1046" s="18"/>
      <c r="S1046" s="18"/>
      <c r="T1046" s="17">
        <v>0.395973154362416</v>
      </c>
      <c r="U1046" s="17">
        <v>0.464516129032258</v>
      </c>
      <c r="V1046" s="23">
        <v>0.446280991735537</v>
      </c>
    </row>
    <row r="1047" ht="33" spans="1:22">
      <c r="A1047" s="32">
        <v>5493</v>
      </c>
      <c r="B1047" s="16" t="s">
        <v>1377</v>
      </c>
      <c r="C1047" s="27"/>
      <c r="D1047" s="27"/>
      <c r="E1047" s="19">
        <v>114</v>
      </c>
      <c r="F1047" s="19">
        <v>100</v>
      </c>
      <c r="G1047" s="19">
        <v>56</v>
      </c>
      <c r="H1047" s="27"/>
      <c r="I1047" s="27"/>
      <c r="J1047" s="21">
        <v>2760.45</v>
      </c>
      <c r="K1047" s="21">
        <v>2397.39</v>
      </c>
      <c r="L1047" s="21">
        <v>1327.65</v>
      </c>
      <c r="M1047" s="27"/>
      <c r="N1047" s="31"/>
      <c r="O1047" s="22">
        <v>34</v>
      </c>
      <c r="P1047" s="22">
        <v>28</v>
      </c>
      <c r="Q1047" s="22">
        <v>38</v>
      </c>
      <c r="R1047" s="18"/>
      <c r="S1047" s="18"/>
      <c r="T1047" s="17">
        <v>0.77027027027027</v>
      </c>
      <c r="U1047" s="17">
        <v>0.78125</v>
      </c>
      <c r="V1047" s="23">
        <v>0.595744680851064</v>
      </c>
    </row>
    <row r="1048" ht="33" spans="1:22">
      <c r="A1048" s="32">
        <v>8685</v>
      </c>
      <c r="B1048" s="16" t="s">
        <v>1378</v>
      </c>
      <c r="C1048" s="27"/>
      <c r="D1048" s="27"/>
      <c r="E1048" s="19">
        <v>124</v>
      </c>
      <c r="F1048" s="19">
        <v>80</v>
      </c>
      <c r="G1048" s="19">
        <v>69</v>
      </c>
      <c r="H1048" s="27"/>
      <c r="I1048" s="27"/>
      <c r="J1048" s="21">
        <v>4677.46999999999</v>
      </c>
      <c r="K1048" s="21">
        <v>3334.67</v>
      </c>
      <c r="L1048" s="21">
        <v>3161.31</v>
      </c>
      <c r="M1048" s="27"/>
      <c r="N1048" s="31"/>
      <c r="O1048" s="22">
        <v>31</v>
      </c>
      <c r="P1048" s="22">
        <v>15</v>
      </c>
      <c r="Q1048" s="22">
        <v>19</v>
      </c>
      <c r="R1048" s="18"/>
      <c r="S1048" s="18"/>
      <c r="T1048" s="17">
        <v>0.8</v>
      </c>
      <c r="U1048" s="17">
        <v>0.842105263157895</v>
      </c>
      <c r="V1048" s="23">
        <v>0.784090909090909</v>
      </c>
    </row>
    <row r="1049" ht="33" spans="1:22">
      <c r="A1049" s="32">
        <v>8749</v>
      </c>
      <c r="B1049" s="16" t="s">
        <v>1379</v>
      </c>
      <c r="C1049" s="27"/>
      <c r="D1049" s="27"/>
      <c r="E1049" s="19">
        <v>46</v>
      </c>
      <c r="F1049" s="19">
        <v>31</v>
      </c>
      <c r="G1049" s="19">
        <v>18</v>
      </c>
      <c r="H1049" s="27"/>
      <c r="I1049" s="27"/>
      <c r="J1049" s="21">
        <v>759.38</v>
      </c>
      <c r="K1049" s="21">
        <v>467.84</v>
      </c>
      <c r="L1049" s="21">
        <v>259.52</v>
      </c>
      <c r="M1049" s="27"/>
      <c r="N1049" s="31"/>
      <c r="O1049" s="22">
        <v>30</v>
      </c>
      <c r="P1049" s="22">
        <v>23</v>
      </c>
      <c r="Q1049" s="22">
        <v>45</v>
      </c>
      <c r="R1049" s="18"/>
      <c r="S1049" s="18"/>
      <c r="T1049" s="17">
        <v>0.605263157894737</v>
      </c>
      <c r="U1049" s="17">
        <v>0.574074074074074</v>
      </c>
      <c r="V1049" s="23">
        <v>0.285714285714286</v>
      </c>
    </row>
    <row r="1050" ht="33" spans="1:22">
      <c r="A1050" s="32">
        <v>8879</v>
      </c>
      <c r="B1050" s="16" t="s">
        <v>1380</v>
      </c>
      <c r="C1050" s="27"/>
      <c r="D1050" s="27"/>
      <c r="E1050" s="19">
        <v>33</v>
      </c>
      <c r="F1050" s="19">
        <v>40</v>
      </c>
      <c r="G1050" s="19">
        <v>31</v>
      </c>
      <c r="H1050" s="27"/>
      <c r="I1050" s="27"/>
      <c r="J1050" s="21">
        <v>348.03</v>
      </c>
      <c r="K1050" s="21">
        <v>416.9</v>
      </c>
      <c r="L1050" s="21">
        <v>320.54</v>
      </c>
      <c r="M1050" s="27"/>
      <c r="N1050" s="31"/>
      <c r="O1050" s="22">
        <v>41</v>
      </c>
      <c r="P1050" s="22">
        <v>42</v>
      </c>
      <c r="Q1050" s="22">
        <v>27</v>
      </c>
      <c r="R1050" s="18"/>
      <c r="S1050" s="18"/>
      <c r="T1050" s="17">
        <v>0.445945945945946</v>
      </c>
      <c r="U1050" s="17">
        <v>0.48780487804878</v>
      </c>
      <c r="V1050" s="23">
        <v>0.53448275862069</v>
      </c>
    </row>
    <row r="1051" ht="33" spans="1:22">
      <c r="A1051" s="32">
        <v>8961</v>
      </c>
      <c r="B1051" s="16" t="s">
        <v>1381</v>
      </c>
      <c r="C1051" s="27"/>
      <c r="D1051" s="27"/>
      <c r="E1051" s="19">
        <v>27</v>
      </c>
      <c r="F1051" s="19">
        <v>20</v>
      </c>
      <c r="G1051" s="19">
        <v>26</v>
      </c>
      <c r="H1051" s="27"/>
      <c r="I1051" s="27"/>
      <c r="J1051" s="21">
        <v>567</v>
      </c>
      <c r="K1051" s="21">
        <v>420</v>
      </c>
      <c r="L1051" s="21">
        <v>553.99</v>
      </c>
      <c r="M1051" s="27"/>
      <c r="N1051" s="31"/>
      <c r="O1051" s="22">
        <v>14</v>
      </c>
      <c r="P1051" s="22">
        <v>13</v>
      </c>
      <c r="Q1051" s="22">
        <v>26</v>
      </c>
      <c r="R1051" s="18"/>
      <c r="S1051" s="18"/>
      <c r="T1051" s="17">
        <v>0.658536585365854</v>
      </c>
      <c r="U1051" s="17">
        <v>0.606060606060606</v>
      </c>
      <c r="V1051" s="23">
        <v>0.5</v>
      </c>
    </row>
    <row r="1052" ht="16.5" spans="1:22">
      <c r="A1052" s="32">
        <v>424</v>
      </c>
      <c r="B1052" s="16" t="s">
        <v>1382</v>
      </c>
      <c r="C1052" s="27"/>
      <c r="D1052" s="27"/>
      <c r="E1052" s="19">
        <v>29</v>
      </c>
      <c r="F1052" s="19">
        <v>22</v>
      </c>
      <c r="G1052" s="19">
        <v>11</v>
      </c>
      <c r="H1052" s="27"/>
      <c r="I1052" s="27"/>
      <c r="J1052" s="21">
        <v>735.81</v>
      </c>
      <c r="K1052" s="21">
        <v>555.1</v>
      </c>
      <c r="L1052" s="21">
        <v>269.6</v>
      </c>
      <c r="M1052" s="27"/>
      <c r="N1052" s="31"/>
      <c r="O1052" s="22">
        <v>47</v>
      </c>
      <c r="P1052" s="22">
        <v>22</v>
      </c>
      <c r="Q1052" s="22">
        <v>43</v>
      </c>
      <c r="R1052" s="18"/>
      <c r="S1052" s="18"/>
      <c r="T1052" s="17">
        <v>0.381578947368421</v>
      </c>
      <c r="U1052" s="17">
        <v>0.5</v>
      </c>
      <c r="V1052" s="23">
        <v>0.203703703703704</v>
      </c>
    </row>
    <row r="1053" ht="33" spans="1:22">
      <c r="A1053" s="32">
        <v>9063</v>
      </c>
      <c r="B1053" s="16" t="s">
        <v>1383</v>
      </c>
      <c r="C1053" s="27"/>
      <c r="D1053" s="27"/>
      <c r="E1053" s="19">
        <v>1</v>
      </c>
      <c r="F1053" s="19">
        <v>3</v>
      </c>
      <c r="G1053" s="19">
        <v>7</v>
      </c>
      <c r="H1053" s="27"/>
      <c r="I1053" s="27"/>
      <c r="J1053" s="21">
        <v>65</v>
      </c>
      <c r="K1053" s="21">
        <v>184.98</v>
      </c>
      <c r="L1053" s="21">
        <v>418.73</v>
      </c>
      <c r="M1053" s="27"/>
      <c r="N1053" s="31"/>
      <c r="O1053" s="22">
        <v>4</v>
      </c>
      <c r="P1053" s="22">
        <v>14</v>
      </c>
      <c r="Q1053" s="22">
        <v>10</v>
      </c>
      <c r="R1053" s="18"/>
      <c r="S1053" s="18"/>
      <c r="T1053" s="17">
        <v>0.2</v>
      </c>
      <c r="U1053" s="17">
        <v>0.176470588235294</v>
      </c>
      <c r="V1053" s="23">
        <v>0.411764705882353</v>
      </c>
    </row>
    <row r="1054" ht="49.5" spans="1:22">
      <c r="A1054" s="32">
        <v>9066</v>
      </c>
      <c r="B1054" s="16" t="s">
        <v>1384</v>
      </c>
      <c r="C1054" s="27"/>
      <c r="D1054" s="27"/>
      <c r="E1054" s="19">
        <v>46</v>
      </c>
      <c r="F1054" s="19">
        <v>17</v>
      </c>
      <c r="G1054" s="19">
        <v>20</v>
      </c>
      <c r="H1054" s="27"/>
      <c r="I1054" s="27"/>
      <c r="J1054" s="21">
        <v>1518</v>
      </c>
      <c r="K1054" s="21">
        <v>561</v>
      </c>
      <c r="L1054" s="21">
        <v>669</v>
      </c>
      <c r="M1054" s="27"/>
      <c r="N1054" s="31"/>
      <c r="O1054" s="22">
        <v>7</v>
      </c>
      <c r="P1054" s="22">
        <v>9</v>
      </c>
      <c r="Q1054" s="22">
        <v>3</v>
      </c>
      <c r="R1054" s="18"/>
      <c r="S1054" s="18"/>
      <c r="T1054" s="17">
        <v>0.867924528301887</v>
      </c>
      <c r="U1054" s="17">
        <v>0.653846153846154</v>
      </c>
      <c r="V1054" s="23">
        <v>0.869565217391304</v>
      </c>
    </row>
    <row r="1055" ht="33" spans="1:22">
      <c r="A1055" s="32">
        <v>9307</v>
      </c>
      <c r="B1055" s="16" t="s">
        <v>1385</v>
      </c>
      <c r="C1055" s="27"/>
      <c r="D1055" s="27"/>
      <c r="E1055" s="19">
        <v>59</v>
      </c>
      <c r="F1055" s="19">
        <v>19</v>
      </c>
      <c r="G1055" s="19">
        <v>29</v>
      </c>
      <c r="H1055" s="27"/>
      <c r="I1055" s="27"/>
      <c r="J1055" s="21">
        <v>1173.51</v>
      </c>
      <c r="K1055" s="21">
        <v>388.75</v>
      </c>
      <c r="L1055" s="21">
        <v>584.23</v>
      </c>
      <c r="M1055" s="27"/>
      <c r="N1055" s="31"/>
      <c r="O1055" s="22">
        <v>35</v>
      </c>
      <c r="P1055" s="22">
        <v>44</v>
      </c>
      <c r="Q1055" s="22">
        <v>87</v>
      </c>
      <c r="R1055" s="18"/>
      <c r="S1055" s="18"/>
      <c r="T1055" s="17">
        <v>0.627659574468085</v>
      </c>
      <c r="U1055" s="17">
        <v>0.301587301587302</v>
      </c>
      <c r="V1055" s="23">
        <v>0.25</v>
      </c>
    </row>
    <row r="1056" ht="16.5" spans="1:22">
      <c r="A1056" s="32">
        <v>5542</v>
      </c>
      <c r="B1056" s="16" t="s">
        <v>1386</v>
      </c>
      <c r="C1056" s="27"/>
      <c r="D1056" s="27"/>
      <c r="E1056" s="19">
        <v>4</v>
      </c>
      <c r="F1056" s="19">
        <v>19</v>
      </c>
      <c r="G1056" s="19">
        <v>14</v>
      </c>
      <c r="H1056" s="27"/>
      <c r="I1056" s="27"/>
      <c r="J1056" s="21">
        <v>55.46</v>
      </c>
      <c r="K1056" s="21">
        <v>266.81</v>
      </c>
      <c r="L1056" s="21">
        <v>193.86</v>
      </c>
      <c r="M1056" s="27"/>
      <c r="N1056" s="31"/>
      <c r="O1056" s="22">
        <v>140</v>
      </c>
      <c r="P1056" s="22">
        <v>148</v>
      </c>
      <c r="Q1056" s="22">
        <v>129</v>
      </c>
      <c r="R1056" s="18"/>
      <c r="S1056" s="18"/>
      <c r="T1056" s="17">
        <v>0.0277777777777778</v>
      </c>
      <c r="U1056" s="17">
        <v>0.11377245508982</v>
      </c>
      <c r="V1056" s="23">
        <v>0.0979020979020979</v>
      </c>
    </row>
    <row r="1057" ht="16.5" spans="1:22">
      <c r="A1057" s="32">
        <v>651</v>
      </c>
      <c r="B1057" s="16" t="s">
        <v>1387</v>
      </c>
      <c r="C1057" s="27"/>
      <c r="D1057" s="27"/>
      <c r="E1057" s="19">
        <v>126</v>
      </c>
      <c r="F1057" s="19">
        <v>130</v>
      </c>
      <c r="G1057" s="19">
        <v>109</v>
      </c>
      <c r="H1057" s="27"/>
      <c r="I1057" s="27"/>
      <c r="J1057" s="21">
        <v>946</v>
      </c>
      <c r="K1057" s="21">
        <v>980</v>
      </c>
      <c r="L1057" s="21">
        <v>875.729999999999</v>
      </c>
      <c r="M1057" s="27"/>
      <c r="N1057" s="31"/>
      <c r="O1057" s="22">
        <v>30</v>
      </c>
      <c r="P1057" s="22">
        <v>20</v>
      </c>
      <c r="Q1057" s="22">
        <v>7</v>
      </c>
      <c r="R1057" s="18"/>
      <c r="S1057" s="18"/>
      <c r="T1057" s="17">
        <v>0.807692307692308</v>
      </c>
      <c r="U1057" s="17">
        <v>0.866666666666667</v>
      </c>
      <c r="V1057" s="23">
        <v>0.939655172413793</v>
      </c>
    </row>
    <row r="1058" ht="33" spans="1:22">
      <c r="A1058" s="32">
        <v>3379</v>
      </c>
      <c r="B1058" s="16" t="s">
        <v>1388</v>
      </c>
      <c r="C1058" s="27"/>
      <c r="D1058" s="27"/>
      <c r="E1058" s="19">
        <v>38</v>
      </c>
      <c r="F1058" s="19">
        <v>29</v>
      </c>
      <c r="G1058" s="19">
        <v>32</v>
      </c>
      <c r="H1058" s="27"/>
      <c r="I1058" s="27"/>
      <c r="J1058" s="21">
        <v>8350</v>
      </c>
      <c r="K1058" s="21">
        <v>6377.47</v>
      </c>
      <c r="L1058" s="21">
        <v>6787.51</v>
      </c>
      <c r="M1058" s="27"/>
      <c r="N1058" s="31"/>
      <c r="O1058" s="22">
        <v>10</v>
      </c>
      <c r="P1058" s="22">
        <v>30</v>
      </c>
      <c r="Q1058" s="22">
        <v>35</v>
      </c>
      <c r="R1058" s="18"/>
      <c r="S1058" s="18"/>
      <c r="T1058" s="17">
        <v>0.791666666666667</v>
      </c>
      <c r="U1058" s="17">
        <v>0.491525423728814</v>
      </c>
      <c r="V1058" s="23">
        <v>0.477611940298507</v>
      </c>
    </row>
    <row r="1059" ht="16.5" spans="1:22">
      <c r="A1059" s="32">
        <v>922</v>
      </c>
      <c r="B1059" s="16" t="s">
        <v>1389</v>
      </c>
      <c r="C1059" s="27"/>
      <c r="D1059" s="27"/>
      <c r="E1059" s="19">
        <v>37</v>
      </c>
      <c r="F1059" s="19">
        <v>28</v>
      </c>
      <c r="G1059" s="19">
        <v>36</v>
      </c>
      <c r="H1059" s="27"/>
      <c r="I1059" s="27"/>
      <c r="J1059" s="21">
        <v>546.33</v>
      </c>
      <c r="K1059" s="21">
        <v>411.77</v>
      </c>
      <c r="L1059" s="21">
        <v>548.93</v>
      </c>
      <c r="M1059" s="27"/>
      <c r="N1059" s="31"/>
      <c r="O1059" s="22">
        <v>12</v>
      </c>
      <c r="P1059" s="22">
        <v>4</v>
      </c>
      <c r="Q1059" s="22">
        <v>2</v>
      </c>
      <c r="R1059" s="18"/>
      <c r="S1059" s="18"/>
      <c r="T1059" s="17">
        <v>0.755102040816326</v>
      </c>
      <c r="U1059" s="17">
        <v>0.875</v>
      </c>
      <c r="V1059" s="23">
        <v>0.947368421052632</v>
      </c>
    </row>
    <row r="1060" ht="16.5" spans="1:22">
      <c r="A1060" s="32">
        <v>1014</v>
      </c>
      <c r="B1060" s="16" t="s">
        <v>1390</v>
      </c>
      <c r="C1060" s="27"/>
      <c r="D1060" s="27"/>
      <c r="E1060" s="19">
        <v>11</v>
      </c>
      <c r="F1060" s="19">
        <v>12</v>
      </c>
      <c r="G1060" s="19">
        <v>8</v>
      </c>
      <c r="H1060" s="27"/>
      <c r="I1060" s="27"/>
      <c r="J1060" s="21">
        <v>504.39</v>
      </c>
      <c r="K1060" s="21">
        <v>546.88</v>
      </c>
      <c r="L1060" s="21">
        <v>366.5</v>
      </c>
      <c r="M1060" s="27"/>
      <c r="N1060" s="31"/>
      <c r="O1060" s="22">
        <v>8</v>
      </c>
      <c r="P1060" s="22">
        <v>12</v>
      </c>
      <c r="Q1060" s="22">
        <v>5</v>
      </c>
      <c r="R1060" s="18"/>
      <c r="S1060" s="18"/>
      <c r="T1060" s="17">
        <v>0.578947368421053</v>
      </c>
      <c r="U1060" s="17">
        <v>0.5</v>
      </c>
      <c r="V1060" s="23">
        <v>0.615384615384615</v>
      </c>
    </row>
    <row r="1061" ht="16.5" spans="1:22">
      <c r="A1061" s="32">
        <v>944</v>
      </c>
      <c r="B1061" s="16" t="s">
        <v>1391</v>
      </c>
      <c r="C1061" s="27"/>
      <c r="D1061" s="27"/>
      <c r="E1061" s="19">
        <v>21</v>
      </c>
      <c r="F1061" s="19">
        <v>21</v>
      </c>
      <c r="G1061" s="19">
        <v>18</v>
      </c>
      <c r="H1061" s="27"/>
      <c r="I1061" s="27"/>
      <c r="J1061" s="21">
        <v>1287.66</v>
      </c>
      <c r="K1061" s="21">
        <v>1207.81</v>
      </c>
      <c r="L1061" s="21">
        <v>1032.04</v>
      </c>
      <c r="M1061" s="27"/>
      <c r="N1061" s="31"/>
      <c r="O1061" s="22">
        <v>13</v>
      </c>
      <c r="P1061" s="22">
        <v>19</v>
      </c>
      <c r="Q1061" s="22">
        <v>9</v>
      </c>
      <c r="R1061" s="18"/>
      <c r="S1061" s="18"/>
      <c r="T1061" s="17">
        <v>0.617647058823529</v>
      </c>
      <c r="U1061" s="17">
        <v>0.525</v>
      </c>
      <c r="V1061" s="23">
        <v>0.666666666666667</v>
      </c>
    </row>
    <row r="1062" ht="16.5" spans="1:22">
      <c r="A1062" s="32">
        <v>1642</v>
      </c>
      <c r="B1062" s="16" t="s">
        <v>1392</v>
      </c>
      <c r="C1062" s="27"/>
      <c r="D1062" s="27"/>
      <c r="E1062" s="19">
        <v>15</v>
      </c>
      <c r="F1062" s="19">
        <v>14</v>
      </c>
      <c r="G1062" s="19">
        <v>12</v>
      </c>
      <c r="H1062" s="27"/>
      <c r="I1062" s="27"/>
      <c r="J1062" s="21">
        <v>704.56</v>
      </c>
      <c r="K1062" s="21">
        <v>660.8</v>
      </c>
      <c r="L1062" s="21">
        <v>566.4</v>
      </c>
      <c r="M1062" s="27"/>
      <c r="N1062" s="31"/>
      <c r="O1062" s="22">
        <v>12</v>
      </c>
      <c r="P1062" s="22">
        <v>8</v>
      </c>
      <c r="Q1062" s="22">
        <v>19</v>
      </c>
      <c r="R1062" s="18"/>
      <c r="S1062" s="18"/>
      <c r="T1062" s="17">
        <v>0.555555555555556</v>
      </c>
      <c r="U1062" s="17">
        <v>0.636363636363636</v>
      </c>
      <c r="V1062" s="23">
        <v>0.387096774193548</v>
      </c>
    </row>
    <row r="1063" ht="16.5" spans="1:22">
      <c r="A1063" s="32">
        <v>1689</v>
      </c>
      <c r="B1063" s="16" t="s">
        <v>1393</v>
      </c>
      <c r="C1063" s="27"/>
      <c r="D1063" s="27"/>
      <c r="E1063" s="19">
        <v>26</v>
      </c>
      <c r="F1063" s="19">
        <v>22</v>
      </c>
      <c r="G1063" s="19">
        <v>11</v>
      </c>
      <c r="H1063" s="27"/>
      <c r="I1063" s="27"/>
      <c r="J1063" s="21">
        <v>1774.55</v>
      </c>
      <c r="K1063" s="21">
        <v>1517.08</v>
      </c>
      <c r="L1063" s="21">
        <v>765.2</v>
      </c>
      <c r="M1063" s="27"/>
      <c r="N1063" s="31"/>
      <c r="O1063" s="22">
        <v>6</v>
      </c>
      <c r="P1063" s="22">
        <v>3</v>
      </c>
      <c r="Q1063" s="22">
        <v>11</v>
      </c>
      <c r="R1063" s="18"/>
      <c r="S1063" s="18"/>
      <c r="T1063" s="17">
        <v>0.8125</v>
      </c>
      <c r="U1063" s="17">
        <v>0.88</v>
      </c>
      <c r="V1063" s="23">
        <v>0.5</v>
      </c>
    </row>
    <row r="1064" ht="16.5" spans="1:22">
      <c r="A1064" s="32">
        <v>409</v>
      </c>
      <c r="B1064" s="16" t="s">
        <v>1394</v>
      </c>
      <c r="C1064" s="27"/>
      <c r="D1064" s="27"/>
      <c r="E1064" s="19">
        <v>22</v>
      </c>
      <c r="F1064" s="19">
        <v>18</v>
      </c>
      <c r="G1064" s="19">
        <v>20</v>
      </c>
      <c r="H1064" s="27"/>
      <c r="I1064" s="27"/>
      <c r="J1064" s="21">
        <v>331.78</v>
      </c>
      <c r="K1064" s="21">
        <v>305.73</v>
      </c>
      <c r="L1064" s="21">
        <v>340.94</v>
      </c>
      <c r="M1064" s="27"/>
      <c r="N1064" s="31"/>
      <c r="O1064" s="22">
        <v>16</v>
      </c>
      <c r="P1064" s="22">
        <v>11</v>
      </c>
      <c r="Q1064" s="22">
        <v>7</v>
      </c>
      <c r="R1064" s="18"/>
      <c r="S1064" s="18"/>
      <c r="T1064" s="17">
        <v>0.578947368421053</v>
      </c>
      <c r="U1064" s="17">
        <v>0.620689655172414</v>
      </c>
      <c r="V1064" s="23">
        <v>0.740740740740741</v>
      </c>
    </row>
    <row r="1065" ht="16.5" spans="1:22">
      <c r="A1065" s="32">
        <v>1290</v>
      </c>
      <c r="B1065" s="16" t="s">
        <v>1395</v>
      </c>
      <c r="C1065" s="27"/>
      <c r="D1065" s="27"/>
      <c r="E1065" s="19">
        <v>9</v>
      </c>
      <c r="F1065" s="19">
        <v>12</v>
      </c>
      <c r="G1065" s="19">
        <v>24</v>
      </c>
      <c r="H1065" s="27"/>
      <c r="I1065" s="27"/>
      <c r="J1065" s="21">
        <v>726.5</v>
      </c>
      <c r="K1065" s="21">
        <v>961</v>
      </c>
      <c r="L1065" s="21">
        <v>1956.07</v>
      </c>
      <c r="M1065" s="27"/>
      <c r="N1065" s="31"/>
      <c r="O1065" s="22">
        <v>17</v>
      </c>
      <c r="P1065" s="22">
        <v>22</v>
      </c>
      <c r="Q1065" s="22">
        <v>0</v>
      </c>
      <c r="R1065" s="18"/>
      <c r="S1065" s="18"/>
      <c r="T1065" s="17">
        <v>0.346153846153846</v>
      </c>
      <c r="U1065" s="17">
        <v>0.352941176470588</v>
      </c>
      <c r="V1065" s="23">
        <v>1</v>
      </c>
    </row>
    <row r="1066" ht="33" spans="1:22">
      <c r="A1066" s="32">
        <v>4657</v>
      </c>
      <c r="B1066" s="16" t="s">
        <v>1396</v>
      </c>
      <c r="C1066" s="27"/>
      <c r="D1066" s="27"/>
      <c r="E1066" s="19">
        <v>2</v>
      </c>
      <c r="F1066" s="19">
        <v>9</v>
      </c>
      <c r="G1066" s="19">
        <v>13</v>
      </c>
      <c r="H1066" s="27"/>
      <c r="I1066" s="27"/>
      <c r="J1066" s="21">
        <v>137</v>
      </c>
      <c r="K1066" s="21">
        <v>633.4</v>
      </c>
      <c r="L1066" s="21">
        <v>1008.22</v>
      </c>
      <c r="M1066" s="27"/>
      <c r="N1066" s="31"/>
      <c r="O1066" s="22">
        <v>34</v>
      </c>
      <c r="P1066" s="22">
        <v>23</v>
      </c>
      <c r="Q1066" s="22">
        <v>18</v>
      </c>
      <c r="R1066" s="18"/>
      <c r="S1066" s="18"/>
      <c r="T1066" s="17">
        <v>0.0555555555555556</v>
      </c>
      <c r="U1066" s="17">
        <v>0.28125</v>
      </c>
      <c r="V1066" s="23">
        <v>0.419354838709677</v>
      </c>
    </row>
    <row r="1067" ht="16.5" spans="1:22">
      <c r="A1067" s="32">
        <v>3871</v>
      </c>
      <c r="B1067" s="16" t="s">
        <v>1397</v>
      </c>
      <c r="C1067" s="27"/>
      <c r="D1067" s="27"/>
      <c r="E1067" s="19">
        <v>8</v>
      </c>
      <c r="F1067" s="19">
        <v>15</v>
      </c>
      <c r="G1067" s="19">
        <v>10</v>
      </c>
      <c r="H1067" s="27"/>
      <c r="I1067" s="27"/>
      <c r="J1067" s="21">
        <v>232.84</v>
      </c>
      <c r="K1067" s="21">
        <v>439.7</v>
      </c>
      <c r="L1067" s="21">
        <v>292.8</v>
      </c>
      <c r="M1067" s="27"/>
      <c r="N1067" s="31"/>
      <c r="O1067" s="22">
        <v>9</v>
      </c>
      <c r="P1067" s="22">
        <v>9</v>
      </c>
      <c r="Q1067" s="22">
        <v>31</v>
      </c>
      <c r="R1067" s="18"/>
      <c r="S1067" s="18"/>
      <c r="T1067" s="17">
        <v>0.470588235294118</v>
      </c>
      <c r="U1067" s="17">
        <v>0.625</v>
      </c>
      <c r="V1067" s="23">
        <v>0.24390243902439</v>
      </c>
    </row>
    <row r="1068" ht="16.5" spans="1:22">
      <c r="A1068" s="32">
        <v>1296</v>
      </c>
      <c r="B1068" s="16" t="s">
        <v>1398</v>
      </c>
      <c r="C1068" s="27"/>
      <c r="D1068" s="27"/>
      <c r="E1068" s="19">
        <v>41</v>
      </c>
      <c r="F1068" s="19">
        <v>41</v>
      </c>
      <c r="G1068" s="19">
        <v>35</v>
      </c>
      <c r="H1068" s="27"/>
      <c r="I1068" s="27"/>
      <c r="J1068" s="21">
        <v>750.46</v>
      </c>
      <c r="K1068" s="21">
        <v>746.54</v>
      </c>
      <c r="L1068" s="21">
        <v>637.76</v>
      </c>
      <c r="M1068" s="27"/>
      <c r="N1068" s="31"/>
      <c r="O1068" s="22">
        <v>23</v>
      </c>
      <c r="P1068" s="22">
        <v>18</v>
      </c>
      <c r="Q1068" s="22">
        <v>13</v>
      </c>
      <c r="R1068" s="18"/>
      <c r="S1068" s="18"/>
      <c r="T1068" s="17">
        <v>0.640625</v>
      </c>
      <c r="U1068" s="17">
        <v>0.694915254237288</v>
      </c>
      <c r="V1068" s="23">
        <v>0.729166666666667</v>
      </c>
    </row>
    <row r="1069" ht="33" spans="1:22">
      <c r="A1069" s="32">
        <v>5690</v>
      </c>
      <c r="B1069" s="16" t="s">
        <v>1399</v>
      </c>
      <c r="C1069" s="27"/>
      <c r="D1069" s="27"/>
      <c r="E1069" s="19">
        <v>36</v>
      </c>
      <c r="F1069" s="19">
        <v>31</v>
      </c>
      <c r="G1069" s="19">
        <v>36</v>
      </c>
      <c r="H1069" s="27"/>
      <c r="I1069" s="27"/>
      <c r="J1069" s="21">
        <v>585.64</v>
      </c>
      <c r="K1069" s="21">
        <v>503.59</v>
      </c>
      <c r="L1069" s="21">
        <v>583.44</v>
      </c>
      <c r="M1069" s="27"/>
      <c r="N1069" s="31"/>
      <c r="O1069" s="22">
        <v>38</v>
      </c>
      <c r="P1069" s="22">
        <v>39</v>
      </c>
      <c r="Q1069" s="22">
        <v>32</v>
      </c>
      <c r="R1069" s="18"/>
      <c r="S1069" s="18"/>
      <c r="T1069" s="17">
        <v>0.486486486486487</v>
      </c>
      <c r="U1069" s="17">
        <v>0.442857142857143</v>
      </c>
      <c r="V1069" s="23">
        <v>0.529411764705882</v>
      </c>
    </row>
    <row r="1070" ht="16.5" spans="1:22">
      <c r="A1070" s="32">
        <v>1424</v>
      </c>
      <c r="B1070" s="16" t="s">
        <v>1400</v>
      </c>
      <c r="C1070" s="27"/>
      <c r="D1070" s="27"/>
      <c r="E1070" s="19">
        <v>8</v>
      </c>
      <c r="F1070" s="19">
        <v>11</v>
      </c>
      <c r="G1070" s="19">
        <v>9</v>
      </c>
      <c r="H1070" s="27"/>
      <c r="I1070" s="27"/>
      <c r="J1070" s="21">
        <v>588.39</v>
      </c>
      <c r="K1070" s="21">
        <v>810.97</v>
      </c>
      <c r="L1070" s="21">
        <v>630.71</v>
      </c>
      <c r="M1070" s="27"/>
      <c r="N1070" s="31"/>
      <c r="O1070" s="22">
        <v>9</v>
      </c>
      <c r="P1070" s="22">
        <v>16</v>
      </c>
      <c r="Q1070" s="22">
        <v>20</v>
      </c>
      <c r="R1070" s="18"/>
      <c r="S1070" s="18"/>
      <c r="T1070" s="17">
        <v>0.470588235294118</v>
      </c>
      <c r="U1070" s="17">
        <v>0.407407407407407</v>
      </c>
      <c r="V1070" s="23">
        <v>0.310344827586207</v>
      </c>
    </row>
    <row r="1071" ht="33" spans="1:22">
      <c r="A1071" s="32">
        <v>2481</v>
      </c>
      <c r="B1071" s="16" t="s">
        <v>1401</v>
      </c>
      <c r="C1071" s="27"/>
      <c r="D1071" s="27"/>
      <c r="E1071" s="19">
        <v>38</v>
      </c>
      <c r="F1071" s="19">
        <v>19</v>
      </c>
      <c r="G1071" s="19">
        <v>26</v>
      </c>
      <c r="H1071" s="27"/>
      <c r="I1071" s="27"/>
      <c r="J1071" s="21">
        <v>633.03</v>
      </c>
      <c r="K1071" s="21">
        <v>315.82</v>
      </c>
      <c r="L1071" s="21">
        <v>427.84</v>
      </c>
      <c r="M1071" s="27"/>
      <c r="N1071" s="31"/>
      <c r="O1071" s="22">
        <v>25</v>
      </c>
      <c r="P1071" s="22">
        <v>30</v>
      </c>
      <c r="Q1071" s="22">
        <v>26</v>
      </c>
      <c r="R1071" s="18"/>
      <c r="S1071" s="18"/>
      <c r="T1071" s="17">
        <v>0.603174603174603</v>
      </c>
      <c r="U1071" s="17">
        <v>0.387755102040816</v>
      </c>
      <c r="V1071" s="23">
        <v>0.5</v>
      </c>
    </row>
    <row r="1072" ht="16.5" spans="1:22">
      <c r="A1072" s="32">
        <v>322</v>
      </c>
      <c r="B1072" s="16" t="s">
        <v>1402</v>
      </c>
      <c r="C1072" s="27"/>
      <c r="D1072" s="27"/>
      <c r="E1072" s="19">
        <v>24</v>
      </c>
      <c r="F1072" s="19">
        <v>16</v>
      </c>
      <c r="G1072" s="19">
        <v>23</v>
      </c>
      <c r="H1072" s="27"/>
      <c r="I1072" s="27"/>
      <c r="J1072" s="21">
        <v>1368.68</v>
      </c>
      <c r="K1072" s="21">
        <v>892.96</v>
      </c>
      <c r="L1072" s="21">
        <v>1295.41</v>
      </c>
      <c r="M1072" s="27"/>
      <c r="N1072" s="31"/>
      <c r="O1072" s="22">
        <v>9</v>
      </c>
      <c r="P1072" s="22">
        <v>9</v>
      </c>
      <c r="Q1072" s="22">
        <v>7</v>
      </c>
      <c r="R1072" s="18"/>
      <c r="S1072" s="18"/>
      <c r="T1072" s="17">
        <v>0.727272727272727</v>
      </c>
      <c r="U1072" s="17">
        <v>0.64</v>
      </c>
      <c r="V1072" s="23">
        <v>0.766666666666667</v>
      </c>
    </row>
    <row r="1073" ht="16.5" spans="1:22">
      <c r="A1073" s="32">
        <v>481</v>
      </c>
      <c r="B1073" s="16" t="s">
        <v>1403</v>
      </c>
      <c r="C1073" s="27"/>
      <c r="D1073" s="27"/>
      <c r="E1073" s="19">
        <v>9</v>
      </c>
      <c r="F1073" s="19">
        <v>4</v>
      </c>
      <c r="G1073" s="19">
        <v>2</v>
      </c>
      <c r="H1073" s="27"/>
      <c r="I1073" s="27"/>
      <c r="J1073" s="21">
        <v>356.11</v>
      </c>
      <c r="K1073" s="21">
        <v>184.36</v>
      </c>
      <c r="L1073" s="21">
        <v>95.18</v>
      </c>
      <c r="M1073" s="27"/>
      <c r="N1073" s="31"/>
      <c r="O1073" s="22">
        <v>14</v>
      </c>
      <c r="P1073" s="22">
        <v>19</v>
      </c>
      <c r="Q1073" s="22">
        <v>18</v>
      </c>
      <c r="R1073" s="18"/>
      <c r="S1073" s="18"/>
      <c r="T1073" s="17">
        <v>0.391304347826087</v>
      </c>
      <c r="U1073" s="17">
        <v>0.173913043478261</v>
      </c>
      <c r="V1073" s="23">
        <v>0.1</v>
      </c>
    </row>
    <row r="1074" ht="16.5" spans="1:22">
      <c r="A1074" s="32">
        <v>634</v>
      </c>
      <c r="B1074" s="16" t="s">
        <v>1404</v>
      </c>
      <c r="C1074" s="27"/>
      <c r="D1074" s="27"/>
      <c r="E1074" s="19">
        <v>115</v>
      </c>
      <c r="F1074" s="19">
        <v>101</v>
      </c>
      <c r="G1074" s="19">
        <v>86</v>
      </c>
      <c r="H1074" s="27"/>
      <c r="I1074" s="27"/>
      <c r="J1074" s="21">
        <v>1165.6</v>
      </c>
      <c r="K1074" s="21">
        <v>1102.09</v>
      </c>
      <c r="L1074" s="21">
        <v>930.240000000001</v>
      </c>
      <c r="M1074" s="27"/>
      <c r="N1074" s="31"/>
      <c r="O1074" s="22">
        <v>44</v>
      </c>
      <c r="P1074" s="22">
        <v>51</v>
      </c>
      <c r="Q1074" s="22">
        <v>53</v>
      </c>
      <c r="R1074" s="18"/>
      <c r="S1074" s="18"/>
      <c r="T1074" s="17">
        <v>0.723270440251572</v>
      </c>
      <c r="U1074" s="17">
        <v>0.664473684210526</v>
      </c>
      <c r="V1074" s="23">
        <v>0.618705035971223</v>
      </c>
    </row>
    <row r="1075" ht="16.5" spans="1:22">
      <c r="A1075" s="32">
        <v>636</v>
      </c>
      <c r="B1075" s="16" t="s">
        <v>1405</v>
      </c>
      <c r="C1075" s="27"/>
      <c r="D1075" s="27"/>
      <c r="E1075" s="19">
        <v>49</v>
      </c>
      <c r="F1075" s="19">
        <v>90</v>
      </c>
      <c r="G1075" s="19">
        <v>45</v>
      </c>
      <c r="H1075" s="27"/>
      <c r="I1075" s="27"/>
      <c r="J1075" s="21">
        <v>594.56</v>
      </c>
      <c r="K1075" s="21">
        <v>1093.14</v>
      </c>
      <c r="L1075" s="21">
        <v>564.58</v>
      </c>
      <c r="M1075" s="27"/>
      <c r="N1075" s="31"/>
      <c r="O1075" s="22">
        <v>95</v>
      </c>
      <c r="P1075" s="22">
        <v>49</v>
      </c>
      <c r="Q1075" s="22">
        <v>98</v>
      </c>
      <c r="R1075" s="18"/>
      <c r="S1075" s="18"/>
      <c r="T1075" s="17">
        <v>0.340277777777778</v>
      </c>
      <c r="U1075" s="17">
        <v>0.647482014388489</v>
      </c>
      <c r="V1075" s="23">
        <v>0.314685314685315</v>
      </c>
    </row>
    <row r="1076" ht="16.5" spans="1:22">
      <c r="A1076" s="32">
        <v>657</v>
      </c>
      <c r="B1076" s="16" t="s">
        <v>1406</v>
      </c>
      <c r="C1076" s="27"/>
      <c r="D1076" s="27"/>
      <c r="E1076" s="19">
        <v>59</v>
      </c>
      <c r="F1076" s="19">
        <v>70</v>
      </c>
      <c r="G1076" s="19">
        <v>36</v>
      </c>
      <c r="H1076" s="27"/>
      <c r="I1076" s="27"/>
      <c r="J1076" s="21">
        <v>1553.09</v>
      </c>
      <c r="K1076" s="21">
        <v>1931.8</v>
      </c>
      <c r="L1076" s="21">
        <v>1003.96</v>
      </c>
      <c r="M1076" s="27"/>
      <c r="N1076" s="31"/>
      <c r="O1076" s="22">
        <v>0</v>
      </c>
      <c r="P1076" s="22">
        <v>8</v>
      </c>
      <c r="Q1076" s="22">
        <v>15</v>
      </c>
      <c r="R1076" s="18"/>
      <c r="S1076" s="18"/>
      <c r="T1076" s="17">
        <v>1</v>
      </c>
      <c r="U1076" s="17">
        <v>0.897435897435897</v>
      </c>
      <c r="V1076" s="23">
        <v>0.705882352941177</v>
      </c>
    </row>
    <row r="1077" ht="33" spans="1:22">
      <c r="A1077" s="32">
        <v>567</v>
      </c>
      <c r="B1077" s="16" t="s">
        <v>1407</v>
      </c>
      <c r="C1077" s="27"/>
      <c r="D1077" s="27"/>
      <c r="E1077" s="19">
        <v>61</v>
      </c>
      <c r="F1077" s="19">
        <v>57</v>
      </c>
      <c r="G1077" s="19">
        <v>69</v>
      </c>
      <c r="H1077" s="27"/>
      <c r="I1077" s="27"/>
      <c r="J1077" s="21">
        <v>823.29</v>
      </c>
      <c r="K1077" s="21">
        <v>750.53</v>
      </c>
      <c r="L1077" s="21">
        <v>868.76</v>
      </c>
      <c r="M1077" s="27"/>
      <c r="N1077" s="31"/>
      <c r="O1077" s="22">
        <v>77</v>
      </c>
      <c r="P1077" s="22">
        <v>45</v>
      </c>
      <c r="Q1077" s="22">
        <v>51</v>
      </c>
      <c r="R1077" s="18"/>
      <c r="S1077" s="18"/>
      <c r="T1077" s="17">
        <v>0.442028985507246</v>
      </c>
      <c r="U1077" s="17">
        <v>0.558823529411765</v>
      </c>
      <c r="V1077" s="23">
        <v>0.575</v>
      </c>
    </row>
    <row r="1078" ht="33" spans="1:22">
      <c r="A1078" s="32">
        <v>1007</v>
      </c>
      <c r="B1078" s="16" t="s">
        <v>1408</v>
      </c>
      <c r="C1078" s="27"/>
      <c r="D1078" s="27"/>
      <c r="E1078" s="19">
        <v>28</v>
      </c>
      <c r="F1078" s="19">
        <v>21</v>
      </c>
      <c r="G1078" s="19">
        <v>23</v>
      </c>
      <c r="H1078" s="27"/>
      <c r="I1078" s="27"/>
      <c r="J1078" s="21">
        <v>919.700000000001</v>
      </c>
      <c r="K1078" s="21">
        <v>703.9</v>
      </c>
      <c r="L1078" s="21">
        <v>801.5</v>
      </c>
      <c r="M1078" s="27"/>
      <c r="N1078" s="31"/>
      <c r="O1078" s="22">
        <v>22</v>
      </c>
      <c r="P1078" s="22">
        <v>19</v>
      </c>
      <c r="Q1078" s="22">
        <v>24</v>
      </c>
      <c r="R1078" s="18"/>
      <c r="S1078" s="18"/>
      <c r="T1078" s="17">
        <v>0.56</v>
      </c>
      <c r="U1078" s="17">
        <v>0.525</v>
      </c>
      <c r="V1078" s="23">
        <v>0.48936170212766</v>
      </c>
    </row>
    <row r="1079" ht="33" spans="1:22">
      <c r="A1079" s="32">
        <v>1009</v>
      </c>
      <c r="B1079" s="16" t="s">
        <v>1409</v>
      </c>
      <c r="C1079" s="27"/>
      <c r="D1079" s="27"/>
      <c r="E1079" s="19">
        <v>51</v>
      </c>
      <c r="F1079" s="19">
        <v>32</v>
      </c>
      <c r="G1079" s="19">
        <v>27</v>
      </c>
      <c r="H1079" s="27"/>
      <c r="I1079" s="27"/>
      <c r="J1079" s="21">
        <v>1940.4</v>
      </c>
      <c r="K1079" s="21">
        <v>1250.1</v>
      </c>
      <c r="L1079" s="21">
        <v>1161.3</v>
      </c>
      <c r="M1079" s="27"/>
      <c r="N1079" s="31"/>
      <c r="O1079" s="22">
        <v>6</v>
      </c>
      <c r="P1079" s="22">
        <v>18</v>
      </c>
      <c r="Q1079" s="22">
        <v>21</v>
      </c>
      <c r="R1079" s="18"/>
      <c r="S1079" s="18"/>
      <c r="T1079" s="17">
        <v>0.894736842105263</v>
      </c>
      <c r="U1079" s="17">
        <v>0.64</v>
      </c>
      <c r="V1079" s="23">
        <v>0.5625</v>
      </c>
    </row>
    <row r="1080" ht="16.5" spans="1:22">
      <c r="A1080" s="32">
        <v>1050</v>
      </c>
      <c r="B1080" s="16" t="s">
        <v>1410</v>
      </c>
      <c r="C1080" s="27"/>
      <c r="D1080" s="27"/>
      <c r="E1080" s="19">
        <v>158</v>
      </c>
      <c r="F1080" s="19">
        <v>131</v>
      </c>
      <c r="G1080" s="19">
        <v>112</v>
      </c>
      <c r="H1080" s="27"/>
      <c r="I1080" s="27"/>
      <c r="J1080" s="21">
        <v>5545.87999999999</v>
      </c>
      <c r="K1080" s="21">
        <v>4687.37999999999</v>
      </c>
      <c r="L1080" s="21">
        <v>4399.08999999999</v>
      </c>
      <c r="M1080" s="27"/>
      <c r="N1080" s="31"/>
      <c r="O1080" s="22">
        <v>24</v>
      </c>
      <c r="P1080" s="22">
        <v>34</v>
      </c>
      <c r="Q1080" s="22">
        <v>25</v>
      </c>
      <c r="R1080" s="18"/>
      <c r="S1080" s="18"/>
      <c r="T1080" s="17">
        <v>0.868131868131868</v>
      </c>
      <c r="U1080" s="17">
        <v>0.793939393939394</v>
      </c>
      <c r="V1080" s="23">
        <v>0.817518248175182</v>
      </c>
    </row>
    <row r="1081" ht="33" spans="1:22">
      <c r="A1081" s="32">
        <v>3376</v>
      </c>
      <c r="B1081" s="16" t="s">
        <v>1411</v>
      </c>
      <c r="C1081" s="27"/>
      <c r="D1081" s="27"/>
      <c r="E1081" s="19">
        <v>7</v>
      </c>
      <c r="F1081" s="19">
        <v>5</v>
      </c>
      <c r="G1081" s="19">
        <v>6</v>
      </c>
      <c r="H1081" s="27"/>
      <c r="I1081" s="27"/>
      <c r="J1081" s="21">
        <v>79.59</v>
      </c>
      <c r="K1081" s="21">
        <v>56.35</v>
      </c>
      <c r="L1081" s="21">
        <v>68.22</v>
      </c>
      <c r="M1081" s="27"/>
      <c r="N1081" s="31"/>
      <c r="O1081" s="22">
        <v>451</v>
      </c>
      <c r="P1081" s="22">
        <v>297</v>
      </c>
      <c r="Q1081" s="22">
        <v>227</v>
      </c>
      <c r="R1081" s="18"/>
      <c r="S1081" s="18"/>
      <c r="T1081" s="17">
        <v>0.0152838427947598</v>
      </c>
      <c r="U1081" s="17">
        <v>0.0165562913907285</v>
      </c>
      <c r="V1081" s="23">
        <v>0.0257510729613734</v>
      </c>
    </row>
    <row r="1082" ht="16.5" spans="1:22">
      <c r="A1082" s="32">
        <v>1307</v>
      </c>
      <c r="B1082" s="16" t="s">
        <v>1412</v>
      </c>
      <c r="C1082" s="27"/>
      <c r="D1082" s="27"/>
      <c r="E1082" s="19">
        <v>19</v>
      </c>
      <c r="F1082" s="19">
        <v>24</v>
      </c>
      <c r="G1082" s="19">
        <v>29</v>
      </c>
      <c r="H1082" s="27"/>
      <c r="I1082" s="27"/>
      <c r="J1082" s="21">
        <v>376.01</v>
      </c>
      <c r="K1082" s="21">
        <v>445.86</v>
      </c>
      <c r="L1082" s="21">
        <v>514.41</v>
      </c>
      <c r="M1082" s="27"/>
      <c r="N1082" s="31"/>
      <c r="O1082" s="22">
        <v>14</v>
      </c>
      <c r="P1082" s="22">
        <v>23</v>
      </c>
      <c r="Q1082" s="22">
        <v>9</v>
      </c>
      <c r="R1082" s="18"/>
      <c r="S1082" s="18"/>
      <c r="T1082" s="17">
        <v>0.575757575757576</v>
      </c>
      <c r="U1082" s="17">
        <v>0.51063829787234</v>
      </c>
      <c r="V1082" s="23">
        <v>0.763157894736842</v>
      </c>
    </row>
    <row r="1083" ht="16.5" spans="1:22">
      <c r="A1083" s="32">
        <v>1585</v>
      </c>
      <c r="B1083" s="16" t="s">
        <v>1413</v>
      </c>
      <c r="C1083" s="27"/>
      <c r="D1083" s="27"/>
      <c r="E1083" s="19">
        <v>26</v>
      </c>
      <c r="F1083" s="19">
        <v>21</v>
      </c>
      <c r="G1083" s="19">
        <v>17</v>
      </c>
      <c r="H1083" s="27"/>
      <c r="I1083" s="27"/>
      <c r="J1083" s="21">
        <v>2315.29</v>
      </c>
      <c r="K1083" s="21">
        <v>1831.81</v>
      </c>
      <c r="L1083" s="21">
        <v>1508.68</v>
      </c>
      <c r="M1083" s="27"/>
      <c r="N1083" s="31"/>
      <c r="O1083" s="22">
        <v>15</v>
      </c>
      <c r="P1083" s="22">
        <v>22</v>
      </c>
      <c r="Q1083" s="22">
        <v>28</v>
      </c>
      <c r="R1083" s="18"/>
      <c r="S1083" s="18"/>
      <c r="T1083" s="17">
        <v>0.634146341463415</v>
      </c>
      <c r="U1083" s="17">
        <v>0.488372093023256</v>
      </c>
      <c r="V1083" s="23">
        <v>0.377777777777778</v>
      </c>
    </row>
    <row r="1084" ht="33" spans="1:22">
      <c r="A1084" s="32">
        <v>1717</v>
      </c>
      <c r="B1084" s="16" t="s">
        <v>1414</v>
      </c>
      <c r="C1084" s="27"/>
      <c r="D1084" s="27"/>
      <c r="E1084" s="19">
        <v>20</v>
      </c>
      <c r="F1084" s="19">
        <v>19</v>
      </c>
      <c r="G1084" s="19">
        <v>11</v>
      </c>
      <c r="H1084" s="27"/>
      <c r="I1084" s="27"/>
      <c r="J1084" s="21">
        <v>1037.41</v>
      </c>
      <c r="K1084" s="21">
        <v>983.88</v>
      </c>
      <c r="L1084" s="21">
        <v>569.89</v>
      </c>
      <c r="M1084" s="27"/>
      <c r="N1084" s="31"/>
      <c r="O1084" s="22">
        <v>9</v>
      </c>
      <c r="P1084" s="22">
        <v>4</v>
      </c>
      <c r="Q1084" s="22">
        <v>8</v>
      </c>
      <c r="R1084" s="18"/>
      <c r="S1084" s="18"/>
      <c r="T1084" s="17">
        <v>0.689655172413793</v>
      </c>
      <c r="U1084" s="17">
        <v>0.826086956521739</v>
      </c>
      <c r="V1084" s="23">
        <v>0.578947368421053</v>
      </c>
    </row>
    <row r="1085" ht="16.5" spans="1:22">
      <c r="A1085" s="32">
        <v>434</v>
      </c>
      <c r="B1085" s="16" t="s">
        <v>1415</v>
      </c>
      <c r="C1085" s="27"/>
      <c r="D1085" s="27"/>
      <c r="E1085" s="19">
        <v>33</v>
      </c>
      <c r="F1085" s="19">
        <v>39</v>
      </c>
      <c r="G1085" s="19">
        <v>38</v>
      </c>
      <c r="H1085" s="27"/>
      <c r="I1085" s="27"/>
      <c r="J1085" s="21">
        <v>1453.6</v>
      </c>
      <c r="K1085" s="21">
        <v>1716.4</v>
      </c>
      <c r="L1085" s="21">
        <v>1772.4</v>
      </c>
      <c r="M1085" s="27"/>
      <c r="N1085" s="31"/>
      <c r="O1085" s="22">
        <v>15</v>
      </c>
      <c r="P1085" s="22">
        <v>7</v>
      </c>
      <c r="Q1085" s="22">
        <v>1</v>
      </c>
      <c r="R1085" s="18"/>
      <c r="S1085" s="18"/>
      <c r="T1085" s="17">
        <v>0.6875</v>
      </c>
      <c r="U1085" s="17">
        <v>0.847826086956522</v>
      </c>
      <c r="V1085" s="23">
        <v>0.974358974358974</v>
      </c>
    </row>
    <row r="1086" ht="16.5" spans="1:22">
      <c r="A1086" s="32">
        <v>1775</v>
      </c>
      <c r="B1086" s="16" t="s">
        <v>1416</v>
      </c>
      <c r="C1086" s="27"/>
      <c r="D1086" s="27"/>
      <c r="E1086" s="19">
        <v>13</v>
      </c>
      <c r="F1086" s="19">
        <v>21</v>
      </c>
      <c r="G1086" s="19">
        <v>13</v>
      </c>
      <c r="H1086" s="27"/>
      <c r="I1086" s="27"/>
      <c r="J1086" s="21">
        <v>593.5</v>
      </c>
      <c r="K1086" s="21">
        <v>962.5</v>
      </c>
      <c r="L1086" s="21">
        <v>598.5</v>
      </c>
      <c r="M1086" s="27"/>
      <c r="N1086" s="31"/>
      <c r="O1086" s="22">
        <v>4</v>
      </c>
      <c r="P1086" s="22">
        <v>10</v>
      </c>
      <c r="Q1086" s="22">
        <v>11</v>
      </c>
      <c r="R1086" s="18"/>
      <c r="S1086" s="18"/>
      <c r="T1086" s="17">
        <v>0.764705882352941</v>
      </c>
      <c r="U1086" s="17">
        <v>0.67741935483871</v>
      </c>
      <c r="V1086" s="23">
        <v>0.541666666666667</v>
      </c>
    </row>
    <row r="1087" ht="33" spans="1:22">
      <c r="A1087" s="32">
        <v>3651</v>
      </c>
      <c r="B1087" s="16" t="s">
        <v>1417</v>
      </c>
      <c r="C1087" s="27"/>
      <c r="D1087" s="27"/>
      <c r="E1087" s="19">
        <v>39</v>
      </c>
      <c r="F1087" s="19">
        <v>50</v>
      </c>
      <c r="G1087" s="19">
        <v>53</v>
      </c>
      <c r="H1087" s="27"/>
      <c r="I1087" s="27"/>
      <c r="J1087" s="21">
        <v>3239.25</v>
      </c>
      <c r="K1087" s="21">
        <v>3505.48</v>
      </c>
      <c r="L1087" s="21">
        <v>3708.79</v>
      </c>
      <c r="M1087" s="27"/>
      <c r="N1087" s="31"/>
      <c r="O1087" s="22">
        <v>24</v>
      </c>
      <c r="P1087" s="22">
        <v>18</v>
      </c>
      <c r="Q1087" s="22">
        <v>26</v>
      </c>
      <c r="R1087" s="18"/>
      <c r="S1087" s="18"/>
      <c r="T1087" s="17">
        <v>0.619047619047619</v>
      </c>
      <c r="U1087" s="17">
        <v>0.735294117647059</v>
      </c>
      <c r="V1087" s="23">
        <v>0.670886075949367</v>
      </c>
    </row>
    <row r="1088" ht="16.5" spans="1:22">
      <c r="A1088" s="32">
        <v>3626</v>
      </c>
      <c r="B1088" s="16" t="s">
        <v>1418</v>
      </c>
      <c r="C1088" s="27"/>
      <c r="D1088" s="27"/>
      <c r="E1088" s="19">
        <v>34</v>
      </c>
      <c r="F1088" s="19">
        <v>23</v>
      </c>
      <c r="G1088" s="19">
        <v>22</v>
      </c>
      <c r="H1088" s="27"/>
      <c r="I1088" s="27"/>
      <c r="J1088" s="21">
        <v>3164.66</v>
      </c>
      <c r="K1088" s="21">
        <v>2107.2</v>
      </c>
      <c r="L1088" s="21">
        <v>2085.46</v>
      </c>
      <c r="M1088" s="27"/>
      <c r="N1088" s="31"/>
      <c r="O1088" s="22">
        <v>5</v>
      </c>
      <c r="P1088" s="22">
        <v>12</v>
      </c>
      <c r="Q1088" s="22">
        <v>9</v>
      </c>
      <c r="R1088" s="18"/>
      <c r="S1088" s="18"/>
      <c r="T1088" s="17">
        <v>0.871794871794872</v>
      </c>
      <c r="U1088" s="17">
        <v>0.657142857142857</v>
      </c>
      <c r="V1088" s="23">
        <v>0.709677419354839</v>
      </c>
    </row>
    <row r="1089" ht="33" spans="1:22">
      <c r="A1089" s="32">
        <v>3901</v>
      </c>
      <c r="B1089" s="16" t="s">
        <v>1419</v>
      </c>
      <c r="C1089" s="27"/>
      <c r="D1089" s="27"/>
      <c r="E1089" s="19">
        <v>27</v>
      </c>
      <c r="F1089" s="19">
        <v>19</v>
      </c>
      <c r="G1089" s="19">
        <v>13</v>
      </c>
      <c r="H1089" s="27"/>
      <c r="I1089" s="27"/>
      <c r="J1089" s="21">
        <v>1596.19</v>
      </c>
      <c r="K1089" s="21">
        <v>1180.28</v>
      </c>
      <c r="L1089" s="21">
        <v>830.09</v>
      </c>
      <c r="M1089" s="27"/>
      <c r="N1089" s="31"/>
      <c r="O1089" s="22">
        <v>120</v>
      </c>
      <c r="P1089" s="22">
        <v>122</v>
      </c>
      <c r="Q1089" s="22">
        <v>93</v>
      </c>
      <c r="R1089" s="18"/>
      <c r="S1089" s="18"/>
      <c r="T1089" s="17">
        <v>0.183673469387755</v>
      </c>
      <c r="U1089" s="17">
        <v>0.134751773049645</v>
      </c>
      <c r="V1089" s="23">
        <v>0.122641509433962</v>
      </c>
    </row>
    <row r="1090" ht="16.5" spans="1:22">
      <c r="A1090" s="32">
        <v>5007</v>
      </c>
      <c r="B1090" s="16" t="s">
        <v>1420</v>
      </c>
      <c r="C1090" s="27"/>
      <c r="D1090" s="27"/>
      <c r="E1090" s="19">
        <v>12</v>
      </c>
      <c r="F1090" s="19">
        <v>10</v>
      </c>
      <c r="G1090" s="19">
        <v>16</v>
      </c>
      <c r="H1090" s="27"/>
      <c r="I1090" s="27"/>
      <c r="J1090" s="21">
        <v>446.67</v>
      </c>
      <c r="K1090" s="21">
        <v>374.11</v>
      </c>
      <c r="L1090" s="21">
        <v>620.69</v>
      </c>
      <c r="M1090" s="27"/>
      <c r="N1090" s="31"/>
      <c r="O1090" s="22">
        <v>7</v>
      </c>
      <c r="P1090" s="22">
        <v>4</v>
      </c>
      <c r="Q1090" s="22">
        <v>10</v>
      </c>
      <c r="R1090" s="18"/>
      <c r="S1090" s="18"/>
      <c r="T1090" s="17">
        <v>0.631578947368421</v>
      </c>
      <c r="U1090" s="17">
        <v>0.714285714285714</v>
      </c>
      <c r="V1090" s="23">
        <v>0.615384615384615</v>
      </c>
    </row>
    <row r="1091" ht="33" spans="1:22">
      <c r="A1091" s="32">
        <v>3794</v>
      </c>
      <c r="B1091" s="16" t="s">
        <v>1421</v>
      </c>
      <c r="C1091" s="27"/>
      <c r="D1091" s="27"/>
      <c r="E1091" s="19">
        <v>16</v>
      </c>
      <c r="F1091" s="19">
        <v>27</v>
      </c>
      <c r="G1091" s="19">
        <v>23</v>
      </c>
      <c r="H1091" s="27"/>
      <c r="I1091" s="27"/>
      <c r="J1091" s="21">
        <v>697.84</v>
      </c>
      <c r="K1091" s="21">
        <v>1209.23</v>
      </c>
      <c r="L1091" s="21">
        <v>1039.55</v>
      </c>
      <c r="M1091" s="27"/>
      <c r="N1091" s="31"/>
      <c r="O1091" s="22">
        <v>26</v>
      </c>
      <c r="P1091" s="22">
        <v>12</v>
      </c>
      <c r="Q1091" s="22">
        <v>16</v>
      </c>
      <c r="R1091" s="18"/>
      <c r="S1091" s="18"/>
      <c r="T1091" s="17">
        <v>0.380952380952381</v>
      </c>
      <c r="U1091" s="17">
        <v>0.692307692307692</v>
      </c>
      <c r="V1091" s="23">
        <v>0.58974358974359</v>
      </c>
    </row>
    <row r="1092" ht="33" spans="1:22">
      <c r="A1092" s="32">
        <v>4056</v>
      </c>
      <c r="B1092" s="16" t="s">
        <v>1422</v>
      </c>
      <c r="C1092" s="27"/>
      <c r="D1092" s="27"/>
      <c r="E1092" s="19">
        <v>32</v>
      </c>
      <c r="F1092" s="19">
        <v>18</v>
      </c>
      <c r="G1092" s="19">
        <v>8</v>
      </c>
      <c r="H1092" s="27"/>
      <c r="I1092" s="27"/>
      <c r="J1092" s="21">
        <v>2318.7</v>
      </c>
      <c r="K1092" s="21">
        <v>1371.22</v>
      </c>
      <c r="L1092" s="21">
        <v>641.32</v>
      </c>
      <c r="M1092" s="27"/>
      <c r="N1092" s="31"/>
      <c r="O1092" s="22">
        <v>9</v>
      </c>
      <c r="P1092" s="22">
        <v>4</v>
      </c>
      <c r="Q1092" s="22">
        <v>10</v>
      </c>
      <c r="R1092" s="18"/>
      <c r="S1092" s="18"/>
      <c r="T1092" s="17">
        <v>0.780487804878049</v>
      </c>
      <c r="U1092" s="17">
        <v>0.818181818181818</v>
      </c>
      <c r="V1092" s="23">
        <v>0.444444444444444</v>
      </c>
    </row>
    <row r="1093" ht="33" spans="1:22">
      <c r="A1093" s="32">
        <v>4483</v>
      </c>
      <c r="B1093" s="16" t="s">
        <v>1423</v>
      </c>
      <c r="C1093" s="27"/>
      <c r="D1093" s="27"/>
      <c r="E1093" s="19">
        <v>18</v>
      </c>
      <c r="F1093" s="19">
        <v>12</v>
      </c>
      <c r="G1093" s="19">
        <v>15</v>
      </c>
      <c r="H1093" s="27"/>
      <c r="I1093" s="27"/>
      <c r="J1093" s="21">
        <v>1485.2</v>
      </c>
      <c r="K1093" s="21">
        <v>987</v>
      </c>
      <c r="L1093" s="21">
        <v>1221.4</v>
      </c>
      <c r="M1093" s="27"/>
      <c r="N1093" s="31"/>
      <c r="O1093" s="22">
        <v>11</v>
      </c>
      <c r="P1093" s="22">
        <v>12</v>
      </c>
      <c r="Q1093" s="22">
        <v>13</v>
      </c>
      <c r="R1093" s="18"/>
      <c r="S1093" s="18"/>
      <c r="T1093" s="17">
        <v>0.620689655172414</v>
      </c>
      <c r="U1093" s="17">
        <v>0.5</v>
      </c>
      <c r="V1093" s="23">
        <v>0.535714285714286</v>
      </c>
    </row>
    <row r="1094" ht="16.5" spans="1:22">
      <c r="A1094" s="32">
        <v>4802</v>
      </c>
      <c r="B1094" s="16" t="s">
        <v>1424</v>
      </c>
      <c r="C1094" s="27"/>
      <c r="D1094" s="27"/>
      <c r="E1094" s="19">
        <v>6</v>
      </c>
      <c r="F1094" s="19">
        <v>4</v>
      </c>
      <c r="G1094" s="19">
        <v>3</v>
      </c>
      <c r="H1094" s="27"/>
      <c r="I1094" s="27"/>
      <c r="J1094" s="21">
        <v>189.54</v>
      </c>
      <c r="K1094" s="21">
        <v>124.36</v>
      </c>
      <c r="L1094" s="21">
        <v>93.51</v>
      </c>
      <c r="M1094" s="27"/>
      <c r="N1094" s="31"/>
      <c r="O1094" s="22">
        <v>21</v>
      </c>
      <c r="P1094" s="22">
        <v>17</v>
      </c>
      <c r="Q1094" s="22">
        <v>13</v>
      </c>
      <c r="R1094" s="18"/>
      <c r="S1094" s="18"/>
      <c r="T1094" s="17">
        <v>0.222222222222222</v>
      </c>
      <c r="U1094" s="17">
        <v>0.19047619047619</v>
      </c>
      <c r="V1094" s="23">
        <v>0.1875</v>
      </c>
    </row>
    <row r="1095" ht="16.5" spans="1:22">
      <c r="A1095" s="32">
        <v>4613</v>
      </c>
      <c r="B1095" s="16" t="s">
        <v>1425</v>
      </c>
      <c r="C1095" s="27"/>
      <c r="D1095" s="27"/>
      <c r="E1095" s="19">
        <v>35</v>
      </c>
      <c r="F1095" s="19">
        <v>26</v>
      </c>
      <c r="G1095" s="19">
        <v>24</v>
      </c>
      <c r="H1095" s="27"/>
      <c r="I1095" s="27"/>
      <c r="J1095" s="21">
        <v>1027.78</v>
      </c>
      <c r="K1095" s="21">
        <v>711.38</v>
      </c>
      <c r="L1095" s="21">
        <v>710.1</v>
      </c>
      <c r="M1095" s="27"/>
      <c r="N1095" s="31"/>
      <c r="O1095" s="22">
        <v>10</v>
      </c>
      <c r="P1095" s="22">
        <v>4</v>
      </c>
      <c r="Q1095" s="22">
        <v>8</v>
      </c>
      <c r="R1095" s="18"/>
      <c r="S1095" s="18"/>
      <c r="T1095" s="17">
        <v>0.777777777777778</v>
      </c>
      <c r="U1095" s="17">
        <v>0.866666666666667</v>
      </c>
      <c r="V1095" s="23">
        <v>0.75</v>
      </c>
    </row>
    <row r="1096" ht="33" spans="1:22">
      <c r="A1096" s="32">
        <v>4536</v>
      </c>
      <c r="B1096" s="16" t="s">
        <v>1426</v>
      </c>
      <c r="C1096" s="27"/>
      <c r="D1096" s="27"/>
      <c r="E1096" s="19">
        <v>28</v>
      </c>
      <c r="F1096" s="19">
        <v>30</v>
      </c>
      <c r="G1096" s="19">
        <v>13</v>
      </c>
      <c r="H1096" s="27"/>
      <c r="I1096" s="27"/>
      <c r="J1096" s="21">
        <v>2474.22</v>
      </c>
      <c r="K1096" s="21">
        <v>2674.7</v>
      </c>
      <c r="L1096" s="21">
        <v>1133.37</v>
      </c>
      <c r="M1096" s="27"/>
      <c r="N1096" s="31"/>
      <c r="O1096" s="22">
        <v>17</v>
      </c>
      <c r="P1096" s="22">
        <v>10</v>
      </c>
      <c r="Q1096" s="22">
        <v>11</v>
      </c>
      <c r="R1096" s="18"/>
      <c r="S1096" s="18"/>
      <c r="T1096" s="17">
        <v>0.622222222222222</v>
      </c>
      <c r="U1096" s="17">
        <v>0.75</v>
      </c>
      <c r="V1096" s="23">
        <v>0.541666666666667</v>
      </c>
    </row>
    <row r="1097" ht="66" spans="1:22">
      <c r="A1097" s="32">
        <v>6267</v>
      </c>
      <c r="B1097" s="16" t="s">
        <v>1427</v>
      </c>
      <c r="C1097" s="27"/>
      <c r="D1097" s="27"/>
      <c r="E1097" s="19">
        <v>76</v>
      </c>
      <c r="F1097" s="19">
        <v>74</v>
      </c>
      <c r="G1097" s="19">
        <v>52</v>
      </c>
      <c r="H1097" s="27"/>
      <c r="I1097" s="27"/>
      <c r="J1097" s="21">
        <v>9921.26999999999</v>
      </c>
      <c r="K1097" s="21">
        <v>9661.41999999999</v>
      </c>
      <c r="L1097" s="21">
        <v>6834.76000000001</v>
      </c>
      <c r="M1097" s="27"/>
      <c r="N1097" s="31"/>
      <c r="O1097" s="22">
        <v>38</v>
      </c>
      <c r="P1097" s="22">
        <v>28</v>
      </c>
      <c r="Q1097" s="22">
        <v>19</v>
      </c>
      <c r="R1097" s="18"/>
      <c r="S1097" s="18"/>
      <c r="T1097" s="17">
        <v>0.666666666666667</v>
      </c>
      <c r="U1097" s="17">
        <v>0.725490196078431</v>
      </c>
      <c r="V1097" s="23">
        <v>0.732394366197183</v>
      </c>
    </row>
    <row r="1098" ht="33" spans="1:22">
      <c r="A1098" s="32">
        <v>6027</v>
      </c>
      <c r="B1098" s="16" t="s">
        <v>1428</v>
      </c>
      <c r="C1098" s="27"/>
      <c r="D1098" s="27"/>
      <c r="E1098" s="19">
        <v>33</v>
      </c>
      <c r="F1098" s="19">
        <v>22</v>
      </c>
      <c r="G1098" s="19">
        <v>5</v>
      </c>
      <c r="H1098" s="27"/>
      <c r="I1098" s="27"/>
      <c r="J1098" s="21">
        <v>978.27</v>
      </c>
      <c r="K1098" s="21">
        <v>652.25</v>
      </c>
      <c r="L1098" s="21">
        <v>147.9</v>
      </c>
      <c r="M1098" s="27"/>
      <c r="N1098" s="31"/>
      <c r="O1098" s="22">
        <v>67</v>
      </c>
      <c r="P1098" s="22">
        <v>54</v>
      </c>
      <c r="Q1098" s="22">
        <v>44</v>
      </c>
      <c r="R1098" s="18"/>
      <c r="S1098" s="18"/>
      <c r="T1098" s="17">
        <v>0.33</v>
      </c>
      <c r="U1098" s="17">
        <v>0.289473684210526</v>
      </c>
      <c r="V1098" s="23">
        <v>0.102040816326531</v>
      </c>
    </row>
    <row r="1099" ht="33" spans="1:22">
      <c r="A1099" s="32">
        <v>5958</v>
      </c>
      <c r="B1099" s="16" t="s">
        <v>1429</v>
      </c>
      <c r="C1099" s="27"/>
      <c r="D1099" s="27"/>
      <c r="E1099" s="19">
        <v>25</v>
      </c>
      <c r="F1099" s="19">
        <v>32</v>
      </c>
      <c r="G1099" s="19">
        <v>31</v>
      </c>
      <c r="H1099" s="27"/>
      <c r="I1099" s="27"/>
      <c r="J1099" s="21">
        <v>396.24</v>
      </c>
      <c r="K1099" s="21">
        <v>478.78</v>
      </c>
      <c r="L1099" s="21">
        <v>467.78</v>
      </c>
      <c r="M1099" s="27"/>
      <c r="N1099" s="31"/>
      <c r="O1099" s="22">
        <v>138</v>
      </c>
      <c r="P1099" s="22">
        <v>106</v>
      </c>
      <c r="Q1099" s="22">
        <v>154</v>
      </c>
      <c r="R1099" s="18"/>
      <c r="S1099" s="18"/>
      <c r="T1099" s="17">
        <v>0.153374233128834</v>
      </c>
      <c r="U1099" s="17">
        <v>0.231884057971014</v>
      </c>
      <c r="V1099" s="23">
        <v>0.167567567567568</v>
      </c>
    </row>
    <row r="1100" ht="33" spans="1:22">
      <c r="A1100" s="32">
        <v>5993</v>
      </c>
      <c r="B1100" s="16" t="s">
        <v>1430</v>
      </c>
      <c r="C1100" s="27"/>
      <c r="D1100" s="27"/>
      <c r="E1100" s="19">
        <v>41</v>
      </c>
      <c r="F1100" s="19">
        <v>49</v>
      </c>
      <c r="G1100" s="19">
        <v>48</v>
      </c>
      <c r="H1100" s="27"/>
      <c r="I1100" s="27"/>
      <c r="J1100" s="21">
        <v>742.1</v>
      </c>
      <c r="K1100" s="21">
        <v>888.290000000001</v>
      </c>
      <c r="L1100" s="21">
        <v>871.650000000001</v>
      </c>
      <c r="M1100" s="27"/>
      <c r="N1100" s="31"/>
      <c r="O1100" s="22">
        <v>5</v>
      </c>
      <c r="P1100" s="22">
        <v>10</v>
      </c>
      <c r="Q1100" s="22">
        <v>22</v>
      </c>
      <c r="R1100" s="18"/>
      <c r="S1100" s="18"/>
      <c r="T1100" s="17">
        <v>0.891304347826087</v>
      </c>
      <c r="U1100" s="17">
        <v>0.830508474576271</v>
      </c>
      <c r="V1100" s="23">
        <v>0.685714285714286</v>
      </c>
    </row>
    <row r="1101" ht="16.5" spans="1:22">
      <c r="A1101" s="32">
        <v>4272</v>
      </c>
      <c r="B1101" s="16" t="s">
        <v>1431</v>
      </c>
      <c r="C1101" s="27"/>
      <c r="D1101" s="27"/>
      <c r="E1101" s="19">
        <v>25</v>
      </c>
      <c r="F1101" s="19">
        <v>39</v>
      </c>
      <c r="G1101" s="19">
        <v>20</v>
      </c>
      <c r="H1101" s="27"/>
      <c r="I1101" s="27"/>
      <c r="J1101" s="21">
        <v>1533</v>
      </c>
      <c r="K1101" s="21">
        <v>2394.7</v>
      </c>
      <c r="L1101" s="21">
        <v>1195.35</v>
      </c>
      <c r="M1101" s="27"/>
      <c r="N1101" s="31"/>
      <c r="O1101" s="22">
        <v>16</v>
      </c>
      <c r="P1101" s="22">
        <v>16</v>
      </c>
      <c r="Q1101" s="22">
        <v>12</v>
      </c>
      <c r="R1101" s="18"/>
      <c r="S1101" s="18"/>
      <c r="T1101" s="17">
        <v>0.609756097560976</v>
      </c>
      <c r="U1101" s="17">
        <v>0.709090909090909</v>
      </c>
      <c r="V1101" s="23">
        <v>0.625</v>
      </c>
    </row>
    <row r="1102" ht="33" spans="1:22">
      <c r="A1102" s="32">
        <v>5618</v>
      </c>
      <c r="B1102" s="16" t="s">
        <v>1432</v>
      </c>
      <c r="C1102" s="27"/>
      <c r="D1102" s="27"/>
      <c r="E1102" s="19">
        <v>86</v>
      </c>
      <c r="F1102" s="19">
        <v>75</v>
      </c>
      <c r="G1102" s="19">
        <v>70</v>
      </c>
      <c r="H1102" s="27"/>
      <c r="I1102" s="27"/>
      <c r="J1102" s="21">
        <v>1455.85</v>
      </c>
      <c r="K1102" s="21">
        <v>1221.78</v>
      </c>
      <c r="L1102" s="21">
        <v>1123.88</v>
      </c>
      <c r="M1102" s="27"/>
      <c r="N1102" s="31"/>
      <c r="O1102" s="22">
        <v>54</v>
      </c>
      <c r="P1102" s="22">
        <v>39</v>
      </c>
      <c r="Q1102" s="22">
        <v>51</v>
      </c>
      <c r="R1102" s="18"/>
      <c r="S1102" s="18"/>
      <c r="T1102" s="17">
        <v>0.614285714285714</v>
      </c>
      <c r="U1102" s="17">
        <v>0.657894736842105</v>
      </c>
      <c r="V1102" s="23">
        <v>0.578512396694215</v>
      </c>
    </row>
    <row r="1103" ht="33" spans="1:22">
      <c r="A1103" s="32">
        <v>5619</v>
      </c>
      <c r="B1103" s="16" t="s">
        <v>1433</v>
      </c>
      <c r="C1103" s="27"/>
      <c r="D1103" s="27"/>
      <c r="E1103" s="19">
        <v>60</v>
      </c>
      <c r="F1103" s="19">
        <v>65</v>
      </c>
      <c r="G1103" s="19">
        <v>24</v>
      </c>
      <c r="H1103" s="27"/>
      <c r="I1103" s="27"/>
      <c r="J1103" s="21">
        <v>574.9</v>
      </c>
      <c r="K1103" s="21">
        <v>629.85</v>
      </c>
      <c r="L1103" s="21">
        <v>301.41</v>
      </c>
      <c r="M1103" s="27"/>
      <c r="N1103" s="31"/>
      <c r="O1103" s="22">
        <v>43</v>
      </c>
      <c r="P1103" s="22">
        <v>34</v>
      </c>
      <c r="Q1103" s="22">
        <v>48</v>
      </c>
      <c r="R1103" s="18"/>
      <c r="S1103" s="18"/>
      <c r="T1103" s="17">
        <v>0.58252427184466</v>
      </c>
      <c r="U1103" s="17">
        <v>0.656565656565657</v>
      </c>
      <c r="V1103" s="23">
        <v>0.333333333333333</v>
      </c>
    </row>
    <row r="1104" ht="33" spans="1:22">
      <c r="A1104" s="32">
        <v>7242</v>
      </c>
      <c r="B1104" s="16" t="s">
        <v>1434</v>
      </c>
      <c r="C1104" s="27"/>
      <c r="D1104" s="27"/>
      <c r="E1104" s="19">
        <v>25</v>
      </c>
      <c r="F1104" s="19">
        <v>24</v>
      </c>
      <c r="G1104" s="19">
        <v>24</v>
      </c>
      <c r="H1104" s="27"/>
      <c r="I1104" s="27"/>
      <c r="J1104" s="21">
        <v>3983.41</v>
      </c>
      <c r="K1104" s="21">
        <v>3707.56</v>
      </c>
      <c r="L1104" s="21">
        <v>3597.64</v>
      </c>
      <c r="M1104" s="27"/>
      <c r="N1104" s="31"/>
      <c r="O1104" s="22">
        <v>3</v>
      </c>
      <c r="P1104" s="22">
        <v>2</v>
      </c>
      <c r="Q1104" s="22">
        <v>5</v>
      </c>
      <c r="R1104" s="18"/>
      <c r="S1104" s="18"/>
      <c r="T1104" s="17">
        <v>0.892857142857143</v>
      </c>
      <c r="U1104" s="17">
        <v>0.923076923076923</v>
      </c>
      <c r="V1104" s="23">
        <v>0.827586206896552</v>
      </c>
    </row>
    <row r="1105" ht="33" spans="1:22">
      <c r="A1105" s="32">
        <v>6787</v>
      </c>
      <c r="B1105" s="16" t="s">
        <v>1435</v>
      </c>
      <c r="C1105" s="27"/>
      <c r="D1105" s="27"/>
      <c r="E1105" s="19">
        <v>19</v>
      </c>
      <c r="F1105" s="19">
        <v>14</v>
      </c>
      <c r="G1105" s="19">
        <v>11</v>
      </c>
      <c r="H1105" s="27"/>
      <c r="I1105" s="27"/>
      <c r="J1105" s="21">
        <v>4340.57</v>
      </c>
      <c r="K1105" s="21">
        <v>3186.55</v>
      </c>
      <c r="L1105" s="21">
        <v>2514.05</v>
      </c>
      <c r="M1105" s="27"/>
      <c r="N1105" s="31"/>
      <c r="O1105" s="22">
        <v>0</v>
      </c>
      <c r="P1105" s="22">
        <v>1</v>
      </c>
      <c r="Q1105" s="22">
        <v>4</v>
      </c>
      <c r="R1105" s="18"/>
      <c r="S1105" s="18"/>
      <c r="T1105" s="17">
        <v>1</v>
      </c>
      <c r="U1105" s="17">
        <v>0.933333333333333</v>
      </c>
      <c r="V1105" s="23">
        <v>0.733333333333333</v>
      </c>
    </row>
    <row r="1106" ht="33" spans="1:22">
      <c r="A1106" s="32">
        <v>7686</v>
      </c>
      <c r="B1106" s="16" t="s">
        <v>1436</v>
      </c>
      <c r="C1106" s="27"/>
      <c r="D1106" s="27"/>
      <c r="E1106" s="19">
        <v>30</v>
      </c>
      <c r="F1106" s="19">
        <v>27</v>
      </c>
      <c r="G1106" s="19">
        <v>17</v>
      </c>
      <c r="H1106" s="27"/>
      <c r="I1106" s="27"/>
      <c r="J1106" s="21">
        <v>700.1</v>
      </c>
      <c r="K1106" s="21">
        <v>639.27</v>
      </c>
      <c r="L1106" s="21">
        <v>410.54</v>
      </c>
      <c r="M1106" s="27"/>
      <c r="N1106" s="31"/>
      <c r="O1106" s="22">
        <v>24</v>
      </c>
      <c r="P1106" s="22">
        <v>25</v>
      </c>
      <c r="Q1106" s="22">
        <v>19</v>
      </c>
      <c r="R1106" s="18"/>
      <c r="S1106" s="18"/>
      <c r="T1106" s="17">
        <v>0.555555555555556</v>
      </c>
      <c r="U1106" s="17">
        <v>0.519230769230769</v>
      </c>
      <c r="V1106" s="23">
        <v>0.472222222222222</v>
      </c>
    </row>
    <row r="1107" ht="33" spans="1:22">
      <c r="A1107" s="32">
        <v>7443</v>
      </c>
      <c r="B1107" s="16" t="s">
        <v>1437</v>
      </c>
      <c r="C1107" s="27"/>
      <c r="D1107" s="27"/>
      <c r="E1107" s="19">
        <v>18</v>
      </c>
      <c r="F1107" s="19">
        <v>12</v>
      </c>
      <c r="G1107" s="19">
        <v>8</v>
      </c>
      <c r="H1107" s="27"/>
      <c r="I1107" s="27"/>
      <c r="J1107" s="21">
        <v>352.02</v>
      </c>
      <c r="K1107" s="21">
        <v>247.73</v>
      </c>
      <c r="L1107" s="21">
        <v>162.35</v>
      </c>
      <c r="M1107" s="27"/>
      <c r="N1107" s="31"/>
      <c r="O1107" s="22">
        <v>65</v>
      </c>
      <c r="P1107" s="22">
        <v>48</v>
      </c>
      <c r="Q1107" s="22">
        <v>50</v>
      </c>
      <c r="R1107" s="18"/>
      <c r="S1107" s="18"/>
      <c r="T1107" s="17">
        <v>0.216867469879518</v>
      </c>
      <c r="U1107" s="17">
        <v>0.2</v>
      </c>
      <c r="V1107" s="23">
        <v>0.137931034482759</v>
      </c>
    </row>
    <row r="1108" ht="33" spans="1:22">
      <c r="A1108" s="32">
        <v>8354</v>
      </c>
      <c r="B1108" s="16" t="s">
        <v>1438</v>
      </c>
      <c r="C1108" s="27"/>
      <c r="D1108" s="27"/>
      <c r="E1108" s="19">
        <v>73</v>
      </c>
      <c r="F1108" s="19">
        <v>66</v>
      </c>
      <c r="G1108" s="19">
        <v>105</v>
      </c>
      <c r="H1108" s="27"/>
      <c r="I1108" s="27"/>
      <c r="J1108" s="21">
        <v>4410.27999999999</v>
      </c>
      <c r="K1108" s="21">
        <v>4002.51999999999</v>
      </c>
      <c r="L1108" s="21">
        <v>6369.22999999999</v>
      </c>
      <c r="M1108" s="27"/>
      <c r="N1108" s="31"/>
      <c r="O1108" s="22">
        <v>111</v>
      </c>
      <c r="P1108" s="22">
        <v>164</v>
      </c>
      <c r="Q1108" s="22">
        <v>79</v>
      </c>
      <c r="R1108" s="18"/>
      <c r="S1108" s="18"/>
      <c r="T1108" s="17">
        <v>0.396739130434783</v>
      </c>
      <c r="U1108" s="17">
        <v>0.28695652173913</v>
      </c>
      <c r="V1108" s="23">
        <v>0.570652173913043</v>
      </c>
    </row>
    <row r="1109" ht="33" spans="1:22">
      <c r="A1109" s="32">
        <v>7965</v>
      </c>
      <c r="B1109" s="16" t="s">
        <v>1439</v>
      </c>
      <c r="C1109" s="27"/>
      <c r="D1109" s="27"/>
      <c r="E1109" s="19">
        <v>35</v>
      </c>
      <c r="F1109" s="19">
        <v>22</v>
      </c>
      <c r="G1109" s="19">
        <v>23</v>
      </c>
      <c r="H1109" s="27"/>
      <c r="I1109" s="27"/>
      <c r="J1109" s="21">
        <v>3342.21</v>
      </c>
      <c r="K1109" s="21">
        <v>2052.42</v>
      </c>
      <c r="L1109" s="21">
        <v>2062.9</v>
      </c>
      <c r="M1109" s="27"/>
      <c r="N1109" s="31"/>
      <c r="O1109" s="22">
        <v>82</v>
      </c>
      <c r="P1109" s="22">
        <v>78</v>
      </c>
      <c r="Q1109" s="22">
        <v>87</v>
      </c>
      <c r="R1109" s="18"/>
      <c r="S1109" s="18"/>
      <c r="T1109" s="17">
        <v>0.299145299145299</v>
      </c>
      <c r="U1109" s="17">
        <v>0.22</v>
      </c>
      <c r="V1109" s="23">
        <v>0.209090909090909</v>
      </c>
    </row>
    <row r="1110" ht="33" spans="1:22">
      <c r="A1110" s="32">
        <v>5079</v>
      </c>
      <c r="B1110" s="16" t="s">
        <v>1440</v>
      </c>
      <c r="C1110" s="27"/>
      <c r="D1110" s="27"/>
      <c r="E1110" s="19">
        <v>51</v>
      </c>
      <c r="F1110" s="19">
        <v>20</v>
      </c>
      <c r="G1110" s="19">
        <v>28</v>
      </c>
      <c r="H1110" s="27"/>
      <c r="I1110" s="27"/>
      <c r="J1110" s="21">
        <v>2116.39</v>
      </c>
      <c r="K1110" s="21">
        <v>894.3</v>
      </c>
      <c r="L1110" s="21">
        <v>1264.45</v>
      </c>
      <c r="M1110" s="27"/>
      <c r="N1110" s="31"/>
      <c r="O1110" s="22">
        <v>23</v>
      </c>
      <c r="P1110" s="22">
        <v>22</v>
      </c>
      <c r="Q1110" s="22">
        <v>9</v>
      </c>
      <c r="R1110" s="18"/>
      <c r="S1110" s="18"/>
      <c r="T1110" s="17">
        <v>0.689189189189189</v>
      </c>
      <c r="U1110" s="17">
        <v>0.476190476190476</v>
      </c>
      <c r="V1110" s="23">
        <v>0.756756756756757</v>
      </c>
    </row>
    <row r="1111" ht="33" spans="1:22">
      <c r="A1111" s="32">
        <v>5439</v>
      </c>
      <c r="B1111" s="16" t="s">
        <v>1441</v>
      </c>
      <c r="C1111" s="27"/>
      <c r="D1111" s="27"/>
      <c r="E1111" s="19">
        <v>17</v>
      </c>
      <c r="F1111" s="19">
        <v>26</v>
      </c>
      <c r="G1111" s="19">
        <v>13</v>
      </c>
      <c r="H1111" s="27"/>
      <c r="I1111" s="27"/>
      <c r="J1111" s="21">
        <v>982.36</v>
      </c>
      <c r="K1111" s="21">
        <v>1678.34</v>
      </c>
      <c r="L1111" s="21">
        <v>758.75</v>
      </c>
      <c r="M1111" s="27"/>
      <c r="N1111" s="31"/>
      <c r="O1111" s="22">
        <v>11</v>
      </c>
      <c r="P1111" s="22">
        <v>6</v>
      </c>
      <c r="Q1111" s="22">
        <v>11</v>
      </c>
      <c r="R1111" s="18"/>
      <c r="S1111" s="18"/>
      <c r="T1111" s="17">
        <v>0.607142857142857</v>
      </c>
      <c r="U1111" s="17">
        <v>0.8125</v>
      </c>
      <c r="V1111" s="23">
        <v>0.541666666666667</v>
      </c>
    </row>
    <row r="1112" ht="33" spans="1:22">
      <c r="A1112" s="32">
        <v>5509</v>
      </c>
      <c r="B1112" s="16" t="s">
        <v>1442</v>
      </c>
      <c r="C1112" s="27"/>
      <c r="D1112" s="27"/>
      <c r="E1112" s="19">
        <v>30</v>
      </c>
      <c r="F1112" s="19">
        <v>26</v>
      </c>
      <c r="G1112" s="19">
        <v>25</v>
      </c>
      <c r="H1112" s="27"/>
      <c r="I1112" s="27"/>
      <c r="J1112" s="21">
        <v>474.72</v>
      </c>
      <c r="K1112" s="21">
        <v>414.67</v>
      </c>
      <c r="L1112" s="21">
        <v>389.65</v>
      </c>
      <c r="M1112" s="27"/>
      <c r="N1112" s="31"/>
      <c r="O1112" s="22">
        <v>27</v>
      </c>
      <c r="P1112" s="22">
        <v>24</v>
      </c>
      <c r="Q1112" s="22">
        <v>42</v>
      </c>
      <c r="R1112" s="18"/>
      <c r="S1112" s="18"/>
      <c r="T1112" s="17">
        <v>0.526315789473684</v>
      </c>
      <c r="U1112" s="17">
        <v>0.52</v>
      </c>
      <c r="V1112" s="23">
        <v>0.373134328358209</v>
      </c>
    </row>
    <row r="1113" ht="16.5" spans="1:22">
      <c r="A1113" s="32">
        <v>357</v>
      </c>
      <c r="B1113" s="16" t="s">
        <v>1443</v>
      </c>
      <c r="C1113" s="27"/>
      <c r="D1113" s="27"/>
      <c r="E1113" s="19">
        <v>22</v>
      </c>
      <c r="F1113" s="19">
        <v>21</v>
      </c>
      <c r="G1113" s="19">
        <v>22</v>
      </c>
      <c r="H1113" s="27"/>
      <c r="I1113" s="27"/>
      <c r="J1113" s="21">
        <v>772.32</v>
      </c>
      <c r="K1113" s="21">
        <v>741.9</v>
      </c>
      <c r="L1113" s="21">
        <v>773.18</v>
      </c>
      <c r="M1113" s="27"/>
      <c r="N1113" s="31"/>
      <c r="O1113" s="22">
        <v>12</v>
      </c>
      <c r="P1113" s="22">
        <v>15</v>
      </c>
      <c r="Q1113" s="22">
        <v>14</v>
      </c>
      <c r="R1113" s="18"/>
      <c r="S1113" s="18"/>
      <c r="T1113" s="17">
        <v>0.647058823529412</v>
      </c>
      <c r="U1113" s="17">
        <v>0.583333333333333</v>
      </c>
      <c r="V1113" s="23">
        <v>0.611111111111111</v>
      </c>
    </row>
    <row r="1114" ht="33" spans="1:22">
      <c r="A1114" s="32">
        <v>6531</v>
      </c>
      <c r="B1114" s="16" t="s">
        <v>1444</v>
      </c>
      <c r="C1114" s="27"/>
      <c r="D1114" s="27"/>
      <c r="E1114" s="19">
        <v>30</v>
      </c>
      <c r="F1114" s="19">
        <v>28</v>
      </c>
      <c r="G1114" s="19">
        <v>50</v>
      </c>
      <c r="H1114" s="27"/>
      <c r="I1114" s="27"/>
      <c r="J1114" s="21">
        <v>1035.1</v>
      </c>
      <c r="K1114" s="21">
        <v>1077.95</v>
      </c>
      <c r="L1114" s="21">
        <v>2096.46</v>
      </c>
      <c r="M1114" s="27"/>
      <c r="N1114" s="31"/>
      <c r="O1114" s="22">
        <v>4</v>
      </c>
      <c r="P1114" s="22">
        <v>39</v>
      </c>
      <c r="Q1114" s="22">
        <v>25</v>
      </c>
      <c r="R1114" s="18"/>
      <c r="S1114" s="18"/>
      <c r="T1114" s="17">
        <v>0.882352941176471</v>
      </c>
      <c r="U1114" s="17">
        <v>0.417910447761194</v>
      </c>
      <c r="V1114" s="23">
        <v>0.666666666666667</v>
      </c>
    </row>
    <row r="1115" ht="33" spans="1:22">
      <c r="A1115" s="32">
        <v>6532</v>
      </c>
      <c r="B1115" s="16" t="s">
        <v>1445</v>
      </c>
      <c r="C1115" s="27"/>
      <c r="D1115" s="27"/>
      <c r="E1115" s="19">
        <v>47</v>
      </c>
      <c r="F1115" s="19">
        <v>39</v>
      </c>
      <c r="G1115" s="19">
        <v>5</v>
      </c>
      <c r="H1115" s="27"/>
      <c r="I1115" s="27"/>
      <c r="J1115" s="21">
        <v>1576.49</v>
      </c>
      <c r="K1115" s="21">
        <v>1529.29</v>
      </c>
      <c r="L1115" s="21">
        <v>196.42</v>
      </c>
      <c r="M1115" s="27"/>
      <c r="N1115" s="31"/>
      <c r="O1115" s="22">
        <v>18</v>
      </c>
      <c r="P1115" s="22">
        <v>36</v>
      </c>
      <c r="Q1115" s="22">
        <v>67</v>
      </c>
      <c r="R1115" s="18"/>
      <c r="S1115" s="18"/>
      <c r="T1115" s="17">
        <v>0.723076923076923</v>
      </c>
      <c r="U1115" s="17">
        <v>0.52</v>
      </c>
      <c r="V1115" s="23">
        <v>0.0694444444444444</v>
      </c>
    </row>
    <row r="1116" ht="33" spans="1:22">
      <c r="A1116" s="32">
        <v>6977</v>
      </c>
      <c r="B1116" s="16" t="s">
        <v>1446</v>
      </c>
      <c r="C1116" s="27"/>
      <c r="D1116" s="27"/>
      <c r="E1116" s="19">
        <v>3</v>
      </c>
      <c r="F1116" s="19">
        <v>3</v>
      </c>
      <c r="G1116" s="19">
        <v>4</v>
      </c>
      <c r="H1116" s="27"/>
      <c r="I1116" s="27"/>
      <c r="J1116" s="21">
        <v>122.88</v>
      </c>
      <c r="K1116" s="21">
        <v>109.49</v>
      </c>
      <c r="L1116" s="21">
        <v>156.66</v>
      </c>
      <c r="M1116" s="27"/>
      <c r="N1116" s="31"/>
      <c r="O1116" s="22">
        <v>10</v>
      </c>
      <c r="P1116" s="22">
        <v>8</v>
      </c>
      <c r="Q1116" s="22">
        <v>18</v>
      </c>
      <c r="R1116" s="18"/>
      <c r="S1116" s="18"/>
      <c r="T1116" s="17">
        <v>0.230769230769231</v>
      </c>
      <c r="U1116" s="17">
        <v>0.272727272727273</v>
      </c>
      <c r="V1116" s="23">
        <v>0.181818181818182</v>
      </c>
    </row>
    <row r="1117" ht="33" spans="1:22">
      <c r="A1117" s="32">
        <v>8350</v>
      </c>
      <c r="B1117" s="16" t="s">
        <v>1447</v>
      </c>
      <c r="C1117" s="27"/>
      <c r="D1117" s="27"/>
      <c r="E1117" s="19">
        <v>30</v>
      </c>
      <c r="F1117" s="19">
        <v>9</v>
      </c>
      <c r="G1117" s="19">
        <v>16</v>
      </c>
      <c r="H1117" s="27"/>
      <c r="I1117" s="27"/>
      <c r="J1117" s="21">
        <v>2243.91</v>
      </c>
      <c r="K1117" s="21">
        <v>660.13</v>
      </c>
      <c r="L1117" s="21">
        <v>1197.29</v>
      </c>
      <c r="M1117" s="27"/>
      <c r="N1117" s="31"/>
      <c r="O1117" s="22">
        <v>5</v>
      </c>
      <c r="P1117" s="22">
        <v>4</v>
      </c>
      <c r="Q1117" s="22">
        <v>11</v>
      </c>
      <c r="R1117" s="18"/>
      <c r="S1117" s="18"/>
      <c r="T1117" s="17">
        <v>0.857142857142857</v>
      </c>
      <c r="U1117" s="17">
        <v>0.692307692307692</v>
      </c>
      <c r="V1117" s="23">
        <v>0.592592592592593</v>
      </c>
    </row>
    <row r="1118" ht="16.5" spans="1:22">
      <c r="A1118" s="32">
        <v>491</v>
      </c>
      <c r="B1118" s="16" t="s">
        <v>1448</v>
      </c>
      <c r="C1118" s="27"/>
      <c r="D1118" s="27"/>
      <c r="E1118" s="19">
        <v>52</v>
      </c>
      <c r="F1118" s="19">
        <v>43</v>
      </c>
      <c r="G1118" s="19">
        <v>46</v>
      </c>
      <c r="H1118" s="27"/>
      <c r="I1118" s="27"/>
      <c r="J1118" s="21">
        <v>3032.48</v>
      </c>
      <c r="K1118" s="21">
        <v>2522.57</v>
      </c>
      <c r="L1118" s="21">
        <v>2691.04</v>
      </c>
      <c r="M1118" s="27"/>
      <c r="N1118" s="31"/>
      <c r="O1118" s="22">
        <v>2</v>
      </c>
      <c r="P1118" s="22">
        <v>3</v>
      </c>
      <c r="Q1118" s="22">
        <v>8</v>
      </c>
      <c r="R1118" s="18"/>
      <c r="S1118" s="18"/>
      <c r="T1118" s="17">
        <v>0.962962962962963</v>
      </c>
      <c r="U1118" s="17">
        <v>0.934782608695652</v>
      </c>
      <c r="V1118" s="23">
        <v>0.851851851851852</v>
      </c>
    </row>
    <row r="1119" ht="16.5" spans="1:22">
      <c r="A1119" s="32">
        <v>1212</v>
      </c>
      <c r="B1119" s="16" t="s">
        <v>1449</v>
      </c>
      <c r="C1119" s="27"/>
      <c r="D1119" s="27"/>
      <c r="E1119" s="19">
        <v>11</v>
      </c>
      <c r="F1119" s="19">
        <v>13</v>
      </c>
      <c r="G1119" s="19">
        <v>6</v>
      </c>
      <c r="H1119" s="27"/>
      <c r="I1119" s="27"/>
      <c r="J1119" s="21">
        <v>275.46</v>
      </c>
      <c r="K1119" s="21">
        <v>318.5</v>
      </c>
      <c r="L1119" s="21">
        <v>149.47</v>
      </c>
      <c r="M1119" s="27"/>
      <c r="N1119" s="31"/>
      <c r="O1119" s="22">
        <v>7</v>
      </c>
      <c r="P1119" s="22">
        <v>5</v>
      </c>
      <c r="Q1119" s="22">
        <v>9</v>
      </c>
      <c r="R1119" s="18"/>
      <c r="S1119" s="18"/>
      <c r="T1119" s="17">
        <v>0.611111111111111</v>
      </c>
      <c r="U1119" s="17">
        <v>0.722222222222222</v>
      </c>
      <c r="V1119" s="23">
        <v>0.4</v>
      </c>
    </row>
    <row r="1120" ht="33" spans="1:22">
      <c r="A1120" s="32">
        <v>3900</v>
      </c>
      <c r="B1120" s="16" t="s">
        <v>1450</v>
      </c>
      <c r="C1120" s="27"/>
      <c r="D1120" s="27"/>
      <c r="E1120" s="19">
        <v>36</v>
      </c>
      <c r="F1120" s="19">
        <v>28</v>
      </c>
      <c r="G1120" s="19">
        <v>14</v>
      </c>
      <c r="H1120" s="27"/>
      <c r="I1120" s="27"/>
      <c r="J1120" s="21">
        <v>2653.64</v>
      </c>
      <c r="K1120" s="21">
        <v>2065.22</v>
      </c>
      <c r="L1120" s="21">
        <v>1025.98</v>
      </c>
      <c r="M1120" s="27"/>
      <c r="N1120" s="31"/>
      <c r="O1120" s="22">
        <v>39</v>
      </c>
      <c r="P1120" s="22">
        <v>61</v>
      </c>
      <c r="Q1120" s="22">
        <v>64</v>
      </c>
      <c r="R1120" s="18"/>
      <c r="S1120" s="18"/>
      <c r="T1120" s="17">
        <v>0.48</v>
      </c>
      <c r="U1120" s="17">
        <v>0.314606741573034</v>
      </c>
      <c r="V1120" s="23">
        <v>0.179487179487179</v>
      </c>
    </row>
    <row r="1121" ht="33" spans="1:22">
      <c r="A1121" s="32">
        <v>3516</v>
      </c>
      <c r="B1121" s="16" t="s">
        <v>1451</v>
      </c>
      <c r="C1121" s="27"/>
      <c r="D1121" s="27"/>
      <c r="E1121" s="19">
        <v>3</v>
      </c>
      <c r="F1121" s="19">
        <v>6</v>
      </c>
      <c r="G1121" s="19">
        <v>4</v>
      </c>
      <c r="H1121" s="27"/>
      <c r="I1121" s="27"/>
      <c r="J1121" s="21">
        <v>163.2</v>
      </c>
      <c r="K1121" s="21">
        <v>327.9</v>
      </c>
      <c r="L1121" s="21">
        <v>218.5</v>
      </c>
      <c r="M1121" s="27"/>
      <c r="N1121" s="31"/>
      <c r="O1121" s="22">
        <v>22</v>
      </c>
      <c r="P1121" s="22">
        <v>25</v>
      </c>
      <c r="Q1121" s="22">
        <v>15</v>
      </c>
      <c r="R1121" s="18"/>
      <c r="S1121" s="18"/>
      <c r="T1121" s="17">
        <v>0.12</v>
      </c>
      <c r="U1121" s="17">
        <v>0.193548387096774</v>
      </c>
      <c r="V1121" s="23">
        <v>0.210526315789474</v>
      </c>
    </row>
    <row r="1122" ht="33" spans="1:22">
      <c r="A1122" s="32">
        <v>1753</v>
      </c>
      <c r="B1122" s="16" t="s">
        <v>1452</v>
      </c>
      <c r="C1122" s="27"/>
      <c r="D1122" s="27"/>
      <c r="E1122" s="19">
        <v>10</v>
      </c>
      <c r="F1122" s="19">
        <v>7</v>
      </c>
      <c r="G1122" s="19">
        <v>9</v>
      </c>
      <c r="H1122" s="27"/>
      <c r="I1122" s="27"/>
      <c r="J1122" s="21">
        <v>383</v>
      </c>
      <c r="K1122" s="21">
        <v>276.8</v>
      </c>
      <c r="L1122" s="21">
        <v>354.6</v>
      </c>
      <c r="M1122" s="27"/>
      <c r="N1122" s="31"/>
      <c r="O1122" s="22">
        <v>13</v>
      </c>
      <c r="P1122" s="22">
        <v>22</v>
      </c>
      <c r="Q1122" s="22">
        <v>63</v>
      </c>
      <c r="R1122" s="18"/>
      <c r="S1122" s="18"/>
      <c r="T1122" s="17">
        <v>0.434782608695652</v>
      </c>
      <c r="U1122" s="17">
        <v>0.241379310344828</v>
      </c>
      <c r="V1122" s="23">
        <v>0.125</v>
      </c>
    </row>
    <row r="1123" ht="16.5" spans="1:22">
      <c r="A1123" s="32">
        <v>1437</v>
      </c>
      <c r="B1123" s="16" t="s">
        <v>1453</v>
      </c>
      <c r="C1123" s="27"/>
      <c r="D1123" s="27"/>
      <c r="E1123" s="19">
        <v>35</v>
      </c>
      <c r="F1123" s="19">
        <v>23</v>
      </c>
      <c r="G1123" s="19">
        <v>15</v>
      </c>
      <c r="H1123" s="27"/>
      <c r="I1123" s="27"/>
      <c r="J1123" s="21">
        <v>4615.5</v>
      </c>
      <c r="K1123" s="21">
        <v>3033.5</v>
      </c>
      <c r="L1123" s="21">
        <v>1987.48</v>
      </c>
      <c r="M1123" s="27"/>
      <c r="N1123" s="31"/>
      <c r="O1123" s="22">
        <v>26</v>
      </c>
      <c r="P1123" s="22">
        <v>24</v>
      </c>
      <c r="Q1123" s="22">
        <v>98</v>
      </c>
      <c r="R1123" s="18"/>
      <c r="S1123" s="18"/>
      <c r="T1123" s="17">
        <v>0.573770491803279</v>
      </c>
      <c r="U1123" s="17">
        <v>0.48936170212766</v>
      </c>
      <c r="V1123" s="23">
        <v>0.132743362831858</v>
      </c>
    </row>
    <row r="1124" ht="33" spans="1:22">
      <c r="A1124" s="32">
        <v>6465</v>
      </c>
      <c r="B1124" s="16" t="s">
        <v>1454</v>
      </c>
      <c r="C1124" s="27"/>
      <c r="D1124" s="27"/>
      <c r="E1124" s="19">
        <v>31</v>
      </c>
      <c r="F1124" s="19">
        <v>14</v>
      </c>
      <c r="G1124" s="19">
        <v>16</v>
      </c>
      <c r="H1124" s="27"/>
      <c r="I1124" s="27"/>
      <c r="J1124" s="21">
        <v>1521.97</v>
      </c>
      <c r="K1124" s="21">
        <v>721.5</v>
      </c>
      <c r="L1124" s="21">
        <v>880.26</v>
      </c>
      <c r="M1124" s="27"/>
      <c r="N1124" s="31"/>
      <c r="O1124" s="22">
        <v>15</v>
      </c>
      <c r="P1124" s="22">
        <v>33</v>
      </c>
      <c r="Q1124" s="22">
        <v>38</v>
      </c>
      <c r="R1124" s="18"/>
      <c r="S1124" s="18"/>
      <c r="T1124" s="17">
        <v>0.673913043478261</v>
      </c>
      <c r="U1124" s="17">
        <v>0.297872340425532</v>
      </c>
      <c r="V1124" s="23">
        <v>0.296296296296296</v>
      </c>
    </row>
    <row r="1125" ht="33" spans="1:22">
      <c r="A1125" s="32">
        <v>6559</v>
      </c>
      <c r="B1125" s="16" t="s">
        <v>1455</v>
      </c>
      <c r="C1125" s="27"/>
      <c r="D1125" s="27"/>
      <c r="E1125" s="19">
        <v>9</v>
      </c>
      <c r="F1125" s="19">
        <v>13</v>
      </c>
      <c r="G1125" s="19">
        <v>29</v>
      </c>
      <c r="H1125" s="27"/>
      <c r="I1125" s="27"/>
      <c r="J1125" s="21">
        <v>266.01</v>
      </c>
      <c r="K1125" s="21">
        <v>383.97</v>
      </c>
      <c r="L1125" s="21">
        <v>837.32</v>
      </c>
      <c r="M1125" s="27"/>
      <c r="N1125" s="31"/>
      <c r="O1125" s="22">
        <v>33</v>
      </c>
      <c r="P1125" s="22">
        <v>16</v>
      </c>
      <c r="Q1125" s="22">
        <v>37</v>
      </c>
      <c r="R1125" s="18"/>
      <c r="S1125" s="18"/>
      <c r="T1125" s="17">
        <v>0.214285714285714</v>
      </c>
      <c r="U1125" s="17">
        <v>0.448275862068966</v>
      </c>
      <c r="V1125" s="23">
        <v>0.439393939393939</v>
      </c>
    </row>
    <row r="1126" ht="33" spans="1:22">
      <c r="A1126" s="32">
        <v>6990</v>
      </c>
      <c r="B1126" s="16" t="s">
        <v>1456</v>
      </c>
      <c r="C1126" s="27"/>
      <c r="D1126" s="27"/>
      <c r="E1126" s="19">
        <v>67</v>
      </c>
      <c r="F1126" s="19">
        <v>6</v>
      </c>
      <c r="G1126" s="19">
        <v>1</v>
      </c>
      <c r="H1126" s="27"/>
      <c r="I1126" s="27"/>
      <c r="J1126" s="21">
        <v>2139.4</v>
      </c>
      <c r="K1126" s="21">
        <v>223.98</v>
      </c>
      <c r="L1126" s="21">
        <v>46.23</v>
      </c>
      <c r="M1126" s="27"/>
      <c r="N1126" s="31"/>
      <c r="O1126" s="22">
        <v>22</v>
      </c>
      <c r="P1126" s="22">
        <v>42</v>
      </c>
      <c r="Q1126" s="22">
        <v>68</v>
      </c>
      <c r="R1126" s="18"/>
      <c r="S1126" s="18"/>
      <c r="T1126" s="17">
        <v>0.752808988764045</v>
      </c>
      <c r="U1126" s="17">
        <v>0.125</v>
      </c>
      <c r="V1126" s="23">
        <v>0.0144927536231884</v>
      </c>
    </row>
    <row r="1127" ht="33" spans="1:22">
      <c r="A1127" s="32">
        <v>6991</v>
      </c>
      <c r="B1127" s="16" t="s">
        <v>1457</v>
      </c>
      <c r="C1127" s="27"/>
      <c r="D1127" s="27"/>
      <c r="E1127" s="19">
        <v>22</v>
      </c>
      <c r="F1127" s="19">
        <v>34</v>
      </c>
      <c r="G1127" s="19">
        <v>39</v>
      </c>
      <c r="H1127" s="27"/>
      <c r="I1127" s="27"/>
      <c r="J1127" s="21">
        <v>745.32</v>
      </c>
      <c r="K1127" s="21">
        <v>1193.97</v>
      </c>
      <c r="L1127" s="21">
        <v>1493.61</v>
      </c>
      <c r="M1127" s="27"/>
      <c r="N1127" s="31"/>
      <c r="O1127" s="22">
        <v>43</v>
      </c>
      <c r="P1127" s="22">
        <v>22</v>
      </c>
      <c r="Q1127" s="22">
        <v>25</v>
      </c>
      <c r="R1127" s="18"/>
      <c r="S1127" s="18"/>
      <c r="T1127" s="17">
        <v>0.338461538461538</v>
      </c>
      <c r="U1127" s="17">
        <v>0.607142857142857</v>
      </c>
      <c r="V1127" s="23">
        <v>0.609375</v>
      </c>
    </row>
    <row r="1128" ht="33" spans="1:22">
      <c r="A1128" s="32">
        <v>7103</v>
      </c>
      <c r="B1128" s="16" t="s">
        <v>1458</v>
      </c>
      <c r="C1128" s="27"/>
      <c r="D1128" s="27"/>
      <c r="E1128" s="19">
        <v>13</v>
      </c>
      <c r="F1128" s="19">
        <v>14</v>
      </c>
      <c r="G1128" s="19">
        <v>10</v>
      </c>
      <c r="H1128" s="27"/>
      <c r="I1128" s="27"/>
      <c r="J1128" s="21">
        <v>597.84</v>
      </c>
      <c r="K1128" s="21">
        <v>667.52</v>
      </c>
      <c r="L1128" s="21">
        <v>476.8</v>
      </c>
      <c r="M1128" s="27"/>
      <c r="N1128" s="31"/>
      <c r="O1128" s="22">
        <v>12</v>
      </c>
      <c r="P1128" s="22">
        <v>18</v>
      </c>
      <c r="Q1128" s="22">
        <v>23</v>
      </c>
      <c r="R1128" s="18"/>
      <c r="S1128" s="18"/>
      <c r="T1128" s="17">
        <v>0.52</v>
      </c>
      <c r="U1128" s="17">
        <v>0.4375</v>
      </c>
      <c r="V1128" s="23">
        <v>0.303030303030303</v>
      </c>
    </row>
    <row r="1129" ht="33" spans="1:22">
      <c r="A1129" s="32">
        <v>7486</v>
      </c>
      <c r="B1129" s="16" t="s">
        <v>1459</v>
      </c>
      <c r="C1129" s="27"/>
      <c r="D1129" s="27"/>
      <c r="E1129" s="19">
        <v>175</v>
      </c>
      <c r="F1129" s="19">
        <v>117</v>
      </c>
      <c r="G1129" s="19">
        <v>130</v>
      </c>
      <c r="H1129" s="27"/>
      <c r="I1129" s="27"/>
      <c r="J1129" s="21">
        <v>1703.25000000001</v>
      </c>
      <c r="K1129" s="21">
        <v>1161.81</v>
      </c>
      <c r="L1129" s="21">
        <v>1277.54</v>
      </c>
      <c r="M1129" s="27"/>
      <c r="N1129" s="31"/>
      <c r="O1129" s="22">
        <v>67</v>
      </c>
      <c r="P1129" s="22">
        <v>102</v>
      </c>
      <c r="Q1129" s="22">
        <v>90</v>
      </c>
      <c r="R1129" s="18"/>
      <c r="S1129" s="18"/>
      <c r="T1129" s="17">
        <v>0.723140495867769</v>
      </c>
      <c r="U1129" s="17">
        <v>0.534246575342466</v>
      </c>
      <c r="V1129" s="23">
        <v>0.590909090909091</v>
      </c>
    </row>
    <row r="1130" ht="33" spans="1:22">
      <c r="A1130" s="32">
        <v>7918</v>
      </c>
      <c r="B1130" s="16" t="s">
        <v>1460</v>
      </c>
      <c r="C1130" s="27"/>
      <c r="D1130" s="27"/>
      <c r="E1130" s="19">
        <v>7</v>
      </c>
      <c r="F1130" s="19">
        <v>13</v>
      </c>
      <c r="G1130" s="19">
        <v>9</v>
      </c>
      <c r="H1130" s="27"/>
      <c r="I1130" s="27"/>
      <c r="J1130" s="21">
        <v>486.43</v>
      </c>
      <c r="K1130" s="21">
        <v>856.66</v>
      </c>
      <c r="L1130" s="21">
        <v>673.41</v>
      </c>
      <c r="M1130" s="27"/>
      <c r="N1130" s="31"/>
      <c r="O1130" s="22">
        <v>6</v>
      </c>
      <c r="P1130" s="22">
        <v>9</v>
      </c>
      <c r="Q1130" s="22">
        <v>4</v>
      </c>
      <c r="R1130" s="18"/>
      <c r="S1130" s="18"/>
      <c r="T1130" s="17">
        <v>0.538461538461538</v>
      </c>
      <c r="U1130" s="17">
        <v>0.590909090909091</v>
      </c>
      <c r="V1130" s="23">
        <v>0.692307692307692</v>
      </c>
    </row>
    <row r="1131" ht="33" spans="1:22">
      <c r="A1131" s="32">
        <v>8053</v>
      </c>
      <c r="B1131" s="16" t="s">
        <v>1461</v>
      </c>
      <c r="C1131" s="27"/>
      <c r="D1131" s="27"/>
      <c r="E1131" s="19">
        <v>1</v>
      </c>
      <c r="F1131" s="19">
        <v>1</v>
      </c>
      <c r="G1131" s="19">
        <v>2</v>
      </c>
      <c r="H1131" s="27"/>
      <c r="I1131" s="27"/>
      <c r="J1131" s="21">
        <v>87.09</v>
      </c>
      <c r="K1131" s="21">
        <v>85.49</v>
      </c>
      <c r="L1131" s="21">
        <v>170.87</v>
      </c>
      <c r="M1131" s="27"/>
      <c r="N1131" s="31"/>
      <c r="O1131" s="22">
        <v>14</v>
      </c>
      <c r="P1131" s="22">
        <v>9</v>
      </c>
      <c r="Q1131" s="22">
        <v>4</v>
      </c>
      <c r="R1131" s="18"/>
      <c r="S1131" s="18"/>
      <c r="T1131" s="17">
        <v>0.0666666666666667</v>
      </c>
      <c r="U1131" s="17">
        <v>0.1</v>
      </c>
      <c r="V1131" s="23">
        <v>0.333333333333333</v>
      </c>
    </row>
    <row r="1132" ht="33" spans="1:22">
      <c r="A1132" s="32">
        <v>8088</v>
      </c>
      <c r="B1132" s="16" t="s">
        <v>1462</v>
      </c>
      <c r="C1132" s="27"/>
      <c r="D1132" s="27"/>
      <c r="E1132" s="19">
        <v>18</v>
      </c>
      <c r="F1132" s="19">
        <v>29</v>
      </c>
      <c r="G1132" s="19">
        <v>16</v>
      </c>
      <c r="H1132" s="27"/>
      <c r="I1132" s="27"/>
      <c r="J1132" s="21">
        <v>430.91</v>
      </c>
      <c r="K1132" s="21">
        <v>695.42</v>
      </c>
      <c r="L1132" s="21">
        <v>384.53</v>
      </c>
      <c r="M1132" s="27"/>
      <c r="N1132" s="31"/>
      <c r="O1132" s="22">
        <v>66</v>
      </c>
      <c r="P1132" s="22">
        <v>42</v>
      </c>
      <c r="Q1132" s="22">
        <v>44</v>
      </c>
      <c r="R1132" s="18"/>
      <c r="S1132" s="18"/>
      <c r="T1132" s="17">
        <v>0.214285714285714</v>
      </c>
      <c r="U1132" s="17">
        <v>0.408450704225352</v>
      </c>
      <c r="V1132" s="23">
        <v>0.266666666666667</v>
      </c>
    </row>
    <row r="1133" ht="33" spans="1:22">
      <c r="A1133" s="32">
        <v>8124</v>
      </c>
      <c r="B1133" s="16" t="s">
        <v>1463</v>
      </c>
      <c r="C1133" s="27"/>
      <c r="D1133" s="27"/>
      <c r="E1133" s="19">
        <v>11</v>
      </c>
      <c r="F1133" s="19">
        <v>23</v>
      </c>
      <c r="G1133" s="19">
        <v>6</v>
      </c>
      <c r="H1133" s="27"/>
      <c r="I1133" s="27"/>
      <c r="J1133" s="21">
        <v>2095.27</v>
      </c>
      <c r="K1133" s="21">
        <v>4316.81</v>
      </c>
      <c r="L1133" s="21">
        <v>1117.86</v>
      </c>
      <c r="M1133" s="27"/>
      <c r="N1133" s="31"/>
      <c r="O1133" s="22">
        <v>23</v>
      </c>
      <c r="P1133" s="22">
        <v>11</v>
      </c>
      <c r="Q1133" s="22">
        <v>25</v>
      </c>
      <c r="R1133" s="18"/>
      <c r="S1133" s="18"/>
      <c r="T1133" s="17">
        <v>0.323529411764706</v>
      </c>
      <c r="U1133" s="17">
        <v>0.676470588235294</v>
      </c>
      <c r="V1133" s="23">
        <v>0.193548387096774</v>
      </c>
    </row>
    <row r="1134" ht="33" spans="1:22">
      <c r="A1134" s="32">
        <v>8127</v>
      </c>
      <c r="B1134" s="16" t="s">
        <v>1464</v>
      </c>
      <c r="C1134" s="27"/>
      <c r="D1134" s="27"/>
      <c r="E1134" s="19">
        <v>0</v>
      </c>
      <c r="F1134" s="19">
        <v>0</v>
      </c>
      <c r="G1134" s="19">
        <v>0</v>
      </c>
      <c r="H1134" s="27"/>
      <c r="I1134" s="27"/>
      <c r="J1134" s="21">
        <v>0</v>
      </c>
      <c r="K1134" s="21">
        <v>0</v>
      </c>
      <c r="L1134" s="21">
        <v>0</v>
      </c>
      <c r="M1134" s="27"/>
      <c r="N1134" s="31"/>
      <c r="O1134" s="22">
        <v>20</v>
      </c>
      <c r="P1134" s="22">
        <v>12</v>
      </c>
      <c r="Q1134" s="22">
        <v>23</v>
      </c>
      <c r="R1134" s="18"/>
      <c r="S1134" s="18"/>
      <c r="T1134" s="17">
        <v>0</v>
      </c>
      <c r="U1134" s="17">
        <v>0</v>
      </c>
      <c r="V1134" s="23">
        <v>0</v>
      </c>
    </row>
    <row r="1135" ht="33" spans="1:22">
      <c r="A1135" s="32">
        <v>8201</v>
      </c>
      <c r="B1135" s="16" t="s">
        <v>1465</v>
      </c>
      <c r="C1135" s="27"/>
      <c r="D1135" s="27"/>
      <c r="E1135" s="19">
        <v>46</v>
      </c>
      <c r="F1135" s="19">
        <v>20</v>
      </c>
      <c r="G1135" s="19">
        <v>3</v>
      </c>
      <c r="H1135" s="27"/>
      <c r="I1135" s="27"/>
      <c r="J1135" s="21">
        <v>1228.72</v>
      </c>
      <c r="K1135" s="21">
        <v>582.76</v>
      </c>
      <c r="L1135" s="21">
        <v>102.96</v>
      </c>
      <c r="M1135" s="27"/>
      <c r="N1135" s="31"/>
      <c r="O1135" s="22">
        <v>13</v>
      </c>
      <c r="P1135" s="22">
        <v>21</v>
      </c>
      <c r="Q1135" s="22">
        <v>20</v>
      </c>
      <c r="R1135" s="18"/>
      <c r="S1135" s="18"/>
      <c r="T1135" s="17">
        <v>0.779661016949153</v>
      </c>
      <c r="U1135" s="17">
        <v>0.48780487804878</v>
      </c>
      <c r="V1135" s="23">
        <v>0.130434782608696</v>
      </c>
    </row>
    <row r="1136" ht="33" spans="1:22">
      <c r="A1136" s="32">
        <v>8213</v>
      </c>
      <c r="B1136" s="16" t="s">
        <v>1466</v>
      </c>
      <c r="C1136" s="27"/>
      <c r="D1136" s="27"/>
      <c r="E1136" s="19">
        <v>19</v>
      </c>
      <c r="F1136" s="19">
        <v>14</v>
      </c>
      <c r="G1136" s="19">
        <v>15</v>
      </c>
      <c r="H1136" s="27"/>
      <c r="I1136" s="27"/>
      <c r="J1136" s="21">
        <v>493.05</v>
      </c>
      <c r="K1136" s="21">
        <v>368.72</v>
      </c>
      <c r="L1136" s="21">
        <v>393.44</v>
      </c>
      <c r="M1136" s="27"/>
      <c r="N1136" s="31"/>
      <c r="O1136" s="22">
        <v>16</v>
      </c>
      <c r="P1136" s="22">
        <v>34</v>
      </c>
      <c r="Q1136" s="22">
        <v>27</v>
      </c>
      <c r="R1136" s="18"/>
      <c r="S1136" s="18"/>
      <c r="T1136" s="17">
        <v>0.542857142857143</v>
      </c>
      <c r="U1136" s="17">
        <v>0.291666666666667</v>
      </c>
      <c r="V1136" s="23">
        <v>0.357142857142857</v>
      </c>
    </row>
    <row r="1137" ht="33" spans="1:22">
      <c r="A1137" s="32">
        <v>8277</v>
      </c>
      <c r="B1137" s="16" t="s">
        <v>1467</v>
      </c>
      <c r="C1137" s="27"/>
      <c r="D1137" s="27"/>
      <c r="E1137" s="19">
        <v>23</v>
      </c>
      <c r="F1137" s="19">
        <v>10</v>
      </c>
      <c r="G1137" s="19">
        <v>13</v>
      </c>
      <c r="H1137" s="27"/>
      <c r="I1137" s="27"/>
      <c r="J1137" s="21">
        <v>910.79</v>
      </c>
      <c r="K1137" s="21">
        <v>396.24</v>
      </c>
      <c r="L1137" s="21">
        <v>507.53</v>
      </c>
      <c r="M1137" s="27"/>
      <c r="N1137" s="31"/>
      <c r="O1137" s="22">
        <v>13</v>
      </c>
      <c r="P1137" s="22">
        <v>15</v>
      </c>
      <c r="Q1137" s="22">
        <v>11</v>
      </c>
      <c r="R1137" s="18"/>
      <c r="S1137" s="18"/>
      <c r="T1137" s="17">
        <v>0.638888888888889</v>
      </c>
      <c r="U1137" s="17">
        <v>0.4</v>
      </c>
      <c r="V1137" s="23">
        <v>0.541666666666667</v>
      </c>
    </row>
    <row r="1138" ht="33" spans="1:22">
      <c r="A1138" s="32">
        <v>8307</v>
      </c>
      <c r="B1138" s="16" t="s">
        <v>1468</v>
      </c>
      <c r="C1138" s="27"/>
      <c r="D1138" s="27"/>
      <c r="E1138" s="19">
        <v>13</v>
      </c>
      <c r="F1138" s="19">
        <v>6</v>
      </c>
      <c r="G1138" s="19">
        <v>7</v>
      </c>
      <c r="H1138" s="27"/>
      <c r="I1138" s="27"/>
      <c r="J1138" s="21">
        <v>922.92</v>
      </c>
      <c r="K1138" s="21">
        <v>439.95</v>
      </c>
      <c r="L1138" s="21">
        <v>495.85</v>
      </c>
      <c r="M1138" s="27"/>
      <c r="N1138" s="31"/>
      <c r="O1138" s="22">
        <v>20</v>
      </c>
      <c r="P1138" s="22">
        <v>3</v>
      </c>
      <c r="Q1138" s="22">
        <v>14</v>
      </c>
      <c r="R1138" s="18"/>
      <c r="S1138" s="18"/>
      <c r="T1138" s="17">
        <v>0.393939393939394</v>
      </c>
      <c r="U1138" s="17">
        <v>0.666666666666667</v>
      </c>
      <c r="V1138" s="23">
        <v>0.333333333333333</v>
      </c>
    </row>
    <row r="1139" ht="33" spans="1:22">
      <c r="A1139" s="32">
        <v>8333</v>
      </c>
      <c r="B1139" s="16" t="s">
        <v>1469</v>
      </c>
      <c r="C1139" s="27"/>
      <c r="D1139" s="27"/>
      <c r="E1139" s="19">
        <v>9</v>
      </c>
      <c r="F1139" s="19">
        <v>6</v>
      </c>
      <c r="G1139" s="19">
        <v>8</v>
      </c>
      <c r="H1139" s="27"/>
      <c r="I1139" s="27"/>
      <c r="J1139" s="21">
        <v>909.22</v>
      </c>
      <c r="K1139" s="21">
        <v>613.78</v>
      </c>
      <c r="L1139" s="21">
        <v>792.48</v>
      </c>
      <c r="M1139" s="27"/>
      <c r="N1139" s="31"/>
      <c r="O1139" s="22">
        <v>2</v>
      </c>
      <c r="P1139" s="22">
        <v>11</v>
      </c>
      <c r="Q1139" s="22">
        <v>9</v>
      </c>
      <c r="R1139" s="18"/>
      <c r="S1139" s="18"/>
      <c r="T1139" s="17">
        <v>0.818181818181818</v>
      </c>
      <c r="U1139" s="17">
        <v>0.352941176470588</v>
      </c>
      <c r="V1139" s="23">
        <v>0.470588235294118</v>
      </c>
    </row>
    <row r="1140" ht="33" spans="1:22">
      <c r="A1140" s="32">
        <v>8338</v>
      </c>
      <c r="B1140" s="16" t="s">
        <v>1470</v>
      </c>
      <c r="C1140" s="27"/>
      <c r="D1140" s="27"/>
      <c r="E1140" s="19">
        <v>6</v>
      </c>
      <c r="F1140" s="19">
        <v>7</v>
      </c>
      <c r="G1140" s="19">
        <v>4</v>
      </c>
      <c r="H1140" s="27"/>
      <c r="I1140" s="27"/>
      <c r="J1140" s="21">
        <v>1096.86</v>
      </c>
      <c r="K1140" s="21">
        <v>1395.32</v>
      </c>
      <c r="L1140" s="21">
        <v>793.04</v>
      </c>
      <c r="M1140" s="27"/>
      <c r="N1140" s="31"/>
      <c r="O1140" s="22">
        <v>15</v>
      </c>
      <c r="P1140" s="22">
        <v>8</v>
      </c>
      <c r="Q1140" s="22">
        <v>15</v>
      </c>
      <c r="R1140" s="18"/>
      <c r="S1140" s="18"/>
      <c r="T1140" s="17">
        <v>0.285714285714286</v>
      </c>
      <c r="U1140" s="17">
        <v>0.466666666666667</v>
      </c>
      <c r="V1140" s="23">
        <v>0.210526315789474</v>
      </c>
    </row>
    <row r="1141" ht="33" spans="1:22">
      <c r="A1141" s="32">
        <v>8359</v>
      </c>
      <c r="B1141" s="16" t="s">
        <v>1471</v>
      </c>
      <c r="C1141" s="27"/>
      <c r="D1141" s="27"/>
      <c r="E1141" s="19">
        <v>65</v>
      </c>
      <c r="F1141" s="19">
        <v>79</v>
      </c>
      <c r="G1141" s="19">
        <v>53</v>
      </c>
      <c r="H1141" s="27"/>
      <c r="I1141" s="27"/>
      <c r="J1141" s="21">
        <v>3084.85</v>
      </c>
      <c r="K1141" s="21">
        <v>3969.90999999999</v>
      </c>
      <c r="L1141" s="21">
        <v>2620.27</v>
      </c>
      <c r="M1141" s="27"/>
      <c r="N1141" s="31"/>
      <c r="O1141" s="22">
        <v>68</v>
      </c>
      <c r="P1141" s="22">
        <v>38</v>
      </c>
      <c r="Q1141" s="22">
        <v>50</v>
      </c>
      <c r="R1141" s="18"/>
      <c r="S1141" s="18"/>
      <c r="T1141" s="17">
        <v>0.488721804511278</v>
      </c>
      <c r="U1141" s="17">
        <v>0.675213675213675</v>
      </c>
      <c r="V1141" s="23">
        <v>0.514563106796116</v>
      </c>
    </row>
    <row r="1142" ht="33" spans="1:22">
      <c r="A1142" s="32">
        <v>8366</v>
      </c>
      <c r="B1142" s="16" t="s">
        <v>1472</v>
      </c>
      <c r="C1142" s="27"/>
      <c r="D1142" s="27"/>
      <c r="E1142" s="19">
        <v>24</v>
      </c>
      <c r="F1142" s="19">
        <v>25</v>
      </c>
      <c r="G1142" s="19">
        <v>20</v>
      </c>
      <c r="H1142" s="27"/>
      <c r="I1142" s="27"/>
      <c r="J1142" s="21">
        <v>890.160000000001</v>
      </c>
      <c r="K1142" s="21">
        <v>927.250000000001</v>
      </c>
      <c r="L1142" s="21">
        <v>757.8</v>
      </c>
      <c r="M1142" s="27"/>
      <c r="N1142" s="31"/>
      <c r="O1142" s="22">
        <v>7</v>
      </c>
      <c r="P1142" s="22">
        <v>9</v>
      </c>
      <c r="Q1142" s="22">
        <v>8</v>
      </c>
      <c r="R1142" s="18"/>
      <c r="S1142" s="18"/>
      <c r="T1142" s="17">
        <v>0.774193548387097</v>
      </c>
      <c r="U1142" s="17">
        <v>0.735294117647059</v>
      </c>
      <c r="V1142" s="23">
        <v>0.714285714285714</v>
      </c>
    </row>
    <row r="1143" ht="33" spans="1:22">
      <c r="A1143" s="32">
        <v>8373</v>
      </c>
      <c r="B1143" s="16" t="s">
        <v>1473</v>
      </c>
      <c r="C1143" s="27"/>
      <c r="D1143" s="27"/>
      <c r="E1143" s="19">
        <v>10</v>
      </c>
      <c r="F1143" s="19">
        <v>11</v>
      </c>
      <c r="G1143" s="19">
        <v>3</v>
      </c>
      <c r="H1143" s="27"/>
      <c r="I1143" s="27"/>
      <c r="J1143" s="21">
        <v>456.37</v>
      </c>
      <c r="K1143" s="21">
        <v>510.09</v>
      </c>
      <c r="L1143" s="21">
        <v>141.15</v>
      </c>
      <c r="M1143" s="27"/>
      <c r="N1143" s="31"/>
      <c r="O1143" s="22">
        <v>16</v>
      </c>
      <c r="P1143" s="22">
        <v>10</v>
      </c>
      <c r="Q1143" s="22">
        <v>11</v>
      </c>
      <c r="R1143" s="18"/>
      <c r="S1143" s="18"/>
      <c r="T1143" s="17">
        <v>0.384615384615385</v>
      </c>
      <c r="U1143" s="17">
        <v>0.523809523809524</v>
      </c>
      <c r="V1143" s="23">
        <v>0.214285714285714</v>
      </c>
    </row>
    <row r="1144" ht="33" spans="1:22">
      <c r="A1144" s="32">
        <v>8429</v>
      </c>
      <c r="B1144" s="16" t="s">
        <v>1474</v>
      </c>
      <c r="C1144" s="27"/>
      <c r="D1144" s="27"/>
      <c r="E1144" s="19">
        <v>14</v>
      </c>
      <c r="F1144" s="19">
        <v>13</v>
      </c>
      <c r="G1144" s="19">
        <v>12</v>
      </c>
      <c r="H1144" s="27"/>
      <c r="I1144" s="27"/>
      <c r="J1144" s="21">
        <v>691.15</v>
      </c>
      <c r="K1144" s="21">
        <v>663.17</v>
      </c>
      <c r="L1144" s="21">
        <v>612.24</v>
      </c>
      <c r="M1144" s="27"/>
      <c r="N1144" s="31"/>
      <c r="O1144" s="22">
        <v>5</v>
      </c>
      <c r="P1144" s="22">
        <v>6</v>
      </c>
      <c r="Q1144" s="22">
        <v>7</v>
      </c>
      <c r="R1144" s="18"/>
      <c r="S1144" s="18"/>
      <c r="T1144" s="17">
        <v>0.736842105263158</v>
      </c>
      <c r="U1144" s="17">
        <v>0.684210526315789</v>
      </c>
      <c r="V1144" s="23">
        <v>0.631578947368421</v>
      </c>
    </row>
    <row r="1145" ht="33" spans="1:22">
      <c r="A1145" s="32">
        <v>8483</v>
      </c>
      <c r="B1145" s="16" t="s">
        <v>1475</v>
      </c>
      <c r="C1145" s="27"/>
      <c r="D1145" s="27"/>
      <c r="E1145" s="19">
        <v>26</v>
      </c>
      <c r="F1145" s="19">
        <v>18</v>
      </c>
      <c r="G1145" s="19">
        <v>21</v>
      </c>
      <c r="H1145" s="27"/>
      <c r="I1145" s="27"/>
      <c r="J1145" s="21">
        <v>1133.16</v>
      </c>
      <c r="K1145" s="21">
        <v>785.32</v>
      </c>
      <c r="L1145" s="21">
        <v>921.12</v>
      </c>
      <c r="M1145" s="27"/>
      <c r="N1145" s="31"/>
      <c r="O1145" s="22">
        <v>6</v>
      </c>
      <c r="P1145" s="22">
        <v>18</v>
      </c>
      <c r="Q1145" s="22">
        <v>12</v>
      </c>
      <c r="R1145" s="18"/>
      <c r="S1145" s="18"/>
      <c r="T1145" s="17">
        <v>0.8125</v>
      </c>
      <c r="U1145" s="17">
        <v>0.5</v>
      </c>
      <c r="V1145" s="23">
        <v>0.636363636363636</v>
      </c>
    </row>
    <row r="1146" ht="16.5" spans="1:22">
      <c r="A1146" s="32">
        <v>467</v>
      </c>
      <c r="B1146" s="16" t="s">
        <v>1476</v>
      </c>
      <c r="C1146" s="27"/>
      <c r="D1146" s="27"/>
      <c r="E1146" s="19">
        <v>20</v>
      </c>
      <c r="F1146" s="19">
        <v>9</v>
      </c>
      <c r="G1146" s="19">
        <v>9</v>
      </c>
      <c r="H1146" s="27"/>
      <c r="I1146" s="27"/>
      <c r="J1146" s="21">
        <v>3575.26</v>
      </c>
      <c r="K1146" s="21">
        <v>1617.16</v>
      </c>
      <c r="L1146" s="21">
        <v>1616.95</v>
      </c>
      <c r="M1146" s="27"/>
      <c r="N1146" s="31"/>
      <c r="O1146" s="22">
        <v>10</v>
      </c>
      <c r="P1146" s="22">
        <v>5</v>
      </c>
      <c r="Q1146" s="22">
        <v>2</v>
      </c>
      <c r="R1146" s="18"/>
      <c r="S1146" s="18"/>
      <c r="T1146" s="17">
        <v>0.666666666666667</v>
      </c>
      <c r="U1146" s="17">
        <v>0.642857142857143</v>
      </c>
      <c r="V1146" s="23">
        <v>0.818181818181818</v>
      </c>
    </row>
    <row r="1147" ht="33" spans="1:22">
      <c r="A1147" s="32">
        <v>12386</v>
      </c>
      <c r="B1147" s="16" t="s">
        <v>118</v>
      </c>
      <c r="C1147" s="27"/>
      <c r="D1147" s="27"/>
      <c r="E1147" s="19">
        <v>0</v>
      </c>
      <c r="F1147" s="19">
        <v>1</v>
      </c>
      <c r="G1147" s="19">
        <v>5</v>
      </c>
      <c r="H1147" s="27"/>
      <c r="I1147" s="27"/>
      <c r="J1147" s="21">
        <v>0</v>
      </c>
      <c r="K1147" s="21">
        <v>30.59</v>
      </c>
      <c r="L1147" s="21">
        <v>152.35</v>
      </c>
      <c r="M1147" s="27"/>
      <c r="N1147" s="31"/>
      <c r="O1147" s="22">
        <v>2</v>
      </c>
      <c r="P1147" s="22">
        <v>25</v>
      </c>
      <c r="Q1147" s="22">
        <v>21</v>
      </c>
      <c r="R1147" s="18"/>
      <c r="S1147" s="18"/>
      <c r="T1147" s="17">
        <v>0</v>
      </c>
      <c r="U1147" s="17">
        <v>0.0384615384615385</v>
      </c>
      <c r="V1147" s="23">
        <v>0.192307692307692</v>
      </c>
    </row>
    <row r="1148" ht="33" spans="1:22">
      <c r="A1148" s="32">
        <v>12414</v>
      </c>
      <c r="B1148" s="16" t="s">
        <v>122</v>
      </c>
      <c r="C1148" s="27"/>
      <c r="D1148" s="27"/>
      <c r="E1148" s="19">
        <v>0</v>
      </c>
      <c r="F1148" s="19">
        <v>0</v>
      </c>
      <c r="G1148" s="19">
        <v>1</v>
      </c>
      <c r="H1148" s="27"/>
      <c r="I1148" s="27"/>
      <c r="J1148" s="21">
        <v>0</v>
      </c>
      <c r="K1148" s="21">
        <v>0</v>
      </c>
      <c r="L1148" s="21">
        <v>250</v>
      </c>
      <c r="M1148" s="27"/>
      <c r="N1148" s="31"/>
      <c r="O1148" s="22">
        <v>0</v>
      </c>
      <c r="P1148" s="22">
        <v>0</v>
      </c>
      <c r="Q1148" s="22">
        <v>0</v>
      </c>
      <c r="R1148" s="18"/>
      <c r="S1148" s="18"/>
      <c r="T1148" s="17">
        <v>0</v>
      </c>
      <c r="U1148" s="17">
        <v>0</v>
      </c>
      <c r="V1148" s="23">
        <v>1</v>
      </c>
    </row>
    <row r="1149" ht="33" spans="1:22">
      <c r="A1149" s="32">
        <v>12422</v>
      </c>
      <c r="B1149" s="16" t="s">
        <v>123</v>
      </c>
      <c r="C1149" s="27"/>
      <c r="D1149" s="27"/>
      <c r="E1149" s="19">
        <v>0</v>
      </c>
      <c r="F1149" s="19">
        <v>1</v>
      </c>
      <c r="G1149" s="19">
        <v>0</v>
      </c>
      <c r="H1149" s="27"/>
      <c r="I1149" s="27"/>
      <c r="J1149" s="21">
        <v>0</v>
      </c>
      <c r="K1149" s="21">
        <v>250</v>
      </c>
      <c r="L1149" s="21">
        <v>0</v>
      </c>
      <c r="M1149" s="27"/>
      <c r="N1149" s="31"/>
      <c r="O1149" s="22">
        <v>0</v>
      </c>
      <c r="P1149" s="22">
        <v>0</v>
      </c>
      <c r="Q1149" s="22">
        <v>0</v>
      </c>
      <c r="R1149" s="18"/>
      <c r="S1149" s="18"/>
      <c r="T1149" s="17">
        <v>0</v>
      </c>
      <c r="U1149" s="17">
        <v>1</v>
      </c>
      <c r="V1149" s="23" t="s">
        <v>106</v>
      </c>
    </row>
    <row r="1150" ht="33" spans="1:22">
      <c r="A1150" s="32">
        <v>12424</v>
      </c>
      <c r="B1150" s="16" t="s">
        <v>117</v>
      </c>
      <c r="C1150" s="27"/>
      <c r="D1150" s="27"/>
      <c r="E1150" s="19">
        <v>0</v>
      </c>
      <c r="F1150" s="19">
        <v>0</v>
      </c>
      <c r="G1150" s="19">
        <v>0</v>
      </c>
      <c r="H1150" s="27"/>
      <c r="I1150" s="27"/>
      <c r="J1150" s="21">
        <v>0</v>
      </c>
      <c r="K1150" s="21">
        <v>0</v>
      </c>
      <c r="L1150" s="21">
        <v>0</v>
      </c>
      <c r="M1150" s="27"/>
      <c r="N1150" s="31"/>
      <c r="O1150" s="22">
        <v>0</v>
      </c>
      <c r="P1150" s="22">
        <v>0</v>
      </c>
      <c r="Q1150" s="22">
        <v>0</v>
      </c>
      <c r="R1150" s="18"/>
      <c r="S1150" s="18"/>
      <c r="T1150" s="17">
        <v>0</v>
      </c>
      <c r="U1150" s="17">
        <v>0</v>
      </c>
      <c r="V1150" s="23" t="s">
        <v>106</v>
      </c>
    </row>
    <row r="1151" ht="33" spans="1:22">
      <c r="A1151" s="32">
        <v>12426</v>
      </c>
      <c r="B1151" s="16" t="s">
        <v>119</v>
      </c>
      <c r="C1151" s="27"/>
      <c r="D1151" s="27"/>
      <c r="E1151" s="19">
        <v>0</v>
      </c>
      <c r="F1151" s="19">
        <v>16</v>
      </c>
      <c r="G1151" s="19">
        <v>24</v>
      </c>
      <c r="H1151" s="27"/>
      <c r="I1151" s="27"/>
      <c r="J1151" s="21">
        <v>0</v>
      </c>
      <c r="K1151" s="21">
        <v>1033.5</v>
      </c>
      <c r="L1151" s="21">
        <v>1560</v>
      </c>
      <c r="M1151" s="27"/>
      <c r="N1151" s="31"/>
      <c r="O1151" s="22">
        <v>0</v>
      </c>
      <c r="P1151" s="22">
        <v>0</v>
      </c>
      <c r="Q1151" s="22">
        <v>0</v>
      </c>
      <c r="R1151" s="18"/>
      <c r="S1151" s="18"/>
      <c r="T1151" s="17">
        <v>0</v>
      </c>
      <c r="U1151" s="17">
        <v>1</v>
      </c>
      <c r="V1151" s="23">
        <v>1</v>
      </c>
    </row>
    <row r="1152" ht="33" spans="1:22">
      <c r="A1152" s="32">
        <v>12429</v>
      </c>
      <c r="B1152" s="16" t="s">
        <v>116</v>
      </c>
      <c r="C1152" s="27"/>
      <c r="D1152" s="27"/>
      <c r="E1152" s="19">
        <v>1</v>
      </c>
      <c r="F1152" s="19">
        <v>0</v>
      </c>
      <c r="G1152" s="19">
        <v>3</v>
      </c>
      <c r="H1152" s="27"/>
      <c r="I1152" s="27"/>
      <c r="J1152" s="21">
        <v>160</v>
      </c>
      <c r="K1152" s="21">
        <v>0</v>
      </c>
      <c r="L1152" s="21">
        <v>765</v>
      </c>
      <c r="M1152" s="27"/>
      <c r="N1152" s="31"/>
      <c r="O1152" s="22">
        <v>0</v>
      </c>
      <c r="P1152" s="22">
        <v>0</v>
      </c>
      <c r="Q1152" s="22">
        <v>0</v>
      </c>
      <c r="R1152" s="18"/>
      <c r="S1152" s="18"/>
      <c r="T1152" s="17">
        <v>1</v>
      </c>
      <c r="U1152" s="17">
        <v>0</v>
      </c>
      <c r="V1152" s="23">
        <v>1</v>
      </c>
    </row>
    <row r="1153" ht="16.5" spans="1:22">
      <c r="A1153" s="32">
        <v>12474</v>
      </c>
      <c r="B1153" s="16" t="s">
        <v>115</v>
      </c>
      <c r="C1153" s="27"/>
      <c r="D1153" s="27"/>
      <c r="E1153" s="19">
        <v>0</v>
      </c>
      <c r="F1153" s="19">
        <v>14</v>
      </c>
      <c r="G1153" s="19">
        <v>9</v>
      </c>
      <c r="H1153" s="27"/>
      <c r="I1153" s="27"/>
      <c r="J1153" s="21">
        <v>0</v>
      </c>
      <c r="K1153" s="21">
        <v>1206.5</v>
      </c>
      <c r="L1153" s="21">
        <v>769.5</v>
      </c>
      <c r="M1153" s="27"/>
      <c r="N1153" s="31"/>
      <c r="O1153" s="22">
        <v>0</v>
      </c>
      <c r="P1153" s="22">
        <v>1</v>
      </c>
      <c r="Q1153" s="22">
        <v>0</v>
      </c>
      <c r="R1153" s="18"/>
      <c r="S1153" s="18"/>
      <c r="T1153" s="17">
        <v>0</v>
      </c>
      <c r="U1153" s="17">
        <v>0.933333333333333</v>
      </c>
      <c r="V1153" s="23">
        <v>1</v>
      </c>
    </row>
    <row r="1154" ht="33" spans="1:22">
      <c r="A1154" s="32">
        <v>12483</v>
      </c>
      <c r="B1154" s="16" t="s">
        <v>120</v>
      </c>
      <c r="C1154" s="27"/>
      <c r="D1154" s="27"/>
      <c r="E1154" s="19">
        <v>2</v>
      </c>
      <c r="F1154" s="19">
        <v>9</v>
      </c>
      <c r="G1154" s="19">
        <v>6</v>
      </c>
      <c r="H1154" s="27"/>
      <c r="I1154" s="27"/>
      <c r="J1154" s="21">
        <v>234</v>
      </c>
      <c r="K1154" s="21">
        <v>1076.4</v>
      </c>
      <c r="L1154" s="21">
        <v>725.4</v>
      </c>
      <c r="M1154" s="27"/>
      <c r="N1154" s="31"/>
      <c r="O1154" s="22">
        <v>0</v>
      </c>
      <c r="P1154" s="22">
        <v>0</v>
      </c>
      <c r="Q1154" s="22">
        <v>0</v>
      </c>
      <c r="R1154" s="18"/>
      <c r="S1154" s="18"/>
      <c r="T1154" s="17">
        <v>1</v>
      </c>
      <c r="U1154" s="17">
        <v>1</v>
      </c>
      <c r="V1154" s="23">
        <v>1</v>
      </c>
    </row>
    <row r="1155" ht="33" spans="1:22">
      <c r="A1155" s="32">
        <v>12484</v>
      </c>
      <c r="B1155" s="16" t="s">
        <v>121</v>
      </c>
      <c r="C1155" s="27"/>
      <c r="D1155" s="27"/>
      <c r="E1155" s="19">
        <v>1</v>
      </c>
      <c r="F1155" s="19">
        <v>11</v>
      </c>
      <c r="G1155" s="19">
        <v>11</v>
      </c>
      <c r="H1155" s="27"/>
      <c r="I1155" s="27"/>
      <c r="J1155" s="21">
        <v>110</v>
      </c>
      <c r="K1155" s="21">
        <v>1210.5</v>
      </c>
      <c r="L1155" s="21">
        <v>1272.2</v>
      </c>
      <c r="M1155" s="27"/>
      <c r="N1155" s="31"/>
      <c r="O1155" s="22">
        <v>0</v>
      </c>
      <c r="P1155" s="22">
        <v>1</v>
      </c>
      <c r="Q1155" s="22">
        <v>5</v>
      </c>
      <c r="R1155" s="18"/>
      <c r="S1155" s="18"/>
      <c r="T1155" s="17">
        <v>1</v>
      </c>
      <c r="U1155" s="17">
        <v>0.916666666666667</v>
      </c>
      <c r="V1155" s="23">
        <v>0.6875</v>
      </c>
    </row>
    <row r="1156" ht="33" spans="1:22">
      <c r="A1156" s="16">
        <v>12461</v>
      </c>
      <c r="B1156" s="16" t="s">
        <v>125</v>
      </c>
      <c r="C1156" s="27"/>
      <c r="D1156" s="27"/>
      <c r="E1156" s="19">
        <v>0</v>
      </c>
      <c r="F1156" s="19">
        <v>9</v>
      </c>
      <c r="G1156" s="19">
        <v>11</v>
      </c>
      <c r="H1156" s="27"/>
      <c r="I1156" s="27"/>
      <c r="J1156" s="21">
        <v>0</v>
      </c>
      <c r="K1156" s="21">
        <v>1071</v>
      </c>
      <c r="L1156" s="21">
        <v>1309</v>
      </c>
      <c r="M1156" s="27"/>
      <c r="N1156" s="31"/>
      <c r="O1156" s="22">
        <v>0</v>
      </c>
      <c r="P1156" s="22">
        <v>12</v>
      </c>
      <c r="Q1156" s="22">
        <v>4</v>
      </c>
      <c r="R1156" s="18"/>
      <c r="S1156" s="18"/>
      <c r="T1156" s="17">
        <v>0</v>
      </c>
      <c r="U1156" s="17">
        <v>0.428571428571429</v>
      </c>
      <c r="V1156" s="23">
        <v>0.733333333333333</v>
      </c>
    </row>
    <row r="1157" ht="33" spans="1:22">
      <c r="A1157" s="16">
        <v>12489</v>
      </c>
      <c r="B1157" s="16" t="s">
        <v>126</v>
      </c>
      <c r="C1157" s="27"/>
      <c r="D1157" s="27"/>
      <c r="E1157" s="19">
        <v>0</v>
      </c>
      <c r="F1157" s="19">
        <v>10</v>
      </c>
      <c r="G1157" s="19">
        <v>20</v>
      </c>
      <c r="H1157" s="27"/>
      <c r="I1157" s="27"/>
      <c r="J1157" s="21">
        <v>0</v>
      </c>
      <c r="K1157" s="21">
        <v>450</v>
      </c>
      <c r="L1157" s="21">
        <v>900</v>
      </c>
      <c r="M1157" s="27"/>
      <c r="N1157" s="31"/>
      <c r="O1157" s="22">
        <v>0</v>
      </c>
      <c r="P1157" s="22">
        <v>12</v>
      </c>
      <c r="Q1157" s="22">
        <v>16</v>
      </c>
      <c r="R1157" s="18"/>
      <c r="S1157" s="18"/>
      <c r="T1157" s="17">
        <v>0</v>
      </c>
      <c r="U1157" s="17">
        <v>0.454545454545455</v>
      </c>
      <c r="V1157" s="23">
        <v>0.555555555555556</v>
      </c>
    </row>
    <row r="1158" ht="33" spans="1:22">
      <c r="A1158" s="16">
        <v>12480</v>
      </c>
      <c r="B1158" s="16" t="s">
        <v>127</v>
      </c>
      <c r="C1158" s="27"/>
      <c r="D1158" s="27"/>
      <c r="E1158" s="19">
        <v>0</v>
      </c>
      <c r="F1158" s="19">
        <v>1</v>
      </c>
      <c r="G1158" s="19">
        <v>1</v>
      </c>
      <c r="H1158" s="27"/>
      <c r="I1158" s="27"/>
      <c r="J1158" s="21">
        <v>0</v>
      </c>
      <c r="K1158" s="21">
        <v>45</v>
      </c>
      <c r="L1158" s="21">
        <v>45</v>
      </c>
      <c r="M1158" s="27"/>
      <c r="N1158" s="31"/>
      <c r="O1158" s="22">
        <v>0</v>
      </c>
      <c r="P1158" s="22">
        <v>0</v>
      </c>
      <c r="Q1158" s="22">
        <v>8</v>
      </c>
      <c r="R1158" s="18"/>
      <c r="S1158" s="18"/>
      <c r="T1158" s="17">
        <v>0</v>
      </c>
      <c r="U1158" s="17">
        <v>1</v>
      </c>
      <c r="V1158" s="23">
        <v>0.111111111111111</v>
      </c>
    </row>
    <row r="1159" ht="33" spans="1:22">
      <c r="A1159" s="16">
        <v>12558</v>
      </c>
      <c r="B1159" s="16" t="s">
        <v>128</v>
      </c>
      <c r="C1159" s="27"/>
      <c r="D1159" s="27"/>
      <c r="E1159" s="19">
        <v>0</v>
      </c>
      <c r="F1159" s="19">
        <v>0</v>
      </c>
      <c r="G1159" s="19">
        <v>4</v>
      </c>
      <c r="H1159" s="27"/>
      <c r="I1159" s="27"/>
      <c r="J1159" s="21">
        <v>0</v>
      </c>
      <c r="K1159" s="21">
        <v>0</v>
      </c>
      <c r="L1159" s="21">
        <v>340</v>
      </c>
      <c r="M1159" s="27"/>
      <c r="N1159" s="31"/>
      <c r="O1159" s="22">
        <v>0</v>
      </c>
      <c r="P1159" s="22">
        <v>0</v>
      </c>
      <c r="Q1159" s="22">
        <v>27</v>
      </c>
      <c r="R1159" s="18"/>
      <c r="S1159" s="18"/>
      <c r="T1159" s="17">
        <v>0</v>
      </c>
      <c r="U1159" s="17">
        <v>0</v>
      </c>
      <c r="V1159" s="23">
        <v>0.129032258064516</v>
      </c>
    </row>
    <row r="1160" ht="33" spans="1:22">
      <c r="A1160" s="16">
        <v>12473</v>
      </c>
      <c r="B1160" s="16" t="s">
        <v>129</v>
      </c>
      <c r="C1160" s="27"/>
      <c r="D1160" s="27"/>
      <c r="E1160" s="19">
        <v>0</v>
      </c>
      <c r="F1160" s="19">
        <v>0</v>
      </c>
      <c r="G1160" s="19">
        <v>14</v>
      </c>
      <c r="H1160" s="27"/>
      <c r="I1160" s="27"/>
      <c r="J1160" s="21">
        <v>0</v>
      </c>
      <c r="K1160" s="21">
        <v>0</v>
      </c>
      <c r="L1160" s="21">
        <v>1388.6</v>
      </c>
      <c r="M1160" s="27"/>
      <c r="N1160" s="31"/>
      <c r="O1160" s="22">
        <v>0</v>
      </c>
      <c r="P1160" s="22">
        <v>0</v>
      </c>
      <c r="Q1160" s="22">
        <v>3</v>
      </c>
      <c r="R1160" s="18"/>
      <c r="S1160" s="18"/>
      <c r="T1160" s="17">
        <v>0</v>
      </c>
      <c r="U1160" s="17">
        <v>0</v>
      </c>
      <c r="V1160" s="23">
        <v>0.823529411764706</v>
      </c>
    </row>
    <row r="1161" ht="33" spans="1:22">
      <c r="A1161" s="16">
        <v>12464</v>
      </c>
      <c r="B1161" s="16" t="s">
        <v>130</v>
      </c>
      <c r="C1161" s="27"/>
      <c r="D1161" s="27"/>
      <c r="E1161" s="19">
        <v>0</v>
      </c>
      <c r="F1161" s="19">
        <v>5</v>
      </c>
      <c r="G1161" s="19">
        <v>5</v>
      </c>
      <c r="H1161" s="27"/>
      <c r="I1161" s="27"/>
      <c r="J1161" s="21">
        <v>0</v>
      </c>
      <c r="K1161" s="21">
        <v>625</v>
      </c>
      <c r="L1161" s="21">
        <v>625</v>
      </c>
      <c r="M1161" s="27"/>
      <c r="N1161" s="31"/>
      <c r="O1161" s="22">
        <v>0</v>
      </c>
      <c r="P1161" s="22">
        <v>1</v>
      </c>
      <c r="Q1161" s="22">
        <v>3</v>
      </c>
      <c r="R1161" s="18"/>
      <c r="S1161" s="18"/>
      <c r="T1161" s="17">
        <v>0</v>
      </c>
      <c r="U1161" s="17">
        <v>0.833333333333333</v>
      </c>
      <c r="V1161" s="23">
        <v>0.625</v>
      </c>
    </row>
    <row r="1162" ht="33" spans="1:22">
      <c r="A1162" s="16">
        <v>12540</v>
      </c>
      <c r="B1162" s="16" t="s">
        <v>131</v>
      </c>
      <c r="C1162" s="27"/>
      <c r="D1162" s="27"/>
      <c r="E1162" s="19">
        <v>0</v>
      </c>
      <c r="F1162" s="19">
        <v>0</v>
      </c>
      <c r="G1162" s="19">
        <v>4</v>
      </c>
      <c r="H1162" s="27"/>
      <c r="I1162" s="27"/>
      <c r="J1162" s="21">
        <v>0</v>
      </c>
      <c r="K1162" s="21">
        <v>0</v>
      </c>
      <c r="L1162" s="21">
        <v>252</v>
      </c>
      <c r="M1162" s="27"/>
      <c r="N1162" s="31"/>
      <c r="O1162" s="22">
        <v>0</v>
      </c>
      <c r="P1162" s="22">
        <v>0</v>
      </c>
      <c r="Q1162" s="22">
        <v>0</v>
      </c>
      <c r="R1162" s="18"/>
      <c r="S1162" s="18"/>
      <c r="T1162" s="17">
        <v>0</v>
      </c>
      <c r="U1162" s="17">
        <v>0</v>
      </c>
      <c r="V1162" s="23">
        <v>1</v>
      </c>
    </row>
    <row r="1163" ht="33" spans="1:22">
      <c r="A1163" s="16">
        <v>12541</v>
      </c>
      <c r="B1163" s="16" t="s">
        <v>132</v>
      </c>
      <c r="C1163" s="27"/>
      <c r="D1163" s="27"/>
      <c r="E1163" s="19">
        <v>0</v>
      </c>
      <c r="F1163" s="19">
        <v>1</v>
      </c>
      <c r="G1163" s="19">
        <v>7</v>
      </c>
      <c r="H1163" s="27"/>
      <c r="I1163" s="27"/>
      <c r="J1163" s="21">
        <v>0</v>
      </c>
      <c r="K1163" s="21">
        <v>150</v>
      </c>
      <c r="L1163" s="21">
        <v>1050</v>
      </c>
      <c r="M1163" s="27"/>
      <c r="N1163" s="31"/>
      <c r="O1163" s="22">
        <v>0</v>
      </c>
      <c r="P1163" s="22">
        <v>0</v>
      </c>
      <c r="Q1163" s="22">
        <v>6</v>
      </c>
      <c r="R1163" s="18"/>
      <c r="S1163" s="18"/>
      <c r="T1163" s="17">
        <v>0</v>
      </c>
      <c r="U1163" s="17">
        <v>1</v>
      </c>
      <c r="V1163" s="23">
        <v>0.538461538461538</v>
      </c>
    </row>
    <row r="1164" ht="33" spans="1:22">
      <c r="A1164" s="16">
        <v>12542</v>
      </c>
      <c r="B1164" s="16" t="s">
        <v>133</v>
      </c>
      <c r="C1164" s="27"/>
      <c r="D1164" s="27"/>
      <c r="E1164" s="19">
        <v>0</v>
      </c>
      <c r="F1164" s="19">
        <v>0</v>
      </c>
      <c r="G1164" s="19">
        <v>0</v>
      </c>
      <c r="H1164" s="27"/>
      <c r="I1164" s="27"/>
      <c r="J1164" s="21">
        <v>0</v>
      </c>
      <c r="K1164" s="21">
        <v>0</v>
      </c>
      <c r="L1164" s="21">
        <v>0</v>
      </c>
      <c r="M1164" s="27"/>
      <c r="N1164" s="31"/>
      <c r="O1164" s="22">
        <v>0</v>
      </c>
      <c r="P1164" s="22">
        <v>0</v>
      </c>
      <c r="Q1164" s="22">
        <v>1</v>
      </c>
      <c r="R1164" s="18"/>
      <c r="S1164" s="18"/>
      <c r="T1164" s="17">
        <v>0</v>
      </c>
      <c r="U1164" s="17">
        <v>0</v>
      </c>
      <c r="V1164" s="23">
        <v>0</v>
      </c>
    </row>
    <row r="1165" ht="33" spans="1:22">
      <c r="A1165" s="16">
        <v>12543</v>
      </c>
      <c r="B1165" s="16" t="s">
        <v>134</v>
      </c>
      <c r="C1165" s="27"/>
      <c r="D1165" s="27"/>
      <c r="E1165" s="19">
        <v>0</v>
      </c>
      <c r="F1165" s="19">
        <v>0</v>
      </c>
      <c r="G1165" s="19">
        <v>2</v>
      </c>
      <c r="H1165" s="27"/>
      <c r="I1165" s="27"/>
      <c r="J1165" s="21">
        <v>0</v>
      </c>
      <c r="K1165" s="21">
        <v>0</v>
      </c>
      <c r="L1165" s="21">
        <v>300</v>
      </c>
      <c r="M1165" s="27"/>
      <c r="N1165" s="31"/>
      <c r="O1165" s="22">
        <v>0</v>
      </c>
      <c r="P1165" s="22">
        <v>0</v>
      </c>
      <c r="Q1165" s="22">
        <v>0</v>
      </c>
      <c r="R1165" s="18"/>
      <c r="S1165" s="18"/>
      <c r="T1165" s="17">
        <v>0</v>
      </c>
      <c r="U1165" s="17">
        <v>0</v>
      </c>
      <c r="V1165" s="23">
        <v>1</v>
      </c>
    </row>
    <row r="1166" ht="33" spans="1:22">
      <c r="A1166" s="16">
        <v>12544</v>
      </c>
      <c r="B1166" s="16" t="s">
        <v>135</v>
      </c>
      <c r="C1166" s="27"/>
      <c r="D1166" s="27"/>
      <c r="E1166" s="19">
        <v>0</v>
      </c>
      <c r="F1166" s="19">
        <v>1</v>
      </c>
      <c r="G1166" s="19">
        <v>8</v>
      </c>
      <c r="H1166" s="27"/>
      <c r="I1166" s="27"/>
      <c r="J1166" s="21">
        <v>0</v>
      </c>
      <c r="K1166" s="21">
        <v>150</v>
      </c>
      <c r="L1166" s="21">
        <v>1200</v>
      </c>
      <c r="M1166" s="27"/>
      <c r="N1166" s="31"/>
      <c r="O1166" s="22">
        <v>0</v>
      </c>
      <c r="P1166" s="22">
        <v>0</v>
      </c>
      <c r="Q1166" s="22">
        <v>1</v>
      </c>
      <c r="R1166" s="18"/>
      <c r="S1166" s="18"/>
      <c r="T1166" s="17">
        <v>0</v>
      </c>
      <c r="U1166" s="17">
        <v>1</v>
      </c>
      <c r="V1166" s="23">
        <v>0.888888888888889</v>
      </c>
    </row>
    <row r="1167" ht="33" spans="1:22">
      <c r="A1167" s="16">
        <v>12612</v>
      </c>
      <c r="B1167" s="16" t="s">
        <v>136</v>
      </c>
      <c r="C1167" s="27"/>
      <c r="D1167" s="27"/>
      <c r="E1167" s="19">
        <v>0</v>
      </c>
      <c r="F1167" s="19">
        <v>0</v>
      </c>
      <c r="G1167" s="19">
        <v>2</v>
      </c>
      <c r="H1167" s="27"/>
      <c r="I1167" s="27"/>
      <c r="J1167" s="21">
        <v>0</v>
      </c>
      <c r="K1167" s="21">
        <v>0</v>
      </c>
      <c r="L1167" s="21">
        <v>330</v>
      </c>
      <c r="M1167" s="27"/>
      <c r="N1167" s="31"/>
      <c r="O1167" s="22">
        <v>0</v>
      </c>
      <c r="P1167" s="22">
        <v>0</v>
      </c>
      <c r="Q1167" s="22">
        <v>0</v>
      </c>
      <c r="R1167" s="18"/>
      <c r="S1167" s="18"/>
      <c r="T1167" s="17">
        <v>0</v>
      </c>
      <c r="U1167" s="17">
        <v>0</v>
      </c>
      <c r="V1167" s="23">
        <v>1</v>
      </c>
    </row>
    <row r="1168" ht="33" spans="1:22">
      <c r="A1168" s="16">
        <v>12651</v>
      </c>
      <c r="B1168" s="16" t="s">
        <v>138</v>
      </c>
      <c r="C1168" s="27"/>
      <c r="D1168" s="27"/>
      <c r="E1168" s="19">
        <v>0</v>
      </c>
      <c r="F1168" s="19">
        <v>2</v>
      </c>
      <c r="G1168" s="19">
        <v>8</v>
      </c>
      <c r="H1168" s="27"/>
      <c r="I1168" s="27"/>
      <c r="J1168" s="21">
        <v>0</v>
      </c>
      <c r="K1168" s="21">
        <v>178</v>
      </c>
      <c r="L1168" s="21">
        <v>712</v>
      </c>
      <c r="M1168" s="27"/>
      <c r="N1168" s="31"/>
      <c r="O1168" s="22">
        <v>0</v>
      </c>
      <c r="P1168" s="22">
        <v>5</v>
      </c>
      <c r="Q1168" s="22">
        <v>9</v>
      </c>
      <c r="R1168" s="18"/>
      <c r="S1168" s="18"/>
      <c r="T1168" s="17">
        <v>0</v>
      </c>
      <c r="U1168" s="17">
        <v>0.285714285714286</v>
      </c>
      <c r="V1168" s="23">
        <v>0.470588235294118</v>
      </c>
    </row>
    <row r="1169" ht="33" spans="1:22">
      <c r="A1169" s="16">
        <v>12604</v>
      </c>
      <c r="B1169" s="16" t="s">
        <v>139</v>
      </c>
      <c r="C1169" s="27"/>
      <c r="D1169" s="27"/>
      <c r="E1169" s="19">
        <v>0</v>
      </c>
      <c r="F1169" s="19">
        <v>0</v>
      </c>
      <c r="G1169" s="19">
        <v>2</v>
      </c>
      <c r="H1169" s="27"/>
      <c r="I1169" s="27"/>
      <c r="J1169" s="21">
        <v>0</v>
      </c>
      <c r="K1169" s="21">
        <v>0</v>
      </c>
      <c r="L1169" s="21">
        <v>284</v>
      </c>
      <c r="M1169" s="27"/>
      <c r="N1169" s="31"/>
      <c r="O1169" s="22">
        <v>0</v>
      </c>
      <c r="P1169" s="22">
        <v>0</v>
      </c>
      <c r="Q1169" s="22">
        <v>7</v>
      </c>
      <c r="R1169" s="18"/>
      <c r="S1169" s="18"/>
      <c r="T1169" s="17">
        <v>0</v>
      </c>
      <c r="U1169" s="17">
        <v>0</v>
      </c>
      <c r="V1169" s="23">
        <v>0.222222222222222</v>
      </c>
    </row>
    <row r="1170" ht="33" spans="1:22">
      <c r="A1170" s="16">
        <v>12526</v>
      </c>
      <c r="B1170" s="16" t="s">
        <v>140</v>
      </c>
      <c r="C1170" s="27"/>
      <c r="D1170" s="27"/>
      <c r="E1170" s="19">
        <v>0</v>
      </c>
      <c r="F1170" s="19">
        <v>0</v>
      </c>
      <c r="G1170" s="19">
        <v>4</v>
      </c>
      <c r="H1170" s="27"/>
      <c r="I1170" s="27"/>
      <c r="J1170" s="21">
        <v>0</v>
      </c>
      <c r="K1170" s="21">
        <v>0</v>
      </c>
      <c r="L1170" s="21">
        <v>620</v>
      </c>
      <c r="M1170" s="27"/>
      <c r="N1170" s="31"/>
      <c r="O1170" s="22">
        <v>0</v>
      </c>
      <c r="P1170" s="22">
        <v>0</v>
      </c>
      <c r="Q1170" s="22">
        <v>0</v>
      </c>
      <c r="R1170" s="18"/>
      <c r="S1170" s="18"/>
      <c r="T1170" s="17">
        <v>0</v>
      </c>
      <c r="U1170" s="17">
        <v>0</v>
      </c>
      <c r="V1170" s="23">
        <v>1</v>
      </c>
    </row>
    <row r="1171" ht="33" spans="1:22">
      <c r="A1171" s="16">
        <v>12590</v>
      </c>
      <c r="B1171" s="16" t="s">
        <v>141</v>
      </c>
      <c r="C1171" s="27"/>
      <c r="D1171" s="27"/>
      <c r="E1171" s="19">
        <v>0</v>
      </c>
      <c r="F1171" s="19">
        <v>0</v>
      </c>
      <c r="G1171" s="19">
        <v>6</v>
      </c>
      <c r="H1171" s="27"/>
      <c r="I1171" s="27"/>
      <c r="J1171" s="21">
        <v>0</v>
      </c>
      <c r="K1171" s="21">
        <v>0</v>
      </c>
      <c r="L1171" s="21">
        <v>750</v>
      </c>
      <c r="M1171" s="27"/>
      <c r="N1171" s="31"/>
      <c r="O1171" s="22">
        <v>0</v>
      </c>
      <c r="P1171" s="22">
        <v>2</v>
      </c>
      <c r="Q1171" s="22">
        <v>3</v>
      </c>
      <c r="R1171" s="18"/>
      <c r="S1171" s="18"/>
      <c r="T1171" s="18"/>
      <c r="U1171" s="17">
        <v>0</v>
      </c>
      <c r="V1171" s="23">
        <v>0.666666666666667</v>
      </c>
    </row>
    <row r="1172" ht="33" spans="1:22">
      <c r="A1172" s="16">
        <v>12586</v>
      </c>
      <c r="B1172" s="16" t="s">
        <v>142</v>
      </c>
      <c r="C1172" s="27"/>
      <c r="D1172" s="27"/>
      <c r="E1172" s="19">
        <v>0</v>
      </c>
      <c r="F1172" s="19">
        <v>1</v>
      </c>
      <c r="G1172" s="19">
        <v>11</v>
      </c>
      <c r="H1172" s="27"/>
      <c r="I1172" s="27"/>
      <c r="J1172" s="21">
        <v>0</v>
      </c>
      <c r="K1172" s="21">
        <v>70</v>
      </c>
      <c r="L1172" s="21">
        <v>769.74</v>
      </c>
      <c r="M1172" s="27"/>
      <c r="N1172" s="31"/>
      <c r="O1172" s="22">
        <v>0</v>
      </c>
      <c r="P1172" s="22">
        <v>1</v>
      </c>
      <c r="Q1172" s="22">
        <v>1</v>
      </c>
      <c r="R1172" s="18"/>
      <c r="S1172" s="18"/>
      <c r="T1172" s="18"/>
      <c r="U1172" s="17">
        <v>0.5</v>
      </c>
      <c r="V1172" s="23">
        <v>0.916666666666667</v>
      </c>
    </row>
    <row r="1173" ht="33" spans="1:22">
      <c r="A1173" s="16">
        <v>12615</v>
      </c>
      <c r="B1173" s="16" t="s">
        <v>143</v>
      </c>
      <c r="C1173" s="27"/>
      <c r="D1173" s="27"/>
      <c r="E1173" s="19">
        <v>0</v>
      </c>
      <c r="F1173" s="19">
        <v>0</v>
      </c>
      <c r="G1173" s="19">
        <v>1</v>
      </c>
      <c r="H1173" s="27"/>
      <c r="I1173" s="27"/>
      <c r="J1173" s="21">
        <v>0</v>
      </c>
      <c r="K1173" s="21">
        <v>0</v>
      </c>
      <c r="L1173" s="21">
        <v>95</v>
      </c>
      <c r="M1173" s="27"/>
      <c r="N1173" s="31"/>
      <c r="O1173" s="22">
        <v>0</v>
      </c>
      <c r="P1173" s="22">
        <v>0</v>
      </c>
      <c r="Q1173" s="22">
        <v>0</v>
      </c>
      <c r="R1173" s="18"/>
      <c r="S1173" s="18"/>
      <c r="T1173" s="18"/>
      <c r="U1173" s="17">
        <v>0</v>
      </c>
      <c r="V1173" s="23">
        <v>1</v>
      </c>
    </row>
    <row r="1174" ht="33" spans="1:22">
      <c r="A1174" s="16">
        <v>12616</v>
      </c>
      <c r="B1174" s="16" t="s">
        <v>144</v>
      </c>
      <c r="C1174" s="27"/>
      <c r="D1174" s="27"/>
      <c r="E1174" s="19">
        <v>0</v>
      </c>
      <c r="F1174" s="19">
        <v>0</v>
      </c>
      <c r="G1174" s="19">
        <v>3</v>
      </c>
      <c r="H1174" s="27"/>
      <c r="I1174" s="27"/>
      <c r="J1174" s="21">
        <v>0</v>
      </c>
      <c r="K1174" s="21">
        <v>0</v>
      </c>
      <c r="L1174" s="21">
        <v>285</v>
      </c>
      <c r="M1174" s="27"/>
      <c r="N1174" s="31"/>
      <c r="O1174" s="22">
        <v>0</v>
      </c>
      <c r="P1174" s="22">
        <v>0</v>
      </c>
      <c r="Q1174" s="22">
        <v>1</v>
      </c>
      <c r="R1174" s="18"/>
      <c r="S1174" s="18"/>
      <c r="T1174" s="18"/>
      <c r="U1174" s="17">
        <v>0</v>
      </c>
      <c r="V1174" s="23">
        <v>0.75</v>
      </c>
    </row>
    <row r="1175" ht="33" spans="1:22">
      <c r="A1175" s="16">
        <v>12572</v>
      </c>
      <c r="B1175" s="16" t="s">
        <v>145</v>
      </c>
      <c r="C1175" s="27"/>
      <c r="D1175" s="27"/>
      <c r="E1175" s="19">
        <v>0</v>
      </c>
      <c r="F1175" s="19">
        <v>0</v>
      </c>
      <c r="G1175" s="19">
        <v>4</v>
      </c>
      <c r="H1175" s="27"/>
      <c r="I1175" s="27"/>
      <c r="J1175" s="21">
        <v>0</v>
      </c>
      <c r="K1175" s="21">
        <v>0</v>
      </c>
      <c r="L1175" s="21">
        <v>240</v>
      </c>
      <c r="M1175" s="27"/>
      <c r="N1175" s="31"/>
      <c r="O1175" s="22">
        <v>0</v>
      </c>
      <c r="P1175" s="22">
        <v>0</v>
      </c>
      <c r="Q1175" s="22">
        <v>7</v>
      </c>
      <c r="R1175" s="18"/>
      <c r="S1175" s="18"/>
      <c r="T1175" s="18"/>
      <c r="U1175" s="17">
        <v>0</v>
      </c>
      <c r="V1175" s="23">
        <v>0.363636363636364</v>
      </c>
    </row>
    <row r="1176" ht="33" spans="1:22">
      <c r="A1176" s="16">
        <v>12573</v>
      </c>
      <c r="B1176" s="16" t="s">
        <v>146</v>
      </c>
      <c r="C1176" s="27"/>
      <c r="D1176" s="27"/>
      <c r="E1176" s="19">
        <v>0</v>
      </c>
      <c r="F1176" s="19">
        <v>0</v>
      </c>
      <c r="G1176" s="19">
        <v>4</v>
      </c>
      <c r="H1176" s="27"/>
      <c r="I1176" s="27"/>
      <c r="J1176" s="21">
        <v>0</v>
      </c>
      <c r="K1176" s="21">
        <v>0</v>
      </c>
      <c r="L1176" s="21">
        <v>240</v>
      </c>
      <c r="M1176" s="27"/>
      <c r="N1176" s="31"/>
      <c r="O1176" s="22">
        <v>0</v>
      </c>
      <c r="P1176" s="22">
        <v>0</v>
      </c>
      <c r="Q1176" s="22">
        <v>7</v>
      </c>
      <c r="R1176" s="18"/>
      <c r="S1176" s="18"/>
      <c r="T1176" s="18"/>
      <c r="U1176" s="17">
        <v>0</v>
      </c>
      <c r="V1176" s="23">
        <v>0.363636363636364</v>
      </c>
    </row>
    <row r="1177" ht="33" spans="1:22">
      <c r="A1177" s="16">
        <v>12650</v>
      </c>
      <c r="B1177" s="16" t="s">
        <v>147</v>
      </c>
      <c r="C1177" s="27"/>
      <c r="D1177" s="27"/>
      <c r="E1177" s="19">
        <v>0</v>
      </c>
      <c r="F1177" s="19">
        <v>0</v>
      </c>
      <c r="G1177" s="19">
        <v>2</v>
      </c>
      <c r="H1177" s="27"/>
      <c r="I1177" s="27"/>
      <c r="J1177" s="21">
        <v>0</v>
      </c>
      <c r="K1177" s="21">
        <v>0</v>
      </c>
      <c r="L1177" s="21">
        <v>159.8</v>
      </c>
      <c r="M1177" s="27"/>
      <c r="N1177" s="31"/>
      <c r="O1177" s="22">
        <v>0</v>
      </c>
      <c r="P1177" s="22">
        <v>0</v>
      </c>
      <c r="Q1177" s="22">
        <v>1</v>
      </c>
      <c r="R1177" s="18"/>
      <c r="S1177" s="18"/>
      <c r="T1177" s="18"/>
      <c r="U1177" s="17">
        <v>0</v>
      </c>
      <c r="V1177" s="23">
        <v>0.666666666666667</v>
      </c>
    </row>
    <row r="1178" ht="33" spans="1:22">
      <c r="A1178" s="16">
        <v>12649</v>
      </c>
      <c r="B1178" s="16" t="s">
        <v>148</v>
      </c>
      <c r="C1178" s="27"/>
      <c r="D1178" s="27"/>
      <c r="E1178" s="19">
        <v>0</v>
      </c>
      <c r="F1178" s="19">
        <v>0</v>
      </c>
      <c r="G1178" s="19">
        <v>4</v>
      </c>
      <c r="H1178" s="27"/>
      <c r="I1178" s="27"/>
      <c r="J1178" s="21">
        <v>0</v>
      </c>
      <c r="K1178" s="21">
        <v>0</v>
      </c>
      <c r="L1178" s="21">
        <v>480</v>
      </c>
      <c r="M1178" s="27"/>
      <c r="N1178" s="31"/>
      <c r="O1178" s="22">
        <v>0</v>
      </c>
      <c r="P1178" s="22">
        <v>0</v>
      </c>
      <c r="Q1178" s="22">
        <v>1</v>
      </c>
      <c r="R1178" s="18"/>
      <c r="S1178" s="18"/>
      <c r="T1178" s="18"/>
      <c r="U1178" s="17">
        <v>0</v>
      </c>
      <c r="V1178" s="23">
        <v>0.8</v>
      </c>
    </row>
    <row r="1179" ht="33" spans="1:22">
      <c r="A1179" s="16">
        <v>12629</v>
      </c>
      <c r="B1179" s="16" t="s">
        <v>156</v>
      </c>
      <c r="C1179" s="27"/>
      <c r="D1179" s="27"/>
      <c r="E1179" s="19">
        <v>0</v>
      </c>
      <c r="F1179" s="19">
        <v>0</v>
      </c>
      <c r="G1179" s="19">
        <v>7</v>
      </c>
      <c r="H1179" s="27"/>
      <c r="I1179" s="27"/>
      <c r="J1179" s="21">
        <v>0</v>
      </c>
      <c r="K1179" s="21">
        <v>0</v>
      </c>
      <c r="L1179" s="21">
        <v>245</v>
      </c>
      <c r="M1179" s="27"/>
      <c r="N1179" s="31"/>
      <c r="O1179" s="22">
        <v>0</v>
      </c>
      <c r="P1179" s="22">
        <v>0</v>
      </c>
      <c r="Q1179" s="22">
        <v>74</v>
      </c>
      <c r="R1179" s="18"/>
      <c r="S1179" s="18"/>
      <c r="T1179" s="18"/>
      <c r="U1179" s="17">
        <v>0</v>
      </c>
      <c r="V1179" s="23">
        <v>0.0864197530864197</v>
      </c>
    </row>
    <row r="1180" ht="33" spans="1:22">
      <c r="A1180" s="16">
        <v>12591</v>
      </c>
      <c r="B1180" s="16" t="s">
        <v>157</v>
      </c>
      <c r="C1180" s="27"/>
      <c r="D1180" s="27"/>
      <c r="E1180" s="19">
        <v>0</v>
      </c>
      <c r="F1180" s="19">
        <v>0</v>
      </c>
      <c r="G1180" s="19">
        <v>6</v>
      </c>
      <c r="H1180" s="27"/>
      <c r="I1180" s="27"/>
      <c r="J1180" s="21">
        <v>0</v>
      </c>
      <c r="K1180" s="21">
        <v>0</v>
      </c>
      <c r="L1180" s="21">
        <v>750</v>
      </c>
      <c r="M1180" s="27"/>
      <c r="N1180" s="31"/>
      <c r="O1180" s="22">
        <v>0</v>
      </c>
      <c r="P1180" s="22">
        <v>0</v>
      </c>
      <c r="Q1180" s="22">
        <v>5</v>
      </c>
      <c r="R1180" s="18"/>
      <c r="S1180" s="18"/>
      <c r="T1180" s="18"/>
      <c r="U1180" s="17">
        <v>0</v>
      </c>
      <c r="V1180" s="23">
        <v>0.545454545454545</v>
      </c>
    </row>
    <row r="1181" ht="33" spans="1:22">
      <c r="A1181" s="16">
        <v>12606</v>
      </c>
      <c r="B1181" s="16" t="s">
        <v>158</v>
      </c>
      <c r="C1181" s="27"/>
      <c r="D1181" s="27"/>
      <c r="E1181" s="19">
        <v>0</v>
      </c>
      <c r="F1181" s="19">
        <v>0</v>
      </c>
      <c r="G1181" s="19">
        <v>0</v>
      </c>
      <c r="H1181" s="27"/>
      <c r="I1181" s="27"/>
      <c r="J1181" s="21">
        <v>0</v>
      </c>
      <c r="K1181" s="21">
        <v>0</v>
      </c>
      <c r="L1181" s="21">
        <v>0</v>
      </c>
      <c r="M1181" s="27"/>
      <c r="N1181" s="31"/>
      <c r="O1181" s="22">
        <v>0</v>
      </c>
      <c r="P1181" s="22">
        <v>0</v>
      </c>
      <c r="Q1181" s="22">
        <v>0</v>
      </c>
      <c r="R1181" s="18"/>
      <c r="S1181" s="18"/>
      <c r="T1181" s="18"/>
      <c r="U1181" s="17">
        <v>0</v>
      </c>
      <c r="V1181" s="23" t="s">
        <v>106</v>
      </c>
    </row>
    <row r="1182" ht="33" spans="1:22">
      <c r="A1182" s="16">
        <v>12614</v>
      </c>
      <c r="B1182" s="16" t="s">
        <v>159</v>
      </c>
      <c r="C1182" s="27"/>
      <c r="D1182" s="27"/>
      <c r="E1182" s="19">
        <v>0</v>
      </c>
      <c r="F1182" s="19">
        <v>0</v>
      </c>
      <c r="G1182" s="19">
        <v>8</v>
      </c>
      <c r="H1182" s="27"/>
      <c r="I1182" s="27"/>
      <c r="J1182" s="21">
        <v>0</v>
      </c>
      <c r="K1182" s="21">
        <v>0</v>
      </c>
      <c r="L1182" s="21">
        <v>1032</v>
      </c>
      <c r="M1182" s="27"/>
      <c r="N1182" s="31"/>
      <c r="O1182" s="22">
        <v>0</v>
      </c>
      <c r="P1182" s="22">
        <v>0</v>
      </c>
      <c r="Q1182" s="22">
        <v>20</v>
      </c>
      <c r="R1182" s="18"/>
      <c r="S1182" s="18"/>
      <c r="T1182" s="18"/>
      <c r="U1182" s="17">
        <v>0</v>
      </c>
      <c r="V1182" s="23">
        <v>0.285714285714286</v>
      </c>
    </row>
    <row r="1183" ht="33" spans="1:22">
      <c r="A1183" s="16">
        <v>12632</v>
      </c>
      <c r="B1183" s="16" t="s">
        <v>149</v>
      </c>
      <c r="C1183" s="27"/>
      <c r="D1183" s="27"/>
      <c r="E1183" s="19">
        <v>0</v>
      </c>
      <c r="F1183" s="19">
        <v>0</v>
      </c>
      <c r="G1183" s="19">
        <v>0</v>
      </c>
      <c r="H1183" s="27"/>
      <c r="I1183" s="27"/>
      <c r="J1183" s="21">
        <v>0</v>
      </c>
      <c r="K1183" s="21">
        <v>0</v>
      </c>
      <c r="L1183" s="21">
        <v>0</v>
      </c>
      <c r="M1183" s="27"/>
      <c r="N1183" s="31"/>
      <c r="O1183" s="22">
        <v>0</v>
      </c>
      <c r="P1183" s="22">
        <v>0</v>
      </c>
      <c r="Q1183" s="22">
        <v>0</v>
      </c>
      <c r="R1183" s="18"/>
      <c r="S1183" s="18"/>
      <c r="T1183" s="18"/>
      <c r="U1183" s="17">
        <v>0</v>
      </c>
      <c r="V1183" s="23" t="s">
        <v>106</v>
      </c>
    </row>
    <row r="1184" ht="33" spans="1:22">
      <c r="A1184" s="16">
        <v>12631</v>
      </c>
      <c r="B1184" s="16" t="s">
        <v>150</v>
      </c>
      <c r="C1184" s="27"/>
      <c r="D1184" s="27"/>
      <c r="E1184" s="19">
        <v>0</v>
      </c>
      <c r="F1184" s="19">
        <v>1</v>
      </c>
      <c r="G1184" s="19">
        <v>17</v>
      </c>
      <c r="H1184" s="27"/>
      <c r="I1184" s="27"/>
      <c r="J1184" s="21">
        <v>0</v>
      </c>
      <c r="K1184" s="21">
        <v>125</v>
      </c>
      <c r="L1184" s="21">
        <v>2125</v>
      </c>
      <c r="M1184" s="27"/>
      <c r="N1184" s="31"/>
      <c r="O1184" s="22">
        <v>0</v>
      </c>
      <c r="P1184" s="22">
        <v>0</v>
      </c>
      <c r="Q1184" s="22">
        <v>0</v>
      </c>
      <c r="R1184" s="18"/>
      <c r="S1184" s="18"/>
      <c r="T1184" s="18"/>
      <c r="U1184" s="17">
        <v>1</v>
      </c>
      <c r="V1184" s="23">
        <v>1</v>
      </c>
    </row>
    <row r="1185" ht="33" spans="1:22">
      <c r="A1185" s="16">
        <v>12630</v>
      </c>
      <c r="B1185" s="16" t="s">
        <v>151</v>
      </c>
      <c r="C1185" s="27"/>
      <c r="D1185" s="27"/>
      <c r="E1185" s="19">
        <v>0</v>
      </c>
      <c r="F1185" s="19">
        <v>0</v>
      </c>
      <c r="G1185" s="19">
        <v>4</v>
      </c>
      <c r="H1185" s="27"/>
      <c r="I1185" s="27"/>
      <c r="J1185" s="21">
        <v>0</v>
      </c>
      <c r="K1185" s="21">
        <v>0</v>
      </c>
      <c r="L1185" s="21">
        <v>980</v>
      </c>
      <c r="M1185" s="27"/>
      <c r="N1185" s="31"/>
      <c r="O1185" s="22">
        <v>0</v>
      </c>
      <c r="P1185" s="22">
        <v>0</v>
      </c>
      <c r="Q1185" s="22">
        <v>0</v>
      </c>
      <c r="R1185" s="18"/>
      <c r="S1185" s="18"/>
      <c r="T1185" s="18"/>
      <c r="U1185" s="17">
        <v>0</v>
      </c>
      <c r="V1185" s="23">
        <v>1</v>
      </c>
    </row>
    <row r="1186" ht="33" spans="1:22">
      <c r="A1186" s="16">
        <v>12587</v>
      </c>
      <c r="B1186" s="16" t="s">
        <v>152</v>
      </c>
      <c r="C1186" s="27"/>
      <c r="D1186" s="27"/>
      <c r="E1186" s="19">
        <v>0</v>
      </c>
      <c r="F1186" s="19">
        <v>1</v>
      </c>
      <c r="G1186" s="19">
        <v>11</v>
      </c>
      <c r="H1186" s="27"/>
      <c r="I1186" s="27"/>
      <c r="J1186" s="21">
        <v>0</v>
      </c>
      <c r="K1186" s="21">
        <v>38</v>
      </c>
      <c r="L1186" s="21">
        <v>468.87</v>
      </c>
      <c r="M1186" s="27"/>
      <c r="N1186" s="31"/>
      <c r="O1186" s="22">
        <v>0</v>
      </c>
      <c r="P1186" s="22">
        <v>0</v>
      </c>
      <c r="Q1186" s="22">
        <v>8</v>
      </c>
      <c r="R1186" s="18"/>
      <c r="S1186" s="18"/>
      <c r="T1186" s="18"/>
      <c r="U1186" s="17">
        <v>1</v>
      </c>
      <c r="V1186" s="23">
        <v>0.578947368421053</v>
      </c>
    </row>
    <row r="1187" ht="33" spans="1:22">
      <c r="A1187" s="16">
        <v>12569</v>
      </c>
      <c r="B1187" s="16" t="s">
        <v>153</v>
      </c>
      <c r="C1187" s="27"/>
      <c r="D1187" s="27"/>
      <c r="E1187" s="19">
        <v>0</v>
      </c>
      <c r="F1187" s="19">
        <v>0</v>
      </c>
      <c r="G1187" s="19">
        <v>1</v>
      </c>
      <c r="H1187" s="27"/>
      <c r="I1187" s="27"/>
      <c r="J1187" s="21">
        <v>0</v>
      </c>
      <c r="K1187" s="21">
        <v>0</v>
      </c>
      <c r="L1187" s="21">
        <v>45</v>
      </c>
      <c r="M1187" s="27"/>
      <c r="N1187" s="31"/>
      <c r="O1187" s="22">
        <v>0</v>
      </c>
      <c r="P1187" s="22">
        <v>0</v>
      </c>
      <c r="Q1187" s="22">
        <v>11</v>
      </c>
      <c r="R1187" s="18"/>
      <c r="S1187" s="18"/>
      <c r="T1187" s="18"/>
      <c r="U1187" s="17">
        <v>0</v>
      </c>
      <c r="V1187" s="23">
        <v>0.0833333333333333</v>
      </c>
    </row>
    <row r="1188" ht="33" spans="1:22">
      <c r="A1188" s="16">
        <v>12575</v>
      </c>
      <c r="B1188" s="16" t="s">
        <v>154</v>
      </c>
      <c r="C1188" s="27"/>
      <c r="D1188" s="27"/>
      <c r="E1188" s="19">
        <v>0</v>
      </c>
      <c r="F1188" s="19">
        <v>0</v>
      </c>
      <c r="G1188" s="19">
        <v>2</v>
      </c>
      <c r="H1188" s="27"/>
      <c r="I1188" s="27"/>
      <c r="J1188" s="21">
        <v>0</v>
      </c>
      <c r="K1188" s="21">
        <v>0</v>
      </c>
      <c r="L1188" s="21">
        <v>130</v>
      </c>
      <c r="M1188" s="27"/>
      <c r="N1188" s="31"/>
      <c r="O1188" s="22">
        <v>0</v>
      </c>
      <c r="P1188" s="22">
        <v>0</v>
      </c>
      <c r="Q1188" s="22">
        <v>0</v>
      </c>
      <c r="R1188" s="18"/>
      <c r="S1188" s="18"/>
      <c r="T1188" s="18"/>
      <c r="U1188" s="17">
        <v>0</v>
      </c>
      <c r="V1188" s="23">
        <v>1</v>
      </c>
    </row>
    <row r="1189" ht="33" spans="1:22">
      <c r="A1189" s="16">
        <v>12574</v>
      </c>
      <c r="B1189" s="16" t="s">
        <v>155</v>
      </c>
      <c r="C1189" s="27"/>
      <c r="D1189" s="27"/>
      <c r="E1189" s="19">
        <v>0</v>
      </c>
      <c r="F1189" s="19">
        <v>0</v>
      </c>
      <c r="G1189" s="19">
        <v>4</v>
      </c>
      <c r="H1189" s="27"/>
      <c r="I1189" s="27"/>
      <c r="J1189" s="21">
        <v>0</v>
      </c>
      <c r="K1189" s="21">
        <v>0</v>
      </c>
      <c r="L1189" s="21">
        <v>260</v>
      </c>
      <c r="M1189" s="27"/>
      <c r="N1189" s="31"/>
      <c r="O1189" s="22">
        <v>0</v>
      </c>
      <c r="P1189" s="22">
        <v>0</v>
      </c>
      <c r="Q1189" s="22">
        <v>1</v>
      </c>
      <c r="R1189" s="18"/>
      <c r="S1189" s="18"/>
      <c r="T1189" s="18"/>
      <c r="U1189" s="17">
        <v>0</v>
      </c>
      <c r="V1189" s="23">
        <v>0.8</v>
      </c>
    </row>
    <row r="1190" ht="33" spans="1:22">
      <c r="A1190" s="16">
        <v>12532</v>
      </c>
      <c r="B1190" s="16" t="s">
        <v>160</v>
      </c>
      <c r="C1190" s="27"/>
      <c r="D1190" s="27"/>
      <c r="E1190" s="27"/>
      <c r="F1190" s="27"/>
      <c r="G1190" s="19">
        <v>0</v>
      </c>
      <c r="H1190" s="27"/>
      <c r="I1190" s="27"/>
      <c r="J1190" s="27"/>
      <c r="K1190" s="27"/>
      <c r="L1190" s="21">
        <v>0</v>
      </c>
      <c r="M1190" s="27"/>
      <c r="N1190" s="31"/>
      <c r="O1190" s="27"/>
      <c r="P1190" s="27"/>
      <c r="Q1190" s="22">
        <v>2</v>
      </c>
      <c r="R1190" s="18"/>
      <c r="S1190" s="18"/>
      <c r="T1190" s="18"/>
      <c r="U1190" s="18"/>
      <c r="V1190" s="23">
        <v>0</v>
      </c>
    </row>
    <row r="1191" ht="33" spans="1:22">
      <c r="A1191" s="16">
        <v>12713</v>
      </c>
      <c r="B1191" s="16" t="s">
        <v>162</v>
      </c>
      <c r="C1191" s="27"/>
      <c r="D1191" s="27"/>
      <c r="E1191" s="27"/>
      <c r="F1191" s="27"/>
      <c r="G1191" s="19">
        <v>5</v>
      </c>
      <c r="H1191" s="27"/>
      <c r="I1191" s="27"/>
      <c r="J1191" s="27"/>
      <c r="K1191" s="27"/>
      <c r="L1191" s="21">
        <v>695</v>
      </c>
      <c r="M1191" s="27"/>
      <c r="N1191" s="31"/>
      <c r="O1191" s="27"/>
      <c r="P1191" s="27"/>
      <c r="Q1191" s="22">
        <v>3</v>
      </c>
      <c r="R1191" s="18"/>
      <c r="S1191" s="18"/>
      <c r="T1191" s="18"/>
      <c r="U1191" s="18"/>
      <c r="V1191" s="23">
        <v>0.625</v>
      </c>
    </row>
    <row r="1192" ht="33" spans="1:22">
      <c r="A1192" s="16">
        <v>12732</v>
      </c>
      <c r="B1192" s="16" t="s">
        <v>163</v>
      </c>
      <c r="C1192" s="27"/>
      <c r="D1192" s="27"/>
      <c r="E1192" s="27"/>
      <c r="F1192" s="27"/>
      <c r="G1192" s="19">
        <v>1</v>
      </c>
      <c r="H1192" s="27"/>
      <c r="I1192" s="27"/>
      <c r="J1192" s="27"/>
      <c r="K1192" s="27"/>
      <c r="L1192" s="21">
        <v>109</v>
      </c>
      <c r="M1192" s="27"/>
      <c r="N1192" s="31"/>
      <c r="O1192" s="27"/>
      <c r="P1192" s="27"/>
      <c r="Q1192" s="22">
        <v>0</v>
      </c>
      <c r="R1192" s="18"/>
      <c r="S1192" s="18"/>
      <c r="T1192" s="18"/>
      <c r="U1192" s="18"/>
      <c r="V1192" s="23">
        <v>1</v>
      </c>
    </row>
    <row r="1193" ht="33" spans="1:22">
      <c r="A1193" s="16">
        <v>12658</v>
      </c>
      <c r="B1193" s="16" t="s">
        <v>164</v>
      </c>
      <c r="C1193" s="27"/>
      <c r="D1193" s="27"/>
      <c r="E1193" s="27"/>
      <c r="F1193" s="27"/>
      <c r="G1193" s="19">
        <v>11</v>
      </c>
      <c r="H1193" s="27"/>
      <c r="I1193" s="27"/>
      <c r="J1193" s="27"/>
      <c r="K1193" s="27"/>
      <c r="L1193" s="21">
        <v>1023</v>
      </c>
      <c r="M1193" s="27"/>
      <c r="N1193" s="31"/>
      <c r="O1193" s="27"/>
      <c r="P1193" s="27"/>
      <c r="Q1193" s="22">
        <v>6</v>
      </c>
      <c r="R1193" s="18"/>
      <c r="S1193" s="18"/>
      <c r="T1193" s="18"/>
      <c r="U1193" s="18"/>
      <c r="V1193" s="23">
        <v>0.647058823529412</v>
      </c>
    </row>
    <row r="1194" ht="33" spans="1:22">
      <c r="A1194" s="16">
        <v>12741</v>
      </c>
      <c r="B1194" s="16" t="s">
        <v>165</v>
      </c>
      <c r="C1194" s="27"/>
      <c r="D1194" s="27"/>
      <c r="E1194" s="27"/>
      <c r="F1194" s="27"/>
      <c r="G1194" s="19">
        <v>1</v>
      </c>
      <c r="H1194" s="27"/>
      <c r="I1194" s="27"/>
      <c r="J1194" s="27"/>
      <c r="K1194" s="27"/>
      <c r="L1194" s="21">
        <v>96</v>
      </c>
      <c r="M1194" s="27"/>
      <c r="N1194" s="31"/>
      <c r="O1194" s="27"/>
      <c r="P1194" s="27"/>
      <c r="Q1194" s="22">
        <v>2</v>
      </c>
      <c r="R1194" s="18"/>
      <c r="S1194" s="18"/>
      <c r="T1194" s="18"/>
      <c r="U1194" s="18"/>
      <c r="V1194" s="23">
        <v>0.333333333333333</v>
      </c>
    </row>
    <row r="1195" ht="33" spans="1:22">
      <c r="A1195" s="16">
        <v>12740</v>
      </c>
      <c r="B1195" s="16" t="s">
        <v>166</v>
      </c>
      <c r="C1195" s="27"/>
      <c r="D1195" s="27"/>
      <c r="E1195" s="27"/>
      <c r="F1195" s="27"/>
      <c r="G1195" s="19">
        <v>3</v>
      </c>
      <c r="H1195" s="27"/>
      <c r="I1195" s="27"/>
      <c r="J1195" s="27"/>
      <c r="K1195" s="27"/>
      <c r="L1195" s="21">
        <v>297</v>
      </c>
      <c r="M1195" s="27"/>
      <c r="N1195" s="31"/>
      <c r="O1195" s="27"/>
      <c r="P1195" s="27"/>
      <c r="Q1195" s="22">
        <v>0</v>
      </c>
      <c r="R1195" s="18"/>
      <c r="S1195" s="18"/>
      <c r="T1195" s="18"/>
      <c r="U1195" s="18"/>
      <c r="V1195" s="23">
        <v>1</v>
      </c>
    </row>
    <row r="1196" ht="33" spans="1:22">
      <c r="A1196" s="16">
        <v>12743</v>
      </c>
      <c r="B1196" s="16" t="s">
        <v>167</v>
      </c>
      <c r="C1196" s="27"/>
      <c r="D1196" s="27"/>
      <c r="E1196" s="27"/>
      <c r="F1196" s="27"/>
      <c r="G1196" s="19">
        <v>2</v>
      </c>
      <c r="H1196" s="27"/>
      <c r="I1196" s="27"/>
      <c r="J1196" s="27"/>
      <c r="K1196" s="27"/>
      <c r="L1196" s="21">
        <v>240</v>
      </c>
      <c r="M1196" s="27"/>
      <c r="N1196" s="31"/>
      <c r="O1196" s="27"/>
      <c r="P1196" s="27"/>
      <c r="Q1196" s="22">
        <v>2</v>
      </c>
      <c r="R1196" s="18"/>
      <c r="S1196" s="18"/>
      <c r="T1196" s="18"/>
      <c r="U1196" s="18"/>
      <c r="V1196" s="23">
        <v>0.5</v>
      </c>
    </row>
    <row r="1197" ht="33" spans="1:22">
      <c r="A1197" s="16">
        <v>12742</v>
      </c>
      <c r="B1197" s="16" t="s">
        <v>168</v>
      </c>
      <c r="C1197" s="27"/>
      <c r="D1197" s="27"/>
      <c r="E1197" s="27"/>
      <c r="F1197" s="27"/>
      <c r="G1197" s="19">
        <v>0</v>
      </c>
      <c r="H1197" s="27"/>
      <c r="I1197" s="27"/>
      <c r="J1197" s="27"/>
      <c r="K1197" s="27"/>
      <c r="L1197" s="21">
        <v>0</v>
      </c>
      <c r="M1197" s="27"/>
      <c r="N1197" s="31"/>
      <c r="O1197" s="27"/>
      <c r="P1197" s="27"/>
      <c r="Q1197" s="22">
        <v>0</v>
      </c>
      <c r="R1197" s="18"/>
      <c r="S1197" s="18"/>
      <c r="T1197" s="18"/>
      <c r="U1197" s="18"/>
      <c r="V1197" s="23" t="s">
        <v>106</v>
      </c>
    </row>
    <row r="1198" ht="33" spans="1:22">
      <c r="A1198" s="16">
        <v>12595</v>
      </c>
      <c r="B1198" s="16" t="s">
        <v>169</v>
      </c>
      <c r="C1198" s="27"/>
      <c r="D1198" s="27"/>
      <c r="E1198" s="27"/>
      <c r="F1198" s="27"/>
      <c r="G1198" s="19">
        <v>6</v>
      </c>
      <c r="H1198" s="27"/>
      <c r="I1198" s="27"/>
      <c r="J1198" s="27"/>
      <c r="K1198" s="27"/>
      <c r="L1198" s="21">
        <v>570</v>
      </c>
      <c r="M1198" s="27"/>
      <c r="N1198" s="31"/>
      <c r="O1198" s="27"/>
      <c r="P1198" s="27"/>
      <c r="Q1198" s="22">
        <v>2</v>
      </c>
      <c r="R1198" s="18"/>
      <c r="S1198" s="18"/>
      <c r="T1198" s="18"/>
      <c r="U1198" s="18"/>
      <c r="V1198" s="23">
        <v>0.75</v>
      </c>
    </row>
    <row r="1199" ht="33" spans="1:22">
      <c r="A1199" s="16">
        <v>12588</v>
      </c>
      <c r="B1199" s="16" t="s">
        <v>170</v>
      </c>
      <c r="C1199" s="27"/>
      <c r="D1199" s="27"/>
      <c r="E1199" s="27"/>
      <c r="F1199" s="27"/>
      <c r="G1199" s="19">
        <v>2</v>
      </c>
      <c r="H1199" s="27"/>
      <c r="I1199" s="27"/>
      <c r="J1199" s="27"/>
      <c r="K1199" s="27"/>
      <c r="L1199" s="21">
        <v>210</v>
      </c>
      <c r="M1199" s="27"/>
      <c r="N1199" s="31"/>
      <c r="O1199" s="27"/>
      <c r="P1199" s="27"/>
      <c r="Q1199" s="22">
        <v>29</v>
      </c>
      <c r="R1199" s="18"/>
      <c r="S1199" s="18"/>
      <c r="T1199" s="18"/>
      <c r="U1199" s="18"/>
      <c r="V1199" s="23">
        <v>0.0645161290322581</v>
      </c>
    </row>
    <row r="1200" ht="33" spans="1:22">
      <c r="A1200" s="16">
        <v>12596</v>
      </c>
      <c r="B1200" s="16" t="s">
        <v>171</v>
      </c>
      <c r="C1200" s="27"/>
      <c r="D1200" s="27"/>
      <c r="E1200" s="27"/>
      <c r="F1200" s="27"/>
      <c r="G1200" s="19">
        <v>7</v>
      </c>
      <c r="H1200" s="27"/>
      <c r="I1200" s="27"/>
      <c r="J1200" s="27"/>
      <c r="K1200" s="27"/>
      <c r="L1200" s="21">
        <v>805</v>
      </c>
      <c r="M1200" s="27"/>
      <c r="N1200" s="31"/>
      <c r="O1200" s="27"/>
      <c r="P1200" s="27"/>
      <c r="Q1200" s="22">
        <v>4</v>
      </c>
      <c r="R1200" s="18"/>
      <c r="S1200" s="18"/>
      <c r="T1200" s="18"/>
      <c r="U1200" s="18"/>
      <c r="V1200" s="23">
        <v>0.636363636363636</v>
      </c>
    </row>
    <row r="1201" ht="33" spans="1:22">
      <c r="A1201" s="16">
        <v>12589</v>
      </c>
      <c r="B1201" s="16" t="s">
        <v>172</v>
      </c>
      <c r="C1201" s="27"/>
      <c r="D1201" s="27"/>
      <c r="E1201" s="27"/>
      <c r="F1201" s="27"/>
      <c r="G1201" s="19">
        <v>2</v>
      </c>
      <c r="H1201" s="27"/>
      <c r="I1201" s="27"/>
      <c r="J1201" s="27"/>
      <c r="K1201" s="27"/>
      <c r="L1201" s="21">
        <v>250</v>
      </c>
      <c r="M1201" s="27"/>
      <c r="N1201" s="31"/>
      <c r="O1201" s="27"/>
      <c r="P1201" s="27"/>
      <c r="Q1201" s="22">
        <v>8</v>
      </c>
      <c r="R1201" s="18"/>
      <c r="S1201" s="18"/>
      <c r="T1201" s="18"/>
      <c r="U1201" s="18"/>
      <c r="V1201" s="23">
        <v>0.2</v>
      </c>
    </row>
    <row r="1202" ht="33" spans="1:22">
      <c r="A1202" s="16">
        <v>12597</v>
      </c>
      <c r="B1202" s="16" t="s">
        <v>173</v>
      </c>
      <c r="C1202" s="27"/>
      <c r="D1202" s="27"/>
      <c r="E1202" s="27"/>
      <c r="F1202" s="27"/>
      <c r="G1202" s="19">
        <v>2</v>
      </c>
      <c r="H1202" s="27"/>
      <c r="I1202" s="27"/>
      <c r="J1202" s="27"/>
      <c r="K1202" s="27"/>
      <c r="L1202" s="21">
        <v>230</v>
      </c>
      <c r="M1202" s="27"/>
      <c r="N1202" s="31"/>
      <c r="O1202" s="27"/>
      <c r="P1202" s="27"/>
      <c r="Q1202" s="22">
        <v>1</v>
      </c>
      <c r="R1202" s="18"/>
      <c r="S1202" s="18"/>
      <c r="T1202" s="18"/>
      <c r="U1202" s="18"/>
      <c r="V1202" s="23">
        <v>0.666666666666667</v>
      </c>
    </row>
    <row r="1203" ht="33" spans="1:22">
      <c r="A1203" s="16">
        <v>12598</v>
      </c>
      <c r="B1203" s="16" t="s">
        <v>174</v>
      </c>
      <c r="C1203" s="27"/>
      <c r="D1203" s="27"/>
      <c r="E1203" s="27"/>
      <c r="F1203" s="27"/>
      <c r="G1203" s="19">
        <v>1</v>
      </c>
      <c r="H1203" s="27"/>
      <c r="I1203" s="27"/>
      <c r="J1203" s="27"/>
      <c r="K1203" s="27"/>
      <c r="L1203" s="21">
        <v>100</v>
      </c>
      <c r="M1203" s="27"/>
      <c r="N1203" s="31"/>
      <c r="O1203" s="27"/>
      <c r="P1203" s="27"/>
      <c r="Q1203" s="22">
        <v>9</v>
      </c>
      <c r="R1203" s="18"/>
      <c r="S1203" s="18"/>
      <c r="T1203" s="18"/>
      <c r="U1203" s="18"/>
      <c r="V1203" s="23">
        <v>0.1</v>
      </c>
    </row>
    <row r="1204" ht="33" spans="1:22">
      <c r="A1204" s="16">
        <v>12833</v>
      </c>
      <c r="B1204" s="16" t="s">
        <v>176</v>
      </c>
      <c r="C1204" s="27"/>
      <c r="D1204" s="27"/>
      <c r="E1204" s="27"/>
      <c r="F1204" s="27"/>
      <c r="G1204" s="19">
        <v>25</v>
      </c>
      <c r="H1204" s="27"/>
      <c r="I1204" s="27"/>
      <c r="J1204" s="27"/>
      <c r="K1204" s="27"/>
      <c r="L1204" s="21">
        <v>2200</v>
      </c>
      <c r="M1204" s="27"/>
      <c r="N1204" s="31"/>
      <c r="O1204" s="27"/>
      <c r="P1204" s="27"/>
      <c r="Q1204" s="22">
        <v>7</v>
      </c>
      <c r="R1204" s="18"/>
      <c r="S1204" s="18"/>
      <c r="T1204" s="18"/>
      <c r="U1204" s="18"/>
      <c r="V1204" s="23">
        <v>0.78125</v>
      </c>
    </row>
    <row r="1205" ht="33" spans="1:22">
      <c r="A1205" s="16">
        <v>12519</v>
      </c>
      <c r="B1205" s="16" t="s">
        <v>177</v>
      </c>
      <c r="C1205" s="27"/>
      <c r="D1205" s="27"/>
      <c r="E1205" s="27"/>
      <c r="F1205" s="27"/>
      <c r="G1205" s="19">
        <v>3</v>
      </c>
      <c r="H1205" s="27"/>
      <c r="I1205" s="27"/>
      <c r="J1205" s="27"/>
      <c r="K1205" s="27"/>
      <c r="L1205" s="21">
        <v>327</v>
      </c>
      <c r="M1205" s="27"/>
      <c r="N1205" s="31"/>
      <c r="O1205" s="27"/>
      <c r="P1205" s="27"/>
      <c r="Q1205" s="22">
        <v>0</v>
      </c>
      <c r="R1205" s="18"/>
      <c r="S1205" s="18"/>
      <c r="T1205" s="18"/>
      <c r="U1205" s="18"/>
      <c r="V1205" s="23">
        <v>1</v>
      </c>
    </row>
    <row r="1206" ht="33" spans="1:22">
      <c r="A1206" s="16">
        <v>12686</v>
      </c>
      <c r="B1206" s="16" t="s">
        <v>178</v>
      </c>
      <c r="C1206" s="27"/>
      <c r="D1206" s="27"/>
      <c r="E1206" s="27"/>
      <c r="F1206" s="27"/>
      <c r="G1206" s="19">
        <v>7</v>
      </c>
      <c r="H1206" s="27"/>
      <c r="I1206" s="27"/>
      <c r="J1206" s="27"/>
      <c r="K1206" s="27"/>
      <c r="L1206" s="21">
        <v>385</v>
      </c>
      <c r="M1206" s="27"/>
      <c r="N1206" s="31"/>
      <c r="O1206" s="27"/>
      <c r="P1206" s="27"/>
      <c r="Q1206" s="22">
        <v>0</v>
      </c>
      <c r="R1206" s="18"/>
      <c r="S1206" s="18"/>
      <c r="T1206" s="18"/>
      <c r="U1206" s="18"/>
      <c r="V1206" s="23">
        <v>1</v>
      </c>
    </row>
    <row r="1207" ht="33" spans="1:22">
      <c r="A1207" s="16">
        <v>12687</v>
      </c>
      <c r="B1207" s="16" t="s">
        <v>179</v>
      </c>
      <c r="C1207" s="27"/>
      <c r="D1207" s="27"/>
      <c r="E1207" s="27"/>
      <c r="F1207" s="27"/>
      <c r="G1207" s="19">
        <v>4</v>
      </c>
      <c r="H1207" s="27"/>
      <c r="I1207" s="27"/>
      <c r="J1207" s="27"/>
      <c r="K1207" s="27"/>
      <c r="L1207" s="21">
        <v>220</v>
      </c>
      <c r="M1207" s="27"/>
      <c r="N1207" s="31"/>
      <c r="O1207" s="27"/>
      <c r="P1207" s="27"/>
      <c r="Q1207" s="22">
        <v>0</v>
      </c>
      <c r="R1207" s="18"/>
      <c r="S1207" s="18"/>
      <c r="T1207" s="18"/>
      <c r="U1207" s="18"/>
      <c r="V1207" s="23">
        <v>1</v>
      </c>
    </row>
    <row r="1208" ht="33" spans="1:22">
      <c r="A1208" s="16">
        <v>12701</v>
      </c>
      <c r="B1208" s="16" t="s">
        <v>180</v>
      </c>
      <c r="C1208" s="27"/>
      <c r="D1208" s="27"/>
      <c r="E1208" s="27"/>
      <c r="F1208" s="27"/>
      <c r="G1208" s="19">
        <v>6</v>
      </c>
      <c r="H1208" s="27"/>
      <c r="I1208" s="27"/>
      <c r="J1208" s="27"/>
      <c r="K1208" s="27"/>
      <c r="L1208" s="21">
        <v>570</v>
      </c>
      <c r="M1208" s="27"/>
      <c r="N1208" s="31"/>
      <c r="O1208" s="27"/>
      <c r="P1208" s="27"/>
      <c r="Q1208" s="22">
        <v>0</v>
      </c>
      <c r="R1208" s="18"/>
      <c r="S1208" s="18"/>
      <c r="T1208" s="18"/>
      <c r="U1208" s="18"/>
      <c r="V1208" s="23">
        <v>1</v>
      </c>
    </row>
    <row r="1209" ht="33" spans="1:22">
      <c r="A1209" s="16">
        <v>12700</v>
      </c>
      <c r="B1209" s="16" t="s">
        <v>181</v>
      </c>
      <c r="C1209" s="27"/>
      <c r="D1209" s="27"/>
      <c r="E1209" s="27"/>
      <c r="F1209" s="27"/>
      <c r="G1209" s="19">
        <v>6</v>
      </c>
      <c r="H1209" s="27"/>
      <c r="I1209" s="27"/>
      <c r="J1209" s="27"/>
      <c r="K1209" s="27"/>
      <c r="L1209" s="21">
        <v>570</v>
      </c>
      <c r="M1209" s="27"/>
      <c r="N1209" s="31"/>
      <c r="O1209" s="27"/>
      <c r="P1209" s="27"/>
      <c r="Q1209" s="22">
        <v>0</v>
      </c>
      <c r="R1209" s="18"/>
      <c r="S1209" s="18"/>
      <c r="T1209" s="18"/>
      <c r="U1209" s="18"/>
      <c r="V1209" s="23">
        <v>1</v>
      </c>
    </row>
    <row r="1210" ht="33" spans="1:22">
      <c r="A1210" s="16">
        <v>12779</v>
      </c>
      <c r="B1210" s="16" t="s">
        <v>182</v>
      </c>
      <c r="C1210" s="27"/>
      <c r="D1210" s="27"/>
      <c r="E1210" s="27"/>
      <c r="F1210" s="27"/>
      <c r="G1210" s="19">
        <v>0</v>
      </c>
      <c r="H1210" s="27"/>
      <c r="I1210" s="27"/>
      <c r="J1210" s="27"/>
      <c r="K1210" s="27"/>
      <c r="L1210" s="21">
        <v>0</v>
      </c>
      <c r="M1210" s="27"/>
      <c r="N1210" s="31"/>
      <c r="O1210" s="27"/>
      <c r="P1210" s="27"/>
      <c r="Q1210" s="22">
        <v>5</v>
      </c>
      <c r="R1210" s="18"/>
      <c r="S1210" s="18"/>
      <c r="T1210" s="18"/>
      <c r="U1210" s="18"/>
      <c r="V1210" s="23">
        <v>0</v>
      </c>
    </row>
    <row r="1211" ht="33" spans="1:22">
      <c r="A1211" s="16">
        <v>12602</v>
      </c>
      <c r="B1211" s="16" t="s">
        <v>183</v>
      </c>
      <c r="C1211" s="27"/>
      <c r="D1211" s="27"/>
      <c r="E1211" s="27"/>
      <c r="F1211" s="27"/>
      <c r="G1211" s="19">
        <v>2</v>
      </c>
      <c r="H1211" s="27"/>
      <c r="I1211" s="27"/>
      <c r="J1211" s="27"/>
      <c r="K1211" s="27"/>
      <c r="L1211" s="21">
        <v>234</v>
      </c>
      <c r="M1211" s="27"/>
      <c r="N1211" s="31"/>
      <c r="O1211" s="27"/>
      <c r="P1211" s="27"/>
      <c r="Q1211" s="22">
        <v>2</v>
      </c>
      <c r="R1211" s="18"/>
      <c r="S1211" s="18"/>
      <c r="T1211" s="18"/>
      <c r="U1211" s="18"/>
      <c r="V1211" s="23">
        <v>0.5</v>
      </c>
    </row>
    <row r="1212" ht="33" spans="1:22">
      <c r="A1212" s="16">
        <v>12786</v>
      </c>
      <c r="B1212" s="16" t="s">
        <v>184</v>
      </c>
      <c r="C1212" s="27"/>
      <c r="D1212" s="27"/>
      <c r="E1212" s="27"/>
      <c r="F1212" s="27"/>
      <c r="G1212" s="19">
        <v>1</v>
      </c>
      <c r="H1212" s="27"/>
      <c r="I1212" s="27"/>
      <c r="J1212" s="27"/>
      <c r="K1212" s="27"/>
      <c r="L1212" s="21">
        <v>150</v>
      </c>
      <c r="M1212" s="27"/>
      <c r="N1212" s="31"/>
      <c r="O1212" s="27"/>
      <c r="P1212" s="27"/>
      <c r="Q1212" s="22">
        <v>0</v>
      </c>
      <c r="R1212" s="18"/>
      <c r="S1212" s="18"/>
      <c r="T1212" s="18"/>
      <c r="U1212" s="18"/>
      <c r="V1212" s="23">
        <v>1</v>
      </c>
    </row>
    <row r="1213" ht="33" spans="1:22">
      <c r="A1213" s="16">
        <v>12840</v>
      </c>
      <c r="B1213" s="16" t="s">
        <v>185</v>
      </c>
      <c r="C1213" s="27"/>
      <c r="D1213" s="27"/>
      <c r="E1213" s="27"/>
      <c r="F1213" s="27"/>
      <c r="G1213" s="19">
        <v>1</v>
      </c>
      <c r="H1213" s="27"/>
      <c r="I1213" s="27"/>
      <c r="J1213" s="27"/>
      <c r="K1213" s="27"/>
      <c r="L1213" s="21">
        <v>140</v>
      </c>
      <c r="M1213" s="27"/>
      <c r="N1213" s="31"/>
      <c r="O1213" s="27"/>
      <c r="P1213" s="27"/>
      <c r="Q1213" s="22">
        <v>0</v>
      </c>
      <c r="R1213" s="18"/>
      <c r="S1213" s="18"/>
      <c r="T1213" s="18"/>
      <c r="U1213" s="18"/>
      <c r="V1213" s="23">
        <v>1</v>
      </c>
    </row>
    <row r="1214" ht="16.5" spans="1:22">
      <c r="A1214" s="16">
        <v>12892</v>
      </c>
      <c r="B1214" s="16" t="s">
        <v>186</v>
      </c>
      <c r="C1214" s="27"/>
      <c r="D1214" s="27"/>
      <c r="E1214" s="27"/>
      <c r="F1214" s="27"/>
      <c r="G1214" s="19">
        <v>1</v>
      </c>
      <c r="H1214" s="27"/>
      <c r="I1214" s="27"/>
      <c r="J1214" s="27"/>
      <c r="K1214" s="27"/>
      <c r="L1214" s="21">
        <v>71</v>
      </c>
      <c r="M1214" s="27"/>
      <c r="N1214" s="31"/>
      <c r="O1214" s="27"/>
      <c r="P1214" s="27"/>
      <c r="Q1214" s="22">
        <v>3</v>
      </c>
      <c r="R1214" s="18"/>
      <c r="S1214" s="18"/>
      <c r="T1214" s="18"/>
      <c r="U1214" s="18"/>
      <c r="V1214" s="23">
        <v>0.25</v>
      </c>
    </row>
    <row r="1215" ht="33" spans="1:22">
      <c r="A1215" s="16">
        <v>12781</v>
      </c>
      <c r="B1215" s="16" t="s">
        <v>187</v>
      </c>
      <c r="C1215" s="27"/>
      <c r="D1215" s="27"/>
      <c r="E1215" s="27"/>
      <c r="F1215" s="27"/>
      <c r="G1215" s="19">
        <v>1</v>
      </c>
      <c r="H1215" s="27"/>
      <c r="I1215" s="27"/>
      <c r="J1215" s="27"/>
      <c r="K1215" s="27"/>
      <c r="L1215" s="21">
        <v>189.05</v>
      </c>
      <c r="M1215" s="27"/>
      <c r="N1215" s="31"/>
      <c r="O1215" s="27"/>
      <c r="P1215" s="27"/>
      <c r="Q1215" s="22">
        <v>0</v>
      </c>
      <c r="R1215" s="18"/>
      <c r="S1215" s="18"/>
      <c r="T1215" s="18"/>
      <c r="U1215" s="18"/>
      <c r="V1215" s="23">
        <v>1</v>
      </c>
    </row>
    <row r="1216" ht="33" spans="1:22">
      <c r="A1216" s="16">
        <v>12778</v>
      </c>
      <c r="B1216" s="16" t="s">
        <v>188</v>
      </c>
      <c r="C1216" s="27"/>
      <c r="D1216" s="27"/>
      <c r="E1216" s="27"/>
      <c r="F1216" s="27"/>
      <c r="G1216" s="19">
        <v>1</v>
      </c>
      <c r="H1216" s="27"/>
      <c r="I1216" s="27"/>
      <c r="J1216" s="27"/>
      <c r="K1216" s="27"/>
      <c r="L1216" s="21">
        <v>189.05</v>
      </c>
      <c r="M1216" s="27"/>
      <c r="N1216" s="31"/>
      <c r="O1216" s="27"/>
      <c r="P1216" s="27"/>
      <c r="Q1216" s="22">
        <v>0</v>
      </c>
      <c r="R1216" s="18"/>
      <c r="S1216" s="18"/>
      <c r="T1216" s="18"/>
      <c r="U1216" s="18"/>
      <c r="V1216" s="23">
        <v>1</v>
      </c>
    </row>
    <row r="1217" ht="33" spans="1:22">
      <c r="A1217" s="16">
        <v>12714</v>
      </c>
      <c r="B1217" s="16" t="s">
        <v>189</v>
      </c>
      <c r="C1217" s="27"/>
      <c r="D1217" s="27"/>
      <c r="E1217" s="27"/>
      <c r="F1217" s="27"/>
      <c r="G1217" s="19">
        <v>2</v>
      </c>
      <c r="H1217" s="27"/>
      <c r="I1217" s="27"/>
      <c r="J1217" s="27"/>
      <c r="K1217" s="27"/>
      <c r="L1217" s="21">
        <v>210</v>
      </c>
      <c r="M1217" s="27"/>
      <c r="N1217" s="31"/>
      <c r="O1217" s="27"/>
      <c r="P1217" s="27"/>
      <c r="Q1217" s="22">
        <v>11</v>
      </c>
      <c r="R1217" s="18"/>
      <c r="S1217" s="18"/>
      <c r="T1217" s="18"/>
      <c r="U1217" s="18"/>
      <c r="V1217" s="23">
        <v>0.153846153846154</v>
      </c>
    </row>
    <row r="1218" ht="33" spans="1:22">
      <c r="A1218" s="16">
        <v>12761</v>
      </c>
      <c r="B1218" s="16" t="s">
        <v>190</v>
      </c>
      <c r="C1218" s="27"/>
      <c r="D1218" s="27"/>
      <c r="E1218" s="27"/>
      <c r="F1218" s="27"/>
      <c r="G1218" s="19">
        <v>5</v>
      </c>
      <c r="H1218" s="27"/>
      <c r="I1218" s="27"/>
      <c r="J1218" s="27"/>
      <c r="K1218" s="27"/>
      <c r="L1218" s="21">
        <v>750</v>
      </c>
      <c r="M1218" s="27"/>
      <c r="N1218" s="31"/>
      <c r="O1218" s="27"/>
      <c r="P1218" s="27"/>
      <c r="Q1218" s="22">
        <v>0</v>
      </c>
      <c r="R1218" s="18"/>
      <c r="S1218" s="18"/>
      <c r="T1218" s="18"/>
      <c r="U1218" s="18"/>
      <c r="V1218" s="23">
        <v>1</v>
      </c>
    </row>
    <row r="1219" ht="33" spans="1:22">
      <c r="A1219" s="16">
        <v>12771</v>
      </c>
      <c r="B1219" s="16" t="s">
        <v>191</v>
      </c>
      <c r="C1219" s="27"/>
      <c r="D1219" s="27"/>
      <c r="E1219" s="27"/>
      <c r="F1219" s="27"/>
      <c r="G1219" s="19">
        <v>1</v>
      </c>
      <c r="H1219" s="27"/>
      <c r="I1219" s="27"/>
      <c r="J1219" s="27"/>
      <c r="K1219" s="27"/>
      <c r="L1219" s="21">
        <v>130</v>
      </c>
      <c r="M1219" s="27"/>
      <c r="N1219" s="31"/>
      <c r="O1219" s="27"/>
      <c r="P1219" s="27"/>
      <c r="Q1219" s="22">
        <v>39</v>
      </c>
      <c r="R1219" s="18"/>
      <c r="S1219" s="18"/>
      <c r="T1219" s="18"/>
      <c r="U1219" s="18"/>
      <c r="V1219" s="23">
        <v>0.025</v>
      </c>
    </row>
    <row r="1220" ht="33" spans="1:22">
      <c r="A1220" s="16">
        <v>12715</v>
      </c>
      <c r="B1220" s="16" t="s">
        <v>192</v>
      </c>
      <c r="C1220" s="27"/>
      <c r="D1220" s="27"/>
      <c r="E1220" s="27"/>
      <c r="F1220" s="27"/>
      <c r="G1220" s="19">
        <v>5</v>
      </c>
      <c r="H1220" s="27"/>
      <c r="I1220" s="27"/>
      <c r="J1220" s="27"/>
      <c r="K1220" s="27"/>
      <c r="L1220" s="21">
        <v>373.7</v>
      </c>
      <c r="M1220" s="27"/>
      <c r="N1220" s="31"/>
      <c r="O1220" s="27"/>
      <c r="P1220" s="27"/>
      <c r="Q1220" s="22">
        <v>41</v>
      </c>
      <c r="R1220" s="18"/>
      <c r="S1220" s="18"/>
      <c r="T1220" s="18"/>
      <c r="U1220" s="18"/>
      <c r="V1220" s="23">
        <v>0.108695652173913</v>
      </c>
    </row>
    <row r="1221" ht="33" spans="1:22">
      <c r="A1221" s="16">
        <v>12762</v>
      </c>
      <c r="B1221" s="16" t="s">
        <v>193</v>
      </c>
      <c r="C1221" s="27"/>
      <c r="D1221" s="27"/>
      <c r="E1221" s="27"/>
      <c r="F1221" s="27"/>
      <c r="G1221" s="19">
        <v>3</v>
      </c>
      <c r="H1221" s="27"/>
      <c r="I1221" s="27"/>
      <c r="J1221" s="27"/>
      <c r="K1221" s="27"/>
      <c r="L1221" s="21">
        <v>211.8</v>
      </c>
      <c r="M1221" s="27"/>
      <c r="N1221" s="31"/>
      <c r="O1221" s="27"/>
      <c r="P1221" s="27"/>
      <c r="Q1221" s="22">
        <v>34</v>
      </c>
      <c r="R1221" s="18"/>
      <c r="S1221" s="18"/>
      <c r="T1221" s="18"/>
      <c r="U1221" s="18"/>
      <c r="V1221" s="23">
        <v>0.0810810810810811</v>
      </c>
    </row>
    <row r="1222" ht="33" spans="1:22">
      <c r="A1222" s="16">
        <v>12726</v>
      </c>
      <c r="B1222" s="16" t="s">
        <v>194</v>
      </c>
      <c r="C1222" s="27"/>
      <c r="D1222" s="27"/>
      <c r="E1222" s="27"/>
      <c r="F1222" s="27"/>
      <c r="G1222" s="19">
        <v>0</v>
      </c>
      <c r="H1222" s="27"/>
      <c r="I1222" s="27"/>
      <c r="J1222" s="27"/>
      <c r="K1222" s="27"/>
      <c r="L1222" s="21">
        <v>0</v>
      </c>
      <c r="M1222" s="27"/>
      <c r="N1222" s="31"/>
      <c r="O1222" s="27"/>
      <c r="P1222" s="27"/>
      <c r="Q1222" s="22">
        <v>1</v>
      </c>
      <c r="R1222" s="18"/>
      <c r="S1222" s="18"/>
      <c r="T1222" s="18"/>
      <c r="U1222" s="18"/>
      <c r="V1222" s="23">
        <v>0</v>
      </c>
    </row>
    <row r="1223" ht="33" spans="1:22">
      <c r="A1223" s="16">
        <v>12605</v>
      </c>
      <c r="B1223" s="16" t="s">
        <v>195</v>
      </c>
      <c r="C1223" s="27"/>
      <c r="D1223" s="27"/>
      <c r="E1223" s="27"/>
      <c r="F1223" s="27"/>
      <c r="G1223" s="19">
        <v>1</v>
      </c>
      <c r="H1223" s="27"/>
      <c r="I1223" s="27"/>
      <c r="J1223" s="27"/>
      <c r="K1223" s="27"/>
      <c r="L1223" s="21">
        <v>180</v>
      </c>
      <c r="M1223" s="27"/>
      <c r="N1223" s="31"/>
      <c r="O1223" s="27"/>
      <c r="P1223" s="27"/>
      <c r="Q1223" s="22">
        <v>0</v>
      </c>
      <c r="R1223" s="18"/>
      <c r="S1223" s="18"/>
      <c r="T1223" s="18"/>
      <c r="U1223" s="18"/>
      <c r="V1223" s="23">
        <v>1</v>
      </c>
    </row>
    <row r="1224" ht="33" spans="1:22">
      <c r="A1224" s="16">
        <v>12708</v>
      </c>
      <c r="B1224" s="16" t="s">
        <v>196</v>
      </c>
      <c r="C1224" s="27"/>
      <c r="D1224" s="27"/>
      <c r="E1224" s="27"/>
      <c r="F1224" s="27"/>
      <c r="G1224" s="19">
        <v>0</v>
      </c>
      <c r="H1224" s="27"/>
      <c r="I1224" s="27"/>
      <c r="J1224" s="27"/>
      <c r="K1224" s="27"/>
      <c r="L1224" s="21">
        <v>0</v>
      </c>
      <c r="M1224" s="27"/>
      <c r="N1224" s="31"/>
      <c r="O1224" s="27"/>
      <c r="P1224" s="27"/>
      <c r="Q1224" s="22">
        <v>2</v>
      </c>
      <c r="R1224" s="18"/>
      <c r="S1224" s="18"/>
      <c r="T1224" s="18"/>
      <c r="U1224" s="18"/>
      <c r="V1224" s="23">
        <v>0</v>
      </c>
    </row>
    <row r="1225" ht="33" spans="1:22">
      <c r="A1225" s="16">
        <v>12527</v>
      </c>
      <c r="B1225" s="16" t="s">
        <v>197</v>
      </c>
      <c r="C1225" s="27"/>
      <c r="D1225" s="27"/>
      <c r="E1225" s="27"/>
      <c r="F1225" s="27"/>
      <c r="G1225" s="19">
        <v>0</v>
      </c>
      <c r="H1225" s="27"/>
      <c r="I1225" s="27"/>
      <c r="J1225" s="27"/>
      <c r="K1225" s="27"/>
      <c r="L1225" s="21">
        <v>0</v>
      </c>
      <c r="M1225" s="27"/>
      <c r="N1225" s="31"/>
      <c r="O1225" s="27"/>
      <c r="P1225" s="27"/>
      <c r="Q1225" s="22">
        <v>1</v>
      </c>
      <c r="R1225" s="18"/>
      <c r="S1225" s="18"/>
      <c r="T1225" s="18"/>
      <c r="U1225" s="18"/>
      <c r="V1225" s="23">
        <v>0</v>
      </c>
    </row>
    <row r="1226" ht="16.5" spans="1:22">
      <c r="A1226" s="16">
        <v>12838</v>
      </c>
      <c r="B1226" s="16" t="e">
        <v>#N/A</v>
      </c>
      <c r="C1226" s="27"/>
      <c r="D1226" s="27"/>
      <c r="E1226" s="27"/>
      <c r="F1226" s="27"/>
      <c r="G1226" s="19">
        <v>0</v>
      </c>
      <c r="H1226" s="27"/>
      <c r="I1226" s="27"/>
      <c r="J1226" s="27"/>
      <c r="K1226" s="27"/>
      <c r="L1226" s="21">
        <v>0</v>
      </c>
      <c r="M1226" s="27"/>
      <c r="N1226" s="31"/>
      <c r="O1226" s="27"/>
      <c r="P1226" s="27"/>
      <c r="Q1226" s="22" t="e">
        <v>#N/A</v>
      </c>
      <c r="R1226" s="18"/>
      <c r="S1226" s="18"/>
      <c r="T1226" s="18"/>
      <c r="U1226" s="18"/>
      <c r="V1226" s="23" t="e">
        <v>#N/A</v>
      </c>
    </row>
    <row r="1227" ht="33" spans="1:22">
      <c r="A1227" s="16">
        <v>12839</v>
      </c>
      <c r="B1227" s="16" t="s">
        <v>198</v>
      </c>
      <c r="C1227" s="27"/>
      <c r="D1227" s="27"/>
      <c r="E1227" s="27"/>
      <c r="F1227" s="27"/>
      <c r="G1227" s="19">
        <v>0</v>
      </c>
      <c r="H1227" s="27"/>
      <c r="I1227" s="27"/>
      <c r="J1227" s="27"/>
      <c r="K1227" s="27"/>
      <c r="L1227" s="21">
        <v>0</v>
      </c>
      <c r="M1227" s="27"/>
      <c r="N1227" s="31"/>
      <c r="O1227" s="27"/>
      <c r="P1227" s="27"/>
      <c r="Q1227" s="22">
        <v>0</v>
      </c>
      <c r="R1227" s="18"/>
      <c r="S1227" s="18"/>
      <c r="T1227" s="18"/>
      <c r="U1227" s="18"/>
      <c r="V1227" s="23" t="s">
        <v>106</v>
      </c>
    </row>
    <row r="1228" ht="33" spans="1:22">
      <c r="A1228" s="16">
        <v>12795</v>
      </c>
      <c r="B1228" s="16" t="s">
        <v>199</v>
      </c>
      <c r="C1228" s="27"/>
      <c r="D1228" s="27"/>
      <c r="E1228" s="27"/>
      <c r="F1228" s="27"/>
      <c r="G1228" s="19">
        <v>0</v>
      </c>
      <c r="H1228" s="27"/>
      <c r="I1228" s="27"/>
      <c r="J1228" s="27"/>
      <c r="K1228" s="27"/>
      <c r="L1228" s="21">
        <v>0</v>
      </c>
      <c r="M1228" s="27"/>
      <c r="N1228" s="31"/>
      <c r="O1228" s="27"/>
      <c r="P1228" s="27"/>
      <c r="Q1228" s="22">
        <v>1</v>
      </c>
      <c r="R1228" s="18"/>
      <c r="S1228" s="18"/>
      <c r="T1228" s="18"/>
      <c r="U1228" s="18"/>
      <c r="V1228" s="23">
        <v>0</v>
      </c>
    </row>
    <row r="1229" ht="33" spans="1:22">
      <c r="A1229" s="16">
        <v>12835</v>
      </c>
      <c r="B1229" s="16" t="s">
        <v>200</v>
      </c>
      <c r="C1229" s="27"/>
      <c r="D1229" s="27"/>
      <c r="E1229" s="27"/>
      <c r="F1229" s="27"/>
      <c r="G1229" s="27"/>
      <c r="H1229" s="27"/>
      <c r="I1229" s="27"/>
      <c r="J1229" s="27"/>
      <c r="K1229" s="27"/>
      <c r="L1229" s="27"/>
      <c r="M1229" s="27"/>
      <c r="N1229" s="31"/>
      <c r="O1229" s="27"/>
      <c r="P1229" s="27"/>
      <c r="Q1229" s="22">
        <v>0</v>
      </c>
      <c r="R1229" s="18"/>
      <c r="S1229" s="18"/>
      <c r="T1229" s="18"/>
      <c r="U1229" s="18"/>
      <c r="V1229" s="23" t="s">
        <v>106</v>
      </c>
    </row>
    <row r="1230" ht="33" spans="1:22">
      <c r="A1230" s="16">
        <v>12725</v>
      </c>
      <c r="B1230" s="16" t="s">
        <v>201</v>
      </c>
      <c r="C1230" s="27"/>
      <c r="D1230" s="27"/>
      <c r="E1230" s="27"/>
      <c r="F1230" s="27"/>
      <c r="G1230" s="27"/>
      <c r="H1230" s="27"/>
      <c r="I1230" s="27"/>
      <c r="J1230" s="27"/>
      <c r="K1230" s="27"/>
      <c r="L1230" s="27"/>
      <c r="M1230" s="27"/>
      <c r="N1230" s="31"/>
      <c r="O1230" s="27"/>
      <c r="P1230" s="27"/>
      <c r="Q1230" s="22">
        <v>0</v>
      </c>
      <c r="R1230" s="18"/>
      <c r="S1230" s="18"/>
      <c r="T1230" s="18"/>
      <c r="U1230" s="18"/>
      <c r="V1230" s="23" t="s">
        <v>106</v>
      </c>
    </row>
    <row r="1231" ht="33" spans="1:22">
      <c r="A1231" s="16">
        <v>12813</v>
      </c>
      <c r="B1231" s="16" t="s">
        <v>202</v>
      </c>
      <c r="C1231" s="27"/>
      <c r="D1231" s="27"/>
      <c r="E1231" s="27"/>
      <c r="F1231" s="27"/>
      <c r="G1231" s="27"/>
      <c r="H1231" s="27"/>
      <c r="I1231" s="27"/>
      <c r="J1231" s="27"/>
      <c r="K1231" s="27"/>
      <c r="L1231" s="27"/>
      <c r="M1231" s="27"/>
      <c r="N1231" s="31"/>
      <c r="O1231" s="27"/>
      <c r="P1231" s="27"/>
      <c r="Q1231" s="22">
        <v>0</v>
      </c>
      <c r="R1231" s="18"/>
      <c r="S1231" s="18"/>
      <c r="T1231" s="18"/>
      <c r="U1231" s="18"/>
      <c r="V1231" s="23" t="s">
        <v>106</v>
      </c>
    </row>
    <row r="1232" ht="16.5" spans="1:22">
      <c r="A1232" s="16">
        <v>12928</v>
      </c>
      <c r="B1232" s="16" t="e">
        <v>#N/A</v>
      </c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31"/>
      <c r="O1232" s="27"/>
      <c r="P1232" s="27"/>
      <c r="Q1232" s="22" t="e">
        <v>#N/A</v>
      </c>
      <c r="R1232" s="18"/>
      <c r="S1232" s="18"/>
      <c r="T1232" s="18"/>
      <c r="U1232" s="18"/>
      <c r="V1232" s="23" t="e">
        <v>#N/A</v>
      </c>
    </row>
    <row r="1233" ht="16.5" spans="1:22">
      <c r="A1233" s="16">
        <v>12927</v>
      </c>
      <c r="B1233" s="16" t="e">
        <v>#N/A</v>
      </c>
      <c r="C1233" s="27"/>
      <c r="D1233" s="27"/>
      <c r="E1233" s="27"/>
      <c r="F1233" s="27"/>
      <c r="G1233" s="27"/>
      <c r="H1233" s="27"/>
      <c r="I1233" s="27"/>
      <c r="J1233" s="27"/>
      <c r="K1233" s="27"/>
      <c r="L1233" s="27"/>
      <c r="M1233" s="27"/>
      <c r="N1233" s="31"/>
      <c r="O1233" s="27"/>
      <c r="P1233" s="27"/>
      <c r="Q1233" s="22" t="e">
        <v>#N/A</v>
      </c>
      <c r="R1233" s="18"/>
      <c r="S1233" s="18"/>
      <c r="T1233" s="18"/>
      <c r="U1233" s="18"/>
      <c r="V1233" s="23" t="e">
        <v>#N/A</v>
      </c>
    </row>
    <row r="1234" ht="16.5" spans="1:22">
      <c r="A1234" s="16">
        <v>12850</v>
      </c>
      <c r="B1234" s="16" t="e">
        <v>#N/A</v>
      </c>
      <c r="C1234" s="27"/>
      <c r="D1234" s="27"/>
      <c r="E1234" s="27"/>
      <c r="F1234" s="27"/>
      <c r="G1234" s="27"/>
      <c r="H1234" s="27"/>
      <c r="I1234" s="27"/>
      <c r="J1234" s="27"/>
      <c r="K1234" s="27"/>
      <c r="L1234" s="27"/>
      <c r="M1234" s="27"/>
      <c r="N1234" s="31"/>
      <c r="O1234" s="27"/>
      <c r="P1234" s="27"/>
      <c r="Q1234" s="22" t="e">
        <v>#N/A</v>
      </c>
      <c r="R1234" s="18"/>
      <c r="S1234" s="18"/>
      <c r="T1234" s="18"/>
      <c r="U1234" s="18"/>
      <c r="V1234" s="23" t="e">
        <v>#N/A</v>
      </c>
    </row>
    <row r="1235" ht="16.5" spans="1:22">
      <c r="A1235" s="16">
        <v>12908</v>
      </c>
      <c r="B1235" s="16" t="e">
        <v>#N/A</v>
      </c>
      <c r="C1235" s="27"/>
      <c r="D1235" s="27"/>
      <c r="E1235" s="27"/>
      <c r="F1235" s="27"/>
      <c r="G1235" s="27"/>
      <c r="H1235" s="27"/>
      <c r="I1235" s="27"/>
      <c r="J1235" s="27"/>
      <c r="K1235" s="27"/>
      <c r="L1235" s="27"/>
      <c r="M1235" s="27"/>
      <c r="N1235" s="31"/>
      <c r="O1235" s="27"/>
      <c r="P1235" s="27"/>
      <c r="Q1235" s="22" t="e">
        <v>#N/A</v>
      </c>
      <c r="R1235" s="18"/>
      <c r="S1235" s="18"/>
      <c r="T1235" s="18"/>
      <c r="U1235" s="18"/>
      <c r="V1235" s="23" t="e">
        <v>#N/A</v>
      </c>
    </row>
    <row r="1236" ht="16.5" spans="1:22">
      <c r="A1236" s="16">
        <v>12907</v>
      </c>
      <c r="B1236" s="16" t="e">
        <v>#N/A</v>
      </c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31"/>
      <c r="O1236" s="27"/>
      <c r="P1236" s="27"/>
      <c r="Q1236" s="22" t="e">
        <v>#N/A</v>
      </c>
      <c r="R1236" s="18"/>
      <c r="S1236" s="18"/>
      <c r="T1236" s="18"/>
      <c r="U1236" s="18"/>
      <c r="V1236" s="23" t="e">
        <v>#N/A</v>
      </c>
    </row>
    <row r="1237" ht="16.5" spans="1:22">
      <c r="A1237" s="16">
        <v>12861</v>
      </c>
      <c r="B1237" s="16" t="e">
        <v>#N/A</v>
      </c>
      <c r="C1237" s="27"/>
      <c r="D1237" s="27"/>
      <c r="E1237" s="27"/>
      <c r="F1237" s="27"/>
      <c r="G1237" s="27"/>
      <c r="H1237" s="27"/>
      <c r="I1237" s="27"/>
      <c r="J1237" s="27"/>
      <c r="K1237" s="27"/>
      <c r="L1237" s="27"/>
      <c r="M1237" s="27"/>
      <c r="N1237" s="31"/>
      <c r="O1237" s="27"/>
      <c r="P1237" s="27"/>
      <c r="Q1237" s="22" t="e">
        <v>#N/A</v>
      </c>
      <c r="R1237" s="18"/>
      <c r="S1237" s="18"/>
      <c r="T1237" s="18"/>
      <c r="U1237" s="18"/>
      <c r="V1237" s="23" t="e">
        <v>#N/A</v>
      </c>
    </row>
    <row r="1238" ht="16.5" spans="1:22">
      <c r="A1238" s="16">
        <v>12988</v>
      </c>
      <c r="B1238" s="16" t="e">
        <v>#N/A</v>
      </c>
      <c r="C1238" s="27"/>
      <c r="D1238" s="27"/>
      <c r="E1238" s="27"/>
      <c r="F1238" s="27"/>
      <c r="G1238" s="27"/>
      <c r="H1238" s="27"/>
      <c r="I1238" s="27"/>
      <c r="J1238" s="27"/>
      <c r="K1238" s="27"/>
      <c r="L1238" s="27"/>
      <c r="M1238" s="27"/>
      <c r="N1238" s="31"/>
      <c r="O1238" s="27"/>
      <c r="P1238" s="27"/>
      <c r="Q1238" s="22" t="e">
        <v>#N/A</v>
      </c>
      <c r="R1238" s="18"/>
      <c r="S1238" s="18"/>
      <c r="T1238" s="18"/>
      <c r="U1238" s="18"/>
      <c r="V1238" s="23" t="e">
        <v>#N/A</v>
      </c>
    </row>
    <row r="1239" ht="16.5" spans="1:22">
      <c r="A1239" s="16">
        <v>12921</v>
      </c>
      <c r="B1239" s="16" t="e">
        <v>#N/A</v>
      </c>
      <c r="C1239" s="27"/>
      <c r="D1239" s="27"/>
      <c r="E1239" s="27"/>
      <c r="F1239" s="27"/>
      <c r="G1239" s="27"/>
      <c r="H1239" s="27"/>
      <c r="I1239" s="27"/>
      <c r="J1239" s="27"/>
      <c r="K1239" s="27"/>
      <c r="L1239" s="27"/>
      <c r="M1239" s="27"/>
      <c r="N1239" s="31"/>
      <c r="O1239" s="27"/>
      <c r="P1239" s="27"/>
      <c r="Q1239" s="22" t="e">
        <v>#N/A</v>
      </c>
      <c r="R1239" s="18"/>
      <c r="S1239" s="18"/>
      <c r="T1239" s="18"/>
      <c r="U1239" s="18"/>
      <c r="V1239" s="23" t="e">
        <v>#N/A</v>
      </c>
    </row>
    <row r="1240" ht="16.5" spans="1:22">
      <c r="A1240" s="16">
        <v>12998</v>
      </c>
      <c r="B1240" s="16" t="e">
        <v>#N/A</v>
      </c>
      <c r="C1240" s="27"/>
      <c r="D1240" s="27"/>
      <c r="E1240" s="27"/>
      <c r="F1240" s="27"/>
      <c r="G1240" s="27"/>
      <c r="H1240" s="27"/>
      <c r="I1240" s="27"/>
      <c r="J1240" s="27"/>
      <c r="K1240" s="27"/>
      <c r="L1240" s="27"/>
      <c r="M1240" s="27"/>
      <c r="N1240" s="31"/>
      <c r="O1240" s="27"/>
      <c r="P1240" s="27"/>
      <c r="Q1240" s="22" t="e">
        <v>#N/A</v>
      </c>
      <c r="R1240" s="18"/>
      <c r="S1240" s="18"/>
      <c r="T1240" s="18"/>
      <c r="U1240" s="18"/>
      <c r="V1240" s="23" t="e">
        <v>#N/A</v>
      </c>
    </row>
    <row r="1241" ht="16.5" spans="1:22">
      <c r="A1241" s="16">
        <v>12922</v>
      </c>
      <c r="B1241" s="16" t="e">
        <v>#N/A</v>
      </c>
      <c r="C1241" s="27"/>
      <c r="D1241" s="27"/>
      <c r="E1241" s="27"/>
      <c r="F1241" s="27"/>
      <c r="G1241" s="27"/>
      <c r="H1241" s="27"/>
      <c r="I1241" s="27"/>
      <c r="J1241" s="27"/>
      <c r="K1241" s="27"/>
      <c r="L1241" s="27"/>
      <c r="M1241" s="27"/>
      <c r="N1241" s="31"/>
      <c r="O1241" s="27"/>
      <c r="P1241" s="27"/>
      <c r="Q1241" s="22" t="e">
        <v>#N/A</v>
      </c>
      <c r="R1241" s="18"/>
      <c r="S1241" s="18"/>
      <c r="T1241" s="18"/>
      <c r="U1241" s="18"/>
      <c r="V1241" s="23" t="e">
        <v>#N/A</v>
      </c>
    </row>
    <row r="1242" ht="16.5" spans="1:22">
      <c r="A1242" s="16">
        <v>12987</v>
      </c>
      <c r="B1242" s="16" t="e">
        <v>#N/A</v>
      </c>
      <c r="C1242" s="27"/>
      <c r="D1242" s="27"/>
      <c r="E1242" s="27"/>
      <c r="F1242" s="27"/>
      <c r="G1242" s="27"/>
      <c r="H1242" s="27"/>
      <c r="I1242" s="27"/>
      <c r="J1242" s="27"/>
      <c r="K1242" s="27"/>
      <c r="L1242" s="27"/>
      <c r="M1242" s="27"/>
      <c r="N1242" s="31"/>
      <c r="O1242" s="27"/>
      <c r="P1242" s="27"/>
      <c r="Q1242" s="22" t="e">
        <v>#N/A</v>
      </c>
      <c r="R1242" s="18"/>
      <c r="S1242" s="18"/>
      <c r="T1242" s="18"/>
      <c r="U1242" s="18"/>
      <c r="V1242" s="23" t="e">
        <v>#N/A</v>
      </c>
    </row>
    <row r="1243" ht="16.5" spans="1:22">
      <c r="A1243" s="16">
        <v>12963</v>
      </c>
      <c r="B1243" s="16" t="e">
        <v>#N/A</v>
      </c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31"/>
      <c r="O1243" s="27"/>
      <c r="P1243" s="27"/>
      <c r="Q1243" s="22" t="e">
        <v>#N/A</v>
      </c>
      <c r="R1243" s="18"/>
      <c r="S1243" s="18"/>
      <c r="T1243" s="18"/>
      <c r="U1243" s="18"/>
      <c r="V1243" s="23" t="e">
        <v>#N/A</v>
      </c>
    </row>
    <row r="1244" ht="16.5" spans="1:22">
      <c r="A1244" s="16">
        <v>12637</v>
      </c>
      <c r="B1244" s="16" t="e">
        <v>#N/A</v>
      </c>
      <c r="C1244" s="27"/>
      <c r="D1244" s="27"/>
      <c r="E1244" s="27"/>
      <c r="F1244" s="27"/>
      <c r="G1244" s="27"/>
      <c r="H1244" s="27"/>
      <c r="I1244" s="27"/>
      <c r="J1244" s="27"/>
      <c r="K1244" s="27"/>
      <c r="L1244" s="27"/>
      <c r="M1244" s="27"/>
      <c r="N1244" s="31"/>
      <c r="O1244" s="27"/>
      <c r="P1244" s="27"/>
      <c r="Q1244" s="22" t="e">
        <v>#N/A</v>
      </c>
      <c r="R1244" s="18"/>
      <c r="S1244" s="18"/>
      <c r="T1244" s="18"/>
      <c r="U1244" s="18"/>
      <c r="V1244" s="23" t="e">
        <v>#N/A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workbookViewId="0">
      <selection activeCell="H23" sqref="H23"/>
    </sheetView>
  </sheetViews>
  <sheetFormatPr defaultColWidth="9" defaultRowHeight="13.5"/>
  <cols>
    <col min="1" max="8" width="13.5" customWidth="1"/>
    <col min="10" max="17" width="15.25" customWidth="1"/>
  </cols>
  <sheetData>
    <row r="1" spans="1:17">
      <c r="A1" s="1" t="s">
        <v>1477</v>
      </c>
      <c r="B1" s="1" t="s">
        <v>1478</v>
      </c>
      <c r="C1" s="1" t="s">
        <v>1479</v>
      </c>
      <c r="D1" s="1" t="s">
        <v>1480</v>
      </c>
      <c r="E1" s="1" t="s">
        <v>1481</v>
      </c>
      <c r="F1" s="1" t="s">
        <v>1482</v>
      </c>
      <c r="G1" s="1" t="s">
        <v>1483</v>
      </c>
      <c r="H1" s="1" t="s">
        <v>1484</v>
      </c>
      <c r="J1" s="1" t="s">
        <v>1477</v>
      </c>
      <c r="K1" s="1" t="s">
        <v>1478</v>
      </c>
      <c r="L1" s="1" t="s">
        <v>1479</v>
      </c>
      <c r="M1" s="1" t="s">
        <v>1480</v>
      </c>
      <c r="N1" s="1" t="s">
        <v>1481</v>
      </c>
      <c r="O1" s="1" t="s">
        <v>1482</v>
      </c>
      <c r="P1" s="1" t="s">
        <v>1483</v>
      </c>
      <c r="Q1" s="1" t="s">
        <v>1484</v>
      </c>
    </row>
    <row r="2" spans="1:17">
      <c r="A2" s="2" t="s">
        <v>1485</v>
      </c>
      <c r="B2" s="2" t="s">
        <v>256</v>
      </c>
      <c r="C2" s="2" t="s">
        <v>1486</v>
      </c>
      <c r="D2" s="3">
        <v>3294</v>
      </c>
      <c r="E2" s="3">
        <v>3625</v>
      </c>
      <c r="F2" s="3">
        <v>4892</v>
      </c>
      <c r="G2" s="3">
        <v>4418</v>
      </c>
      <c r="H2" s="3">
        <v>3870</v>
      </c>
      <c r="J2" s="2" t="s">
        <v>1487</v>
      </c>
      <c r="K2" s="2" t="s">
        <v>70</v>
      </c>
      <c r="L2" s="2" t="s">
        <v>1486</v>
      </c>
      <c r="M2" s="3">
        <v>1843</v>
      </c>
      <c r="N2" s="3">
        <v>2041</v>
      </c>
      <c r="O2" s="3">
        <v>2968</v>
      </c>
      <c r="P2" s="3">
        <v>2420</v>
      </c>
      <c r="Q2" s="3">
        <v>2037</v>
      </c>
    </row>
    <row r="3" spans="1:17">
      <c r="A3" s="2" t="s">
        <v>1485</v>
      </c>
      <c r="B3" s="2" t="s">
        <v>231</v>
      </c>
      <c r="C3" s="2" t="s">
        <v>1486</v>
      </c>
      <c r="D3" s="3">
        <v>933</v>
      </c>
      <c r="E3" s="3">
        <v>884</v>
      </c>
      <c r="F3" s="3">
        <v>1057</v>
      </c>
      <c r="G3" s="3">
        <v>1038</v>
      </c>
      <c r="H3" s="3">
        <v>1211</v>
      </c>
      <c r="J3" s="2" t="s">
        <v>1487</v>
      </c>
      <c r="K3" s="2" t="s">
        <v>45</v>
      </c>
      <c r="L3" s="2" t="s">
        <v>1486</v>
      </c>
      <c r="M3" s="3">
        <v>2512</v>
      </c>
      <c r="N3" s="3">
        <v>2789</v>
      </c>
      <c r="O3" s="3">
        <v>3605</v>
      </c>
      <c r="P3" s="3">
        <v>2997</v>
      </c>
      <c r="Q3" s="3">
        <v>2996</v>
      </c>
    </row>
    <row r="4" spans="1:17">
      <c r="A4" s="2" t="s">
        <v>1485</v>
      </c>
      <c r="B4" s="2" t="s">
        <v>250</v>
      </c>
      <c r="C4" s="2" t="s">
        <v>1486</v>
      </c>
      <c r="D4" s="3">
        <v>3233</v>
      </c>
      <c r="E4" s="3">
        <v>3470</v>
      </c>
      <c r="F4" s="3">
        <v>3909</v>
      </c>
      <c r="G4" s="3">
        <v>3251</v>
      </c>
      <c r="H4" s="3">
        <v>2822</v>
      </c>
      <c r="J4" s="2" t="s">
        <v>1487</v>
      </c>
      <c r="K4" s="2" t="s">
        <v>76</v>
      </c>
      <c r="L4" s="2" t="s">
        <v>1486</v>
      </c>
      <c r="M4" s="3">
        <v>3804</v>
      </c>
      <c r="N4" s="3">
        <v>4236</v>
      </c>
      <c r="O4" s="3">
        <v>5767</v>
      </c>
      <c r="P4" s="3">
        <v>4766</v>
      </c>
      <c r="Q4" s="3">
        <v>4212</v>
      </c>
    </row>
    <row r="5" spans="1:17">
      <c r="A5" s="2" t="s">
        <v>1485</v>
      </c>
      <c r="B5" s="2" t="s">
        <v>237</v>
      </c>
      <c r="C5" s="2" t="s">
        <v>1486</v>
      </c>
      <c r="D5" s="3">
        <v>1576</v>
      </c>
      <c r="E5" s="3">
        <v>1835</v>
      </c>
      <c r="F5" s="3">
        <v>2735</v>
      </c>
      <c r="G5" s="3">
        <v>2253</v>
      </c>
      <c r="H5" s="3">
        <v>1900</v>
      </c>
      <c r="J5" s="2" t="s">
        <v>1487</v>
      </c>
      <c r="K5" s="2" t="s">
        <v>52</v>
      </c>
      <c r="L5" s="2" t="s">
        <v>1486</v>
      </c>
      <c r="M5" s="3">
        <v>2829</v>
      </c>
      <c r="N5" s="3">
        <v>2780</v>
      </c>
      <c r="O5" s="3">
        <v>2994</v>
      </c>
      <c r="P5" s="3">
        <v>2448</v>
      </c>
      <c r="Q5" s="3">
        <v>2299</v>
      </c>
    </row>
    <row r="6" spans="1:17">
      <c r="A6" s="2" t="s">
        <v>1485</v>
      </c>
      <c r="B6" s="2" t="s">
        <v>253</v>
      </c>
      <c r="C6" s="2" t="s">
        <v>1486</v>
      </c>
      <c r="D6" s="3">
        <v>836</v>
      </c>
      <c r="E6" s="3">
        <v>882</v>
      </c>
      <c r="F6" s="3">
        <v>1115</v>
      </c>
      <c r="G6" s="3">
        <v>1046</v>
      </c>
      <c r="H6" s="3">
        <v>926</v>
      </c>
      <c r="J6" s="2" t="s">
        <v>1487</v>
      </c>
      <c r="K6" s="2" t="s">
        <v>57</v>
      </c>
      <c r="L6" s="2" t="s">
        <v>1486</v>
      </c>
      <c r="M6" s="3">
        <v>3954</v>
      </c>
      <c r="N6" s="3">
        <v>4419</v>
      </c>
      <c r="O6" s="3">
        <v>5925</v>
      </c>
      <c r="P6" s="3">
        <v>5492</v>
      </c>
      <c r="Q6" s="3">
        <v>4944</v>
      </c>
    </row>
    <row r="7" spans="1:17">
      <c r="A7" s="2" t="s">
        <v>1485</v>
      </c>
      <c r="B7" s="2" t="s">
        <v>277</v>
      </c>
      <c r="C7" s="2" t="s">
        <v>1486</v>
      </c>
      <c r="D7" s="3">
        <v>3861</v>
      </c>
      <c r="E7" s="3">
        <v>4266</v>
      </c>
      <c r="F7" s="3">
        <v>5396</v>
      </c>
      <c r="G7" s="3">
        <v>4280</v>
      </c>
      <c r="H7" s="3">
        <v>3779</v>
      </c>
      <c r="J7" s="2" t="s">
        <v>1487</v>
      </c>
      <c r="K7" s="2" t="s">
        <v>81</v>
      </c>
      <c r="L7" s="2" t="s">
        <v>1486</v>
      </c>
      <c r="M7" s="3">
        <v>2189</v>
      </c>
      <c r="N7" s="3">
        <v>2579</v>
      </c>
      <c r="O7" s="3">
        <v>2984</v>
      </c>
      <c r="P7" s="3">
        <v>2405</v>
      </c>
      <c r="Q7" s="3">
        <v>1930</v>
      </c>
    </row>
    <row r="8" spans="1:17">
      <c r="A8" s="2" t="s">
        <v>1485</v>
      </c>
      <c r="B8" s="2" t="s">
        <v>1488</v>
      </c>
      <c r="C8" s="2" t="s">
        <v>1486</v>
      </c>
      <c r="D8" s="3">
        <v>599</v>
      </c>
      <c r="E8" s="3">
        <v>689</v>
      </c>
      <c r="F8" s="3">
        <v>984</v>
      </c>
      <c r="G8" s="3">
        <v>780</v>
      </c>
      <c r="H8" s="3">
        <v>706</v>
      </c>
      <c r="J8" s="2" t="s">
        <v>1487</v>
      </c>
      <c r="K8" s="2" t="s">
        <v>1489</v>
      </c>
      <c r="L8" s="2" t="s">
        <v>1486</v>
      </c>
      <c r="M8" s="3">
        <v>0</v>
      </c>
      <c r="N8" s="3">
        <v>8</v>
      </c>
      <c r="O8" s="3">
        <v>2</v>
      </c>
      <c r="P8" s="3">
        <v>0</v>
      </c>
      <c r="Q8" s="3">
        <v>1</v>
      </c>
    </row>
    <row r="9" spans="1:17">
      <c r="A9" s="2" t="s">
        <v>1485</v>
      </c>
      <c r="B9" s="2" t="s">
        <v>1490</v>
      </c>
      <c r="C9" s="2" t="s">
        <v>1486</v>
      </c>
      <c r="D9" s="3">
        <v>1516</v>
      </c>
      <c r="E9" s="3">
        <v>1806</v>
      </c>
      <c r="F9" s="3">
        <v>2440</v>
      </c>
      <c r="G9" s="3">
        <v>1981</v>
      </c>
      <c r="H9" s="3">
        <v>1866</v>
      </c>
      <c r="J9" s="4" t="s">
        <v>1487</v>
      </c>
      <c r="K9" s="4" t="s">
        <v>1491</v>
      </c>
      <c r="L9" s="4" t="s">
        <v>1486</v>
      </c>
      <c r="M9" s="5">
        <v>17131</v>
      </c>
      <c r="N9" s="5">
        <v>18852</v>
      </c>
      <c r="O9" s="5">
        <v>24245</v>
      </c>
      <c r="P9" s="5">
        <v>20528</v>
      </c>
      <c r="Q9" s="5">
        <v>18419</v>
      </c>
    </row>
    <row r="10" spans="1:17">
      <c r="A10" s="2" t="s">
        <v>1485</v>
      </c>
      <c r="B10" s="2" t="s">
        <v>323</v>
      </c>
      <c r="C10" s="2" t="s">
        <v>1486</v>
      </c>
      <c r="D10" s="3">
        <v>563</v>
      </c>
      <c r="E10" s="3">
        <v>714</v>
      </c>
      <c r="F10" s="3">
        <v>907</v>
      </c>
      <c r="G10" s="3">
        <v>800</v>
      </c>
      <c r="H10" s="3">
        <v>627</v>
      </c>
      <c r="J10" s="2" t="s">
        <v>1487</v>
      </c>
      <c r="K10" s="2" t="s">
        <v>70</v>
      </c>
      <c r="L10" s="2" t="s">
        <v>1492</v>
      </c>
      <c r="M10" s="6">
        <v>213081.46</v>
      </c>
      <c r="N10" s="6">
        <v>205928</v>
      </c>
      <c r="O10" s="6">
        <v>348300.6</v>
      </c>
      <c r="P10" s="6">
        <v>281345.19</v>
      </c>
      <c r="Q10" s="6">
        <v>224502.54</v>
      </c>
    </row>
    <row r="11" spans="1:17">
      <c r="A11" s="2" t="s">
        <v>1485</v>
      </c>
      <c r="B11" s="2" t="s">
        <v>1493</v>
      </c>
      <c r="C11" s="2" t="s">
        <v>1486</v>
      </c>
      <c r="D11" s="3">
        <v>720</v>
      </c>
      <c r="E11" s="3">
        <v>673</v>
      </c>
      <c r="F11" s="3">
        <v>808</v>
      </c>
      <c r="G11" s="3">
        <v>681</v>
      </c>
      <c r="H11" s="3">
        <v>711</v>
      </c>
      <c r="J11" s="2" t="s">
        <v>1487</v>
      </c>
      <c r="K11" s="2" t="s">
        <v>45</v>
      </c>
      <c r="L11" s="2" t="s">
        <v>1492</v>
      </c>
      <c r="M11" s="6">
        <v>220204.56</v>
      </c>
      <c r="N11" s="6">
        <v>249155.57</v>
      </c>
      <c r="O11" s="6">
        <v>351154.53</v>
      </c>
      <c r="P11" s="6">
        <v>284945.93</v>
      </c>
      <c r="Q11" s="6">
        <v>286721.17</v>
      </c>
    </row>
    <row r="12" spans="1:17">
      <c r="A12" s="4" t="s">
        <v>1485</v>
      </c>
      <c r="B12" s="4" t="s">
        <v>1491</v>
      </c>
      <c r="C12" s="4" t="s">
        <v>1486</v>
      </c>
      <c r="D12" s="5">
        <v>17131</v>
      </c>
      <c r="E12" s="5">
        <v>18844</v>
      </c>
      <c r="F12" s="5">
        <v>24243</v>
      </c>
      <c r="G12" s="5">
        <v>20528</v>
      </c>
      <c r="H12" s="5">
        <v>18418</v>
      </c>
      <c r="J12" s="2" t="s">
        <v>1487</v>
      </c>
      <c r="K12" s="2" t="s">
        <v>76</v>
      </c>
      <c r="L12" s="2" t="s">
        <v>1492</v>
      </c>
      <c r="M12" s="6">
        <v>242839.9</v>
      </c>
      <c r="N12" s="6">
        <v>278466.52</v>
      </c>
      <c r="O12" s="6">
        <v>378410.19</v>
      </c>
      <c r="P12" s="6">
        <v>319617.45</v>
      </c>
      <c r="Q12" s="6">
        <v>292912.6</v>
      </c>
    </row>
    <row r="13" spans="1:17">
      <c r="A13" s="2" t="s">
        <v>1485</v>
      </c>
      <c r="B13" s="2" t="s">
        <v>256</v>
      </c>
      <c r="C13" s="2" t="s">
        <v>1492</v>
      </c>
      <c r="D13" s="6">
        <v>248375.02</v>
      </c>
      <c r="E13" s="6">
        <v>283277.77</v>
      </c>
      <c r="F13" s="6">
        <v>391174.26</v>
      </c>
      <c r="G13" s="6">
        <v>351378.79</v>
      </c>
      <c r="H13" s="6">
        <v>313875.43</v>
      </c>
      <c r="J13" s="2" t="s">
        <v>1487</v>
      </c>
      <c r="K13" s="2" t="s">
        <v>52</v>
      </c>
      <c r="L13" s="2" t="s">
        <v>1492</v>
      </c>
      <c r="M13" s="6">
        <v>147910.05</v>
      </c>
      <c r="N13" s="6">
        <v>144732.82</v>
      </c>
      <c r="O13" s="6">
        <v>180456.78</v>
      </c>
      <c r="P13" s="6">
        <v>157566.55</v>
      </c>
      <c r="Q13" s="6">
        <v>153015.59</v>
      </c>
    </row>
    <row r="14" spans="1:17">
      <c r="A14" s="2" t="s">
        <v>1485</v>
      </c>
      <c r="B14" s="2" t="s">
        <v>231</v>
      </c>
      <c r="C14" s="2" t="s">
        <v>1492</v>
      </c>
      <c r="D14" s="6">
        <v>52796.59</v>
      </c>
      <c r="E14" s="6">
        <v>50653.32</v>
      </c>
      <c r="F14" s="6">
        <v>66205.25</v>
      </c>
      <c r="G14" s="6">
        <v>66466.31</v>
      </c>
      <c r="H14" s="6">
        <v>82350.56</v>
      </c>
      <c r="J14" s="2" t="s">
        <v>1487</v>
      </c>
      <c r="K14" s="2" t="s">
        <v>57</v>
      </c>
      <c r="L14" s="2" t="s">
        <v>1492</v>
      </c>
      <c r="M14" s="6">
        <v>191516.23</v>
      </c>
      <c r="N14" s="6">
        <v>204213.58</v>
      </c>
      <c r="O14" s="6">
        <v>289397.02</v>
      </c>
      <c r="P14" s="6">
        <v>278317.5</v>
      </c>
      <c r="Q14" s="6">
        <v>256714.75</v>
      </c>
    </row>
    <row r="15" spans="1:17">
      <c r="A15" s="2" t="s">
        <v>1485</v>
      </c>
      <c r="B15" s="2" t="s">
        <v>250</v>
      </c>
      <c r="C15" s="2" t="s">
        <v>1492</v>
      </c>
      <c r="D15" s="6">
        <v>113130.05</v>
      </c>
      <c r="E15" s="6">
        <v>139798.46</v>
      </c>
      <c r="F15" s="6">
        <v>227542.33</v>
      </c>
      <c r="G15" s="6">
        <v>186761.95</v>
      </c>
      <c r="H15" s="6">
        <v>163112.61</v>
      </c>
      <c r="J15" s="2" t="s">
        <v>1487</v>
      </c>
      <c r="K15" s="2" t="s">
        <v>81</v>
      </c>
      <c r="L15" s="2" t="s">
        <v>1492</v>
      </c>
      <c r="M15" s="6">
        <v>91800.55</v>
      </c>
      <c r="N15" s="6">
        <v>106228.27</v>
      </c>
      <c r="O15" s="6">
        <v>122330.02</v>
      </c>
      <c r="P15" s="6">
        <v>106699.31</v>
      </c>
      <c r="Q15" s="6">
        <v>86030.98</v>
      </c>
    </row>
    <row r="16" spans="1:17">
      <c r="A16" s="2" t="s">
        <v>1485</v>
      </c>
      <c r="B16" s="2" t="s">
        <v>237</v>
      </c>
      <c r="C16" s="2" t="s">
        <v>1492</v>
      </c>
      <c r="D16" s="6">
        <v>54291.77</v>
      </c>
      <c r="E16" s="6">
        <v>66168.61</v>
      </c>
      <c r="F16" s="6">
        <v>103101.74</v>
      </c>
      <c r="G16" s="6">
        <v>87907.03</v>
      </c>
      <c r="H16" s="6">
        <v>75590.29</v>
      </c>
      <c r="J16" s="2" t="s">
        <v>1487</v>
      </c>
      <c r="K16" s="2" t="s">
        <v>1489</v>
      </c>
      <c r="L16" s="2" t="s">
        <v>1492</v>
      </c>
      <c r="M16" s="6">
        <v>0</v>
      </c>
      <c r="N16" s="6">
        <v>1690</v>
      </c>
      <c r="O16" s="6">
        <v>430</v>
      </c>
      <c r="P16" s="6">
        <v>0</v>
      </c>
      <c r="Q16" s="6">
        <v>189</v>
      </c>
    </row>
    <row r="17" spans="1:17">
      <c r="A17" s="2" t="s">
        <v>1485</v>
      </c>
      <c r="B17" s="2" t="s">
        <v>253</v>
      </c>
      <c r="C17" s="2" t="s">
        <v>1492</v>
      </c>
      <c r="D17" s="6">
        <v>60701.47</v>
      </c>
      <c r="E17" s="6">
        <v>60769.69</v>
      </c>
      <c r="F17" s="6">
        <v>78081.06</v>
      </c>
      <c r="G17" s="6">
        <v>79685.85</v>
      </c>
      <c r="H17" s="6">
        <v>76450.87</v>
      </c>
      <c r="J17" s="4" t="s">
        <v>1487</v>
      </c>
      <c r="K17" s="4" t="s">
        <v>1491</v>
      </c>
      <c r="L17" s="4" t="s">
        <v>1492</v>
      </c>
      <c r="M17" s="7">
        <v>1107352.75</v>
      </c>
      <c r="N17" s="7">
        <v>1190414.76</v>
      </c>
      <c r="O17" s="7">
        <v>1670479.14</v>
      </c>
      <c r="P17" s="7">
        <v>1428491.93</v>
      </c>
      <c r="Q17" s="7">
        <v>1300086.63</v>
      </c>
    </row>
    <row r="18" spans="1:17">
      <c r="A18" s="2" t="s">
        <v>1485</v>
      </c>
      <c r="B18" s="2" t="s">
        <v>277</v>
      </c>
      <c r="C18" s="2" t="s">
        <v>1492</v>
      </c>
      <c r="D18" s="6">
        <v>304427.36</v>
      </c>
      <c r="E18" s="6">
        <v>281198.77</v>
      </c>
      <c r="F18" s="6">
        <v>388412.43</v>
      </c>
      <c r="G18" s="6">
        <v>316682.71</v>
      </c>
      <c r="H18" s="6">
        <v>270889.26</v>
      </c>
      <c r="J18" s="2" t="s">
        <v>1487</v>
      </c>
      <c r="K18" s="2" t="s">
        <v>70</v>
      </c>
      <c r="L18" s="2" t="s">
        <v>1494</v>
      </c>
      <c r="M18" s="8">
        <v>115.616635919696</v>
      </c>
      <c r="N18" s="8">
        <v>100.895639392455</v>
      </c>
      <c r="O18" s="8">
        <v>117.351954177898</v>
      </c>
      <c r="P18" s="8">
        <v>116.258342975207</v>
      </c>
      <c r="Q18" s="8">
        <v>110.21234167894</v>
      </c>
    </row>
    <row r="19" spans="1:17">
      <c r="A19" s="2" t="s">
        <v>1485</v>
      </c>
      <c r="B19" s="2" t="s">
        <v>1488</v>
      </c>
      <c r="C19" s="2" t="s">
        <v>1492</v>
      </c>
      <c r="D19" s="6">
        <v>102961</v>
      </c>
      <c r="E19" s="6">
        <v>119588.8</v>
      </c>
      <c r="F19" s="6">
        <v>174297.96</v>
      </c>
      <c r="G19" s="6">
        <v>136527.82</v>
      </c>
      <c r="H19" s="6">
        <v>122688.17</v>
      </c>
      <c r="J19" s="2" t="s">
        <v>1487</v>
      </c>
      <c r="K19" s="2" t="s">
        <v>45</v>
      </c>
      <c r="L19" s="2" t="s">
        <v>1494</v>
      </c>
      <c r="M19" s="8">
        <v>87.6610509554141</v>
      </c>
      <c r="N19" s="8">
        <v>89.3350914306203</v>
      </c>
      <c r="O19" s="8">
        <v>97.4076366158113</v>
      </c>
      <c r="P19" s="8">
        <v>95.0770537203871</v>
      </c>
      <c r="Q19" s="8">
        <v>95.7013251001335</v>
      </c>
    </row>
    <row r="20" spans="1:17">
      <c r="A20" s="2" t="s">
        <v>1485</v>
      </c>
      <c r="B20" s="2" t="s">
        <v>1490</v>
      </c>
      <c r="C20" s="2" t="s">
        <v>1492</v>
      </c>
      <c r="D20" s="6">
        <v>93791.49</v>
      </c>
      <c r="E20" s="6">
        <v>115080.82</v>
      </c>
      <c r="F20" s="6">
        <v>153144.63</v>
      </c>
      <c r="G20" s="6">
        <v>124332.31</v>
      </c>
      <c r="H20" s="6">
        <v>118603.44</v>
      </c>
      <c r="J20" s="2" t="s">
        <v>1487</v>
      </c>
      <c r="K20" s="2" t="s">
        <v>76</v>
      </c>
      <c r="L20" s="2" t="s">
        <v>1494</v>
      </c>
      <c r="M20" s="8">
        <v>63.8380389064143</v>
      </c>
      <c r="N20" s="8">
        <v>65.7380830972616</v>
      </c>
      <c r="O20" s="8">
        <v>65.6164713022369</v>
      </c>
      <c r="P20" s="8">
        <v>67.0619911875787</v>
      </c>
      <c r="Q20" s="8">
        <v>69.5424026590693</v>
      </c>
    </row>
    <row r="21" spans="1:17">
      <c r="A21" s="2" t="s">
        <v>1485</v>
      </c>
      <c r="B21" s="2" t="s">
        <v>323</v>
      </c>
      <c r="C21" s="2" t="s">
        <v>1492</v>
      </c>
      <c r="D21" s="6">
        <v>10064.79</v>
      </c>
      <c r="E21" s="6">
        <v>11970.99</v>
      </c>
      <c r="F21" s="6">
        <v>14286.65</v>
      </c>
      <c r="G21" s="6">
        <v>14438.71</v>
      </c>
      <c r="H21" s="6">
        <v>11952.7</v>
      </c>
      <c r="J21" s="2" t="s">
        <v>1487</v>
      </c>
      <c r="K21" s="2" t="s">
        <v>52</v>
      </c>
      <c r="L21" s="2" t="s">
        <v>1494</v>
      </c>
      <c r="M21" s="8">
        <v>52.2835100742312</v>
      </c>
      <c r="N21" s="8">
        <v>52.0621654676259</v>
      </c>
      <c r="O21" s="8">
        <v>60.2728056112224</v>
      </c>
      <c r="P21" s="8">
        <v>64.365420751634</v>
      </c>
      <c r="Q21" s="8">
        <v>66.557455415398</v>
      </c>
    </row>
    <row r="22" spans="1:17">
      <c r="A22" s="2" t="s">
        <v>1485</v>
      </c>
      <c r="B22" s="2" t="s">
        <v>1493</v>
      </c>
      <c r="C22" s="2" t="s">
        <v>1492</v>
      </c>
      <c r="D22" s="6">
        <v>66813.21</v>
      </c>
      <c r="E22" s="6">
        <v>60217.53</v>
      </c>
      <c r="F22" s="6">
        <v>73802.83</v>
      </c>
      <c r="G22" s="6">
        <v>64310.45</v>
      </c>
      <c r="H22" s="6">
        <v>64384.3</v>
      </c>
      <c r="J22" s="2" t="s">
        <v>1487</v>
      </c>
      <c r="K22" s="2" t="s">
        <v>57</v>
      </c>
      <c r="L22" s="2" t="s">
        <v>1494</v>
      </c>
      <c r="M22" s="8">
        <v>48.4360723318159</v>
      </c>
      <c r="N22" s="8">
        <v>46.2126227653315</v>
      </c>
      <c r="O22" s="8">
        <v>48.8433789029536</v>
      </c>
      <c r="P22" s="8">
        <v>50.6768936635106</v>
      </c>
      <c r="Q22" s="8">
        <v>51.9245044498382</v>
      </c>
    </row>
    <row r="23" spans="1:17">
      <c r="A23" s="4" t="s">
        <v>1485</v>
      </c>
      <c r="B23" s="4" t="s">
        <v>1491</v>
      </c>
      <c r="C23" s="4" t="s">
        <v>1492</v>
      </c>
      <c r="D23" s="7">
        <v>1107352.75</v>
      </c>
      <c r="E23" s="7">
        <v>1188724.76</v>
      </c>
      <c r="F23" s="7">
        <v>1670049.14</v>
      </c>
      <c r="G23" s="7">
        <v>1428491.93</v>
      </c>
      <c r="H23" s="7">
        <v>1299897.63</v>
      </c>
      <c r="J23" s="2" t="s">
        <v>1487</v>
      </c>
      <c r="K23" s="2" t="s">
        <v>81</v>
      </c>
      <c r="L23" s="2" t="s">
        <v>1494</v>
      </c>
      <c r="M23" s="8">
        <v>41.9372087711283</v>
      </c>
      <c r="N23" s="8">
        <v>41.1897130670802</v>
      </c>
      <c r="O23" s="8">
        <v>40.9953150134048</v>
      </c>
      <c r="P23" s="8">
        <v>44.3656174636175</v>
      </c>
      <c r="Q23" s="8">
        <v>44.5756373056995</v>
      </c>
    </row>
    <row r="24" spans="1:17">
      <c r="A24" s="2" t="s">
        <v>1485</v>
      </c>
      <c r="B24" s="2" t="s">
        <v>256</v>
      </c>
      <c r="C24" s="2" t="s">
        <v>1494</v>
      </c>
      <c r="D24" s="8">
        <v>75.4022525804493</v>
      </c>
      <c r="E24" s="8">
        <v>78.1455917241379</v>
      </c>
      <c r="F24" s="8">
        <v>79.962031888798</v>
      </c>
      <c r="G24" s="8">
        <v>79.5334517881395</v>
      </c>
      <c r="H24" s="8">
        <v>81.1047622739018</v>
      </c>
      <c r="J24" s="2" t="s">
        <v>1487</v>
      </c>
      <c r="K24" s="2" t="s">
        <v>1489</v>
      </c>
      <c r="L24" s="2" t="s">
        <v>1494</v>
      </c>
      <c r="M24" s="8">
        <v>0</v>
      </c>
      <c r="N24" s="8">
        <v>211.25</v>
      </c>
      <c r="O24" s="8">
        <v>215</v>
      </c>
      <c r="P24" s="8">
        <v>0</v>
      </c>
      <c r="Q24" s="8">
        <v>189</v>
      </c>
    </row>
    <row r="25" spans="1:17">
      <c r="A25" s="2" t="s">
        <v>1485</v>
      </c>
      <c r="B25" s="2" t="s">
        <v>231</v>
      </c>
      <c r="C25" s="2" t="s">
        <v>1494</v>
      </c>
      <c r="D25" s="8">
        <v>56.5879849946409</v>
      </c>
      <c r="E25" s="8">
        <v>57.3001357466063</v>
      </c>
      <c r="F25" s="8">
        <v>62.6350520340586</v>
      </c>
      <c r="G25" s="8">
        <v>64.0330539499036</v>
      </c>
      <c r="H25" s="8">
        <v>68.0021139554087</v>
      </c>
      <c r="J25" s="4" t="s">
        <v>1487</v>
      </c>
      <c r="K25" s="4" t="s">
        <v>1491</v>
      </c>
      <c r="L25" s="4" t="s">
        <v>1494</v>
      </c>
      <c r="M25" s="9">
        <v>64.6402866149087</v>
      </c>
      <c r="N25" s="9">
        <v>63.1452768936983</v>
      </c>
      <c r="O25" s="9">
        <v>68.89994390596</v>
      </c>
      <c r="P25" s="9">
        <v>69.5874868472331</v>
      </c>
      <c r="Q25" s="9">
        <v>70.5839964167436</v>
      </c>
    </row>
    <row r="26" spans="1:17">
      <c r="A26" s="2" t="s">
        <v>1485</v>
      </c>
      <c r="B26" s="2" t="s">
        <v>250</v>
      </c>
      <c r="C26" s="2" t="s">
        <v>1494</v>
      </c>
      <c r="D26" s="8">
        <v>34.9922827095577</v>
      </c>
      <c r="E26" s="8">
        <v>40.2877406340058</v>
      </c>
      <c r="F26" s="8">
        <v>58.2098567408544</v>
      </c>
      <c r="G26" s="8">
        <v>57.4475392187019</v>
      </c>
      <c r="H26" s="8">
        <v>57.800357902197</v>
      </c>
    </row>
    <row r="27" spans="1:17">
      <c r="A27" s="2" t="s">
        <v>1485</v>
      </c>
      <c r="B27" s="2" t="s">
        <v>237</v>
      </c>
      <c r="C27" s="2" t="s">
        <v>1494</v>
      </c>
      <c r="D27" s="8">
        <v>34.4490926395939</v>
      </c>
      <c r="E27" s="8">
        <v>36.0591880108992</v>
      </c>
      <c r="F27" s="8">
        <v>37.6971627056673</v>
      </c>
      <c r="G27" s="8">
        <v>39.0177674212162</v>
      </c>
      <c r="H27" s="8">
        <v>39.7843631578947</v>
      </c>
    </row>
    <row r="28" spans="1:17">
      <c r="A28" s="2" t="s">
        <v>1485</v>
      </c>
      <c r="B28" s="2" t="s">
        <v>253</v>
      </c>
      <c r="C28" s="2" t="s">
        <v>1494</v>
      </c>
      <c r="D28" s="8">
        <v>72.6094138755981</v>
      </c>
      <c r="E28" s="8">
        <v>68.8998752834467</v>
      </c>
      <c r="F28" s="8">
        <v>70.0278565022421</v>
      </c>
      <c r="G28" s="8">
        <v>76.1815009560229</v>
      </c>
      <c r="H28" s="8">
        <v>82.5603347732181</v>
      </c>
    </row>
    <row r="29" spans="1:17">
      <c r="A29" s="2" t="s">
        <v>1485</v>
      </c>
      <c r="B29" s="2" t="s">
        <v>277</v>
      </c>
      <c r="C29" s="2" t="s">
        <v>1494</v>
      </c>
      <c r="D29" s="8">
        <v>78.846765086765</v>
      </c>
      <c r="E29" s="8">
        <v>65.9162611345523</v>
      </c>
      <c r="F29" s="8">
        <v>71.98154744255</v>
      </c>
      <c r="G29" s="8">
        <v>73.9912873831776</v>
      </c>
      <c r="H29" s="8">
        <v>71.6827890976449</v>
      </c>
    </row>
    <row r="30" spans="1:17">
      <c r="A30" s="2" t="s">
        <v>1485</v>
      </c>
      <c r="B30" s="2" t="s">
        <v>1488</v>
      </c>
      <c r="C30" s="2" t="s">
        <v>1494</v>
      </c>
      <c r="D30" s="8">
        <v>171.888146911519</v>
      </c>
      <c r="E30" s="8">
        <v>173.568650217707</v>
      </c>
      <c r="F30" s="8">
        <v>177.132073170732</v>
      </c>
      <c r="G30" s="8">
        <v>175.035666666667</v>
      </c>
      <c r="H30" s="8">
        <v>173.779277620397</v>
      </c>
    </row>
    <row r="31" spans="1:17">
      <c r="A31" s="2" t="s">
        <v>1485</v>
      </c>
      <c r="B31" s="2" t="s">
        <v>1490</v>
      </c>
      <c r="C31" s="2" t="s">
        <v>1494</v>
      </c>
      <c r="D31" s="8">
        <v>61.8677374670185</v>
      </c>
      <c r="E31" s="8">
        <v>63.7213842746401</v>
      </c>
      <c r="F31" s="8">
        <v>62.7641926229509</v>
      </c>
      <c r="G31" s="8">
        <v>62.7623977788996</v>
      </c>
      <c r="H31" s="8">
        <v>63.5602572347267</v>
      </c>
    </row>
    <row r="32" spans="1:17">
      <c r="A32" s="2" t="s">
        <v>1485</v>
      </c>
      <c r="B32" s="2" t="s">
        <v>323</v>
      </c>
      <c r="C32" s="2" t="s">
        <v>1494</v>
      </c>
      <c r="D32" s="8">
        <v>17.8770692717584</v>
      </c>
      <c r="E32" s="8">
        <v>16.7660924369748</v>
      </c>
      <c r="F32" s="8">
        <v>15.7515435501654</v>
      </c>
      <c r="G32" s="8">
        <v>18.0483875</v>
      </c>
      <c r="H32" s="8">
        <v>19.06331738437</v>
      </c>
    </row>
    <row r="33" spans="1:8">
      <c r="A33" s="2" t="s">
        <v>1485</v>
      </c>
      <c r="B33" s="2" t="s">
        <v>1493</v>
      </c>
      <c r="C33" s="2" t="s">
        <v>1494</v>
      </c>
      <c r="D33" s="8">
        <v>92.796125</v>
      </c>
      <c r="E33" s="8">
        <v>89.4762704309064</v>
      </c>
      <c r="F33" s="8">
        <v>91.3401361386139</v>
      </c>
      <c r="G33" s="8">
        <v>94.435315712188</v>
      </c>
      <c r="H33" s="8">
        <v>90.554571026723</v>
      </c>
    </row>
    <row r="34" spans="1:8">
      <c r="A34" s="4" t="s">
        <v>1485</v>
      </c>
      <c r="B34" s="4" t="s">
        <v>1491</v>
      </c>
      <c r="C34" s="4" t="s">
        <v>1494</v>
      </c>
      <c r="D34" s="9">
        <v>64.6402866149086</v>
      </c>
      <c r="E34" s="9">
        <v>63.082400764169</v>
      </c>
      <c r="F34" s="9">
        <v>68.8878909375902</v>
      </c>
      <c r="G34" s="9">
        <v>69.5874868472331</v>
      </c>
      <c r="H34" s="9">
        <v>70.5775670539689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\Users\Administrator\WPSDrive\1657638535\WPS企业云盘\常州市凌越信息技术服务有限公司\团队文档\eBay运营三部\新品\新品累计数据\新品检查记录.xlsx" FileId="488119903997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近三月新品明细数据</vt:lpstr>
      <vt:lpstr>新品PLP数据</vt:lpstr>
      <vt:lpstr>过往产品销售数据</vt:lpstr>
      <vt:lpstr>三部月度汇总</vt:lpstr>
      <vt:lpstr>三部维度汇总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2018-06-02T08:28:00Z</dcterms:created>
  <dcterms:modified xsi:type="dcterms:W3CDTF">2026-06-08T07:59:01Z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E21970CA0A1D4AB1BD6F0B2E35137529_13</vt:lpwstr>
  </property>
  <property fmtid="{D5CDD505-2E9C-101B-9397-08002B2CF9AE}" pid="4" name="CalculationRule">
    <vt:i4>0</vt:i4>
  </property>
</Properties>
</file>