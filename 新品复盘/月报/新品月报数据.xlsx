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7"/>
  </bookViews>
  <sheets>
    <sheet name="源数据" sheetId="7" r:id="rId1"/>
    <sheet name="品线维度" sheetId="1" r:id="rId2"/>
    <sheet name="分析人维度" sheetId="2" r:id="rId3"/>
    <sheet name="拓展类型维度" sheetId="3" r:id="rId4"/>
    <sheet name="出单情况维度" sheetId="4" r:id="rId5"/>
    <sheet name="未出单情况维度" sheetId="5" r:id="rId6"/>
    <sheet name="低占比维度" sheetId="6" r:id="rId7"/>
    <sheet name="3.25判断操作" sheetId="8" r:id="rId8"/>
  </sheets>
  <externalReferences>
    <externalReference r:id="rId9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<sst xmlns="http://schemas.openxmlformats.org/spreadsheetml/2006/main" count="4360" uniqueCount="319">
  <si>
    <t>销售编号</t>
  </si>
  <si>
    <t>SKU</t>
  </si>
  <si>
    <t>最新上架日期</t>
  </si>
  <si>
    <t>2月分析人</t>
  </si>
  <si>
    <t>3月分析人</t>
  </si>
  <si>
    <t>品类</t>
  </si>
  <si>
    <t>产品拓展</t>
  </si>
  <si>
    <t>首次出单时间</t>
  </si>
  <si>
    <t>1月分析频次</t>
  </si>
  <si>
    <t>2月分析频次</t>
  </si>
  <si>
    <t>3月分析频次</t>
  </si>
  <si>
    <t>1月 8日出单</t>
  </si>
  <si>
    <t>2月 8日出单</t>
  </si>
  <si>
    <t>3月 8日出单</t>
  </si>
  <si>
    <t>1月市场状态</t>
  </si>
  <si>
    <t>2月市场状态</t>
  </si>
  <si>
    <t>3月市场状态</t>
  </si>
  <si>
    <t>1月销量</t>
  </si>
  <si>
    <t>2月销量</t>
  </si>
  <si>
    <t>3月销量</t>
  </si>
  <si>
    <t>1月对手出单</t>
  </si>
  <si>
    <t>2月对手出单</t>
  </si>
  <si>
    <t>3月对手出单</t>
  </si>
  <si>
    <t>1月销售额</t>
  </si>
  <si>
    <t>2月销售额</t>
  </si>
  <si>
    <t>3月销售额</t>
  </si>
  <si>
    <t>1月市占比</t>
  </si>
  <si>
    <t>2月市占比</t>
  </si>
  <si>
    <t>3月市占比</t>
  </si>
  <si>
    <t>LYAM-X2815-1</t>
  </si>
  <si>
    <t>朱培源</t>
  </si>
  <si>
    <t>机盖及附件</t>
  </si>
  <si>
    <t>原开品</t>
  </si>
  <si>
    <t>未出单</t>
  </si>
  <si>
    <t>N</t>
  </si>
  <si>
    <t>站外出单</t>
  </si>
  <si>
    <t>竞争无优势</t>
  </si>
  <si>
    <t>LYAP-X1861</t>
  </si>
  <si>
    <t>挡泥板</t>
  </si>
  <si>
    <t>Y</t>
  </si>
  <si>
    <t>正常</t>
  </si>
  <si>
    <t>LYAP-X2057</t>
  </si>
  <si>
    <t>LYAP-X2060-1</t>
  </si>
  <si>
    <t>无市场</t>
  </si>
  <si>
    <t>LYAP-X1656-1</t>
  </si>
  <si>
    <t>胡煜星</t>
  </si>
  <si>
    <t>车门系统</t>
  </si>
  <si>
    <t>拓展品</t>
  </si>
  <si>
    <t>LYAM-X2046-R</t>
  </si>
  <si>
    <t>俞东旭</t>
  </si>
  <si>
    <t>站内无价格优势</t>
  </si>
  <si>
    <t>LYAP-X1865-1</t>
  </si>
  <si>
    <t>LYAM-X2416-BK</t>
  </si>
  <si>
    <t>车身外扩件</t>
  </si>
  <si>
    <t>LYAM-X2416-C</t>
  </si>
  <si>
    <t>LYAM-X2267-1</t>
  </si>
  <si>
    <t>LYAM-X2575-1</t>
  </si>
  <si>
    <t>LYAM-X2575-3</t>
  </si>
  <si>
    <t>LYAP-X1659-1L</t>
  </si>
  <si>
    <t>LYAP-X2131</t>
  </si>
  <si>
    <t>其他</t>
  </si>
  <si>
    <t>LYAP-X1656-1R</t>
  </si>
  <si>
    <t>市场无出单</t>
  </si>
  <si>
    <t>LYAP-X1789-4R</t>
  </si>
  <si>
    <t>LYAP-X2040</t>
  </si>
  <si>
    <t>王偲涵</t>
  </si>
  <si>
    <t>饰条</t>
  </si>
  <si>
    <t>LYAP-X1919</t>
  </si>
  <si>
    <t>LYAM-X2046-L</t>
  </si>
  <si>
    <t>LYAP-X1914</t>
  </si>
  <si>
    <t>LYAM-X2756</t>
  </si>
  <si>
    <t>LYAP-X1662-1</t>
  </si>
  <si>
    <t>LYAP-X1640-1R</t>
  </si>
  <si>
    <t>LYAP-X1791-3L</t>
  </si>
  <si>
    <t>LYAP-X1640-1L</t>
  </si>
  <si>
    <t>LYAP-X1791-3R</t>
  </si>
  <si>
    <t>LYAM-X2305-1</t>
  </si>
  <si>
    <t>LYAP-X1662-2</t>
  </si>
  <si>
    <t>LYAP-X1908-BK</t>
  </si>
  <si>
    <t>LYAP-X1908-C</t>
  </si>
  <si>
    <t>LYAP-X1910-BK</t>
  </si>
  <si>
    <t>LYAP-X1910-C</t>
  </si>
  <si>
    <t>LYAP-X1939-1</t>
  </si>
  <si>
    <t>LYAP-X2020</t>
  </si>
  <si>
    <t>LYAP-X2021</t>
  </si>
  <si>
    <t>LYAP-X2032</t>
  </si>
  <si>
    <t>LYAP-X2081-1</t>
  </si>
  <si>
    <t>LYAP-X2081-1L</t>
  </si>
  <si>
    <t>LYAP-X2081-1R</t>
  </si>
  <si>
    <t>LYAP-X1789-4L</t>
  </si>
  <si>
    <t>LYAP-X1915</t>
  </si>
  <si>
    <t>LYAP-838-1L</t>
  </si>
  <si>
    <t>LYAP-838-1R</t>
  </si>
  <si>
    <t>LYAP-X1868</t>
  </si>
  <si>
    <t>LYAP-X1994-RL</t>
  </si>
  <si>
    <t>LYAP-X1994-RR</t>
  </si>
  <si>
    <t>LYAP-X2132</t>
  </si>
  <si>
    <t>LYAP-X1659-1R</t>
  </si>
  <si>
    <t>LYAP-X1939-1L</t>
  </si>
  <si>
    <t>LYAP-X1939-1R</t>
  </si>
  <si>
    <t>LYAM-X2800</t>
  </si>
  <si>
    <t>LYAP-X1640-1</t>
  </si>
  <si>
    <t>章鹏</t>
  </si>
  <si>
    <t>LYAP-X1659-1</t>
  </si>
  <si>
    <t>LYAP-941-1+LYAP-941-2</t>
  </si>
  <si>
    <t>组合件</t>
  </si>
  <si>
    <t>未上架</t>
  </si>
  <si>
    <t>LYAP-X1482-2</t>
  </si>
  <si>
    <t>LYAP-X1482-3</t>
  </si>
  <si>
    <t>LYAP-X1482-4</t>
  </si>
  <si>
    <t>LYAP-X1791-4L</t>
  </si>
  <si>
    <t>LYAP-X1791-4R</t>
  </si>
  <si>
    <t>LYAP-X1787-BK</t>
  </si>
  <si>
    <t>LYAP-X1642-BK</t>
  </si>
  <si>
    <t>LYAP-X1799</t>
  </si>
  <si>
    <t>LYAM-X2575-2</t>
  </si>
  <si>
    <t>LYAM-X2753-1</t>
  </si>
  <si>
    <t>LYAM-X2753-2</t>
  </si>
  <si>
    <t>LYAM-X2266-1</t>
  </si>
  <si>
    <t>LYAM-X2575-4</t>
  </si>
  <si>
    <t>LYAM-X2732</t>
  </si>
  <si>
    <t>LYAP-X1920-BK</t>
  </si>
  <si>
    <t>LYAP-X1920-C</t>
  </si>
  <si>
    <t>LYAP-X1920-W</t>
  </si>
  <si>
    <t>LYAP-X1939-2</t>
  </si>
  <si>
    <t>LYAP-X1992</t>
  </si>
  <si>
    <t>LYAP-X1993</t>
  </si>
  <si>
    <t>LYAP-X2089</t>
  </si>
  <si>
    <t>LYAP-X2135</t>
  </si>
  <si>
    <t>LYAP-X2146</t>
  </si>
  <si>
    <t>LYAM-X2569-1</t>
  </si>
  <si>
    <t>LYAM-X2570-1</t>
  </si>
  <si>
    <t>LYAM-X2574-1</t>
  </si>
  <si>
    <t>LYAM-X2695</t>
  </si>
  <si>
    <t>LYAP-X1913</t>
  </si>
  <si>
    <t>LYAM-X2706</t>
  </si>
  <si>
    <t>LYAP-X1871</t>
  </si>
  <si>
    <t>LYAP-X2545-F</t>
  </si>
  <si>
    <t>LYAP-X2545-FL</t>
  </si>
  <si>
    <t>LYAP-X2545-FR</t>
  </si>
  <si>
    <t>LYAP-X2148-1</t>
  </si>
  <si>
    <t>未分析</t>
  </si>
  <si>
    <t>LYAP-X2216</t>
  </si>
  <si>
    <t>LYAP-X1658</t>
  </si>
  <si>
    <t>LYAP-X1658L</t>
  </si>
  <si>
    <t>LYAP-X1658R</t>
  </si>
  <si>
    <t>LYAP-X1800-1</t>
  </si>
  <si>
    <t>LYAP-X1877</t>
  </si>
  <si>
    <t>LYAP-X2528</t>
  </si>
  <si>
    <t>LYAM-X2254-L</t>
  </si>
  <si>
    <t>LYAM-X2980-BK</t>
  </si>
  <si>
    <t>LYAM-X2980-GR</t>
  </si>
  <si>
    <t>LYAP-X2308</t>
  </si>
  <si>
    <t>LYAP-X2527</t>
  </si>
  <si>
    <t>LYAP-X1800-1L</t>
  </si>
  <si>
    <t>LYAP-X1800-1R</t>
  </si>
  <si>
    <t>LYAM-X2896</t>
  </si>
  <si>
    <t>LYAP-X2170</t>
  </si>
  <si>
    <t>LYAP-X2190-L</t>
  </si>
  <si>
    <t>LYAP-X2190-R</t>
  </si>
  <si>
    <t>LYAP-X1642-GR</t>
  </si>
  <si>
    <t>LYAP-X1911-BK</t>
  </si>
  <si>
    <t>LYAP-X1911-C</t>
  </si>
  <si>
    <t>LYAP-X1927</t>
  </si>
  <si>
    <t>LYAP-X1934</t>
  </si>
  <si>
    <t>LYAP-X2148-1L</t>
  </si>
  <si>
    <t>LYAP-X2148-1R</t>
  </si>
  <si>
    <t>LYAP-X2289</t>
  </si>
  <si>
    <t>LYAP-X2418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</si>
  <si>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</si>
  <si>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</si>
  <si>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</si>
  <si>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</si>
  <si>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</si>
  <si>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</si>
  <si>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</si>
  <si>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</si>
  <si>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</si>
  <si>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</si>
  <si>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</si>
  <si>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</si>
  <si>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</si>
  <si>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</si>
  <si>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</si>
  <si>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</si>
  <si>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</si>
  <si>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</si>
  <si>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</si>
  <si>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</si>
  <si>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</si>
  <si>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LYAP-X2144-1R</t>
  </si>
  <si>
    <t>LYAP-X1665-1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</si>
  <si>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</si>
  <si>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</si>
  <si>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</si>
  <si>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</si>
  <si>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</si>
  <si>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</si>
  <si>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</si>
  <si>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</si>
  <si>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</si>
  <si>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</si>
  <si>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</si>
  <si>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</si>
  <si>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</si>
  <si>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</si>
  <si>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</si>
  <si>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</si>
  <si>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</si>
  <si>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</si>
  <si>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品线</t>
  </si>
  <si>
    <t>1月新品计数</t>
  </si>
  <si>
    <t>2月新品计数</t>
  </si>
  <si>
    <t>3月新品计数</t>
  </si>
  <si>
    <t>1月新品出单率</t>
  </si>
  <si>
    <t>2月新品出单率</t>
  </si>
  <si>
    <t>3月新品出单率</t>
  </si>
  <si>
    <t>1月销售额占比</t>
  </si>
  <si>
    <t>2月品线销售额占比</t>
  </si>
  <si>
    <t>3月品线销售额占比</t>
  </si>
  <si>
    <t>玻璃</t>
  </si>
  <si>
    <t>牌照板支架</t>
  </si>
  <si>
    <t>软顶</t>
  </si>
  <si>
    <t>雨刮罩</t>
  </si>
  <si>
    <t>新品总数据</t>
  </si>
  <si>
    <t>分析人</t>
  </si>
  <si>
    <t>1月平均分析频次</t>
  </si>
  <si>
    <t>2月平均分析频次</t>
  </si>
  <si>
    <t>3月平均分析频次</t>
  </si>
  <si>
    <t>1月均价</t>
  </si>
  <si>
    <t>2月均价</t>
  </si>
  <si>
    <t>3月均价</t>
  </si>
  <si>
    <t>拓展类型</t>
  </si>
  <si>
    <t>8日出单占比</t>
  </si>
  <si>
    <t>1月占比</t>
  </si>
  <si>
    <t>2月占比</t>
  </si>
  <si>
    <t>3月占比</t>
  </si>
  <si>
    <t>总数据</t>
  </si>
  <si>
    <t>未出单产品标签</t>
  </si>
  <si>
    <t>1月未出单新品占比</t>
  </si>
  <si>
    <t>2月未出单新品占比</t>
  </si>
  <si>
    <t>3月未出单新品占比</t>
  </si>
  <si>
    <t>2月低占比新品</t>
  </si>
  <si>
    <t>2月8日出单</t>
  </si>
  <si>
    <t>2.25判断操作</t>
  </si>
  <si>
    <t>无调整</t>
  </si>
  <si>
    <t>链接优化</t>
  </si>
  <si>
    <t>不调整</t>
  </si>
  <si>
    <t>广告-PLG</t>
  </si>
  <si>
    <t>广告-PLP</t>
  </si>
  <si>
    <t>计数项:SKU</t>
  </si>
  <si>
    <t>总计</t>
  </si>
  <si>
    <t>基础项</t>
  </si>
  <si>
    <t>问题筛选与建议</t>
  </si>
  <si>
    <t>产品类型</t>
  </si>
  <si>
    <t>上架日期</t>
  </si>
  <si>
    <t>3.25在售价</t>
  </si>
  <si>
    <t>3.25站内出单最低价</t>
  </si>
  <si>
    <t>3.25市占</t>
  </si>
  <si>
    <t>8日出单</t>
  </si>
  <si>
    <t>3.25追踪间隔</t>
  </si>
  <si>
    <t>频次检查（周间隔大于7）</t>
  </si>
  <si>
    <t>7日新品频次</t>
  </si>
  <si>
    <t>市场状态</t>
  </si>
  <si>
    <t>运营建议</t>
  </si>
  <si>
    <t>操作判断</t>
  </si>
  <si>
    <t>价格建议</t>
  </si>
  <si>
    <t>分析内容</t>
  </si>
  <si>
    <t>是否减少频次</t>
  </si>
  <si>
    <t>减少理由</t>
  </si>
  <si>
    <t>备注</t>
  </si>
  <si>
    <t>异常</t>
  </si>
  <si>
    <t>降价测试--市场无对手；链接优化</t>
  </si>
  <si>
    <t>多维度优化</t>
  </si>
  <si>
    <t>低市场高货值产品，周不出单，此前卖200+的时候就不太能出，咋涨价到350也是偶然出单，市场二手也没有卖的很好的，自身排名也没问题，就放着卖吧</t>
  </si>
  <si>
    <t>分析：低价对手已断货，自店周销3稳定，当前价格不亏本，先维持价格</t>
  </si>
  <si>
    <t>分析：低价对手显示品牌对手，价格低且多送一副手套，目前刚出1单，再观察一下如果持续出单就跟价</t>
  </si>
  <si>
    <r>
      <rPr>
        <sz val="10"/>
        <color rgb="FF000000"/>
        <rFont val="微软雅黑"/>
        <charset val="134"/>
      </rPr>
      <t>市场占比100%，via主要出单，smart100%PLP出单，测降1%PLG看看情况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via3%PLG</t>
    </r>
  </si>
  <si>
    <t>分析：无出单对手，自店周销1-5，不亏本且站外同价，继续维持价格</t>
  </si>
  <si>
    <t>降价测试--市场无对手；广告测试</t>
  </si>
  <si>
    <t>低市场高货值产品，周不出单，此前卖150的时候就不太能出，涨价到185更出不了单，市场二手也没有卖的很好的，自身排名也没问题，就放着看看能不能卖吧</t>
  </si>
  <si>
    <t>分析：市场需求较低，自店周销0-1，转化偏低，smart性价比低，但是不开smart出不了单，而且花费不算高，继续维持</t>
  </si>
  <si>
    <t>LYAP-X1656-1L</t>
  </si>
  <si>
    <t>低市场高货值产品，周不出单，此前卖218的时候就不太能出，涨价到398更出不了单，市场二手也没有卖的很好的，自身排名也没问题，就放着看看能不能卖吧</t>
  </si>
  <si>
    <t>低市场高货值产品，周不出单，此前已经出过单，目前排名都没问题，市场二手出单也一般，就这样放着卖吧</t>
  </si>
  <si>
    <t>降价测试-市场有低价对手出单</t>
  </si>
  <si>
    <t>分析：低价对手跟我们颜色有区别，价差0.02，刚出了1单，再观察一下</t>
  </si>
  <si>
    <r>
      <rPr>
        <sz val="10"/>
        <color rgb="FF000000"/>
        <rFont val="微软雅黑"/>
        <charset val="134"/>
      </rPr>
      <t>分析：高价对手排名都在前排，我们开启PLP但是排名依旧比较差，流量太低了，转成smart广告打对手老王位，同时其他链接做高价测试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措施：flash换成smart，via涨价45.99，xap涨价52.99</t>
    </r>
  </si>
  <si>
    <t>分析：无出单对手，自店周销4-2，有波动但能持续出单，不调整</t>
  </si>
  <si>
    <r>
      <rPr>
        <sz val="10"/>
        <color rgb="FF000000"/>
        <rFont val="微软雅黑"/>
        <charset val="134"/>
      </rPr>
      <t>分析：无出单对手，自店周销2稳定，可涨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措施：涨价140</t>
    </r>
  </si>
  <si>
    <t>站内无对手，曝光量严重下滑，应该是受amz春促影响，近期pw显示amz降价</t>
  </si>
  <si>
    <t>分析：无出单对手，站外也不出单，组合款出单不稳定，主要是左侧需求高，右侧需求低，近一周整个系列需求都有下滑，再观察一下</t>
  </si>
  <si>
    <t>分析：低需求产品，站内外都无人出单，不调整</t>
  </si>
  <si>
    <t>分析：无出单对手，我们刚降价到27的时候能出单，现在又不出了，先维持吧</t>
  </si>
  <si>
    <r>
      <rPr>
        <sz val="10"/>
        <color rgb="FF000000"/>
        <rFont val="微软雅黑"/>
        <charset val="134"/>
      </rPr>
      <t>低市场高货值产品，周销1在售503，产品排名问题市场无对手，flash的PLG高0.5%但没出单，再加0.5%倾斜测试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flash3%PLG</t>
    </r>
  </si>
  <si>
    <t>分析：无出单对手，自店周销4-5比较稳定，站外同价出的也不错，维持价格</t>
  </si>
  <si>
    <r>
      <rPr>
        <sz val="10"/>
        <color rgb="FF000000"/>
        <rFont val="微软雅黑"/>
        <charset val="134"/>
      </rPr>
      <t>分析：无出单低价，我们近期不出单了，BM排名2-4没问题，但是无转化，有高价对手近期出单了，拉开链接间价差测试一下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措施：via涨价120，xap涨价122</t>
    </r>
  </si>
  <si>
    <t>周出5，站内无对手出单，但16只装对手已有多个55左右的出单对手，xauto目前59， via54.59，之前调价未成功，高价链接下调价格</t>
  </si>
  <si>
    <t>产品开了PLP仍未出单，可能PLG费率太低了，还是没有达到广告位，测试flash5%PLG</t>
  </si>
  <si>
    <t>主要是产品低市场，卖的好的脚踏都是一体式的，分体式就是比较难卖</t>
  </si>
  <si>
    <t>低市场产品，长期无对手出单，flash和viaBM稳定在前5，三条链接几乎没有买家收藏，本身市场量问题，不调整</t>
  </si>
  <si>
    <t>近期市场量下滑，我们与低价运费链接各出一单，不调整</t>
  </si>
  <si>
    <t>周出1，站内高价对手出2，但对手价格变动频繁，无其他对手抢流，正常波动，不调整</t>
  </si>
  <si>
    <t>分析：提升费率后自店周销0-1能出单了，继续维持</t>
  </si>
  <si>
    <t>开了smart之后三条链接都能BM前15，但是只有flash出过一单，产品样式已经是淘汰款式，不调整</t>
  </si>
  <si>
    <t>产品周销6市场无对手，我们卖的挺好的，via的smart的acos在9.7%，测试一下单PLP</t>
  </si>
  <si>
    <t>周出0，站内近期无对手出单，近一个月也只有197对手出过两单，三条链接稳定在BM前10，不调整</t>
  </si>
  <si>
    <r>
      <rPr>
        <sz val="10"/>
        <color rgb="FF000000"/>
        <rFont val="微软雅黑"/>
        <charset val="134"/>
      </rPr>
      <t>分析：新品上架后销量上涨太快，已经分库存了，海上库存也很少，继续涨价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措施：涨价295</t>
    </r>
  </si>
  <si>
    <r>
      <rPr>
        <sz val="10"/>
        <color rgb="FF000000"/>
        <rFont val="微软雅黑"/>
        <charset val="134"/>
      </rPr>
      <t>分析：新品，无出单对手，自店周销4-11持续上升，可测涨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措施：涨价270</t>
    </r>
  </si>
  <si>
    <t>在售460，周销1，super广告没打完，继续打广告做对比测试，bike带年份的两个关键词数据不佳，关闭</t>
  </si>
  <si>
    <t>04-01，LYAP-X2417价格从03-24的105元连续下调至03-26的94.5元，再降至75元，近一周维持75元，但近7日自店销量持续0出单（连续14天）。对手129.9元，周销1-2偶发，我方75元已是市场最低价，降价幅度已很大却仍无出单。AMZ在售90元比我还低15元，AMZ销量0。库存59件，可售周59周，库存偏多。价格判断：75元已接近市场底价，继续降价空间有限且效果存疑，0出单可能不是价格问题。结论：观察，排查listing或该产品市场需求本身较弱，59周库存偏多需加快动销</t>
  </si>
  <si>
    <r>
      <rPr>
        <sz val="10"/>
        <color rgb="FF000000"/>
        <rFont val="微软雅黑"/>
        <charset val="134"/>
      </rPr>
      <t>分析：新品，无出单对手，库存不多动销很快，已经分库存了，海上也没什么库存，涨价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措施：涨价580</t>
    </r>
  </si>
  <si>
    <r>
      <rPr>
        <sz val="10"/>
        <color rgb="FF000000"/>
        <rFont val="微软雅黑"/>
        <charset val="134"/>
      </rPr>
      <t>分析：可售周125，gp和ty多个低价出单，我们长期不出单了，跟价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措施：跟价34.59</t>
    </r>
  </si>
  <si>
    <t>产品中高货值出单良好，但PLPacos到10%了，产品本身PLP和PLG都有开，测试一下bike单PLP看看是否还100%PLP出单</t>
  </si>
  <si>
    <t>04-01，LYAP-X2429我方98元，近7日自店销量持续0出单（连续10天）。03-26之前市场有零星出单，对手116.96元周销1，03-27开始对手消失、市场归0。我方98元是市场最低价却长期无出单。AMZ在售114.66元比我还高16.66元，近7日AMZ销量2单且稳定，说明产品有需求但eBay平台表现差。库存68件，可售周68周偏多。价格判断：维持98元观察，0出单可能不是价格问题，AMZ高价有量说明产品本身没问题，建议排查listing问题。结论：观察，排查listing。</t>
  </si>
  <si>
    <r>
      <rPr>
        <sz val="10"/>
        <color rgb="FF000000"/>
        <rFont val="微软雅黑"/>
        <charset val="134"/>
      </rPr>
      <t>分析：新品，无出单对手，自店周销3稳定，库存不多，海上也没库存，涨价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措施：涨价580</t>
    </r>
  </si>
  <si>
    <r>
      <rPr>
        <sz val="10"/>
        <color rgb="FF000000"/>
        <rFont val="微软雅黑"/>
        <charset val="134"/>
      </rPr>
      <t>分析：新品，无低价对手，自店周销1-4上升，库存不多，海上也没库存，涨价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措施：涨价580</t>
    </r>
  </si>
  <si>
    <r>
      <rPr>
        <sz val="10"/>
        <color rgb="FF000000"/>
        <rFont val="微软雅黑"/>
        <charset val="134"/>
      </rPr>
      <t>分析：新品，无低价对手，库存不多动销很快，周销5-6，已经分库存了，海上也没什么库存，涨价</t>
    </r>
    <r>
      <rPr>
        <sz val="10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措施：涨价580</t>
    </r>
  </si>
  <si>
    <t>分析：3.25上架新品，市场出单对手多但我们有价格优势，先观察一下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</si>
</sst>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26" formatCode="\$#,##0.00_);[Red]\(\$#,##0.00\)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yy/m/d;@"/>
    <numFmt numFmtId="179" formatCode="0_ "/>
    <numFmt numFmtId="180" formatCode="yyyy/m/d;@"/>
    <numFmt numFmtId="181" formatCode="0_);[Red]\(0\)"/>
    <numFmt numFmtId="182" formatCode="0.00_);[Red]\(0.00\)"/>
    <numFmt numFmtId="183" formatCode="\$#,##0.00;[Red]\-\$#,##0.00"/>
  </numFmts>
  <fonts count="36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2"/>
      <color rgb="FF000000"/>
      <name val="Calibri"/>
      <charset val="134"/>
    </font>
    <font>
      <b/>
      <sz val="12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rgb="FF000000"/>
      <name val="Calibri"/>
      <charset val="134"/>
    </font>
    <font>
      <sz val="12"/>
      <color rgb="FF000000"/>
      <name val="Calibri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b/>
      <sz val="11"/>
      <color rgb="FFFF0000"/>
      <name val="宋体"/>
      <charset val="134"/>
      <scheme val="minor"/>
    </font>
    <font>
      <b/>
      <sz val="11"/>
      <color theme="4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sz val="10"/>
      <color theme="1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3F2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rgb="FF000000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theme="4" tint="0.399975585192419"/>
      </bottom>
      <diagonal/>
    </border>
    <border>
      <left/>
      <right/>
      <top/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medium">
        <color auto="1"/>
      </left>
      <right/>
      <top style="thin">
        <color theme="4" tint="0.399975585192419"/>
      </top>
      <bottom style="medium">
        <color auto="1"/>
      </bottom>
      <diagonal/>
    </border>
    <border>
      <left/>
      <right/>
      <top style="thin">
        <color theme="4" tint="0.399975585192419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2" borderId="3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2" applyNumberFormat="0" applyFill="0" applyAlignment="0" applyProtection="0">
      <alignment vertical="center"/>
    </xf>
    <xf numFmtId="0" fontId="24" fillId="0" borderId="3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3" borderId="34" applyNumberFormat="0" applyAlignment="0" applyProtection="0">
      <alignment vertical="center"/>
    </xf>
    <xf numFmtId="0" fontId="26" fillId="14" borderId="35" applyNumberFormat="0" applyAlignment="0" applyProtection="0">
      <alignment vertical="center"/>
    </xf>
    <xf numFmtId="0" fontId="27" fillId="14" borderId="34" applyNumberFormat="0" applyAlignment="0" applyProtection="0">
      <alignment vertical="center"/>
    </xf>
    <xf numFmtId="0" fontId="28" fillId="15" borderId="36" applyNumberFormat="0" applyAlignment="0" applyProtection="0">
      <alignment vertical="center"/>
    </xf>
    <xf numFmtId="0" fontId="29" fillId="0" borderId="37" applyNumberFormat="0" applyFill="0" applyAlignment="0" applyProtection="0">
      <alignment vertical="center"/>
    </xf>
    <xf numFmtId="0" fontId="30" fillId="0" borderId="38" applyNumberFormat="0" applyFill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</cellStyleXfs>
  <cellXfs count="161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vertical="center"/>
    </xf>
    <xf numFmtId="178" fontId="0" fillId="0" borderId="0" xfId="0" applyNumberFormat="1" applyBorder="1" applyAlignment="1">
      <alignment horizontal="left" vertical="center"/>
    </xf>
    <xf numFmtId="178" fontId="0" fillId="0" borderId="3" xfId="0" applyNumberFormat="1" applyBorder="1" applyAlignment="1">
      <alignment horizontal="left" vertical="center"/>
    </xf>
    <xf numFmtId="178" fontId="0" fillId="0" borderId="1" xfId="0" applyNumberFormat="1" applyBorder="1" applyAlignment="1">
      <alignment horizontal="left" vertical="center"/>
    </xf>
    <xf numFmtId="10" fontId="0" fillId="0" borderId="1" xfId="0" applyNumberFormat="1" applyBorder="1" applyAlignment="1">
      <alignment horizontal="left" vertical="center"/>
    </xf>
    <xf numFmtId="178" fontId="0" fillId="0" borderId="2" xfId="0" applyNumberFormat="1" applyBorder="1" applyAlignment="1">
      <alignment horizontal="left" vertical="center"/>
    </xf>
    <xf numFmtId="178" fontId="0" fillId="0" borderId="0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0" xfId="0" applyNumberFormat="1" applyAlignment="1">
      <alignment vertical="center" wrapText="1"/>
    </xf>
    <xf numFmtId="0" fontId="0" fillId="0" borderId="0" xfId="0" applyNumberForma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0" borderId="0" xfId="0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3" fillId="2" borderId="3" xfId="0" applyFont="1" applyFill="1" applyBorder="1" applyAlignment="1">
      <alignment horizontal="left" vertical="center"/>
    </xf>
    <xf numFmtId="0" fontId="3" fillId="2" borderId="2" xfId="0" applyFont="1" applyFill="1" applyBorder="1">
      <alignment vertical="center"/>
    </xf>
    <xf numFmtId="0" fontId="4" fillId="2" borderId="0" xfId="0" applyFont="1" applyFill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10" fontId="4" fillId="2" borderId="3" xfId="0" applyNumberFormat="1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>
      <alignment vertical="center"/>
    </xf>
    <xf numFmtId="0" fontId="6" fillId="0" borderId="4" xfId="0" applyFont="1" applyBorder="1" applyAlignment="1">
      <alignment horizontal="center" vertical="center"/>
    </xf>
    <xf numFmtId="0" fontId="7" fillId="0" borderId="2" xfId="0" applyFont="1" applyBorder="1">
      <alignment vertical="center"/>
    </xf>
    <xf numFmtId="179" fontId="2" fillId="0" borderId="3" xfId="0" applyNumberFormat="1" applyFont="1" applyBorder="1" applyAlignment="1">
      <alignment horizontal="left" vertical="center"/>
    </xf>
    <xf numFmtId="178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10" fontId="2" fillId="0" borderId="3" xfId="0" applyNumberFormat="1" applyFont="1" applyBorder="1" applyAlignment="1">
      <alignment horizontal="left" vertical="center"/>
    </xf>
    <xf numFmtId="179" fontId="2" fillId="0" borderId="3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179" fontId="2" fillId="0" borderId="0" xfId="0" applyNumberFormat="1" applyFont="1" applyAlignment="1">
      <alignment horizontal="left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top" wrapText="1"/>
    </xf>
    <xf numFmtId="180" fontId="2" fillId="0" borderId="3" xfId="0" applyNumberFormat="1" applyFont="1" applyBorder="1" applyAlignment="1">
      <alignment horizontal="left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3" fillId="2" borderId="9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1" fillId="7" borderId="0" xfId="0" applyFont="1" applyFill="1" applyBorder="1" applyAlignment="1">
      <alignment horizontal="center" vertical="center" wrapText="1"/>
    </xf>
    <xf numFmtId="0" fontId="1" fillId="8" borderId="0" xfId="0" applyFont="1" applyFill="1" applyBorder="1" applyAlignment="1">
      <alignment horizontal="center" vertical="center" wrapText="1"/>
    </xf>
    <xf numFmtId="0" fontId="1" fillId="9" borderId="0" xfId="0" applyFont="1" applyFill="1" applyBorder="1" applyAlignment="1">
      <alignment horizontal="center" vertical="center" wrapText="1"/>
    </xf>
    <xf numFmtId="0" fontId="1" fillId="10" borderId="10" xfId="0" applyFont="1" applyFill="1" applyBorder="1" applyAlignment="1">
      <alignment horizontal="center" vertical="center" wrapText="1"/>
    </xf>
    <xf numFmtId="0" fontId="0" fillId="3" borderId="11" xfId="0" applyFill="1" applyBorder="1">
      <alignment vertical="center"/>
    </xf>
    <xf numFmtId="0" fontId="0" fillId="0" borderId="0" xfId="0" applyFill="1">
      <alignment vertical="center"/>
    </xf>
    <xf numFmtId="0" fontId="6" fillId="0" borderId="9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180" fontId="7" fillId="0" borderId="12" xfId="0" applyNumberFormat="1" applyFont="1" applyBorder="1" applyAlignment="1">
      <alignment horizontal="left" vertical="center"/>
    </xf>
    <xf numFmtId="0" fontId="0" fillId="0" borderId="12" xfId="0" applyBorder="1">
      <alignment vertical="center"/>
    </xf>
    <xf numFmtId="180" fontId="7" fillId="0" borderId="1" xfId="0" applyNumberFormat="1" applyFont="1" applyBorder="1" applyAlignment="1">
      <alignment horizontal="left" vertical="center"/>
    </xf>
    <xf numFmtId="181" fontId="7" fillId="0" borderId="13" xfId="0" applyNumberFormat="1" applyFont="1" applyBorder="1" applyAlignment="1">
      <alignment horizontal="left" vertical="center"/>
    </xf>
    <xf numFmtId="180" fontId="7" fillId="0" borderId="10" xfId="0" applyNumberFormat="1" applyFont="1" applyBorder="1" applyAlignment="1">
      <alignment horizontal="left" vertical="center"/>
    </xf>
    <xf numFmtId="181" fontId="7" fillId="0" borderId="0" xfId="0" applyNumberFormat="1" applyFont="1" applyBorder="1" applyAlignment="1">
      <alignment horizontal="center" vertical="center"/>
    </xf>
    <xf numFmtId="26" fontId="7" fillId="0" borderId="0" xfId="0" applyNumberFormat="1" applyFont="1" applyBorder="1" applyAlignment="1">
      <alignment horizontal="center" vertical="center"/>
    </xf>
    <xf numFmtId="10" fontId="7" fillId="0" borderId="10" xfId="0" applyNumberFormat="1" applyFont="1" applyFill="1" applyBorder="1" applyAlignment="1">
      <alignment horizontal="center" vertical="center"/>
    </xf>
    <xf numFmtId="0" fontId="10" fillId="0" borderId="14" xfId="0" applyFont="1" applyFill="1" applyBorder="1">
      <alignment vertical="center"/>
    </xf>
    <xf numFmtId="0" fontId="0" fillId="0" borderId="14" xfId="0" applyFill="1" applyBorder="1">
      <alignment vertical="center"/>
    </xf>
    <xf numFmtId="0" fontId="11" fillId="0" borderId="14" xfId="0" applyFont="1" applyFill="1" applyBorder="1">
      <alignment vertical="center"/>
    </xf>
    <xf numFmtId="180" fontId="5" fillId="0" borderId="1" xfId="0" applyNumberFormat="1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180" fontId="7" fillId="0" borderId="17" xfId="0" applyNumberFormat="1" applyFont="1" applyBorder="1" applyAlignment="1">
      <alignment horizontal="left" vertical="center"/>
    </xf>
    <xf numFmtId="0" fontId="0" fillId="0" borderId="18" xfId="0" applyBorder="1">
      <alignment vertical="center"/>
    </xf>
    <xf numFmtId="180" fontId="7" fillId="0" borderId="19" xfId="0" applyNumberFormat="1" applyFont="1" applyBorder="1" applyAlignment="1">
      <alignment horizontal="left" vertical="center"/>
    </xf>
    <xf numFmtId="181" fontId="7" fillId="0" borderId="20" xfId="0" applyNumberFormat="1" applyFont="1" applyBorder="1" applyAlignment="1">
      <alignment horizontal="left" vertical="center"/>
    </xf>
    <xf numFmtId="180" fontId="5" fillId="0" borderId="19" xfId="0" applyNumberFormat="1" applyFont="1" applyBorder="1" applyAlignment="1">
      <alignment horizontal="left" vertical="center"/>
    </xf>
    <xf numFmtId="180" fontId="7" fillId="0" borderId="21" xfId="0" applyNumberFormat="1" applyFont="1" applyBorder="1" applyAlignment="1">
      <alignment horizontal="left" vertical="center"/>
    </xf>
    <xf numFmtId="181" fontId="7" fillId="0" borderId="18" xfId="0" applyNumberFormat="1" applyFont="1" applyBorder="1" applyAlignment="1">
      <alignment horizontal="center" vertical="center"/>
    </xf>
    <xf numFmtId="26" fontId="7" fillId="0" borderId="18" xfId="0" applyNumberFormat="1" applyFont="1" applyBorder="1" applyAlignment="1">
      <alignment horizontal="center" vertical="center"/>
    </xf>
    <xf numFmtId="10" fontId="7" fillId="0" borderId="21" xfId="0" applyNumberFormat="1" applyFont="1" applyFill="1" applyBorder="1" applyAlignment="1">
      <alignment horizontal="center" vertical="center"/>
    </xf>
    <xf numFmtId="0" fontId="10" fillId="0" borderId="22" xfId="0" applyFont="1" applyFill="1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12" fillId="11" borderId="23" xfId="0" applyFont="1" applyFill="1" applyBorder="1">
      <alignment vertical="center"/>
    </xf>
    <xf numFmtId="0" fontId="12" fillId="11" borderId="24" xfId="0" applyFont="1" applyFill="1" applyBorder="1">
      <alignment vertical="center"/>
    </xf>
    <xf numFmtId="0" fontId="0" fillId="0" borderId="24" xfId="0" applyBorder="1">
      <alignment vertical="center"/>
    </xf>
    <xf numFmtId="0" fontId="12" fillId="11" borderId="25" xfId="0" applyFont="1" applyFill="1" applyBorder="1">
      <alignment vertical="center"/>
    </xf>
    <xf numFmtId="0" fontId="0" fillId="0" borderId="23" xfId="0" applyBorder="1">
      <alignment vertical="center"/>
    </xf>
    <xf numFmtId="0" fontId="12" fillId="11" borderId="26" xfId="0" applyFont="1" applyFill="1" applyBorder="1">
      <alignment vertical="center"/>
    </xf>
    <xf numFmtId="0" fontId="12" fillId="11" borderId="27" xfId="0" applyFont="1" applyFill="1" applyBorder="1">
      <alignment vertical="center"/>
    </xf>
    <xf numFmtId="0" fontId="0" fillId="0" borderId="21" xfId="0" applyBorder="1">
      <alignment vertical="center"/>
    </xf>
    <xf numFmtId="10" fontId="0" fillId="0" borderId="0" xfId="0" applyNumberFormat="1">
      <alignment vertical="center"/>
    </xf>
    <xf numFmtId="0" fontId="13" fillId="0" borderId="28" xfId="0" applyFont="1" applyBorder="1" applyAlignment="1">
      <alignment horizontal="left" vertical="center"/>
    </xf>
    <xf numFmtId="10" fontId="13" fillId="0" borderId="28" xfId="0" applyNumberFormat="1" applyFont="1" applyBorder="1" applyAlignment="1">
      <alignment horizontal="left" vertical="center"/>
    </xf>
    <xf numFmtId="0" fontId="0" fillId="0" borderId="28" xfId="0" applyBorder="1">
      <alignment vertical="center"/>
    </xf>
    <xf numFmtId="26" fontId="13" fillId="0" borderId="28" xfId="0" applyNumberFormat="1" applyFont="1" applyBorder="1" applyAlignment="1">
      <alignment horizontal="left" vertical="center"/>
    </xf>
    <xf numFmtId="182" fontId="0" fillId="0" borderId="0" xfId="0" applyNumberFormat="1">
      <alignment vertical="center"/>
    </xf>
    <xf numFmtId="182" fontId="13" fillId="0" borderId="28" xfId="0" applyNumberFormat="1" applyFont="1" applyBorder="1" applyAlignment="1">
      <alignment horizontal="left" vertical="center"/>
    </xf>
    <xf numFmtId="0" fontId="0" fillId="0" borderId="29" xfId="0" applyBorder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0" borderId="0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6" fontId="0" fillId="0" borderId="9" xfId="0" applyNumberFormat="1" applyBorder="1" applyAlignment="1">
      <alignment horizontal="center" vertical="center"/>
    </xf>
    <xf numFmtId="183" fontId="0" fillId="0" borderId="0" xfId="0" applyNumberFormat="1" applyBorder="1" applyAlignment="1">
      <alignment horizontal="center" vertical="center"/>
    </xf>
    <xf numFmtId="183" fontId="0" fillId="0" borderId="0" xfId="0" applyNumberFormat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2" borderId="30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4" fillId="4" borderId="0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4" fillId="5" borderId="0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 wrapText="1"/>
    </xf>
    <xf numFmtId="0" fontId="14" fillId="6" borderId="0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0" fontId="14" fillId="7" borderId="0" xfId="0" applyFont="1" applyFill="1" applyBorder="1" applyAlignment="1">
      <alignment horizontal="center" vertical="center" wrapText="1"/>
    </xf>
    <xf numFmtId="0" fontId="14" fillId="7" borderId="0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0" xfId="0" applyFont="1" applyFill="1" applyBorder="1" applyAlignment="1">
      <alignment horizontal="center" vertical="center" wrapText="1"/>
    </xf>
    <xf numFmtId="0" fontId="14" fillId="8" borderId="0" xfId="0" applyFont="1" applyFill="1" applyBorder="1" applyAlignment="1">
      <alignment horizontal="center" vertical="center" wrapText="1"/>
    </xf>
    <xf numFmtId="26" fontId="14" fillId="9" borderId="9" xfId="0" applyNumberFormat="1" applyFont="1" applyFill="1" applyBorder="1" applyAlignment="1">
      <alignment horizontal="center" vertical="center" wrapText="1"/>
    </xf>
    <xf numFmtId="0" fontId="14" fillId="9" borderId="0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0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180" fontId="15" fillId="0" borderId="0" xfId="0" applyNumberFormat="1" applyFont="1" applyAlignment="1">
      <alignment horizontal="center" vertical="center" wrapText="1"/>
    </xf>
    <xf numFmtId="180" fontId="15" fillId="0" borderId="1" xfId="0" applyNumberFormat="1" applyFont="1" applyBorder="1" applyAlignment="1">
      <alignment horizontal="center" vertical="center" wrapText="1"/>
    </xf>
    <xf numFmtId="181" fontId="15" fillId="0" borderId="9" xfId="0" applyNumberFormat="1" applyFont="1" applyBorder="1" applyAlignment="1">
      <alignment horizontal="center" vertical="center" wrapText="1"/>
    </xf>
    <xf numFmtId="181" fontId="15" fillId="0" borderId="0" xfId="0" applyNumberFormat="1" applyFont="1" applyBorder="1" applyAlignment="1">
      <alignment horizontal="center" vertical="center" wrapText="1"/>
    </xf>
    <xf numFmtId="181" fontId="15" fillId="0" borderId="0" xfId="0" applyNumberFormat="1" applyFont="1" applyBorder="1" applyAlignment="1">
      <alignment horizontal="center" vertical="center" wrapText="1"/>
    </xf>
    <xf numFmtId="180" fontId="15" fillId="0" borderId="0" xfId="0" applyNumberFormat="1" applyFont="1" applyBorder="1" applyAlignment="1">
      <alignment horizontal="center" vertical="center" wrapText="1"/>
    </xf>
    <xf numFmtId="180" fontId="15" fillId="0" borderId="10" xfId="0" applyNumberFormat="1" applyFont="1" applyBorder="1" applyAlignment="1">
      <alignment horizontal="center" vertical="center" wrapText="1"/>
    </xf>
    <xf numFmtId="180" fontId="15" fillId="0" borderId="10" xfId="0" applyNumberFormat="1" applyFont="1" applyBorder="1" applyAlignment="1">
      <alignment horizontal="center" vertical="center" wrapText="1"/>
    </xf>
    <xf numFmtId="26" fontId="15" fillId="0" borderId="9" xfId="0" applyNumberFormat="1" applyFont="1" applyBorder="1" applyAlignment="1">
      <alignment horizontal="center" vertical="center" wrapText="1"/>
    </xf>
    <xf numFmtId="26" fontId="15" fillId="0" borderId="0" xfId="0" applyNumberFormat="1" applyFont="1" applyBorder="1" applyAlignment="1">
      <alignment horizontal="center" vertical="center" wrapText="1"/>
    </xf>
    <xf numFmtId="26" fontId="15" fillId="0" borderId="0" xfId="0" applyNumberFormat="1" applyFont="1" applyBorder="1" applyAlignment="1">
      <alignment horizontal="center" vertical="center" wrapText="1"/>
    </xf>
    <xf numFmtId="10" fontId="15" fillId="0" borderId="9" xfId="0" applyNumberFormat="1" applyFont="1" applyFill="1" applyBorder="1" applyAlignment="1">
      <alignment horizontal="center" vertical="center" wrapText="1"/>
    </xf>
    <xf numFmtId="10" fontId="15" fillId="0" borderId="0" xfId="0" applyNumberFormat="1" applyFont="1" applyFill="1" applyBorder="1" applyAlignment="1">
      <alignment horizontal="center" vertical="center" wrapText="1"/>
    </xf>
    <xf numFmtId="10" fontId="15" fillId="0" borderId="10" xfId="0" applyNumberFormat="1" applyFont="1" applyFill="1" applyBorder="1" applyAlignment="1">
      <alignment horizontal="center" vertical="center" wrapText="1"/>
    </xf>
    <xf numFmtId="178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80" fontId="15" fillId="0" borderId="12" xfId="0" applyNumberFormat="1" applyFont="1" applyBorder="1" applyAlignment="1">
      <alignment horizontal="center" vertical="center" wrapText="1"/>
    </xf>
    <xf numFmtId="179" fontId="15" fillId="0" borderId="1" xfId="0" applyNumberFormat="1" applyFont="1" applyBorder="1" applyAlignment="1">
      <alignment horizontal="center" vertical="center" wrapText="1"/>
    </xf>
    <xf numFmtId="179" fontId="16" fillId="0" borderId="0" xfId="0" applyNumberFormat="1" applyFont="1" applyBorder="1" applyAlignment="1">
      <alignment horizontal="center" vertical="center" wrapText="1"/>
    </xf>
    <xf numFmtId="181" fontId="15" fillId="0" borderId="1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FF0000"/>
      </font>
      <fill>
        <patternFill patternType="solid">
          <bgColor rgb="FFFEC8CE"/>
        </patternFill>
      </fill>
    </dxf>
    <dxf>
      <font>
        <color rgb="FFD73434"/>
      </font>
      <fill>
        <patternFill patternType="solid">
          <bgColor rgb="FFFFC000"/>
        </patternFill>
      </fill>
    </dxf>
    <dxf>
      <font>
        <color rgb="FFD73434"/>
      </font>
      <fill>
        <patternFill patternType="solid">
          <bgColor rgb="FFFEC8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customXml" Target="../customXml/item1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WPSDrive\1657638535\WPS&#20225;&#19994;&#20113;&#30424;\&#24120;&#24030;&#24066;&#20940;&#36234;&#20449;&#24687;&#25216;&#26415;&#26381;&#21153;&#26377;&#38480;&#20844;&#21496;\&#22242;&#38431;&#25991;&#26723;\eBay&#36816;&#33829;&#19977;&#37096;\&#26032;&#21697;\&#26032;&#21697;&#26816;&#26597;&#35760;&#2440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4.1"/>
      <sheetName val="3.25"/>
      <sheetName val="3.18"/>
      <sheetName val="3.11"/>
      <sheetName val="3.4"/>
      <sheetName val="四三数据累计"/>
      <sheetName val="月数据累计"/>
      <sheetName val="四三透视表"/>
      <sheetName val="月度透视表"/>
      <sheetName val="周销售数据"/>
      <sheetName val="月销售数据"/>
      <sheetName val="分配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L1" t="str">
            <v>销售编号-公式</v>
          </cell>
        </row>
        <row r="1">
          <cell r="O1" t="str">
            <v>首出单日期</v>
          </cell>
        </row>
        <row r="2">
          <cell r="L2">
            <v>5818</v>
          </cell>
        </row>
        <row r="2">
          <cell r="O2">
            <v>45340</v>
          </cell>
        </row>
        <row r="3">
          <cell r="L3">
            <v>5841</v>
          </cell>
        </row>
        <row r="3">
          <cell r="O3">
            <v>45298</v>
          </cell>
        </row>
        <row r="4">
          <cell r="L4">
            <v>5851</v>
          </cell>
        </row>
        <row r="4">
          <cell r="O4">
            <v>45307</v>
          </cell>
        </row>
        <row r="5">
          <cell r="L5">
            <v>5853</v>
          </cell>
        </row>
        <row r="5">
          <cell r="O5">
            <v>45315</v>
          </cell>
        </row>
        <row r="6">
          <cell r="L6">
            <v>5869</v>
          </cell>
        </row>
        <row r="6">
          <cell r="O6">
            <v>45295</v>
          </cell>
        </row>
        <row r="7">
          <cell r="L7">
            <v>5987</v>
          </cell>
        </row>
        <row r="7">
          <cell r="O7">
            <v>45299</v>
          </cell>
        </row>
        <row r="8">
          <cell r="L8">
            <v>5874</v>
          </cell>
        </row>
        <row r="8">
          <cell r="O8">
            <v>45304</v>
          </cell>
        </row>
        <row r="9">
          <cell r="L9">
            <v>5844</v>
          </cell>
        </row>
        <row r="9">
          <cell r="O9">
            <v>45337</v>
          </cell>
        </row>
        <row r="10">
          <cell r="L10">
            <v>5674</v>
          </cell>
        </row>
        <row r="10">
          <cell r="O10">
            <v>45311</v>
          </cell>
        </row>
        <row r="11">
          <cell r="L11">
            <v>5843</v>
          </cell>
        </row>
        <row r="11">
          <cell r="O11">
            <v>45308</v>
          </cell>
        </row>
        <row r="12">
          <cell r="L12">
            <v>5980</v>
          </cell>
        </row>
        <row r="12">
          <cell r="O12">
            <v>45307</v>
          </cell>
        </row>
        <row r="13">
          <cell r="L13">
            <v>5981</v>
          </cell>
        </row>
        <row r="13">
          <cell r="O13">
            <v>45298</v>
          </cell>
        </row>
        <row r="14">
          <cell r="L14">
            <v>5789</v>
          </cell>
        </row>
        <row r="14">
          <cell r="O14">
            <v>45305</v>
          </cell>
        </row>
        <row r="15">
          <cell r="L15">
            <v>5790</v>
          </cell>
        </row>
        <row r="15">
          <cell r="O15">
            <v>45299</v>
          </cell>
        </row>
        <row r="16">
          <cell r="L16">
            <v>5840</v>
          </cell>
        </row>
        <row r="16">
          <cell r="O16">
            <v>45301</v>
          </cell>
        </row>
        <row r="17">
          <cell r="L17">
            <v>5852</v>
          </cell>
        </row>
        <row r="17">
          <cell r="O17">
            <v>45306</v>
          </cell>
        </row>
        <row r="18">
          <cell r="L18">
            <v>5977</v>
          </cell>
        </row>
        <row r="18">
          <cell r="O18">
            <v>45314</v>
          </cell>
        </row>
        <row r="19">
          <cell r="L19">
            <v>5878</v>
          </cell>
        </row>
        <row r="19">
          <cell r="O19">
            <v>45303</v>
          </cell>
        </row>
        <row r="20">
          <cell r="L20">
            <v>4105</v>
          </cell>
        </row>
        <row r="21">
          <cell r="L21">
            <v>4549</v>
          </cell>
        </row>
        <row r="22">
          <cell r="L22">
            <v>5447</v>
          </cell>
        </row>
        <row r="23">
          <cell r="L23">
            <v>5879</v>
          </cell>
        </row>
        <row r="23">
          <cell r="O23">
            <v>45335</v>
          </cell>
        </row>
        <row r="24">
          <cell r="L24">
            <v>6041</v>
          </cell>
        </row>
        <row r="24">
          <cell r="O24">
            <v>45311</v>
          </cell>
        </row>
        <row r="25">
          <cell r="L25">
            <v>6050</v>
          </cell>
        </row>
        <row r="25">
          <cell r="O25">
            <v>45310</v>
          </cell>
        </row>
        <row r="26">
          <cell r="L26">
            <v>6040</v>
          </cell>
        </row>
        <row r="26">
          <cell r="O26">
            <v>45308</v>
          </cell>
        </row>
        <row r="27">
          <cell r="L27">
            <v>6058</v>
          </cell>
        </row>
        <row r="27">
          <cell r="O27">
            <v>45311</v>
          </cell>
        </row>
        <row r="28">
          <cell r="L28">
            <v>5510</v>
          </cell>
        </row>
        <row r="29">
          <cell r="L29">
            <v>5620</v>
          </cell>
        </row>
        <row r="30">
          <cell r="L30">
            <v>5589</v>
          </cell>
        </row>
        <row r="31">
          <cell r="L31">
            <v>6014</v>
          </cell>
        </row>
        <row r="31">
          <cell r="O31">
            <v>45320</v>
          </cell>
        </row>
        <row r="32">
          <cell r="L32">
            <v>6015</v>
          </cell>
        </row>
        <row r="32">
          <cell r="O32">
            <v>45343</v>
          </cell>
        </row>
        <row r="33">
          <cell r="L33">
            <v>6016</v>
          </cell>
        </row>
        <row r="33">
          <cell r="O33">
            <v>45314</v>
          </cell>
        </row>
        <row r="34">
          <cell r="L34">
            <v>5993</v>
          </cell>
        </row>
        <row r="34">
          <cell r="O34">
            <v>45320</v>
          </cell>
        </row>
        <row r="35">
          <cell r="L35">
            <v>6033</v>
          </cell>
        </row>
        <row r="35">
          <cell r="O35">
            <v>45339</v>
          </cell>
        </row>
        <row r="36">
          <cell r="L36">
            <v>6027</v>
          </cell>
        </row>
        <row r="36">
          <cell r="O36">
            <v>45318</v>
          </cell>
        </row>
        <row r="37">
          <cell r="L37">
            <v>6031</v>
          </cell>
        </row>
        <row r="37">
          <cell r="O37">
            <v>45320</v>
          </cell>
        </row>
        <row r="38">
          <cell r="L38">
            <v>5958</v>
          </cell>
        </row>
        <row r="38">
          <cell r="O38">
            <v>45320</v>
          </cell>
        </row>
        <row r="39">
          <cell r="L39">
            <v>6032</v>
          </cell>
        </row>
        <row r="39">
          <cell r="O39">
            <v>45317</v>
          </cell>
        </row>
        <row r="40">
          <cell r="L40">
            <v>6034</v>
          </cell>
        </row>
        <row r="40">
          <cell r="O40">
            <v>45386</v>
          </cell>
        </row>
        <row r="41">
          <cell r="L41">
            <v>6128</v>
          </cell>
        </row>
        <row r="41">
          <cell r="O41">
            <v>45322</v>
          </cell>
        </row>
        <row r="42">
          <cell r="L42">
            <v>6136</v>
          </cell>
        </row>
        <row r="42">
          <cell r="O42">
            <v>45349</v>
          </cell>
        </row>
        <row r="43">
          <cell r="L43">
            <v>6137</v>
          </cell>
        </row>
        <row r="43">
          <cell r="O43">
            <v>45321</v>
          </cell>
        </row>
        <row r="44">
          <cell r="L44">
            <v>6162</v>
          </cell>
        </row>
        <row r="44">
          <cell r="O44">
            <v>45328</v>
          </cell>
        </row>
        <row r="45">
          <cell r="L45">
            <v>6165</v>
          </cell>
        </row>
        <row r="45">
          <cell r="O45">
            <v>45327</v>
          </cell>
        </row>
        <row r="46">
          <cell r="L46">
            <v>6168</v>
          </cell>
        </row>
        <row r="46">
          <cell r="O46">
            <v>45338</v>
          </cell>
        </row>
        <row r="47">
          <cell r="L47">
            <v>6169</v>
          </cell>
        </row>
        <row r="47">
          <cell r="O47">
            <v>45399</v>
          </cell>
        </row>
        <row r="48">
          <cell r="L48">
            <v>6170</v>
          </cell>
        </row>
        <row r="48">
          <cell r="O48">
            <v>45322</v>
          </cell>
        </row>
        <row r="49">
          <cell r="L49">
            <v>6171</v>
          </cell>
        </row>
        <row r="49">
          <cell r="O49">
            <v>45345</v>
          </cell>
        </row>
        <row r="50">
          <cell r="L50">
            <v>6172</v>
          </cell>
        </row>
        <row r="50">
          <cell r="O50">
            <v>45323</v>
          </cell>
        </row>
        <row r="51">
          <cell r="L51">
            <v>6173</v>
          </cell>
        </row>
        <row r="51">
          <cell r="O51">
            <v>45328</v>
          </cell>
        </row>
        <row r="52">
          <cell r="L52">
            <v>4817</v>
          </cell>
        </row>
        <row r="53">
          <cell r="L53">
            <v>4679</v>
          </cell>
        </row>
        <row r="54">
          <cell r="L54">
            <v>5119</v>
          </cell>
        </row>
        <row r="55">
          <cell r="L55">
            <v>5834</v>
          </cell>
        </row>
        <row r="55">
          <cell r="O55">
            <v>45341</v>
          </cell>
        </row>
        <row r="56">
          <cell r="L56">
            <v>6187</v>
          </cell>
        </row>
        <row r="56">
          <cell r="O56">
            <v>45343</v>
          </cell>
        </row>
        <row r="57">
          <cell r="L57">
            <v>6188</v>
          </cell>
        </row>
        <row r="57">
          <cell r="O57">
            <v>45341</v>
          </cell>
        </row>
        <row r="58">
          <cell r="L58">
            <v>6189</v>
          </cell>
        </row>
        <row r="58">
          <cell r="O58">
            <v>45338</v>
          </cell>
        </row>
        <row r="59">
          <cell r="L59">
            <v>6190</v>
          </cell>
        </row>
        <row r="59">
          <cell r="O59">
            <v>45339</v>
          </cell>
        </row>
        <row r="60">
          <cell r="L60">
            <v>6221</v>
          </cell>
        </row>
        <row r="60">
          <cell r="O60">
            <v>45366</v>
          </cell>
        </row>
        <row r="61">
          <cell r="L61">
            <v>6222</v>
          </cell>
        </row>
        <row r="61">
          <cell r="O61">
            <v>45342</v>
          </cell>
        </row>
        <row r="62">
          <cell r="L62">
            <v>6223</v>
          </cell>
        </row>
        <row r="62">
          <cell r="O62">
            <v>45341</v>
          </cell>
        </row>
        <row r="63">
          <cell r="L63">
            <v>6224</v>
          </cell>
        </row>
        <row r="63">
          <cell r="O63">
            <v>45335</v>
          </cell>
        </row>
        <row r="64">
          <cell r="L64">
            <v>6246</v>
          </cell>
        </row>
        <row r="64">
          <cell r="O64">
            <v>45338</v>
          </cell>
        </row>
        <row r="65">
          <cell r="L65">
            <v>6247</v>
          </cell>
        </row>
        <row r="65">
          <cell r="O65">
            <v>45337</v>
          </cell>
        </row>
        <row r="66">
          <cell r="L66">
            <v>6249</v>
          </cell>
        </row>
        <row r="66">
          <cell r="O66">
            <v>45341</v>
          </cell>
        </row>
        <row r="67">
          <cell r="L67">
            <v>5501</v>
          </cell>
        </row>
        <row r="68">
          <cell r="L68">
            <v>5641</v>
          </cell>
        </row>
        <row r="69">
          <cell r="L69">
            <v>6200</v>
          </cell>
        </row>
        <row r="69">
          <cell r="O69">
            <v>45349</v>
          </cell>
        </row>
        <row r="70">
          <cell r="L70">
            <v>6201</v>
          </cell>
        </row>
        <row r="70">
          <cell r="O70">
            <v>45345</v>
          </cell>
        </row>
        <row r="71">
          <cell r="L71">
            <v>6202</v>
          </cell>
        </row>
        <row r="71">
          <cell r="O71">
            <v>45345</v>
          </cell>
        </row>
        <row r="72">
          <cell r="L72">
            <v>6204</v>
          </cell>
        </row>
        <row r="72">
          <cell r="O72">
            <v>45340</v>
          </cell>
        </row>
        <row r="73">
          <cell r="L73">
            <v>6203</v>
          </cell>
        </row>
        <row r="73">
          <cell r="O73">
            <v>45338</v>
          </cell>
        </row>
        <row r="74">
          <cell r="L74">
            <v>6226</v>
          </cell>
        </row>
        <row r="74">
          <cell r="O74">
            <v>45346</v>
          </cell>
        </row>
        <row r="75">
          <cell r="L75">
            <v>6303</v>
          </cell>
        </row>
        <row r="75">
          <cell r="O75">
            <v>45346</v>
          </cell>
        </row>
        <row r="76">
          <cell r="L76">
            <v>6304</v>
          </cell>
        </row>
        <row r="76">
          <cell r="O76">
            <v>45347</v>
          </cell>
        </row>
        <row r="77">
          <cell r="L77">
            <v>5502</v>
          </cell>
        </row>
        <row r="78">
          <cell r="L78">
            <v>5787</v>
          </cell>
        </row>
        <row r="78">
          <cell r="O78">
            <v>45369</v>
          </cell>
        </row>
        <row r="79">
          <cell r="L79">
            <v>5788</v>
          </cell>
        </row>
        <row r="79">
          <cell r="O79">
            <v>45369</v>
          </cell>
        </row>
        <row r="80">
          <cell r="L80">
            <v>5792</v>
          </cell>
        </row>
        <row r="80">
          <cell r="O80">
            <v>45403</v>
          </cell>
        </row>
        <row r="81">
          <cell r="L81">
            <v>5889</v>
          </cell>
        </row>
        <row r="81">
          <cell r="O81">
            <v>45364</v>
          </cell>
        </row>
        <row r="82">
          <cell r="L82">
            <v>5812</v>
          </cell>
        </row>
        <row r="82">
          <cell r="O82">
            <v>45376</v>
          </cell>
        </row>
        <row r="83">
          <cell r="L83">
            <v>5817</v>
          </cell>
        </row>
        <row r="83">
          <cell r="O83">
            <v>45403</v>
          </cell>
        </row>
        <row r="84">
          <cell r="L84">
            <v>5813</v>
          </cell>
        </row>
        <row r="84">
          <cell r="O84">
            <v>45487</v>
          </cell>
        </row>
        <row r="85">
          <cell r="L85">
            <v>5835</v>
          </cell>
        </row>
        <row r="85">
          <cell r="O85">
            <v>45366</v>
          </cell>
        </row>
        <row r="86">
          <cell r="L86">
            <v>5836</v>
          </cell>
        </row>
        <row r="86">
          <cell r="O86">
            <v>45369</v>
          </cell>
        </row>
        <row r="87">
          <cell r="L87">
            <v>5379</v>
          </cell>
        </row>
        <row r="87">
          <cell r="O87">
            <v>45394</v>
          </cell>
        </row>
        <row r="88">
          <cell r="L88">
            <v>6365</v>
          </cell>
        </row>
        <row r="88">
          <cell r="O88">
            <v>45370</v>
          </cell>
        </row>
        <row r="89">
          <cell r="L89">
            <v>6361</v>
          </cell>
        </row>
        <row r="89">
          <cell r="O89">
            <v>45370</v>
          </cell>
        </row>
        <row r="90">
          <cell r="L90">
            <v>6352</v>
          </cell>
        </row>
        <row r="91">
          <cell r="L91">
            <v>6379</v>
          </cell>
        </row>
        <row r="91">
          <cell r="O91">
            <v>45379</v>
          </cell>
        </row>
        <row r="92">
          <cell r="L92">
            <v>6380</v>
          </cell>
        </row>
        <row r="92">
          <cell r="O92">
            <v>45378</v>
          </cell>
        </row>
        <row r="93">
          <cell r="L93">
            <v>6381</v>
          </cell>
        </row>
        <row r="93">
          <cell r="O93">
            <v>45383</v>
          </cell>
        </row>
        <row r="94">
          <cell r="L94">
            <v>6383</v>
          </cell>
        </row>
        <row r="94">
          <cell r="O94">
            <v>45382</v>
          </cell>
        </row>
        <row r="95">
          <cell r="L95">
            <v>6429</v>
          </cell>
        </row>
        <row r="95">
          <cell r="O95">
            <v>45385</v>
          </cell>
        </row>
        <row r="96">
          <cell r="L96">
            <v>6430</v>
          </cell>
        </row>
        <row r="96">
          <cell r="O96">
            <v>45383</v>
          </cell>
        </row>
        <row r="97">
          <cell r="L97">
            <v>6431</v>
          </cell>
        </row>
        <row r="97">
          <cell r="O97">
            <v>45384</v>
          </cell>
        </row>
        <row r="98">
          <cell r="L98">
            <v>6432</v>
          </cell>
        </row>
        <row r="98">
          <cell r="O98">
            <v>45379</v>
          </cell>
        </row>
        <row r="99">
          <cell r="L99">
            <v>6433</v>
          </cell>
        </row>
        <row r="99">
          <cell r="O99">
            <v>45378</v>
          </cell>
        </row>
        <row r="100">
          <cell r="L100">
            <v>6434</v>
          </cell>
        </row>
        <row r="100">
          <cell r="O100">
            <v>45390</v>
          </cell>
        </row>
        <row r="101">
          <cell r="L101">
            <v>6446</v>
          </cell>
        </row>
        <row r="101">
          <cell r="O101">
            <v>45380</v>
          </cell>
        </row>
        <row r="102">
          <cell r="L102">
            <v>6451</v>
          </cell>
        </row>
        <row r="102">
          <cell r="O102">
            <v>45393</v>
          </cell>
        </row>
        <row r="103">
          <cell r="L103">
            <v>6420</v>
          </cell>
        </row>
        <row r="103">
          <cell r="O103">
            <v>45382</v>
          </cell>
        </row>
        <row r="104">
          <cell r="L104">
            <v>6422</v>
          </cell>
        </row>
        <row r="104">
          <cell r="O104">
            <v>45389</v>
          </cell>
        </row>
        <row r="105">
          <cell r="L105">
            <v>6642</v>
          </cell>
        </row>
        <row r="105">
          <cell r="O105">
            <v>45441</v>
          </cell>
        </row>
        <row r="106">
          <cell r="L106">
            <v>6382</v>
          </cell>
        </row>
        <row r="106">
          <cell r="O106">
            <v>45390</v>
          </cell>
        </row>
        <row r="107">
          <cell r="L107">
            <v>6452</v>
          </cell>
        </row>
        <row r="107">
          <cell r="O107">
            <v>45389</v>
          </cell>
        </row>
        <row r="108">
          <cell r="L108">
            <v>6453</v>
          </cell>
        </row>
        <row r="108">
          <cell r="O108">
            <v>45397</v>
          </cell>
        </row>
        <row r="109">
          <cell r="L109">
            <v>6454</v>
          </cell>
        </row>
        <row r="109">
          <cell r="O109">
            <v>45389</v>
          </cell>
        </row>
        <row r="110">
          <cell r="L110">
            <v>6465</v>
          </cell>
        </row>
        <row r="110">
          <cell r="O110">
            <v>45398</v>
          </cell>
        </row>
        <row r="111">
          <cell r="L111">
            <v>6475</v>
          </cell>
        </row>
        <row r="111">
          <cell r="O111">
            <v>45383</v>
          </cell>
        </row>
        <row r="112">
          <cell r="L112">
            <v>6471</v>
          </cell>
        </row>
        <row r="112">
          <cell r="O112">
            <v>45401</v>
          </cell>
        </row>
        <row r="113">
          <cell r="L113">
            <v>6529</v>
          </cell>
        </row>
        <row r="113">
          <cell r="O113">
            <v>45418</v>
          </cell>
        </row>
        <row r="114">
          <cell r="L114">
            <v>6530</v>
          </cell>
        </row>
        <row r="114">
          <cell r="O114">
            <v>45416</v>
          </cell>
        </row>
        <row r="115">
          <cell r="L115">
            <v>6531</v>
          </cell>
        </row>
        <row r="115">
          <cell r="O115">
            <v>45403</v>
          </cell>
        </row>
        <row r="116">
          <cell r="L116">
            <v>6532</v>
          </cell>
        </row>
        <row r="116">
          <cell r="O116">
            <v>45405</v>
          </cell>
        </row>
        <row r="117">
          <cell r="L117">
            <v>6748</v>
          </cell>
        </row>
        <row r="117">
          <cell r="O117">
            <v>45415</v>
          </cell>
        </row>
        <row r="118">
          <cell r="L118">
            <v>6518</v>
          </cell>
        </row>
        <row r="118">
          <cell r="O118">
            <v>45407</v>
          </cell>
        </row>
        <row r="119">
          <cell r="L119">
            <v>6527</v>
          </cell>
        </row>
        <row r="119">
          <cell r="O119">
            <v>45407</v>
          </cell>
        </row>
        <row r="120">
          <cell r="L120">
            <v>6525</v>
          </cell>
        </row>
        <row r="120">
          <cell r="O120">
            <v>45404</v>
          </cell>
        </row>
        <row r="121">
          <cell r="L121">
            <v>6548</v>
          </cell>
        </row>
        <row r="121">
          <cell r="O121">
            <v>45437</v>
          </cell>
        </row>
        <row r="122">
          <cell r="L122">
            <v>6537</v>
          </cell>
        </row>
        <row r="122">
          <cell r="O122">
            <v>45412</v>
          </cell>
        </row>
        <row r="123">
          <cell r="L123">
            <v>6538</v>
          </cell>
        </row>
        <row r="123">
          <cell r="O123">
            <v>45414</v>
          </cell>
        </row>
        <row r="124">
          <cell r="L124">
            <v>6539</v>
          </cell>
        </row>
        <row r="124">
          <cell r="O124">
            <v>45432</v>
          </cell>
        </row>
        <row r="125">
          <cell r="L125">
            <v>6568</v>
          </cell>
        </row>
        <row r="125">
          <cell r="O125">
            <v>45419</v>
          </cell>
        </row>
        <row r="126">
          <cell r="L126">
            <v>6515</v>
          </cell>
        </row>
        <row r="126">
          <cell r="O126">
            <v>45434</v>
          </cell>
        </row>
        <row r="127">
          <cell r="L127">
            <v>6499</v>
          </cell>
        </row>
        <row r="127">
          <cell r="O127">
            <v>45420</v>
          </cell>
        </row>
        <row r="128">
          <cell r="L128">
            <v>6577</v>
          </cell>
        </row>
        <row r="128">
          <cell r="O128">
            <v>45426</v>
          </cell>
        </row>
        <row r="129">
          <cell r="L129">
            <v>6556</v>
          </cell>
        </row>
        <row r="129">
          <cell r="O129">
            <v>45422</v>
          </cell>
        </row>
        <row r="130">
          <cell r="L130">
            <v>6559</v>
          </cell>
        </row>
        <row r="130">
          <cell r="O130">
            <v>45422</v>
          </cell>
        </row>
        <row r="131">
          <cell r="L131">
            <v>5610</v>
          </cell>
        </row>
        <row r="132">
          <cell r="L132">
            <v>6554</v>
          </cell>
        </row>
        <row r="132">
          <cell r="O132">
            <v>45421</v>
          </cell>
        </row>
        <row r="133">
          <cell r="L133">
            <v>6558</v>
          </cell>
        </row>
        <row r="133">
          <cell r="O133">
            <v>45426</v>
          </cell>
        </row>
        <row r="134">
          <cell r="L134">
            <v>6560</v>
          </cell>
        </row>
        <row r="134">
          <cell r="O134">
            <v>45422</v>
          </cell>
        </row>
        <row r="135">
          <cell r="L135">
            <v>6616</v>
          </cell>
        </row>
        <row r="135">
          <cell r="O135">
            <v>45434</v>
          </cell>
        </row>
        <row r="136">
          <cell r="L136">
            <v>6604</v>
          </cell>
        </row>
        <row r="136">
          <cell r="O136">
            <v>45436</v>
          </cell>
        </row>
        <row r="137">
          <cell r="L137">
            <v>6632</v>
          </cell>
        </row>
        <row r="137">
          <cell r="O137">
            <v>45434</v>
          </cell>
        </row>
        <row r="138">
          <cell r="L138">
            <v>6634</v>
          </cell>
        </row>
        <row r="138">
          <cell r="O138">
            <v>45435</v>
          </cell>
        </row>
        <row r="139">
          <cell r="L139">
            <v>6636</v>
          </cell>
        </row>
        <row r="139">
          <cell r="O139">
            <v>45434</v>
          </cell>
        </row>
        <row r="140">
          <cell r="L140">
            <v>6633</v>
          </cell>
        </row>
        <row r="140">
          <cell r="O140">
            <v>45433</v>
          </cell>
        </row>
        <row r="141">
          <cell r="L141">
            <v>6635</v>
          </cell>
        </row>
        <row r="141">
          <cell r="O141">
            <v>45433</v>
          </cell>
        </row>
        <row r="142">
          <cell r="L142">
            <v>6615</v>
          </cell>
        </row>
        <row r="142">
          <cell r="O142">
            <v>45430</v>
          </cell>
        </row>
        <row r="143">
          <cell r="L143">
            <v>6618</v>
          </cell>
        </row>
        <row r="143">
          <cell r="O143">
            <v>45458</v>
          </cell>
        </row>
        <row r="144">
          <cell r="L144">
            <v>6795</v>
          </cell>
        </row>
        <row r="144">
          <cell r="O144">
            <v>45443</v>
          </cell>
        </row>
        <row r="145">
          <cell r="L145">
            <v>6561</v>
          </cell>
        </row>
        <row r="145">
          <cell r="O145">
            <v>45439</v>
          </cell>
        </row>
        <row r="146">
          <cell r="L146">
            <v>6696</v>
          </cell>
        </row>
        <row r="146">
          <cell r="O146">
            <v>45447</v>
          </cell>
        </row>
        <row r="147">
          <cell r="L147">
            <v>6619</v>
          </cell>
        </row>
        <row r="148">
          <cell r="L148">
            <v>6600</v>
          </cell>
        </row>
        <row r="148">
          <cell r="O148">
            <v>45447</v>
          </cell>
        </row>
        <row r="149">
          <cell r="L149">
            <v>5717</v>
          </cell>
        </row>
        <row r="150">
          <cell r="L150">
            <v>5718</v>
          </cell>
        </row>
        <row r="151">
          <cell r="L151">
            <v>4680</v>
          </cell>
        </row>
        <row r="152">
          <cell r="L152">
            <v>4219</v>
          </cell>
        </row>
        <row r="153">
          <cell r="L153">
            <v>6701</v>
          </cell>
        </row>
        <row r="153">
          <cell r="O153">
            <v>45456</v>
          </cell>
        </row>
        <row r="154">
          <cell r="L154">
            <v>6599</v>
          </cell>
        </row>
        <row r="154">
          <cell r="O154">
            <v>45464</v>
          </cell>
        </row>
        <row r="155">
          <cell r="L155">
            <v>6598</v>
          </cell>
        </row>
        <row r="155">
          <cell r="O155">
            <v>45462</v>
          </cell>
        </row>
        <row r="156">
          <cell r="L156">
            <v>6557</v>
          </cell>
        </row>
        <row r="156">
          <cell r="O156">
            <v>45458</v>
          </cell>
        </row>
        <row r="157">
          <cell r="L157">
            <v>6681</v>
          </cell>
        </row>
        <row r="157">
          <cell r="O157">
            <v>45456</v>
          </cell>
        </row>
        <row r="158">
          <cell r="L158">
            <v>6685</v>
          </cell>
        </row>
        <row r="158">
          <cell r="O158">
            <v>45479</v>
          </cell>
        </row>
        <row r="159">
          <cell r="L159">
            <v>6686</v>
          </cell>
        </row>
        <row r="159">
          <cell r="O159">
            <v>45491</v>
          </cell>
        </row>
        <row r="160">
          <cell r="L160">
            <v>6630</v>
          </cell>
        </row>
        <row r="160">
          <cell r="O160">
            <v>45462</v>
          </cell>
        </row>
        <row r="161">
          <cell r="L161">
            <v>6670</v>
          </cell>
        </row>
        <row r="161">
          <cell r="O161">
            <v>45458</v>
          </cell>
        </row>
        <row r="162">
          <cell r="L162">
            <v>6730</v>
          </cell>
        </row>
        <row r="162">
          <cell r="O162">
            <v>45464</v>
          </cell>
        </row>
        <row r="163">
          <cell r="L163">
            <v>6906</v>
          </cell>
        </row>
        <row r="163">
          <cell r="O163">
            <v>45460</v>
          </cell>
        </row>
        <row r="164">
          <cell r="L164">
            <v>6907</v>
          </cell>
        </row>
        <row r="164">
          <cell r="O164">
            <v>45460</v>
          </cell>
        </row>
        <row r="165">
          <cell r="L165">
            <v>6872</v>
          </cell>
        </row>
        <row r="165">
          <cell r="O165">
            <v>45470</v>
          </cell>
        </row>
        <row r="166">
          <cell r="L166">
            <v>6873</v>
          </cell>
        </row>
        <row r="166">
          <cell r="O166">
            <v>45458</v>
          </cell>
        </row>
        <row r="167">
          <cell r="L167">
            <v>6908</v>
          </cell>
        </row>
        <row r="167">
          <cell r="O167">
            <v>45471</v>
          </cell>
        </row>
        <row r="168">
          <cell r="L168">
            <v>6909</v>
          </cell>
        </row>
        <row r="168">
          <cell r="O168">
            <v>45469</v>
          </cell>
        </row>
        <row r="169">
          <cell r="L169">
            <v>6910</v>
          </cell>
        </row>
        <row r="169">
          <cell r="O169">
            <v>45464</v>
          </cell>
        </row>
        <row r="170">
          <cell r="L170">
            <v>6911</v>
          </cell>
        </row>
        <row r="170">
          <cell r="O170">
            <v>45471</v>
          </cell>
        </row>
        <row r="171">
          <cell r="L171">
            <v>6912</v>
          </cell>
        </row>
        <row r="171">
          <cell r="O171">
            <v>45460</v>
          </cell>
        </row>
        <row r="172">
          <cell r="L172">
            <v>6913</v>
          </cell>
        </row>
        <row r="172">
          <cell r="O172">
            <v>45461</v>
          </cell>
        </row>
        <row r="173">
          <cell r="L173">
            <v>6914</v>
          </cell>
        </row>
        <row r="173">
          <cell r="O173">
            <v>45460</v>
          </cell>
        </row>
        <row r="174">
          <cell r="L174">
            <v>6915</v>
          </cell>
        </row>
        <row r="174">
          <cell r="O174">
            <v>45460</v>
          </cell>
        </row>
        <row r="175">
          <cell r="L175">
            <v>6517</v>
          </cell>
        </row>
        <row r="175">
          <cell r="O175">
            <v>45463</v>
          </cell>
        </row>
        <row r="176">
          <cell r="L176">
            <v>5630</v>
          </cell>
        </row>
        <row r="177">
          <cell r="L177">
            <v>4799</v>
          </cell>
        </row>
        <row r="178">
          <cell r="L178">
            <v>6729</v>
          </cell>
        </row>
        <row r="178">
          <cell r="O178">
            <v>45477</v>
          </cell>
        </row>
        <row r="179">
          <cell r="L179">
            <v>6773</v>
          </cell>
        </row>
        <row r="179">
          <cell r="O179">
            <v>45475</v>
          </cell>
        </row>
        <row r="180">
          <cell r="L180">
            <v>6775</v>
          </cell>
        </row>
        <row r="180">
          <cell r="O180">
            <v>45476</v>
          </cell>
        </row>
        <row r="181">
          <cell r="L181">
            <v>6787</v>
          </cell>
        </row>
        <row r="181">
          <cell r="O181">
            <v>45470</v>
          </cell>
        </row>
        <row r="182">
          <cell r="L182">
            <v>6764</v>
          </cell>
        </row>
        <row r="182">
          <cell r="O182">
            <v>45509</v>
          </cell>
        </row>
        <row r="183">
          <cell r="L183">
            <v>5094</v>
          </cell>
        </row>
        <row r="183">
          <cell r="O183">
            <v>45473</v>
          </cell>
        </row>
        <row r="184">
          <cell r="L184">
            <v>6823</v>
          </cell>
        </row>
        <row r="184">
          <cell r="O184">
            <v>45580</v>
          </cell>
        </row>
        <row r="185">
          <cell r="L185">
            <v>6824</v>
          </cell>
        </row>
        <row r="185">
          <cell r="O185">
            <v>45557</v>
          </cell>
        </row>
        <row r="186">
          <cell r="L186">
            <v>6825</v>
          </cell>
        </row>
        <row r="186">
          <cell r="O186">
            <v>45714</v>
          </cell>
        </row>
        <row r="187">
          <cell r="L187">
            <v>6826</v>
          </cell>
        </row>
        <row r="187">
          <cell r="O187">
            <v>45518</v>
          </cell>
        </row>
        <row r="188">
          <cell r="L188">
            <v>6905</v>
          </cell>
        </row>
        <row r="188">
          <cell r="O188">
            <v>45475</v>
          </cell>
        </row>
        <row r="189">
          <cell r="L189">
            <v>6762</v>
          </cell>
        </row>
        <row r="189">
          <cell r="O189">
            <v>45472</v>
          </cell>
        </row>
        <row r="190">
          <cell r="L190">
            <v>6763</v>
          </cell>
        </row>
        <row r="190">
          <cell r="O190">
            <v>45490</v>
          </cell>
        </row>
        <row r="191">
          <cell r="L191">
            <v>6903</v>
          </cell>
        </row>
        <row r="191">
          <cell r="O191">
            <v>45472</v>
          </cell>
        </row>
        <row r="192">
          <cell r="L192">
            <v>6821</v>
          </cell>
        </row>
        <row r="192">
          <cell r="O192">
            <v>45493</v>
          </cell>
        </row>
        <row r="193">
          <cell r="L193">
            <v>6865</v>
          </cell>
        </row>
        <row r="193">
          <cell r="O193">
            <v>45480</v>
          </cell>
        </row>
        <row r="194">
          <cell r="L194">
            <v>6629</v>
          </cell>
        </row>
        <row r="195">
          <cell r="L195">
            <v>4692</v>
          </cell>
        </row>
        <row r="196">
          <cell r="L196">
            <v>6625</v>
          </cell>
        </row>
        <row r="197">
          <cell r="L197">
            <v>3548</v>
          </cell>
        </row>
        <row r="198">
          <cell r="L198">
            <v>5207</v>
          </cell>
        </row>
        <row r="199">
          <cell r="L199">
            <v>6725</v>
          </cell>
        </row>
        <row r="199">
          <cell r="O199">
            <v>45481</v>
          </cell>
        </row>
        <row r="200">
          <cell r="L200">
            <v>6822</v>
          </cell>
        </row>
        <row r="200">
          <cell r="O200">
            <v>45491</v>
          </cell>
        </row>
        <row r="201">
          <cell r="L201">
            <v>6867</v>
          </cell>
        </row>
        <row r="201">
          <cell r="O201">
            <v>45491</v>
          </cell>
        </row>
        <row r="202">
          <cell r="L202">
            <v>6868</v>
          </cell>
        </row>
        <row r="202">
          <cell r="O202">
            <v>45491</v>
          </cell>
        </row>
        <row r="203">
          <cell r="L203">
            <v>6874</v>
          </cell>
        </row>
        <row r="203">
          <cell r="O203">
            <v>45488</v>
          </cell>
        </row>
        <row r="204">
          <cell r="L204">
            <v>6875</v>
          </cell>
        </row>
        <row r="204">
          <cell r="O204">
            <v>45492</v>
          </cell>
        </row>
        <row r="205">
          <cell r="L205">
            <v>7027</v>
          </cell>
        </row>
        <row r="205">
          <cell r="O205">
            <v>45501</v>
          </cell>
        </row>
        <row r="206">
          <cell r="L206">
            <v>7028</v>
          </cell>
        </row>
        <row r="206">
          <cell r="O206">
            <v>45524</v>
          </cell>
        </row>
        <row r="207">
          <cell r="L207">
            <v>6976</v>
          </cell>
        </row>
        <row r="207">
          <cell r="O207">
            <v>45507</v>
          </cell>
        </row>
        <row r="208">
          <cell r="L208">
            <v>4691</v>
          </cell>
        </row>
        <row r="209">
          <cell r="L209">
            <v>6991</v>
          </cell>
        </row>
        <row r="209">
          <cell r="O209">
            <v>45502</v>
          </cell>
        </row>
        <row r="210">
          <cell r="L210">
            <v>6977</v>
          </cell>
        </row>
        <row r="210">
          <cell r="O210">
            <v>45501</v>
          </cell>
        </row>
        <row r="211">
          <cell r="L211">
            <v>7026</v>
          </cell>
        </row>
        <row r="211">
          <cell r="O211">
            <v>45511</v>
          </cell>
        </row>
        <row r="212">
          <cell r="L212">
            <v>7086</v>
          </cell>
        </row>
        <row r="212">
          <cell r="O212">
            <v>45502</v>
          </cell>
        </row>
        <row r="213">
          <cell r="L213">
            <v>6975</v>
          </cell>
        </row>
        <row r="213">
          <cell r="O213">
            <v>45501</v>
          </cell>
        </row>
        <row r="214">
          <cell r="L214">
            <v>6990</v>
          </cell>
        </row>
        <row r="214">
          <cell r="O214">
            <v>45516</v>
          </cell>
        </row>
        <row r="215">
          <cell r="L215">
            <v>7118</v>
          </cell>
        </row>
        <row r="215">
          <cell r="O215">
            <v>45505</v>
          </cell>
        </row>
        <row r="216">
          <cell r="L216">
            <v>6869</v>
          </cell>
        </row>
        <row r="216">
          <cell r="O216">
            <v>45505</v>
          </cell>
        </row>
        <row r="217">
          <cell r="L217">
            <v>7103</v>
          </cell>
        </row>
        <row r="217">
          <cell r="O217">
            <v>45517</v>
          </cell>
        </row>
        <row r="218">
          <cell r="L218">
            <v>7104</v>
          </cell>
        </row>
        <row r="218">
          <cell r="O218">
            <v>45521</v>
          </cell>
        </row>
        <row r="219">
          <cell r="L219">
            <v>6992</v>
          </cell>
        </row>
        <row r="220">
          <cell r="L220">
            <v>5609</v>
          </cell>
        </row>
        <row r="221">
          <cell r="L221">
            <v>4664</v>
          </cell>
        </row>
        <row r="222">
          <cell r="L222">
            <v>7091</v>
          </cell>
        </row>
        <row r="222">
          <cell r="O222">
            <v>45513</v>
          </cell>
        </row>
        <row r="223">
          <cell r="L223">
            <v>7141</v>
          </cell>
        </row>
        <row r="223">
          <cell r="O223">
            <v>45529</v>
          </cell>
        </row>
        <row r="224">
          <cell r="L224">
            <v>7189</v>
          </cell>
        </row>
        <row r="224">
          <cell r="O224">
            <v>45516</v>
          </cell>
        </row>
        <row r="225">
          <cell r="L225">
            <v>7190</v>
          </cell>
        </row>
        <row r="225">
          <cell r="O225">
            <v>45511</v>
          </cell>
        </row>
        <row r="226">
          <cell r="L226">
            <v>7191</v>
          </cell>
        </row>
        <row r="226">
          <cell r="O226">
            <v>45519</v>
          </cell>
        </row>
        <row r="227">
          <cell r="L227">
            <v>7192</v>
          </cell>
        </row>
        <row r="227">
          <cell r="O227">
            <v>45554</v>
          </cell>
        </row>
        <row r="228">
          <cell r="L228">
            <v>7193</v>
          </cell>
        </row>
        <row r="228">
          <cell r="O228">
            <v>45516</v>
          </cell>
        </row>
        <row r="229">
          <cell r="L229">
            <v>7194</v>
          </cell>
        </row>
        <row r="229">
          <cell r="O229">
            <v>45511</v>
          </cell>
        </row>
        <row r="230">
          <cell r="L230">
            <v>7195</v>
          </cell>
        </row>
        <row r="230">
          <cell r="O230">
            <v>45524</v>
          </cell>
        </row>
        <row r="231">
          <cell r="L231">
            <v>7196</v>
          </cell>
        </row>
        <row r="231">
          <cell r="O231">
            <v>45532</v>
          </cell>
        </row>
        <row r="232">
          <cell r="L232">
            <v>7134</v>
          </cell>
        </row>
        <row r="232">
          <cell r="O232">
            <v>45523</v>
          </cell>
        </row>
        <row r="233">
          <cell r="L233">
            <v>7095</v>
          </cell>
        </row>
        <row r="233">
          <cell r="O233">
            <v>45526</v>
          </cell>
        </row>
        <row r="234">
          <cell r="L234">
            <v>7096</v>
          </cell>
        </row>
        <row r="234">
          <cell r="O234">
            <v>45530</v>
          </cell>
        </row>
        <row r="235">
          <cell r="L235">
            <v>7140</v>
          </cell>
        </row>
        <row r="235">
          <cell r="O235">
            <v>45528</v>
          </cell>
        </row>
        <row r="236">
          <cell r="L236">
            <v>7242</v>
          </cell>
        </row>
        <row r="236">
          <cell r="O236">
            <v>45528</v>
          </cell>
        </row>
        <row r="237">
          <cell r="L237">
            <v>7314</v>
          </cell>
        </row>
        <row r="237">
          <cell r="O237">
            <v>45528</v>
          </cell>
        </row>
        <row r="238">
          <cell r="L238">
            <v>7315</v>
          </cell>
        </row>
        <row r="238">
          <cell r="O238">
            <v>45530</v>
          </cell>
        </row>
        <row r="239">
          <cell r="L239">
            <v>7247</v>
          </cell>
        </row>
        <row r="239">
          <cell r="O239">
            <v>45529</v>
          </cell>
        </row>
        <row r="240">
          <cell r="L240">
            <v>7248</v>
          </cell>
        </row>
        <row r="240">
          <cell r="O240">
            <v>45527</v>
          </cell>
        </row>
        <row r="241">
          <cell r="L241">
            <v>7316</v>
          </cell>
        </row>
        <row r="241">
          <cell r="O241">
            <v>45527</v>
          </cell>
        </row>
        <row r="242">
          <cell r="L242">
            <v>7317</v>
          </cell>
        </row>
        <row r="242">
          <cell r="O242">
            <v>45527</v>
          </cell>
        </row>
        <row r="243">
          <cell r="L243">
            <v>7249</v>
          </cell>
        </row>
        <row r="243">
          <cell r="O243">
            <v>45531</v>
          </cell>
        </row>
        <row r="244">
          <cell r="L244">
            <v>7250</v>
          </cell>
        </row>
        <row r="244">
          <cell r="O244">
            <v>45530</v>
          </cell>
        </row>
        <row r="245">
          <cell r="L245">
            <v>7318</v>
          </cell>
        </row>
        <row r="245">
          <cell r="O245">
            <v>45530</v>
          </cell>
        </row>
        <row r="246">
          <cell r="L246">
            <v>7319</v>
          </cell>
        </row>
        <row r="246">
          <cell r="O246">
            <v>45525</v>
          </cell>
        </row>
        <row r="247">
          <cell r="L247">
            <v>7348</v>
          </cell>
        </row>
        <row r="247">
          <cell r="O247">
            <v>45527</v>
          </cell>
        </row>
        <row r="248">
          <cell r="L248">
            <v>7349</v>
          </cell>
        </row>
        <row r="248">
          <cell r="O248">
            <v>45531</v>
          </cell>
        </row>
        <row r="249">
          <cell r="L249">
            <v>7251</v>
          </cell>
        </row>
        <row r="249">
          <cell r="O249">
            <v>45527</v>
          </cell>
        </row>
        <row r="250">
          <cell r="L250">
            <v>7252</v>
          </cell>
        </row>
        <row r="250">
          <cell r="O250">
            <v>45527</v>
          </cell>
        </row>
        <row r="251">
          <cell r="L251">
            <v>7288</v>
          </cell>
        </row>
        <row r="251">
          <cell r="O251">
            <v>45525</v>
          </cell>
        </row>
        <row r="252">
          <cell r="L252">
            <v>7243</v>
          </cell>
        </row>
        <row r="252">
          <cell r="O252">
            <v>45529</v>
          </cell>
        </row>
        <row r="253">
          <cell r="L253">
            <v>7233</v>
          </cell>
        </row>
        <row r="253">
          <cell r="O253">
            <v>45561</v>
          </cell>
        </row>
        <row r="254">
          <cell r="L254">
            <v>7300</v>
          </cell>
        </row>
        <row r="254">
          <cell r="O254">
            <v>45537</v>
          </cell>
        </row>
        <row r="255">
          <cell r="L255">
            <v>7180</v>
          </cell>
        </row>
        <row r="255">
          <cell r="O255">
            <v>45534</v>
          </cell>
        </row>
        <row r="256">
          <cell r="L256">
            <v>7181</v>
          </cell>
        </row>
        <row r="256">
          <cell r="O256">
            <v>45544</v>
          </cell>
        </row>
        <row r="257">
          <cell r="L257">
            <v>7173</v>
          </cell>
        </row>
        <row r="257">
          <cell r="O257">
            <v>45535</v>
          </cell>
        </row>
        <row r="258">
          <cell r="L258">
            <v>7302</v>
          </cell>
        </row>
        <row r="258">
          <cell r="O258">
            <v>45534</v>
          </cell>
        </row>
        <row r="259">
          <cell r="L259">
            <v>7230</v>
          </cell>
        </row>
        <row r="259">
          <cell r="O259">
            <v>45531</v>
          </cell>
        </row>
        <row r="260">
          <cell r="L260">
            <v>7232</v>
          </cell>
        </row>
        <row r="260">
          <cell r="O260">
            <v>45533</v>
          </cell>
        </row>
        <row r="261">
          <cell r="L261">
            <v>7234</v>
          </cell>
        </row>
        <row r="261">
          <cell r="O261">
            <v>45533</v>
          </cell>
        </row>
        <row r="262">
          <cell r="L262">
            <v>7244</v>
          </cell>
        </row>
        <row r="262">
          <cell r="O262">
            <v>45540</v>
          </cell>
        </row>
        <row r="263">
          <cell r="L263">
            <v>7245</v>
          </cell>
        </row>
        <row r="263">
          <cell r="O263">
            <v>45535</v>
          </cell>
        </row>
        <row r="264">
          <cell r="L264">
            <v>7301</v>
          </cell>
        </row>
        <row r="264">
          <cell r="O264">
            <v>45531</v>
          </cell>
        </row>
        <row r="265">
          <cell r="L265">
            <v>7347</v>
          </cell>
        </row>
        <row r="265">
          <cell r="O265">
            <v>45561</v>
          </cell>
        </row>
        <row r="266">
          <cell r="L266">
            <v>7399</v>
          </cell>
        </row>
        <row r="266">
          <cell r="O266">
            <v>45553</v>
          </cell>
        </row>
        <row r="267">
          <cell r="L267">
            <v>7467</v>
          </cell>
        </row>
        <row r="267">
          <cell r="O267">
            <v>45557</v>
          </cell>
        </row>
        <row r="268">
          <cell r="L268">
            <v>7345</v>
          </cell>
        </row>
        <row r="268">
          <cell r="O268">
            <v>45541</v>
          </cell>
        </row>
        <row r="269">
          <cell r="L269">
            <v>7290</v>
          </cell>
        </row>
        <row r="269">
          <cell r="O269">
            <v>45539</v>
          </cell>
        </row>
        <row r="270">
          <cell r="L270">
            <v>3714</v>
          </cell>
        </row>
        <row r="271">
          <cell r="L271">
            <v>7231</v>
          </cell>
        </row>
        <row r="271">
          <cell r="O271">
            <v>45579</v>
          </cell>
        </row>
        <row r="272">
          <cell r="L272">
            <v>7448</v>
          </cell>
        </row>
        <row r="272">
          <cell r="O272">
            <v>45559</v>
          </cell>
        </row>
        <row r="273">
          <cell r="L273">
            <v>7449</v>
          </cell>
        </row>
        <row r="273">
          <cell r="O273">
            <v>45665</v>
          </cell>
        </row>
        <row r="274">
          <cell r="L274">
            <v>7450</v>
          </cell>
        </row>
        <row r="274">
          <cell r="O274">
            <v>45561</v>
          </cell>
        </row>
        <row r="275">
          <cell r="L275">
            <v>7419</v>
          </cell>
        </row>
        <row r="275">
          <cell r="O275">
            <v>45558</v>
          </cell>
        </row>
        <row r="276">
          <cell r="L276">
            <v>7420</v>
          </cell>
        </row>
        <row r="276">
          <cell r="O276">
            <v>45555</v>
          </cell>
        </row>
        <row r="277">
          <cell r="L277">
            <v>7421</v>
          </cell>
        </row>
        <row r="277">
          <cell r="O277">
            <v>45595</v>
          </cell>
        </row>
        <row r="278">
          <cell r="L278">
            <v>7422</v>
          </cell>
        </row>
        <row r="278">
          <cell r="O278">
            <v>45582</v>
          </cell>
        </row>
        <row r="279">
          <cell r="L279">
            <v>7293</v>
          </cell>
        </row>
        <row r="279">
          <cell r="O279">
            <v>45558</v>
          </cell>
        </row>
        <row r="280">
          <cell r="L280">
            <v>7294</v>
          </cell>
        </row>
        <row r="280">
          <cell r="O280">
            <v>45551</v>
          </cell>
        </row>
        <row r="281">
          <cell r="L281">
            <v>7295</v>
          </cell>
        </row>
        <row r="281">
          <cell r="O281">
            <v>45557</v>
          </cell>
        </row>
        <row r="282">
          <cell r="L282">
            <v>7410</v>
          </cell>
        </row>
        <row r="283">
          <cell r="L283">
            <v>7405</v>
          </cell>
        </row>
        <row r="283">
          <cell r="O283">
            <v>45554</v>
          </cell>
        </row>
        <row r="284">
          <cell r="L284">
            <v>7381</v>
          </cell>
        </row>
        <row r="284">
          <cell r="O284">
            <v>45581</v>
          </cell>
        </row>
        <row r="285">
          <cell r="L285">
            <v>7446</v>
          </cell>
        </row>
        <row r="285">
          <cell r="O285">
            <v>45557</v>
          </cell>
        </row>
        <row r="286">
          <cell r="L286">
            <v>7105</v>
          </cell>
        </row>
        <row r="286">
          <cell r="O286">
            <v>45566</v>
          </cell>
        </row>
        <row r="287">
          <cell r="L287">
            <v>7447</v>
          </cell>
        </row>
        <row r="287">
          <cell r="O287">
            <v>45554</v>
          </cell>
        </row>
        <row r="288">
          <cell r="L288">
            <v>7540</v>
          </cell>
        </row>
        <row r="288">
          <cell r="O288">
            <v>45558</v>
          </cell>
        </row>
        <row r="289">
          <cell r="L289">
            <v>7486</v>
          </cell>
        </row>
        <row r="289">
          <cell r="O289">
            <v>45557</v>
          </cell>
        </row>
        <row r="290">
          <cell r="L290">
            <v>7487</v>
          </cell>
        </row>
        <row r="290">
          <cell r="O290">
            <v>45555</v>
          </cell>
        </row>
        <row r="291">
          <cell r="L291">
            <v>7488</v>
          </cell>
        </row>
        <row r="291">
          <cell r="O291">
            <v>45556</v>
          </cell>
        </row>
        <row r="292">
          <cell r="L292">
            <v>7543</v>
          </cell>
        </row>
        <row r="292">
          <cell r="O292">
            <v>45556</v>
          </cell>
        </row>
        <row r="293">
          <cell r="L293">
            <v>7451</v>
          </cell>
        </row>
        <row r="293">
          <cell r="O293">
            <v>45560</v>
          </cell>
        </row>
        <row r="294">
          <cell r="L294">
            <v>7609</v>
          </cell>
        </row>
        <row r="294">
          <cell r="O294">
            <v>45561</v>
          </cell>
        </row>
        <row r="295">
          <cell r="L295">
            <v>7601</v>
          </cell>
        </row>
        <row r="295">
          <cell r="O295">
            <v>45566</v>
          </cell>
        </row>
        <row r="296">
          <cell r="L296">
            <v>7600</v>
          </cell>
        </row>
        <row r="296">
          <cell r="O296">
            <v>45564</v>
          </cell>
        </row>
        <row r="297">
          <cell r="L297">
            <v>7386</v>
          </cell>
        </row>
        <row r="297">
          <cell r="O297">
            <v>45589</v>
          </cell>
        </row>
        <row r="298">
          <cell r="L298">
            <v>7387</v>
          </cell>
        </row>
        <row r="298">
          <cell r="O298">
            <v>45585</v>
          </cell>
        </row>
        <row r="299">
          <cell r="L299">
            <v>7389</v>
          </cell>
        </row>
        <row r="299">
          <cell r="O299">
            <v>45595</v>
          </cell>
        </row>
        <row r="300">
          <cell r="L300">
            <v>7539</v>
          </cell>
        </row>
        <row r="300">
          <cell r="O300">
            <v>45591</v>
          </cell>
        </row>
        <row r="301">
          <cell r="L301">
            <v>7482</v>
          </cell>
        </row>
        <row r="301">
          <cell r="O301">
            <v>45574</v>
          </cell>
        </row>
        <row r="302">
          <cell r="L302">
            <v>7541</v>
          </cell>
        </row>
        <row r="302">
          <cell r="O302">
            <v>45631</v>
          </cell>
        </row>
        <row r="303">
          <cell r="L303">
            <v>7484</v>
          </cell>
        </row>
        <row r="303">
          <cell r="O303">
            <v>45587</v>
          </cell>
        </row>
        <row r="304">
          <cell r="L304">
            <v>7042</v>
          </cell>
        </row>
        <row r="305">
          <cell r="L305">
            <v>5619</v>
          </cell>
        </row>
        <row r="306">
          <cell r="L306">
            <v>3549</v>
          </cell>
        </row>
        <row r="307">
          <cell r="L307">
            <v>4181</v>
          </cell>
        </row>
        <row r="308">
          <cell r="L308">
            <v>7445</v>
          </cell>
        </row>
        <row r="309">
          <cell r="L309">
            <v>7599</v>
          </cell>
        </row>
        <row r="309">
          <cell r="O309">
            <v>45576</v>
          </cell>
        </row>
        <row r="310">
          <cell r="L310">
            <v>7388</v>
          </cell>
        </row>
        <row r="310">
          <cell r="O310">
            <v>45587</v>
          </cell>
        </row>
        <row r="311">
          <cell r="L311">
            <v>7483</v>
          </cell>
        </row>
        <row r="311">
          <cell r="O311">
            <v>45584</v>
          </cell>
        </row>
        <row r="312">
          <cell r="L312">
            <v>7536</v>
          </cell>
        </row>
        <row r="312">
          <cell r="O312">
            <v>45594</v>
          </cell>
        </row>
        <row r="313">
          <cell r="L313">
            <v>7620</v>
          </cell>
        </row>
        <row r="313">
          <cell r="O313">
            <v>45581</v>
          </cell>
        </row>
        <row r="314">
          <cell r="L314">
            <v>7644</v>
          </cell>
        </row>
        <row r="314">
          <cell r="O314">
            <v>45636</v>
          </cell>
        </row>
        <row r="315">
          <cell r="L315">
            <v>7645</v>
          </cell>
        </row>
        <row r="315">
          <cell r="O315">
            <v>45609</v>
          </cell>
        </row>
        <row r="316">
          <cell r="L316">
            <v>7586</v>
          </cell>
        </row>
        <row r="316">
          <cell r="O316">
            <v>45593</v>
          </cell>
        </row>
        <row r="317">
          <cell r="L317">
            <v>7670</v>
          </cell>
        </row>
        <row r="317">
          <cell r="O317">
            <v>45589</v>
          </cell>
        </row>
        <row r="318">
          <cell r="L318">
            <v>7674</v>
          </cell>
        </row>
        <row r="318">
          <cell r="O318">
            <v>45584</v>
          </cell>
        </row>
        <row r="319">
          <cell r="L319">
            <v>7675</v>
          </cell>
        </row>
        <row r="319">
          <cell r="O319">
            <v>45576</v>
          </cell>
        </row>
        <row r="320">
          <cell r="L320">
            <v>7676</v>
          </cell>
        </row>
        <row r="320">
          <cell r="O320">
            <v>45581</v>
          </cell>
        </row>
        <row r="321">
          <cell r="L321">
            <v>8233</v>
          </cell>
        </row>
        <row r="321">
          <cell r="O321">
            <v>45577</v>
          </cell>
        </row>
        <row r="322">
          <cell r="L322">
            <v>8234</v>
          </cell>
        </row>
        <row r="322">
          <cell r="O322">
            <v>45578</v>
          </cell>
        </row>
        <row r="323">
          <cell r="L323">
            <v>7666</v>
          </cell>
        </row>
        <row r="323">
          <cell r="O323">
            <v>45584</v>
          </cell>
        </row>
        <row r="324">
          <cell r="L324">
            <v>7636</v>
          </cell>
        </row>
        <row r="324">
          <cell r="O324">
            <v>45588</v>
          </cell>
        </row>
        <row r="325">
          <cell r="L325">
            <v>7686</v>
          </cell>
        </row>
        <row r="325">
          <cell r="O325">
            <v>45592</v>
          </cell>
        </row>
        <row r="326">
          <cell r="L326">
            <v>7643</v>
          </cell>
        </row>
        <row r="326">
          <cell r="O326">
            <v>45583</v>
          </cell>
        </row>
        <row r="327">
          <cell r="L327">
            <v>7646</v>
          </cell>
        </row>
        <row r="327">
          <cell r="O327">
            <v>45595</v>
          </cell>
        </row>
        <row r="328">
          <cell r="L328">
            <v>7647</v>
          </cell>
        </row>
        <row r="328">
          <cell r="O328">
            <v>45588</v>
          </cell>
        </row>
        <row r="329">
          <cell r="L329">
            <v>7685</v>
          </cell>
        </row>
        <row r="329">
          <cell r="O329">
            <v>45595</v>
          </cell>
        </row>
        <row r="330">
          <cell r="L330">
            <v>7688</v>
          </cell>
        </row>
        <row r="330">
          <cell r="O330">
            <v>45589</v>
          </cell>
        </row>
        <row r="331">
          <cell r="L331">
            <v>7689</v>
          </cell>
        </row>
        <row r="331">
          <cell r="O331">
            <v>45606</v>
          </cell>
        </row>
        <row r="332">
          <cell r="L332">
            <v>7588</v>
          </cell>
        </row>
        <row r="333">
          <cell r="L333">
            <v>7687</v>
          </cell>
        </row>
        <row r="334">
          <cell r="L334">
            <v>7664</v>
          </cell>
        </row>
        <row r="335">
          <cell r="L335">
            <v>7697</v>
          </cell>
        </row>
        <row r="335">
          <cell r="O335">
            <v>45597</v>
          </cell>
        </row>
        <row r="336">
          <cell r="L336">
            <v>7698</v>
          </cell>
        </row>
        <row r="336">
          <cell r="O336">
            <v>45597</v>
          </cell>
        </row>
        <row r="337">
          <cell r="L337">
            <v>7823</v>
          </cell>
        </row>
        <row r="337">
          <cell r="O337">
            <v>45601</v>
          </cell>
        </row>
        <row r="338">
          <cell r="L338">
            <v>7824</v>
          </cell>
        </row>
        <row r="338">
          <cell r="O338">
            <v>45608</v>
          </cell>
        </row>
        <row r="339">
          <cell r="L339">
            <v>7822</v>
          </cell>
        </row>
        <row r="339">
          <cell r="O339">
            <v>45603</v>
          </cell>
        </row>
        <row r="340">
          <cell r="L340">
            <v>7833</v>
          </cell>
        </row>
        <row r="340">
          <cell r="O340">
            <v>45642</v>
          </cell>
        </row>
        <row r="341">
          <cell r="L341">
            <v>7918</v>
          </cell>
        </row>
        <row r="341">
          <cell r="O341">
            <v>45608</v>
          </cell>
        </row>
        <row r="342">
          <cell r="L342">
            <v>7915</v>
          </cell>
        </row>
        <row r="342">
          <cell r="O342">
            <v>45602</v>
          </cell>
        </row>
        <row r="343">
          <cell r="L343">
            <v>5514</v>
          </cell>
        </row>
        <row r="344">
          <cell r="L344">
            <v>7443</v>
          </cell>
        </row>
        <row r="345">
          <cell r="L345">
            <v>7913</v>
          </cell>
        </row>
        <row r="345">
          <cell r="O345">
            <v>45604</v>
          </cell>
        </row>
        <row r="346">
          <cell r="L346">
            <v>7893</v>
          </cell>
        </row>
        <row r="346">
          <cell r="O346">
            <v>45604</v>
          </cell>
        </row>
        <row r="347">
          <cell r="L347">
            <v>7894</v>
          </cell>
        </row>
        <row r="347">
          <cell r="O347">
            <v>45604</v>
          </cell>
        </row>
        <row r="348">
          <cell r="L348">
            <v>7919</v>
          </cell>
        </row>
        <row r="348">
          <cell r="O348">
            <v>45608</v>
          </cell>
        </row>
        <row r="349">
          <cell r="L349">
            <v>7920</v>
          </cell>
        </row>
        <row r="349">
          <cell r="O349">
            <v>45610</v>
          </cell>
        </row>
        <row r="350">
          <cell r="L350">
            <v>7891</v>
          </cell>
        </row>
        <row r="350">
          <cell r="O350">
            <v>45601</v>
          </cell>
        </row>
        <row r="351">
          <cell r="L351">
            <v>4106</v>
          </cell>
        </row>
        <row r="352">
          <cell r="L352">
            <v>7825</v>
          </cell>
        </row>
        <row r="352">
          <cell r="O352">
            <v>45631</v>
          </cell>
        </row>
        <row r="353">
          <cell r="L353">
            <v>7826</v>
          </cell>
        </row>
        <row r="353">
          <cell r="O353">
            <v>46036</v>
          </cell>
        </row>
        <row r="354">
          <cell r="L354">
            <v>7922</v>
          </cell>
        </row>
        <row r="354">
          <cell r="O354">
            <v>45608</v>
          </cell>
        </row>
        <row r="355">
          <cell r="L355">
            <v>7733</v>
          </cell>
        </row>
        <row r="355">
          <cell r="O355">
            <v>45627</v>
          </cell>
        </row>
        <row r="356">
          <cell r="L356">
            <v>7731</v>
          </cell>
        </row>
        <row r="356">
          <cell r="O356">
            <v>45606</v>
          </cell>
        </row>
        <row r="357">
          <cell r="L357">
            <v>7734</v>
          </cell>
        </row>
        <row r="357">
          <cell r="O357">
            <v>45607</v>
          </cell>
        </row>
        <row r="358">
          <cell r="L358">
            <v>7929</v>
          </cell>
        </row>
        <row r="358">
          <cell r="O358">
            <v>45616</v>
          </cell>
        </row>
        <row r="359">
          <cell r="L359">
            <v>7737</v>
          </cell>
        </row>
        <row r="359">
          <cell r="O359">
            <v>45616</v>
          </cell>
        </row>
        <row r="360">
          <cell r="L360">
            <v>7959</v>
          </cell>
        </row>
        <row r="360">
          <cell r="O360">
            <v>45613</v>
          </cell>
        </row>
        <row r="361">
          <cell r="L361">
            <v>7964</v>
          </cell>
        </row>
        <row r="361">
          <cell r="O361">
            <v>45628</v>
          </cell>
        </row>
        <row r="362">
          <cell r="L362">
            <v>7965</v>
          </cell>
        </row>
        <row r="362">
          <cell r="O362">
            <v>45610</v>
          </cell>
        </row>
        <row r="363">
          <cell r="L363">
            <v>7739</v>
          </cell>
        </row>
        <row r="364">
          <cell r="L364">
            <v>7740</v>
          </cell>
        </row>
        <row r="365">
          <cell r="L365">
            <v>7735</v>
          </cell>
        </row>
        <row r="365">
          <cell r="O365">
            <v>45616</v>
          </cell>
        </row>
        <row r="366">
          <cell r="L366">
            <v>7681</v>
          </cell>
        </row>
        <row r="366">
          <cell r="O366">
            <v>45624</v>
          </cell>
        </row>
        <row r="367">
          <cell r="L367">
            <v>7798</v>
          </cell>
        </row>
        <row r="367">
          <cell r="O367">
            <v>45616</v>
          </cell>
        </row>
        <row r="368">
          <cell r="L368">
            <v>7119</v>
          </cell>
        </row>
        <row r="369">
          <cell r="L369">
            <v>7120</v>
          </cell>
        </row>
        <row r="370">
          <cell r="L370">
            <v>7561</v>
          </cell>
        </row>
        <row r="370">
          <cell r="O370">
            <v>45647</v>
          </cell>
        </row>
        <row r="371">
          <cell r="L371">
            <v>8047</v>
          </cell>
        </row>
        <row r="371">
          <cell r="O371">
            <v>45655</v>
          </cell>
        </row>
        <row r="372">
          <cell r="L372">
            <v>8062</v>
          </cell>
        </row>
        <row r="372">
          <cell r="O372">
            <v>45672</v>
          </cell>
        </row>
        <row r="373">
          <cell r="L373">
            <v>7562</v>
          </cell>
        </row>
        <row r="374">
          <cell r="L374">
            <v>7563</v>
          </cell>
        </row>
        <row r="375">
          <cell r="L375">
            <v>7993</v>
          </cell>
        </row>
        <row r="375">
          <cell r="O375">
            <v>45644</v>
          </cell>
        </row>
        <row r="376">
          <cell r="L376">
            <v>7910</v>
          </cell>
        </row>
        <row r="376">
          <cell r="O376">
            <v>45626</v>
          </cell>
        </row>
        <row r="377">
          <cell r="L377">
            <v>7996</v>
          </cell>
        </row>
        <row r="377">
          <cell r="O377">
            <v>45641</v>
          </cell>
        </row>
        <row r="378">
          <cell r="L378">
            <v>7928</v>
          </cell>
        </row>
        <row r="378">
          <cell r="O378">
            <v>45630</v>
          </cell>
        </row>
        <row r="379">
          <cell r="L379">
            <v>8053</v>
          </cell>
        </row>
        <row r="379">
          <cell r="O379">
            <v>45628</v>
          </cell>
        </row>
        <row r="380">
          <cell r="L380">
            <v>8054</v>
          </cell>
        </row>
        <row r="380">
          <cell r="O380">
            <v>45630</v>
          </cell>
        </row>
        <row r="381">
          <cell r="L381">
            <v>7998</v>
          </cell>
        </row>
        <row r="381">
          <cell r="O381">
            <v>45664</v>
          </cell>
        </row>
        <row r="382">
          <cell r="L382">
            <v>7997</v>
          </cell>
        </row>
        <row r="382">
          <cell r="O382">
            <v>45628</v>
          </cell>
        </row>
        <row r="383">
          <cell r="L383">
            <v>8111</v>
          </cell>
        </row>
        <row r="383">
          <cell r="O383">
            <v>45631</v>
          </cell>
        </row>
        <row r="384">
          <cell r="L384">
            <v>8105</v>
          </cell>
        </row>
        <row r="384">
          <cell r="O384">
            <v>45639</v>
          </cell>
        </row>
        <row r="385">
          <cell r="L385">
            <v>8056</v>
          </cell>
        </row>
        <row r="385">
          <cell r="O385">
            <v>45637</v>
          </cell>
        </row>
        <row r="386">
          <cell r="L386">
            <v>8055</v>
          </cell>
        </row>
        <row r="386">
          <cell r="O386">
            <v>45767</v>
          </cell>
        </row>
        <row r="387">
          <cell r="L387">
            <v>8057</v>
          </cell>
        </row>
        <row r="388">
          <cell r="L388">
            <v>8102</v>
          </cell>
        </row>
        <row r="388">
          <cell r="O388">
            <v>45654</v>
          </cell>
        </row>
        <row r="389">
          <cell r="L389">
            <v>8108</v>
          </cell>
        </row>
        <row r="389">
          <cell r="O389">
            <v>45625</v>
          </cell>
        </row>
        <row r="390">
          <cell r="L390">
            <v>7741</v>
          </cell>
        </row>
        <row r="391">
          <cell r="L391">
            <v>4263</v>
          </cell>
        </row>
        <row r="392">
          <cell r="L392">
            <v>7441</v>
          </cell>
        </row>
        <row r="393">
          <cell r="L393">
            <v>6980</v>
          </cell>
        </row>
        <row r="394">
          <cell r="L394">
            <v>8169</v>
          </cell>
        </row>
        <row r="394">
          <cell r="O394">
            <v>45647</v>
          </cell>
        </row>
        <row r="395">
          <cell r="L395">
            <v>8090</v>
          </cell>
        </row>
        <row r="395">
          <cell r="O395">
            <v>45646</v>
          </cell>
        </row>
        <row r="396">
          <cell r="L396">
            <v>8084</v>
          </cell>
        </row>
        <row r="396">
          <cell r="O396">
            <v>45640</v>
          </cell>
        </row>
        <row r="397">
          <cell r="L397">
            <v>8085</v>
          </cell>
        </row>
        <row r="397">
          <cell r="O397">
            <v>45641</v>
          </cell>
        </row>
        <row r="398">
          <cell r="L398">
            <v>8083</v>
          </cell>
        </row>
        <row r="398">
          <cell r="O398">
            <v>45642</v>
          </cell>
        </row>
        <row r="399">
          <cell r="L399">
            <v>8087</v>
          </cell>
        </row>
        <row r="399">
          <cell r="O399">
            <v>45644</v>
          </cell>
        </row>
        <row r="400">
          <cell r="L400">
            <v>8086</v>
          </cell>
        </row>
        <row r="400">
          <cell r="O400">
            <v>45637</v>
          </cell>
        </row>
        <row r="401">
          <cell r="L401">
            <v>8089</v>
          </cell>
        </row>
        <row r="401">
          <cell r="O401">
            <v>45642</v>
          </cell>
        </row>
        <row r="402">
          <cell r="L402">
            <v>8333</v>
          </cell>
        </row>
        <row r="402">
          <cell r="O402">
            <v>45641</v>
          </cell>
        </row>
        <row r="403">
          <cell r="L403">
            <v>8307</v>
          </cell>
        </row>
        <row r="403">
          <cell r="O403">
            <v>45641</v>
          </cell>
        </row>
        <row r="404">
          <cell r="L404">
            <v>8308</v>
          </cell>
        </row>
        <row r="404">
          <cell r="O404">
            <v>45662</v>
          </cell>
        </row>
        <row r="405">
          <cell r="L405">
            <v>8309</v>
          </cell>
        </row>
        <row r="405">
          <cell r="O405">
            <v>45681</v>
          </cell>
        </row>
        <row r="406">
          <cell r="L406">
            <v>8212</v>
          </cell>
        </row>
        <row r="406">
          <cell r="O406">
            <v>45649</v>
          </cell>
        </row>
        <row r="407">
          <cell r="L407">
            <v>8210</v>
          </cell>
        </row>
        <row r="407">
          <cell r="O407">
            <v>45641</v>
          </cell>
        </row>
        <row r="408">
          <cell r="L408">
            <v>8213</v>
          </cell>
        </row>
        <row r="408">
          <cell r="O408">
            <v>45644</v>
          </cell>
        </row>
        <row r="409">
          <cell r="L409">
            <v>8201</v>
          </cell>
        </row>
        <row r="409">
          <cell r="O409">
            <v>45652</v>
          </cell>
        </row>
        <row r="410">
          <cell r="L410">
            <v>8197</v>
          </cell>
        </row>
        <row r="410">
          <cell r="O410">
            <v>45648</v>
          </cell>
        </row>
        <row r="411">
          <cell r="L411">
            <v>8198</v>
          </cell>
        </row>
        <row r="411">
          <cell r="O411">
            <v>45665</v>
          </cell>
        </row>
        <row r="412">
          <cell r="L412">
            <v>8275</v>
          </cell>
        </row>
        <row r="412">
          <cell r="O412">
            <v>45680</v>
          </cell>
        </row>
        <row r="413">
          <cell r="L413">
            <v>8276</v>
          </cell>
        </row>
        <row r="413">
          <cell r="O413">
            <v>45645</v>
          </cell>
        </row>
        <row r="414">
          <cell r="L414">
            <v>8278</v>
          </cell>
        </row>
        <row r="414">
          <cell r="O414">
            <v>45640</v>
          </cell>
        </row>
        <row r="415">
          <cell r="L415">
            <v>8171</v>
          </cell>
        </row>
        <row r="415">
          <cell r="O415">
            <v>45691</v>
          </cell>
        </row>
        <row r="416">
          <cell r="L416">
            <v>8341</v>
          </cell>
        </row>
        <row r="417">
          <cell r="L417">
            <v>8340</v>
          </cell>
        </row>
        <row r="417">
          <cell r="O417">
            <v>45805</v>
          </cell>
        </row>
        <row r="418">
          <cell r="L418">
            <v>8211</v>
          </cell>
        </row>
        <row r="418">
          <cell r="O418">
            <v>45645</v>
          </cell>
        </row>
        <row r="419">
          <cell r="L419">
            <v>8207</v>
          </cell>
        </row>
        <row r="419">
          <cell r="O419">
            <v>45640</v>
          </cell>
        </row>
        <row r="420">
          <cell r="L420">
            <v>8206</v>
          </cell>
        </row>
        <row r="420">
          <cell r="O420">
            <v>45657</v>
          </cell>
        </row>
        <row r="421">
          <cell r="L421">
            <v>8209</v>
          </cell>
        </row>
        <row r="421">
          <cell r="O421">
            <v>45642</v>
          </cell>
        </row>
        <row r="422">
          <cell r="L422">
            <v>8208</v>
          </cell>
        </row>
        <row r="422">
          <cell r="O422">
            <v>45644</v>
          </cell>
        </row>
        <row r="423">
          <cell r="L423">
            <v>8124</v>
          </cell>
        </row>
        <row r="423">
          <cell r="O423">
            <v>45643</v>
          </cell>
        </row>
        <row r="424">
          <cell r="L424">
            <v>8196</v>
          </cell>
        </row>
        <row r="424">
          <cell r="O424">
            <v>45645</v>
          </cell>
        </row>
        <row r="425">
          <cell r="L425">
            <v>8205</v>
          </cell>
        </row>
        <row r="425">
          <cell r="O425">
            <v>45659</v>
          </cell>
        </row>
        <row r="426">
          <cell r="L426">
            <v>8294</v>
          </cell>
        </row>
        <row r="426">
          <cell r="O426">
            <v>45651</v>
          </cell>
        </row>
        <row r="427">
          <cell r="L427">
            <v>8299</v>
          </cell>
        </row>
        <row r="427">
          <cell r="O427">
            <v>45658</v>
          </cell>
        </row>
        <row r="428">
          <cell r="L428">
            <v>8126</v>
          </cell>
        </row>
        <row r="428">
          <cell r="O428">
            <v>45666</v>
          </cell>
        </row>
        <row r="429">
          <cell r="L429">
            <v>8393</v>
          </cell>
        </row>
        <row r="429">
          <cell r="O429">
            <v>45665</v>
          </cell>
        </row>
        <row r="430">
          <cell r="L430">
            <v>8338</v>
          </cell>
        </row>
        <row r="430">
          <cell r="O430">
            <v>45668</v>
          </cell>
        </row>
        <row r="431">
          <cell r="L431">
            <v>8127</v>
          </cell>
        </row>
        <row r="431">
          <cell r="O431">
            <v>45671</v>
          </cell>
        </row>
        <row r="432">
          <cell r="L432">
            <v>7560</v>
          </cell>
        </row>
        <row r="432">
          <cell r="O432">
            <v>45644</v>
          </cell>
        </row>
        <row r="433">
          <cell r="L433">
            <v>7559</v>
          </cell>
        </row>
        <row r="433">
          <cell r="O433">
            <v>45654</v>
          </cell>
        </row>
        <row r="434">
          <cell r="L434">
            <v>8359</v>
          </cell>
        </row>
        <row r="434">
          <cell r="O434">
            <v>45651</v>
          </cell>
        </row>
        <row r="435">
          <cell r="L435">
            <v>8365</v>
          </cell>
        </row>
        <row r="435">
          <cell r="O435">
            <v>45652</v>
          </cell>
        </row>
        <row r="436">
          <cell r="L436">
            <v>8361</v>
          </cell>
        </row>
        <row r="436">
          <cell r="O436">
            <v>45654</v>
          </cell>
        </row>
        <row r="437">
          <cell r="L437">
            <v>8369</v>
          </cell>
        </row>
        <row r="437">
          <cell r="O437">
            <v>45655</v>
          </cell>
        </row>
        <row r="438">
          <cell r="L438">
            <v>8350</v>
          </cell>
        </row>
        <row r="438">
          <cell r="O438">
            <v>45652</v>
          </cell>
        </row>
        <row r="439">
          <cell r="L439">
            <v>8277</v>
          </cell>
        </row>
        <row r="439">
          <cell r="O439">
            <v>45656</v>
          </cell>
        </row>
        <row r="440">
          <cell r="L440">
            <v>8429</v>
          </cell>
        </row>
        <row r="440">
          <cell r="O440">
            <v>45655</v>
          </cell>
        </row>
        <row r="441">
          <cell r="L441">
            <v>8279</v>
          </cell>
        </row>
        <row r="441">
          <cell r="O441">
            <v>45681</v>
          </cell>
        </row>
        <row r="442">
          <cell r="L442">
            <v>8280</v>
          </cell>
        </row>
        <row r="442">
          <cell r="O442">
            <v>45676</v>
          </cell>
        </row>
        <row r="443">
          <cell r="L443">
            <v>8454</v>
          </cell>
        </row>
        <row r="443">
          <cell r="O443">
            <v>45656</v>
          </cell>
        </row>
        <row r="444">
          <cell r="L444">
            <v>8455</v>
          </cell>
        </row>
        <row r="444">
          <cell r="O444">
            <v>45661</v>
          </cell>
        </row>
        <row r="445">
          <cell r="L445">
            <v>8254</v>
          </cell>
        </row>
        <row r="445">
          <cell r="O445">
            <v>45653</v>
          </cell>
        </row>
        <row r="446">
          <cell r="L446">
            <v>8358</v>
          </cell>
        </row>
        <row r="446">
          <cell r="O446">
            <v>45652</v>
          </cell>
        </row>
        <row r="447">
          <cell r="L447">
            <v>8388</v>
          </cell>
        </row>
        <row r="447">
          <cell r="O447">
            <v>45650</v>
          </cell>
        </row>
        <row r="448">
          <cell r="L448">
            <v>8125</v>
          </cell>
        </row>
        <row r="448">
          <cell r="O448">
            <v>45664</v>
          </cell>
        </row>
        <row r="449">
          <cell r="L449">
            <v>8392</v>
          </cell>
        </row>
        <row r="449">
          <cell r="O449">
            <v>45653</v>
          </cell>
        </row>
        <row r="450">
          <cell r="L450">
            <v>8088</v>
          </cell>
        </row>
        <row r="450">
          <cell r="O450">
            <v>45651</v>
          </cell>
        </row>
        <row r="451">
          <cell r="L451">
            <v>8366</v>
          </cell>
        </row>
        <row r="451">
          <cell r="O451">
            <v>45659</v>
          </cell>
        </row>
        <row r="452">
          <cell r="L452">
            <v>8417</v>
          </cell>
        </row>
        <row r="452">
          <cell r="O452">
            <v>45683</v>
          </cell>
        </row>
        <row r="453">
          <cell r="L453">
            <v>8479</v>
          </cell>
        </row>
        <row r="453">
          <cell r="O453">
            <v>45658</v>
          </cell>
        </row>
        <row r="454">
          <cell r="L454">
            <v>8354</v>
          </cell>
        </row>
        <row r="454">
          <cell r="O454">
            <v>45655</v>
          </cell>
        </row>
        <row r="455">
          <cell r="L455">
            <v>8355</v>
          </cell>
        </row>
        <row r="455">
          <cell r="O455">
            <v>45662</v>
          </cell>
        </row>
        <row r="456">
          <cell r="L456">
            <v>8360</v>
          </cell>
        </row>
        <row r="456">
          <cell r="O456">
            <v>45657</v>
          </cell>
        </row>
        <row r="457">
          <cell r="L457">
            <v>8427</v>
          </cell>
        </row>
        <row r="457">
          <cell r="O457">
            <v>45657</v>
          </cell>
        </row>
        <row r="458">
          <cell r="L458">
            <v>8428</v>
          </cell>
        </row>
        <row r="458">
          <cell r="O458">
            <v>45657</v>
          </cell>
        </row>
        <row r="459">
          <cell r="L459">
            <v>8373</v>
          </cell>
        </row>
        <row r="459">
          <cell r="O459">
            <v>45718</v>
          </cell>
        </row>
        <row r="460">
          <cell r="L460">
            <v>8370</v>
          </cell>
        </row>
        <row r="460">
          <cell r="O460">
            <v>45662</v>
          </cell>
        </row>
        <row r="461">
          <cell r="L461">
            <v>8483</v>
          </cell>
        </row>
        <row r="461">
          <cell r="O461">
            <v>45660</v>
          </cell>
        </row>
        <row r="462">
          <cell r="L462">
            <v>8374</v>
          </cell>
        </row>
        <row r="462">
          <cell r="O462">
            <v>45668</v>
          </cell>
        </row>
        <row r="463">
          <cell r="L463">
            <v>8372</v>
          </cell>
        </row>
        <row r="463">
          <cell r="O463">
            <v>45653</v>
          </cell>
        </row>
        <row r="464">
          <cell r="L464">
            <v>8371</v>
          </cell>
        </row>
        <row r="464">
          <cell r="O464">
            <v>45652</v>
          </cell>
        </row>
        <row r="465">
          <cell r="L465">
            <v>8260</v>
          </cell>
        </row>
        <row r="465">
          <cell r="O465">
            <v>45775</v>
          </cell>
        </row>
        <row r="466">
          <cell r="L466">
            <v>8352</v>
          </cell>
        </row>
        <row r="466">
          <cell r="O466">
            <v>45733</v>
          </cell>
        </row>
        <row r="467">
          <cell r="L467">
            <v>8456</v>
          </cell>
        </row>
        <row r="467">
          <cell r="O467">
            <v>45656</v>
          </cell>
        </row>
        <row r="468">
          <cell r="L468">
            <v>8462</v>
          </cell>
        </row>
        <row r="468">
          <cell r="O468">
            <v>45665</v>
          </cell>
        </row>
        <row r="469">
          <cell r="L469">
            <v>8463</v>
          </cell>
        </row>
        <row r="469">
          <cell r="O469">
            <v>45665</v>
          </cell>
        </row>
        <row r="470">
          <cell r="L470">
            <v>8464</v>
          </cell>
        </row>
        <row r="470">
          <cell r="O470">
            <v>45665</v>
          </cell>
        </row>
        <row r="471">
          <cell r="L471">
            <v>8525</v>
          </cell>
        </row>
        <row r="471">
          <cell r="O471">
            <v>45676</v>
          </cell>
        </row>
        <row r="472">
          <cell r="L472">
            <v>8526</v>
          </cell>
        </row>
        <row r="472">
          <cell r="O472">
            <v>45666</v>
          </cell>
        </row>
        <row r="473">
          <cell r="L473">
            <v>8527</v>
          </cell>
        </row>
        <row r="473">
          <cell r="O473">
            <v>45672</v>
          </cell>
        </row>
        <row r="474">
          <cell r="L474">
            <v>8420</v>
          </cell>
        </row>
        <row r="474">
          <cell r="O474">
            <v>45666</v>
          </cell>
        </row>
        <row r="475">
          <cell r="L475">
            <v>8423</v>
          </cell>
        </row>
        <row r="475">
          <cell r="O475">
            <v>45679</v>
          </cell>
        </row>
        <row r="476">
          <cell r="L476">
            <v>8424</v>
          </cell>
        </row>
        <row r="476">
          <cell r="O476">
            <v>45668</v>
          </cell>
        </row>
        <row r="477">
          <cell r="L477">
            <v>8425</v>
          </cell>
        </row>
        <row r="477">
          <cell r="O477">
            <v>45674</v>
          </cell>
        </row>
        <row r="478">
          <cell r="L478">
            <v>8052</v>
          </cell>
        </row>
        <row r="478">
          <cell r="O478">
            <v>45670</v>
          </cell>
        </row>
        <row r="479">
          <cell r="L479">
            <v>8484</v>
          </cell>
        </row>
        <row r="479">
          <cell r="O479">
            <v>45673</v>
          </cell>
        </row>
        <row r="480">
          <cell r="L480">
            <v>8485</v>
          </cell>
        </row>
        <row r="480">
          <cell r="O480">
            <v>45671</v>
          </cell>
        </row>
        <row r="481">
          <cell r="L481">
            <v>8357</v>
          </cell>
        </row>
        <row r="481">
          <cell r="O481">
            <v>45664</v>
          </cell>
        </row>
        <row r="482">
          <cell r="L482">
            <v>8353</v>
          </cell>
        </row>
        <row r="482">
          <cell r="O482">
            <v>45694</v>
          </cell>
        </row>
        <row r="483">
          <cell r="L483">
            <v>8356</v>
          </cell>
        </row>
        <row r="483">
          <cell r="O483">
            <v>45689</v>
          </cell>
        </row>
        <row r="484">
          <cell r="L484">
            <v>8602</v>
          </cell>
        </row>
        <row r="484">
          <cell r="O484">
            <v>45664</v>
          </cell>
        </row>
        <row r="485">
          <cell r="L485">
            <v>8533</v>
          </cell>
        </row>
        <row r="485">
          <cell r="O485">
            <v>45673</v>
          </cell>
        </row>
        <row r="486">
          <cell r="L486">
            <v>8516</v>
          </cell>
        </row>
        <row r="486">
          <cell r="O486">
            <v>45668</v>
          </cell>
        </row>
        <row r="487">
          <cell r="L487">
            <v>8517</v>
          </cell>
        </row>
        <row r="487">
          <cell r="O487">
            <v>45668</v>
          </cell>
        </row>
        <row r="488">
          <cell r="L488">
            <v>8461</v>
          </cell>
        </row>
        <row r="488">
          <cell r="O488">
            <v>45665</v>
          </cell>
        </row>
        <row r="489">
          <cell r="L489">
            <v>8170</v>
          </cell>
        </row>
        <row r="489">
          <cell r="O489">
            <v>45675</v>
          </cell>
        </row>
        <row r="490">
          <cell r="L490">
            <v>8426</v>
          </cell>
        </row>
        <row r="490">
          <cell r="O490">
            <v>45671</v>
          </cell>
        </row>
        <row r="491">
          <cell r="L491">
            <v>8418</v>
          </cell>
        </row>
        <row r="491">
          <cell r="O491">
            <v>45673</v>
          </cell>
        </row>
        <row r="492">
          <cell r="L492">
            <v>8437</v>
          </cell>
        </row>
        <row r="492">
          <cell r="O492">
            <v>45672</v>
          </cell>
        </row>
        <row r="493">
          <cell r="L493">
            <v>8552</v>
          </cell>
        </row>
        <row r="493">
          <cell r="O493">
            <v>45671</v>
          </cell>
        </row>
        <row r="494">
          <cell r="L494">
            <v>8553</v>
          </cell>
        </row>
        <row r="494">
          <cell r="O494">
            <v>45672</v>
          </cell>
        </row>
        <row r="495">
          <cell r="L495">
            <v>8550</v>
          </cell>
        </row>
        <row r="495">
          <cell r="O495">
            <v>45674</v>
          </cell>
        </row>
        <row r="496">
          <cell r="L496">
            <v>8551</v>
          </cell>
        </row>
        <row r="496">
          <cell r="O496">
            <v>45680</v>
          </cell>
        </row>
        <row r="497">
          <cell r="L497">
            <v>8520</v>
          </cell>
        </row>
        <row r="497">
          <cell r="O497">
            <v>45678</v>
          </cell>
        </row>
        <row r="498">
          <cell r="L498">
            <v>8521</v>
          </cell>
        </row>
        <row r="498">
          <cell r="O498">
            <v>45684</v>
          </cell>
        </row>
        <row r="499">
          <cell r="L499">
            <v>8419</v>
          </cell>
        </row>
        <row r="499">
          <cell r="O499">
            <v>45693</v>
          </cell>
        </row>
        <row r="500">
          <cell r="L500">
            <v>8422</v>
          </cell>
        </row>
        <row r="500">
          <cell r="O500">
            <v>45677</v>
          </cell>
        </row>
        <row r="501">
          <cell r="L501">
            <v>8677</v>
          </cell>
        </row>
        <row r="501">
          <cell r="O501">
            <v>45684</v>
          </cell>
        </row>
        <row r="502">
          <cell r="L502">
            <v>8364</v>
          </cell>
        </row>
        <row r="502">
          <cell r="O502">
            <v>45689</v>
          </cell>
        </row>
        <row r="503">
          <cell r="L503">
            <v>8606</v>
          </cell>
        </row>
        <row r="503">
          <cell r="O503">
            <v>45677</v>
          </cell>
        </row>
        <row r="504">
          <cell r="L504">
            <v>8614</v>
          </cell>
        </row>
        <row r="504">
          <cell r="O504">
            <v>45703</v>
          </cell>
        </row>
        <row r="505">
          <cell r="L505">
            <v>8541</v>
          </cell>
        </row>
        <row r="505">
          <cell r="O505">
            <v>45673</v>
          </cell>
        </row>
        <row r="506">
          <cell r="L506">
            <v>8542</v>
          </cell>
        </row>
        <row r="506">
          <cell r="O506">
            <v>45673</v>
          </cell>
        </row>
        <row r="507">
          <cell r="L507">
            <v>8543</v>
          </cell>
        </row>
        <row r="507">
          <cell r="O507">
            <v>45673</v>
          </cell>
        </row>
        <row r="508">
          <cell r="L508">
            <v>8624</v>
          </cell>
        </row>
        <row r="508">
          <cell r="O508">
            <v>45680</v>
          </cell>
        </row>
        <row r="509">
          <cell r="L509">
            <v>8625</v>
          </cell>
        </row>
        <row r="509">
          <cell r="O509">
            <v>45675</v>
          </cell>
        </row>
        <row r="510">
          <cell r="L510">
            <v>8618</v>
          </cell>
        </row>
        <row r="510">
          <cell r="O510">
            <v>45692</v>
          </cell>
        </row>
        <row r="511">
          <cell r="L511">
            <v>8674</v>
          </cell>
        </row>
        <row r="511">
          <cell r="O511">
            <v>45681</v>
          </cell>
        </row>
        <row r="512">
          <cell r="L512">
            <v>8719</v>
          </cell>
        </row>
        <row r="512">
          <cell r="O512">
            <v>45708</v>
          </cell>
        </row>
        <row r="513">
          <cell r="L513">
            <v>8116</v>
          </cell>
        </row>
        <row r="513">
          <cell r="O513">
            <v>45686</v>
          </cell>
        </row>
        <row r="514">
          <cell r="L514">
            <v>8696</v>
          </cell>
        </row>
        <row r="514">
          <cell r="O514">
            <v>45755</v>
          </cell>
        </row>
        <row r="515">
          <cell r="L515">
            <v>8697</v>
          </cell>
        </row>
        <row r="515">
          <cell r="O515">
            <v>45694</v>
          </cell>
        </row>
        <row r="516">
          <cell r="L516">
            <v>8698</v>
          </cell>
        </row>
        <row r="516">
          <cell r="O516">
            <v>45689</v>
          </cell>
        </row>
        <row r="517">
          <cell r="L517">
            <v>8699</v>
          </cell>
        </row>
        <row r="517">
          <cell r="O517">
            <v>45705</v>
          </cell>
        </row>
        <row r="518">
          <cell r="L518">
            <v>4674</v>
          </cell>
        </row>
        <row r="518">
          <cell r="O518">
            <v>45772</v>
          </cell>
        </row>
        <row r="519">
          <cell r="L519">
            <v>7409</v>
          </cell>
        </row>
        <row r="519">
          <cell r="O519">
            <v>46024</v>
          </cell>
        </row>
        <row r="520">
          <cell r="L520">
            <v>8595</v>
          </cell>
        </row>
        <row r="520">
          <cell r="O520">
            <v>45694</v>
          </cell>
        </row>
        <row r="521">
          <cell r="L521">
            <v>8363</v>
          </cell>
        </row>
        <row r="521">
          <cell r="O521">
            <v>45698</v>
          </cell>
        </row>
        <row r="522">
          <cell r="L522">
            <v>8603</v>
          </cell>
        </row>
        <row r="522">
          <cell r="O522">
            <v>45693</v>
          </cell>
        </row>
        <row r="523">
          <cell r="L523">
            <v>8607</v>
          </cell>
        </row>
        <row r="523">
          <cell r="O523">
            <v>45692</v>
          </cell>
        </row>
        <row r="524">
          <cell r="L524">
            <v>8608</v>
          </cell>
        </row>
        <row r="524">
          <cell r="O524">
            <v>45689</v>
          </cell>
        </row>
        <row r="525">
          <cell r="L525">
            <v>8611</v>
          </cell>
        </row>
        <row r="525">
          <cell r="O525">
            <v>45692</v>
          </cell>
        </row>
        <row r="526">
          <cell r="L526">
            <v>8082</v>
          </cell>
        </row>
        <row r="526">
          <cell r="O526">
            <v>45688</v>
          </cell>
        </row>
        <row r="527">
          <cell r="L527">
            <v>8612</v>
          </cell>
        </row>
        <row r="527">
          <cell r="O527">
            <v>45692</v>
          </cell>
        </row>
        <row r="528">
          <cell r="L528">
            <v>8613</v>
          </cell>
        </row>
        <row r="528">
          <cell r="O528">
            <v>45699</v>
          </cell>
        </row>
        <row r="529">
          <cell r="L529">
            <v>8598</v>
          </cell>
        </row>
        <row r="529">
          <cell r="O529">
            <v>45892</v>
          </cell>
        </row>
        <row r="530">
          <cell r="L530">
            <v>8597</v>
          </cell>
        </row>
        <row r="530">
          <cell r="O530">
            <v>45699</v>
          </cell>
        </row>
        <row r="531">
          <cell r="L531">
            <v>8619</v>
          </cell>
        </row>
        <row r="531">
          <cell r="O531">
            <v>45735</v>
          </cell>
        </row>
        <row r="532">
          <cell r="L532">
            <v>8672</v>
          </cell>
        </row>
        <row r="532">
          <cell r="O532">
            <v>45717</v>
          </cell>
        </row>
        <row r="533">
          <cell r="L533">
            <v>8532</v>
          </cell>
        </row>
        <row r="533">
          <cell r="O533">
            <v>45700</v>
          </cell>
        </row>
        <row r="534">
          <cell r="L534">
            <v>7587</v>
          </cell>
        </row>
        <row r="534">
          <cell r="O534">
            <v>46008</v>
          </cell>
        </row>
        <row r="535">
          <cell r="L535">
            <v>7665</v>
          </cell>
        </row>
        <row r="536">
          <cell r="L536">
            <v>8833</v>
          </cell>
        </row>
        <row r="536">
          <cell r="O536">
            <v>45715</v>
          </cell>
        </row>
        <row r="537">
          <cell r="L537">
            <v>8616</v>
          </cell>
        </row>
        <row r="537">
          <cell r="O537">
            <v>45714</v>
          </cell>
        </row>
        <row r="538">
          <cell r="L538">
            <v>8617</v>
          </cell>
        </row>
        <row r="538">
          <cell r="O538">
            <v>45702</v>
          </cell>
        </row>
        <row r="539">
          <cell r="L539">
            <v>8770</v>
          </cell>
        </row>
        <row r="539">
          <cell r="O539">
            <v>45714</v>
          </cell>
        </row>
        <row r="540">
          <cell r="L540">
            <v>8771</v>
          </cell>
        </row>
        <row r="540">
          <cell r="O540">
            <v>45710</v>
          </cell>
        </row>
        <row r="541">
          <cell r="L541">
            <v>8773</v>
          </cell>
        </row>
        <row r="541">
          <cell r="O541">
            <v>45720</v>
          </cell>
        </row>
        <row r="542">
          <cell r="L542">
            <v>8620</v>
          </cell>
        </row>
        <row r="542">
          <cell r="O542">
            <v>45698</v>
          </cell>
        </row>
        <row r="543">
          <cell r="L543">
            <v>8621</v>
          </cell>
        </row>
        <row r="543">
          <cell r="O543">
            <v>45698</v>
          </cell>
        </row>
        <row r="544">
          <cell r="L544">
            <v>8728</v>
          </cell>
        </row>
        <row r="544">
          <cell r="O544">
            <v>45754</v>
          </cell>
        </row>
        <row r="545">
          <cell r="L545">
            <v>8810</v>
          </cell>
        </row>
        <row r="545">
          <cell r="O545">
            <v>45746</v>
          </cell>
        </row>
        <row r="546">
          <cell r="L546">
            <v>8604</v>
          </cell>
        </row>
        <row r="546">
          <cell r="O546">
            <v>45707</v>
          </cell>
        </row>
        <row r="547">
          <cell r="L547">
            <v>8605</v>
          </cell>
        </row>
        <row r="547">
          <cell r="O547">
            <v>45748</v>
          </cell>
        </row>
        <row r="548">
          <cell r="L548">
            <v>8609</v>
          </cell>
        </row>
        <row r="548">
          <cell r="O548">
            <v>45700</v>
          </cell>
        </row>
        <row r="549">
          <cell r="L549">
            <v>8610</v>
          </cell>
        </row>
        <row r="549">
          <cell r="O549">
            <v>45700</v>
          </cell>
        </row>
        <row r="550">
          <cell r="L550">
            <v>8678</v>
          </cell>
        </row>
        <row r="550">
          <cell r="O550">
            <v>45706</v>
          </cell>
        </row>
        <row r="551">
          <cell r="L551">
            <v>8679</v>
          </cell>
        </row>
        <row r="551">
          <cell r="O551">
            <v>45708</v>
          </cell>
        </row>
        <row r="552">
          <cell r="L552">
            <v>8680</v>
          </cell>
        </row>
        <row r="552">
          <cell r="O552">
            <v>45705</v>
          </cell>
        </row>
        <row r="553">
          <cell r="L553">
            <v>8750</v>
          </cell>
        </row>
        <row r="553">
          <cell r="O553">
            <v>45748</v>
          </cell>
        </row>
        <row r="554">
          <cell r="L554">
            <v>8751</v>
          </cell>
        </row>
        <row r="554">
          <cell r="O554">
            <v>45707</v>
          </cell>
        </row>
        <row r="555">
          <cell r="L555">
            <v>8681</v>
          </cell>
        </row>
        <row r="555">
          <cell r="O555">
            <v>45704</v>
          </cell>
        </row>
        <row r="556">
          <cell r="L556">
            <v>8682</v>
          </cell>
        </row>
        <row r="556">
          <cell r="O556">
            <v>45764</v>
          </cell>
        </row>
        <row r="557">
          <cell r="L557">
            <v>8683</v>
          </cell>
        </row>
        <row r="557">
          <cell r="O557">
            <v>45706</v>
          </cell>
        </row>
        <row r="558">
          <cell r="L558">
            <v>8685</v>
          </cell>
        </row>
        <row r="558">
          <cell r="O558">
            <v>45700</v>
          </cell>
        </row>
        <row r="559">
          <cell r="L559">
            <v>8686</v>
          </cell>
        </row>
        <row r="559">
          <cell r="O559">
            <v>45703</v>
          </cell>
        </row>
        <row r="560">
          <cell r="L560">
            <v>8687</v>
          </cell>
        </row>
        <row r="560">
          <cell r="O560">
            <v>45700</v>
          </cell>
        </row>
        <row r="561">
          <cell r="L561">
            <v>8688</v>
          </cell>
        </row>
        <row r="561">
          <cell r="O561">
            <v>45741</v>
          </cell>
        </row>
        <row r="562">
          <cell r="L562">
            <v>8689</v>
          </cell>
        </row>
        <row r="562">
          <cell r="O562">
            <v>45718</v>
          </cell>
        </row>
        <row r="563">
          <cell r="L563">
            <v>8690</v>
          </cell>
        </row>
        <row r="563">
          <cell r="O563">
            <v>45701</v>
          </cell>
        </row>
        <row r="564">
          <cell r="L564">
            <v>8755</v>
          </cell>
        </row>
        <row r="564">
          <cell r="O564">
            <v>45717</v>
          </cell>
        </row>
        <row r="565">
          <cell r="L565">
            <v>8756</v>
          </cell>
        </row>
        <row r="565">
          <cell r="O565">
            <v>45713</v>
          </cell>
        </row>
        <row r="566">
          <cell r="L566">
            <v>8622</v>
          </cell>
        </row>
        <row r="566">
          <cell r="O566">
            <v>45699</v>
          </cell>
        </row>
        <row r="567">
          <cell r="L567">
            <v>8623</v>
          </cell>
        </row>
        <row r="567">
          <cell r="O567">
            <v>45709</v>
          </cell>
        </row>
        <row r="568">
          <cell r="L568">
            <v>8932</v>
          </cell>
        </row>
        <row r="568">
          <cell r="O568">
            <v>45703</v>
          </cell>
        </row>
        <row r="569">
          <cell r="L569">
            <v>8675</v>
          </cell>
        </row>
        <row r="569">
          <cell r="O569">
            <v>45716</v>
          </cell>
        </row>
        <row r="570">
          <cell r="L570">
            <v>8749</v>
          </cell>
        </row>
        <row r="570">
          <cell r="O570">
            <v>45702</v>
          </cell>
        </row>
        <row r="571">
          <cell r="L571">
            <v>8665</v>
          </cell>
        </row>
        <row r="571">
          <cell r="O571">
            <v>45714</v>
          </cell>
        </row>
        <row r="572">
          <cell r="L572">
            <v>8671</v>
          </cell>
        </row>
        <row r="572">
          <cell r="O572">
            <v>45712</v>
          </cell>
        </row>
        <row r="573">
          <cell r="L573">
            <v>8684</v>
          </cell>
        </row>
        <row r="573">
          <cell r="O573">
            <v>45705</v>
          </cell>
        </row>
        <row r="574">
          <cell r="L574">
            <v>8594</v>
          </cell>
        </row>
        <row r="574">
          <cell r="O574">
            <v>45710</v>
          </cell>
        </row>
        <row r="575">
          <cell r="L575">
            <v>8843</v>
          </cell>
        </row>
        <row r="575">
          <cell r="O575">
            <v>45711</v>
          </cell>
        </row>
        <row r="576">
          <cell r="L576">
            <v>8844</v>
          </cell>
        </row>
        <row r="576">
          <cell r="O576">
            <v>45710</v>
          </cell>
        </row>
        <row r="577">
          <cell r="L577">
            <v>8752</v>
          </cell>
        </row>
        <row r="577">
          <cell r="O577">
            <v>45712</v>
          </cell>
        </row>
        <row r="578">
          <cell r="L578">
            <v>8753</v>
          </cell>
        </row>
        <row r="578">
          <cell r="O578">
            <v>45712</v>
          </cell>
        </row>
        <row r="579">
          <cell r="L579">
            <v>8754</v>
          </cell>
        </row>
        <row r="579">
          <cell r="O579">
            <v>45714</v>
          </cell>
        </row>
        <row r="580">
          <cell r="L580">
            <v>8879</v>
          </cell>
        </row>
        <row r="580">
          <cell r="O580">
            <v>45711</v>
          </cell>
        </row>
        <row r="581">
          <cell r="L581">
            <v>8936</v>
          </cell>
        </row>
        <row r="581">
          <cell r="O581">
            <v>45713</v>
          </cell>
        </row>
        <row r="582">
          <cell r="L582">
            <v>8842</v>
          </cell>
        </row>
        <row r="582">
          <cell r="O582">
            <v>45710</v>
          </cell>
        </row>
        <row r="583">
          <cell r="L583">
            <v>8852</v>
          </cell>
        </row>
        <row r="583">
          <cell r="O583">
            <v>45719</v>
          </cell>
        </row>
        <row r="584">
          <cell r="L584">
            <v>8781</v>
          </cell>
        </row>
        <row r="584">
          <cell r="O584">
            <v>45722</v>
          </cell>
        </row>
        <row r="585">
          <cell r="L585">
            <v>8783</v>
          </cell>
        </row>
        <row r="585">
          <cell r="O585">
            <v>45717</v>
          </cell>
        </row>
        <row r="586">
          <cell r="L586">
            <v>8784</v>
          </cell>
        </row>
        <row r="586">
          <cell r="O586">
            <v>45715</v>
          </cell>
        </row>
        <row r="587">
          <cell r="L587">
            <v>8947</v>
          </cell>
        </row>
        <row r="587">
          <cell r="O587">
            <v>45720</v>
          </cell>
        </row>
        <row r="588">
          <cell r="L588">
            <v>8768</v>
          </cell>
        </row>
        <row r="588">
          <cell r="O588">
            <v>45719</v>
          </cell>
        </row>
        <row r="589">
          <cell r="L589">
            <v>8774</v>
          </cell>
        </row>
        <row r="589">
          <cell r="O589">
            <v>45712</v>
          </cell>
        </row>
        <row r="590">
          <cell r="L590">
            <v>8775</v>
          </cell>
        </row>
        <row r="590">
          <cell r="O590">
            <v>45756</v>
          </cell>
        </row>
        <row r="591">
          <cell r="L591">
            <v>8776</v>
          </cell>
        </row>
        <row r="591">
          <cell r="O591">
            <v>45746</v>
          </cell>
        </row>
        <row r="592">
          <cell r="L592">
            <v>8777</v>
          </cell>
        </row>
        <row r="592">
          <cell r="O592">
            <v>45714</v>
          </cell>
        </row>
        <row r="593">
          <cell r="L593">
            <v>8778</v>
          </cell>
        </row>
        <row r="593">
          <cell r="O593">
            <v>45716</v>
          </cell>
        </row>
        <row r="594">
          <cell r="L594">
            <v>8779</v>
          </cell>
        </row>
        <row r="594">
          <cell r="O594">
            <v>45710</v>
          </cell>
        </row>
        <row r="595">
          <cell r="L595">
            <v>8780</v>
          </cell>
        </row>
        <row r="595">
          <cell r="O595">
            <v>45709</v>
          </cell>
        </row>
        <row r="596">
          <cell r="L596">
            <v>8766</v>
          </cell>
        </row>
        <row r="596">
          <cell r="O596">
            <v>45712</v>
          </cell>
        </row>
        <row r="597">
          <cell r="L597">
            <v>8849</v>
          </cell>
        </row>
        <row r="597">
          <cell r="O597">
            <v>45712</v>
          </cell>
        </row>
        <row r="598">
          <cell r="L598">
            <v>8757</v>
          </cell>
        </row>
        <row r="598">
          <cell r="O598">
            <v>45714</v>
          </cell>
        </row>
        <row r="599">
          <cell r="L599">
            <v>8758</v>
          </cell>
        </row>
        <row r="599">
          <cell r="O599">
            <v>45728</v>
          </cell>
        </row>
        <row r="600">
          <cell r="L600">
            <v>8759</v>
          </cell>
        </row>
        <row r="600">
          <cell r="O600">
            <v>45715</v>
          </cell>
        </row>
        <row r="601">
          <cell r="L601">
            <v>8760</v>
          </cell>
        </row>
        <row r="601">
          <cell r="O601">
            <v>45715</v>
          </cell>
        </row>
        <row r="602">
          <cell r="L602">
            <v>8845</v>
          </cell>
        </row>
        <row r="602">
          <cell r="O602">
            <v>45723</v>
          </cell>
        </row>
        <row r="603">
          <cell r="L603">
            <v>8846</v>
          </cell>
        </row>
        <row r="603">
          <cell r="O603">
            <v>45725</v>
          </cell>
        </row>
        <row r="604">
          <cell r="L604">
            <v>8847</v>
          </cell>
        </row>
        <row r="604">
          <cell r="O604">
            <v>45717</v>
          </cell>
        </row>
        <row r="605">
          <cell r="L605">
            <v>8848</v>
          </cell>
        </row>
        <row r="605">
          <cell r="O605">
            <v>45721</v>
          </cell>
        </row>
        <row r="606">
          <cell r="L606">
            <v>8767</v>
          </cell>
        </row>
        <row r="606">
          <cell r="O606">
            <v>45713</v>
          </cell>
        </row>
        <row r="607">
          <cell r="L607">
            <v>8769</v>
          </cell>
        </row>
        <row r="607">
          <cell r="O607">
            <v>45714</v>
          </cell>
        </row>
        <row r="608">
          <cell r="L608">
            <v>8850</v>
          </cell>
        </row>
        <row r="608">
          <cell r="O608">
            <v>45715</v>
          </cell>
        </row>
        <row r="609">
          <cell r="L609">
            <v>8851</v>
          </cell>
        </row>
        <row r="609">
          <cell r="O609">
            <v>45719</v>
          </cell>
        </row>
        <row r="610">
          <cell r="L610">
            <v>8772</v>
          </cell>
        </row>
        <row r="610">
          <cell r="O610">
            <v>45717</v>
          </cell>
        </row>
        <row r="611">
          <cell r="L611">
            <v>8782</v>
          </cell>
        </row>
        <row r="611">
          <cell r="O611">
            <v>45817</v>
          </cell>
        </row>
        <row r="612">
          <cell r="L612">
            <v>8669</v>
          </cell>
        </row>
        <row r="612">
          <cell r="O612">
            <v>45720</v>
          </cell>
        </row>
        <row r="613">
          <cell r="L613">
            <v>8865</v>
          </cell>
        </row>
        <row r="613">
          <cell r="O613">
            <v>45732</v>
          </cell>
        </row>
        <row r="614">
          <cell r="L614">
            <v>8904</v>
          </cell>
        </row>
        <row r="614">
          <cell r="O614">
            <v>45727</v>
          </cell>
        </row>
        <row r="615">
          <cell r="L615">
            <v>8905</v>
          </cell>
        </row>
        <row r="615">
          <cell r="O615">
            <v>45770</v>
          </cell>
        </row>
        <row r="616">
          <cell r="L616">
            <v>8901</v>
          </cell>
        </row>
        <row r="616">
          <cell r="O616">
            <v>45724</v>
          </cell>
        </row>
        <row r="617">
          <cell r="L617">
            <v>8902</v>
          </cell>
        </row>
        <row r="617">
          <cell r="O617">
            <v>45724</v>
          </cell>
        </row>
        <row r="618">
          <cell r="L618">
            <v>8914</v>
          </cell>
        </row>
        <row r="618">
          <cell r="O618">
            <v>45731</v>
          </cell>
        </row>
        <row r="619">
          <cell r="L619">
            <v>8915</v>
          </cell>
        </row>
        <row r="619">
          <cell r="O619">
            <v>45776</v>
          </cell>
        </row>
        <row r="620">
          <cell r="L620">
            <v>8916</v>
          </cell>
        </row>
        <row r="620">
          <cell r="O620">
            <v>45722</v>
          </cell>
        </row>
        <row r="621">
          <cell r="L621">
            <v>8911</v>
          </cell>
        </row>
        <row r="621">
          <cell r="O621">
            <v>45743</v>
          </cell>
        </row>
        <row r="622">
          <cell r="L622">
            <v>8912</v>
          </cell>
        </row>
        <row r="622">
          <cell r="O622">
            <v>45730</v>
          </cell>
        </row>
        <row r="623">
          <cell r="L623">
            <v>8913</v>
          </cell>
        </row>
        <row r="623">
          <cell r="O623">
            <v>45727</v>
          </cell>
        </row>
        <row r="624">
          <cell r="L624">
            <v>9084</v>
          </cell>
        </row>
        <row r="624">
          <cell r="O624">
            <v>45742</v>
          </cell>
        </row>
        <row r="625">
          <cell r="L625">
            <v>8959</v>
          </cell>
        </row>
        <row r="625">
          <cell r="O625">
            <v>45738</v>
          </cell>
        </row>
        <row r="626">
          <cell r="L626">
            <v>8900</v>
          </cell>
        </row>
        <row r="626">
          <cell r="O626">
            <v>45727</v>
          </cell>
        </row>
        <row r="627">
          <cell r="L627">
            <v>8840</v>
          </cell>
        </row>
        <row r="627">
          <cell r="O627">
            <v>45730</v>
          </cell>
        </row>
        <row r="628">
          <cell r="L628">
            <v>8841</v>
          </cell>
        </row>
        <row r="628">
          <cell r="O628">
            <v>45727</v>
          </cell>
        </row>
        <row r="629">
          <cell r="L629">
            <v>8988</v>
          </cell>
        </row>
        <row r="629">
          <cell r="O629">
            <v>45731</v>
          </cell>
        </row>
        <row r="630">
          <cell r="L630">
            <v>8960</v>
          </cell>
        </row>
        <row r="630">
          <cell r="O630">
            <v>45730</v>
          </cell>
        </row>
        <row r="631">
          <cell r="L631">
            <v>8961</v>
          </cell>
        </row>
        <row r="631">
          <cell r="O631">
            <v>45726</v>
          </cell>
        </row>
        <row r="632">
          <cell r="L632">
            <v>8967</v>
          </cell>
        </row>
        <row r="632">
          <cell r="O632">
            <v>45726</v>
          </cell>
        </row>
        <row r="633">
          <cell r="L633">
            <v>8968</v>
          </cell>
        </row>
        <row r="633">
          <cell r="O633">
            <v>45754</v>
          </cell>
        </row>
        <row r="634">
          <cell r="L634">
            <v>9426</v>
          </cell>
        </row>
        <row r="634">
          <cell r="O634">
            <v>45890</v>
          </cell>
        </row>
        <row r="635">
          <cell r="L635">
            <v>8984</v>
          </cell>
        </row>
        <row r="635">
          <cell r="O635">
            <v>45728</v>
          </cell>
        </row>
        <row r="636">
          <cell r="L636">
            <v>9123</v>
          </cell>
        </row>
        <row r="636">
          <cell r="O636">
            <v>45741</v>
          </cell>
        </row>
        <row r="637">
          <cell r="L637">
            <v>9124</v>
          </cell>
        </row>
        <row r="637">
          <cell r="O637">
            <v>45738</v>
          </cell>
        </row>
        <row r="638">
          <cell r="L638">
            <v>9427</v>
          </cell>
        </row>
        <row r="639">
          <cell r="L639">
            <v>8999</v>
          </cell>
        </row>
        <row r="639">
          <cell r="O639">
            <v>45729</v>
          </cell>
        </row>
        <row r="640">
          <cell r="L640">
            <v>9000</v>
          </cell>
        </row>
        <row r="640">
          <cell r="O640">
            <v>45766</v>
          </cell>
        </row>
        <row r="641">
          <cell r="L641">
            <v>9428</v>
          </cell>
        </row>
        <row r="641">
          <cell r="O641">
            <v>45728</v>
          </cell>
        </row>
        <row r="642">
          <cell r="L642">
            <v>9047</v>
          </cell>
        </row>
        <row r="642">
          <cell r="O642">
            <v>45774</v>
          </cell>
        </row>
        <row r="643">
          <cell r="L643">
            <v>8181</v>
          </cell>
        </row>
        <row r="643">
          <cell r="O643">
            <v>46037</v>
          </cell>
        </row>
        <row r="644">
          <cell r="L644">
            <v>9083</v>
          </cell>
        </row>
        <row r="644">
          <cell r="O644">
            <v>45737</v>
          </cell>
        </row>
        <row r="645">
          <cell r="L645">
            <v>9121</v>
          </cell>
        </row>
        <row r="645">
          <cell r="O645">
            <v>45732</v>
          </cell>
        </row>
        <row r="646">
          <cell r="L646">
            <v>9122</v>
          </cell>
        </row>
        <row r="646">
          <cell r="O646">
            <v>45740</v>
          </cell>
        </row>
        <row r="647">
          <cell r="L647">
            <v>9433</v>
          </cell>
        </row>
        <row r="647">
          <cell r="O647">
            <v>46028</v>
          </cell>
        </row>
        <row r="648">
          <cell r="L648">
            <v>9429</v>
          </cell>
        </row>
        <row r="648">
          <cell r="O648">
            <v>45746</v>
          </cell>
        </row>
        <row r="649">
          <cell r="L649">
            <v>9430</v>
          </cell>
        </row>
        <row r="649">
          <cell r="O649">
            <v>45755</v>
          </cell>
        </row>
        <row r="650">
          <cell r="L650">
            <v>8727</v>
          </cell>
        </row>
        <row r="650">
          <cell r="O650">
            <v>45748</v>
          </cell>
        </row>
        <row r="651">
          <cell r="L651">
            <v>9431</v>
          </cell>
        </row>
        <row r="651">
          <cell r="O651">
            <v>45758</v>
          </cell>
        </row>
        <row r="652">
          <cell r="L652">
            <v>9432</v>
          </cell>
        </row>
        <row r="652">
          <cell r="O652">
            <v>45830</v>
          </cell>
        </row>
        <row r="653">
          <cell r="L653">
            <v>8765</v>
          </cell>
        </row>
        <row r="653">
          <cell r="O653">
            <v>45736</v>
          </cell>
        </row>
        <row r="654">
          <cell r="L654">
            <v>8917</v>
          </cell>
        </row>
        <row r="654">
          <cell r="O654">
            <v>45788</v>
          </cell>
        </row>
        <row r="655">
          <cell r="L655">
            <v>8918</v>
          </cell>
        </row>
        <row r="655">
          <cell r="O655">
            <v>45738</v>
          </cell>
        </row>
        <row r="656">
          <cell r="L656">
            <v>8919</v>
          </cell>
        </row>
        <row r="656">
          <cell r="O656">
            <v>45749</v>
          </cell>
        </row>
        <row r="657">
          <cell r="L657">
            <v>8920</v>
          </cell>
        </row>
        <row r="657">
          <cell r="O657">
            <v>45736</v>
          </cell>
        </row>
        <row r="658">
          <cell r="L658">
            <v>8921</v>
          </cell>
        </row>
        <row r="658">
          <cell r="O658">
            <v>45796</v>
          </cell>
        </row>
        <row r="659">
          <cell r="L659">
            <v>8922</v>
          </cell>
        </row>
        <row r="659">
          <cell r="O659">
            <v>45782</v>
          </cell>
        </row>
        <row r="660">
          <cell r="L660">
            <v>8923</v>
          </cell>
        </row>
        <row r="660">
          <cell r="O660">
            <v>45842</v>
          </cell>
        </row>
        <row r="661">
          <cell r="L661">
            <v>8898</v>
          </cell>
        </row>
        <row r="661">
          <cell r="O661">
            <v>45746</v>
          </cell>
        </row>
        <row r="662">
          <cell r="L662">
            <v>9157</v>
          </cell>
        </row>
        <row r="662">
          <cell r="O662">
            <v>45745</v>
          </cell>
        </row>
        <row r="663">
          <cell r="L663">
            <v>9063</v>
          </cell>
        </row>
        <row r="663">
          <cell r="O663">
            <v>45746</v>
          </cell>
        </row>
        <row r="664">
          <cell r="L664">
            <v>9139</v>
          </cell>
        </row>
        <row r="664">
          <cell r="O664">
            <v>45757</v>
          </cell>
        </row>
        <row r="665">
          <cell r="L665">
            <v>9140</v>
          </cell>
        </row>
        <row r="665">
          <cell r="O665">
            <v>45738</v>
          </cell>
        </row>
        <row r="666">
          <cell r="L666">
            <v>8991</v>
          </cell>
        </row>
        <row r="666">
          <cell r="O666">
            <v>45754</v>
          </cell>
        </row>
        <row r="667">
          <cell r="L667">
            <v>8939</v>
          </cell>
        </row>
        <row r="667">
          <cell r="O667">
            <v>45755</v>
          </cell>
        </row>
        <row r="668">
          <cell r="L668">
            <v>8938</v>
          </cell>
        </row>
        <row r="668">
          <cell r="O668">
            <v>45744</v>
          </cell>
        </row>
        <row r="669">
          <cell r="L669">
            <v>9064</v>
          </cell>
        </row>
        <row r="669">
          <cell r="O669">
            <v>45738</v>
          </cell>
        </row>
        <row r="670">
          <cell r="L670">
            <v>9065</v>
          </cell>
        </row>
        <row r="670">
          <cell r="O670">
            <v>45738</v>
          </cell>
        </row>
        <row r="671">
          <cell r="L671">
            <v>9066</v>
          </cell>
        </row>
        <row r="671">
          <cell r="O671">
            <v>45738</v>
          </cell>
        </row>
        <row r="672">
          <cell r="L672">
            <v>9117</v>
          </cell>
        </row>
        <row r="672">
          <cell r="O672">
            <v>45738</v>
          </cell>
        </row>
        <row r="673">
          <cell r="L673">
            <v>9067</v>
          </cell>
        </row>
        <row r="673">
          <cell r="O673">
            <v>45739</v>
          </cell>
        </row>
        <row r="674">
          <cell r="L674">
            <v>9068</v>
          </cell>
        </row>
        <row r="674">
          <cell r="O674">
            <v>45742</v>
          </cell>
        </row>
        <row r="675">
          <cell r="L675">
            <v>9040</v>
          </cell>
        </row>
        <row r="675">
          <cell r="O675">
            <v>45785</v>
          </cell>
        </row>
        <row r="676">
          <cell r="L676">
            <v>9200</v>
          </cell>
        </row>
        <row r="676">
          <cell r="O676">
            <v>45782</v>
          </cell>
        </row>
        <row r="677">
          <cell r="L677">
            <v>9165</v>
          </cell>
        </row>
        <row r="677">
          <cell r="O677">
            <v>45760</v>
          </cell>
        </row>
        <row r="678">
          <cell r="L678">
            <v>9166</v>
          </cell>
        </row>
        <row r="678">
          <cell r="O678">
            <v>45754</v>
          </cell>
        </row>
        <row r="679">
          <cell r="L679">
            <v>9045</v>
          </cell>
        </row>
        <row r="679">
          <cell r="O679">
            <v>45760</v>
          </cell>
        </row>
        <row r="680">
          <cell r="L680">
            <v>9046</v>
          </cell>
        </row>
        <row r="680">
          <cell r="O680">
            <v>45760</v>
          </cell>
        </row>
        <row r="681">
          <cell r="L681">
            <v>5725</v>
          </cell>
        </row>
        <row r="681">
          <cell r="O681">
            <v>46024</v>
          </cell>
        </row>
        <row r="682">
          <cell r="L682">
            <v>9156</v>
          </cell>
        </row>
        <row r="682">
          <cell r="O682">
            <v>45762</v>
          </cell>
        </row>
        <row r="683">
          <cell r="L683">
            <v>8906</v>
          </cell>
        </row>
        <row r="683">
          <cell r="O683">
            <v>45776</v>
          </cell>
        </row>
        <row r="684">
          <cell r="L684">
            <v>8909</v>
          </cell>
        </row>
        <row r="684">
          <cell r="O684">
            <v>45796</v>
          </cell>
        </row>
        <row r="685">
          <cell r="L685">
            <v>9258</v>
          </cell>
        </row>
        <row r="685">
          <cell r="O685">
            <v>45760</v>
          </cell>
        </row>
        <row r="686">
          <cell r="L686">
            <v>9171</v>
          </cell>
        </row>
        <row r="686">
          <cell r="O686">
            <v>45783</v>
          </cell>
        </row>
        <row r="687">
          <cell r="L687">
            <v>9159</v>
          </cell>
        </row>
        <row r="687">
          <cell r="O687">
            <v>45763</v>
          </cell>
        </row>
        <row r="688">
          <cell r="L688">
            <v>9160</v>
          </cell>
        </row>
        <row r="688">
          <cell r="O688">
            <v>45759</v>
          </cell>
        </row>
        <row r="689">
          <cell r="L689">
            <v>9116</v>
          </cell>
        </row>
        <row r="689">
          <cell r="O689">
            <v>45763</v>
          </cell>
        </row>
        <row r="690">
          <cell r="L690">
            <v>9284</v>
          </cell>
        </row>
        <row r="690">
          <cell r="O690">
            <v>45760</v>
          </cell>
        </row>
        <row r="691">
          <cell r="L691">
            <v>9285</v>
          </cell>
        </row>
        <row r="691">
          <cell r="O691">
            <v>45760</v>
          </cell>
        </row>
        <row r="692">
          <cell r="L692">
            <v>9286</v>
          </cell>
        </row>
        <row r="692">
          <cell r="O692">
            <v>45760</v>
          </cell>
        </row>
        <row r="693">
          <cell r="L693">
            <v>9112</v>
          </cell>
        </row>
        <row r="693">
          <cell r="O693">
            <v>45769</v>
          </cell>
        </row>
        <row r="694">
          <cell r="L694">
            <v>9113</v>
          </cell>
        </row>
        <row r="694">
          <cell r="O694">
            <v>45763</v>
          </cell>
        </row>
        <row r="695">
          <cell r="L695">
            <v>9114</v>
          </cell>
        </row>
        <row r="695">
          <cell r="O695">
            <v>45766</v>
          </cell>
        </row>
        <row r="696">
          <cell r="L696">
            <v>9115</v>
          </cell>
        </row>
        <row r="696">
          <cell r="O696">
            <v>45768</v>
          </cell>
        </row>
        <row r="697">
          <cell r="L697">
            <v>9172</v>
          </cell>
        </row>
        <row r="697">
          <cell r="O697">
            <v>45775</v>
          </cell>
        </row>
        <row r="698">
          <cell r="L698">
            <v>9173</v>
          </cell>
        </row>
        <row r="698">
          <cell r="O698">
            <v>45768</v>
          </cell>
        </row>
        <row r="699">
          <cell r="L699">
            <v>9287</v>
          </cell>
        </row>
        <row r="699">
          <cell r="O699">
            <v>45778</v>
          </cell>
        </row>
        <row r="700">
          <cell r="L700">
            <v>9288</v>
          </cell>
        </row>
        <row r="700">
          <cell r="O700">
            <v>45776</v>
          </cell>
        </row>
        <row r="701">
          <cell r="L701">
            <v>9282</v>
          </cell>
        </row>
        <row r="701">
          <cell r="O701">
            <v>45765</v>
          </cell>
        </row>
        <row r="702">
          <cell r="L702">
            <v>9311</v>
          </cell>
        </row>
        <row r="702">
          <cell r="O702">
            <v>45771</v>
          </cell>
        </row>
        <row r="703">
          <cell r="L703">
            <v>9291</v>
          </cell>
        </row>
        <row r="703">
          <cell r="O703">
            <v>45772</v>
          </cell>
        </row>
        <row r="704">
          <cell r="L704">
            <v>9292</v>
          </cell>
        </row>
        <row r="704">
          <cell r="O704">
            <v>45824</v>
          </cell>
        </row>
        <row r="705">
          <cell r="L705">
            <v>9235</v>
          </cell>
        </row>
        <row r="705">
          <cell r="O705">
            <v>45789</v>
          </cell>
        </row>
        <row r="706">
          <cell r="L706">
            <v>9228</v>
          </cell>
        </row>
        <row r="706">
          <cell r="O706">
            <v>45766</v>
          </cell>
        </row>
        <row r="707">
          <cell r="L707">
            <v>9237</v>
          </cell>
        </row>
        <row r="707">
          <cell r="O707">
            <v>45813</v>
          </cell>
        </row>
        <row r="708">
          <cell r="L708">
            <v>9008</v>
          </cell>
        </row>
        <row r="708">
          <cell r="O708">
            <v>45766</v>
          </cell>
        </row>
        <row r="709">
          <cell r="L709">
            <v>9061</v>
          </cell>
        </row>
        <row r="709">
          <cell r="O709">
            <v>45765</v>
          </cell>
        </row>
        <row r="710">
          <cell r="L710">
            <v>9035</v>
          </cell>
        </row>
        <row r="710">
          <cell r="O710">
            <v>45766</v>
          </cell>
        </row>
        <row r="711">
          <cell r="L711">
            <v>8986</v>
          </cell>
        </row>
        <row r="711">
          <cell r="O711">
            <v>45784</v>
          </cell>
        </row>
        <row r="712">
          <cell r="L712">
            <v>9088</v>
          </cell>
        </row>
        <row r="712">
          <cell r="O712">
            <v>45772</v>
          </cell>
        </row>
        <row r="713">
          <cell r="L713">
            <v>9089</v>
          </cell>
        </row>
        <row r="713">
          <cell r="O713">
            <v>45764</v>
          </cell>
        </row>
        <row r="714">
          <cell r="L714">
            <v>9834</v>
          </cell>
        </row>
        <row r="714">
          <cell r="O714">
            <v>45770</v>
          </cell>
        </row>
        <row r="715">
          <cell r="L715">
            <v>9048</v>
          </cell>
        </row>
        <row r="715">
          <cell r="O715">
            <v>45811</v>
          </cell>
        </row>
        <row r="716">
          <cell r="L716">
            <v>9833</v>
          </cell>
        </row>
        <row r="717">
          <cell r="L717">
            <v>9049</v>
          </cell>
        </row>
        <row r="717">
          <cell r="O717">
            <v>45771</v>
          </cell>
        </row>
        <row r="718">
          <cell r="L718">
            <v>9050</v>
          </cell>
        </row>
        <row r="718">
          <cell r="O718">
            <v>45768</v>
          </cell>
        </row>
        <row r="719">
          <cell r="L719">
            <v>9834</v>
          </cell>
        </row>
        <row r="719">
          <cell r="O719">
            <v>45825</v>
          </cell>
        </row>
        <row r="720">
          <cell r="L720">
            <v>9533</v>
          </cell>
        </row>
        <row r="720">
          <cell r="O720">
            <v>45779</v>
          </cell>
        </row>
        <row r="721">
          <cell r="L721">
            <v>8899</v>
          </cell>
        </row>
        <row r="721">
          <cell r="O721">
            <v>45784</v>
          </cell>
        </row>
        <row r="722">
          <cell r="L722">
            <v>8907</v>
          </cell>
        </row>
        <row r="722">
          <cell r="O722">
            <v>45777</v>
          </cell>
        </row>
        <row r="723">
          <cell r="L723">
            <v>8908</v>
          </cell>
        </row>
        <row r="723">
          <cell r="O723">
            <v>45888</v>
          </cell>
        </row>
        <row r="724">
          <cell r="L724">
            <v>8910</v>
          </cell>
        </row>
        <row r="724">
          <cell r="O724">
            <v>45789</v>
          </cell>
        </row>
        <row r="725">
          <cell r="L725">
            <v>9339</v>
          </cell>
        </row>
        <row r="725">
          <cell r="O725">
            <v>45777</v>
          </cell>
        </row>
        <row r="726">
          <cell r="L726">
            <v>9389</v>
          </cell>
        </row>
        <row r="726">
          <cell r="O726">
            <v>45772</v>
          </cell>
        </row>
        <row r="727">
          <cell r="L727">
            <v>9390</v>
          </cell>
        </row>
        <row r="727">
          <cell r="O727">
            <v>45772</v>
          </cell>
        </row>
        <row r="728">
          <cell r="L728">
            <v>9362</v>
          </cell>
        </row>
        <row r="728">
          <cell r="O728">
            <v>45772</v>
          </cell>
        </row>
        <row r="729">
          <cell r="L729">
            <v>9363</v>
          </cell>
        </row>
        <row r="729">
          <cell r="O729">
            <v>45806</v>
          </cell>
        </row>
        <row r="730">
          <cell r="L730">
            <v>9364</v>
          </cell>
        </row>
        <row r="730">
          <cell r="O730">
            <v>45774</v>
          </cell>
        </row>
        <row r="731">
          <cell r="L731">
            <v>9302</v>
          </cell>
        </row>
        <row r="731">
          <cell r="O731">
            <v>45776</v>
          </cell>
        </row>
        <row r="732">
          <cell r="L732">
            <v>9305</v>
          </cell>
        </row>
        <row r="732">
          <cell r="O732">
            <v>45772</v>
          </cell>
        </row>
        <row r="733">
          <cell r="L733">
            <v>9306</v>
          </cell>
        </row>
        <row r="733">
          <cell r="O733">
            <v>45778</v>
          </cell>
        </row>
        <row r="734">
          <cell r="L734">
            <v>9290</v>
          </cell>
        </row>
        <row r="734">
          <cell r="O734">
            <v>45772</v>
          </cell>
        </row>
        <row r="735">
          <cell r="L735">
            <v>9529</v>
          </cell>
        </row>
        <row r="735">
          <cell r="O735">
            <v>45841</v>
          </cell>
        </row>
        <row r="736">
          <cell r="L736">
            <v>9227</v>
          </cell>
        </row>
        <row r="736">
          <cell r="O736">
            <v>45882</v>
          </cell>
        </row>
        <row r="737">
          <cell r="L737">
            <v>9232</v>
          </cell>
        </row>
        <row r="737">
          <cell r="O737">
            <v>45917</v>
          </cell>
        </row>
        <row r="738">
          <cell r="L738">
            <v>9233</v>
          </cell>
        </row>
        <row r="738">
          <cell r="O738">
            <v>45874</v>
          </cell>
        </row>
        <row r="739">
          <cell r="L739">
            <v>9234</v>
          </cell>
        </row>
        <row r="739">
          <cell r="O739">
            <v>45805</v>
          </cell>
        </row>
        <row r="740">
          <cell r="L740">
            <v>9236</v>
          </cell>
        </row>
        <row r="740">
          <cell r="O740">
            <v>45820</v>
          </cell>
        </row>
        <row r="741">
          <cell r="L741">
            <v>8903</v>
          </cell>
        </row>
        <row r="741">
          <cell r="O741">
            <v>45969</v>
          </cell>
        </row>
        <row r="742">
          <cell r="L742">
            <v>8992</v>
          </cell>
        </row>
        <row r="742">
          <cell r="O742">
            <v>45785</v>
          </cell>
        </row>
        <row r="743">
          <cell r="L743">
            <v>9037</v>
          </cell>
        </row>
        <row r="743">
          <cell r="O743">
            <v>45779</v>
          </cell>
        </row>
        <row r="744">
          <cell r="L744">
            <v>9038</v>
          </cell>
        </row>
        <row r="744">
          <cell r="O744">
            <v>45782</v>
          </cell>
        </row>
        <row r="745">
          <cell r="L745">
            <v>8993</v>
          </cell>
        </row>
        <row r="745">
          <cell r="O745">
            <v>45777</v>
          </cell>
        </row>
        <row r="746">
          <cell r="L746">
            <v>9039</v>
          </cell>
        </row>
        <row r="746">
          <cell r="O746">
            <v>45777</v>
          </cell>
        </row>
        <row r="747">
          <cell r="L747">
            <v>9359</v>
          </cell>
        </row>
        <row r="747">
          <cell r="O747">
            <v>45777</v>
          </cell>
        </row>
        <row r="748">
          <cell r="L748">
            <v>9360</v>
          </cell>
        </row>
        <row r="748">
          <cell r="O748">
            <v>45775</v>
          </cell>
        </row>
        <row r="749">
          <cell r="L749">
            <v>9361</v>
          </cell>
        </row>
        <row r="749">
          <cell r="O749">
            <v>45780</v>
          </cell>
        </row>
        <row r="750">
          <cell r="L750">
            <v>9307</v>
          </cell>
        </row>
        <row r="750">
          <cell r="O750">
            <v>45772</v>
          </cell>
        </row>
        <row r="751">
          <cell r="L751">
            <v>9316</v>
          </cell>
        </row>
        <row r="751">
          <cell r="O751">
            <v>45789</v>
          </cell>
        </row>
        <row r="752">
          <cell r="L752">
            <v>9358</v>
          </cell>
        </row>
        <row r="752">
          <cell r="O752">
            <v>45780</v>
          </cell>
        </row>
        <row r="753">
          <cell r="L753">
            <v>9373</v>
          </cell>
        </row>
        <row r="753">
          <cell r="O753">
            <v>45785</v>
          </cell>
        </row>
        <row r="754">
          <cell r="L754">
            <v>8985</v>
          </cell>
        </row>
        <row r="754">
          <cell r="O754">
            <v>45782</v>
          </cell>
        </row>
        <row r="755">
          <cell r="L755">
            <v>9386</v>
          </cell>
        </row>
        <row r="755">
          <cell r="O755">
            <v>45786</v>
          </cell>
        </row>
        <row r="756">
          <cell r="L756">
            <v>9387</v>
          </cell>
        </row>
        <row r="756">
          <cell r="O756">
            <v>45783</v>
          </cell>
        </row>
        <row r="757">
          <cell r="L757">
            <v>9557</v>
          </cell>
        </row>
        <row r="757">
          <cell r="O757">
            <v>45796</v>
          </cell>
        </row>
        <row r="758">
          <cell r="L758">
            <v>9558</v>
          </cell>
        </row>
        <row r="758">
          <cell r="O758">
            <v>45798</v>
          </cell>
        </row>
        <row r="759">
          <cell r="L759">
            <v>9559</v>
          </cell>
        </row>
        <row r="759">
          <cell r="O759">
            <v>45786</v>
          </cell>
        </row>
        <row r="760">
          <cell r="L760">
            <v>9560</v>
          </cell>
        </row>
        <row r="760">
          <cell r="O760">
            <v>45789</v>
          </cell>
        </row>
        <row r="761">
          <cell r="L761">
            <v>9388</v>
          </cell>
        </row>
        <row r="761">
          <cell r="O761">
            <v>45789</v>
          </cell>
        </row>
        <row r="762">
          <cell r="L762">
            <v>9540</v>
          </cell>
        </row>
        <row r="762">
          <cell r="O762">
            <v>45785</v>
          </cell>
        </row>
        <row r="763">
          <cell r="L763">
            <v>9480</v>
          </cell>
        </row>
        <row r="763">
          <cell r="O763">
            <v>45787</v>
          </cell>
        </row>
        <row r="764">
          <cell r="L764">
            <v>9481</v>
          </cell>
        </row>
        <row r="764">
          <cell r="O764">
            <v>45793</v>
          </cell>
        </row>
        <row r="765">
          <cell r="L765">
            <v>9551</v>
          </cell>
        </row>
        <row r="765">
          <cell r="O765">
            <v>45794</v>
          </cell>
        </row>
        <row r="766">
          <cell r="L766">
            <v>9553</v>
          </cell>
        </row>
        <row r="766">
          <cell r="O766">
            <v>45830</v>
          </cell>
        </row>
        <row r="767">
          <cell r="L767">
            <v>9391</v>
          </cell>
        </row>
        <row r="767">
          <cell r="O767">
            <v>45794</v>
          </cell>
        </row>
        <row r="768">
          <cell r="L768">
            <v>9289</v>
          </cell>
        </row>
        <row r="768">
          <cell r="O768">
            <v>45794</v>
          </cell>
        </row>
        <row r="769">
          <cell r="L769">
            <v>9552</v>
          </cell>
        </row>
        <row r="769">
          <cell r="O769">
            <v>45791</v>
          </cell>
        </row>
        <row r="770">
          <cell r="L770">
            <v>9580</v>
          </cell>
        </row>
        <row r="770">
          <cell r="O770">
            <v>45795</v>
          </cell>
        </row>
        <row r="771">
          <cell r="L771">
            <v>9581</v>
          </cell>
        </row>
        <row r="771">
          <cell r="O771">
            <v>45797</v>
          </cell>
        </row>
        <row r="772">
          <cell r="L772">
            <v>9490</v>
          </cell>
        </row>
        <row r="772">
          <cell r="O772">
            <v>45818</v>
          </cell>
        </row>
        <row r="773">
          <cell r="L773">
            <v>9884</v>
          </cell>
        </row>
        <row r="773">
          <cell r="O773">
            <v>45815</v>
          </cell>
        </row>
        <row r="774">
          <cell r="L774">
            <v>9513</v>
          </cell>
        </row>
        <row r="774">
          <cell r="O774">
            <v>45825</v>
          </cell>
        </row>
        <row r="775">
          <cell r="L775">
            <v>9625</v>
          </cell>
        </row>
        <row r="775">
          <cell r="O775">
            <v>45818</v>
          </cell>
        </row>
        <row r="776">
          <cell r="L776">
            <v>9514</v>
          </cell>
        </row>
        <row r="776">
          <cell r="O776">
            <v>45818</v>
          </cell>
        </row>
        <row r="777">
          <cell r="L777">
            <v>9515</v>
          </cell>
        </row>
        <row r="777">
          <cell r="O777">
            <v>45827</v>
          </cell>
        </row>
        <row r="778">
          <cell r="L778">
            <v>9516</v>
          </cell>
        </row>
        <row r="778">
          <cell r="O778">
            <v>45826</v>
          </cell>
        </row>
        <row r="779">
          <cell r="L779">
            <v>9883</v>
          </cell>
        </row>
        <row r="779">
          <cell r="O779">
            <v>45822</v>
          </cell>
        </row>
        <row r="780">
          <cell r="L780">
            <v>9626</v>
          </cell>
        </row>
        <row r="780">
          <cell r="O780">
            <v>45796</v>
          </cell>
        </row>
        <row r="781">
          <cell r="L781">
            <v>9627</v>
          </cell>
        </row>
        <row r="781">
          <cell r="O781">
            <v>45789</v>
          </cell>
        </row>
        <row r="782">
          <cell r="L782">
            <v>9482</v>
          </cell>
        </row>
        <row r="782">
          <cell r="O782" t="str">
            <v>2025/5/24</v>
          </cell>
        </row>
        <row r="783">
          <cell r="L783">
            <v>9375</v>
          </cell>
        </row>
        <row r="783">
          <cell r="O783">
            <v>45788</v>
          </cell>
        </row>
        <row r="784">
          <cell r="L784">
            <v>9447</v>
          </cell>
        </row>
        <row r="784">
          <cell r="O784">
            <v>45858</v>
          </cell>
        </row>
        <row r="785">
          <cell r="L785">
            <v>9448</v>
          </cell>
        </row>
        <row r="785">
          <cell r="O785">
            <v>45798</v>
          </cell>
        </row>
        <row r="786">
          <cell r="L786">
            <v>9449</v>
          </cell>
        </row>
        <row r="786">
          <cell r="O786">
            <v>45861</v>
          </cell>
        </row>
        <row r="787">
          <cell r="L787">
            <v>9455</v>
          </cell>
        </row>
        <row r="787">
          <cell r="O787">
            <v>45796</v>
          </cell>
        </row>
        <row r="788">
          <cell r="L788">
            <v>9439</v>
          </cell>
        </row>
        <row r="788">
          <cell r="O788">
            <v>45791</v>
          </cell>
        </row>
        <row r="789">
          <cell r="L789">
            <v>9456</v>
          </cell>
        </row>
        <row r="789">
          <cell r="O789">
            <v>45792</v>
          </cell>
        </row>
        <row r="790">
          <cell r="L790">
            <v>9491</v>
          </cell>
        </row>
        <row r="790">
          <cell r="O790">
            <v>45795</v>
          </cell>
        </row>
        <row r="791">
          <cell r="L791">
            <v>9492</v>
          </cell>
        </row>
        <row r="791">
          <cell r="O791">
            <v>45803</v>
          </cell>
        </row>
        <row r="792">
          <cell r="L792">
            <v>9493</v>
          </cell>
        </row>
        <row r="792">
          <cell r="O792">
            <v>45815</v>
          </cell>
        </row>
        <row r="793">
          <cell r="L793">
            <v>9499</v>
          </cell>
        </row>
        <row r="793">
          <cell r="O793">
            <v>45825</v>
          </cell>
        </row>
        <row r="794">
          <cell r="L794">
            <v>9500</v>
          </cell>
        </row>
        <row r="794">
          <cell r="O794">
            <v>45818</v>
          </cell>
        </row>
        <row r="795">
          <cell r="L795">
            <v>9501</v>
          </cell>
        </row>
        <row r="795">
          <cell r="O795">
            <v>45818</v>
          </cell>
        </row>
        <row r="796">
          <cell r="L796">
            <v>9445</v>
          </cell>
        </row>
        <row r="796">
          <cell r="O796">
            <v>45827</v>
          </cell>
        </row>
        <row r="797">
          <cell r="L797">
            <v>9446</v>
          </cell>
        </row>
        <row r="797">
          <cell r="O797">
            <v>45826</v>
          </cell>
        </row>
        <row r="798">
          <cell r="L798">
            <v>9495</v>
          </cell>
        </row>
        <row r="798">
          <cell r="O798">
            <v>45822</v>
          </cell>
        </row>
        <row r="799">
          <cell r="L799">
            <v>9645</v>
          </cell>
        </row>
        <row r="799">
          <cell r="O799">
            <v>45798</v>
          </cell>
        </row>
        <row r="800">
          <cell r="L800">
            <v>9584</v>
          </cell>
        </row>
        <row r="800">
          <cell r="O800">
            <v>45796</v>
          </cell>
        </row>
        <row r="801">
          <cell r="L801">
            <v>9605</v>
          </cell>
        </row>
        <row r="801">
          <cell r="O801">
            <v>45806</v>
          </cell>
        </row>
        <row r="802">
          <cell r="L802">
            <v>9606</v>
          </cell>
        </row>
        <row r="802">
          <cell r="O802">
            <v>45806</v>
          </cell>
        </row>
        <row r="803">
          <cell r="L803">
            <v>9174</v>
          </cell>
        </row>
        <row r="803">
          <cell r="O803">
            <v>45794</v>
          </cell>
        </row>
        <row r="804">
          <cell r="L804">
            <v>9296</v>
          </cell>
        </row>
        <row r="804">
          <cell r="O804">
            <v>45793</v>
          </cell>
        </row>
        <row r="805">
          <cell r="L805">
            <v>9303</v>
          </cell>
        </row>
        <row r="805">
          <cell r="O805">
            <v>45797</v>
          </cell>
        </row>
        <row r="806">
          <cell r="L806">
            <v>9304</v>
          </cell>
        </row>
        <row r="806">
          <cell r="O806">
            <v>45801</v>
          </cell>
        </row>
        <row r="807">
          <cell r="L807">
            <v>8944</v>
          </cell>
        </row>
        <row r="807">
          <cell r="O807">
            <v>45810</v>
          </cell>
        </row>
        <row r="808">
          <cell r="L808">
            <v>8989</v>
          </cell>
        </row>
        <row r="808">
          <cell r="O808">
            <v>45798</v>
          </cell>
        </row>
        <row r="809">
          <cell r="L809">
            <v>8990</v>
          </cell>
        </row>
        <row r="809">
          <cell r="O809">
            <v>45797</v>
          </cell>
        </row>
        <row r="810">
          <cell r="L810">
            <v>9672</v>
          </cell>
        </row>
        <row r="810">
          <cell r="O810">
            <v>45881</v>
          </cell>
        </row>
        <row r="811">
          <cell r="L811">
            <v>9673</v>
          </cell>
        </row>
        <row r="811">
          <cell r="O811">
            <v>45926</v>
          </cell>
        </row>
        <row r="812">
          <cell r="L812">
            <v>9674</v>
          </cell>
        </row>
        <row r="812">
          <cell r="O812">
            <v>45856</v>
          </cell>
        </row>
        <row r="813">
          <cell r="L813">
            <v>9675</v>
          </cell>
        </row>
        <row r="813">
          <cell r="O813">
            <v>45874</v>
          </cell>
        </row>
        <row r="814">
          <cell r="L814">
            <v>9676</v>
          </cell>
        </row>
        <row r="814">
          <cell r="O814">
            <v>45847</v>
          </cell>
        </row>
        <row r="815">
          <cell r="L815">
            <v>9677</v>
          </cell>
        </row>
        <row r="815">
          <cell r="O815">
            <v>45825</v>
          </cell>
        </row>
        <row r="816">
          <cell r="L816">
            <v>9678</v>
          </cell>
        </row>
        <row r="816">
          <cell r="O816">
            <v>45818</v>
          </cell>
        </row>
        <row r="817">
          <cell r="L817">
            <v>9679</v>
          </cell>
        </row>
        <row r="817">
          <cell r="O817">
            <v>45818</v>
          </cell>
        </row>
        <row r="818">
          <cell r="L818">
            <v>9683</v>
          </cell>
        </row>
        <row r="818">
          <cell r="O818">
            <v>45800</v>
          </cell>
        </row>
        <row r="819">
          <cell r="L819">
            <v>9697</v>
          </cell>
        </row>
        <row r="819">
          <cell r="O819">
            <v>45806</v>
          </cell>
        </row>
        <row r="820">
          <cell r="L820">
            <v>9698</v>
          </cell>
        </row>
        <row r="820">
          <cell r="O820">
            <v>45810</v>
          </cell>
        </row>
        <row r="821">
          <cell r="L821">
            <v>9646</v>
          </cell>
        </row>
        <row r="821">
          <cell r="O821">
            <v>45803</v>
          </cell>
        </row>
        <row r="822">
          <cell r="L822">
            <v>9647</v>
          </cell>
        </row>
        <row r="822">
          <cell r="O822">
            <v>45802</v>
          </cell>
        </row>
        <row r="823">
          <cell r="L823">
            <v>9684</v>
          </cell>
        </row>
        <row r="823">
          <cell r="O823">
            <v>45803</v>
          </cell>
        </row>
        <row r="824">
          <cell r="L824">
            <v>9686</v>
          </cell>
        </row>
        <row r="824">
          <cell r="O824">
            <v>45806</v>
          </cell>
        </row>
        <row r="825">
          <cell r="L825">
            <v>9687</v>
          </cell>
        </row>
        <row r="825">
          <cell r="O825">
            <v>45806</v>
          </cell>
        </row>
        <row r="826">
          <cell r="L826">
            <v>9649</v>
          </cell>
        </row>
        <row r="826">
          <cell r="O826">
            <v>45807</v>
          </cell>
        </row>
        <row r="827">
          <cell r="L827">
            <v>9650</v>
          </cell>
        </row>
        <row r="827">
          <cell r="O827">
            <v>45809</v>
          </cell>
        </row>
        <row r="828">
          <cell r="L828">
            <v>9885</v>
          </cell>
        </row>
        <row r="828">
          <cell r="O828">
            <v>45815</v>
          </cell>
        </row>
        <row r="829">
          <cell r="L829">
            <v>9623</v>
          </cell>
        </row>
        <row r="829">
          <cell r="O829">
            <v>45827</v>
          </cell>
        </row>
        <row r="830">
          <cell r="L830">
            <v>9517</v>
          </cell>
        </row>
        <row r="830">
          <cell r="O830">
            <v>45826</v>
          </cell>
        </row>
        <row r="831">
          <cell r="L831">
            <v>9518</v>
          </cell>
        </row>
        <row r="831">
          <cell r="O831">
            <v>45812</v>
          </cell>
        </row>
        <row r="832">
          <cell r="L832">
            <v>9886</v>
          </cell>
        </row>
        <row r="833">
          <cell r="L833">
            <v>9723</v>
          </cell>
        </row>
        <row r="833">
          <cell r="O833">
            <v>45812</v>
          </cell>
        </row>
        <row r="834">
          <cell r="L834">
            <v>9685</v>
          </cell>
        </row>
        <row r="834">
          <cell r="O834">
            <v>45826</v>
          </cell>
        </row>
        <row r="835">
          <cell r="L835">
            <v>9532</v>
          </cell>
        </row>
        <row r="835">
          <cell r="O835">
            <v>45822</v>
          </cell>
        </row>
        <row r="836">
          <cell r="L836">
            <v>9725</v>
          </cell>
        </row>
        <row r="836">
          <cell r="O836">
            <v>45815</v>
          </cell>
        </row>
        <row r="837">
          <cell r="L837">
            <v>9776</v>
          </cell>
        </row>
        <row r="837">
          <cell r="O837">
            <v>45814</v>
          </cell>
        </row>
        <row r="838">
          <cell r="L838">
            <v>9488</v>
          </cell>
        </row>
        <row r="838">
          <cell r="O838">
            <v>45814</v>
          </cell>
        </row>
        <row r="839">
          <cell r="L839">
            <v>9497</v>
          </cell>
        </row>
        <row r="839">
          <cell r="O839">
            <v>45891</v>
          </cell>
        </row>
        <row r="840">
          <cell r="L840">
            <v>9498</v>
          </cell>
        </row>
        <row r="841">
          <cell r="L841">
            <v>9496</v>
          </cell>
        </row>
        <row r="841">
          <cell r="O841">
            <v>45803</v>
          </cell>
        </row>
        <row r="842">
          <cell r="L842">
            <v>9731</v>
          </cell>
        </row>
        <row r="842">
          <cell r="O842" t="str">
            <v>2025/6/14</v>
          </cell>
        </row>
        <row r="843">
          <cell r="L843">
            <v>9732</v>
          </cell>
        </row>
        <row r="843">
          <cell r="O843">
            <v>45852</v>
          </cell>
        </row>
        <row r="844">
          <cell r="L844">
            <v>9733</v>
          </cell>
        </row>
        <row r="844">
          <cell r="O844">
            <v>45818</v>
          </cell>
        </row>
        <row r="845">
          <cell r="L845">
            <v>9803</v>
          </cell>
        </row>
        <row r="845">
          <cell r="O845">
            <v>45817</v>
          </cell>
        </row>
        <row r="846">
          <cell r="L846">
            <v>9494</v>
          </cell>
        </row>
        <row r="846">
          <cell r="O846">
            <v>45815</v>
          </cell>
        </row>
        <row r="847">
          <cell r="L847">
            <v>9561</v>
          </cell>
        </row>
        <row r="847">
          <cell r="O847">
            <v>45820</v>
          </cell>
        </row>
        <row r="848">
          <cell r="L848">
            <v>9694</v>
          </cell>
        </row>
        <row r="848">
          <cell r="O848" t="str">
            <v>2025/6/14</v>
          </cell>
        </row>
        <row r="849">
          <cell r="L849">
            <v>9695</v>
          </cell>
        </row>
        <row r="849">
          <cell r="O849">
            <v>45843</v>
          </cell>
        </row>
        <row r="850">
          <cell r="L850">
            <v>9696</v>
          </cell>
        </row>
        <row r="850">
          <cell r="O850">
            <v>45819</v>
          </cell>
        </row>
        <row r="851">
          <cell r="L851">
            <v>9539</v>
          </cell>
        </row>
        <row r="851">
          <cell r="O851">
            <v>45832</v>
          </cell>
        </row>
        <row r="852">
          <cell r="L852">
            <v>9777</v>
          </cell>
        </row>
        <row r="852">
          <cell r="O852">
            <v>45864</v>
          </cell>
        </row>
        <row r="853">
          <cell r="L853">
            <v>9888</v>
          </cell>
        </row>
        <row r="853">
          <cell r="O853">
            <v>45824</v>
          </cell>
        </row>
        <row r="854">
          <cell r="L854">
            <v>9981</v>
          </cell>
        </row>
        <row r="854">
          <cell r="O854">
            <v>45829</v>
          </cell>
        </row>
        <row r="855">
          <cell r="L855">
            <v>9938</v>
          </cell>
        </row>
        <row r="855">
          <cell r="O855">
            <v>45833</v>
          </cell>
        </row>
        <row r="856">
          <cell r="L856">
            <v>9806</v>
          </cell>
        </row>
        <row r="856">
          <cell r="O856">
            <v>45832</v>
          </cell>
        </row>
        <row r="857">
          <cell r="L857">
            <v>9894</v>
          </cell>
        </row>
        <row r="857">
          <cell r="O857">
            <v>45825</v>
          </cell>
        </row>
        <row r="858">
          <cell r="L858">
            <v>9814</v>
          </cell>
        </row>
        <row r="858">
          <cell r="O858">
            <v>45841</v>
          </cell>
        </row>
        <row r="859">
          <cell r="L859">
            <v>9901</v>
          </cell>
        </row>
        <row r="859">
          <cell r="O859">
            <v>45833</v>
          </cell>
        </row>
        <row r="860">
          <cell r="L860">
            <v>9895</v>
          </cell>
        </row>
        <row r="860">
          <cell r="O860">
            <v>45859</v>
          </cell>
        </row>
        <row r="861">
          <cell r="L861">
            <v>9812</v>
          </cell>
        </row>
        <row r="861">
          <cell r="O861">
            <v>45826</v>
          </cell>
        </row>
        <row r="862">
          <cell r="L862">
            <v>9771</v>
          </cell>
        </row>
        <row r="862">
          <cell r="O862">
            <v>45826</v>
          </cell>
        </row>
        <row r="863">
          <cell r="L863">
            <v>9805</v>
          </cell>
        </row>
        <row r="863">
          <cell r="O863">
            <v>45829</v>
          </cell>
        </row>
        <row r="864">
          <cell r="L864">
            <v>9816</v>
          </cell>
        </row>
        <row r="864">
          <cell r="O864">
            <v>45960</v>
          </cell>
        </row>
        <row r="865">
          <cell r="L865">
            <v>9904</v>
          </cell>
        </row>
        <row r="865">
          <cell r="O865">
            <v>45826</v>
          </cell>
        </row>
        <row r="866">
          <cell r="L866">
            <v>10349</v>
          </cell>
        </row>
        <row r="866">
          <cell r="O866">
            <v>45826</v>
          </cell>
        </row>
        <row r="867">
          <cell r="L867">
            <v>9912</v>
          </cell>
        </row>
        <row r="867">
          <cell r="O867">
            <v>45838</v>
          </cell>
        </row>
        <row r="868">
          <cell r="L868">
            <v>9860</v>
          </cell>
        </row>
        <row r="868">
          <cell r="O868">
            <v>45832</v>
          </cell>
        </row>
        <row r="869">
          <cell r="L869">
            <v>9939</v>
          </cell>
        </row>
        <row r="869">
          <cell r="O869">
            <v>45826</v>
          </cell>
        </row>
        <row r="870">
          <cell r="L870">
            <v>9953</v>
          </cell>
        </row>
        <row r="870">
          <cell r="O870">
            <v>45858</v>
          </cell>
        </row>
        <row r="871">
          <cell r="L871">
            <v>9821</v>
          </cell>
        </row>
        <row r="871">
          <cell r="O871">
            <v>45842</v>
          </cell>
        </row>
        <row r="872">
          <cell r="L872">
            <v>9817</v>
          </cell>
        </row>
        <row r="872">
          <cell r="O872">
            <v>45840</v>
          </cell>
        </row>
        <row r="873">
          <cell r="L873">
            <v>9853</v>
          </cell>
        </row>
        <row r="873">
          <cell r="O873" t="str">
            <v>2025/7/8</v>
          </cell>
        </row>
        <row r="874">
          <cell r="L874">
            <v>9670</v>
          </cell>
        </row>
        <row r="874">
          <cell r="O874">
            <v>45853</v>
          </cell>
        </row>
        <row r="875">
          <cell r="L875">
            <v>9932</v>
          </cell>
        </row>
        <row r="875">
          <cell r="O875">
            <v>45834</v>
          </cell>
        </row>
        <row r="876">
          <cell r="L876">
            <v>9933</v>
          </cell>
        </row>
        <row r="876">
          <cell r="O876">
            <v>45835</v>
          </cell>
        </row>
        <row r="877">
          <cell r="L877">
            <v>10008</v>
          </cell>
        </row>
        <row r="877">
          <cell r="O877">
            <v>45847</v>
          </cell>
        </row>
        <row r="878">
          <cell r="L878">
            <v>10009</v>
          </cell>
        </row>
        <row r="878">
          <cell r="O878">
            <v>45846</v>
          </cell>
        </row>
        <row r="879">
          <cell r="L879">
            <v>9728</v>
          </cell>
        </row>
        <row r="879">
          <cell r="O879">
            <v>45827</v>
          </cell>
        </row>
        <row r="880">
          <cell r="L880">
            <v>9752</v>
          </cell>
        </row>
        <row r="880">
          <cell r="O880">
            <v>45824</v>
          </cell>
        </row>
        <row r="881">
          <cell r="L881">
            <v>9701</v>
          </cell>
        </row>
        <row r="881">
          <cell r="O881">
            <v>45827</v>
          </cell>
        </row>
        <row r="882">
          <cell r="L882">
            <v>10060</v>
          </cell>
        </row>
        <row r="882">
          <cell r="O882">
            <v>45849</v>
          </cell>
        </row>
        <row r="883">
          <cell r="L883">
            <v>10011</v>
          </cell>
        </row>
        <row r="883">
          <cell r="O883">
            <v>45848</v>
          </cell>
        </row>
        <row r="884">
          <cell r="L884">
            <v>10012</v>
          </cell>
        </row>
        <row r="884">
          <cell r="O884">
            <v>45856</v>
          </cell>
        </row>
        <row r="885">
          <cell r="L885">
            <v>10107</v>
          </cell>
        </row>
        <row r="885">
          <cell r="O885">
            <v>45875</v>
          </cell>
        </row>
        <row r="886">
          <cell r="L886">
            <v>10010</v>
          </cell>
        </row>
        <row r="886">
          <cell r="O886">
            <v>45862</v>
          </cell>
        </row>
        <row r="887">
          <cell r="L887">
            <v>10128</v>
          </cell>
        </row>
        <row r="887">
          <cell r="O887">
            <v>45865</v>
          </cell>
        </row>
        <row r="888">
          <cell r="L888">
            <v>10061</v>
          </cell>
        </row>
        <row r="888">
          <cell r="O888">
            <v>45861</v>
          </cell>
        </row>
        <row r="889">
          <cell r="L889">
            <v>10062</v>
          </cell>
        </row>
        <row r="889">
          <cell r="O889">
            <v>45863</v>
          </cell>
        </row>
        <row r="890">
          <cell r="L890">
            <v>10226</v>
          </cell>
        </row>
        <row r="890">
          <cell r="O890">
            <v>45864</v>
          </cell>
        </row>
        <row r="891">
          <cell r="L891">
            <v>10133</v>
          </cell>
        </row>
        <row r="891">
          <cell r="O891">
            <v>45873</v>
          </cell>
        </row>
        <row r="892">
          <cell r="L892">
            <v>10127</v>
          </cell>
        </row>
        <row r="892">
          <cell r="O892">
            <v>45871</v>
          </cell>
        </row>
        <row r="893">
          <cell r="L893">
            <v>10059</v>
          </cell>
        </row>
        <row r="893">
          <cell r="O893">
            <v>45867</v>
          </cell>
        </row>
        <row r="894">
          <cell r="L894">
            <v>10089</v>
          </cell>
        </row>
        <row r="894">
          <cell r="O894">
            <v>45869</v>
          </cell>
        </row>
        <row r="895">
          <cell r="L895">
            <v>10095</v>
          </cell>
        </row>
        <row r="895">
          <cell r="O895">
            <v>45870</v>
          </cell>
        </row>
        <row r="896">
          <cell r="L896">
            <v>10096</v>
          </cell>
        </row>
        <row r="896">
          <cell r="O896">
            <v>45922</v>
          </cell>
        </row>
        <row r="897">
          <cell r="L897">
            <v>10350</v>
          </cell>
        </row>
        <row r="897">
          <cell r="O897">
            <v>45873</v>
          </cell>
        </row>
        <row r="898">
          <cell r="L898">
            <v>10138</v>
          </cell>
        </row>
        <row r="898">
          <cell r="O898">
            <v>45872</v>
          </cell>
        </row>
        <row r="899">
          <cell r="L899">
            <v>10144</v>
          </cell>
        </row>
        <row r="899">
          <cell r="O899">
            <v>45888</v>
          </cell>
        </row>
        <row r="900">
          <cell r="L900">
            <v>10171</v>
          </cell>
        </row>
        <row r="900">
          <cell r="O900">
            <v>45876</v>
          </cell>
        </row>
        <row r="901">
          <cell r="L901">
            <v>10135</v>
          </cell>
        </row>
        <row r="901">
          <cell r="O901">
            <v>45871</v>
          </cell>
        </row>
        <row r="902">
          <cell r="L902">
            <v>10172</v>
          </cell>
        </row>
        <row r="902">
          <cell r="O902">
            <v>45880</v>
          </cell>
        </row>
        <row r="903">
          <cell r="L903">
            <v>10090</v>
          </cell>
        </row>
        <row r="903">
          <cell r="O903">
            <v>45875</v>
          </cell>
        </row>
        <row r="904">
          <cell r="L904">
            <v>10091</v>
          </cell>
        </row>
        <row r="904">
          <cell r="O904">
            <v>45890</v>
          </cell>
        </row>
        <row r="905">
          <cell r="L905">
            <v>10376</v>
          </cell>
        </row>
        <row r="905">
          <cell r="O905">
            <v>45912</v>
          </cell>
        </row>
        <row r="906">
          <cell r="L906">
            <v>10298</v>
          </cell>
        </row>
        <row r="906">
          <cell r="O906">
            <v>45915</v>
          </cell>
        </row>
        <row r="907">
          <cell r="L907">
            <v>10411</v>
          </cell>
        </row>
        <row r="907">
          <cell r="O907">
            <v>45884</v>
          </cell>
        </row>
        <row r="908">
          <cell r="L908">
            <v>10386</v>
          </cell>
        </row>
        <row r="908">
          <cell r="O908">
            <v>45880</v>
          </cell>
        </row>
        <row r="909">
          <cell r="L909">
            <v>10381</v>
          </cell>
        </row>
        <row r="909">
          <cell r="O909">
            <v>45892</v>
          </cell>
        </row>
        <row r="910">
          <cell r="L910">
            <v>10383</v>
          </cell>
        </row>
        <row r="910">
          <cell r="O910">
            <v>45882</v>
          </cell>
        </row>
        <row r="911">
          <cell r="L911">
            <v>10414</v>
          </cell>
        </row>
        <row r="911">
          <cell r="O911">
            <v>45901</v>
          </cell>
        </row>
        <row r="912">
          <cell r="L912">
            <v>10291</v>
          </cell>
        </row>
        <row r="912">
          <cell r="O912">
            <v>45976</v>
          </cell>
        </row>
        <row r="913">
          <cell r="L913">
            <v>10470</v>
          </cell>
        </row>
        <row r="913">
          <cell r="O913">
            <v>45896</v>
          </cell>
        </row>
        <row r="914">
          <cell r="L914">
            <v>10464</v>
          </cell>
        </row>
        <row r="914">
          <cell r="O914">
            <v>45894</v>
          </cell>
        </row>
        <row r="915">
          <cell r="L915">
            <v>10465</v>
          </cell>
        </row>
        <row r="915">
          <cell r="O915">
            <v>45915</v>
          </cell>
        </row>
        <row r="916">
          <cell r="L916">
            <v>10466</v>
          </cell>
        </row>
        <row r="916">
          <cell r="O916">
            <v>45956</v>
          </cell>
        </row>
        <row r="917">
          <cell r="L917">
            <v>10554</v>
          </cell>
        </row>
        <row r="917">
          <cell r="O917">
            <v>45905</v>
          </cell>
        </row>
        <row r="918">
          <cell r="L918">
            <v>10544</v>
          </cell>
        </row>
        <row r="918">
          <cell r="O918">
            <v>45905</v>
          </cell>
        </row>
        <row r="919">
          <cell r="L919">
            <v>10518</v>
          </cell>
        </row>
        <row r="919">
          <cell r="O919">
            <v>45906</v>
          </cell>
        </row>
        <row r="920">
          <cell r="L920">
            <v>10519</v>
          </cell>
        </row>
        <row r="920">
          <cell r="O920">
            <v>45903</v>
          </cell>
        </row>
        <row r="921">
          <cell r="L921">
            <v>10520</v>
          </cell>
        </row>
        <row r="921">
          <cell r="O921">
            <v>45929</v>
          </cell>
        </row>
        <row r="922">
          <cell r="L922">
            <v>10545</v>
          </cell>
        </row>
        <row r="922">
          <cell r="O922">
            <v>45905</v>
          </cell>
        </row>
        <row r="923">
          <cell r="L923">
            <v>10546</v>
          </cell>
        </row>
        <row r="923">
          <cell r="O923">
            <v>45905</v>
          </cell>
        </row>
        <row r="924">
          <cell r="L924">
            <v>10553</v>
          </cell>
        </row>
        <row r="924">
          <cell r="O924">
            <v>45910</v>
          </cell>
        </row>
        <row r="925">
          <cell r="L925">
            <v>10508</v>
          </cell>
        </row>
        <row r="925">
          <cell r="O925">
            <v>46015</v>
          </cell>
        </row>
        <row r="926">
          <cell r="L926">
            <v>10592</v>
          </cell>
        </row>
        <row r="926">
          <cell r="O926">
            <v>45957</v>
          </cell>
        </row>
        <row r="927">
          <cell r="L927">
            <v>10593</v>
          </cell>
        </row>
        <row r="927">
          <cell r="O927">
            <v>46014</v>
          </cell>
        </row>
        <row r="928">
          <cell r="L928">
            <v>10785</v>
          </cell>
        </row>
        <row r="928">
          <cell r="O928">
            <v>45943</v>
          </cell>
        </row>
        <row r="929">
          <cell r="L929">
            <v>10786</v>
          </cell>
        </row>
        <row r="929">
          <cell r="O929">
            <v>45937</v>
          </cell>
        </row>
        <row r="930">
          <cell r="L930">
            <v>10787</v>
          </cell>
        </row>
        <row r="930">
          <cell r="O930">
            <v>45947</v>
          </cell>
        </row>
        <row r="931">
          <cell r="L931">
            <v>10653</v>
          </cell>
        </row>
        <row r="931">
          <cell r="O931">
            <v>45929</v>
          </cell>
        </row>
        <row r="932">
          <cell r="L932">
            <v>11064</v>
          </cell>
        </row>
        <row r="932">
          <cell r="O932">
            <v>45931</v>
          </cell>
        </row>
        <row r="933">
          <cell r="L933">
            <v>10813</v>
          </cell>
        </row>
        <row r="933">
          <cell r="O933">
            <v>45922</v>
          </cell>
        </row>
        <row r="934">
          <cell r="L934">
            <v>10774</v>
          </cell>
        </row>
        <row r="934">
          <cell r="O934">
            <v>45923</v>
          </cell>
        </row>
        <row r="935">
          <cell r="L935">
            <v>10894</v>
          </cell>
        </row>
        <row r="935">
          <cell r="O935">
            <v>45935</v>
          </cell>
        </row>
        <row r="936">
          <cell r="L936">
            <v>10585</v>
          </cell>
        </row>
        <row r="936">
          <cell r="O936">
            <v>46048</v>
          </cell>
        </row>
        <row r="937">
          <cell r="L937">
            <v>10858</v>
          </cell>
        </row>
        <row r="937">
          <cell r="O937">
            <v>45941</v>
          </cell>
        </row>
        <row r="938">
          <cell r="L938">
            <v>10811</v>
          </cell>
        </row>
        <row r="938">
          <cell r="O938">
            <v>45932</v>
          </cell>
        </row>
        <row r="939">
          <cell r="L939">
            <v>10812</v>
          </cell>
        </row>
        <row r="939">
          <cell r="O939">
            <v>45932</v>
          </cell>
        </row>
        <row r="940">
          <cell r="L940">
            <v>10906</v>
          </cell>
        </row>
        <row r="940">
          <cell r="O940">
            <v>45941</v>
          </cell>
        </row>
        <row r="941">
          <cell r="L941">
            <v>10920</v>
          </cell>
        </row>
        <row r="941">
          <cell r="O941">
            <v>45950</v>
          </cell>
        </row>
        <row r="942">
          <cell r="L942">
            <v>10977</v>
          </cell>
        </row>
        <row r="942">
          <cell r="O942">
            <v>46058</v>
          </cell>
        </row>
        <row r="943">
          <cell r="L943">
            <v>10639</v>
          </cell>
        </row>
        <row r="943">
          <cell r="O943">
            <v>45952</v>
          </cell>
        </row>
        <row r="944">
          <cell r="L944">
            <v>10659</v>
          </cell>
        </row>
        <row r="944">
          <cell r="O944">
            <v>45950</v>
          </cell>
        </row>
        <row r="945">
          <cell r="L945">
            <v>10660</v>
          </cell>
        </row>
        <row r="945">
          <cell r="O945">
            <v>45951</v>
          </cell>
        </row>
        <row r="946">
          <cell r="L946">
            <v>11033</v>
          </cell>
        </row>
        <row r="946">
          <cell r="O946">
            <v>45973</v>
          </cell>
        </row>
        <row r="947">
          <cell r="L947">
            <v>11002</v>
          </cell>
        </row>
        <row r="947">
          <cell r="O947">
            <v>45955</v>
          </cell>
        </row>
        <row r="948">
          <cell r="L948">
            <v>11003</v>
          </cell>
        </row>
        <row r="948">
          <cell r="O948">
            <v>45950</v>
          </cell>
        </row>
        <row r="949">
          <cell r="L949">
            <v>11004</v>
          </cell>
        </row>
        <row r="949">
          <cell r="O949">
            <v>45959</v>
          </cell>
        </row>
        <row r="950">
          <cell r="L950">
            <v>11005</v>
          </cell>
        </row>
        <row r="950">
          <cell r="O950">
            <v>45950</v>
          </cell>
        </row>
        <row r="951">
          <cell r="L951">
            <v>10937</v>
          </cell>
        </row>
        <row r="951">
          <cell r="O951">
            <v>45986</v>
          </cell>
        </row>
        <row r="952">
          <cell r="L952">
            <v>10938</v>
          </cell>
        </row>
        <row r="952">
          <cell r="O952">
            <v>45954</v>
          </cell>
        </row>
        <row r="953">
          <cell r="L953">
            <v>10859</v>
          </cell>
        </row>
        <row r="953">
          <cell r="O953">
            <v>45959</v>
          </cell>
        </row>
        <row r="954">
          <cell r="L954">
            <v>11030</v>
          </cell>
        </row>
        <row r="954">
          <cell r="O954">
            <v>45959</v>
          </cell>
        </row>
        <row r="955">
          <cell r="L955">
            <v>10988</v>
          </cell>
        </row>
        <row r="955">
          <cell r="O955">
            <v>45953</v>
          </cell>
        </row>
        <row r="956">
          <cell r="L956">
            <v>11053</v>
          </cell>
        </row>
        <row r="956">
          <cell r="O956">
            <v>46006</v>
          </cell>
        </row>
        <row r="957">
          <cell r="L957">
            <v>11043</v>
          </cell>
        </row>
        <row r="957">
          <cell r="O957">
            <v>45954</v>
          </cell>
        </row>
        <row r="958">
          <cell r="L958">
            <v>11076</v>
          </cell>
        </row>
        <row r="958">
          <cell r="O958">
            <v>45956</v>
          </cell>
        </row>
        <row r="959">
          <cell r="L959">
            <v>11086</v>
          </cell>
        </row>
        <row r="959">
          <cell r="O959">
            <v>45963</v>
          </cell>
        </row>
        <row r="960">
          <cell r="L960">
            <v>7444</v>
          </cell>
        </row>
        <row r="960">
          <cell r="O960">
            <v>46023</v>
          </cell>
        </row>
        <row r="961">
          <cell r="L961">
            <v>5459</v>
          </cell>
        </row>
        <row r="961">
          <cell r="O961">
            <v>46019</v>
          </cell>
        </row>
        <row r="962">
          <cell r="L962">
            <v>10857</v>
          </cell>
        </row>
        <row r="962">
          <cell r="O962">
            <v>45960</v>
          </cell>
        </row>
        <row r="963">
          <cell r="L963">
            <v>11078</v>
          </cell>
        </row>
        <row r="963">
          <cell r="O963">
            <v>45970</v>
          </cell>
        </row>
        <row r="964">
          <cell r="L964">
            <v>11100</v>
          </cell>
        </row>
        <row r="965">
          <cell r="L965">
            <v>11270</v>
          </cell>
        </row>
        <row r="965">
          <cell r="O965">
            <v>45975</v>
          </cell>
        </row>
        <row r="966">
          <cell r="L966">
            <v>11091</v>
          </cell>
        </row>
        <row r="966">
          <cell r="O966">
            <v>45970</v>
          </cell>
        </row>
        <row r="967">
          <cell r="L967">
            <v>9577</v>
          </cell>
        </row>
        <row r="967">
          <cell r="O967">
            <v>45973</v>
          </cell>
        </row>
        <row r="968">
          <cell r="L968">
            <v>11137</v>
          </cell>
        </row>
        <row r="968">
          <cell r="O968">
            <v>45973</v>
          </cell>
        </row>
        <row r="969">
          <cell r="L969">
            <v>11096</v>
          </cell>
        </row>
        <row r="969">
          <cell r="O969">
            <v>45977</v>
          </cell>
        </row>
        <row r="970">
          <cell r="L970">
            <v>11101</v>
          </cell>
        </row>
        <row r="970">
          <cell r="O970">
            <v>46064</v>
          </cell>
        </row>
        <row r="971">
          <cell r="L971">
            <v>11093</v>
          </cell>
        </row>
        <row r="971">
          <cell r="O971">
            <v>45969</v>
          </cell>
        </row>
        <row r="972">
          <cell r="L972">
            <v>11187</v>
          </cell>
        </row>
        <row r="972">
          <cell r="O972">
            <v>45969</v>
          </cell>
        </row>
        <row r="973">
          <cell r="L973">
            <v>11188</v>
          </cell>
        </row>
        <row r="973">
          <cell r="O973">
            <v>45969</v>
          </cell>
        </row>
        <row r="974">
          <cell r="L974">
            <v>11178</v>
          </cell>
        </row>
        <row r="974">
          <cell r="O974">
            <v>45971</v>
          </cell>
        </row>
        <row r="975">
          <cell r="L975">
            <v>11179</v>
          </cell>
        </row>
        <row r="975">
          <cell r="O975">
            <v>45972</v>
          </cell>
        </row>
        <row r="976">
          <cell r="L976">
            <v>11219</v>
          </cell>
        </row>
        <row r="976">
          <cell r="O976">
            <v>45983</v>
          </cell>
        </row>
        <row r="977">
          <cell r="L977">
            <v>11103</v>
          </cell>
        </row>
        <row r="977">
          <cell r="O977">
            <v>46002</v>
          </cell>
        </row>
        <row r="978">
          <cell r="L978">
            <v>11258</v>
          </cell>
        </row>
        <row r="979">
          <cell r="L979">
            <v>11284</v>
          </cell>
        </row>
        <row r="979">
          <cell r="O979">
            <v>45995</v>
          </cell>
        </row>
        <row r="980">
          <cell r="L980">
            <v>11490</v>
          </cell>
        </row>
        <row r="980">
          <cell r="O980">
            <v>45982</v>
          </cell>
        </row>
        <row r="981">
          <cell r="L981">
            <v>11240</v>
          </cell>
        </row>
        <row r="981">
          <cell r="O981">
            <v>45991</v>
          </cell>
        </row>
        <row r="982">
          <cell r="L982">
            <v>11290</v>
          </cell>
        </row>
        <row r="982">
          <cell r="O982">
            <v>45997</v>
          </cell>
        </row>
        <row r="983">
          <cell r="L983">
            <v>11244</v>
          </cell>
        </row>
        <row r="984">
          <cell r="L984">
            <v>11230</v>
          </cell>
        </row>
        <row r="984">
          <cell r="O984">
            <v>45997</v>
          </cell>
        </row>
        <row r="985">
          <cell r="L985">
            <v>11327</v>
          </cell>
        </row>
        <row r="985">
          <cell r="O985">
            <v>45997</v>
          </cell>
        </row>
        <row r="986">
          <cell r="L986">
            <v>11104</v>
          </cell>
        </row>
        <row r="986">
          <cell r="O986">
            <v>45989</v>
          </cell>
        </row>
        <row r="987">
          <cell r="L987">
            <v>11106</v>
          </cell>
        </row>
        <row r="987">
          <cell r="O987">
            <v>46027</v>
          </cell>
        </row>
        <row r="988">
          <cell r="L988">
            <v>11288</v>
          </cell>
        </row>
        <row r="988">
          <cell r="O988">
            <v>45999</v>
          </cell>
        </row>
        <row r="989">
          <cell r="L989">
            <v>11289</v>
          </cell>
        </row>
        <row r="989">
          <cell r="O989">
            <v>46017</v>
          </cell>
        </row>
        <row r="990">
          <cell r="L990">
            <v>11192</v>
          </cell>
        </row>
        <row r="990">
          <cell r="O990">
            <v>46045</v>
          </cell>
        </row>
        <row r="991">
          <cell r="L991">
            <v>11193</v>
          </cell>
        </row>
        <row r="991">
          <cell r="O991">
            <v>46020</v>
          </cell>
        </row>
        <row r="992">
          <cell r="L992">
            <v>11257</v>
          </cell>
        </row>
        <row r="993">
          <cell r="L993">
            <v>11312</v>
          </cell>
        </row>
        <row r="993">
          <cell r="O993">
            <v>46001</v>
          </cell>
        </row>
        <row r="994">
          <cell r="L994">
            <v>11245</v>
          </cell>
        </row>
        <row r="995">
          <cell r="L995">
            <v>11246</v>
          </cell>
        </row>
        <row r="996">
          <cell r="L996">
            <v>11223</v>
          </cell>
        </row>
        <row r="996">
          <cell r="O996">
            <v>46005</v>
          </cell>
        </row>
        <row r="997">
          <cell r="L997">
            <v>11330</v>
          </cell>
        </row>
        <row r="997">
          <cell r="O997">
            <v>46000</v>
          </cell>
        </row>
        <row r="998">
          <cell r="L998">
            <v>11331</v>
          </cell>
        </row>
        <row r="998">
          <cell r="O998">
            <v>46001</v>
          </cell>
        </row>
        <row r="999">
          <cell r="L999">
            <v>11394</v>
          </cell>
        </row>
        <row r="999">
          <cell r="O999">
            <v>46000</v>
          </cell>
        </row>
        <row r="1000">
          <cell r="L1000">
            <v>11233</v>
          </cell>
        </row>
        <row r="1001">
          <cell r="L1001">
            <v>11398</v>
          </cell>
        </row>
        <row r="1001">
          <cell r="O1001">
            <v>46001</v>
          </cell>
        </row>
        <row r="1002">
          <cell r="L1002">
            <v>9135</v>
          </cell>
        </row>
        <row r="1002">
          <cell r="O1002">
            <v>46020</v>
          </cell>
        </row>
        <row r="1003">
          <cell r="L1003">
            <v>11464</v>
          </cell>
        </row>
        <row r="1003">
          <cell r="O1003">
            <v>46006</v>
          </cell>
        </row>
        <row r="1004">
          <cell r="L1004">
            <v>11262</v>
          </cell>
        </row>
        <row r="1004">
          <cell r="O1004">
            <v>46004</v>
          </cell>
        </row>
        <row r="1005">
          <cell r="L1005">
            <v>11546</v>
          </cell>
        </row>
        <row r="1005">
          <cell r="O1005">
            <v>46018</v>
          </cell>
        </row>
        <row r="1006">
          <cell r="L1006">
            <v>11446</v>
          </cell>
        </row>
        <row r="1006">
          <cell r="O1006">
            <v>46022</v>
          </cell>
        </row>
        <row r="1007">
          <cell r="L1007">
            <v>11406</v>
          </cell>
        </row>
        <row r="1007">
          <cell r="O1007">
            <v>46003</v>
          </cell>
        </row>
        <row r="1008">
          <cell r="L1008">
            <v>11455</v>
          </cell>
        </row>
        <row r="1008">
          <cell r="O1008">
            <v>46015</v>
          </cell>
        </row>
        <row r="1009">
          <cell r="L1009">
            <v>11456</v>
          </cell>
        </row>
        <row r="1009">
          <cell r="O1009">
            <v>46024</v>
          </cell>
        </row>
        <row r="1010">
          <cell r="L1010">
            <v>11465</v>
          </cell>
        </row>
        <row r="1010">
          <cell r="O1010">
            <v>46017</v>
          </cell>
        </row>
        <row r="1011">
          <cell r="L1011">
            <v>11345</v>
          </cell>
        </row>
        <row r="1011">
          <cell r="O1011">
            <v>46009</v>
          </cell>
        </row>
        <row r="1012">
          <cell r="L1012">
            <v>11349</v>
          </cell>
        </row>
        <row r="1012">
          <cell r="O1012">
            <v>46015</v>
          </cell>
        </row>
        <row r="1013">
          <cell r="L1013">
            <v>11348</v>
          </cell>
        </row>
        <row r="1013">
          <cell r="O1013">
            <v>46019</v>
          </cell>
        </row>
        <row r="1014">
          <cell r="L1014">
            <v>11380</v>
          </cell>
        </row>
        <row r="1014">
          <cell r="O1014">
            <v>46022</v>
          </cell>
        </row>
        <row r="1015">
          <cell r="L1015">
            <v>11346</v>
          </cell>
        </row>
        <row r="1015">
          <cell r="O1015">
            <v>46017</v>
          </cell>
        </row>
        <row r="1016">
          <cell r="L1016">
            <v>11552</v>
          </cell>
        </row>
        <row r="1016">
          <cell r="O1016">
            <v>46025</v>
          </cell>
        </row>
        <row r="1017">
          <cell r="L1017">
            <v>11553</v>
          </cell>
        </row>
        <row r="1017">
          <cell r="O1017">
            <v>46034</v>
          </cell>
        </row>
        <row r="1018">
          <cell r="L1018">
            <v>11554</v>
          </cell>
        </row>
        <row r="1018">
          <cell r="O1018">
            <v>46021</v>
          </cell>
        </row>
        <row r="1019">
          <cell r="L1019">
            <v>11510</v>
          </cell>
        </row>
        <row r="1019">
          <cell r="O1019">
            <v>46014</v>
          </cell>
        </row>
        <row r="1020">
          <cell r="L1020">
            <v>11528</v>
          </cell>
        </row>
        <row r="1020">
          <cell r="O1020">
            <v>46017</v>
          </cell>
        </row>
        <row r="1021">
          <cell r="L1021">
            <v>11405</v>
          </cell>
        </row>
        <row r="1021">
          <cell r="O1021">
            <v>46052</v>
          </cell>
        </row>
        <row r="1022">
          <cell r="L1022">
            <v>11350</v>
          </cell>
        </row>
        <row r="1022">
          <cell r="O1022">
            <v>46026</v>
          </cell>
        </row>
        <row r="1023">
          <cell r="L1023">
            <v>11512</v>
          </cell>
        </row>
        <row r="1023">
          <cell r="O1023">
            <v>46023</v>
          </cell>
        </row>
        <row r="1024">
          <cell r="L1024">
            <v>11513</v>
          </cell>
        </row>
        <row r="1024">
          <cell r="O1024">
            <v>46063</v>
          </cell>
        </row>
        <row r="1025">
          <cell r="L1025">
            <v>11600</v>
          </cell>
        </row>
        <row r="1025">
          <cell r="O1025">
            <v>46028</v>
          </cell>
        </row>
        <row r="1026">
          <cell r="L1026">
            <v>11601</v>
          </cell>
        </row>
        <row r="1026">
          <cell r="O1026">
            <v>46043</v>
          </cell>
        </row>
        <row r="1027">
          <cell r="L1027">
            <v>11655</v>
          </cell>
        </row>
        <row r="1027">
          <cell r="O1027">
            <v>46046</v>
          </cell>
        </row>
        <row r="1028">
          <cell r="L1028">
            <v>11656</v>
          </cell>
        </row>
        <row r="1028">
          <cell r="O1028">
            <v>46084</v>
          </cell>
        </row>
        <row r="1029">
          <cell r="L1029">
            <v>11547</v>
          </cell>
        </row>
        <row r="1029">
          <cell r="O1029">
            <v>46075</v>
          </cell>
        </row>
        <row r="1030">
          <cell r="L1030">
            <v>11650</v>
          </cell>
        </row>
        <row r="1030">
          <cell r="O1030">
            <v>46029</v>
          </cell>
        </row>
        <row r="1031">
          <cell r="L1031">
            <v>11674</v>
          </cell>
        </row>
        <row r="1031">
          <cell r="O1031">
            <v>46028</v>
          </cell>
        </row>
        <row r="1032">
          <cell r="L1032">
            <v>11668</v>
          </cell>
        </row>
        <row r="1032">
          <cell r="O1032">
            <v>46030</v>
          </cell>
        </row>
        <row r="1033">
          <cell r="L1033">
            <v>11681</v>
          </cell>
        </row>
        <row r="1033">
          <cell r="O1033">
            <v>46031</v>
          </cell>
        </row>
        <row r="1034">
          <cell r="L1034">
            <v>11742</v>
          </cell>
        </row>
        <row r="1034">
          <cell r="O1034">
            <v>46033</v>
          </cell>
        </row>
        <row r="1035">
          <cell r="L1035">
            <v>11603</v>
          </cell>
        </row>
        <row r="1035">
          <cell r="O1035">
            <v>46041</v>
          </cell>
        </row>
        <row r="1036">
          <cell r="L1036">
            <v>11704</v>
          </cell>
        </row>
        <row r="1036">
          <cell r="O1036">
            <v>46070</v>
          </cell>
        </row>
        <row r="1037">
          <cell r="L1037">
            <v>11699</v>
          </cell>
        </row>
        <row r="1037">
          <cell r="O1037">
            <v>46044</v>
          </cell>
        </row>
        <row r="1038">
          <cell r="L1038">
            <v>11982</v>
          </cell>
        </row>
        <row r="1038">
          <cell r="O1038">
            <v>46036</v>
          </cell>
        </row>
        <row r="1039">
          <cell r="L1039">
            <v>11911</v>
          </cell>
        </row>
        <row r="1039">
          <cell r="O1039">
            <v>46043</v>
          </cell>
        </row>
        <row r="1040">
          <cell r="L1040">
            <v>11848</v>
          </cell>
        </row>
        <row r="1040">
          <cell r="O1040">
            <v>46054</v>
          </cell>
        </row>
        <row r="1041">
          <cell r="L1041">
            <v>11875</v>
          </cell>
        </row>
        <row r="1041">
          <cell r="O1041">
            <v>46041</v>
          </cell>
        </row>
        <row r="1042">
          <cell r="L1042">
            <v>11833</v>
          </cell>
        </row>
        <row r="1042">
          <cell r="O1042">
            <v>46040</v>
          </cell>
        </row>
        <row r="1043">
          <cell r="L1043">
            <v>11683</v>
          </cell>
        </row>
        <row r="1044">
          <cell r="L1044">
            <v>12303</v>
          </cell>
        </row>
        <row r="1044">
          <cell r="O1044">
            <v>46046</v>
          </cell>
        </row>
        <row r="1045">
          <cell r="L1045">
            <v>11733</v>
          </cell>
        </row>
        <row r="1045">
          <cell r="O1045">
            <v>46066</v>
          </cell>
        </row>
        <row r="1046">
          <cell r="L1046">
            <v>11830</v>
          </cell>
        </row>
        <row r="1046">
          <cell r="O1046">
            <v>46054</v>
          </cell>
        </row>
        <row r="1047">
          <cell r="L1047">
            <v>11751</v>
          </cell>
        </row>
        <row r="1047">
          <cell r="O1047">
            <v>46043</v>
          </cell>
        </row>
        <row r="1048">
          <cell r="L1048">
            <v>11736</v>
          </cell>
        </row>
        <row r="1048">
          <cell r="O1048">
            <v>46065</v>
          </cell>
        </row>
        <row r="1049">
          <cell r="L1049">
            <v>11904</v>
          </cell>
        </row>
        <row r="1049">
          <cell r="O1049">
            <v>46050</v>
          </cell>
        </row>
        <row r="1050">
          <cell r="L1050">
            <v>11781</v>
          </cell>
        </row>
        <row r="1050">
          <cell r="O1050">
            <v>46062</v>
          </cell>
        </row>
        <row r="1051">
          <cell r="L1051">
            <v>11793</v>
          </cell>
        </row>
        <row r="1051">
          <cell r="O1051">
            <v>46062</v>
          </cell>
        </row>
        <row r="1052">
          <cell r="L1052">
            <v>11745</v>
          </cell>
        </row>
        <row r="1052">
          <cell r="O1052">
            <v>46047</v>
          </cell>
        </row>
        <row r="1053">
          <cell r="L1053">
            <v>4310</v>
          </cell>
        </row>
        <row r="1053">
          <cell r="O1053">
            <v>46047</v>
          </cell>
        </row>
        <row r="1054">
          <cell r="L1054">
            <v>11777</v>
          </cell>
        </row>
        <row r="1054">
          <cell r="O1054">
            <v>46065</v>
          </cell>
        </row>
        <row r="1055">
          <cell r="L1055">
            <v>11792</v>
          </cell>
        </row>
        <row r="1055">
          <cell r="O1055">
            <v>46051</v>
          </cell>
        </row>
        <row r="1056">
          <cell r="L1056">
            <v>11780</v>
          </cell>
        </row>
        <row r="1056">
          <cell r="O1056">
            <v>46044</v>
          </cell>
        </row>
        <row r="1057">
          <cell r="L1057">
            <v>11682</v>
          </cell>
        </row>
        <row r="1057">
          <cell r="O1057">
            <v>46052</v>
          </cell>
        </row>
        <row r="1058">
          <cell r="L1058">
            <v>11778</v>
          </cell>
        </row>
        <row r="1058">
          <cell r="O1058">
            <v>46095</v>
          </cell>
        </row>
        <row r="1059">
          <cell r="L1059">
            <v>11756</v>
          </cell>
        </row>
        <row r="1059">
          <cell r="O1059">
            <v>46059</v>
          </cell>
        </row>
        <row r="1060">
          <cell r="L1060">
            <v>11757</v>
          </cell>
        </row>
        <row r="1060">
          <cell r="O1060">
            <v>46045</v>
          </cell>
        </row>
        <row r="1061">
          <cell r="L1061">
            <v>11758</v>
          </cell>
        </row>
        <row r="1061">
          <cell r="O1061">
            <v>46044</v>
          </cell>
        </row>
        <row r="1062">
          <cell r="L1062">
            <v>11808</v>
          </cell>
        </row>
        <row r="1062">
          <cell r="O1062">
            <v>46069</v>
          </cell>
        </row>
        <row r="1063">
          <cell r="L1063">
            <v>11809</v>
          </cell>
        </row>
        <row r="1063">
          <cell r="O1063">
            <v>46043</v>
          </cell>
        </row>
        <row r="1064">
          <cell r="L1064">
            <v>11823</v>
          </cell>
        </row>
        <row r="1064">
          <cell r="O1064">
            <v>46045</v>
          </cell>
        </row>
        <row r="1065">
          <cell r="L1065">
            <v>11814</v>
          </cell>
        </row>
        <row r="1065">
          <cell r="O1065">
            <v>46066</v>
          </cell>
        </row>
        <row r="1066">
          <cell r="L1066">
            <v>11815</v>
          </cell>
        </row>
        <row r="1066">
          <cell r="O1066">
            <v>46083</v>
          </cell>
        </row>
        <row r="1067">
          <cell r="L1067">
            <v>11824</v>
          </cell>
        </row>
        <row r="1067">
          <cell r="O1067">
            <v>46046</v>
          </cell>
        </row>
        <row r="1068">
          <cell r="L1068">
            <v>11855</v>
          </cell>
        </row>
        <row r="1068">
          <cell r="O1068">
            <v>46072</v>
          </cell>
        </row>
        <row r="1069">
          <cell r="L1069">
            <v>11856</v>
          </cell>
        </row>
        <row r="1069">
          <cell r="O1069">
            <v>46076</v>
          </cell>
        </row>
        <row r="1070">
          <cell r="L1070">
            <v>11857</v>
          </cell>
        </row>
        <row r="1070">
          <cell r="O1070">
            <v>46087</v>
          </cell>
        </row>
        <row r="1071">
          <cell r="L1071">
            <v>11933</v>
          </cell>
        </row>
        <row r="1071">
          <cell r="O1071">
            <v>46085</v>
          </cell>
        </row>
        <row r="1072">
          <cell r="L1072">
            <v>11884</v>
          </cell>
        </row>
        <row r="1073">
          <cell r="L1073">
            <v>11885</v>
          </cell>
        </row>
        <row r="1074">
          <cell r="L1074">
            <v>11839</v>
          </cell>
        </row>
        <row r="1074">
          <cell r="O1074">
            <v>46056</v>
          </cell>
        </row>
        <row r="1075">
          <cell r="L1075">
            <v>11840</v>
          </cell>
        </row>
        <row r="1075">
          <cell r="O1075">
            <v>46058</v>
          </cell>
        </row>
        <row r="1076">
          <cell r="L1076">
            <v>11794</v>
          </cell>
        </row>
        <row r="1076">
          <cell r="O1076">
            <v>46052</v>
          </cell>
        </row>
        <row r="1077">
          <cell r="L1077">
            <v>11866</v>
          </cell>
        </row>
        <row r="1077">
          <cell r="O1077">
            <v>46070</v>
          </cell>
        </row>
        <row r="1078">
          <cell r="L1078">
            <v>11867</v>
          </cell>
        </row>
        <row r="1078">
          <cell r="O1078">
            <v>46068</v>
          </cell>
        </row>
        <row r="1079">
          <cell r="L1079">
            <v>11826</v>
          </cell>
        </row>
        <row r="1079">
          <cell r="O1079">
            <v>46065</v>
          </cell>
        </row>
        <row r="1080">
          <cell r="L1080">
            <v>11876</v>
          </cell>
        </row>
        <row r="1080">
          <cell r="O1080">
            <v>46087</v>
          </cell>
        </row>
        <row r="1081">
          <cell r="L1081">
            <v>11936</v>
          </cell>
        </row>
        <row r="1081">
          <cell r="O1081">
            <v>46056</v>
          </cell>
        </row>
        <row r="1082">
          <cell r="L1082">
            <v>11937</v>
          </cell>
        </row>
        <row r="1082">
          <cell r="O1082">
            <v>46064</v>
          </cell>
        </row>
        <row r="1083">
          <cell r="L1083">
            <v>11874</v>
          </cell>
        </row>
        <row r="1083">
          <cell r="O1083">
            <v>46054</v>
          </cell>
        </row>
        <row r="1084">
          <cell r="L1084">
            <v>11925</v>
          </cell>
        </row>
        <row r="1084">
          <cell r="O1084">
            <v>46052</v>
          </cell>
        </row>
        <row r="1085">
          <cell r="L1085">
            <v>11852</v>
          </cell>
        </row>
        <row r="1085">
          <cell r="O1085">
            <v>46064</v>
          </cell>
        </row>
        <row r="1086">
          <cell r="L1086">
            <v>12359</v>
          </cell>
        </row>
        <row r="1086">
          <cell r="O1086">
            <v>46062</v>
          </cell>
        </row>
        <row r="1087">
          <cell r="L1087">
            <v>11921</v>
          </cell>
        </row>
        <row r="1087">
          <cell r="O1087">
            <v>46057</v>
          </cell>
        </row>
        <row r="1088">
          <cell r="L1088">
            <v>11922</v>
          </cell>
        </row>
        <row r="1088">
          <cell r="O1088">
            <v>46058</v>
          </cell>
        </row>
        <row r="1089">
          <cell r="L1089">
            <v>11923</v>
          </cell>
        </row>
        <row r="1089">
          <cell r="O1089">
            <v>46058</v>
          </cell>
        </row>
        <row r="1090">
          <cell r="L1090">
            <v>11927</v>
          </cell>
        </row>
        <row r="1090">
          <cell r="O1090">
            <v>46067</v>
          </cell>
        </row>
        <row r="1091">
          <cell r="L1091">
            <v>11928</v>
          </cell>
        </row>
        <row r="1091">
          <cell r="O1091">
            <v>46095</v>
          </cell>
        </row>
        <row r="1092">
          <cell r="L1092">
            <v>11926</v>
          </cell>
        </row>
        <row r="1092">
          <cell r="O1092">
            <v>46063</v>
          </cell>
        </row>
        <row r="1093">
          <cell r="L1093">
            <v>11998</v>
          </cell>
        </row>
        <row r="1093">
          <cell r="O1093">
            <v>46068</v>
          </cell>
        </row>
        <row r="1094">
          <cell r="L1094">
            <v>11929</v>
          </cell>
        </row>
        <row r="1094">
          <cell r="O1094">
            <v>46066</v>
          </cell>
        </row>
        <row r="1095">
          <cell r="L1095">
            <v>12000</v>
          </cell>
        </row>
        <row r="1095">
          <cell r="O1095">
            <v>46064</v>
          </cell>
        </row>
        <row r="1096">
          <cell r="L1096">
            <v>12061</v>
          </cell>
        </row>
        <row r="1096">
          <cell r="O1096">
            <v>46068</v>
          </cell>
        </row>
        <row r="1097">
          <cell r="L1097">
            <v>11990</v>
          </cell>
        </row>
        <row r="1098">
          <cell r="L1098">
            <v>11991</v>
          </cell>
        </row>
        <row r="1098">
          <cell r="O1098">
            <v>46093</v>
          </cell>
        </row>
        <row r="1099">
          <cell r="L1099">
            <v>11981</v>
          </cell>
        </row>
        <row r="1099">
          <cell r="O1099">
            <v>46071</v>
          </cell>
        </row>
        <row r="1100">
          <cell r="L1100">
            <v>11890</v>
          </cell>
        </row>
        <row r="1100">
          <cell r="O1100">
            <v>46079</v>
          </cell>
        </row>
        <row r="1101">
          <cell r="L1101">
            <v>11989</v>
          </cell>
        </row>
        <row r="1101">
          <cell r="O1101">
            <v>46072</v>
          </cell>
        </row>
        <row r="1102">
          <cell r="L1102">
            <v>12088</v>
          </cell>
        </row>
        <row r="1102">
          <cell r="O1102">
            <v>46068</v>
          </cell>
        </row>
        <row r="1103">
          <cell r="L1103">
            <v>12089</v>
          </cell>
        </row>
        <row r="1103">
          <cell r="O1103">
            <v>46070</v>
          </cell>
        </row>
        <row r="1104">
          <cell r="L1104">
            <v>12002</v>
          </cell>
        </row>
        <row r="1104">
          <cell r="O1104">
            <v>46084</v>
          </cell>
        </row>
        <row r="1105">
          <cell r="L1105">
            <v>11938</v>
          </cell>
        </row>
        <row r="1106">
          <cell r="L1106">
            <v>12005</v>
          </cell>
        </row>
        <row r="1106">
          <cell r="O1106">
            <v>46077</v>
          </cell>
        </row>
        <row r="1107">
          <cell r="L1107">
            <v>12006</v>
          </cell>
        </row>
        <row r="1107">
          <cell r="O1107">
            <v>46070</v>
          </cell>
        </row>
        <row r="1108">
          <cell r="L1108">
            <v>12011</v>
          </cell>
        </row>
        <row r="1108">
          <cell r="O1108">
            <v>46071</v>
          </cell>
        </row>
        <row r="1109">
          <cell r="L1109">
            <v>12021</v>
          </cell>
        </row>
        <row r="1109">
          <cell r="O1109">
            <v>46069</v>
          </cell>
        </row>
        <row r="1110">
          <cell r="L1110">
            <v>12023</v>
          </cell>
        </row>
        <row r="1111">
          <cell r="L1111">
            <v>12058</v>
          </cell>
        </row>
        <row r="1111">
          <cell r="O1111">
            <v>46086</v>
          </cell>
        </row>
        <row r="1112">
          <cell r="L1112">
            <v>12059</v>
          </cell>
        </row>
        <row r="1112">
          <cell r="O1112">
            <v>46073</v>
          </cell>
        </row>
        <row r="1113">
          <cell r="L1113">
            <v>12060</v>
          </cell>
        </row>
        <row r="1113">
          <cell r="O1113">
            <v>46090</v>
          </cell>
        </row>
        <row r="1114">
          <cell r="L1114">
            <v>12139</v>
          </cell>
        </row>
        <row r="1114">
          <cell r="O1114">
            <v>46080</v>
          </cell>
        </row>
        <row r="1115">
          <cell r="L1115">
            <v>12087</v>
          </cell>
        </row>
        <row r="1115">
          <cell r="O1115">
            <v>46092</v>
          </cell>
        </row>
        <row r="1116">
          <cell r="L1116">
            <v>12143</v>
          </cell>
        </row>
        <row r="1116">
          <cell r="O1116">
            <v>46109</v>
          </cell>
        </row>
        <row r="1117">
          <cell r="L1117">
            <v>12079</v>
          </cell>
        </row>
        <row r="1117">
          <cell r="O1117">
            <v>46085</v>
          </cell>
        </row>
        <row r="1118">
          <cell r="L1118">
            <v>12104</v>
          </cell>
        </row>
        <row r="1118">
          <cell r="O1118">
            <v>46082</v>
          </cell>
        </row>
        <row r="1119">
          <cell r="L1119">
            <v>12105</v>
          </cell>
        </row>
        <row r="1119">
          <cell r="O1119">
            <v>46084</v>
          </cell>
        </row>
        <row r="1120">
          <cell r="L1120">
            <v>12106</v>
          </cell>
        </row>
        <row r="1120">
          <cell r="O1120">
            <v>46096</v>
          </cell>
        </row>
        <row r="1121">
          <cell r="L1121">
            <v>12240</v>
          </cell>
        </row>
        <row r="1121">
          <cell r="O1121">
            <v>46082</v>
          </cell>
        </row>
        <row r="1122">
          <cell r="L1122">
            <v>12225</v>
          </cell>
        </row>
        <row r="1122">
          <cell r="O1122">
            <v>46101</v>
          </cell>
        </row>
        <row r="1123">
          <cell r="L1123">
            <v>12073</v>
          </cell>
        </row>
        <row r="1123">
          <cell r="O1123">
            <v>46093</v>
          </cell>
        </row>
        <row r="1124">
          <cell r="L1124">
            <v>12074</v>
          </cell>
        </row>
        <row r="1124">
          <cell r="O1124">
            <v>46085</v>
          </cell>
        </row>
        <row r="1125">
          <cell r="L1125">
            <v>12075</v>
          </cell>
        </row>
        <row r="1125">
          <cell r="O1125">
            <v>46085</v>
          </cell>
        </row>
        <row r="1126">
          <cell r="L1126">
            <v>12252</v>
          </cell>
        </row>
        <row r="1126">
          <cell r="O1126">
            <v>46089</v>
          </cell>
        </row>
        <row r="1127">
          <cell r="L1127">
            <v>12165</v>
          </cell>
        </row>
        <row r="1127">
          <cell r="O1127">
            <v>46093</v>
          </cell>
        </row>
        <row r="1128">
          <cell r="L1128">
            <v>12247</v>
          </cell>
        </row>
        <row r="1128">
          <cell r="O1128">
            <v>46089</v>
          </cell>
        </row>
        <row r="1129">
          <cell r="L1129">
            <v>11102</v>
          </cell>
        </row>
        <row r="1129">
          <cell r="O1129">
            <v>46100</v>
          </cell>
        </row>
        <row r="1130">
          <cell r="L1130">
            <v>12071</v>
          </cell>
        </row>
        <row r="1130">
          <cell r="O1130">
            <v>46092</v>
          </cell>
        </row>
        <row r="1131">
          <cell r="L1131">
            <v>12072</v>
          </cell>
        </row>
        <row r="1131">
          <cell r="O1131">
            <v>46112</v>
          </cell>
        </row>
        <row r="1132">
          <cell r="L1132">
            <v>12248</v>
          </cell>
        </row>
        <row r="1132">
          <cell r="O1132">
            <v>46091</v>
          </cell>
        </row>
        <row r="1133">
          <cell r="L1133">
            <v>12246</v>
          </cell>
        </row>
        <row r="1133">
          <cell r="O1133">
            <v>46086</v>
          </cell>
        </row>
        <row r="1134">
          <cell r="L1134">
            <v>12205</v>
          </cell>
        </row>
        <row r="1134">
          <cell r="O1134">
            <v>46089</v>
          </cell>
        </row>
        <row r="1135">
          <cell r="L1135">
            <v>12206</v>
          </cell>
        </row>
        <row r="1135">
          <cell r="O1135">
            <v>46094</v>
          </cell>
        </row>
        <row r="1136">
          <cell r="L1136">
            <v>11997</v>
          </cell>
        </row>
        <row r="1136">
          <cell r="O1136">
            <v>46105</v>
          </cell>
        </row>
        <row r="1137">
          <cell r="L1137">
            <v>12262</v>
          </cell>
        </row>
        <row r="1137">
          <cell r="O1137">
            <v>46094</v>
          </cell>
        </row>
        <row r="1138">
          <cell r="L1138">
            <v>12244</v>
          </cell>
        </row>
        <row r="1138">
          <cell r="O1138">
            <v>46101</v>
          </cell>
        </row>
        <row r="1139">
          <cell r="L1139">
            <v>12243</v>
          </cell>
        </row>
        <row r="1139">
          <cell r="O1139">
            <v>46106</v>
          </cell>
        </row>
        <row r="1140">
          <cell r="L1140">
            <v>12304</v>
          </cell>
        </row>
        <row r="1140">
          <cell r="O1140">
            <v>46095</v>
          </cell>
        </row>
        <row r="1141">
          <cell r="L1141">
            <v>12085</v>
          </cell>
        </row>
        <row r="1141">
          <cell r="O1141">
            <v>46099</v>
          </cell>
        </row>
        <row r="1142">
          <cell r="L1142">
            <v>12086</v>
          </cell>
        </row>
        <row r="1142">
          <cell r="O1142">
            <v>46100</v>
          </cell>
        </row>
        <row r="1143">
          <cell r="L1143">
            <v>12258</v>
          </cell>
        </row>
        <row r="1143">
          <cell r="O1143">
            <v>46099</v>
          </cell>
        </row>
        <row r="1144">
          <cell r="L1144">
            <v>12210</v>
          </cell>
        </row>
        <row r="1144">
          <cell r="O1144">
            <v>46104</v>
          </cell>
        </row>
        <row r="1145">
          <cell r="L1145">
            <v>12250</v>
          </cell>
        </row>
        <row r="1145">
          <cell r="O1145">
            <v>46096</v>
          </cell>
        </row>
        <row r="1146">
          <cell r="L1146">
            <v>12251</v>
          </cell>
        </row>
        <row r="1146">
          <cell r="O1146">
            <v>46112</v>
          </cell>
        </row>
        <row r="1147">
          <cell r="L1147">
            <v>12332</v>
          </cell>
        </row>
        <row r="1147">
          <cell r="O1147">
            <v>46095</v>
          </cell>
        </row>
        <row r="1148">
          <cell r="L1148">
            <v>12227</v>
          </cell>
        </row>
        <row r="1148">
          <cell r="O1148">
            <v>46097</v>
          </cell>
        </row>
        <row r="1149">
          <cell r="L1149">
            <v>12309</v>
          </cell>
        </row>
        <row r="1149">
          <cell r="O1149">
            <v>46101</v>
          </cell>
        </row>
        <row r="1150">
          <cell r="L1150">
            <v>12310</v>
          </cell>
        </row>
        <row r="1150">
          <cell r="O1150">
            <v>46096</v>
          </cell>
        </row>
        <row r="1151">
          <cell r="L1151">
            <v>12311</v>
          </cell>
        </row>
        <row r="1151">
          <cell r="O1151">
            <v>46102</v>
          </cell>
        </row>
        <row r="1152">
          <cell r="L1152">
            <v>12312</v>
          </cell>
        </row>
        <row r="1152">
          <cell r="O1152">
            <v>46096</v>
          </cell>
        </row>
        <row r="1153">
          <cell r="L1153">
            <v>12441</v>
          </cell>
        </row>
        <row r="1153">
          <cell r="O1153">
            <v>46100</v>
          </cell>
        </row>
        <row r="1154">
          <cell r="L1154">
            <v>12271</v>
          </cell>
        </row>
        <row r="1154">
          <cell r="O1154">
            <v>46098</v>
          </cell>
        </row>
        <row r="1155">
          <cell r="L1155">
            <v>12270</v>
          </cell>
        </row>
        <row r="1155">
          <cell r="O1155">
            <v>46100</v>
          </cell>
        </row>
        <row r="1156">
          <cell r="L1156">
            <v>12318</v>
          </cell>
        </row>
        <row r="1156">
          <cell r="O1156">
            <v>46103</v>
          </cell>
        </row>
        <row r="1157">
          <cell r="L1157">
            <v>12320</v>
          </cell>
        </row>
        <row r="1158">
          <cell r="L1158">
            <v>12305</v>
          </cell>
        </row>
        <row r="1158">
          <cell r="O1158">
            <v>46100</v>
          </cell>
        </row>
        <row r="1159">
          <cell r="L1159">
            <v>12321</v>
          </cell>
        </row>
        <row r="1160">
          <cell r="L1160">
            <v>12272</v>
          </cell>
        </row>
        <row r="1160">
          <cell r="O1160">
            <v>46099</v>
          </cell>
        </row>
        <row r="1161">
          <cell r="L1161">
            <v>12292</v>
          </cell>
        </row>
        <row r="1161">
          <cell r="O1161">
            <v>46100</v>
          </cell>
        </row>
        <row r="1162">
          <cell r="L1162">
            <v>12333</v>
          </cell>
        </row>
        <row r="1163">
          <cell r="L1163">
            <v>12334</v>
          </cell>
        </row>
        <row r="1163">
          <cell r="O1163">
            <v>46105</v>
          </cell>
        </row>
        <row r="1164">
          <cell r="L1164">
            <v>12368</v>
          </cell>
        </row>
        <row r="1164">
          <cell r="O1164">
            <v>46104</v>
          </cell>
        </row>
        <row r="1165">
          <cell r="L1165">
            <v>12306</v>
          </cell>
        </row>
        <row r="1165">
          <cell r="O1165">
            <v>46099</v>
          </cell>
        </row>
        <row r="1166">
          <cell r="L1166">
            <v>12307</v>
          </cell>
        </row>
        <row r="1166">
          <cell r="O1166">
            <v>46103</v>
          </cell>
        </row>
        <row r="1167">
          <cell r="L1167">
            <v>12308</v>
          </cell>
        </row>
        <row r="1167">
          <cell r="O1167">
            <v>46099</v>
          </cell>
        </row>
        <row r="1168">
          <cell r="L1168">
            <v>12293</v>
          </cell>
        </row>
        <row r="1168">
          <cell r="O1168">
            <v>46104</v>
          </cell>
        </row>
        <row r="1169">
          <cell r="L1169">
            <v>12298</v>
          </cell>
        </row>
        <row r="1170">
          <cell r="L1170">
            <v>12299</v>
          </cell>
        </row>
        <row r="1171">
          <cell r="L1171">
            <v>12396</v>
          </cell>
        </row>
        <row r="1172">
          <cell r="L1172">
            <v>12291</v>
          </cell>
        </row>
        <row r="1173">
          <cell r="L1173">
            <v>12290</v>
          </cell>
        </row>
        <row r="1174">
          <cell r="L1174">
            <v>12391</v>
          </cell>
        </row>
        <row r="1175">
          <cell r="L1175">
            <v>12398</v>
          </cell>
        </row>
        <row r="1176">
          <cell r="L1176">
            <v>12357</v>
          </cell>
        </row>
        <row r="1176">
          <cell r="O1176">
            <v>46104</v>
          </cell>
        </row>
        <row r="1177">
          <cell r="L1177">
            <v>12423</v>
          </cell>
        </row>
        <row r="1177">
          <cell r="O1177">
            <v>46108</v>
          </cell>
        </row>
        <row r="1178">
          <cell r="L1178">
            <v>12387</v>
          </cell>
        </row>
        <row r="1179">
          <cell r="L1179">
            <v>12388</v>
          </cell>
        </row>
        <row r="1180">
          <cell r="L1180">
            <v>12474</v>
          </cell>
        </row>
        <row r="1181">
          <cell r="L1181">
            <v>12429</v>
          </cell>
        </row>
        <row r="1181">
          <cell r="O1181">
            <v>46111</v>
          </cell>
        </row>
        <row r="1182">
          <cell r="L1182">
            <v>12424</v>
          </cell>
        </row>
        <row r="1183">
          <cell r="L1183">
            <v>12386</v>
          </cell>
        </row>
        <row r="1184">
          <cell r="L1184">
            <v>12426</v>
          </cell>
        </row>
        <row r="1185">
          <cell r="L1185">
            <v>12483</v>
          </cell>
        </row>
        <row r="1185">
          <cell r="O1185">
            <v>46111</v>
          </cell>
        </row>
        <row r="1186">
          <cell r="L1186">
            <v>12484</v>
          </cell>
        </row>
        <row r="1186">
          <cell r="O1186">
            <v>46111</v>
          </cell>
        </row>
        <row r="1187">
          <cell r="L1187">
            <v>12414</v>
          </cell>
        </row>
        <row r="1188">
          <cell r="L1188">
            <v>12422</v>
          </cell>
        </row>
        <row r="1189">
          <cell r="L1189">
            <v>12213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57"/>
  <sheetViews>
    <sheetView workbookViewId="0">
      <selection activeCell="G18" sqref="G18"/>
    </sheetView>
  </sheetViews>
  <sheetFormatPr defaultColWidth="8.725" defaultRowHeight="13.5"/>
  <cols>
    <col min="1" max="1" width="12.3416666666667" customWidth="1"/>
    <col min="2" max="2" width="14.75" style="101" customWidth="1"/>
    <col min="3" max="3" width="14.75" customWidth="1"/>
    <col min="4" max="4" width="14.75" style="102" customWidth="1"/>
    <col min="5" max="8" width="14.75" customWidth="1"/>
    <col min="9" max="9" width="15.175" style="84" customWidth="1"/>
    <col min="10" max="10" width="15.175" style="103" customWidth="1"/>
    <col min="11" max="11" width="15.175" style="104" customWidth="1"/>
    <col min="12" max="12" width="14.3416666666667" style="105" customWidth="1"/>
    <col min="13" max="13" width="14.3416666666667" style="103" customWidth="1"/>
    <col min="14" max="14" width="14.3416666666667" style="106" customWidth="1"/>
    <col min="15" max="16" width="16.675" style="103" customWidth="1"/>
    <col min="17" max="17" width="16.675" style="85" customWidth="1"/>
    <col min="18" max="19" width="11.5083333333333" style="107" customWidth="1"/>
    <col min="20" max="20" width="11.5083333333333" style="108" customWidth="1"/>
    <col min="21" max="21" width="15.175" style="109" customWidth="1"/>
    <col min="22" max="22" width="15.175" style="107" customWidth="1"/>
    <col min="23" max="23" width="15.175" style="108" customWidth="1"/>
    <col min="24" max="24" width="13.3416666666667" style="110" customWidth="1"/>
    <col min="25" max="25" width="13.3416666666667" style="111" customWidth="1"/>
    <col min="26" max="26" width="13.3416666666667" style="112" customWidth="1"/>
    <col min="27" max="27" width="13.3416666666667" style="113" customWidth="1"/>
    <col min="28" max="28" width="13.3416666666667" style="114" customWidth="1"/>
    <col min="29" max="29" width="13.3416666666667" style="115" customWidth="1"/>
    <col min="33" max="33" width="12.625"/>
    <col min="35" max="35" width="12.9166666666667" style="116" customWidth="1"/>
    <col min="36" max="36" width="6.50833333333333" style="116" customWidth="1"/>
    <col min="37" max="37" width="12.8166666666667" style="116" customWidth="1"/>
    <col min="38" max="38" width="11.125" customWidth="1"/>
    <col min="39" max="39" width="7.75833333333333" customWidth="1"/>
    <col min="44" max="44" width="12.8166666666667"/>
  </cols>
  <sheetData>
    <row r="1" customFormat="1" ht="22.5" customHeight="1" spans="1:29">
      <c r="A1" s="117" t="s">
        <v>0</v>
      </c>
      <c r="B1" s="118" t="s">
        <v>1</v>
      </c>
      <c r="C1" s="119" t="s">
        <v>2</v>
      </c>
      <c r="D1" s="120" t="s">
        <v>3</v>
      </c>
      <c r="E1" s="120" t="s">
        <v>4</v>
      </c>
      <c r="F1" s="119" t="s">
        <v>5</v>
      </c>
      <c r="G1" s="119" t="s">
        <v>6</v>
      </c>
      <c r="H1" s="119" t="s">
        <v>7</v>
      </c>
      <c r="I1" s="121" t="s">
        <v>8</v>
      </c>
      <c r="J1" s="122" t="s">
        <v>9</v>
      </c>
      <c r="K1" s="122" t="s">
        <v>10</v>
      </c>
      <c r="L1" s="123" t="s">
        <v>11</v>
      </c>
      <c r="M1" s="124" t="s">
        <v>12</v>
      </c>
      <c r="N1" s="125" t="s">
        <v>13</v>
      </c>
      <c r="O1" s="126" t="s">
        <v>14</v>
      </c>
      <c r="P1" s="126" t="s">
        <v>15</v>
      </c>
      <c r="Q1" s="127" t="s">
        <v>16</v>
      </c>
      <c r="R1" s="128" t="s">
        <v>17</v>
      </c>
      <c r="S1" s="128" t="s">
        <v>18</v>
      </c>
      <c r="T1" s="129" t="s">
        <v>19</v>
      </c>
      <c r="U1" s="130" t="s">
        <v>20</v>
      </c>
      <c r="V1" s="131" t="s">
        <v>21</v>
      </c>
      <c r="W1" s="132" t="s">
        <v>22</v>
      </c>
      <c r="X1" s="133" t="s">
        <v>23</v>
      </c>
      <c r="Y1" s="134" t="s">
        <v>24</v>
      </c>
      <c r="Z1" s="134" t="s">
        <v>25</v>
      </c>
      <c r="AA1" s="135" t="s">
        <v>26</v>
      </c>
      <c r="AB1" s="136" t="s">
        <v>27</v>
      </c>
      <c r="AC1" s="137" t="s">
        <v>28</v>
      </c>
    </row>
    <row r="2" customFormat="1" ht="22.5" customHeight="1" spans="1:29">
      <c r="A2" s="138">
        <v>11547</v>
      </c>
      <c r="B2" s="139" t="s">
        <v>29</v>
      </c>
      <c r="C2" s="140">
        <v>46026</v>
      </c>
      <c r="D2" s="141" t="s">
        <v>30</v>
      </c>
      <c r="E2" s="141" t="s">
        <v>30</v>
      </c>
      <c r="F2" s="141" t="s">
        <v>31</v>
      </c>
      <c r="G2" s="141" t="s">
        <v>32</v>
      </c>
      <c r="H2" s="141">
        <f>IF(_xlfn.XLOOKUP(A2,[1]分配表!L:L,[1]分配表!O:O)=0,"未出单",_xlfn.XLOOKUP(A2,[1]分配表!L:L,[1]分配表!O:O))</f>
        <v>46075</v>
      </c>
      <c r="I2" s="142">
        <v>6</v>
      </c>
      <c r="J2" s="143">
        <v>5</v>
      </c>
      <c r="K2" s="144">
        <v>1</v>
      </c>
      <c r="L2" s="142" t="s">
        <v>33</v>
      </c>
      <c r="M2" s="145" t="s">
        <v>33</v>
      </c>
      <c r="N2" s="146" t="s">
        <v>34</v>
      </c>
      <c r="O2" s="145" t="s">
        <v>35</v>
      </c>
      <c r="P2" s="145" t="s">
        <v>36</v>
      </c>
      <c r="Q2" s="147" t="s">
        <v>35</v>
      </c>
      <c r="R2" s="143">
        <v>0</v>
      </c>
      <c r="S2" s="143">
        <v>1</v>
      </c>
      <c r="T2" s="144">
        <v>2</v>
      </c>
      <c r="U2" s="142">
        <v>2</v>
      </c>
      <c r="V2" s="143">
        <v>1</v>
      </c>
      <c r="W2" s="144">
        <v>1</v>
      </c>
      <c r="X2" s="148">
        <v>0</v>
      </c>
      <c r="Y2" s="149">
        <v>59</v>
      </c>
      <c r="Z2" s="150">
        <v>118</v>
      </c>
      <c r="AA2" s="151">
        <v>0</v>
      </c>
      <c r="AB2" s="152">
        <v>0.5</v>
      </c>
      <c r="AC2" s="153">
        <v>0.666666666666667</v>
      </c>
    </row>
    <row r="3" customFormat="1" ht="22.5" customHeight="1" spans="1:29">
      <c r="A3" s="138">
        <v>11650</v>
      </c>
      <c r="B3" s="139" t="s">
        <v>37</v>
      </c>
      <c r="C3" s="140">
        <v>46026</v>
      </c>
      <c r="D3" s="141" t="s">
        <v>30</v>
      </c>
      <c r="E3" s="141" t="s">
        <v>30</v>
      </c>
      <c r="F3" s="141" t="s">
        <v>38</v>
      </c>
      <c r="G3" s="141" t="s">
        <v>32</v>
      </c>
      <c r="H3" s="141">
        <f>IF(_xlfn.XLOOKUP(A3,[1]分配表!L:L,[1]分配表!O:O)=0,"未出单",_xlfn.XLOOKUP(A3,[1]分配表!L:L,[1]分配表!O:O))</f>
        <v>46029</v>
      </c>
      <c r="I3" s="142">
        <v>4</v>
      </c>
      <c r="J3" s="143">
        <v>5</v>
      </c>
      <c r="K3" s="144">
        <v>4</v>
      </c>
      <c r="L3" s="142" t="s">
        <v>39</v>
      </c>
      <c r="M3" s="145" t="s">
        <v>39</v>
      </c>
      <c r="N3" s="146" t="s">
        <v>39</v>
      </c>
      <c r="O3" s="145" t="s">
        <v>40</v>
      </c>
      <c r="P3" s="145" t="s">
        <v>35</v>
      </c>
      <c r="Q3" s="147" t="s">
        <v>40</v>
      </c>
      <c r="R3" s="143">
        <v>7</v>
      </c>
      <c r="S3" s="143">
        <v>11</v>
      </c>
      <c r="T3" s="144">
        <v>14</v>
      </c>
      <c r="U3" s="142">
        <v>0</v>
      </c>
      <c r="V3" s="143">
        <v>0</v>
      </c>
      <c r="W3" s="144">
        <v>0</v>
      </c>
      <c r="X3" s="148">
        <v>1050</v>
      </c>
      <c r="Y3" s="149">
        <v>1594.5</v>
      </c>
      <c r="Z3" s="150">
        <v>2100</v>
      </c>
      <c r="AA3" s="151">
        <v>1</v>
      </c>
      <c r="AB3" s="152">
        <v>1</v>
      </c>
      <c r="AC3" s="153">
        <v>1</v>
      </c>
    </row>
    <row r="4" customFormat="1" ht="22.5" customHeight="1" spans="1:29">
      <c r="A4" s="138">
        <v>11674</v>
      </c>
      <c r="B4" s="139" t="s">
        <v>41</v>
      </c>
      <c r="C4" s="140">
        <v>46026</v>
      </c>
      <c r="D4" s="141" t="s">
        <v>30</v>
      </c>
      <c r="E4" s="141" t="s">
        <v>30</v>
      </c>
      <c r="F4" s="141" t="s">
        <v>31</v>
      </c>
      <c r="G4" s="141" t="s">
        <v>32</v>
      </c>
      <c r="H4" s="141">
        <f>IF(_xlfn.XLOOKUP(A4,[1]分配表!L:L,[1]分配表!O:O)=0,"未出单",_xlfn.XLOOKUP(A4,[1]分配表!L:L,[1]分配表!O:O))</f>
        <v>46028</v>
      </c>
      <c r="I4" s="142">
        <v>4</v>
      </c>
      <c r="J4" s="143">
        <v>3</v>
      </c>
      <c r="K4" s="144">
        <v>3</v>
      </c>
      <c r="L4" s="142" t="s">
        <v>39</v>
      </c>
      <c r="M4" s="145" t="s">
        <v>39</v>
      </c>
      <c r="N4" s="146" t="s">
        <v>39</v>
      </c>
      <c r="O4" s="145" t="s">
        <v>40</v>
      </c>
      <c r="P4" s="145" t="s">
        <v>35</v>
      </c>
      <c r="Q4" s="147" t="s">
        <v>40</v>
      </c>
      <c r="R4" s="143">
        <v>3</v>
      </c>
      <c r="S4" s="143">
        <v>11</v>
      </c>
      <c r="T4" s="144">
        <v>16</v>
      </c>
      <c r="U4" s="142">
        <v>1</v>
      </c>
      <c r="V4" s="143">
        <v>1</v>
      </c>
      <c r="W4" s="144">
        <v>6</v>
      </c>
      <c r="X4" s="148">
        <v>197.52</v>
      </c>
      <c r="Y4" s="149">
        <v>741.82</v>
      </c>
      <c r="Z4" s="150">
        <v>1086.81</v>
      </c>
      <c r="AA4" s="151">
        <v>0.75</v>
      </c>
      <c r="AB4" s="152">
        <v>0.916666666666667</v>
      </c>
      <c r="AC4" s="153">
        <v>0.727272727272727</v>
      </c>
    </row>
    <row r="5" customFormat="1" ht="22.5" customHeight="1" spans="1:29">
      <c r="A5" s="138">
        <v>11668</v>
      </c>
      <c r="B5" s="139" t="s">
        <v>42</v>
      </c>
      <c r="C5" s="140">
        <v>46026</v>
      </c>
      <c r="D5" s="141" t="s">
        <v>30</v>
      </c>
      <c r="E5" s="141" t="s">
        <v>30</v>
      </c>
      <c r="F5" s="141" t="s">
        <v>31</v>
      </c>
      <c r="G5" s="141" t="s">
        <v>32</v>
      </c>
      <c r="H5" s="141">
        <f>IF(_xlfn.XLOOKUP(A5,[1]分配表!L:L,[1]分配表!O:O)=0,"未出单",_xlfn.XLOOKUP(A5,[1]分配表!L:L,[1]分配表!O:O))</f>
        <v>46030</v>
      </c>
      <c r="I5" s="142">
        <v>4</v>
      </c>
      <c r="J5" s="143">
        <v>3</v>
      </c>
      <c r="K5" s="144">
        <v>2</v>
      </c>
      <c r="L5" s="142" t="s">
        <v>39</v>
      </c>
      <c r="M5" s="145" t="s">
        <v>39</v>
      </c>
      <c r="N5" s="146" t="s">
        <v>39</v>
      </c>
      <c r="O5" s="145" t="s">
        <v>40</v>
      </c>
      <c r="P5" s="145" t="s">
        <v>43</v>
      </c>
      <c r="Q5" s="147" t="s">
        <v>36</v>
      </c>
      <c r="R5" s="143">
        <v>2</v>
      </c>
      <c r="S5" s="143">
        <v>2</v>
      </c>
      <c r="T5" s="144">
        <v>7</v>
      </c>
      <c r="U5" s="142">
        <v>0</v>
      </c>
      <c r="V5" s="143">
        <v>2</v>
      </c>
      <c r="W5" s="144">
        <v>6</v>
      </c>
      <c r="X5" s="148">
        <v>270</v>
      </c>
      <c r="Y5" s="149">
        <v>270</v>
      </c>
      <c r="Z5" s="150">
        <v>938.25</v>
      </c>
      <c r="AA5" s="151">
        <v>1</v>
      </c>
      <c r="AB5" s="152">
        <v>0.5</v>
      </c>
      <c r="AC5" s="153">
        <v>0.538461538461538</v>
      </c>
    </row>
    <row r="6" customFormat="1" ht="22.5" customHeight="1" spans="1:29">
      <c r="A6" s="138">
        <v>11681</v>
      </c>
      <c r="B6" s="139" t="s">
        <v>44</v>
      </c>
      <c r="C6" s="140">
        <v>46027</v>
      </c>
      <c r="D6" s="141" t="s">
        <v>45</v>
      </c>
      <c r="E6" s="141" t="s">
        <v>45</v>
      </c>
      <c r="F6" s="141" t="s">
        <v>46</v>
      </c>
      <c r="G6" s="141" t="s">
        <v>47</v>
      </c>
      <c r="H6" s="141">
        <f>IF(_xlfn.XLOOKUP(A6,[1]分配表!L:L,[1]分配表!O:O)=0,"未出单",_xlfn.XLOOKUP(A6,[1]分配表!L:L,[1]分配表!O:O))</f>
        <v>46031</v>
      </c>
      <c r="I6" s="142">
        <v>5</v>
      </c>
      <c r="J6" s="143">
        <v>2</v>
      </c>
      <c r="K6" s="144">
        <v>1</v>
      </c>
      <c r="L6" s="142" t="s">
        <v>39</v>
      </c>
      <c r="M6" s="145" t="s">
        <v>39</v>
      </c>
      <c r="N6" s="146" t="s">
        <v>39</v>
      </c>
      <c r="O6" s="145" t="s">
        <v>43</v>
      </c>
      <c r="P6" s="145" t="s">
        <v>43</v>
      </c>
      <c r="Q6" s="147" t="s">
        <v>40</v>
      </c>
      <c r="R6" s="143">
        <v>1</v>
      </c>
      <c r="S6" s="143">
        <v>0</v>
      </c>
      <c r="T6" s="144">
        <v>1</v>
      </c>
      <c r="U6" s="142">
        <v>0</v>
      </c>
      <c r="V6" s="143">
        <v>0</v>
      </c>
      <c r="W6" s="144">
        <v>0</v>
      </c>
      <c r="X6" s="148">
        <v>289</v>
      </c>
      <c r="Y6" s="149">
        <v>0</v>
      </c>
      <c r="Z6" s="150">
        <v>350</v>
      </c>
      <c r="AA6" s="151">
        <v>1</v>
      </c>
      <c r="AB6" s="152">
        <v>0</v>
      </c>
      <c r="AC6" s="153">
        <v>1</v>
      </c>
    </row>
    <row r="7" customFormat="1" ht="22.5" customHeight="1" spans="1:29">
      <c r="A7" s="138">
        <v>11742</v>
      </c>
      <c r="B7" s="139" t="s">
        <v>48</v>
      </c>
      <c r="C7" s="140">
        <v>46029</v>
      </c>
      <c r="D7" s="141" t="s">
        <v>49</v>
      </c>
      <c r="E7" s="141" t="s">
        <v>49</v>
      </c>
      <c r="F7" s="141" t="s">
        <v>38</v>
      </c>
      <c r="G7" s="141" t="s">
        <v>32</v>
      </c>
      <c r="H7" s="141">
        <f>IF(_xlfn.XLOOKUP(A7,[1]分配表!L:L,[1]分配表!O:O)=0,"未出单",_xlfn.XLOOKUP(A7,[1]分配表!L:L,[1]分配表!O:O))</f>
        <v>46033</v>
      </c>
      <c r="I7" s="142">
        <v>2</v>
      </c>
      <c r="J7" s="143">
        <v>2</v>
      </c>
      <c r="K7" s="144">
        <v>3</v>
      </c>
      <c r="L7" s="142" t="s">
        <v>39</v>
      </c>
      <c r="M7" s="145" t="s">
        <v>39</v>
      </c>
      <c r="N7" s="146" t="s">
        <v>39</v>
      </c>
      <c r="O7" s="145" t="s">
        <v>50</v>
      </c>
      <c r="P7" s="145" t="s">
        <v>50</v>
      </c>
      <c r="Q7" s="147" t="s">
        <v>40</v>
      </c>
      <c r="R7" s="143">
        <v>3</v>
      </c>
      <c r="S7" s="143">
        <v>1</v>
      </c>
      <c r="T7" s="144">
        <v>11</v>
      </c>
      <c r="U7" s="142">
        <v>5</v>
      </c>
      <c r="V7" s="143">
        <v>9</v>
      </c>
      <c r="W7" s="144">
        <v>1</v>
      </c>
      <c r="X7" s="148">
        <v>387</v>
      </c>
      <c r="Y7" s="149">
        <v>105</v>
      </c>
      <c r="Z7" s="150">
        <v>1243</v>
      </c>
      <c r="AA7" s="151">
        <v>0.375</v>
      </c>
      <c r="AB7" s="152">
        <v>0.1</v>
      </c>
      <c r="AC7" s="153">
        <v>0.916666666666667</v>
      </c>
    </row>
    <row r="8" customFormat="1" ht="22.5" customHeight="1" spans="1:29">
      <c r="A8" s="138">
        <v>11603</v>
      </c>
      <c r="B8" s="139" t="s">
        <v>51</v>
      </c>
      <c r="C8" s="140">
        <v>46031</v>
      </c>
      <c r="D8" s="141" t="s">
        <v>30</v>
      </c>
      <c r="E8" s="141" t="s">
        <v>30</v>
      </c>
      <c r="F8" s="141" t="s">
        <v>38</v>
      </c>
      <c r="G8" s="141" t="s">
        <v>32</v>
      </c>
      <c r="H8" s="141">
        <f>IF(_xlfn.XLOOKUP(A8,[1]分配表!L:L,[1]分配表!O:O)=0,"未出单",_xlfn.XLOOKUP(A8,[1]分配表!L:L,[1]分配表!O:O))</f>
        <v>46041</v>
      </c>
      <c r="I8" s="142">
        <v>3</v>
      </c>
      <c r="J8" s="143">
        <v>5</v>
      </c>
      <c r="K8" s="144">
        <v>3</v>
      </c>
      <c r="L8" s="142" t="s">
        <v>34</v>
      </c>
      <c r="M8" s="145" t="s">
        <v>34</v>
      </c>
      <c r="N8" s="146" t="s">
        <v>34</v>
      </c>
      <c r="O8" s="145" t="s">
        <v>40</v>
      </c>
      <c r="P8" s="145" t="s">
        <v>43</v>
      </c>
      <c r="Q8" s="147" t="s">
        <v>40</v>
      </c>
      <c r="R8" s="143">
        <v>4</v>
      </c>
      <c r="S8" s="143">
        <v>2</v>
      </c>
      <c r="T8" s="144">
        <v>7</v>
      </c>
      <c r="U8" s="142">
        <v>0</v>
      </c>
      <c r="V8" s="143">
        <v>0</v>
      </c>
      <c r="W8" s="144">
        <v>0</v>
      </c>
      <c r="X8" s="148">
        <v>396</v>
      </c>
      <c r="Y8" s="149">
        <v>238</v>
      </c>
      <c r="Z8" s="150">
        <v>803.44</v>
      </c>
      <c r="AA8" s="151">
        <v>1</v>
      </c>
      <c r="AB8" s="152">
        <v>1</v>
      </c>
      <c r="AC8" s="153">
        <v>1</v>
      </c>
    </row>
    <row r="9" customFormat="1" ht="22.5" customHeight="1" spans="1:29">
      <c r="A9" s="138">
        <v>11704</v>
      </c>
      <c r="B9" s="139" t="s">
        <v>52</v>
      </c>
      <c r="C9" s="140">
        <v>46034</v>
      </c>
      <c r="D9" s="141" t="s">
        <v>49</v>
      </c>
      <c r="E9" s="141" t="s">
        <v>49</v>
      </c>
      <c r="F9" s="141" t="s">
        <v>53</v>
      </c>
      <c r="G9" s="141" t="s">
        <v>47</v>
      </c>
      <c r="H9" s="141">
        <f>IF(_xlfn.XLOOKUP(A9,[1]分配表!L:L,[1]分配表!O:O)=0,"未出单",_xlfn.XLOOKUP(A9,[1]分配表!L:L,[1]分配表!O:O))</f>
        <v>46070</v>
      </c>
      <c r="I9" s="142">
        <v>4</v>
      </c>
      <c r="J9" s="143">
        <v>6</v>
      </c>
      <c r="K9" s="144">
        <v>4</v>
      </c>
      <c r="L9" s="142" t="s">
        <v>33</v>
      </c>
      <c r="M9" s="145" t="s">
        <v>34</v>
      </c>
      <c r="N9" s="146" t="s">
        <v>34</v>
      </c>
      <c r="O9" s="145" t="s">
        <v>36</v>
      </c>
      <c r="P9" s="145" t="s">
        <v>36</v>
      </c>
      <c r="Q9" s="147" t="s">
        <v>36</v>
      </c>
      <c r="R9" s="143">
        <v>0</v>
      </c>
      <c r="S9" s="143">
        <v>2</v>
      </c>
      <c r="T9" s="144">
        <v>6</v>
      </c>
      <c r="U9" s="142">
        <v>3</v>
      </c>
      <c r="V9" s="143">
        <v>8</v>
      </c>
      <c r="W9" s="144">
        <v>8</v>
      </c>
      <c r="X9" s="148">
        <v>0</v>
      </c>
      <c r="Y9" s="149">
        <v>204</v>
      </c>
      <c r="Z9" s="150">
        <v>612</v>
      </c>
      <c r="AA9" s="151">
        <v>0</v>
      </c>
      <c r="AB9" s="152">
        <v>0.2</v>
      </c>
      <c r="AC9" s="153">
        <v>0.428571428571429</v>
      </c>
    </row>
    <row r="10" customFormat="1" ht="22.5" customHeight="1" spans="1:29">
      <c r="A10" s="138">
        <v>11699</v>
      </c>
      <c r="B10" s="139" t="s">
        <v>54</v>
      </c>
      <c r="C10" s="140">
        <v>46034</v>
      </c>
      <c r="D10" s="141" t="s">
        <v>49</v>
      </c>
      <c r="E10" s="141" t="s">
        <v>49</v>
      </c>
      <c r="F10" s="141" t="s">
        <v>53</v>
      </c>
      <c r="G10" s="141" t="s">
        <v>32</v>
      </c>
      <c r="H10" s="141">
        <f>IF(_xlfn.XLOOKUP(A10,[1]分配表!L:L,[1]分配表!O:O)=0,"未出单",_xlfn.XLOOKUP(A10,[1]分配表!L:L,[1]分配表!O:O))</f>
        <v>46044</v>
      </c>
      <c r="I10" s="142">
        <v>4</v>
      </c>
      <c r="J10" s="143">
        <v>4</v>
      </c>
      <c r="K10" s="144">
        <v>4</v>
      </c>
      <c r="L10" s="142" t="s">
        <v>34</v>
      </c>
      <c r="M10" s="145" t="s">
        <v>34</v>
      </c>
      <c r="N10" s="146" t="s">
        <v>34</v>
      </c>
      <c r="O10" s="145" t="s">
        <v>50</v>
      </c>
      <c r="P10" s="145" t="s">
        <v>36</v>
      </c>
      <c r="Q10" s="147" t="s">
        <v>36</v>
      </c>
      <c r="R10" s="143">
        <v>4</v>
      </c>
      <c r="S10" s="143">
        <v>2</v>
      </c>
      <c r="T10" s="144">
        <v>5</v>
      </c>
      <c r="U10" s="142">
        <v>5</v>
      </c>
      <c r="V10" s="143">
        <v>12</v>
      </c>
      <c r="W10" s="144">
        <v>10</v>
      </c>
      <c r="X10" s="148">
        <v>440</v>
      </c>
      <c r="Y10" s="149">
        <v>220</v>
      </c>
      <c r="Z10" s="150">
        <v>550</v>
      </c>
      <c r="AA10" s="151">
        <v>0.444444444444444</v>
      </c>
      <c r="AB10" s="152">
        <v>0.142857142857143</v>
      </c>
      <c r="AC10" s="153">
        <v>0.333333333333333</v>
      </c>
    </row>
    <row r="11" customFormat="1" ht="22.5" customHeight="1" spans="1:29">
      <c r="A11" s="138">
        <v>11982</v>
      </c>
      <c r="B11" s="139" t="s">
        <v>55</v>
      </c>
      <c r="C11" s="140">
        <v>46034</v>
      </c>
      <c r="D11" s="141" t="s">
        <v>30</v>
      </c>
      <c r="E11" s="141" t="s">
        <v>30</v>
      </c>
      <c r="F11" s="141" t="s">
        <v>31</v>
      </c>
      <c r="G11" s="141" t="s">
        <v>32</v>
      </c>
      <c r="H11" s="141">
        <f>IF(_xlfn.XLOOKUP(A11,[1]分配表!L:L,[1]分配表!O:O)=0,"未出单",_xlfn.XLOOKUP(A11,[1]分配表!L:L,[1]分配表!O:O))</f>
        <v>46036</v>
      </c>
      <c r="I11" s="142">
        <v>2</v>
      </c>
      <c r="J11" s="143">
        <v>4</v>
      </c>
      <c r="K11" s="144">
        <v>5</v>
      </c>
      <c r="L11" s="142" t="s">
        <v>39</v>
      </c>
      <c r="M11" s="145" t="s">
        <v>39</v>
      </c>
      <c r="N11" s="146" t="s">
        <v>39</v>
      </c>
      <c r="O11" s="145" t="s">
        <v>36</v>
      </c>
      <c r="P11" s="145" t="s">
        <v>43</v>
      </c>
      <c r="Q11" s="147" t="s">
        <v>40</v>
      </c>
      <c r="R11" s="143">
        <v>3</v>
      </c>
      <c r="S11" s="143">
        <v>6</v>
      </c>
      <c r="T11" s="144">
        <v>6</v>
      </c>
      <c r="U11" s="142">
        <v>3</v>
      </c>
      <c r="V11" s="143">
        <v>2</v>
      </c>
      <c r="W11" s="144">
        <v>3</v>
      </c>
      <c r="X11" s="148">
        <v>465</v>
      </c>
      <c r="Y11" s="149">
        <v>915.99</v>
      </c>
      <c r="Z11" s="150">
        <v>922.64</v>
      </c>
      <c r="AA11" s="151">
        <v>0.5</v>
      </c>
      <c r="AB11" s="152">
        <v>0.75</v>
      </c>
      <c r="AC11" s="153">
        <v>0.666666666666667</v>
      </c>
    </row>
    <row r="12" customFormat="1" ht="22.5" customHeight="1" spans="1:29">
      <c r="A12" s="138">
        <v>11911</v>
      </c>
      <c r="B12" s="139" t="s">
        <v>56</v>
      </c>
      <c r="C12" s="140">
        <v>46034</v>
      </c>
      <c r="D12" s="141" t="s">
        <v>45</v>
      </c>
      <c r="E12" s="141" t="s">
        <v>45</v>
      </c>
      <c r="F12" s="141" t="s">
        <v>46</v>
      </c>
      <c r="G12" s="141" t="s">
        <v>32</v>
      </c>
      <c r="H12" s="141">
        <f>IF(_xlfn.XLOOKUP(A12,[1]分配表!L:L,[1]分配表!O:O)=0,"未出单",_xlfn.XLOOKUP(A12,[1]分配表!L:L,[1]分配表!O:O))</f>
        <v>46043</v>
      </c>
      <c r="I12" s="142">
        <v>2</v>
      </c>
      <c r="J12" s="143">
        <v>4</v>
      </c>
      <c r="K12" s="144">
        <v>8</v>
      </c>
      <c r="L12" s="142" t="s">
        <v>34</v>
      </c>
      <c r="M12" s="145" t="s">
        <v>34</v>
      </c>
      <c r="N12" s="146" t="s">
        <v>34</v>
      </c>
      <c r="O12" s="145" t="s">
        <v>50</v>
      </c>
      <c r="P12" s="145" t="s">
        <v>50</v>
      </c>
      <c r="Q12" s="147" t="s">
        <v>36</v>
      </c>
      <c r="R12" s="143">
        <v>4</v>
      </c>
      <c r="S12" s="143">
        <v>16</v>
      </c>
      <c r="T12" s="144">
        <v>33</v>
      </c>
      <c r="U12" s="142">
        <v>21</v>
      </c>
      <c r="V12" s="143">
        <v>53</v>
      </c>
      <c r="W12" s="144">
        <v>80</v>
      </c>
      <c r="X12" s="148">
        <v>248.64</v>
      </c>
      <c r="Y12" s="149">
        <v>994.56</v>
      </c>
      <c r="Z12" s="150">
        <v>2050.78</v>
      </c>
      <c r="AA12" s="151">
        <v>0.16</v>
      </c>
      <c r="AB12" s="152">
        <v>0.231884057971014</v>
      </c>
      <c r="AC12" s="153">
        <v>0.292035398230089</v>
      </c>
    </row>
    <row r="13" customFormat="1" ht="22.5" customHeight="1" spans="1:29">
      <c r="A13" s="138">
        <v>11848</v>
      </c>
      <c r="B13" s="139" t="s">
        <v>57</v>
      </c>
      <c r="C13" s="140">
        <v>46034</v>
      </c>
      <c r="D13" s="141" t="s">
        <v>45</v>
      </c>
      <c r="E13" s="141" t="s">
        <v>45</v>
      </c>
      <c r="F13" s="141" t="s">
        <v>46</v>
      </c>
      <c r="G13" s="141" t="s">
        <v>47</v>
      </c>
      <c r="H13" s="141">
        <f>IF(_xlfn.XLOOKUP(A13,[1]分配表!L:L,[1]分配表!O:O)=0,"未出单",_xlfn.XLOOKUP(A13,[1]分配表!L:L,[1]分配表!O:O))</f>
        <v>46054</v>
      </c>
      <c r="I13" s="142">
        <v>2</v>
      </c>
      <c r="J13" s="143">
        <v>3</v>
      </c>
      <c r="K13" s="144">
        <v>2</v>
      </c>
      <c r="L13" s="142" t="s">
        <v>33</v>
      </c>
      <c r="M13" s="145" t="s">
        <v>34</v>
      </c>
      <c r="N13" s="146" t="s">
        <v>34</v>
      </c>
      <c r="O13" s="145" t="s">
        <v>43</v>
      </c>
      <c r="P13" s="145" t="s">
        <v>43</v>
      </c>
      <c r="Q13" s="147" t="s">
        <v>36</v>
      </c>
      <c r="R13" s="143">
        <v>0</v>
      </c>
      <c r="S13" s="143">
        <v>3</v>
      </c>
      <c r="T13" s="144">
        <v>7</v>
      </c>
      <c r="U13" s="142">
        <v>0</v>
      </c>
      <c r="V13" s="143">
        <v>0</v>
      </c>
      <c r="W13" s="144">
        <v>2</v>
      </c>
      <c r="X13" s="148">
        <v>0</v>
      </c>
      <c r="Y13" s="149">
        <v>165</v>
      </c>
      <c r="Z13" s="150">
        <v>385</v>
      </c>
      <c r="AA13" s="151">
        <v>0</v>
      </c>
      <c r="AB13" s="152">
        <v>1</v>
      </c>
      <c r="AC13" s="153">
        <v>0.777777777777778</v>
      </c>
    </row>
    <row r="14" customFormat="1" ht="22.5" customHeight="1" spans="1:29">
      <c r="A14" s="138">
        <v>11875</v>
      </c>
      <c r="B14" s="139" t="s">
        <v>58</v>
      </c>
      <c r="C14" s="140">
        <v>46034</v>
      </c>
      <c r="D14" s="141" t="s">
        <v>45</v>
      </c>
      <c r="E14" s="141" t="s">
        <v>45</v>
      </c>
      <c r="F14" s="141" t="s">
        <v>46</v>
      </c>
      <c r="G14" s="141" t="s">
        <v>47</v>
      </c>
      <c r="H14" s="141">
        <f>IF(_xlfn.XLOOKUP(A14,[1]分配表!L:L,[1]分配表!O:O)=0,"未出单",_xlfn.XLOOKUP(A14,[1]分配表!L:L,[1]分配表!O:O))</f>
        <v>46041</v>
      </c>
      <c r="I14" s="142">
        <v>2</v>
      </c>
      <c r="J14" s="143">
        <v>2</v>
      </c>
      <c r="K14" s="144">
        <v>3</v>
      </c>
      <c r="L14" s="142" t="s">
        <v>39</v>
      </c>
      <c r="M14" s="145" t="s">
        <v>39</v>
      </c>
      <c r="N14" s="146" t="s">
        <v>39</v>
      </c>
      <c r="O14" s="145" t="s">
        <v>40</v>
      </c>
      <c r="P14" s="145" t="s">
        <v>35</v>
      </c>
      <c r="Q14" s="147" t="s">
        <v>40</v>
      </c>
      <c r="R14" s="143">
        <v>10</v>
      </c>
      <c r="S14" s="143">
        <v>10</v>
      </c>
      <c r="T14" s="144">
        <v>20</v>
      </c>
      <c r="U14" s="142">
        <v>0</v>
      </c>
      <c r="V14" s="143">
        <v>0</v>
      </c>
      <c r="W14" s="144">
        <v>0</v>
      </c>
      <c r="X14" s="148">
        <v>2300</v>
      </c>
      <c r="Y14" s="149">
        <v>2320.34</v>
      </c>
      <c r="Z14" s="150">
        <v>4838.64</v>
      </c>
      <c r="AA14" s="151">
        <v>1</v>
      </c>
      <c r="AB14" s="152">
        <v>1</v>
      </c>
      <c r="AC14" s="153">
        <v>1</v>
      </c>
    </row>
    <row r="15" customFormat="1" ht="22.5" customHeight="1" spans="1:29">
      <c r="A15" s="138">
        <v>11833</v>
      </c>
      <c r="B15" s="139" t="s">
        <v>59</v>
      </c>
      <c r="C15" s="140">
        <v>46034</v>
      </c>
      <c r="D15" s="141" t="s">
        <v>49</v>
      </c>
      <c r="E15" s="141" t="s">
        <v>49</v>
      </c>
      <c r="F15" s="141" t="s">
        <v>60</v>
      </c>
      <c r="G15" s="141" t="s">
        <v>32</v>
      </c>
      <c r="H15" s="141">
        <f>IF(_xlfn.XLOOKUP(A15,[1]分配表!L:L,[1]分配表!O:O)=0,"未出单",_xlfn.XLOOKUP(A15,[1]分配表!L:L,[1]分配表!O:O))</f>
        <v>46040</v>
      </c>
      <c r="I15" s="142">
        <v>2</v>
      </c>
      <c r="J15" s="143">
        <v>2</v>
      </c>
      <c r="K15" s="144">
        <v>1</v>
      </c>
      <c r="L15" s="142" t="s">
        <v>39</v>
      </c>
      <c r="M15" s="145" t="s">
        <v>39</v>
      </c>
      <c r="N15" s="146" t="s">
        <v>39</v>
      </c>
      <c r="O15" s="145" t="s">
        <v>43</v>
      </c>
      <c r="P15" s="145" t="s">
        <v>43</v>
      </c>
      <c r="Q15" s="147" t="s">
        <v>40</v>
      </c>
      <c r="R15" s="143">
        <v>1</v>
      </c>
      <c r="S15" s="143">
        <v>8</v>
      </c>
      <c r="T15" s="144">
        <v>11</v>
      </c>
      <c r="U15" s="142">
        <v>1</v>
      </c>
      <c r="V15" s="143">
        <v>1</v>
      </c>
      <c r="W15" s="144">
        <v>0</v>
      </c>
      <c r="X15" s="148">
        <v>158</v>
      </c>
      <c r="Y15" s="149">
        <v>360</v>
      </c>
      <c r="Z15" s="150">
        <v>490.5</v>
      </c>
      <c r="AA15" s="151">
        <v>0.5</v>
      </c>
      <c r="AB15" s="152">
        <v>0.888888888888889</v>
      </c>
      <c r="AC15" s="153">
        <v>1</v>
      </c>
    </row>
    <row r="16" customFormat="1" ht="22.5" customHeight="1" spans="1:29">
      <c r="A16" s="138">
        <v>11683</v>
      </c>
      <c r="B16" s="139" t="s">
        <v>61</v>
      </c>
      <c r="C16" s="140">
        <v>46041</v>
      </c>
      <c r="D16" s="141" t="s">
        <v>45</v>
      </c>
      <c r="E16" s="141" t="s">
        <v>45</v>
      </c>
      <c r="F16" s="141" t="s">
        <v>46</v>
      </c>
      <c r="G16" s="141" t="s">
        <v>47</v>
      </c>
      <c r="H16" s="141" t="str">
        <f>IF(_xlfn.XLOOKUP(A16,[1]分配表!L:L,[1]分配表!O:O)=0,"未出单",_xlfn.XLOOKUP(A16,[1]分配表!L:L,[1]分配表!O:O))</f>
        <v>未出单</v>
      </c>
      <c r="I16" s="142">
        <v>4</v>
      </c>
      <c r="J16" s="143">
        <v>3</v>
      </c>
      <c r="K16" s="144">
        <v>2</v>
      </c>
      <c r="L16" s="142" t="s">
        <v>33</v>
      </c>
      <c r="M16" s="145" t="s">
        <v>33</v>
      </c>
      <c r="N16" s="146" t="s">
        <v>33</v>
      </c>
      <c r="O16" s="145" t="s">
        <v>43</v>
      </c>
      <c r="P16" s="145" t="s">
        <v>43</v>
      </c>
      <c r="Q16" s="147" t="s">
        <v>43</v>
      </c>
      <c r="R16" s="143">
        <v>0</v>
      </c>
      <c r="S16" s="143">
        <v>0</v>
      </c>
      <c r="T16" s="144">
        <v>0</v>
      </c>
      <c r="U16" s="142">
        <v>0</v>
      </c>
      <c r="V16" s="143">
        <v>0</v>
      </c>
      <c r="W16" s="144">
        <v>0</v>
      </c>
      <c r="X16" s="148">
        <v>0</v>
      </c>
      <c r="Y16" s="149">
        <v>0</v>
      </c>
      <c r="Z16" s="150">
        <v>0</v>
      </c>
      <c r="AA16" s="151">
        <v>0</v>
      </c>
      <c r="AB16" s="152">
        <v>0</v>
      </c>
      <c r="AC16" s="153" t="s">
        <v>62</v>
      </c>
    </row>
    <row r="17" customFormat="1" ht="22.5" customHeight="1" spans="1:29">
      <c r="A17" s="138">
        <v>11733</v>
      </c>
      <c r="B17" s="139" t="s">
        <v>63</v>
      </c>
      <c r="C17" s="140">
        <v>46041</v>
      </c>
      <c r="D17" s="141" t="s">
        <v>49</v>
      </c>
      <c r="E17" s="141" t="s">
        <v>49</v>
      </c>
      <c r="F17" s="141" t="s">
        <v>46</v>
      </c>
      <c r="G17" s="141" t="s">
        <v>32</v>
      </c>
      <c r="H17" s="141">
        <f>IF(_xlfn.XLOOKUP(A17,[1]分配表!L:L,[1]分配表!O:O)=0,"未出单",_xlfn.XLOOKUP(A17,[1]分配表!L:L,[1]分配表!O:O))</f>
        <v>46066</v>
      </c>
      <c r="I17" s="142">
        <v>2</v>
      </c>
      <c r="J17" s="143">
        <v>5</v>
      </c>
      <c r="K17" s="144">
        <v>2</v>
      </c>
      <c r="L17" s="142" t="s">
        <v>33</v>
      </c>
      <c r="M17" s="145" t="s">
        <v>34</v>
      </c>
      <c r="N17" s="146" t="s">
        <v>34</v>
      </c>
      <c r="O17" s="145" t="s">
        <v>43</v>
      </c>
      <c r="P17" s="145" t="s">
        <v>43</v>
      </c>
      <c r="Q17" s="147" t="s">
        <v>43</v>
      </c>
      <c r="R17" s="143">
        <v>0</v>
      </c>
      <c r="S17" s="143">
        <v>5</v>
      </c>
      <c r="T17" s="144">
        <v>4</v>
      </c>
      <c r="U17" s="142">
        <v>0</v>
      </c>
      <c r="V17" s="143">
        <v>0</v>
      </c>
      <c r="W17" s="144">
        <v>0</v>
      </c>
      <c r="X17" s="148">
        <v>0</v>
      </c>
      <c r="Y17" s="149">
        <v>175</v>
      </c>
      <c r="Z17" s="150">
        <v>140</v>
      </c>
      <c r="AA17" s="151">
        <v>0</v>
      </c>
      <c r="AB17" s="152">
        <v>1</v>
      </c>
      <c r="AC17" s="153">
        <v>1</v>
      </c>
    </row>
    <row r="18" customFormat="1" ht="22.5" customHeight="1" spans="1:29">
      <c r="A18" s="138">
        <v>11751</v>
      </c>
      <c r="B18" s="139" t="s">
        <v>64</v>
      </c>
      <c r="C18" s="140">
        <v>46041</v>
      </c>
      <c r="D18" s="141" t="s">
        <v>65</v>
      </c>
      <c r="E18" s="141" t="s">
        <v>65</v>
      </c>
      <c r="F18" s="141" t="s">
        <v>66</v>
      </c>
      <c r="G18" s="141" t="s">
        <v>32</v>
      </c>
      <c r="H18" s="141">
        <f>IF(_xlfn.XLOOKUP(A18,[1]分配表!L:L,[1]分配表!O:O)=0,"未出单",_xlfn.XLOOKUP(A18,[1]分配表!L:L,[1]分配表!O:O))</f>
        <v>46043</v>
      </c>
      <c r="I18" s="142">
        <v>1</v>
      </c>
      <c r="J18" s="143">
        <v>3</v>
      </c>
      <c r="K18" s="144">
        <v>1</v>
      </c>
      <c r="L18" s="142" t="s">
        <v>39</v>
      </c>
      <c r="M18" s="145" t="s">
        <v>39</v>
      </c>
      <c r="N18" s="146" t="s">
        <v>39</v>
      </c>
      <c r="O18" s="145" t="s">
        <v>36</v>
      </c>
      <c r="P18" s="145" t="s">
        <v>40</v>
      </c>
      <c r="Q18" s="147" t="s">
        <v>40</v>
      </c>
      <c r="R18" s="143">
        <v>2</v>
      </c>
      <c r="S18" s="143">
        <v>24</v>
      </c>
      <c r="T18" s="144">
        <v>40</v>
      </c>
      <c r="U18" s="142">
        <v>6</v>
      </c>
      <c r="V18" s="143">
        <v>10</v>
      </c>
      <c r="W18" s="144">
        <v>9</v>
      </c>
      <c r="X18" s="148">
        <v>138</v>
      </c>
      <c r="Y18" s="149">
        <v>1652.55</v>
      </c>
      <c r="Z18" s="150">
        <v>2761.5</v>
      </c>
      <c r="AA18" s="151">
        <v>0.25</v>
      </c>
      <c r="AB18" s="152">
        <v>0.705882352941177</v>
      </c>
      <c r="AC18" s="153">
        <v>0.816326530612245</v>
      </c>
    </row>
    <row r="19" customFormat="1" ht="22.5" customHeight="1" spans="1:29">
      <c r="A19" s="138">
        <v>11830</v>
      </c>
      <c r="B19" s="139" t="s">
        <v>67</v>
      </c>
      <c r="C19" s="140">
        <v>46041</v>
      </c>
      <c r="D19" s="141" t="s">
        <v>65</v>
      </c>
      <c r="E19" s="141" t="s">
        <v>65</v>
      </c>
      <c r="F19" s="141" t="s">
        <v>66</v>
      </c>
      <c r="G19" s="141" t="s">
        <v>32</v>
      </c>
      <c r="H19" s="141">
        <f>IF(_xlfn.XLOOKUP(A19,[1]分配表!L:L,[1]分配表!O:O)=0,"未出单",_xlfn.XLOOKUP(A19,[1]分配表!L:L,[1]分配表!O:O))</f>
        <v>46054</v>
      </c>
      <c r="I19" s="142">
        <v>1</v>
      </c>
      <c r="J19" s="143">
        <v>3</v>
      </c>
      <c r="K19" s="144">
        <v>1</v>
      </c>
      <c r="L19" s="142" t="s">
        <v>33</v>
      </c>
      <c r="M19" s="145" t="s">
        <v>34</v>
      </c>
      <c r="N19" s="146" t="s">
        <v>34</v>
      </c>
      <c r="O19" s="145" t="s">
        <v>43</v>
      </c>
      <c r="P19" s="145" t="s">
        <v>43</v>
      </c>
      <c r="Q19" s="147" t="s">
        <v>40</v>
      </c>
      <c r="R19" s="143">
        <v>0</v>
      </c>
      <c r="S19" s="143">
        <v>21</v>
      </c>
      <c r="T19" s="144">
        <v>22</v>
      </c>
      <c r="U19" s="142">
        <v>0</v>
      </c>
      <c r="V19" s="143">
        <v>1</v>
      </c>
      <c r="W19" s="144">
        <v>0</v>
      </c>
      <c r="X19" s="148">
        <v>0</v>
      </c>
      <c r="Y19" s="149">
        <v>1239</v>
      </c>
      <c r="Z19" s="150">
        <v>1298</v>
      </c>
      <c r="AA19" s="151">
        <v>0</v>
      </c>
      <c r="AB19" s="152">
        <v>0.954545454545455</v>
      </c>
      <c r="AC19" s="153">
        <v>1</v>
      </c>
    </row>
    <row r="20" customFormat="1" ht="22.5" customHeight="1" spans="1:29">
      <c r="A20" s="138">
        <v>11736</v>
      </c>
      <c r="B20" s="139" t="s">
        <v>68</v>
      </c>
      <c r="C20" s="140">
        <v>46042</v>
      </c>
      <c r="D20" s="141" t="s">
        <v>49</v>
      </c>
      <c r="E20" s="141" t="s">
        <v>49</v>
      </c>
      <c r="F20" s="141" t="s">
        <v>38</v>
      </c>
      <c r="G20" s="141" t="s">
        <v>32</v>
      </c>
      <c r="H20" s="141">
        <f>IF(_xlfn.XLOOKUP(A20,[1]分配表!L:L,[1]分配表!O:O)=0,"未出单",_xlfn.XLOOKUP(A20,[1]分配表!L:L,[1]分配表!O:O))</f>
        <v>46065</v>
      </c>
      <c r="I20" s="142">
        <v>2</v>
      </c>
      <c r="J20" s="143">
        <v>5</v>
      </c>
      <c r="K20" s="144">
        <v>7</v>
      </c>
      <c r="L20" s="142" t="s">
        <v>33</v>
      </c>
      <c r="M20" s="145" t="s">
        <v>34</v>
      </c>
      <c r="N20" s="146" t="s">
        <v>34</v>
      </c>
      <c r="O20" s="145" t="s">
        <v>36</v>
      </c>
      <c r="P20" s="145" t="s">
        <v>36</v>
      </c>
      <c r="Q20" s="147" t="s">
        <v>40</v>
      </c>
      <c r="R20" s="143">
        <v>0</v>
      </c>
      <c r="S20" s="143">
        <v>8</v>
      </c>
      <c r="T20" s="144">
        <v>13</v>
      </c>
      <c r="U20" s="142">
        <v>2</v>
      </c>
      <c r="V20" s="143">
        <v>15</v>
      </c>
      <c r="W20" s="144">
        <v>7</v>
      </c>
      <c r="X20" s="148">
        <v>0</v>
      </c>
      <c r="Y20" s="149">
        <v>839.95</v>
      </c>
      <c r="Z20" s="150">
        <v>1392</v>
      </c>
      <c r="AA20" s="151">
        <v>0</v>
      </c>
      <c r="AB20" s="152">
        <v>0.347826086956522</v>
      </c>
      <c r="AC20" s="153">
        <v>0.65</v>
      </c>
    </row>
    <row r="21" customFormat="1" ht="22.5" customHeight="1" spans="1:29">
      <c r="A21" s="138">
        <v>11745</v>
      </c>
      <c r="B21" s="139" t="s">
        <v>69</v>
      </c>
      <c r="C21" s="140">
        <v>46042</v>
      </c>
      <c r="D21" s="141" t="s">
        <v>30</v>
      </c>
      <c r="E21" s="141" t="s">
        <v>30</v>
      </c>
      <c r="F21" s="141" t="s">
        <v>31</v>
      </c>
      <c r="G21" s="141" t="s">
        <v>32</v>
      </c>
      <c r="H21" s="141">
        <f>IF(_xlfn.XLOOKUP(A21,[1]分配表!L:L,[1]分配表!O:O)=0,"未出单",_xlfn.XLOOKUP(A21,[1]分配表!L:L,[1]分配表!O:O))</f>
        <v>46047</v>
      </c>
      <c r="I21" s="142">
        <v>2</v>
      </c>
      <c r="J21" s="143">
        <v>4</v>
      </c>
      <c r="K21" s="144">
        <v>4</v>
      </c>
      <c r="L21" s="142" t="s">
        <v>39</v>
      </c>
      <c r="M21" s="145" t="s">
        <v>39</v>
      </c>
      <c r="N21" s="146" t="s">
        <v>39</v>
      </c>
      <c r="O21" s="145" t="s">
        <v>50</v>
      </c>
      <c r="P21" s="145" t="s">
        <v>36</v>
      </c>
      <c r="Q21" s="147" t="s">
        <v>36</v>
      </c>
      <c r="R21" s="143">
        <v>1</v>
      </c>
      <c r="S21" s="143">
        <v>3</v>
      </c>
      <c r="T21" s="144">
        <v>9</v>
      </c>
      <c r="U21" s="142">
        <v>3</v>
      </c>
      <c r="V21" s="143">
        <v>14</v>
      </c>
      <c r="W21" s="144">
        <v>13</v>
      </c>
      <c r="X21" s="148">
        <v>80</v>
      </c>
      <c r="Y21" s="149">
        <v>240</v>
      </c>
      <c r="Z21" s="150">
        <v>697.93</v>
      </c>
      <c r="AA21" s="151">
        <v>0.25</v>
      </c>
      <c r="AB21" s="152">
        <v>0.176470588235294</v>
      </c>
      <c r="AC21" s="153">
        <v>0.409090909090909</v>
      </c>
    </row>
    <row r="22" customFormat="1" ht="22.5" customHeight="1" spans="1:29">
      <c r="A22" s="138">
        <v>11777</v>
      </c>
      <c r="B22" s="139" t="s">
        <v>70</v>
      </c>
      <c r="C22" s="140">
        <v>46042</v>
      </c>
      <c r="D22" s="141" t="s">
        <v>30</v>
      </c>
      <c r="E22" s="141" t="s">
        <v>30</v>
      </c>
      <c r="F22" s="141" t="s">
        <v>31</v>
      </c>
      <c r="G22" s="141" t="s">
        <v>32</v>
      </c>
      <c r="H22" s="141">
        <f>IF(_xlfn.XLOOKUP(A22,[1]分配表!L:L,[1]分配表!O:O)=0,"未出单",_xlfn.XLOOKUP(A22,[1]分配表!L:L,[1]分配表!O:O))</f>
        <v>46065</v>
      </c>
      <c r="I22" s="142">
        <v>1</v>
      </c>
      <c r="J22" s="143">
        <v>2</v>
      </c>
      <c r="K22" s="144">
        <v>3</v>
      </c>
      <c r="L22" s="142" t="s">
        <v>33</v>
      </c>
      <c r="M22" s="145" t="s">
        <v>34</v>
      </c>
      <c r="N22" s="146" t="s">
        <v>34</v>
      </c>
      <c r="O22" s="145" t="s">
        <v>43</v>
      </c>
      <c r="P22" s="145" t="s">
        <v>43</v>
      </c>
      <c r="Q22" s="147" t="s">
        <v>40</v>
      </c>
      <c r="R22" s="143">
        <v>0</v>
      </c>
      <c r="S22" s="143">
        <v>2</v>
      </c>
      <c r="T22" s="144">
        <v>7</v>
      </c>
      <c r="U22" s="142">
        <v>0</v>
      </c>
      <c r="V22" s="143">
        <v>0</v>
      </c>
      <c r="W22" s="144">
        <v>0</v>
      </c>
      <c r="X22" s="148">
        <v>0</v>
      </c>
      <c r="Y22" s="149">
        <v>430</v>
      </c>
      <c r="Z22" s="150">
        <v>1485</v>
      </c>
      <c r="AA22" s="151">
        <v>0</v>
      </c>
      <c r="AB22" s="152">
        <v>1</v>
      </c>
      <c r="AC22" s="153">
        <v>1</v>
      </c>
    </row>
    <row r="23" customFormat="1" ht="22.5" customHeight="1" spans="1:29">
      <c r="A23" s="138">
        <v>11778</v>
      </c>
      <c r="B23" s="139" t="s">
        <v>71</v>
      </c>
      <c r="C23" s="140">
        <v>46042</v>
      </c>
      <c r="D23" s="141" t="s">
        <v>45</v>
      </c>
      <c r="E23" s="141" t="s">
        <v>45</v>
      </c>
      <c r="F23" s="141" t="s">
        <v>46</v>
      </c>
      <c r="G23" s="141" t="s">
        <v>32</v>
      </c>
      <c r="H23" s="141">
        <f>IF(_xlfn.XLOOKUP(A23,[1]分配表!L:L,[1]分配表!O:O)=0,"未出单",_xlfn.XLOOKUP(A23,[1]分配表!L:L,[1]分配表!O:O))</f>
        <v>46095</v>
      </c>
      <c r="I23" s="142">
        <v>2</v>
      </c>
      <c r="J23" s="143">
        <v>3</v>
      </c>
      <c r="K23" s="144">
        <v>2</v>
      </c>
      <c r="L23" s="142" t="s">
        <v>33</v>
      </c>
      <c r="M23" s="145" t="s">
        <v>33</v>
      </c>
      <c r="N23" s="146" t="s">
        <v>34</v>
      </c>
      <c r="O23" s="145" t="s">
        <v>43</v>
      </c>
      <c r="P23" s="145" t="s">
        <v>43</v>
      </c>
      <c r="Q23" s="147" t="s">
        <v>43</v>
      </c>
      <c r="R23" s="143">
        <v>0</v>
      </c>
      <c r="S23" s="143">
        <v>0</v>
      </c>
      <c r="T23" s="144">
        <v>1</v>
      </c>
      <c r="U23" s="142">
        <v>0</v>
      </c>
      <c r="V23" s="143">
        <v>0</v>
      </c>
      <c r="W23" s="144">
        <v>0</v>
      </c>
      <c r="X23" s="148">
        <v>0</v>
      </c>
      <c r="Y23" s="149">
        <v>0</v>
      </c>
      <c r="Z23" s="150">
        <v>398</v>
      </c>
      <c r="AA23" s="151">
        <v>0</v>
      </c>
      <c r="AB23" s="152">
        <v>0</v>
      </c>
      <c r="AC23" s="153">
        <v>1</v>
      </c>
    </row>
    <row r="24" customFormat="1" ht="22.5" customHeight="1" spans="1:29">
      <c r="A24" s="138">
        <v>11780</v>
      </c>
      <c r="B24" s="139" t="s">
        <v>72</v>
      </c>
      <c r="C24" s="140">
        <v>46042</v>
      </c>
      <c r="D24" s="141" t="s">
        <v>45</v>
      </c>
      <c r="E24" s="141" t="s">
        <v>45</v>
      </c>
      <c r="F24" s="141" t="s">
        <v>46</v>
      </c>
      <c r="G24" s="141" t="s">
        <v>47</v>
      </c>
      <c r="H24" s="141">
        <f>IF(_xlfn.XLOOKUP(A24,[1]分配表!L:L,[1]分配表!O:O)=0,"未出单",_xlfn.XLOOKUP(A24,[1]分配表!L:L,[1]分配表!O:O))</f>
        <v>46044</v>
      </c>
      <c r="I24" s="142">
        <v>1</v>
      </c>
      <c r="J24" s="143">
        <v>2</v>
      </c>
      <c r="K24" s="144">
        <v>1</v>
      </c>
      <c r="L24" s="142" t="s">
        <v>39</v>
      </c>
      <c r="M24" s="145" t="s">
        <v>39</v>
      </c>
      <c r="N24" s="146" t="s">
        <v>39</v>
      </c>
      <c r="O24" s="145" t="s">
        <v>43</v>
      </c>
      <c r="P24" s="145" t="s">
        <v>35</v>
      </c>
      <c r="Q24" s="147" t="s">
        <v>35</v>
      </c>
      <c r="R24" s="143">
        <v>0</v>
      </c>
      <c r="S24" s="143">
        <v>1</v>
      </c>
      <c r="T24" s="144">
        <v>0</v>
      </c>
      <c r="U24" s="142">
        <v>0</v>
      </c>
      <c r="V24" s="143">
        <v>0</v>
      </c>
      <c r="W24" s="144">
        <v>0</v>
      </c>
      <c r="X24" s="148">
        <v>0</v>
      </c>
      <c r="Y24" s="149">
        <v>160</v>
      </c>
      <c r="Z24" s="150">
        <v>0</v>
      </c>
      <c r="AA24" s="151">
        <v>0</v>
      </c>
      <c r="AB24" s="152">
        <v>1</v>
      </c>
      <c r="AC24" s="153" t="s">
        <v>62</v>
      </c>
    </row>
    <row r="25" customFormat="1" ht="22.5" customHeight="1" spans="1:29">
      <c r="A25" s="138">
        <v>11781</v>
      </c>
      <c r="B25" s="139" t="s">
        <v>73</v>
      </c>
      <c r="C25" s="140">
        <v>46042</v>
      </c>
      <c r="D25" s="141" t="s">
        <v>49</v>
      </c>
      <c r="E25" s="141" t="s">
        <v>49</v>
      </c>
      <c r="F25" s="141" t="s">
        <v>46</v>
      </c>
      <c r="G25" s="141" t="s">
        <v>47</v>
      </c>
      <c r="H25" s="141">
        <f>IF(_xlfn.XLOOKUP(A25,[1]分配表!L:L,[1]分配表!O:O)=0,"未出单",_xlfn.XLOOKUP(A25,[1]分配表!L:L,[1]分配表!O:O))</f>
        <v>46062</v>
      </c>
      <c r="I25" s="142">
        <v>2</v>
      </c>
      <c r="J25" s="143">
        <v>5</v>
      </c>
      <c r="K25" s="144">
        <v>5</v>
      </c>
      <c r="L25" s="142" t="s">
        <v>33</v>
      </c>
      <c r="M25" s="145" t="s">
        <v>34</v>
      </c>
      <c r="N25" s="146" t="s">
        <v>34</v>
      </c>
      <c r="O25" s="145" t="s">
        <v>36</v>
      </c>
      <c r="P25" s="145" t="s">
        <v>36</v>
      </c>
      <c r="Q25" s="147" t="s">
        <v>36</v>
      </c>
      <c r="R25" s="143">
        <v>0</v>
      </c>
      <c r="S25" s="143">
        <v>2</v>
      </c>
      <c r="T25" s="144">
        <v>17</v>
      </c>
      <c r="U25" s="142">
        <v>3</v>
      </c>
      <c r="V25" s="143">
        <v>19</v>
      </c>
      <c r="W25" s="144">
        <v>21</v>
      </c>
      <c r="X25" s="148">
        <v>0</v>
      </c>
      <c r="Y25" s="149">
        <v>60</v>
      </c>
      <c r="Z25" s="150">
        <v>519</v>
      </c>
      <c r="AA25" s="151">
        <v>0</v>
      </c>
      <c r="AB25" s="152">
        <v>0.0952380952380952</v>
      </c>
      <c r="AC25" s="153">
        <v>0.447368421052632</v>
      </c>
    </row>
    <row r="26" customFormat="1" ht="22.5" customHeight="1" spans="1:29">
      <c r="A26" s="138">
        <v>11792</v>
      </c>
      <c r="B26" s="139" t="s">
        <v>74</v>
      </c>
      <c r="C26" s="140">
        <v>46042</v>
      </c>
      <c r="D26" s="141" t="s">
        <v>45</v>
      </c>
      <c r="E26" s="141" t="s">
        <v>45</v>
      </c>
      <c r="F26" s="141" t="s">
        <v>46</v>
      </c>
      <c r="G26" s="141" t="s">
        <v>47</v>
      </c>
      <c r="H26" s="141">
        <f>IF(_xlfn.XLOOKUP(A26,[1]分配表!L:L,[1]分配表!O:O)=0,"未出单",_xlfn.XLOOKUP(A26,[1]分配表!L:L,[1]分配表!O:O))</f>
        <v>46051</v>
      </c>
      <c r="I26" s="142">
        <v>2</v>
      </c>
      <c r="J26" s="143">
        <v>2</v>
      </c>
      <c r="K26" s="144">
        <v>1</v>
      </c>
      <c r="L26" s="142" t="s">
        <v>34</v>
      </c>
      <c r="M26" s="145" t="s">
        <v>34</v>
      </c>
      <c r="N26" s="146" t="s">
        <v>34</v>
      </c>
      <c r="O26" s="145" t="s">
        <v>40</v>
      </c>
      <c r="P26" s="145" t="s">
        <v>35</v>
      </c>
      <c r="Q26" s="147" t="s">
        <v>40</v>
      </c>
      <c r="R26" s="143">
        <v>1</v>
      </c>
      <c r="S26" s="143">
        <v>2</v>
      </c>
      <c r="T26" s="144">
        <v>3</v>
      </c>
      <c r="U26" s="142">
        <v>0</v>
      </c>
      <c r="V26" s="143">
        <v>0</v>
      </c>
      <c r="W26" s="144">
        <v>0</v>
      </c>
      <c r="X26" s="148">
        <v>160</v>
      </c>
      <c r="Y26" s="149">
        <v>292.8</v>
      </c>
      <c r="Z26" s="150">
        <v>428.7</v>
      </c>
      <c r="AA26" s="151">
        <v>1</v>
      </c>
      <c r="AB26" s="152">
        <v>1</v>
      </c>
      <c r="AC26" s="153">
        <v>1</v>
      </c>
    </row>
    <row r="27" customFormat="1" ht="22.5" customHeight="1" spans="1:29">
      <c r="A27" s="138">
        <v>11793</v>
      </c>
      <c r="B27" s="139" t="s">
        <v>75</v>
      </c>
      <c r="C27" s="140">
        <v>46042</v>
      </c>
      <c r="D27" s="141" t="s">
        <v>49</v>
      </c>
      <c r="E27" s="141" t="s">
        <v>49</v>
      </c>
      <c r="F27" s="141" t="s">
        <v>46</v>
      </c>
      <c r="G27" s="141" t="s">
        <v>47</v>
      </c>
      <c r="H27" s="141">
        <f>IF(_xlfn.XLOOKUP(A27,[1]分配表!L:L,[1]分配表!O:O)=0,"未出单",_xlfn.XLOOKUP(A27,[1]分配表!L:L,[1]分配表!O:O))</f>
        <v>46062</v>
      </c>
      <c r="I27" s="142">
        <v>2</v>
      </c>
      <c r="J27" s="143">
        <v>5</v>
      </c>
      <c r="K27" s="144">
        <v>6</v>
      </c>
      <c r="L27" s="142" t="s">
        <v>33</v>
      </c>
      <c r="M27" s="145" t="s">
        <v>34</v>
      </c>
      <c r="N27" s="146" t="s">
        <v>34</v>
      </c>
      <c r="O27" s="145" t="s">
        <v>36</v>
      </c>
      <c r="P27" s="145" t="s">
        <v>43</v>
      </c>
      <c r="Q27" s="147" t="s">
        <v>50</v>
      </c>
      <c r="R27" s="143">
        <v>0</v>
      </c>
      <c r="S27" s="143">
        <v>2</v>
      </c>
      <c r="T27" s="144">
        <v>8</v>
      </c>
      <c r="U27" s="142">
        <v>1</v>
      </c>
      <c r="V27" s="143">
        <v>2</v>
      </c>
      <c r="W27" s="144">
        <v>1</v>
      </c>
      <c r="X27" s="148">
        <v>0</v>
      </c>
      <c r="Y27" s="149">
        <v>69</v>
      </c>
      <c r="Z27" s="150">
        <v>249</v>
      </c>
      <c r="AA27" s="151">
        <v>0</v>
      </c>
      <c r="AB27" s="152">
        <v>0.5</v>
      </c>
      <c r="AC27" s="153">
        <v>0.888888888888889</v>
      </c>
    </row>
    <row r="28" customFormat="1" ht="22.5" customHeight="1" spans="1:29">
      <c r="A28" s="138">
        <v>11904</v>
      </c>
      <c r="B28" s="139" t="s">
        <v>76</v>
      </c>
      <c r="C28" s="140">
        <v>46042</v>
      </c>
      <c r="D28" s="141" t="s">
        <v>49</v>
      </c>
      <c r="E28" s="141" t="s">
        <v>49</v>
      </c>
      <c r="F28" s="141" t="s">
        <v>53</v>
      </c>
      <c r="G28" s="141" t="s">
        <v>32</v>
      </c>
      <c r="H28" s="141">
        <f>IF(_xlfn.XLOOKUP(A28,[1]分配表!L:L,[1]分配表!O:O)=0,"未出单",_xlfn.XLOOKUP(A28,[1]分配表!L:L,[1]分配表!O:O))</f>
        <v>46050</v>
      </c>
      <c r="I28" s="142">
        <v>4</v>
      </c>
      <c r="J28" s="143">
        <v>5</v>
      </c>
      <c r="K28" s="144">
        <v>4</v>
      </c>
      <c r="L28" s="142" t="s">
        <v>39</v>
      </c>
      <c r="M28" s="145" t="s">
        <v>39</v>
      </c>
      <c r="N28" s="146" t="s">
        <v>39</v>
      </c>
      <c r="O28" s="145" t="s">
        <v>50</v>
      </c>
      <c r="P28" s="145" t="s">
        <v>36</v>
      </c>
      <c r="Q28" s="147" t="s">
        <v>36</v>
      </c>
      <c r="R28" s="143">
        <v>1</v>
      </c>
      <c r="S28" s="143">
        <v>3</v>
      </c>
      <c r="T28" s="144">
        <v>12</v>
      </c>
      <c r="U28" s="142">
        <v>0</v>
      </c>
      <c r="V28" s="143">
        <v>6</v>
      </c>
      <c r="W28" s="144">
        <v>9</v>
      </c>
      <c r="X28" s="148">
        <v>94.5</v>
      </c>
      <c r="Y28" s="149">
        <v>249.75</v>
      </c>
      <c r="Z28" s="150">
        <v>927.68</v>
      </c>
      <c r="AA28" s="151">
        <v>1</v>
      </c>
      <c r="AB28" s="152">
        <v>0.333333333333333</v>
      </c>
      <c r="AC28" s="153">
        <v>0.571428571428571</v>
      </c>
    </row>
    <row r="29" customFormat="1" ht="22.5" customHeight="1" spans="1:29">
      <c r="A29" s="138">
        <v>11756</v>
      </c>
      <c r="B29" s="139" t="s">
        <v>77</v>
      </c>
      <c r="C29" s="140">
        <v>46043</v>
      </c>
      <c r="D29" s="141" t="s">
        <v>45</v>
      </c>
      <c r="E29" s="141" t="s">
        <v>45</v>
      </c>
      <c r="F29" s="141" t="s">
        <v>46</v>
      </c>
      <c r="G29" s="141" t="s">
        <v>47</v>
      </c>
      <c r="H29" s="141">
        <f>IF(_xlfn.XLOOKUP(A29,[1]分配表!L:L,[1]分配表!O:O)=0,"未出单",_xlfn.XLOOKUP(A29,[1]分配表!L:L,[1]分配表!O:O))</f>
        <v>46059</v>
      </c>
      <c r="I29" s="142">
        <v>2</v>
      </c>
      <c r="J29" s="143">
        <v>4</v>
      </c>
      <c r="K29" s="144">
        <v>3</v>
      </c>
      <c r="L29" s="142" t="s">
        <v>33</v>
      </c>
      <c r="M29" s="145" t="s">
        <v>34</v>
      </c>
      <c r="N29" s="146" t="s">
        <v>34</v>
      </c>
      <c r="O29" s="145" t="s">
        <v>43</v>
      </c>
      <c r="P29" s="145" t="s">
        <v>43</v>
      </c>
      <c r="Q29" s="147" t="s">
        <v>43</v>
      </c>
      <c r="R29" s="143">
        <v>0</v>
      </c>
      <c r="S29" s="143">
        <v>2</v>
      </c>
      <c r="T29" s="144">
        <v>0</v>
      </c>
      <c r="U29" s="142">
        <v>0</v>
      </c>
      <c r="V29" s="143">
        <v>0</v>
      </c>
      <c r="W29" s="144">
        <v>0</v>
      </c>
      <c r="X29" s="148">
        <v>0</v>
      </c>
      <c r="Y29" s="149">
        <v>596</v>
      </c>
      <c r="Z29" s="150">
        <v>0</v>
      </c>
      <c r="AA29" s="151">
        <v>0</v>
      </c>
      <c r="AB29" s="152">
        <v>1</v>
      </c>
      <c r="AC29" s="153" t="s">
        <v>62</v>
      </c>
    </row>
    <row r="30" customFormat="1" ht="22.5" customHeight="1" spans="1:29">
      <c r="A30" s="138">
        <v>11757</v>
      </c>
      <c r="B30" s="139" t="s">
        <v>78</v>
      </c>
      <c r="C30" s="140">
        <v>46043</v>
      </c>
      <c r="D30" s="141" t="s">
        <v>30</v>
      </c>
      <c r="E30" s="141" t="s">
        <v>30</v>
      </c>
      <c r="F30" s="141" t="s">
        <v>66</v>
      </c>
      <c r="G30" s="141" t="s">
        <v>47</v>
      </c>
      <c r="H30" s="141">
        <f>IF(_xlfn.XLOOKUP(A30,[1]分配表!L:L,[1]分配表!O:O)=0,"未出单",_xlfn.XLOOKUP(A30,[1]分配表!L:L,[1]分配表!O:O))</f>
        <v>46045</v>
      </c>
      <c r="I30" s="142">
        <v>2</v>
      </c>
      <c r="J30" s="143">
        <v>2</v>
      </c>
      <c r="K30" s="144">
        <v>2</v>
      </c>
      <c r="L30" s="142" t="s">
        <v>39</v>
      </c>
      <c r="M30" s="145" t="s">
        <v>39</v>
      </c>
      <c r="N30" s="146" t="s">
        <v>39</v>
      </c>
      <c r="O30" s="145" t="s">
        <v>40</v>
      </c>
      <c r="P30" s="145" t="s">
        <v>35</v>
      </c>
      <c r="Q30" s="147" t="s">
        <v>36</v>
      </c>
      <c r="R30" s="143">
        <v>3</v>
      </c>
      <c r="S30" s="143">
        <v>10</v>
      </c>
      <c r="T30" s="144">
        <v>9</v>
      </c>
      <c r="U30" s="142">
        <v>0</v>
      </c>
      <c r="V30" s="143">
        <v>0</v>
      </c>
      <c r="W30" s="144">
        <v>0</v>
      </c>
      <c r="X30" s="148">
        <v>144</v>
      </c>
      <c r="Y30" s="149">
        <v>480</v>
      </c>
      <c r="Z30" s="150">
        <v>432</v>
      </c>
      <c r="AA30" s="151">
        <v>1</v>
      </c>
      <c r="AB30" s="152">
        <v>1</v>
      </c>
      <c r="AC30" s="153">
        <v>1</v>
      </c>
    </row>
    <row r="31" customFormat="1" ht="22.5" customHeight="1" spans="1:29">
      <c r="A31" s="138">
        <v>11758</v>
      </c>
      <c r="B31" s="139" t="s">
        <v>79</v>
      </c>
      <c r="C31" s="140">
        <v>46043</v>
      </c>
      <c r="D31" s="141" t="s">
        <v>30</v>
      </c>
      <c r="E31" s="141" t="s">
        <v>30</v>
      </c>
      <c r="F31" s="141" t="s">
        <v>66</v>
      </c>
      <c r="G31" s="141" t="s">
        <v>32</v>
      </c>
      <c r="H31" s="141">
        <f>IF(_xlfn.XLOOKUP(A31,[1]分配表!L:L,[1]分配表!O:O)=0,"未出单",_xlfn.XLOOKUP(A31,[1]分配表!L:L,[1]分配表!O:O))</f>
        <v>46044</v>
      </c>
      <c r="I31" s="142">
        <v>2</v>
      </c>
      <c r="J31" s="143">
        <v>2</v>
      </c>
      <c r="K31" s="144">
        <v>2</v>
      </c>
      <c r="L31" s="142" t="s">
        <v>39</v>
      </c>
      <c r="M31" s="145" t="s">
        <v>39</v>
      </c>
      <c r="N31" s="146" t="s">
        <v>39</v>
      </c>
      <c r="O31" s="145" t="s">
        <v>36</v>
      </c>
      <c r="P31" s="145" t="s">
        <v>36</v>
      </c>
      <c r="Q31" s="147" t="s">
        <v>36</v>
      </c>
      <c r="R31" s="143">
        <v>2</v>
      </c>
      <c r="S31" s="143">
        <v>16</v>
      </c>
      <c r="T31" s="144">
        <v>11</v>
      </c>
      <c r="U31" s="142">
        <v>4</v>
      </c>
      <c r="V31" s="143">
        <v>11</v>
      </c>
      <c r="W31" s="144">
        <v>24</v>
      </c>
      <c r="X31" s="148">
        <v>96</v>
      </c>
      <c r="Y31" s="149">
        <v>768</v>
      </c>
      <c r="Z31" s="150">
        <v>519</v>
      </c>
      <c r="AA31" s="151">
        <v>0.333333333333333</v>
      </c>
      <c r="AB31" s="152">
        <v>0.592592592592593</v>
      </c>
      <c r="AC31" s="153">
        <v>0.314285714285714</v>
      </c>
    </row>
    <row r="32" customFormat="1" ht="22.5" customHeight="1" spans="1:29">
      <c r="A32" s="138">
        <v>11808</v>
      </c>
      <c r="B32" s="139" t="s">
        <v>80</v>
      </c>
      <c r="C32" s="140">
        <v>46043</v>
      </c>
      <c r="D32" s="141" t="s">
        <v>30</v>
      </c>
      <c r="E32" s="141" t="s">
        <v>30</v>
      </c>
      <c r="F32" s="141" t="s">
        <v>66</v>
      </c>
      <c r="G32" s="141" t="s">
        <v>47</v>
      </c>
      <c r="H32" s="141">
        <f>IF(_xlfn.XLOOKUP(A32,[1]分配表!L:L,[1]分配表!O:O)=0,"未出单",_xlfn.XLOOKUP(A32,[1]分配表!L:L,[1]分配表!O:O))</f>
        <v>46069</v>
      </c>
      <c r="I32" s="142">
        <v>2</v>
      </c>
      <c r="J32" s="143">
        <v>4</v>
      </c>
      <c r="K32" s="144">
        <v>2</v>
      </c>
      <c r="L32" s="142" t="s">
        <v>33</v>
      </c>
      <c r="M32" s="145" t="s">
        <v>34</v>
      </c>
      <c r="N32" s="146" t="s">
        <v>34</v>
      </c>
      <c r="O32" s="145" t="s">
        <v>36</v>
      </c>
      <c r="P32" s="145" t="s">
        <v>36</v>
      </c>
      <c r="Q32" s="147" t="s">
        <v>36</v>
      </c>
      <c r="R32" s="143">
        <v>0</v>
      </c>
      <c r="S32" s="143">
        <v>1</v>
      </c>
      <c r="T32" s="144">
        <v>7</v>
      </c>
      <c r="U32" s="142">
        <v>1</v>
      </c>
      <c r="V32" s="143">
        <v>8</v>
      </c>
      <c r="W32" s="144">
        <v>11</v>
      </c>
      <c r="X32" s="148">
        <v>0</v>
      </c>
      <c r="Y32" s="149">
        <v>48</v>
      </c>
      <c r="Z32" s="150">
        <v>336</v>
      </c>
      <c r="AA32" s="151">
        <v>0</v>
      </c>
      <c r="AB32" s="152">
        <v>0.111111111111111</v>
      </c>
      <c r="AC32" s="153">
        <v>0.388888888888889</v>
      </c>
    </row>
    <row r="33" customFormat="1" ht="22.5" customHeight="1" spans="1:37">
      <c r="A33" s="138">
        <v>11809</v>
      </c>
      <c r="B33" s="139" t="s">
        <v>81</v>
      </c>
      <c r="C33" s="140">
        <v>46043</v>
      </c>
      <c r="D33" s="141" t="s">
        <v>30</v>
      </c>
      <c r="E33" s="141" t="s">
        <v>30</v>
      </c>
      <c r="F33" s="141" t="s">
        <v>66</v>
      </c>
      <c r="G33" s="141" t="s">
        <v>32</v>
      </c>
      <c r="H33" s="141">
        <f>IF(_xlfn.XLOOKUP(A33,[1]分配表!L:L,[1]分配表!O:O)=0,"未出单",_xlfn.XLOOKUP(A33,[1]分配表!L:L,[1]分配表!O:O))</f>
        <v>46043</v>
      </c>
      <c r="I33" s="142">
        <v>2</v>
      </c>
      <c r="J33" s="143">
        <v>5</v>
      </c>
      <c r="K33" s="144">
        <v>1</v>
      </c>
      <c r="L33" s="142" t="s">
        <v>39</v>
      </c>
      <c r="M33" s="145" t="s">
        <v>39</v>
      </c>
      <c r="N33" s="146" t="s">
        <v>39</v>
      </c>
      <c r="O33" s="145" t="s">
        <v>36</v>
      </c>
      <c r="P33" s="145" t="s">
        <v>36</v>
      </c>
      <c r="Q33" s="147" t="s">
        <v>40</v>
      </c>
      <c r="R33" s="143">
        <v>2</v>
      </c>
      <c r="S33" s="143">
        <v>12</v>
      </c>
      <c r="T33" s="144">
        <v>16</v>
      </c>
      <c r="U33" s="142">
        <v>6</v>
      </c>
      <c r="V33" s="143">
        <v>12</v>
      </c>
      <c r="W33" s="144">
        <v>9</v>
      </c>
      <c r="X33" s="148">
        <v>100</v>
      </c>
      <c r="Y33" s="149">
        <v>596.34</v>
      </c>
      <c r="Z33" s="150">
        <v>792.46</v>
      </c>
      <c r="AA33" s="151">
        <v>0.25</v>
      </c>
      <c r="AB33" s="152">
        <v>0.5</v>
      </c>
      <c r="AC33" s="153">
        <v>0.64</v>
      </c>
    </row>
    <row r="34" customFormat="1" ht="22.5" customHeight="1" spans="1:37">
      <c r="A34" s="138">
        <v>11823</v>
      </c>
      <c r="B34" s="139" t="s">
        <v>82</v>
      </c>
      <c r="C34" s="140">
        <v>46043</v>
      </c>
      <c r="D34" s="141" t="s">
        <v>65</v>
      </c>
      <c r="E34" s="141" t="s">
        <v>65</v>
      </c>
      <c r="F34" s="141" t="s">
        <v>66</v>
      </c>
      <c r="G34" s="141" t="s">
        <v>32</v>
      </c>
      <c r="H34" s="141">
        <f>IF(_xlfn.XLOOKUP(A34,[1]分配表!L:L,[1]分配表!O:O)=0,"未出单",_xlfn.XLOOKUP(A34,[1]分配表!L:L,[1]分配表!O:O))</f>
        <v>46045</v>
      </c>
      <c r="I34" s="142">
        <v>1</v>
      </c>
      <c r="J34" s="143">
        <v>3</v>
      </c>
      <c r="K34" s="144">
        <v>1</v>
      </c>
      <c r="L34" s="142" t="s">
        <v>39</v>
      </c>
      <c r="M34" s="145" t="s">
        <v>39</v>
      </c>
      <c r="N34" s="146" t="s">
        <v>39</v>
      </c>
      <c r="O34" s="145" t="s">
        <v>40</v>
      </c>
      <c r="P34" s="145" t="s">
        <v>35</v>
      </c>
      <c r="Q34" s="147" t="s">
        <v>36</v>
      </c>
      <c r="R34" s="143">
        <v>5</v>
      </c>
      <c r="S34" s="143">
        <v>9</v>
      </c>
      <c r="T34" s="144">
        <v>5</v>
      </c>
      <c r="U34" s="142">
        <v>0</v>
      </c>
      <c r="V34" s="143">
        <v>0</v>
      </c>
      <c r="W34" s="144">
        <v>2</v>
      </c>
      <c r="X34" s="148">
        <v>225</v>
      </c>
      <c r="Y34" s="149">
        <v>412.5</v>
      </c>
      <c r="Z34" s="150">
        <v>231</v>
      </c>
      <c r="AA34" s="151">
        <v>1</v>
      </c>
      <c r="AB34" s="152">
        <v>1</v>
      </c>
      <c r="AC34" s="153">
        <v>0.714285714285714</v>
      </c>
    </row>
    <row r="35" customFormat="1" ht="22.5" customHeight="1" spans="1:37">
      <c r="A35" s="138">
        <v>11814</v>
      </c>
      <c r="B35" s="139" t="s">
        <v>83</v>
      </c>
      <c r="C35" s="140">
        <v>46043</v>
      </c>
      <c r="D35" s="141" t="s">
        <v>30</v>
      </c>
      <c r="E35" s="141" t="s">
        <v>30</v>
      </c>
      <c r="F35" s="141" t="s">
        <v>66</v>
      </c>
      <c r="G35" s="141" t="s">
        <v>32</v>
      </c>
      <c r="H35" s="141">
        <f>IF(_xlfn.XLOOKUP(A35,[1]分配表!L:L,[1]分配表!O:O)=0,"未出单",_xlfn.XLOOKUP(A35,[1]分配表!L:L,[1]分配表!O:O))</f>
        <v>46066</v>
      </c>
      <c r="I35" s="142">
        <v>4</v>
      </c>
      <c r="J35" s="143">
        <v>1</v>
      </c>
      <c r="K35" s="144">
        <v>3</v>
      </c>
      <c r="L35" s="142" t="s">
        <v>33</v>
      </c>
      <c r="M35" s="145" t="s">
        <v>34</v>
      </c>
      <c r="N35" s="146" t="s">
        <v>34</v>
      </c>
      <c r="O35" s="145" t="s">
        <v>36</v>
      </c>
      <c r="P35" s="145" t="s">
        <v>36</v>
      </c>
      <c r="Q35" s="147" t="s">
        <v>50</v>
      </c>
      <c r="R35" s="143">
        <v>0</v>
      </c>
      <c r="S35" s="143">
        <v>3</v>
      </c>
      <c r="T35" s="144">
        <v>5</v>
      </c>
      <c r="U35" s="142">
        <v>3</v>
      </c>
      <c r="V35" s="143">
        <v>14</v>
      </c>
      <c r="W35" s="144">
        <v>9</v>
      </c>
      <c r="X35" s="148">
        <v>0</v>
      </c>
      <c r="Y35" s="149">
        <v>135</v>
      </c>
      <c r="Z35" s="150">
        <v>225</v>
      </c>
      <c r="AA35" s="151">
        <v>0</v>
      </c>
      <c r="AB35" s="152">
        <v>0.176470588235294</v>
      </c>
      <c r="AC35" s="153">
        <v>0.357142857142857</v>
      </c>
    </row>
    <row r="36" customFormat="1" ht="22.5" customHeight="1" spans="1:37">
      <c r="A36" s="138">
        <v>11815</v>
      </c>
      <c r="B36" s="139" t="s">
        <v>84</v>
      </c>
      <c r="C36" s="140">
        <v>46043</v>
      </c>
      <c r="D36" s="141" t="s">
        <v>30</v>
      </c>
      <c r="E36" s="141" t="s">
        <v>30</v>
      </c>
      <c r="F36" s="141" t="s">
        <v>66</v>
      </c>
      <c r="G36" s="141" t="s">
        <v>32</v>
      </c>
      <c r="H36" s="141">
        <f>IF(_xlfn.XLOOKUP(A36,[1]分配表!L:L,[1]分配表!O:O)=0,"未出单",_xlfn.XLOOKUP(A36,[1]分配表!L:L,[1]分配表!O:O))</f>
        <v>46083</v>
      </c>
      <c r="I36" s="142">
        <v>4</v>
      </c>
      <c r="J36" s="143">
        <v>1</v>
      </c>
      <c r="K36" s="144">
        <v>2</v>
      </c>
      <c r="L36" s="142" t="s">
        <v>33</v>
      </c>
      <c r="M36" s="145" t="s">
        <v>33</v>
      </c>
      <c r="N36" s="146" t="s">
        <v>34</v>
      </c>
      <c r="O36" s="145" t="s">
        <v>36</v>
      </c>
      <c r="P36" s="145" t="s">
        <v>36</v>
      </c>
      <c r="Q36" s="147" t="s">
        <v>36</v>
      </c>
      <c r="R36" s="143">
        <v>0</v>
      </c>
      <c r="S36" s="143">
        <v>0</v>
      </c>
      <c r="T36" s="144">
        <v>2</v>
      </c>
      <c r="U36" s="142">
        <v>2</v>
      </c>
      <c r="V36" s="143">
        <v>5</v>
      </c>
      <c r="W36" s="144">
        <v>10</v>
      </c>
      <c r="X36" s="148">
        <v>0</v>
      </c>
      <c r="Y36" s="149">
        <v>0</v>
      </c>
      <c r="Z36" s="150">
        <v>86</v>
      </c>
      <c r="AA36" s="151">
        <v>0</v>
      </c>
      <c r="AB36" s="152">
        <v>0</v>
      </c>
      <c r="AC36" s="153">
        <v>0.166666666666667</v>
      </c>
    </row>
    <row r="37" customFormat="1" ht="22.5" customHeight="1" spans="1:37">
      <c r="A37" s="138">
        <v>11824</v>
      </c>
      <c r="B37" s="139" t="s">
        <v>85</v>
      </c>
      <c r="C37" s="140">
        <v>46043</v>
      </c>
      <c r="D37" s="141" t="s">
        <v>30</v>
      </c>
      <c r="E37" s="141" t="s">
        <v>30</v>
      </c>
      <c r="F37" s="141" t="s">
        <v>31</v>
      </c>
      <c r="G37" s="141" t="s">
        <v>32</v>
      </c>
      <c r="H37" s="141">
        <f>IF(_xlfn.XLOOKUP(A37,[1]分配表!L:L,[1]分配表!O:O)=0,"未出单",_xlfn.XLOOKUP(A37,[1]分配表!L:L,[1]分配表!O:O))</f>
        <v>46046</v>
      </c>
      <c r="I37" s="142">
        <v>2</v>
      </c>
      <c r="J37" s="143">
        <v>1</v>
      </c>
      <c r="K37" s="144">
        <v>2</v>
      </c>
      <c r="L37" s="142" t="s">
        <v>39</v>
      </c>
      <c r="M37" s="145" t="s">
        <v>39</v>
      </c>
      <c r="N37" s="146" t="s">
        <v>39</v>
      </c>
      <c r="O37" s="145" t="s">
        <v>40</v>
      </c>
      <c r="P37" s="145" t="s">
        <v>35</v>
      </c>
      <c r="Q37" s="147" t="s">
        <v>40</v>
      </c>
      <c r="R37" s="143">
        <v>5</v>
      </c>
      <c r="S37" s="143">
        <v>4</v>
      </c>
      <c r="T37" s="144">
        <v>4</v>
      </c>
      <c r="U37" s="142">
        <v>0</v>
      </c>
      <c r="V37" s="143">
        <v>0</v>
      </c>
      <c r="W37" s="144">
        <v>0</v>
      </c>
      <c r="X37" s="148">
        <v>675</v>
      </c>
      <c r="Y37" s="149">
        <v>540</v>
      </c>
      <c r="Z37" s="150">
        <v>547</v>
      </c>
      <c r="AA37" s="151">
        <v>1</v>
      </c>
      <c r="AB37" s="152">
        <v>1</v>
      </c>
      <c r="AC37" s="153">
        <v>1</v>
      </c>
    </row>
    <row r="38" customFormat="1" ht="22.5" customHeight="1" spans="1:37">
      <c r="A38" s="138">
        <v>11855</v>
      </c>
      <c r="B38" s="139" t="s">
        <v>86</v>
      </c>
      <c r="C38" s="140">
        <v>46043</v>
      </c>
      <c r="D38" s="141" t="s">
        <v>49</v>
      </c>
      <c r="E38" s="141" t="s">
        <v>49</v>
      </c>
      <c r="F38" s="141" t="s">
        <v>38</v>
      </c>
      <c r="G38" s="141" t="s">
        <v>32</v>
      </c>
      <c r="H38" s="141">
        <f>IF(_xlfn.XLOOKUP(A38,[1]分配表!L:L,[1]分配表!O:O)=0,"未出单",_xlfn.XLOOKUP(A38,[1]分配表!L:L,[1]分配表!O:O))</f>
        <v>46072</v>
      </c>
      <c r="I38" s="142">
        <v>1</v>
      </c>
      <c r="J38" s="143">
        <v>3</v>
      </c>
      <c r="K38" s="144">
        <v>2</v>
      </c>
      <c r="L38" s="142" t="s">
        <v>33</v>
      </c>
      <c r="M38" s="145" t="s">
        <v>33</v>
      </c>
      <c r="N38" s="146" t="s">
        <v>34</v>
      </c>
      <c r="O38" s="145" t="s">
        <v>36</v>
      </c>
      <c r="P38" s="145" t="s">
        <v>36</v>
      </c>
      <c r="Q38" s="147" t="s">
        <v>35</v>
      </c>
      <c r="R38" s="143">
        <v>0</v>
      </c>
      <c r="S38" s="143">
        <v>3</v>
      </c>
      <c r="T38" s="144">
        <v>2</v>
      </c>
      <c r="U38" s="142">
        <v>0</v>
      </c>
      <c r="V38" s="143">
        <v>5</v>
      </c>
      <c r="W38" s="144">
        <v>3</v>
      </c>
      <c r="X38" s="148">
        <v>0</v>
      </c>
      <c r="Y38" s="149">
        <v>237</v>
      </c>
      <c r="Z38" s="150">
        <v>158</v>
      </c>
      <c r="AA38" s="151">
        <v>0</v>
      </c>
      <c r="AB38" s="152">
        <v>0.375</v>
      </c>
      <c r="AC38" s="153">
        <v>0.4</v>
      </c>
      <c r="AI38" s="114"/>
      <c r="AJ38" s="114"/>
      <c r="AK38" s="114"/>
    </row>
    <row r="39" customFormat="1" ht="22.5" customHeight="1" spans="1:37">
      <c r="A39" s="138">
        <v>11856</v>
      </c>
      <c r="B39" s="139" t="s">
        <v>87</v>
      </c>
      <c r="C39" s="140">
        <v>46043</v>
      </c>
      <c r="D39" s="141" t="s">
        <v>49</v>
      </c>
      <c r="E39" s="141" t="s">
        <v>49</v>
      </c>
      <c r="F39" s="141" t="s">
        <v>38</v>
      </c>
      <c r="G39" s="141" t="s">
        <v>47</v>
      </c>
      <c r="H39" s="141">
        <f>IF(_xlfn.XLOOKUP(A39,[1]分配表!L:L,[1]分配表!O:O)=0,"未出单",_xlfn.XLOOKUP(A39,[1]分配表!L:L,[1]分配表!O:O))</f>
        <v>46076</v>
      </c>
      <c r="I39" s="142">
        <v>1</v>
      </c>
      <c r="J39" s="143">
        <v>4</v>
      </c>
      <c r="K39" s="144">
        <v>3</v>
      </c>
      <c r="L39" s="142" t="s">
        <v>33</v>
      </c>
      <c r="M39" s="145" t="s">
        <v>33</v>
      </c>
      <c r="N39" s="146" t="s">
        <v>34</v>
      </c>
      <c r="O39" s="145" t="s">
        <v>50</v>
      </c>
      <c r="P39" s="145" t="s">
        <v>36</v>
      </c>
      <c r="Q39" s="147" t="s">
        <v>36</v>
      </c>
      <c r="R39" s="143">
        <v>0</v>
      </c>
      <c r="S39" s="143">
        <v>1</v>
      </c>
      <c r="T39" s="144">
        <v>2</v>
      </c>
      <c r="U39" s="142">
        <v>4</v>
      </c>
      <c r="V39" s="143">
        <v>10</v>
      </c>
      <c r="W39" s="144">
        <v>12</v>
      </c>
      <c r="X39" s="148">
        <v>0</v>
      </c>
      <c r="Y39" s="149">
        <v>39.09</v>
      </c>
      <c r="Z39" s="150">
        <v>81.09</v>
      </c>
      <c r="AA39" s="151">
        <v>0</v>
      </c>
      <c r="AB39" s="152">
        <v>0.0909090909090909</v>
      </c>
      <c r="AC39" s="153">
        <v>0.142857142857143</v>
      </c>
      <c r="AI39" s="116"/>
      <c r="AJ39" s="116"/>
      <c r="AK39" s="116"/>
    </row>
    <row r="40" customFormat="1" ht="22.5" customHeight="1" spans="1:37">
      <c r="A40" s="138">
        <v>11857</v>
      </c>
      <c r="B40" s="139" t="s">
        <v>88</v>
      </c>
      <c r="C40" s="140">
        <v>46043</v>
      </c>
      <c r="D40" s="141" t="s">
        <v>49</v>
      </c>
      <c r="E40" s="141" t="s">
        <v>49</v>
      </c>
      <c r="F40" s="141" t="s">
        <v>38</v>
      </c>
      <c r="G40" s="141" t="s">
        <v>47</v>
      </c>
      <c r="H40" s="141">
        <f>IF(_xlfn.XLOOKUP(A40,[1]分配表!L:L,[1]分配表!O:O)=0,"未出单",_xlfn.XLOOKUP(A40,[1]分配表!L:L,[1]分配表!O:O))</f>
        <v>46087</v>
      </c>
      <c r="I40" s="142">
        <v>2</v>
      </c>
      <c r="J40" s="143">
        <v>6</v>
      </c>
      <c r="K40" s="144">
        <v>5</v>
      </c>
      <c r="L40" s="142" t="s">
        <v>33</v>
      </c>
      <c r="M40" s="145" t="s">
        <v>33</v>
      </c>
      <c r="N40" s="146" t="s">
        <v>34</v>
      </c>
      <c r="O40" s="145" t="s">
        <v>43</v>
      </c>
      <c r="P40" s="145" t="s">
        <v>36</v>
      </c>
      <c r="Q40" s="147" t="s">
        <v>36</v>
      </c>
      <c r="R40" s="143">
        <v>0</v>
      </c>
      <c r="S40" s="143">
        <v>0</v>
      </c>
      <c r="T40" s="144">
        <v>5</v>
      </c>
      <c r="U40" s="142">
        <v>0</v>
      </c>
      <c r="V40" s="143">
        <v>3</v>
      </c>
      <c r="W40" s="144">
        <v>12</v>
      </c>
      <c r="X40" s="148">
        <v>0</v>
      </c>
      <c r="Y40" s="149">
        <v>0</v>
      </c>
      <c r="Z40" s="150">
        <v>184.95</v>
      </c>
      <c r="AA40" s="151">
        <v>0</v>
      </c>
      <c r="AB40" s="152">
        <v>0</v>
      </c>
      <c r="AC40" s="153">
        <v>0.294117647058824</v>
      </c>
      <c r="AI40" s="116"/>
      <c r="AJ40" s="116"/>
      <c r="AK40" s="116"/>
    </row>
    <row r="41" customFormat="1" ht="22.5" customHeight="1" spans="1:37">
      <c r="A41" s="138">
        <v>12303</v>
      </c>
      <c r="B41" s="139" t="s">
        <v>89</v>
      </c>
      <c r="C41" s="140">
        <v>46044</v>
      </c>
      <c r="D41" s="141" t="s">
        <v>49</v>
      </c>
      <c r="E41" s="141" t="s">
        <v>49</v>
      </c>
      <c r="F41" s="141" t="s">
        <v>46</v>
      </c>
      <c r="G41" s="141" t="s">
        <v>47</v>
      </c>
      <c r="H41" s="141">
        <f>IF(_xlfn.XLOOKUP(A41,[1]分配表!L:L,[1]分配表!O:O)=0,"未出单",_xlfn.XLOOKUP(A41,[1]分配表!L:L,[1]分配表!O:O))</f>
        <v>46046</v>
      </c>
      <c r="I41" s="142">
        <v>1</v>
      </c>
      <c r="J41" s="143">
        <v>2</v>
      </c>
      <c r="K41" s="144">
        <v>2</v>
      </c>
      <c r="L41" s="142" t="s">
        <v>39</v>
      </c>
      <c r="M41" s="145" t="s">
        <v>39</v>
      </c>
      <c r="N41" s="146" t="s">
        <v>39</v>
      </c>
      <c r="O41" s="145" t="s">
        <v>40</v>
      </c>
      <c r="P41" s="145" t="s">
        <v>43</v>
      </c>
      <c r="Q41" s="147" t="s">
        <v>35</v>
      </c>
      <c r="R41" s="143">
        <v>5</v>
      </c>
      <c r="S41" s="143">
        <v>15</v>
      </c>
      <c r="T41" s="144">
        <v>28</v>
      </c>
      <c r="U41" s="142">
        <v>0</v>
      </c>
      <c r="V41" s="143">
        <v>0</v>
      </c>
      <c r="W41" s="144">
        <v>0</v>
      </c>
      <c r="X41" s="148">
        <v>175</v>
      </c>
      <c r="Y41" s="149">
        <v>525</v>
      </c>
      <c r="Z41" s="150">
        <v>978.25</v>
      </c>
      <c r="AA41" s="151">
        <v>1</v>
      </c>
      <c r="AB41" s="152">
        <v>1</v>
      </c>
      <c r="AC41" s="153">
        <v>1</v>
      </c>
      <c r="AI41" s="116"/>
      <c r="AJ41" s="116"/>
      <c r="AK41" s="116"/>
    </row>
    <row r="42" customFormat="1" ht="22.5" customHeight="1" spans="1:37">
      <c r="A42" s="138">
        <v>11933</v>
      </c>
      <c r="B42" s="139" t="s">
        <v>90</v>
      </c>
      <c r="C42" s="140">
        <v>46047</v>
      </c>
      <c r="D42" s="141" t="s">
        <v>30</v>
      </c>
      <c r="E42" s="141" t="s">
        <v>30</v>
      </c>
      <c r="F42" s="141" t="s">
        <v>66</v>
      </c>
      <c r="G42" s="141" t="s">
        <v>32</v>
      </c>
      <c r="H42" s="141">
        <f>IF(_xlfn.XLOOKUP(A42,[1]分配表!L:L,[1]分配表!O:O)=0,"未出单",_xlfn.XLOOKUP(A42,[1]分配表!L:L,[1]分配表!O:O))</f>
        <v>46085</v>
      </c>
      <c r="I42" s="142">
        <v>1</v>
      </c>
      <c r="J42" s="143">
        <v>5</v>
      </c>
      <c r="K42" s="144">
        <v>3</v>
      </c>
      <c r="L42" s="142" t="s">
        <v>33</v>
      </c>
      <c r="M42" s="145" t="s">
        <v>33</v>
      </c>
      <c r="N42" s="146" t="s">
        <v>34</v>
      </c>
      <c r="O42" s="145" t="s">
        <v>43</v>
      </c>
      <c r="P42" s="145" t="s">
        <v>36</v>
      </c>
      <c r="Q42" s="147" t="s">
        <v>36</v>
      </c>
      <c r="R42" s="143">
        <v>0</v>
      </c>
      <c r="S42" s="143">
        <v>0</v>
      </c>
      <c r="T42" s="144">
        <v>1</v>
      </c>
      <c r="U42" s="142">
        <v>0</v>
      </c>
      <c r="V42" s="143">
        <v>1</v>
      </c>
      <c r="W42" s="144">
        <v>5</v>
      </c>
      <c r="X42" s="148">
        <v>0</v>
      </c>
      <c r="Y42" s="149">
        <v>0</v>
      </c>
      <c r="Z42" s="150">
        <v>64.78</v>
      </c>
      <c r="AA42" s="151">
        <v>0</v>
      </c>
      <c r="AB42" s="152">
        <v>0</v>
      </c>
      <c r="AC42" s="153">
        <v>0.166666666666667</v>
      </c>
      <c r="AI42" s="116"/>
      <c r="AJ42" s="116"/>
      <c r="AK42" s="116"/>
    </row>
    <row r="43" customFormat="1" ht="22.5" customHeight="1" spans="1:37">
      <c r="A43" s="138">
        <v>11839</v>
      </c>
      <c r="B43" s="139" t="s">
        <v>91</v>
      </c>
      <c r="C43" s="140">
        <v>46050</v>
      </c>
      <c r="D43" s="141" t="s">
        <v>65</v>
      </c>
      <c r="E43" s="141" t="s">
        <v>65</v>
      </c>
      <c r="F43" s="141" t="s">
        <v>66</v>
      </c>
      <c r="G43" s="141" t="s">
        <v>32</v>
      </c>
      <c r="H43" s="141">
        <f>IF(_xlfn.XLOOKUP(A43,[1]分配表!L:L,[1]分配表!O:O)=0,"未出单",_xlfn.XLOOKUP(A43,[1]分配表!L:L,[1]分配表!O:O))</f>
        <v>46056</v>
      </c>
      <c r="I43" s="142">
        <v>1</v>
      </c>
      <c r="J43" s="143">
        <v>4</v>
      </c>
      <c r="K43" s="144">
        <v>1</v>
      </c>
      <c r="L43" s="142" t="s">
        <v>33</v>
      </c>
      <c r="M43" s="145" t="s">
        <v>39</v>
      </c>
      <c r="N43" s="146" t="s">
        <v>39</v>
      </c>
      <c r="O43" s="145" t="s">
        <v>36</v>
      </c>
      <c r="P43" s="145" t="s">
        <v>36</v>
      </c>
      <c r="Q43" s="147" t="s">
        <v>40</v>
      </c>
      <c r="R43" s="143">
        <v>0</v>
      </c>
      <c r="S43" s="143">
        <v>40</v>
      </c>
      <c r="T43" s="144">
        <v>51</v>
      </c>
      <c r="U43" s="142">
        <v>2</v>
      </c>
      <c r="V43" s="143">
        <v>11</v>
      </c>
      <c r="W43" s="144">
        <v>14</v>
      </c>
      <c r="X43" s="148">
        <v>0</v>
      </c>
      <c r="Y43" s="149">
        <v>1680</v>
      </c>
      <c r="Z43" s="150">
        <v>2186</v>
      </c>
      <c r="AA43" s="151">
        <v>0</v>
      </c>
      <c r="AB43" s="152">
        <v>0.784313725490196</v>
      </c>
      <c r="AC43" s="153">
        <v>0.784615384615385</v>
      </c>
      <c r="AI43" s="116"/>
      <c r="AJ43" s="116"/>
      <c r="AK43" s="116"/>
    </row>
    <row r="44" customFormat="1" ht="22.5" customHeight="1" spans="1:37">
      <c r="A44" s="138">
        <v>11840</v>
      </c>
      <c r="B44" s="139" t="s">
        <v>92</v>
      </c>
      <c r="C44" s="140">
        <v>46050</v>
      </c>
      <c r="D44" s="141" t="s">
        <v>65</v>
      </c>
      <c r="E44" s="141" t="s">
        <v>65</v>
      </c>
      <c r="F44" s="141" t="s">
        <v>66</v>
      </c>
      <c r="G44" s="141" t="s">
        <v>32</v>
      </c>
      <c r="H44" s="141">
        <f>IF(_xlfn.XLOOKUP(A44,[1]分配表!L:L,[1]分配表!O:O)=0,"未出单",_xlfn.XLOOKUP(A44,[1]分配表!L:L,[1]分配表!O:O))</f>
        <v>46058</v>
      </c>
      <c r="I44" s="142">
        <v>1</v>
      </c>
      <c r="J44" s="143">
        <v>5</v>
      </c>
      <c r="K44" s="144">
        <v>5</v>
      </c>
      <c r="L44" s="142" t="s">
        <v>33</v>
      </c>
      <c r="M44" s="145" t="s">
        <v>39</v>
      </c>
      <c r="N44" s="146" t="s">
        <v>39</v>
      </c>
      <c r="O44" s="145" t="s">
        <v>36</v>
      </c>
      <c r="P44" s="145" t="s">
        <v>40</v>
      </c>
      <c r="Q44" s="147" t="s">
        <v>36</v>
      </c>
      <c r="R44" s="143">
        <v>0</v>
      </c>
      <c r="S44" s="143">
        <v>55</v>
      </c>
      <c r="T44" s="144">
        <v>71</v>
      </c>
      <c r="U44" s="142">
        <v>4</v>
      </c>
      <c r="V44" s="143">
        <v>14</v>
      </c>
      <c r="W44" s="144">
        <v>36</v>
      </c>
      <c r="X44" s="148">
        <v>0</v>
      </c>
      <c r="Y44" s="149">
        <v>2310</v>
      </c>
      <c r="Z44" s="150">
        <v>3223.9</v>
      </c>
      <c r="AA44" s="151">
        <v>0</v>
      </c>
      <c r="AB44" s="152">
        <v>0.797101449275362</v>
      </c>
      <c r="AC44" s="153">
        <v>0.663551401869159</v>
      </c>
      <c r="AI44" s="116"/>
      <c r="AJ44" s="116"/>
      <c r="AK44" s="116"/>
    </row>
    <row r="45" customFormat="1" ht="22.5" customHeight="1" spans="1:37">
      <c r="A45" s="138">
        <v>11794</v>
      </c>
      <c r="B45" s="139" t="s">
        <v>93</v>
      </c>
      <c r="C45" s="140">
        <v>46050</v>
      </c>
      <c r="D45" s="141" t="s">
        <v>30</v>
      </c>
      <c r="E45" s="141" t="s">
        <v>30</v>
      </c>
      <c r="F45" s="141" t="s">
        <v>38</v>
      </c>
      <c r="G45" s="141" t="s">
        <v>32</v>
      </c>
      <c r="H45" s="141">
        <f>IF(_xlfn.XLOOKUP(A45,[1]分配表!L:L,[1]分配表!O:O)=0,"未出单",_xlfn.XLOOKUP(A45,[1]分配表!L:L,[1]分配表!O:O))</f>
        <v>46052</v>
      </c>
      <c r="I45" s="142">
        <v>1</v>
      </c>
      <c r="J45" s="143">
        <v>1</v>
      </c>
      <c r="K45" s="144">
        <v>2</v>
      </c>
      <c r="L45" s="142" t="s">
        <v>39</v>
      </c>
      <c r="M45" s="145" t="s">
        <v>39</v>
      </c>
      <c r="N45" s="146" t="s">
        <v>39</v>
      </c>
      <c r="O45" s="145" t="s">
        <v>40</v>
      </c>
      <c r="P45" s="145" t="s">
        <v>43</v>
      </c>
      <c r="Q45" s="147" t="s">
        <v>40</v>
      </c>
      <c r="R45" s="143">
        <v>1</v>
      </c>
      <c r="S45" s="143">
        <v>19</v>
      </c>
      <c r="T45" s="144">
        <v>30</v>
      </c>
      <c r="U45" s="142">
        <v>0</v>
      </c>
      <c r="V45" s="143">
        <v>0</v>
      </c>
      <c r="W45" s="144">
        <v>0</v>
      </c>
      <c r="X45" s="148">
        <v>69</v>
      </c>
      <c r="Y45" s="149">
        <v>1311</v>
      </c>
      <c r="Z45" s="150">
        <v>2070</v>
      </c>
      <c r="AA45" s="151">
        <v>1</v>
      </c>
      <c r="AB45" s="152">
        <v>1</v>
      </c>
      <c r="AC45" s="153">
        <v>1</v>
      </c>
      <c r="AI45" s="116"/>
      <c r="AJ45" s="116"/>
      <c r="AK45" s="116"/>
    </row>
    <row r="46" customFormat="1" ht="22.5" customHeight="1" spans="1:37">
      <c r="A46" s="138">
        <v>11866</v>
      </c>
      <c r="B46" s="139" t="s">
        <v>94</v>
      </c>
      <c r="C46" s="140">
        <v>46050</v>
      </c>
      <c r="D46" s="141" t="s">
        <v>49</v>
      </c>
      <c r="E46" s="141" t="s">
        <v>49</v>
      </c>
      <c r="F46" s="141" t="s">
        <v>46</v>
      </c>
      <c r="G46" s="141" t="s">
        <v>32</v>
      </c>
      <c r="H46" s="141">
        <f>IF(_xlfn.XLOOKUP(A46,[1]分配表!L:L,[1]分配表!O:O)=0,"未出单",_xlfn.XLOOKUP(A46,[1]分配表!L:L,[1]分配表!O:O))</f>
        <v>46070</v>
      </c>
      <c r="I46" s="142">
        <v>1</v>
      </c>
      <c r="J46" s="143">
        <v>4</v>
      </c>
      <c r="K46" s="144">
        <v>6</v>
      </c>
      <c r="L46" s="142" t="s">
        <v>33</v>
      </c>
      <c r="M46" s="145" t="s">
        <v>34</v>
      </c>
      <c r="N46" s="146" t="s">
        <v>34</v>
      </c>
      <c r="O46" s="145" t="s">
        <v>36</v>
      </c>
      <c r="P46" s="145" t="s">
        <v>36</v>
      </c>
      <c r="Q46" s="147" t="s">
        <v>36</v>
      </c>
      <c r="R46" s="143">
        <v>0</v>
      </c>
      <c r="S46" s="143">
        <v>4</v>
      </c>
      <c r="T46" s="144">
        <v>6</v>
      </c>
      <c r="U46" s="142">
        <v>7</v>
      </c>
      <c r="V46" s="143">
        <v>15</v>
      </c>
      <c r="W46" s="144">
        <v>28</v>
      </c>
      <c r="X46" s="148">
        <v>0</v>
      </c>
      <c r="Y46" s="149">
        <v>104</v>
      </c>
      <c r="Z46" s="150">
        <v>156</v>
      </c>
      <c r="AA46" s="151">
        <v>0</v>
      </c>
      <c r="AB46" s="152">
        <v>0.210526315789474</v>
      </c>
      <c r="AC46" s="153">
        <v>0.176470588235294</v>
      </c>
      <c r="AI46" s="116"/>
      <c r="AJ46" s="116"/>
      <c r="AK46" s="116"/>
    </row>
    <row r="47" customFormat="1" ht="22.5" customHeight="1" spans="1:37">
      <c r="A47" s="138">
        <v>11867</v>
      </c>
      <c r="B47" s="139" t="s">
        <v>95</v>
      </c>
      <c r="C47" s="140">
        <v>46050</v>
      </c>
      <c r="D47" s="141" t="s">
        <v>49</v>
      </c>
      <c r="E47" s="141" t="s">
        <v>49</v>
      </c>
      <c r="F47" s="141" t="s">
        <v>46</v>
      </c>
      <c r="G47" s="141" t="s">
        <v>32</v>
      </c>
      <c r="H47" s="141">
        <f>IF(_xlfn.XLOOKUP(A47,[1]分配表!L:L,[1]分配表!O:O)=0,"未出单",_xlfn.XLOOKUP(A47,[1]分配表!L:L,[1]分配表!O:O))</f>
        <v>46068</v>
      </c>
      <c r="I47" s="142">
        <v>1</v>
      </c>
      <c r="J47" s="143">
        <v>4</v>
      </c>
      <c r="K47" s="144">
        <v>2</v>
      </c>
      <c r="L47" s="142" t="s">
        <v>33</v>
      </c>
      <c r="M47" s="145" t="s">
        <v>34</v>
      </c>
      <c r="N47" s="146" t="s">
        <v>34</v>
      </c>
      <c r="O47" s="145" t="s">
        <v>36</v>
      </c>
      <c r="P47" s="145" t="s">
        <v>36</v>
      </c>
      <c r="Q47" s="147" t="s">
        <v>36</v>
      </c>
      <c r="R47" s="143">
        <v>0</v>
      </c>
      <c r="S47" s="143">
        <v>9</v>
      </c>
      <c r="T47" s="144">
        <v>12</v>
      </c>
      <c r="U47" s="142">
        <v>4</v>
      </c>
      <c r="V47" s="143">
        <v>23</v>
      </c>
      <c r="W47" s="144">
        <v>18</v>
      </c>
      <c r="X47" s="148">
        <v>0</v>
      </c>
      <c r="Y47" s="149">
        <v>234</v>
      </c>
      <c r="Z47" s="150">
        <v>312</v>
      </c>
      <c r="AA47" s="151">
        <v>0</v>
      </c>
      <c r="AB47" s="152">
        <v>0.28125</v>
      </c>
      <c r="AC47" s="153">
        <v>0.4</v>
      </c>
      <c r="AI47" s="116"/>
      <c r="AJ47" s="116"/>
      <c r="AK47" s="116"/>
    </row>
    <row r="48" customFormat="1" ht="22.5" customHeight="1" spans="1:37">
      <c r="A48" s="138">
        <v>11826</v>
      </c>
      <c r="B48" s="139" t="s">
        <v>96</v>
      </c>
      <c r="C48" s="140">
        <v>46051</v>
      </c>
      <c r="D48" s="141" t="s">
        <v>49</v>
      </c>
      <c r="E48" s="141" t="s">
        <v>49</v>
      </c>
      <c r="F48" s="141" t="s">
        <v>38</v>
      </c>
      <c r="G48" s="141" t="s">
        <v>32</v>
      </c>
      <c r="H48" s="141">
        <f>IF(_xlfn.XLOOKUP(A48,[1]分配表!L:L,[1]分配表!O:O)=0,"未出单",_xlfn.XLOOKUP(A48,[1]分配表!L:L,[1]分配表!O:O))</f>
        <v>46065</v>
      </c>
      <c r="I48" s="142">
        <v>1</v>
      </c>
      <c r="J48" s="143">
        <v>4</v>
      </c>
      <c r="K48" s="144">
        <v>1</v>
      </c>
      <c r="L48" s="142" t="s">
        <v>33</v>
      </c>
      <c r="M48" s="145" t="s">
        <v>34</v>
      </c>
      <c r="N48" s="146" t="s">
        <v>34</v>
      </c>
      <c r="O48" s="145" t="s">
        <v>43</v>
      </c>
      <c r="P48" s="145" t="s">
        <v>43</v>
      </c>
      <c r="Q48" s="147" t="s">
        <v>40</v>
      </c>
      <c r="R48" s="143">
        <v>0</v>
      </c>
      <c r="S48" s="143">
        <v>11</v>
      </c>
      <c r="T48" s="144">
        <v>11</v>
      </c>
      <c r="U48" s="142">
        <v>0</v>
      </c>
      <c r="V48" s="143">
        <v>0</v>
      </c>
      <c r="W48" s="144">
        <v>0</v>
      </c>
      <c r="X48" s="148">
        <v>0</v>
      </c>
      <c r="Y48" s="149">
        <v>495</v>
      </c>
      <c r="Z48" s="150">
        <v>490.5</v>
      </c>
      <c r="AA48" s="151">
        <v>0</v>
      </c>
      <c r="AB48" s="152">
        <v>1</v>
      </c>
      <c r="AC48" s="153">
        <v>1</v>
      </c>
      <c r="AI48" s="116"/>
      <c r="AJ48" s="116"/>
      <c r="AK48" s="116"/>
    </row>
    <row r="49" customFormat="1" ht="22.5" customHeight="1" spans="1:37">
      <c r="A49" s="138">
        <v>11876</v>
      </c>
      <c r="B49" s="139" t="s">
        <v>97</v>
      </c>
      <c r="C49" s="140">
        <v>46051</v>
      </c>
      <c r="D49" s="141" t="s">
        <v>49</v>
      </c>
      <c r="E49" s="141" t="s">
        <v>49</v>
      </c>
      <c r="F49" s="141" t="s">
        <v>46</v>
      </c>
      <c r="G49" s="141" t="s">
        <v>47</v>
      </c>
      <c r="H49" s="141">
        <f>IF(_xlfn.XLOOKUP(A49,[1]分配表!L:L,[1]分配表!O:O)=0,"未出单",_xlfn.XLOOKUP(A49,[1]分配表!L:L,[1]分配表!O:O))</f>
        <v>46087</v>
      </c>
      <c r="I49" s="142">
        <v>1</v>
      </c>
      <c r="J49" s="143">
        <v>3</v>
      </c>
      <c r="K49" s="144">
        <v>4</v>
      </c>
      <c r="L49" s="142" t="s">
        <v>33</v>
      </c>
      <c r="M49" s="145" t="s">
        <v>33</v>
      </c>
      <c r="N49" s="146" t="s">
        <v>34</v>
      </c>
      <c r="O49" s="145" t="s">
        <v>43</v>
      </c>
      <c r="P49" s="145" t="s">
        <v>43</v>
      </c>
      <c r="Q49" s="147" t="s">
        <v>43</v>
      </c>
      <c r="R49" s="143">
        <v>0</v>
      </c>
      <c r="S49" s="143">
        <v>0</v>
      </c>
      <c r="T49" s="144">
        <v>6</v>
      </c>
      <c r="U49" s="142">
        <v>0</v>
      </c>
      <c r="V49" s="143">
        <v>0</v>
      </c>
      <c r="W49" s="144">
        <v>0</v>
      </c>
      <c r="X49" s="148">
        <v>0</v>
      </c>
      <c r="Y49" s="149">
        <v>0</v>
      </c>
      <c r="Z49" s="150">
        <v>1242.5</v>
      </c>
      <c r="AA49" s="151">
        <v>0</v>
      </c>
      <c r="AB49" s="152">
        <v>0</v>
      </c>
      <c r="AC49" s="153">
        <v>1</v>
      </c>
      <c r="AI49" s="116"/>
      <c r="AJ49" s="116"/>
      <c r="AK49" s="116"/>
    </row>
    <row r="50" customFormat="1" ht="22.5" customHeight="1" spans="1:37">
      <c r="A50" s="138">
        <v>11936</v>
      </c>
      <c r="B50" s="139" t="s">
        <v>98</v>
      </c>
      <c r="C50" s="140">
        <v>46051</v>
      </c>
      <c r="D50" s="141" t="s">
        <v>65</v>
      </c>
      <c r="E50" s="141" t="s">
        <v>65</v>
      </c>
      <c r="F50" s="141" t="s">
        <v>66</v>
      </c>
      <c r="G50" s="141" t="s">
        <v>47</v>
      </c>
      <c r="H50" s="141">
        <f>IF(_xlfn.XLOOKUP(A50,[1]分配表!L:L,[1]分配表!O:O)=0,"未出单",_xlfn.XLOOKUP(A50,[1]分配表!L:L,[1]分配表!O:O))</f>
        <v>46056</v>
      </c>
      <c r="I50" s="142">
        <v>1</v>
      </c>
      <c r="J50" s="143">
        <v>3</v>
      </c>
      <c r="K50" s="144">
        <v>1</v>
      </c>
      <c r="L50" s="142" t="s">
        <v>33</v>
      </c>
      <c r="M50" s="145" t="s">
        <v>39</v>
      </c>
      <c r="N50" s="146" t="s">
        <v>39</v>
      </c>
      <c r="O50" s="145" t="s">
        <v>43</v>
      </c>
      <c r="P50" s="145" t="s">
        <v>43</v>
      </c>
      <c r="Q50" s="147" t="s">
        <v>40</v>
      </c>
      <c r="R50" s="143">
        <v>0</v>
      </c>
      <c r="S50" s="143">
        <v>3</v>
      </c>
      <c r="T50" s="144">
        <v>4</v>
      </c>
      <c r="U50" s="142">
        <v>0</v>
      </c>
      <c r="V50" s="143">
        <v>0</v>
      </c>
      <c r="W50" s="144">
        <v>0</v>
      </c>
      <c r="X50" s="148">
        <v>0</v>
      </c>
      <c r="Y50" s="149">
        <v>75</v>
      </c>
      <c r="Z50" s="150">
        <v>100</v>
      </c>
      <c r="AA50" s="151">
        <v>0</v>
      </c>
      <c r="AB50" s="152">
        <v>1</v>
      </c>
      <c r="AC50" s="153">
        <v>1</v>
      </c>
      <c r="AI50" s="116"/>
      <c r="AJ50" s="116"/>
      <c r="AK50" s="116"/>
    </row>
    <row r="51" customFormat="1" ht="22.5" customHeight="1" spans="1:37">
      <c r="A51" s="138">
        <v>11937</v>
      </c>
      <c r="B51" s="139" t="s">
        <v>99</v>
      </c>
      <c r="C51" s="140">
        <v>46051</v>
      </c>
      <c r="D51" s="141" t="s">
        <v>65</v>
      </c>
      <c r="E51" s="141" t="s">
        <v>65</v>
      </c>
      <c r="F51" s="141" t="s">
        <v>66</v>
      </c>
      <c r="G51" s="141" t="s">
        <v>47</v>
      </c>
      <c r="H51" s="141">
        <f>IF(_xlfn.XLOOKUP(A51,[1]分配表!L:L,[1]分配表!O:O)=0,"未出单",_xlfn.XLOOKUP(A51,[1]分配表!L:L,[1]分配表!O:O))</f>
        <v>46064</v>
      </c>
      <c r="I51" s="142">
        <v>1</v>
      </c>
      <c r="J51" s="143">
        <v>3</v>
      </c>
      <c r="K51" s="144">
        <v>1</v>
      </c>
      <c r="L51" s="142" t="s">
        <v>33</v>
      </c>
      <c r="M51" s="145" t="s">
        <v>34</v>
      </c>
      <c r="N51" s="146" t="s">
        <v>34</v>
      </c>
      <c r="O51" s="145" t="s">
        <v>43</v>
      </c>
      <c r="P51" s="145" t="s">
        <v>43</v>
      </c>
      <c r="Q51" s="147" t="s">
        <v>40</v>
      </c>
      <c r="R51" s="143">
        <v>0</v>
      </c>
      <c r="S51" s="143">
        <v>4</v>
      </c>
      <c r="T51" s="144">
        <v>5</v>
      </c>
      <c r="U51" s="142">
        <v>0</v>
      </c>
      <c r="V51" s="143">
        <v>1</v>
      </c>
      <c r="W51" s="144">
        <v>0</v>
      </c>
      <c r="X51" s="148">
        <v>0</v>
      </c>
      <c r="Y51" s="149">
        <v>92</v>
      </c>
      <c r="Z51" s="150">
        <v>117</v>
      </c>
      <c r="AA51" s="151">
        <v>0</v>
      </c>
      <c r="AB51" s="152">
        <v>0.8</v>
      </c>
      <c r="AC51" s="153">
        <v>1</v>
      </c>
      <c r="AI51" s="116"/>
      <c r="AJ51" s="116"/>
      <c r="AK51" s="116"/>
    </row>
    <row r="52" customFormat="1" ht="22.5" customHeight="1" spans="1:37">
      <c r="A52" s="138">
        <v>11874</v>
      </c>
      <c r="B52" s="139" t="s">
        <v>100</v>
      </c>
      <c r="C52" s="140">
        <v>46051</v>
      </c>
      <c r="D52" s="141" t="s">
        <v>49</v>
      </c>
      <c r="E52" s="141" t="s">
        <v>49</v>
      </c>
      <c r="F52" s="141" t="s">
        <v>46</v>
      </c>
      <c r="G52" s="141" t="s">
        <v>32</v>
      </c>
      <c r="H52" s="141">
        <f>IF(_xlfn.XLOOKUP(A52,[1]分配表!L:L,[1]分配表!O:O)=0,"未出单",_xlfn.XLOOKUP(A52,[1]分配表!L:L,[1]分配表!O:O))</f>
        <v>46054</v>
      </c>
      <c r="I52" s="142">
        <v>1</v>
      </c>
      <c r="J52" s="143">
        <v>2</v>
      </c>
      <c r="K52" s="144">
        <v>2</v>
      </c>
      <c r="L52" s="142" t="s">
        <v>33</v>
      </c>
      <c r="M52" s="145" t="s">
        <v>39</v>
      </c>
      <c r="N52" s="146" t="s">
        <v>39</v>
      </c>
      <c r="O52" s="145" t="s">
        <v>43</v>
      </c>
      <c r="P52" s="145" t="s">
        <v>43</v>
      </c>
      <c r="Q52" s="147" t="s">
        <v>40</v>
      </c>
      <c r="R52" s="143">
        <v>0</v>
      </c>
      <c r="S52" s="143">
        <v>11</v>
      </c>
      <c r="T52" s="144">
        <v>5</v>
      </c>
      <c r="U52" s="142">
        <v>0</v>
      </c>
      <c r="V52" s="143">
        <v>0</v>
      </c>
      <c r="W52" s="144">
        <v>1</v>
      </c>
      <c r="X52" s="148">
        <v>0</v>
      </c>
      <c r="Y52" s="149">
        <v>1485</v>
      </c>
      <c r="Z52" s="150">
        <v>675</v>
      </c>
      <c r="AA52" s="151">
        <v>0</v>
      </c>
      <c r="AB52" s="152">
        <v>1</v>
      </c>
      <c r="AC52" s="153">
        <v>0.833333333333333</v>
      </c>
      <c r="AI52" s="116"/>
      <c r="AJ52" s="116"/>
      <c r="AK52" s="116"/>
    </row>
    <row r="53" customFormat="1" ht="22.5" customHeight="1" spans="1:37">
      <c r="A53" s="138">
        <v>11925</v>
      </c>
      <c r="B53" s="139" t="s">
        <v>101</v>
      </c>
      <c r="C53" s="140">
        <v>46051</v>
      </c>
      <c r="D53" s="141" t="s">
        <v>102</v>
      </c>
      <c r="E53" s="141" t="s">
        <v>102</v>
      </c>
      <c r="F53" s="141" t="s">
        <v>46</v>
      </c>
      <c r="G53" s="141" t="s">
        <v>32</v>
      </c>
      <c r="H53" s="141">
        <f>IF(_xlfn.XLOOKUP(A53,[1]分配表!L:L,[1]分配表!O:O)=0,"未出单",_xlfn.XLOOKUP(A53,[1]分配表!L:L,[1]分配表!O:O))</f>
        <v>46052</v>
      </c>
      <c r="I53" s="142">
        <v>1</v>
      </c>
      <c r="J53" s="143">
        <v>1</v>
      </c>
      <c r="K53" s="144">
        <v>3</v>
      </c>
      <c r="L53" s="142" t="s">
        <v>39</v>
      </c>
      <c r="M53" s="145" t="s">
        <v>39</v>
      </c>
      <c r="N53" s="146" t="s">
        <v>39</v>
      </c>
      <c r="O53" s="145" t="s">
        <v>40</v>
      </c>
      <c r="P53" s="145" t="s">
        <v>43</v>
      </c>
      <c r="Q53" s="147" t="s">
        <v>40</v>
      </c>
      <c r="R53" s="143">
        <v>2</v>
      </c>
      <c r="S53" s="143">
        <v>7</v>
      </c>
      <c r="T53" s="144">
        <v>26</v>
      </c>
      <c r="U53" s="142">
        <v>0</v>
      </c>
      <c r="V53" s="143">
        <v>0</v>
      </c>
      <c r="W53" s="144">
        <v>0</v>
      </c>
      <c r="X53" s="148">
        <v>598</v>
      </c>
      <c r="Y53" s="149">
        <v>2078.05</v>
      </c>
      <c r="Z53" s="150">
        <v>7400.68</v>
      </c>
      <c r="AA53" s="151">
        <v>1</v>
      </c>
      <c r="AB53" s="152">
        <v>1</v>
      </c>
      <c r="AC53" s="153">
        <v>1</v>
      </c>
      <c r="AI53" s="116"/>
      <c r="AJ53" s="116"/>
      <c r="AK53" s="116"/>
    </row>
    <row r="54" customFormat="1" ht="22.5" customHeight="1" spans="1:37">
      <c r="A54" s="138">
        <v>11852</v>
      </c>
      <c r="B54" s="139" t="s">
        <v>103</v>
      </c>
      <c r="C54" s="140">
        <v>46051</v>
      </c>
      <c r="D54" s="141" t="s">
        <v>49</v>
      </c>
      <c r="E54" s="141" t="s">
        <v>49</v>
      </c>
      <c r="F54" s="141" t="s">
        <v>46</v>
      </c>
      <c r="G54" s="141" t="s">
        <v>32</v>
      </c>
      <c r="H54" s="141">
        <f>IF(_xlfn.XLOOKUP(A54,[1]分配表!L:L,[1]分配表!O:O)=0,"未出单",_xlfn.XLOOKUP(A54,[1]分配表!L:L,[1]分配表!O:O))</f>
        <v>46064</v>
      </c>
      <c r="I54" s="142">
        <v>2</v>
      </c>
      <c r="J54" s="143">
        <v>3</v>
      </c>
      <c r="K54" s="144">
        <v>2</v>
      </c>
      <c r="L54" s="142" t="s">
        <v>33</v>
      </c>
      <c r="M54" s="145" t="s">
        <v>34</v>
      </c>
      <c r="N54" s="146" t="s">
        <v>34</v>
      </c>
      <c r="O54" s="145" t="s">
        <v>43</v>
      </c>
      <c r="P54" s="145" t="s">
        <v>35</v>
      </c>
      <c r="Q54" s="147" t="s">
        <v>40</v>
      </c>
      <c r="R54" s="143">
        <v>0</v>
      </c>
      <c r="S54" s="143">
        <v>4</v>
      </c>
      <c r="T54" s="144">
        <v>7</v>
      </c>
      <c r="U54" s="142">
        <v>0</v>
      </c>
      <c r="V54" s="143">
        <v>0</v>
      </c>
      <c r="W54" s="144">
        <v>0</v>
      </c>
      <c r="X54" s="148">
        <v>0</v>
      </c>
      <c r="Y54" s="149">
        <v>1680</v>
      </c>
      <c r="Z54" s="150">
        <v>2940</v>
      </c>
      <c r="AA54" s="151">
        <v>0</v>
      </c>
      <c r="AB54" s="152">
        <v>1</v>
      </c>
      <c r="AC54" s="153">
        <v>1</v>
      </c>
      <c r="AI54" s="116"/>
      <c r="AJ54" s="116"/>
      <c r="AK54" s="116"/>
    </row>
    <row r="55" customFormat="1" ht="22.5" customHeight="1" spans="1:37">
      <c r="A55" s="138">
        <v>12359</v>
      </c>
      <c r="B55" s="139" t="s">
        <v>104</v>
      </c>
      <c r="C55" s="140">
        <v>46056</v>
      </c>
      <c r="D55" s="154" t="s">
        <v>45</v>
      </c>
      <c r="E55" s="141" t="s">
        <v>45</v>
      </c>
      <c r="F55" s="141" t="s">
        <v>46</v>
      </c>
      <c r="G55" s="141" t="s">
        <v>105</v>
      </c>
      <c r="H55" s="141">
        <f>IF(_xlfn.XLOOKUP(A55,[1]分配表!L:L,[1]分配表!O:O)=0,"未出单",_xlfn.XLOOKUP(A55,[1]分配表!L:L,[1]分配表!O:O))</f>
        <v>46062</v>
      </c>
      <c r="I55" s="142" t="s">
        <v>106</v>
      </c>
      <c r="J55" s="143">
        <v>4</v>
      </c>
      <c r="K55" s="144">
        <v>3</v>
      </c>
      <c r="L55" s="142" t="s">
        <v>106</v>
      </c>
      <c r="M55" s="145" t="s">
        <v>39</v>
      </c>
      <c r="N55" s="146" t="s">
        <v>39</v>
      </c>
      <c r="O55" s="142" t="s">
        <v>106</v>
      </c>
      <c r="P55" s="145" t="s">
        <v>43</v>
      </c>
      <c r="Q55" s="147" t="s">
        <v>40</v>
      </c>
      <c r="R55" s="142" t="s">
        <v>106</v>
      </c>
      <c r="S55" s="143">
        <v>4</v>
      </c>
      <c r="T55" s="144">
        <v>10</v>
      </c>
      <c r="U55" s="142" t="s">
        <v>106</v>
      </c>
      <c r="V55" s="143">
        <v>0</v>
      </c>
      <c r="W55" s="144">
        <v>0</v>
      </c>
      <c r="X55" s="142" t="s">
        <v>106</v>
      </c>
      <c r="Y55" s="149">
        <v>1996</v>
      </c>
      <c r="Z55" s="150">
        <v>4973.05</v>
      </c>
      <c r="AA55" s="142" t="s">
        <v>106</v>
      </c>
      <c r="AB55" s="152">
        <v>1</v>
      </c>
      <c r="AC55" s="153">
        <v>1</v>
      </c>
      <c r="AI55" s="116"/>
      <c r="AJ55" s="116"/>
      <c r="AK55" s="116"/>
    </row>
    <row r="56" customFormat="1" ht="22.5" customHeight="1" spans="1:37">
      <c r="A56" s="138">
        <v>11921</v>
      </c>
      <c r="B56" s="139" t="s">
        <v>107</v>
      </c>
      <c r="C56" s="140">
        <v>46056</v>
      </c>
      <c r="D56" s="141" t="s">
        <v>65</v>
      </c>
      <c r="E56" s="141" t="s">
        <v>65</v>
      </c>
      <c r="F56" s="141" t="s">
        <v>53</v>
      </c>
      <c r="G56" s="141" t="s">
        <v>47</v>
      </c>
      <c r="H56" s="141">
        <f>IF(_xlfn.XLOOKUP(A56,[1]分配表!L:L,[1]分配表!O:O)=0,"未出单",_xlfn.XLOOKUP(A56,[1]分配表!L:L,[1]分配表!O:O))</f>
        <v>46057</v>
      </c>
      <c r="I56" s="142" t="s">
        <v>106</v>
      </c>
      <c r="J56" s="143">
        <v>3</v>
      </c>
      <c r="K56" s="144">
        <v>1</v>
      </c>
      <c r="L56" s="142" t="s">
        <v>106</v>
      </c>
      <c r="M56" s="145" t="s">
        <v>39</v>
      </c>
      <c r="N56" s="146" t="s">
        <v>39</v>
      </c>
      <c r="O56" s="142" t="s">
        <v>106</v>
      </c>
      <c r="P56" s="145" t="s">
        <v>43</v>
      </c>
      <c r="Q56" s="147" t="s">
        <v>40</v>
      </c>
      <c r="R56" s="142" t="s">
        <v>106</v>
      </c>
      <c r="S56" s="143">
        <v>19</v>
      </c>
      <c r="T56" s="144">
        <v>40</v>
      </c>
      <c r="U56" s="142" t="s">
        <v>106</v>
      </c>
      <c r="V56" s="143">
        <v>1</v>
      </c>
      <c r="W56" s="144">
        <v>8</v>
      </c>
      <c r="X56" s="142" t="s">
        <v>106</v>
      </c>
      <c r="Y56" s="149">
        <v>3021</v>
      </c>
      <c r="Z56" s="150">
        <v>6352.05</v>
      </c>
      <c r="AA56" s="142" t="s">
        <v>106</v>
      </c>
      <c r="AB56" s="152">
        <v>0.95</v>
      </c>
      <c r="AC56" s="153">
        <v>0.833333333333333</v>
      </c>
      <c r="AI56" s="116"/>
      <c r="AJ56" s="116"/>
      <c r="AK56" s="116"/>
    </row>
    <row r="57" customFormat="1" ht="22.5" customHeight="1" spans="1:37">
      <c r="A57" s="138">
        <v>11922</v>
      </c>
      <c r="B57" s="139" t="s">
        <v>108</v>
      </c>
      <c r="C57" s="140">
        <v>46056</v>
      </c>
      <c r="D57" s="141" t="s">
        <v>65</v>
      </c>
      <c r="E57" s="141" t="s">
        <v>65</v>
      </c>
      <c r="F57" s="141" t="s">
        <v>53</v>
      </c>
      <c r="G57" s="141" t="s">
        <v>47</v>
      </c>
      <c r="H57" s="141">
        <f>IF(_xlfn.XLOOKUP(A57,[1]分配表!L:L,[1]分配表!O:O)=0,"未出单",_xlfn.XLOOKUP(A57,[1]分配表!L:L,[1]分配表!O:O))</f>
        <v>46058</v>
      </c>
      <c r="I57" s="142" t="s">
        <v>106</v>
      </c>
      <c r="J57" s="143">
        <v>3</v>
      </c>
      <c r="K57" s="144">
        <v>3</v>
      </c>
      <c r="L57" s="142" t="s">
        <v>106</v>
      </c>
      <c r="M57" s="145" t="s">
        <v>39</v>
      </c>
      <c r="N57" s="146" t="s">
        <v>39</v>
      </c>
      <c r="O57" s="142" t="s">
        <v>106</v>
      </c>
      <c r="P57" s="145" t="s">
        <v>43</v>
      </c>
      <c r="Q57" s="147" t="s">
        <v>40</v>
      </c>
      <c r="R57" s="142" t="s">
        <v>106</v>
      </c>
      <c r="S57" s="143">
        <v>56</v>
      </c>
      <c r="T57" s="144">
        <v>94</v>
      </c>
      <c r="U57" s="142" t="s">
        <v>106</v>
      </c>
      <c r="V57" s="143">
        <v>11</v>
      </c>
      <c r="W57" s="144">
        <v>8</v>
      </c>
      <c r="X57" s="142" t="s">
        <v>106</v>
      </c>
      <c r="Y57" s="149">
        <v>8896.05</v>
      </c>
      <c r="Z57" s="150">
        <v>15954.8</v>
      </c>
      <c r="AA57" s="142" t="s">
        <v>106</v>
      </c>
      <c r="AB57" s="152">
        <v>0.835820895522388</v>
      </c>
      <c r="AC57" s="153">
        <v>0.92156862745098</v>
      </c>
      <c r="AI57" s="116"/>
      <c r="AJ57" s="116"/>
      <c r="AK57" s="116"/>
    </row>
    <row r="58" customFormat="1" ht="22.5" customHeight="1" spans="1:37">
      <c r="A58" s="138">
        <v>11923</v>
      </c>
      <c r="B58" s="139" t="s">
        <v>109</v>
      </c>
      <c r="C58" s="140">
        <v>46056</v>
      </c>
      <c r="D58" s="141" t="s">
        <v>65</v>
      </c>
      <c r="E58" s="141" t="s">
        <v>65</v>
      </c>
      <c r="F58" s="141" t="s">
        <v>53</v>
      </c>
      <c r="G58" s="141" t="s">
        <v>47</v>
      </c>
      <c r="H58" s="141">
        <f>IF(_xlfn.XLOOKUP(A58,[1]分配表!L:L,[1]分配表!O:O)=0,"未出单",_xlfn.XLOOKUP(A58,[1]分配表!L:L,[1]分配表!O:O))</f>
        <v>46058</v>
      </c>
      <c r="I58" s="142" t="s">
        <v>106</v>
      </c>
      <c r="J58" s="143">
        <v>3</v>
      </c>
      <c r="K58" s="144">
        <v>1</v>
      </c>
      <c r="L58" s="142" t="s">
        <v>106</v>
      </c>
      <c r="M58" s="145" t="s">
        <v>39</v>
      </c>
      <c r="N58" s="146" t="s">
        <v>39</v>
      </c>
      <c r="O58" s="142" t="s">
        <v>106</v>
      </c>
      <c r="P58" s="145" t="s">
        <v>43</v>
      </c>
      <c r="Q58" s="147" t="s">
        <v>40</v>
      </c>
      <c r="R58" s="142" t="s">
        <v>106</v>
      </c>
      <c r="S58" s="143">
        <v>16</v>
      </c>
      <c r="T58" s="144">
        <v>8</v>
      </c>
      <c r="U58" s="142" t="s">
        <v>106</v>
      </c>
      <c r="V58" s="143">
        <v>1</v>
      </c>
      <c r="W58" s="144">
        <v>2</v>
      </c>
      <c r="X58" s="142" t="s">
        <v>106</v>
      </c>
      <c r="Y58" s="149">
        <v>2544</v>
      </c>
      <c r="Z58" s="150">
        <v>1272</v>
      </c>
      <c r="AA58" s="142" t="s">
        <v>106</v>
      </c>
      <c r="AB58" s="152">
        <v>0.941176470588235</v>
      </c>
      <c r="AC58" s="153">
        <v>0.8</v>
      </c>
      <c r="AI58" s="116"/>
      <c r="AJ58" s="116"/>
      <c r="AK58" s="116"/>
    </row>
    <row r="59" customFormat="1" ht="22.5" customHeight="1" spans="1:37">
      <c r="A59" s="138">
        <v>11927</v>
      </c>
      <c r="B59" s="139" t="s">
        <v>110</v>
      </c>
      <c r="C59" s="140">
        <v>46056</v>
      </c>
      <c r="D59" s="141" t="s">
        <v>49</v>
      </c>
      <c r="E59" s="141" t="s">
        <v>49</v>
      </c>
      <c r="F59" s="141" t="s">
        <v>46</v>
      </c>
      <c r="G59" s="141" t="s">
        <v>32</v>
      </c>
      <c r="H59" s="141">
        <f>IF(_xlfn.XLOOKUP(A59,[1]分配表!L:L,[1]分配表!O:O)=0,"未出单",_xlfn.XLOOKUP(A59,[1]分配表!L:L,[1]分配表!O:O))</f>
        <v>46067</v>
      </c>
      <c r="I59" s="142" t="s">
        <v>106</v>
      </c>
      <c r="J59" s="143">
        <v>5</v>
      </c>
      <c r="K59" s="144">
        <v>1</v>
      </c>
      <c r="L59" s="142" t="s">
        <v>106</v>
      </c>
      <c r="M59" s="145" t="s">
        <v>34</v>
      </c>
      <c r="N59" s="146" t="s">
        <v>34</v>
      </c>
      <c r="O59" s="142" t="s">
        <v>106</v>
      </c>
      <c r="P59" s="145" t="s">
        <v>43</v>
      </c>
      <c r="Q59" s="147" t="s">
        <v>35</v>
      </c>
      <c r="R59" s="142" t="s">
        <v>106</v>
      </c>
      <c r="S59" s="143">
        <v>2</v>
      </c>
      <c r="T59" s="144">
        <v>0</v>
      </c>
      <c r="U59" s="142" t="s">
        <v>106</v>
      </c>
      <c r="V59" s="143">
        <v>0</v>
      </c>
      <c r="W59" s="144">
        <v>0</v>
      </c>
      <c r="X59" s="142" t="s">
        <v>106</v>
      </c>
      <c r="Y59" s="149">
        <v>60</v>
      </c>
      <c r="Z59" s="150">
        <v>0</v>
      </c>
      <c r="AA59" s="142" t="s">
        <v>106</v>
      </c>
      <c r="AB59" s="152">
        <v>1</v>
      </c>
      <c r="AC59" s="153" t="s">
        <v>62</v>
      </c>
      <c r="AI59" s="116"/>
      <c r="AJ59" s="116"/>
      <c r="AK59" s="116"/>
    </row>
    <row r="60" customFormat="1" ht="22.5" customHeight="1" spans="1:37">
      <c r="A60" s="138">
        <v>11928</v>
      </c>
      <c r="B60" s="139" t="s">
        <v>111</v>
      </c>
      <c r="C60" s="140">
        <v>46056</v>
      </c>
      <c r="D60" s="141" t="s">
        <v>49</v>
      </c>
      <c r="E60" s="141" t="s">
        <v>49</v>
      </c>
      <c r="F60" s="141" t="s">
        <v>46</v>
      </c>
      <c r="G60" s="141" t="s">
        <v>47</v>
      </c>
      <c r="H60" s="141">
        <f>IF(_xlfn.XLOOKUP(A60,[1]分配表!L:L,[1]分配表!O:O)=0,"未出单",_xlfn.XLOOKUP(A60,[1]分配表!L:L,[1]分配表!O:O))</f>
        <v>46095</v>
      </c>
      <c r="I60" s="142" t="s">
        <v>106</v>
      </c>
      <c r="J60" s="143">
        <v>5</v>
      </c>
      <c r="K60" s="144">
        <v>5</v>
      </c>
      <c r="L60" s="142" t="s">
        <v>106</v>
      </c>
      <c r="M60" s="145" t="s">
        <v>33</v>
      </c>
      <c r="N60" s="146" t="s">
        <v>34</v>
      </c>
      <c r="O60" s="142" t="s">
        <v>106</v>
      </c>
      <c r="P60" s="145" t="s">
        <v>43</v>
      </c>
      <c r="Q60" s="147" t="s">
        <v>43</v>
      </c>
      <c r="R60" s="142" t="s">
        <v>106</v>
      </c>
      <c r="S60" s="143">
        <v>0</v>
      </c>
      <c r="T60" s="144">
        <v>2</v>
      </c>
      <c r="U60" s="142" t="s">
        <v>106</v>
      </c>
      <c r="V60" s="143">
        <v>0</v>
      </c>
      <c r="W60" s="144">
        <v>0</v>
      </c>
      <c r="X60" s="142" t="s">
        <v>106</v>
      </c>
      <c r="Y60" s="149">
        <v>0</v>
      </c>
      <c r="Z60" s="150">
        <v>54</v>
      </c>
      <c r="AA60" s="142" t="s">
        <v>106</v>
      </c>
      <c r="AB60" s="152">
        <v>0</v>
      </c>
      <c r="AC60" s="153">
        <v>1</v>
      </c>
      <c r="AI60" s="116"/>
      <c r="AJ60" s="116"/>
      <c r="AK60" s="116"/>
    </row>
    <row r="61" customFormat="1" ht="22.5" customHeight="1" spans="1:37">
      <c r="A61" s="138">
        <v>11926</v>
      </c>
      <c r="B61" s="139" t="s">
        <v>112</v>
      </c>
      <c r="C61" s="140">
        <v>46062</v>
      </c>
      <c r="D61" s="155" t="s">
        <v>49</v>
      </c>
      <c r="E61" s="141" t="s">
        <v>49</v>
      </c>
      <c r="F61" s="141" t="s">
        <v>46</v>
      </c>
      <c r="G61" s="141" t="s">
        <v>32</v>
      </c>
      <c r="H61" s="141">
        <f>IF(_xlfn.XLOOKUP(A61,[1]分配表!L:L,[1]分配表!O:O)=0,"未出单",_xlfn.XLOOKUP(A61,[1]分配表!L:L,[1]分配表!O:O))</f>
        <v>46063</v>
      </c>
      <c r="I61" s="142" t="s">
        <v>106</v>
      </c>
      <c r="J61" s="143">
        <v>2</v>
      </c>
      <c r="K61" s="144">
        <v>1</v>
      </c>
      <c r="L61" s="142" t="s">
        <v>106</v>
      </c>
      <c r="M61" s="145" t="s">
        <v>39</v>
      </c>
      <c r="N61" s="146" t="s">
        <v>39</v>
      </c>
      <c r="O61" s="142" t="s">
        <v>106</v>
      </c>
      <c r="P61" s="145" t="s">
        <v>35</v>
      </c>
      <c r="Q61" s="147" t="s">
        <v>40</v>
      </c>
      <c r="R61" s="142" t="s">
        <v>106</v>
      </c>
      <c r="S61" s="143">
        <v>12</v>
      </c>
      <c r="T61" s="144">
        <v>22</v>
      </c>
      <c r="U61" s="142" t="s">
        <v>106</v>
      </c>
      <c r="V61" s="143">
        <v>0</v>
      </c>
      <c r="W61" s="144">
        <v>0</v>
      </c>
      <c r="X61" s="142" t="s">
        <v>106</v>
      </c>
      <c r="Y61" s="149">
        <v>948</v>
      </c>
      <c r="Z61" s="150">
        <v>1734.05</v>
      </c>
      <c r="AA61" s="142" t="s">
        <v>106</v>
      </c>
      <c r="AB61" s="152">
        <v>1</v>
      </c>
      <c r="AC61" s="153">
        <v>1</v>
      </c>
      <c r="AI61" s="116"/>
      <c r="AJ61" s="116"/>
      <c r="AK61" s="116"/>
    </row>
    <row r="62" customFormat="1" ht="22.5" customHeight="1" spans="1:37">
      <c r="A62" s="138">
        <v>11998</v>
      </c>
      <c r="B62" s="139" t="s">
        <v>113</v>
      </c>
      <c r="C62" s="140">
        <v>46062</v>
      </c>
      <c r="D62" s="155" t="s">
        <v>49</v>
      </c>
      <c r="E62" s="141" t="s">
        <v>49</v>
      </c>
      <c r="F62" s="141" t="s">
        <v>46</v>
      </c>
      <c r="G62" s="141" t="s">
        <v>47</v>
      </c>
      <c r="H62" s="141">
        <f>IF(_xlfn.XLOOKUP(A62,[1]分配表!L:L,[1]分配表!O:O)=0,"未出单",_xlfn.XLOOKUP(A62,[1]分配表!L:L,[1]分配表!O:O))</f>
        <v>46068</v>
      </c>
      <c r="I62" s="142" t="s">
        <v>106</v>
      </c>
      <c r="J62" s="143">
        <v>2</v>
      </c>
      <c r="K62" s="144">
        <v>4</v>
      </c>
      <c r="L62" s="142" t="s">
        <v>106</v>
      </c>
      <c r="M62" s="145" t="s">
        <v>39</v>
      </c>
      <c r="N62" s="146" t="s">
        <v>39</v>
      </c>
      <c r="O62" s="142" t="s">
        <v>106</v>
      </c>
      <c r="P62" s="145" t="s">
        <v>35</v>
      </c>
      <c r="Q62" s="147" t="s">
        <v>40</v>
      </c>
      <c r="R62" s="142" t="s">
        <v>106</v>
      </c>
      <c r="S62" s="143">
        <v>5</v>
      </c>
      <c r="T62" s="144">
        <v>13</v>
      </c>
      <c r="U62" s="142" t="s">
        <v>106</v>
      </c>
      <c r="V62" s="143">
        <v>0</v>
      </c>
      <c r="W62" s="144">
        <v>0</v>
      </c>
      <c r="X62" s="142" t="s">
        <v>106</v>
      </c>
      <c r="Y62" s="149">
        <v>2495</v>
      </c>
      <c r="Z62" s="150">
        <v>6462.05</v>
      </c>
      <c r="AA62" s="142" t="s">
        <v>106</v>
      </c>
      <c r="AB62" s="152">
        <v>1</v>
      </c>
      <c r="AC62" s="153">
        <v>1</v>
      </c>
      <c r="AI62" s="116"/>
      <c r="AJ62" s="116"/>
      <c r="AK62" s="116"/>
    </row>
    <row r="63" customFormat="1" ht="22.5" customHeight="1" spans="1:37">
      <c r="A63" s="138">
        <v>11929</v>
      </c>
      <c r="B63" s="139" t="s">
        <v>114</v>
      </c>
      <c r="C63" s="140">
        <v>46062</v>
      </c>
      <c r="D63" s="155" t="s">
        <v>49</v>
      </c>
      <c r="E63" s="141" t="s">
        <v>49</v>
      </c>
      <c r="F63" s="141" t="s">
        <v>46</v>
      </c>
      <c r="G63" s="141" t="s">
        <v>32</v>
      </c>
      <c r="H63" s="141">
        <f>IF(_xlfn.XLOOKUP(A63,[1]分配表!L:L,[1]分配表!O:O)=0,"未出单",_xlfn.XLOOKUP(A63,[1]分配表!L:L,[1]分配表!O:O))</f>
        <v>46066</v>
      </c>
      <c r="I63" s="142" t="s">
        <v>106</v>
      </c>
      <c r="J63" s="143">
        <v>2</v>
      </c>
      <c r="K63" s="144">
        <v>1</v>
      </c>
      <c r="L63" s="142" t="s">
        <v>106</v>
      </c>
      <c r="M63" s="145" t="s">
        <v>39</v>
      </c>
      <c r="N63" s="146" t="s">
        <v>39</v>
      </c>
      <c r="O63" s="142" t="s">
        <v>106</v>
      </c>
      <c r="P63" s="145" t="s">
        <v>43</v>
      </c>
      <c r="Q63" s="147" t="s">
        <v>36</v>
      </c>
      <c r="R63" s="142" t="s">
        <v>106</v>
      </c>
      <c r="S63" s="143">
        <v>46</v>
      </c>
      <c r="T63" s="144">
        <v>2</v>
      </c>
      <c r="U63" s="142" t="s">
        <v>106</v>
      </c>
      <c r="V63" s="143">
        <v>20</v>
      </c>
      <c r="W63" s="144">
        <v>4</v>
      </c>
      <c r="X63" s="142" t="s">
        <v>106</v>
      </c>
      <c r="Y63" s="149">
        <v>5290</v>
      </c>
      <c r="Z63" s="150">
        <v>236</v>
      </c>
      <c r="AA63" s="142" t="s">
        <v>106</v>
      </c>
      <c r="AB63" s="152">
        <v>0.696969696969697</v>
      </c>
      <c r="AC63" s="153">
        <v>0.333333333333333</v>
      </c>
      <c r="AI63" s="116"/>
      <c r="AJ63" s="116"/>
      <c r="AK63" s="116"/>
    </row>
    <row r="64" customFormat="1" ht="22.5" customHeight="1" spans="1:37">
      <c r="A64" s="138">
        <v>12061</v>
      </c>
      <c r="B64" s="139" t="s">
        <v>115</v>
      </c>
      <c r="C64" s="140">
        <v>46062</v>
      </c>
      <c r="D64" s="155" t="s">
        <v>102</v>
      </c>
      <c r="E64" s="141" t="s">
        <v>102</v>
      </c>
      <c r="F64" s="141" t="s">
        <v>46</v>
      </c>
      <c r="G64" s="141" t="s">
        <v>47</v>
      </c>
      <c r="H64" s="141">
        <f>IF(_xlfn.XLOOKUP(A64,[1]分配表!L:L,[1]分配表!O:O)=0,"未出单",_xlfn.XLOOKUP(A64,[1]分配表!L:L,[1]分配表!O:O))</f>
        <v>46068</v>
      </c>
      <c r="I64" s="142" t="s">
        <v>106</v>
      </c>
      <c r="J64" s="143">
        <v>1</v>
      </c>
      <c r="K64" s="144">
        <v>6</v>
      </c>
      <c r="L64" s="142" t="s">
        <v>106</v>
      </c>
      <c r="M64" s="145" t="s">
        <v>39</v>
      </c>
      <c r="N64" s="146" t="s">
        <v>39</v>
      </c>
      <c r="O64" s="142" t="s">
        <v>106</v>
      </c>
      <c r="P64" s="145" t="s">
        <v>43</v>
      </c>
      <c r="Q64" s="147" t="s">
        <v>40</v>
      </c>
      <c r="R64" s="142" t="s">
        <v>106</v>
      </c>
      <c r="S64" s="143">
        <v>3</v>
      </c>
      <c r="T64" s="144">
        <v>14</v>
      </c>
      <c r="U64" s="142" t="s">
        <v>106</v>
      </c>
      <c r="V64" s="143">
        <v>0</v>
      </c>
      <c r="W64" s="144">
        <v>0</v>
      </c>
      <c r="X64" s="142" t="s">
        <v>106</v>
      </c>
      <c r="Y64" s="149">
        <v>177</v>
      </c>
      <c r="Z64" s="150">
        <v>699.6</v>
      </c>
      <c r="AA64" s="142" t="s">
        <v>106</v>
      </c>
      <c r="AB64" s="152">
        <v>1</v>
      </c>
      <c r="AC64" s="153">
        <v>1</v>
      </c>
      <c r="AI64" s="116"/>
      <c r="AJ64" s="116"/>
      <c r="AK64" s="116"/>
    </row>
    <row r="65" customFormat="1" ht="22.5" customHeight="1" spans="1:37">
      <c r="A65" s="138">
        <v>11990</v>
      </c>
      <c r="B65" s="139" t="s">
        <v>116</v>
      </c>
      <c r="C65" s="140">
        <v>46062</v>
      </c>
      <c r="D65" s="155" t="s">
        <v>45</v>
      </c>
      <c r="E65" s="141" t="s">
        <v>45</v>
      </c>
      <c r="F65" s="141" t="s">
        <v>53</v>
      </c>
      <c r="G65" s="141" t="s">
        <v>32</v>
      </c>
      <c r="H65" s="141" t="str">
        <f>IF(_xlfn.XLOOKUP(A65,[1]分配表!L:L,[1]分配表!O:O)=0,"未出单",_xlfn.XLOOKUP(A65,[1]分配表!L:L,[1]分配表!O:O))</f>
        <v>未出单</v>
      </c>
      <c r="I65" s="142" t="s">
        <v>106</v>
      </c>
      <c r="J65" s="143">
        <v>2</v>
      </c>
      <c r="K65" s="144">
        <v>4</v>
      </c>
      <c r="L65" s="142" t="s">
        <v>106</v>
      </c>
      <c r="M65" s="145" t="s">
        <v>33</v>
      </c>
      <c r="N65" s="146" t="s">
        <v>33</v>
      </c>
      <c r="O65" s="142" t="s">
        <v>106</v>
      </c>
      <c r="P65" s="145" t="s">
        <v>43</v>
      </c>
      <c r="Q65" s="147" t="s">
        <v>35</v>
      </c>
      <c r="R65" s="142" t="s">
        <v>106</v>
      </c>
      <c r="S65" s="143">
        <v>0</v>
      </c>
      <c r="T65" s="144">
        <v>0</v>
      </c>
      <c r="U65" s="142" t="s">
        <v>106</v>
      </c>
      <c r="V65" s="143">
        <v>0</v>
      </c>
      <c r="W65" s="144">
        <v>0</v>
      </c>
      <c r="X65" s="142" t="s">
        <v>106</v>
      </c>
      <c r="Y65" s="149">
        <v>0</v>
      </c>
      <c r="Z65" s="150">
        <v>0</v>
      </c>
      <c r="AA65" s="142" t="s">
        <v>106</v>
      </c>
      <c r="AB65" s="152">
        <v>0</v>
      </c>
      <c r="AC65" s="153" t="s">
        <v>62</v>
      </c>
      <c r="AI65" s="116"/>
      <c r="AJ65" s="116"/>
      <c r="AK65" s="116"/>
    </row>
    <row r="66" customFormat="1" ht="22.5" customHeight="1" spans="1:37">
      <c r="A66" s="138">
        <v>11991</v>
      </c>
      <c r="B66" s="139" t="s">
        <v>117</v>
      </c>
      <c r="C66" s="140">
        <v>46062</v>
      </c>
      <c r="D66" s="155" t="s">
        <v>45</v>
      </c>
      <c r="E66" s="141" t="s">
        <v>45</v>
      </c>
      <c r="F66" s="141" t="s">
        <v>53</v>
      </c>
      <c r="G66" s="141" t="s">
        <v>47</v>
      </c>
      <c r="H66" s="141">
        <f>IF(_xlfn.XLOOKUP(A66,[1]分配表!L:L,[1]分配表!O:O)=0,"未出单",_xlfn.XLOOKUP(A66,[1]分配表!L:L,[1]分配表!O:O))</f>
        <v>46093</v>
      </c>
      <c r="I66" s="142" t="s">
        <v>106</v>
      </c>
      <c r="J66" s="143">
        <v>2</v>
      </c>
      <c r="K66" s="144">
        <v>3</v>
      </c>
      <c r="L66" s="142" t="s">
        <v>106</v>
      </c>
      <c r="M66" s="145" t="s">
        <v>33</v>
      </c>
      <c r="N66" s="146" t="s">
        <v>34</v>
      </c>
      <c r="O66" s="142" t="s">
        <v>106</v>
      </c>
      <c r="P66" s="145" t="s">
        <v>43</v>
      </c>
      <c r="Q66" s="147" t="s">
        <v>43</v>
      </c>
      <c r="R66" s="142" t="s">
        <v>106</v>
      </c>
      <c r="S66" s="143">
        <v>0</v>
      </c>
      <c r="T66" s="144">
        <v>2</v>
      </c>
      <c r="U66" s="142" t="s">
        <v>106</v>
      </c>
      <c r="V66" s="143">
        <v>0</v>
      </c>
      <c r="W66" s="144">
        <v>0</v>
      </c>
      <c r="X66" s="142" t="s">
        <v>106</v>
      </c>
      <c r="Y66" s="149">
        <v>0</v>
      </c>
      <c r="Z66" s="150">
        <v>80</v>
      </c>
      <c r="AA66" s="142" t="s">
        <v>106</v>
      </c>
      <c r="AB66" s="152">
        <v>0</v>
      </c>
      <c r="AC66" s="153">
        <v>1</v>
      </c>
      <c r="AI66" s="116"/>
      <c r="AJ66" s="116"/>
      <c r="AK66" s="116"/>
    </row>
    <row r="67" customFormat="1" ht="22.5" customHeight="1" spans="1:37">
      <c r="A67" s="156">
        <v>11981</v>
      </c>
      <c r="B67" s="139" t="s">
        <v>118</v>
      </c>
      <c r="C67" s="140">
        <v>46066</v>
      </c>
      <c r="D67" s="157" t="s">
        <v>102</v>
      </c>
      <c r="E67" s="141" t="s">
        <v>102</v>
      </c>
      <c r="F67" s="141" t="s">
        <v>31</v>
      </c>
      <c r="G67" s="141" t="s">
        <v>32</v>
      </c>
      <c r="H67" s="141">
        <f>IF(_xlfn.XLOOKUP(A67,[1]分配表!L:L,[1]分配表!O:O)=0,"未出单",_xlfn.XLOOKUP(A67,[1]分配表!L:L,[1]分配表!O:O))</f>
        <v>46071</v>
      </c>
      <c r="I67" s="142" t="s">
        <v>106</v>
      </c>
      <c r="J67" s="143">
        <v>1</v>
      </c>
      <c r="K67" s="144">
        <v>3</v>
      </c>
      <c r="L67" s="142" t="s">
        <v>106</v>
      </c>
      <c r="M67" s="145" t="s">
        <v>39</v>
      </c>
      <c r="N67" s="146" t="s">
        <v>39</v>
      </c>
      <c r="O67" s="142" t="s">
        <v>106</v>
      </c>
      <c r="P67" s="145" t="s">
        <v>43</v>
      </c>
      <c r="Q67" s="147" t="s">
        <v>43</v>
      </c>
      <c r="R67" s="142" t="s">
        <v>106</v>
      </c>
      <c r="S67" s="143">
        <v>1</v>
      </c>
      <c r="T67" s="144">
        <v>3</v>
      </c>
      <c r="U67" s="142" t="s">
        <v>106</v>
      </c>
      <c r="V67" s="143">
        <v>1</v>
      </c>
      <c r="W67" s="144">
        <v>0</v>
      </c>
      <c r="X67" s="142" t="s">
        <v>106</v>
      </c>
      <c r="Y67" s="149">
        <v>159</v>
      </c>
      <c r="Z67" s="150">
        <v>448</v>
      </c>
      <c r="AA67" s="142" t="s">
        <v>106</v>
      </c>
      <c r="AB67" s="152">
        <v>0.5</v>
      </c>
      <c r="AC67" s="153">
        <v>1</v>
      </c>
      <c r="AI67" s="116"/>
      <c r="AJ67" s="116"/>
      <c r="AK67" s="116"/>
    </row>
    <row r="68" customFormat="1" ht="22.5" customHeight="1" spans="1:37">
      <c r="A68" s="156">
        <v>11890</v>
      </c>
      <c r="B68" s="139" t="s">
        <v>119</v>
      </c>
      <c r="C68" s="140">
        <v>46066</v>
      </c>
      <c r="D68" s="157" t="s">
        <v>65</v>
      </c>
      <c r="E68" s="141" t="s">
        <v>65</v>
      </c>
      <c r="F68" s="141" t="s">
        <v>46</v>
      </c>
      <c r="G68" s="141" t="s">
        <v>47</v>
      </c>
      <c r="H68" s="141">
        <f>IF(_xlfn.XLOOKUP(A68,[1]分配表!L:L,[1]分配表!O:O)=0,"未出单",_xlfn.XLOOKUP(A68,[1]分配表!L:L,[1]分配表!O:O))</f>
        <v>46079</v>
      </c>
      <c r="I68" s="142" t="s">
        <v>106</v>
      </c>
      <c r="J68" s="143">
        <v>3</v>
      </c>
      <c r="K68" s="144">
        <v>1</v>
      </c>
      <c r="L68" s="142" t="s">
        <v>106</v>
      </c>
      <c r="M68" s="145" t="s">
        <v>34</v>
      </c>
      <c r="N68" s="146" t="s">
        <v>34</v>
      </c>
      <c r="O68" s="142" t="s">
        <v>106</v>
      </c>
      <c r="P68" s="145" t="s">
        <v>43</v>
      </c>
      <c r="Q68" s="147" t="s">
        <v>36</v>
      </c>
      <c r="R68" s="142" t="s">
        <v>106</v>
      </c>
      <c r="S68" s="143">
        <v>1</v>
      </c>
      <c r="T68" s="144">
        <v>5</v>
      </c>
      <c r="U68" s="142" t="s">
        <v>106</v>
      </c>
      <c r="V68" s="143">
        <v>2</v>
      </c>
      <c r="W68" s="144">
        <v>5</v>
      </c>
      <c r="X68" s="142" t="s">
        <v>106</v>
      </c>
      <c r="Y68" s="149">
        <v>46</v>
      </c>
      <c r="Z68" s="150">
        <v>220</v>
      </c>
      <c r="AA68" s="142" t="s">
        <v>106</v>
      </c>
      <c r="AB68" s="152">
        <v>0.333333333333333</v>
      </c>
      <c r="AC68" s="153">
        <v>0.5</v>
      </c>
      <c r="AI68" s="116"/>
      <c r="AJ68" s="116"/>
      <c r="AK68" s="116"/>
    </row>
    <row r="69" customFormat="1" ht="22.5" customHeight="1" spans="1:37">
      <c r="A69" s="156">
        <v>11989</v>
      </c>
      <c r="B69" s="139" t="s">
        <v>120</v>
      </c>
      <c r="C69" s="140">
        <v>46066</v>
      </c>
      <c r="D69" s="157" t="s">
        <v>102</v>
      </c>
      <c r="E69" s="141" t="s">
        <v>102</v>
      </c>
      <c r="F69" s="141" t="s">
        <v>38</v>
      </c>
      <c r="G69" s="141" t="s">
        <v>32</v>
      </c>
      <c r="H69" s="141">
        <f>IF(_xlfn.XLOOKUP(A69,[1]分配表!L:L,[1]分配表!O:O)=0,"未出单",_xlfn.XLOOKUP(A69,[1]分配表!L:L,[1]分配表!O:O))</f>
        <v>46072</v>
      </c>
      <c r="I69" s="142" t="s">
        <v>106</v>
      </c>
      <c r="J69" s="143">
        <v>1</v>
      </c>
      <c r="K69" s="144">
        <v>6</v>
      </c>
      <c r="L69" s="142" t="s">
        <v>106</v>
      </c>
      <c r="M69" s="145" t="s">
        <v>39</v>
      </c>
      <c r="N69" s="146" t="s">
        <v>39</v>
      </c>
      <c r="O69" s="142" t="s">
        <v>106</v>
      </c>
      <c r="P69" s="145" t="s">
        <v>50</v>
      </c>
      <c r="Q69" s="147" t="s">
        <v>43</v>
      </c>
      <c r="R69" s="142" t="s">
        <v>106</v>
      </c>
      <c r="S69" s="143">
        <v>3</v>
      </c>
      <c r="T69" s="144">
        <v>8</v>
      </c>
      <c r="U69" s="142" t="s">
        <v>106</v>
      </c>
      <c r="V69" s="143">
        <v>2</v>
      </c>
      <c r="W69" s="144">
        <v>7</v>
      </c>
      <c r="X69" s="142" t="s">
        <v>106</v>
      </c>
      <c r="Y69" s="149">
        <v>315</v>
      </c>
      <c r="Z69" s="150">
        <v>840</v>
      </c>
      <c r="AA69" s="142" t="s">
        <v>106</v>
      </c>
      <c r="AB69" s="152">
        <v>0.6</v>
      </c>
      <c r="AC69" s="153">
        <v>0.533333333333333</v>
      </c>
      <c r="AI69" s="116"/>
      <c r="AJ69" s="116"/>
      <c r="AK69" s="116"/>
    </row>
    <row r="70" customFormat="1" ht="22.5" customHeight="1" spans="1:37">
      <c r="A70" s="156">
        <v>12088</v>
      </c>
      <c r="B70" s="139" t="s">
        <v>121</v>
      </c>
      <c r="C70" s="140">
        <v>46066</v>
      </c>
      <c r="D70" s="157" t="s">
        <v>65</v>
      </c>
      <c r="E70" s="141" t="s">
        <v>65</v>
      </c>
      <c r="F70" s="141" t="s">
        <v>66</v>
      </c>
      <c r="G70" s="141" t="s">
        <v>47</v>
      </c>
      <c r="H70" s="141">
        <f>IF(_xlfn.XLOOKUP(A70,[1]分配表!L:L,[1]分配表!O:O)=0,"未出单",_xlfn.XLOOKUP(A70,[1]分配表!L:L,[1]分配表!O:O))</f>
        <v>46068</v>
      </c>
      <c r="I70" s="142" t="s">
        <v>106</v>
      </c>
      <c r="J70" s="143">
        <v>2</v>
      </c>
      <c r="K70" s="144">
        <v>1</v>
      </c>
      <c r="L70" s="142" t="s">
        <v>106</v>
      </c>
      <c r="M70" s="145" t="s">
        <v>39</v>
      </c>
      <c r="N70" s="146" t="s">
        <v>39</v>
      </c>
      <c r="O70" s="142" t="s">
        <v>106</v>
      </c>
      <c r="P70" s="145" t="s">
        <v>36</v>
      </c>
      <c r="Q70" s="147" t="s">
        <v>36</v>
      </c>
      <c r="R70" s="142" t="s">
        <v>106</v>
      </c>
      <c r="S70" s="143">
        <v>2</v>
      </c>
      <c r="T70" s="144">
        <v>13</v>
      </c>
      <c r="U70" s="142" t="s">
        <v>106</v>
      </c>
      <c r="V70" s="143">
        <v>11</v>
      </c>
      <c r="W70" s="144">
        <v>13</v>
      </c>
      <c r="X70" s="142" t="s">
        <v>106</v>
      </c>
      <c r="Y70" s="149">
        <v>166</v>
      </c>
      <c r="Z70" s="150">
        <v>1079</v>
      </c>
      <c r="AA70" s="142" t="s">
        <v>106</v>
      </c>
      <c r="AB70" s="152">
        <v>0.153846153846154</v>
      </c>
      <c r="AC70" s="153">
        <v>0.5</v>
      </c>
      <c r="AI70" s="116"/>
      <c r="AJ70" s="116"/>
      <c r="AK70" s="116"/>
    </row>
    <row r="71" customFormat="1" ht="22.5" customHeight="1" spans="1:37">
      <c r="A71" s="156">
        <v>12089</v>
      </c>
      <c r="B71" s="139" t="s">
        <v>122</v>
      </c>
      <c r="C71" s="140">
        <v>46066</v>
      </c>
      <c r="D71" s="157" t="s">
        <v>65</v>
      </c>
      <c r="E71" s="141" t="s">
        <v>65</v>
      </c>
      <c r="F71" s="141" t="s">
        <v>66</v>
      </c>
      <c r="G71" s="141" t="s">
        <v>47</v>
      </c>
      <c r="H71" s="141">
        <f>IF(_xlfn.XLOOKUP(A71,[1]分配表!L:L,[1]分配表!O:O)=0,"未出单",_xlfn.XLOOKUP(A71,[1]分配表!L:L,[1]分配表!O:O))</f>
        <v>46070</v>
      </c>
      <c r="I71" s="142" t="s">
        <v>106</v>
      </c>
      <c r="J71" s="143">
        <v>2</v>
      </c>
      <c r="K71" s="144">
        <v>1</v>
      </c>
      <c r="L71" s="142" t="s">
        <v>106</v>
      </c>
      <c r="M71" s="145" t="s">
        <v>39</v>
      </c>
      <c r="N71" s="146" t="s">
        <v>39</v>
      </c>
      <c r="O71" s="142" t="s">
        <v>106</v>
      </c>
      <c r="P71" s="145" t="s">
        <v>43</v>
      </c>
      <c r="Q71" s="147" t="s">
        <v>40</v>
      </c>
      <c r="R71" s="142" t="s">
        <v>106</v>
      </c>
      <c r="S71" s="143">
        <v>1</v>
      </c>
      <c r="T71" s="144">
        <v>13</v>
      </c>
      <c r="U71" s="142" t="s">
        <v>106</v>
      </c>
      <c r="V71" s="143">
        <v>1</v>
      </c>
      <c r="W71" s="144">
        <v>4</v>
      </c>
      <c r="X71" s="142" t="s">
        <v>106</v>
      </c>
      <c r="Y71" s="149">
        <v>89</v>
      </c>
      <c r="Z71" s="150">
        <v>1148.1</v>
      </c>
      <c r="AA71" s="142" t="s">
        <v>106</v>
      </c>
      <c r="AB71" s="152">
        <v>0.5</v>
      </c>
      <c r="AC71" s="153">
        <v>0.764705882352941</v>
      </c>
      <c r="AI71" s="116"/>
      <c r="AJ71" s="116"/>
      <c r="AK71" s="116"/>
    </row>
    <row r="72" customFormat="1" ht="22.5" customHeight="1" spans="1:37">
      <c r="A72" s="156">
        <v>12002</v>
      </c>
      <c r="B72" s="139" t="s">
        <v>123</v>
      </c>
      <c r="C72" s="140">
        <v>46066</v>
      </c>
      <c r="D72" s="157" t="s">
        <v>65</v>
      </c>
      <c r="E72" s="141" t="s">
        <v>65</v>
      </c>
      <c r="F72" s="141" t="s">
        <v>66</v>
      </c>
      <c r="G72" s="141" t="s">
        <v>32</v>
      </c>
      <c r="H72" s="141">
        <f>IF(_xlfn.XLOOKUP(A72,[1]分配表!L:L,[1]分配表!O:O)=0,"未出单",_xlfn.XLOOKUP(A72,[1]分配表!L:L,[1]分配表!O:O))</f>
        <v>46084</v>
      </c>
      <c r="I72" s="142" t="s">
        <v>106</v>
      </c>
      <c r="J72" s="143">
        <v>3</v>
      </c>
      <c r="K72" s="144">
        <v>1</v>
      </c>
      <c r="L72" s="142" t="s">
        <v>106</v>
      </c>
      <c r="M72" s="145" t="s">
        <v>33</v>
      </c>
      <c r="N72" s="146" t="s">
        <v>34</v>
      </c>
      <c r="O72" s="142" t="s">
        <v>106</v>
      </c>
      <c r="P72" s="145" t="s">
        <v>43</v>
      </c>
      <c r="Q72" s="147" t="s">
        <v>43</v>
      </c>
      <c r="R72" s="142" t="s">
        <v>106</v>
      </c>
      <c r="S72" s="143">
        <v>0</v>
      </c>
      <c r="T72" s="144">
        <v>3</v>
      </c>
      <c r="U72" s="142" t="s">
        <v>106</v>
      </c>
      <c r="V72" s="143">
        <v>0</v>
      </c>
      <c r="W72" s="144">
        <v>0</v>
      </c>
      <c r="X72" s="142" t="s">
        <v>106</v>
      </c>
      <c r="Y72" s="149">
        <v>0</v>
      </c>
      <c r="Z72" s="150">
        <v>240</v>
      </c>
      <c r="AA72" s="142" t="s">
        <v>106</v>
      </c>
      <c r="AB72" s="152">
        <v>0</v>
      </c>
      <c r="AC72" s="153">
        <v>1</v>
      </c>
      <c r="AI72" s="116"/>
      <c r="AJ72" s="116"/>
      <c r="AK72" s="116"/>
    </row>
    <row r="73" customFormat="1" ht="22.5" customHeight="1" spans="1:37">
      <c r="A73" s="156">
        <v>11938</v>
      </c>
      <c r="B73" s="139" t="s">
        <v>124</v>
      </c>
      <c r="C73" s="140">
        <v>46066</v>
      </c>
      <c r="D73" s="157" t="s">
        <v>65</v>
      </c>
      <c r="E73" s="141" t="s">
        <v>65</v>
      </c>
      <c r="F73" s="141" t="s">
        <v>66</v>
      </c>
      <c r="G73" s="141" t="s">
        <v>47</v>
      </c>
      <c r="H73" s="141" t="str">
        <f>IF(_xlfn.XLOOKUP(A73,[1]分配表!L:L,[1]分配表!O:O)=0,"未出单",_xlfn.XLOOKUP(A73,[1]分配表!L:L,[1]分配表!O:O))</f>
        <v>未出单</v>
      </c>
      <c r="I73" s="142" t="s">
        <v>106</v>
      </c>
      <c r="J73" s="143">
        <v>3</v>
      </c>
      <c r="K73" s="144">
        <v>1</v>
      </c>
      <c r="L73" s="142" t="s">
        <v>106</v>
      </c>
      <c r="M73" s="145" t="s">
        <v>33</v>
      </c>
      <c r="N73" s="146" t="s">
        <v>33</v>
      </c>
      <c r="O73" s="142" t="s">
        <v>106</v>
      </c>
      <c r="P73" s="145" t="s">
        <v>50</v>
      </c>
      <c r="Q73" s="147" t="s">
        <v>35</v>
      </c>
      <c r="R73" s="142" t="s">
        <v>106</v>
      </c>
      <c r="S73" s="143">
        <v>0</v>
      </c>
      <c r="T73" s="144">
        <v>0</v>
      </c>
      <c r="U73" s="142" t="s">
        <v>106</v>
      </c>
      <c r="V73" s="143">
        <v>0</v>
      </c>
      <c r="W73" s="144">
        <v>0</v>
      </c>
      <c r="X73" s="142" t="s">
        <v>106</v>
      </c>
      <c r="Y73" s="149">
        <v>0</v>
      </c>
      <c r="Z73" s="150">
        <v>0</v>
      </c>
      <c r="AA73" s="142" t="s">
        <v>106</v>
      </c>
      <c r="AB73" s="152">
        <v>0</v>
      </c>
      <c r="AC73" s="153" t="s">
        <v>62</v>
      </c>
      <c r="AI73" s="116"/>
      <c r="AJ73" s="116"/>
      <c r="AK73" s="116"/>
    </row>
    <row r="74" customFormat="1" ht="22.5" customHeight="1" spans="1:37">
      <c r="A74" s="156">
        <v>12005</v>
      </c>
      <c r="B74" s="139" t="s">
        <v>125</v>
      </c>
      <c r="C74" s="140">
        <v>46066</v>
      </c>
      <c r="D74" s="157" t="s">
        <v>65</v>
      </c>
      <c r="E74" s="141" t="s">
        <v>65</v>
      </c>
      <c r="F74" s="141" t="s">
        <v>66</v>
      </c>
      <c r="G74" s="141" t="s">
        <v>32</v>
      </c>
      <c r="H74" s="141">
        <f>IF(_xlfn.XLOOKUP(A74,[1]分配表!L:L,[1]分配表!O:O)=0,"未出单",_xlfn.XLOOKUP(A74,[1]分配表!L:L,[1]分配表!O:O))</f>
        <v>46077</v>
      </c>
      <c r="I74" s="142" t="s">
        <v>106</v>
      </c>
      <c r="J74" s="143">
        <v>3</v>
      </c>
      <c r="K74" s="144">
        <v>1</v>
      </c>
      <c r="L74" s="142" t="s">
        <v>106</v>
      </c>
      <c r="M74" s="145" t="s">
        <v>34</v>
      </c>
      <c r="N74" s="146" t="s">
        <v>34</v>
      </c>
      <c r="O74" s="142" t="s">
        <v>106</v>
      </c>
      <c r="P74" s="145" t="s">
        <v>36</v>
      </c>
      <c r="Q74" s="147" t="s">
        <v>36</v>
      </c>
      <c r="R74" s="142" t="s">
        <v>106</v>
      </c>
      <c r="S74" s="143">
        <v>1</v>
      </c>
      <c r="T74" s="144">
        <v>39</v>
      </c>
      <c r="U74" s="142" t="s">
        <v>106</v>
      </c>
      <c r="V74" s="143">
        <v>49</v>
      </c>
      <c r="W74" s="144">
        <v>1</v>
      </c>
      <c r="X74" s="142" t="s">
        <v>106</v>
      </c>
      <c r="Y74" s="149">
        <v>70</v>
      </c>
      <c r="Z74" s="150">
        <v>2730</v>
      </c>
      <c r="AA74" s="142" t="s">
        <v>106</v>
      </c>
      <c r="AB74" s="152">
        <v>0.02</v>
      </c>
      <c r="AC74" s="153">
        <v>0.975</v>
      </c>
      <c r="AI74" s="116"/>
      <c r="AJ74" s="116"/>
      <c r="AK74" s="116"/>
    </row>
    <row r="75" customFormat="1" ht="22.5" customHeight="1" spans="1:37">
      <c r="A75" s="156">
        <v>12006</v>
      </c>
      <c r="B75" s="139" t="s">
        <v>126</v>
      </c>
      <c r="C75" s="140">
        <v>46066</v>
      </c>
      <c r="D75" s="157" t="s">
        <v>65</v>
      </c>
      <c r="E75" s="141" t="s">
        <v>65</v>
      </c>
      <c r="F75" s="141" t="s">
        <v>66</v>
      </c>
      <c r="G75" s="141" t="s">
        <v>32</v>
      </c>
      <c r="H75" s="141">
        <f>IF(_xlfn.XLOOKUP(A75,[1]分配表!L:L,[1]分配表!O:O)=0,"未出单",_xlfn.XLOOKUP(A75,[1]分配表!L:L,[1]分配表!O:O))</f>
        <v>46070</v>
      </c>
      <c r="I75" s="142" t="s">
        <v>106</v>
      </c>
      <c r="J75" s="143">
        <v>2</v>
      </c>
      <c r="K75" s="144">
        <v>1</v>
      </c>
      <c r="L75" s="142" t="s">
        <v>106</v>
      </c>
      <c r="M75" s="145" t="s">
        <v>39</v>
      </c>
      <c r="N75" s="146" t="s">
        <v>39</v>
      </c>
      <c r="O75" s="142" t="s">
        <v>106</v>
      </c>
      <c r="P75" s="145" t="s">
        <v>36</v>
      </c>
      <c r="Q75" s="147" t="s">
        <v>40</v>
      </c>
      <c r="R75" s="142" t="s">
        <v>106</v>
      </c>
      <c r="S75" s="143">
        <v>4</v>
      </c>
      <c r="T75" s="144">
        <v>37</v>
      </c>
      <c r="U75" s="142" t="s">
        <v>106</v>
      </c>
      <c r="V75" s="143">
        <v>25</v>
      </c>
      <c r="W75" s="144">
        <v>0</v>
      </c>
      <c r="X75" s="142" t="s">
        <v>106</v>
      </c>
      <c r="Y75" s="149">
        <v>280</v>
      </c>
      <c r="Z75" s="150">
        <v>2544.5</v>
      </c>
      <c r="AA75" s="142" t="s">
        <v>106</v>
      </c>
      <c r="AB75" s="152">
        <v>0.137931034482759</v>
      </c>
      <c r="AC75" s="153">
        <v>1</v>
      </c>
      <c r="AI75" s="116"/>
      <c r="AJ75" s="116"/>
      <c r="AK75" s="116"/>
    </row>
    <row r="76" customFormat="1" ht="22.5" customHeight="1" spans="1:37">
      <c r="A76" s="156">
        <v>12011</v>
      </c>
      <c r="B76" s="139" t="s">
        <v>127</v>
      </c>
      <c r="C76" s="140">
        <v>46066</v>
      </c>
      <c r="D76" s="157" t="s">
        <v>102</v>
      </c>
      <c r="E76" s="141" t="s">
        <v>102</v>
      </c>
      <c r="F76" s="141" t="s">
        <v>31</v>
      </c>
      <c r="G76" s="141" t="s">
        <v>32</v>
      </c>
      <c r="H76" s="141">
        <f>IF(_xlfn.XLOOKUP(A76,[1]分配表!L:L,[1]分配表!O:O)=0,"未出单",_xlfn.XLOOKUP(A76,[1]分配表!L:L,[1]分配表!O:O))</f>
        <v>46071</v>
      </c>
      <c r="I76" s="142" t="s">
        <v>106</v>
      </c>
      <c r="J76" s="143">
        <v>1</v>
      </c>
      <c r="K76" s="144">
        <v>3</v>
      </c>
      <c r="L76" s="142" t="s">
        <v>106</v>
      </c>
      <c r="M76" s="145" t="s">
        <v>39</v>
      </c>
      <c r="N76" s="146" t="s">
        <v>39</v>
      </c>
      <c r="O76" s="142" t="s">
        <v>106</v>
      </c>
      <c r="P76" s="145" t="s">
        <v>36</v>
      </c>
      <c r="Q76" s="147" t="s">
        <v>36</v>
      </c>
      <c r="R76" s="142" t="s">
        <v>106</v>
      </c>
      <c r="S76" s="143">
        <v>8</v>
      </c>
      <c r="T76" s="144">
        <v>17</v>
      </c>
      <c r="U76" s="142" t="s">
        <v>106</v>
      </c>
      <c r="V76" s="143">
        <v>5</v>
      </c>
      <c r="W76" s="144">
        <v>8</v>
      </c>
      <c r="X76" s="142" t="s">
        <v>106</v>
      </c>
      <c r="Y76" s="149">
        <v>1080</v>
      </c>
      <c r="Z76" s="150">
        <v>2288.25</v>
      </c>
      <c r="AA76" s="142" t="s">
        <v>106</v>
      </c>
      <c r="AB76" s="152">
        <v>0.615384615384615</v>
      </c>
      <c r="AC76" s="153">
        <v>0.68</v>
      </c>
      <c r="AI76" s="116"/>
      <c r="AJ76" s="116"/>
      <c r="AK76" s="116"/>
    </row>
    <row r="77" customFormat="1" ht="22.5" customHeight="1" spans="1:37">
      <c r="A77" s="156">
        <v>12021</v>
      </c>
      <c r="B77" s="139" t="s">
        <v>128</v>
      </c>
      <c r="C77" s="140">
        <v>46066</v>
      </c>
      <c r="D77" s="157" t="s">
        <v>65</v>
      </c>
      <c r="E77" s="141" t="s">
        <v>65</v>
      </c>
      <c r="F77" s="141" t="s">
        <v>60</v>
      </c>
      <c r="G77" s="141" t="s">
        <v>32</v>
      </c>
      <c r="H77" s="141">
        <f>IF(_xlfn.XLOOKUP(A77,[1]分配表!L:L,[1]分配表!O:O)=0,"未出单",_xlfn.XLOOKUP(A77,[1]分配表!L:L,[1]分配表!O:O))</f>
        <v>46069</v>
      </c>
      <c r="I77" s="142" t="s">
        <v>106</v>
      </c>
      <c r="J77" s="143">
        <v>2</v>
      </c>
      <c r="K77" s="144">
        <v>2</v>
      </c>
      <c r="L77" s="142" t="s">
        <v>106</v>
      </c>
      <c r="M77" s="145" t="s">
        <v>39</v>
      </c>
      <c r="N77" s="146" t="s">
        <v>39</v>
      </c>
      <c r="O77" s="142" t="s">
        <v>106</v>
      </c>
      <c r="P77" s="145" t="s">
        <v>36</v>
      </c>
      <c r="Q77" s="147" t="s">
        <v>36</v>
      </c>
      <c r="R77" s="142" t="s">
        <v>106</v>
      </c>
      <c r="S77" s="143">
        <v>4</v>
      </c>
      <c r="T77" s="144">
        <v>9</v>
      </c>
      <c r="U77" s="142" t="s">
        <v>106</v>
      </c>
      <c r="V77" s="143">
        <v>8</v>
      </c>
      <c r="W77" s="144">
        <v>16</v>
      </c>
      <c r="X77" s="142" t="s">
        <v>106</v>
      </c>
      <c r="Y77" s="149">
        <v>212</v>
      </c>
      <c r="Z77" s="150">
        <v>477</v>
      </c>
      <c r="AA77" s="142" t="s">
        <v>106</v>
      </c>
      <c r="AB77" s="152">
        <v>0.333333333333333</v>
      </c>
      <c r="AC77" s="153">
        <v>0.36</v>
      </c>
      <c r="AI77" s="116"/>
      <c r="AJ77" s="116"/>
      <c r="AK77" s="116"/>
    </row>
    <row r="78" customFormat="1" ht="22.5" customHeight="1" spans="1:37">
      <c r="A78" s="156">
        <v>12023</v>
      </c>
      <c r="B78" s="139" t="s">
        <v>129</v>
      </c>
      <c r="C78" s="140">
        <v>46066</v>
      </c>
      <c r="D78" s="157" t="s">
        <v>30</v>
      </c>
      <c r="E78" s="141" t="s">
        <v>30</v>
      </c>
      <c r="F78" s="141" t="s">
        <v>38</v>
      </c>
      <c r="G78" s="141" t="s">
        <v>32</v>
      </c>
      <c r="H78" s="141" t="str">
        <f>IF(_xlfn.XLOOKUP(A78,[1]分配表!L:L,[1]分配表!O:O)=0,"未出单",_xlfn.XLOOKUP(A78,[1]分配表!L:L,[1]分配表!O:O))</f>
        <v>未出单</v>
      </c>
      <c r="I78" s="142" t="s">
        <v>106</v>
      </c>
      <c r="J78" s="143">
        <v>4</v>
      </c>
      <c r="K78" s="144">
        <v>3</v>
      </c>
      <c r="L78" s="142" t="s">
        <v>106</v>
      </c>
      <c r="M78" s="145" t="s">
        <v>33</v>
      </c>
      <c r="N78" s="146" t="s">
        <v>33</v>
      </c>
      <c r="O78" s="142" t="s">
        <v>106</v>
      </c>
      <c r="P78" s="145" t="s">
        <v>36</v>
      </c>
      <c r="Q78" s="147" t="s">
        <v>36</v>
      </c>
      <c r="R78" s="142" t="s">
        <v>106</v>
      </c>
      <c r="S78" s="143">
        <v>0</v>
      </c>
      <c r="T78" s="144">
        <v>0</v>
      </c>
      <c r="U78" s="142" t="s">
        <v>106</v>
      </c>
      <c r="V78" s="143">
        <v>2</v>
      </c>
      <c r="W78" s="144">
        <v>8</v>
      </c>
      <c r="X78" s="142" t="s">
        <v>106</v>
      </c>
      <c r="Y78" s="149">
        <v>0</v>
      </c>
      <c r="Z78" s="150">
        <v>0</v>
      </c>
      <c r="AA78" s="142" t="s">
        <v>106</v>
      </c>
      <c r="AB78" s="152">
        <v>0</v>
      </c>
      <c r="AC78" s="153">
        <v>0</v>
      </c>
      <c r="AI78" s="116"/>
      <c r="AJ78" s="116"/>
      <c r="AK78" s="116"/>
    </row>
    <row r="79" customFormat="1" ht="22.5" customHeight="1" spans="1:37">
      <c r="A79" s="156">
        <v>12058</v>
      </c>
      <c r="B79" s="139" t="s">
        <v>130</v>
      </c>
      <c r="C79" s="140">
        <v>46070</v>
      </c>
      <c r="D79" s="157" t="s">
        <v>102</v>
      </c>
      <c r="E79" s="141" t="s">
        <v>102</v>
      </c>
      <c r="F79" s="141" t="s">
        <v>60</v>
      </c>
      <c r="G79" s="141" t="s">
        <v>32</v>
      </c>
      <c r="H79" s="141">
        <f>IF(_xlfn.XLOOKUP(A79,[1]分配表!L:L,[1]分配表!O:O)=0,"未出单",_xlfn.XLOOKUP(A79,[1]分配表!L:L,[1]分配表!O:O))</f>
        <v>46086</v>
      </c>
      <c r="I79" s="142" t="s">
        <v>106</v>
      </c>
      <c r="J79" s="143">
        <v>1</v>
      </c>
      <c r="K79" s="144">
        <v>5</v>
      </c>
      <c r="L79" s="142" t="s">
        <v>106</v>
      </c>
      <c r="M79" s="145" t="s">
        <v>33</v>
      </c>
      <c r="N79" s="146" t="s">
        <v>34</v>
      </c>
      <c r="O79" s="142" t="s">
        <v>106</v>
      </c>
      <c r="P79" s="145" t="s">
        <v>36</v>
      </c>
      <c r="Q79" s="147" t="s">
        <v>36</v>
      </c>
      <c r="R79" s="142" t="s">
        <v>106</v>
      </c>
      <c r="S79" s="143">
        <v>0</v>
      </c>
      <c r="T79" s="144">
        <v>24</v>
      </c>
      <c r="U79" s="142" t="s">
        <v>106</v>
      </c>
      <c r="V79" s="143">
        <v>11</v>
      </c>
      <c r="W79" s="144">
        <v>36</v>
      </c>
      <c r="X79" s="142" t="s">
        <v>106</v>
      </c>
      <c r="Y79" s="149">
        <v>0</v>
      </c>
      <c r="Z79" s="150">
        <v>479</v>
      </c>
      <c r="AA79" s="142" t="s">
        <v>106</v>
      </c>
      <c r="AB79" s="152">
        <v>0</v>
      </c>
      <c r="AC79" s="153">
        <v>0.4</v>
      </c>
      <c r="AI79" s="116"/>
      <c r="AJ79" s="116"/>
      <c r="AK79" s="116"/>
    </row>
    <row r="80" customFormat="1" ht="22.5" customHeight="1" spans="1:37">
      <c r="A80" s="156">
        <v>12059</v>
      </c>
      <c r="B80" s="139" t="s">
        <v>131</v>
      </c>
      <c r="C80" s="140">
        <v>46070</v>
      </c>
      <c r="D80" s="157" t="s">
        <v>102</v>
      </c>
      <c r="E80" s="141" t="s">
        <v>102</v>
      </c>
      <c r="F80" s="141" t="s">
        <v>60</v>
      </c>
      <c r="G80" s="141" t="s">
        <v>32</v>
      </c>
      <c r="H80" s="141">
        <f>IF(_xlfn.XLOOKUP(A80,[1]分配表!L:L,[1]分配表!O:O)=0,"未出单",_xlfn.XLOOKUP(A80,[1]分配表!L:L,[1]分配表!O:O))</f>
        <v>46073</v>
      </c>
      <c r="I80" s="142" t="s">
        <v>106</v>
      </c>
      <c r="J80" s="143">
        <v>1</v>
      </c>
      <c r="K80" s="144">
        <v>3</v>
      </c>
      <c r="L80" s="142" t="s">
        <v>106</v>
      </c>
      <c r="M80" s="145" t="s">
        <v>39</v>
      </c>
      <c r="N80" s="146" t="s">
        <v>39</v>
      </c>
      <c r="O80" s="142" t="s">
        <v>106</v>
      </c>
      <c r="P80" s="145" t="s">
        <v>36</v>
      </c>
      <c r="Q80" s="147" t="s">
        <v>36</v>
      </c>
      <c r="R80" s="142" t="s">
        <v>106</v>
      </c>
      <c r="S80" s="143">
        <v>1</v>
      </c>
      <c r="T80" s="144">
        <v>16</v>
      </c>
      <c r="U80" s="142" t="s">
        <v>106</v>
      </c>
      <c r="V80" s="143">
        <v>10</v>
      </c>
      <c r="W80" s="144">
        <v>22</v>
      </c>
      <c r="X80" s="142" t="s">
        <v>106</v>
      </c>
      <c r="Y80" s="149">
        <v>20</v>
      </c>
      <c r="Z80" s="150">
        <v>340</v>
      </c>
      <c r="AA80" s="142" t="s">
        <v>106</v>
      </c>
      <c r="AB80" s="152">
        <v>0.0909090909090909</v>
      </c>
      <c r="AC80" s="153">
        <v>0.421052631578947</v>
      </c>
      <c r="AI80" s="116"/>
      <c r="AJ80" s="116"/>
      <c r="AK80" s="116"/>
    </row>
    <row r="81" customFormat="1" ht="22.5" customHeight="1" spans="1:37">
      <c r="A81" s="156">
        <v>12060</v>
      </c>
      <c r="B81" s="139" t="s">
        <v>132</v>
      </c>
      <c r="C81" s="140">
        <v>46070</v>
      </c>
      <c r="D81" s="157" t="s">
        <v>102</v>
      </c>
      <c r="E81" s="141" t="s">
        <v>102</v>
      </c>
      <c r="F81" s="141" t="s">
        <v>66</v>
      </c>
      <c r="G81" s="141" t="s">
        <v>32</v>
      </c>
      <c r="H81" s="141">
        <f>IF(_xlfn.XLOOKUP(A81,[1]分配表!L:L,[1]分配表!O:O)=0,"未出单",_xlfn.XLOOKUP(A81,[1]分配表!L:L,[1]分配表!O:O))</f>
        <v>46090</v>
      </c>
      <c r="I81" s="142" t="s">
        <v>106</v>
      </c>
      <c r="J81" s="143">
        <v>1</v>
      </c>
      <c r="K81" s="144">
        <v>4</v>
      </c>
      <c r="L81" s="142" t="s">
        <v>106</v>
      </c>
      <c r="M81" s="145" t="s">
        <v>33</v>
      </c>
      <c r="N81" s="146" t="s">
        <v>34</v>
      </c>
      <c r="O81" s="142" t="s">
        <v>106</v>
      </c>
      <c r="P81" s="145" t="s">
        <v>36</v>
      </c>
      <c r="Q81" s="147" t="s">
        <v>36</v>
      </c>
      <c r="R81" s="142" t="s">
        <v>106</v>
      </c>
      <c r="S81" s="143">
        <v>0</v>
      </c>
      <c r="T81" s="144">
        <v>5</v>
      </c>
      <c r="U81" s="142" t="s">
        <v>106</v>
      </c>
      <c r="V81" s="143">
        <v>26</v>
      </c>
      <c r="W81" s="144">
        <v>81</v>
      </c>
      <c r="X81" s="142" t="s">
        <v>106</v>
      </c>
      <c r="Y81" s="149">
        <v>0</v>
      </c>
      <c r="Z81" s="150">
        <v>100</v>
      </c>
      <c r="AA81" s="142" t="s">
        <v>106</v>
      </c>
      <c r="AB81" s="152">
        <v>0</v>
      </c>
      <c r="AC81" s="153">
        <v>0.0581395348837209</v>
      </c>
      <c r="AI81" s="116"/>
      <c r="AJ81" s="116"/>
      <c r="AK81" s="116"/>
    </row>
    <row r="82" customFormat="1" ht="22.5" customHeight="1" spans="1:37">
      <c r="A82" s="156">
        <v>12139</v>
      </c>
      <c r="B82" s="139" t="s">
        <v>133</v>
      </c>
      <c r="C82" s="140">
        <v>46070</v>
      </c>
      <c r="D82" s="157" t="s">
        <v>102</v>
      </c>
      <c r="E82" s="141" t="s">
        <v>102</v>
      </c>
      <c r="F82" s="141" t="s">
        <v>31</v>
      </c>
      <c r="G82" s="141" t="s">
        <v>32</v>
      </c>
      <c r="H82" s="141">
        <f>IF(_xlfn.XLOOKUP(A82,[1]分配表!L:L,[1]分配表!O:O)=0,"未出单",_xlfn.XLOOKUP(A82,[1]分配表!L:L,[1]分配表!O:O))</f>
        <v>46080</v>
      </c>
      <c r="I82" s="142" t="s">
        <v>106</v>
      </c>
      <c r="J82" s="143">
        <v>1</v>
      </c>
      <c r="K82" s="144">
        <v>6</v>
      </c>
      <c r="L82" s="142" t="s">
        <v>106</v>
      </c>
      <c r="M82" s="145" t="s">
        <v>34</v>
      </c>
      <c r="N82" s="146" t="s">
        <v>34</v>
      </c>
      <c r="O82" s="142" t="s">
        <v>106</v>
      </c>
      <c r="P82" s="145" t="s">
        <v>36</v>
      </c>
      <c r="Q82" s="147" t="s">
        <v>40</v>
      </c>
      <c r="R82" s="142" t="s">
        <v>106</v>
      </c>
      <c r="S82" s="143">
        <v>1</v>
      </c>
      <c r="T82" s="144">
        <v>40</v>
      </c>
      <c r="U82" s="142" t="s">
        <v>106</v>
      </c>
      <c r="V82" s="143">
        <v>1</v>
      </c>
      <c r="W82" s="144">
        <v>2</v>
      </c>
      <c r="X82" s="142" t="s">
        <v>106</v>
      </c>
      <c r="Y82" s="149">
        <v>19</v>
      </c>
      <c r="Z82" s="150">
        <v>1069.9</v>
      </c>
      <c r="AA82" s="142" t="s">
        <v>106</v>
      </c>
      <c r="AB82" s="152">
        <v>0.5</v>
      </c>
      <c r="AC82" s="153">
        <v>0.952380952380952</v>
      </c>
      <c r="AI82" s="116"/>
      <c r="AJ82" s="116"/>
      <c r="AK82" s="116"/>
    </row>
    <row r="83" customFormat="1" ht="22.5" customHeight="1" spans="1:37">
      <c r="A83" s="156">
        <v>12087</v>
      </c>
      <c r="B83" s="139" t="s">
        <v>134</v>
      </c>
      <c r="C83" s="140">
        <v>46073</v>
      </c>
      <c r="D83" s="157" t="s">
        <v>65</v>
      </c>
      <c r="E83" s="141" t="s">
        <v>65</v>
      </c>
      <c r="F83" s="141" t="s">
        <v>66</v>
      </c>
      <c r="G83" s="141" t="s">
        <v>32</v>
      </c>
      <c r="H83" s="141">
        <f>IF(_xlfn.XLOOKUP(A83,[1]分配表!L:L,[1]分配表!O:O)=0,"未出单",_xlfn.XLOOKUP(A83,[1]分配表!L:L,[1]分配表!O:O))</f>
        <v>46092</v>
      </c>
      <c r="I83" s="142" t="s">
        <v>106</v>
      </c>
      <c r="J83" s="143">
        <v>1</v>
      </c>
      <c r="K83" s="144">
        <v>3</v>
      </c>
      <c r="L83" s="142" t="s">
        <v>106</v>
      </c>
      <c r="M83" s="145" t="s">
        <v>33</v>
      </c>
      <c r="N83" s="146" t="s">
        <v>34</v>
      </c>
      <c r="O83" s="142" t="s">
        <v>106</v>
      </c>
      <c r="P83" s="145" t="s">
        <v>43</v>
      </c>
      <c r="Q83" s="147" t="s">
        <v>40</v>
      </c>
      <c r="R83" s="142" t="s">
        <v>106</v>
      </c>
      <c r="S83" s="143">
        <v>0</v>
      </c>
      <c r="T83" s="144">
        <v>6</v>
      </c>
      <c r="U83" s="142" t="s">
        <v>106</v>
      </c>
      <c r="V83" s="143">
        <v>0</v>
      </c>
      <c r="W83" s="144">
        <v>4</v>
      </c>
      <c r="X83" s="142" t="s">
        <v>106</v>
      </c>
      <c r="Y83" s="149">
        <v>0</v>
      </c>
      <c r="Z83" s="150">
        <v>292.2</v>
      </c>
      <c r="AA83" s="142" t="s">
        <v>106</v>
      </c>
      <c r="AB83" s="152">
        <v>0</v>
      </c>
      <c r="AC83" s="153">
        <v>0.6</v>
      </c>
      <c r="AI83" s="116"/>
      <c r="AJ83" s="116"/>
      <c r="AK83" s="116"/>
    </row>
    <row r="84" customFormat="1" ht="22.5" customHeight="1" spans="1:37">
      <c r="A84" s="156">
        <v>12143</v>
      </c>
      <c r="B84" s="139" t="s">
        <v>135</v>
      </c>
      <c r="C84" s="140">
        <v>46076</v>
      </c>
      <c r="D84" s="157" t="s">
        <v>49</v>
      </c>
      <c r="E84" s="141" t="s">
        <v>49</v>
      </c>
      <c r="F84" s="141" t="s">
        <v>46</v>
      </c>
      <c r="G84" s="141" t="s">
        <v>32</v>
      </c>
      <c r="H84" s="141">
        <f>IF(_xlfn.XLOOKUP(A84,[1]分配表!L:L,[1]分配表!O:O)=0,"未出单",_xlfn.XLOOKUP(A84,[1]分配表!L:L,[1]分配表!O:O))</f>
        <v>46109</v>
      </c>
      <c r="I84" s="142" t="s">
        <v>106</v>
      </c>
      <c r="J84" s="143">
        <v>1</v>
      </c>
      <c r="K84" s="144">
        <v>4</v>
      </c>
      <c r="L84" s="142" t="s">
        <v>106</v>
      </c>
      <c r="M84" s="145" t="s">
        <v>33</v>
      </c>
      <c r="N84" s="146" t="s">
        <v>34</v>
      </c>
      <c r="O84" s="142" t="s">
        <v>106</v>
      </c>
      <c r="P84" s="145" t="s">
        <v>43</v>
      </c>
      <c r="Q84" s="147" t="s">
        <v>40</v>
      </c>
      <c r="R84" s="142" t="s">
        <v>106</v>
      </c>
      <c r="S84" s="143">
        <v>0</v>
      </c>
      <c r="T84" s="144">
        <v>1</v>
      </c>
      <c r="U84" s="142" t="s">
        <v>106</v>
      </c>
      <c r="V84" s="143">
        <v>0</v>
      </c>
      <c r="W84" s="144">
        <v>1</v>
      </c>
      <c r="X84" s="142" t="s">
        <v>106</v>
      </c>
      <c r="Y84" s="149">
        <v>0</v>
      </c>
      <c r="Z84" s="150">
        <v>145</v>
      </c>
      <c r="AA84" s="142" t="s">
        <v>106</v>
      </c>
      <c r="AB84" s="152">
        <v>0</v>
      </c>
      <c r="AC84" s="153">
        <v>0.5</v>
      </c>
      <c r="AI84" s="116"/>
      <c r="AJ84" s="116"/>
      <c r="AK84" s="116"/>
    </row>
    <row r="85" customFormat="1" ht="22.5" customHeight="1" spans="1:37">
      <c r="A85" s="156">
        <v>12079</v>
      </c>
      <c r="B85" s="139" t="s">
        <v>136</v>
      </c>
      <c r="C85" s="140">
        <v>46076</v>
      </c>
      <c r="D85" s="157" t="s">
        <v>30</v>
      </c>
      <c r="E85" s="141" t="s">
        <v>30</v>
      </c>
      <c r="F85" s="141" t="s">
        <v>38</v>
      </c>
      <c r="G85" s="141" t="s">
        <v>32</v>
      </c>
      <c r="H85" s="141">
        <f>IF(_xlfn.XLOOKUP(A85,[1]分配表!L:L,[1]分配表!O:O)=0,"未出单",_xlfn.XLOOKUP(A85,[1]分配表!L:L,[1]分配表!O:O))</f>
        <v>46085</v>
      </c>
      <c r="I85" s="142" t="s">
        <v>106</v>
      </c>
      <c r="J85" s="143">
        <v>3</v>
      </c>
      <c r="K85" s="144">
        <v>2</v>
      </c>
      <c r="L85" s="142" t="s">
        <v>106</v>
      </c>
      <c r="M85" s="145" t="s">
        <v>33</v>
      </c>
      <c r="N85" s="146" t="s">
        <v>34</v>
      </c>
      <c r="O85" s="142" t="s">
        <v>106</v>
      </c>
      <c r="P85" s="145" t="s">
        <v>50</v>
      </c>
      <c r="Q85" s="147" t="s">
        <v>40</v>
      </c>
      <c r="R85" s="142" t="s">
        <v>106</v>
      </c>
      <c r="S85" s="143">
        <v>0</v>
      </c>
      <c r="T85" s="144">
        <v>11</v>
      </c>
      <c r="U85" s="142" t="s">
        <v>106</v>
      </c>
      <c r="V85" s="143">
        <v>5</v>
      </c>
      <c r="W85" s="144">
        <v>0</v>
      </c>
      <c r="X85" s="142" t="s">
        <v>106</v>
      </c>
      <c r="Y85" s="149">
        <v>0</v>
      </c>
      <c r="Z85" s="150">
        <v>1460</v>
      </c>
      <c r="AA85" s="142" t="s">
        <v>106</v>
      </c>
      <c r="AB85" s="152">
        <v>0</v>
      </c>
      <c r="AC85" s="153">
        <v>1</v>
      </c>
      <c r="AI85" s="116"/>
      <c r="AJ85" s="116"/>
      <c r="AK85" s="116"/>
    </row>
    <row r="86" customFormat="1" ht="22.5" customHeight="1" spans="1:37">
      <c r="A86" s="156">
        <v>12104</v>
      </c>
      <c r="B86" s="139" t="s">
        <v>137</v>
      </c>
      <c r="C86" s="140">
        <v>46076</v>
      </c>
      <c r="D86" s="157" t="s">
        <v>30</v>
      </c>
      <c r="E86" s="141" t="s">
        <v>30</v>
      </c>
      <c r="F86" s="141" t="s">
        <v>38</v>
      </c>
      <c r="G86" s="141" t="s">
        <v>32</v>
      </c>
      <c r="H86" s="141">
        <f>IF(_xlfn.XLOOKUP(A86,[1]分配表!L:L,[1]分配表!O:O)=0,"未出单",_xlfn.XLOOKUP(A86,[1]分配表!L:L,[1]分配表!O:O))</f>
        <v>46082</v>
      </c>
      <c r="I86" s="142" t="s">
        <v>106</v>
      </c>
      <c r="J86" s="143">
        <v>3</v>
      </c>
      <c r="K86" s="144">
        <v>2</v>
      </c>
      <c r="L86" s="142" t="s">
        <v>106</v>
      </c>
      <c r="M86" s="145" t="s">
        <v>33</v>
      </c>
      <c r="N86" s="146" t="s">
        <v>39</v>
      </c>
      <c r="O86" s="142" t="s">
        <v>106</v>
      </c>
      <c r="P86" s="145" t="s">
        <v>43</v>
      </c>
      <c r="Q86" s="147" t="s">
        <v>40</v>
      </c>
      <c r="R86" s="142" t="s">
        <v>106</v>
      </c>
      <c r="S86" s="143">
        <v>0</v>
      </c>
      <c r="T86" s="144">
        <v>2</v>
      </c>
      <c r="U86" s="142" t="s">
        <v>106</v>
      </c>
      <c r="V86" s="143">
        <v>0</v>
      </c>
      <c r="W86" s="144">
        <v>0</v>
      </c>
      <c r="X86" s="142" t="s">
        <v>106</v>
      </c>
      <c r="Y86" s="149">
        <v>0</v>
      </c>
      <c r="Z86" s="150">
        <v>170</v>
      </c>
      <c r="AA86" s="142" t="s">
        <v>106</v>
      </c>
      <c r="AB86" s="152">
        <v>0</v>
      </c>
      <c r="AC86" s="153">
        <v>1</v>
      </c>
      <c r="AI86" s="116"/>
      <c r="AJ86" s="116"/>
      <c r="AK86" s="116"/>
    </row>
    <row r="87" customFormat="1" ht="22.5" customHeight="1" spans="1:37">
      <c r="A87" s="156">
        <v>12105</v>
      </c>
      <c r="B87" s="139" t="s">
        <v>138</v>
      </c>
      <c r="C87" s="140">
        <v>46076</v>
      </c>
      <c r="D87" s="157" t="s">
        <v>30</v>
      </c>
      <c r="E87" s="141" t="s">
        <v>30</v>
      </c>
      <c r="F87" s="141" t="s">
        <v>38</v>
      </c>
      <c r="G87" s="141" t="s">
        <v>47</v>
      </c>
      <c r="H87" s="141">
        <f>IF(_xlfn.XLOOKUP(A87,[1]分配表!L:L,[1]分配表!O:O)=0,"未出单",_xlfn.XLOOKUP(A87,[1]分配表!L:L,[1]分配表!O:O))</f>
        <v>46084</v>
      </c>
      <c r="I87" s="142" t="s">
        <v>106</v>
      </c>
      <c r="J87" s="143">
        <v>2</v>
      </c>
      <c r="K87" s="144">
        <v>1</v>
      </c>
      <c r="L87" s="142" t="s">
        <v>106</v>
      </c>
      <c r="M87" s="145" t="s">
        <v>33</v>
      </c>
      <c r="N87" s="146" t="s">
        <v>39</v>
      </c>
      <c r="O87" s="142" t="s">
        <v>106</v>
      </c>
      <c r="P87" s="145" t="s">
        <v>43</v>
      </c>
      <c r="Q87" s="147" t="s">
        <v>35</v>
      </c>
      <c r="R87" s="142" t="s">
        <v>106</v>
      </c>
      <c r="S87" s="143">
        <v>0</v>
      </c>
      <c r="T87" s="144">
        <v>6</v>
      </c>
      <c r="U87" s="142" t="s">
        <v>106</v>
      </c>
      <c r="V87" s="143">
        <v>0</v>
      </c>
      <c r="W87" s="144">
        <v>0</v>
      </c>
      <c r="X87" s="142" t="s">
        <v>106</v>
      </c>
      <c r="Y87" s="149">
        <v>0</v>
      </c>
      <c r="Z87" s="150">
        <v>312</v>
      </c>
      <c r="AA87" s="142" t="s">
        <v>106</v>
      </c>
      <c r="AB87" s="152">
        <v>0</v>
      </c>
      <c r="AC87" s="153">
        <v>1</v>
      </c>
      <c r="AI87" s="116"/>
      <c r="AJ87" s="116"/>
      <c r="AK87" s="116"/>
    </row>
    <row r="88" customFormat="1" ht="22.5" customHeight="1" spans="1:37">
      <c r="A88" s="156">
        <v>12106</v>
      </c>
      <c r="B88" s="139" t="s">
        <v>139</v>
      </c>
      <c r="C88" s="140">
        <v>46076</v>
      </c>
      <c r="D88" s="157" t="s">
        <v>30</v>
      </c>
      <c r="E88" s="141" t="s">
        <v>30</v>
      </c>
      <c r="F88" s="141" t="s">
        <v>38</v>
      </c>
      <c r="G88" s="141" t="s">
        <v>47</v>
      </c>
      <c r="H88" s="141">
        <f>IF(_xlfn.XLOOKUP(A88,[1]分配表!L:L,[1]分配表!O:O)=0,"未出单",_xlfn.XLOOKUP(A88,[1]分配表!L:L,[1]分配表!O:O))</f>
        <v>46096</v>
      </c>
      <c r="I88" s="142" t="s">
        <v>106</v>
      </c>
      <c r="J88" s="143">
        <v>2</v>
      </c>
      <c r="K88" s="144">
        <v>1</v>
      </c>
      <c r="L88" s="142" t="s">
        <v>106</v>
      </c>
      <c r="M88" s="145" t="s">
        <v>33</v>
      </c>
      <c r="N88" s="146" t="s">
        <v>34</v>
      </c>
      <c r="O88" s="142" t="s">
        <v>106</v>
      </c>
      <c r="P88" s="145" t="s">
        <v>43</v>
      </c>
      <c r="Q88" s="147" t="s">
        <v>43</v>
      </c>
      <c r="R88" s="142" t="s">
        <v>106</v>
      </c>
      <c r="S88" s="143">
        <v>0</v>
      </c>
      <c r="T88" s="144">
        <v>3</v>
      </c>
      <c r="U88" s="142" t="s">
        <v>106</v>
      </c>
      <c r="V88" s="143">
        <v>0</v>
      </c>
      <c r="W88" s="144">
        <v>0</v>
      </c>
      <c r="X88" s="142" t="s">
        <v>106</v>
      </c>
      <c r="Y88" s="149">
        <v>0</v>
      </c>
      <c r="Z88" s="150">
        <v>156</v>
      </c>
      <c r="AA88" s="142" t="s">
        <v>106</v>
      </c>
      <c r="AB88" s="152">
        <v>0</v>
      </c>
      <c r="AC88" s="153">
        <v>1</v>
      </c>
      <c r="AI88" s="116"/>
      <c r="AJ88" s="116"/>
      <c r="AK88" s="116"/>
    </row>
    <row r="89" customFormat="1" ht="22.5" customHeight="1" spans="1:37">
      <c r="A89" s="156">
        <v>12240</v>
      </c>
      <c r="B89" s="139" t="s">
        <v>140</v>
      </c>
      <c r="C89" s="140">
        <v>46081</v>
      </c>
      <c r="D89" s="158" t="s">
        <v>65</v>
      </c>
      <c r="E89" s="141" t="s">
        <v>65</v>
      </c>
      <c r="F89" s="141" t="s">
        <v>66</v>
      </c>
      <c r="G89" s="141" t="s">
        <v>32</v>
      </c>
      <c r="H89" s="141">
        <f>IF(_xlfn.XLOOKUP(A89,[1]分配表!L:L,[1]分配表!O:O)=0,"未出单",_xlfn.XLOOKUP(A89,[1]分配表!L:L,[1]分配表!O:O))</f>
        <v>46082</v>
      </c>
      <c r="I89" s="142" t="s">
        <v>106</v>
      </c>
      <c r="J89" s="143" t="s">
        <v>141</v>
      </c>
      <c r="K89" s="144">
        <v>2</v>
      </c>
      <c r="L89" s="142" t="s">
        <v>106</v>
      </c>
      <c r="M89" s="145" t="s">
        <v>33</v>
      </c>
      <c r="N89" s="146" t="s">
        <v>39</v>
      </c>
      <c r="O89" s="142" t="s">
        <v>106</v>
      </c>
      <c r="P89" s="159" t="s">
        <v>36</v>
      </c>
      <c r="Q89" s="147" t="s">
        <v>36</v>
      </c>
      <c r="R89" s="142" t="s">
        <v>106</v>
      </c>
      <c r="S89" s="143">
        <v>0</v>
      </c>
      <c r="T89" s="144">
        <v>11</v>
      </c>
      <c r="U89" s="142" t="s">
        <v>106</v>
      </c>
      <c r="V89" s="143">
        <v>0</v>
      </c>
      <c r="W89" s="144">
        <v>4</v>
      </c>
      <c r="X89" s="142" t="s">
        <v>106</v>
      </c>
      <c r="Y89" s="149">
        <v>0</v>
      </c>
      <c r="Z89" s="150">
        <v>670</v>
      </c>
      <c r="AA89" s="142" t="s">
        <v>106</v>
      </c>
      <c r="AB89" s="152">
        <v>0</v>
      </c>
      <c r="AC89" s="153">
        <v>0.733333333333333</v>
      </c>
      <c r="AI89" s="116"/>
      <c r="AJ89" s="116"/>
      <c r="AK89" s="116"/>
    </row>
    <row r="90" customFormat="1" ht="22.5" customHeight="1" spans="1:37">
      <c r="A90" s="156">
        <v>12225</v>
      </c>
      <c r="B90" s="139" t="s">
        <v>142</v>
      </c>
      <c r="C90" s="140">
        <v>46081</v>
      </c>
      <c r="D90" s="158" t="s">
        <v>102</v>
      </c>
      <c r="E90" s="141" t="s">
        <v>102</v>
      </c>
      <c r="F90" s="141" t="s">
        <v>60</v>
      </c>
      <c r="G90" s="141" t="s">
        <v>32</v>
      </c>
      <c r="H90" s="141">
        <f>IF(_xlfn.XLOOKUP(A90,[1]分配表!L:L,[1]分配表!O:O)=0,"未出单",_xlfn.XLOOKUP(A90,[1]分配表!L:L,[1]分配表!O:O))</f>
        <v>46101</v>
      </c>
      <c r="I90" s="142" t="s">
        <v>106</v>
      </c>
      <c r="J90" s="143">
        <v>1</v>
      </c>
      <c r="K90" s="144">
        <v>5</v>
      </c>
      <c r="L90" s="142" t="s">
        <v>106</v>
      </c>
      <c r="M90" s="145" t="s">
        <v>33</v>
      </c>
      <c r="N90" s="146" t="s">
        <v>34</v>
      </c>
      <c r="O90" s="142" t="s">
        <v>106</v>
      </c>
      <c r="P90" s="159" t="s">
        <v>43</v>
      </c>
      <c r="Q90" s="147" t="s">
        <v>40</v>
      </c>
      <c r="R90" s="142" t="s">
        <v>106</v>
      </c>
      <c r="S90" s="143">
        <v>0</v>
      </c>
      <c r="T90" s="144">
        <v>4</v>
      </c>
      <c r="U90" s="142" t="s">
        <v>106</v>
      </c>
      <c r="V90" s="143">
        <v>0</v>
      </c>
      <c r="W90" s="144">
        <v>1</v>
      </c>
      <c r="X90" s="142" t="s">
        <v>106</v>
      </c>
      <c r="Y90" s="149">
        <v>0</v>
      </c>
      <c r="Z90" s="150">
        <v>236</v>
      </c>
      <c r="AA90" s="142" t="s">
        <v>106</v>
      </c>
      <c r="AB90" s="152">
        <v>0</v>
      </c>
      <c r="AC90" s="153">
        <v>0.8</v>
      </c>
      <c r="AI90" s="116"/>
      <c r="AJ90" s="116"/>
      <c r="AK90" s="116"/>
    </row>
    <row r="91" customFormat="1" ht="22.5" customHeight="1" spans="1:37">
      <c r="A91" s="156">
        <v>12073</v>
      </c>
      <c r="B91" s="139" t="s">
        <v>143</v>
      </c>
      <c r="C91" s="140">
        <v>46085</v>
      </c>
      <c r="D91" s="160" t="s">
        <v>106</v>
      </c>
      <c r="E91" s="141" t="s">
        <v>30</v>
      </c>
      <c r="F91" s="141" t="s">
        <v>46</v>
      </c>
      <c r="G91" s="141" t="s">
        <v>32</v>
      </c>
      <c r="H91" s="141">
        <f>IF(_xlfn.XLOOKUP(A91,[1]分配表!L:L,[1]分配表!O:O)=0,"未出单",_xlfn.XLOOKUP(A91,[1]分配表!L:L,[1]分配表!O:O))</f>
        <v>46093</v>
      </c>
      <c r="I91" s="142" t="s">
        <v>106</v>
      </c>
      <c r="J91" s="143" t="s">
        <v>106</v>
      </c>
      <c r="K91" s="144">
        <v>4</v>
      </c>
      <c r="L91" s="142" t="s">
        <v>106</v>
      </c>
      <c r="M91" s="143" t="s">
        <v>106</v>
      </c>
      <c r="N91" s="146" t="s">
        <v>39</v>
      </c>
      <c r="O91" s="142" t="s">
        <v>106</v>
      </c>
      <c r="P91" s="143" t="s">
        <v>106</v>
      </c>
      <c r="Q91" s="147" t="s">
        <v>40</v>
      </c>
      <c r="R91" s="142" t="s">
        <v>106</v>
      </c>
      <c r="S91" s="143" t="s">
        <v>106</v>
      </c>
      <c r="T91" s="144">
        <v>9</v>
      </c>
      <c r="U91" s="142" t="s">
        <v>106</v>
      </c>
      <c r="V91" s="143" t="s">
        <v>106</v>
      </c>
      <c r="W91" s="144">
        <v>0</v>
      </c>
      <c r="X91" s="142" t="s">
        <v>106</v>
      </c>
      <c r="Y91" s="143" t="s">
        <v>106</v>
      </c>
      <c r="Z91" s="150">
        <v>3780</v>
      </c>
      <c r="AA91" s="142" t="s">
        <v>106</v>
      </c>
      <c r="AB91" s="143" t="s">
        <v>106</v>
      </c>
      <c r="AC91" s="153">
        <v>1</v>
      </c>
      <c r="AI91" s="116"/>
      <c r="AJ91" s="116"/>
      <c r="AK91" s="116"/>
    </row>
    <row r="92" customFormat="1" ht="22.5" customHeight="1" spans="1:37">
      <c r="A92" s="156">
        <v>12074</v>
      </c>
      <c r="B92" s="139" t="s">
        <v>144</v>
      </c>
      <c r="C92" s="140">
        <v>46085</v>
      </c>
      <c r="D92" s="160" t="s">
        <v>106</v>
      </c>
      <c r="E92" s="141" t="s">
        <v>30</v>
      </c>
      <c r="F92" s="141" t="s">
        <v>46</v>
      </c>
      <c r="G92" s="141" t="s">
        <v>47</v>
      </c>
      <c r="H92" s="141">
        <f>IF(_xlfn.XLOOKUP(A92,[1]分配表!L:L,[1]分配表!O:O)=0,"未出单",_xlfn.XLOOKUP(A92,[1]分配表!L:L,[1]分配表!O:O))</f>
        <v>46085</v>
      </c>
      <c r="I92" s="142" t="s">
        <v>106</v>
      </c>
      <c r="J92" s="143" t="s">
        <v>106</v>
      </c>
      <c r="K92" s="144">
        <v>5</v>
      </c>
      <c r="L92" s="142" t="s">
        <v>106</v>
      </c>
      <c r="M92" s="143" t="s">
        <v>106</v>
      </c>
      <c r="N92" s="146" t="s">
        <v>39</v>
      </c>
      <c r="O92" s="142" t="s">
        <v>106</v>
      </c>
      <c r="P92" s="143" t="s">
        <v>106</v>
      </c>
      <c r="Q92" s="147" t="s">
        <v>40</v>
      </c>
      <c r="R92" s="142" t="s">
        <v>106</v>
      </c>
      <c r="S92" s="143" t="s">
        <v>106</v>
      </c>
      <c r="T92" s="144">
        <v>32</v>
      </c>
      <c r="U92" s="142" t="s">
        <v>106</v>
      </c>
      <c r="V92" s="143" t="s">
        <v>106</v>
      </c>
      <c r="W92" s="144">
        <v>1</v>
      </c>
      <c r="X92" s="142" t="s">
        <v>106</v>
      </c>
      <c r="Y92" s="143" t="s">
        <v>106</v>
      </c>
      <c r="Z92" s="150">
        <v>7020</v>
      </c>
      <c r="AA92" s="142" t="s">
        <v>106</v>
      </c>
      <c r="AB92" s="143" t="s">
        <v>106</v>
      </c>
      <c r="AC92" s="153">
        <v>0.96969696969697</v>
      </c>
      <c r="AI92" s="116"/>
      <c r="AJ92" s="116"/>
      <c r="AK92" s="116"/>
    </row>
    <row r="93" customFormat="1" ht="22.5" customHeight="1" spans="1:37">
      <c r="A93" s="156">
        <v>12075</v>
      </c>
      <c r="B93" s="139" t="s">
        <v>145</v>
      </c>
      <c r="C93" s="140">
        <v>46085</v>
      </c>
      <c r="D93" s="160" t="s">
        <v>106</v>
      </c>
      <c r="E93" s="141" t="s">
        <v>30</v>
      </c>
      <c r="F93" s="141" t="s">
        <v>46</v>
      </c>
      <c r="G93" s="141" t="s">
        <v>47</v>
      </c>
      <c r="H93" s="141">
        <f>IF(_xlfn.XLOOKUP(A93,[1]分配表!L:L,[1]分配表!O:O)=0,"未出单",_xlfn.XLOOKUP(A93,[1]分配表!L:L,[1]分配表!O:O))</f>
        <v>46085</v>
      </c>
      <c r="I93" s="142" t="s">
        <v>106</v>
      </c>
      <c r="J93" s="143" t="s">
        <v>106</v>
      </c>
      <c r="K93" s="144">
        <v>4</v>
      </c>
      <c r="L93" s="142" t="s">
        <v>106</v>
      </c>
      <c r="M93" s="143" t="s">
        <v>106</v>
      </c>
      <c r="N93" s="146" t="s">
        <v>39</v>
      </c>
      <c r="O93" s="142" t="s">
        <v>106</v>
      </c>
      <c r="P93" s="143" t="s">
        <v>106</v>
      </c>
      <c r="Q93" s="147" t="s">
        <v>43</v>
      </c>
      <c r="R93" s="142" t="s">
        <v>106</v>
      </c>
      <c r="S93" s="143" t="s">
        <v>106</v>
      </c>
      <c r="T93" s="144">
        <v>4</v>
      </c>
      <c r="U93" s="142" t="s">
        <v>106</v>
      </c>
      <c r="V93" s="143" t="s">
        <v>106</v>
      </c>
      <c r="W93" s="144">
        <v>0</v>
      </c>
      <c r="X93" s="142" t="s">
        <v>106</v>
      </c>
      <c r="Y93" s="143" t="s">
        <v>106</v>
      </c>
      <c r="Z93" s="150">
        <v>880</v>
      </c>
      <c r="AA93" s="142" t="s">
        <v>106</v>
      </c>
      <c r="AB93" s="143" t="s">
        <v>106</v>
      </c>
      <c r="AC93" s="153">
        <v>1</v>
      </c>
      <c r="AI93" s="116"/>
      <c r="AJ93" s="116"/>
      <c r="AK93" s="116"/>
    </row>
    <row r="94" customFormat="1" ht="22.5" customHeight="1" spans="1:37">
      <c r="A94" s="156">
        <v>12252</v>
      </c>
      <c r="B94" s="139" t="s">
        <v>146</v>
      </c>
      <c r="C94" s="140">
        <v>46085</v>
      </c>
      <c r="D94" s="160" t="s">
        <v>106</v>
      </c>
      <c r="E94" s="141" t="s">
        <v>45</v>
      </c>
      <c r="F94" s="141" t="s">
        <v>46</v>
      </c>
      <c r="G94" s="141" t="s">
        <v>32</v>
      </c>
      <c r="H94" s="141">
        <f>IF(_xlfn.XLOOKUP(A94,[1]分配表!L:L,[1]分配表!O:O)=0,"未出单",_xlfn.XLOOKUP(A94,[1]分配表!L:L,[1]分配表!O:O))</f>
        <v>46089</v>
      </c>
      <c r="I94" s="142" t="s">
        <v>106</v>
      </c>
      <c r="J94" s="143" t="s">
        <v>106</v>
      </c>
      <c r="K94" s="144">
        <v>5</v>
      </c>
      <c r="L94" s="142" t="s">
        <v>106</v>
      </c>
      <c r="M94" s="143" t="s">
        <v>106</v>
      </c>
      <c r="N94" s="146" t="s">
        <v>39</v>
      </c>
      <c r="O94" s="142" t="s">
        <v>106</v>
      </c>
      <c r="P94" s="143" t="s">
        <v>106</v>
      </c>
      <c r="Q94" s="147" t="s">
        <v>36</v>
      </c>
      <c r="R94" s="142" t="s">
        <v>106</v>
      </c>
      <c r="S94" s="143" t="s">
        <v>106</v>
      </c>
      <c r="T94" s="144">
        <v>10</v>
      </c>
      <c r="U94" s="142" t="s">
        <v>106</v>
      </c>
      <c r="V94" s="143" t="s">
        <v>106</v>
      </c>
      <c r="W94" s="144">
        <v>16</v>
      </c>
      <c r="X94" s="142" t="s">
        <v>106</v>
      </c>
      <c r="Y94" s="143" t="s">
        <v>106</v>
      </c>
      <c r="Z94" s="150">
        <v>402</v>
      </c>
      <c r="AA94" s="142" t="s">
        <v>106</v>
      </c>
      <c r="AB94" s="143" t="s">
        <v>106</v>
      </c>
      <c r="AC94" s="153">
        <v>0.384615384615385</v>
      </c>
      <c r="AI94" s="116"/>
      <c r="AJ94" s="116"/>
      <c r="AK94" s="116"/>
    </row>
    <row r="95" customFormat="1" ht="22.5" customHeight="1" spans="1:37">
      <c r="A95" s="156">
        <v>12165</v>
      </c>
      <c r="B95" s="139" t="s">
        <v>147</v>
      </c>
      <c r="C95" s="140">
        <v>46085</v>
      </c>
      <c r="D95" s="160" t="s">
        <v>106</v>
      </c>
      <c r="E95" s="141" t="s">
        <v>30</v>
      </c>
      <c r="F95" s="141" t="s">
        <v>38</v>
      </c>
      <c r="G95" s="141" t="s">
        <v>32</v>
      </c>
      <c r="H95" s="141">
        <f>IF(_xlfn.XLOOKUP(A95,[1]分配表!L:L,[1]分配表!O:O)=0,"未出单",_xlfn.XLOOKUP(A95,[1]分配表!L:L,[1]分配表!O:O))</f>
        <v>46093</v>
      </c>
      <c r="I95" s="142" t="s">
        <v>106</v>
      </c>
      <c r="J95" s="143" t="s">
        <v>106</v>
      </c>
      <c r="K95" s="144">
        <v>4</v>
      </c>
      <c r="L95" s="142" t="s">
        <v>106</v>
      </c>
      <c r="M95" s="143" t="s">
        <v>106</v>
      </c>
      <c r="N95" s="146" t="s">
        <v>39</v>
      </c>
      <c r="O95" s="142" t="s">
        <v>106</v>
      </c>
      <c r="P95" s="143" t="s">
        <v>106</v>
      </c>
      <c r="Q95" s="147" t="s">
        <v>35</v>
      </c>
      <c r="R95" s="142" t="s">
        <v>106</v>
      </c>
      <c r="S95" s="143" t="s">
        <v>106</v>
      </c>
      <c r="T95" s="144">
        <v>2</v>
      </c>
      <c r="U95" s="142" t="s">
        <v>106</v>
      </c>
      <c r="V95" s="143" t="s">
        <v>106</v>
      </c>
      <c r="W95" s="144">
        <v>7</v>
      </c>
      <c r="X95" s="142" t="s">
        <v>106</v>
      </c>
      <c r="Y95" s="143" t="s">
        <v>106</v>
      </c>
      <c r="Z95" s="150">
        <v>338</v>
      </c>
      <c r="AA95" s="142" t="s">
        <v>106</v>
      </c>
      <c r="AB95" s="143" t="s">
        <v>106</v>
      </c>
      <c r="AC95" s="153">
        <v>0.222222222222222</v>
      </c>
      <c r="AI95" s="116"/>
      <c r="AJ95" s="116"/>
      <c r="AK95" s="116"/>
    </row>
    <row r="96" customFormat="1" ht="22.5" customHeight="1" spans="1:37">
      <c r="A96" s="156">
        <v>12247</v>
      </c>
      <c r="B96" s="139" t="s">
        <v>148</v>
      </c>
      <c r="C96" s="140">
        <v>46085</v>
      </c>
      <c r="D96" s="160" t="s">
        <v>106</v>
      </c>
      <c r="E96" s="141" t="s">
        <v>45</v>
      </c>
      <c r="F96" s="141" t="s">
        <v>60</v>
      </c>
      <c r="G96" s="141" t="s">
        <v>32</v>
      </c>
      <c r="H96" s="141">
        <f>IF(_xlfn.XLOOKUP(A96,[1]分配表!L:L,[1]分配表!O:O)=0,"未出单",_xlfn.XLOOKUP(A96,[1]分配表!L:L,[1]分配表!O:O))</f>
        <v>46089</v>
      </c>
      <c r="I96" s="142" t="s">
        <v>106</v>
      </c>
      <c r="J96" s="143" t="s">
        <v>106</v>
      </c>
      <c r="K96" s="144">
        <v>7</v>
      </c>
      <c r="L96" s="142" t="s">
        <v>106</v>
      </c>
      <c r="M96" s="143" t="s">
        <v>106</v>
      </c>
      <c r="N96" s="146" t="s">
        <v>39</v>
      </c>
      <c r="O96" s="142" t="s">
        <v>106</v>
      </c>
      <c r="P96" s="143" t="s">
        <v>106</v>
      </c>
      <c r="Q96" s="147" t="s">
        <v>40</v>
      </c>
      <c r="R96" s="142" t="s">
        <v>106</v>
      </c>
      <c r="S96" s="143" t="s">
        <v>106</v>
      </c>
      <c r="T96" s="144">
        <v>21</v>
      </c>
      <c r="U96" s="142" t="s">
        <v>106</v>
      </c>
      <c r="V96" s="143" t="s">
        <v>106</v>
      </c>
      <c r="W96" s="144">
        <v>0</v>
      </c>
      <c r="X96" s="142" t="s">
        <v>106</v>
      </c>
      <c r="Y96" s="143" t="s">
        <v>106</v>
      </c>
      <c r="Z96" s="150">
        <v>1739</v>
      </c>
      <c r="AA96" s="142" t="s">
        <v>106</v>
      </c>
      <c r="AB96" s="143" t="s">
        <v>106</v>
      </c>
      <c r="AC96" s="153">
        <v>1</v>
      </c>
      <c r="AI96" s="116"/>
      <c r="AJ96" s="116"/>
      <c r="AK96" s="116"/>
    </row>
    <row r="97" customFormat="1" ht="22.5" customHeight="1" spans="1:37">
      <c r="A97" s="156">
        <v>11102</v>
      </c>
      <c r="B97" s="139" t="s">
        <v>149</v>
      </c>
      <c r="C97" s="140">
        <v>46085</v>
      </c>
      <c r="D97" s="160" t="s">
        <v>106</v>
      </c>
      <c r="E97" s="141" t="s">
        <v>102</v>
      </c>
      <c r="F97" s="141" t="s">
        <v>46</v>
      </c>
      <c r="G97" s="141" t="s">
        <v>32</v>
      </c>
      <c r="H97" s="141">
        <f>IF(_xlfn.XLOOKUP(A97,[1]分配表!L:L,[1]分配表!O:O)=0,"未出单",_xlfn.XLOOKUP(A97,[1]分配表!L:L,[1]分配表!O:O))</f>
        <v>46100</v>
      </c>
      <c r="I97" s="142" t="s">
        <v>106</v>
      </c>
      <c r="J97" s="143" t="s">
        <v>106</v>
      </c>
      <c r="K97" s="144">
        <v>4</v>
      </c>
      <c r="L97" s="142" t="s">
        <v>106</v>
      </c>
      <c r="M97" s="143" t="s">
        <v>106</v>
      </c>
      <c r="N97" s="146" t="s">
        <v>34</v>
      </c>
      <c r="O97" s="142" t="s">
        <v>106</v>
      </c>
      <c r="P97" s="143" t="s">
        <v>106</v>
      </c>
      <c r="Q97" s="147" t="s">
        <v>36</v>
      </c>
      <c r="R97" s="142" t="s">
        <v>106</v>
      </c>
      <c r="S97" s="143" t="s">
        <v>106</v>
      </c>
      <c r="T97" s="144">
        <v>3</v>
      </c>
      <c r="U97" s="142" t="s">
        <v>106</v>
      </c>
      <c r="V97" s="143" t="s">
        <v>106</v>
      </c>
      <c r="W97" s="144">
        <v>10</v>
      </c>
      <c r="X97" s="142" t="s">
        <v>106</v>
      </c>
      <c r="Y97" s="143" t="s">
        <v>106</v>
      </c>
      <c r="Z97" s="150">
        <v>96</v>
      </c>
      <c r="AA97" s="142" t="s">
        <v>106</v>
      </c>
      <c r="AB97" s="143" t="s">
        <v>106</v>
      </c>
      <c r="AC97" s="153">
        <v>0.230769230769231</v>
      </c>
      <c r="AI97" s="116"/>
      <c r="AJ97" s="116"/>
      <c r="AK97" s="116"/>
    </row>
    <row r="98" customFormat="1" ht="22.5" customHeight="1" spans="1:37">
      <c r="A98" s="156">
        <v>12071</v>
      </c>
      <c r="B98" s="139" t="s">
        <v>150</v>
      </c>
      <c r="C98" s="140">
        <v>46085</v>
      </c>
      <c r="D98" s="160" t="s">
        <v>106</v>
      </c>
      <c r="E98" s="141" t="s">
        <v>45</v>
      </c>
      <c r="F98" s="141" t="s">
        <v>53</v>
      </c>
      <c r="G98" s="141" t="s">
        <v>47</v>
      </c>
      <c r="H98" s="141">
        <f>IF(_xlfn.XLOOKUP(A98,[1]分配表!L:L,[1]分配表!O:O)=0,"未出单",_xlfn.XLOOKUP(A98,[1]分配表!L:L,[1]分配表!O:O))</f>
        <v>46092</v>
      </c>
      <c r="I98" s="142" t="s">
        <v>106</v>
      </c>
      <c r="J98" s="143" t="s">
        <v>106</v>
      </c>
      <c r="K98" s="144">
        <v>3</v>
      </c>
      <c r="L98" s="142" t="s">
        <v>106</v>
      </c>
      <c r="M98" s="143" t="s">
        <v>106</v>
      </c>
      <c r="N98" s="146" t="s">
        <v>39</v>
      </c>
      <c r="O98" s="142" t="s">
        <v>106</v>
      </c>
      <c r="P98" s="143" t="s">
        <v>106</v>
      </c>
      <c r="Q98" s="147" t="s">
        <v>40</v>
      </c>
      <c r="R98" s="142" t="s">
        <v>106</v>
      </c>
      <c r="S98" s="143" t="s">
        <v>106</v>
      </c>
      <c r="T98" s="144">
        <v>2</v>
      </c>
      <c r="U98" s="142" t="s">
        <v>106</v>
      </c>
      <c r="V98" s="143" t="s">
        <v>106</v>
      </c>
      <c r="W98" s="144">
        <v>1</v>
      </c>
      <c r="X98" s="142" t="s">
        <v>106</v>
      </c>
      <c r="Y98" s="143" t="s">
        <v>106</v>
      </c>
      <c r="Z98" s="150">
        <v>598</v>
      </c>
      <c r="AA98" s="142" t="s">
        <v>106</v>
      </c>
      <c r="AB98" s="143" t="s">
        <v>106</v>
      </c>
      <c r="AC98" s="153">
        <v>0.666666666666667</v>
      </c>
      <c r="AI98" s="116"/>
      <c r="AJ98" s="116"/>
      <c r="AK98" s="116"/>
    </row>
    <row r="99" customFormat="1" ht="22.5" customHeight="1" spans="1:37">
      <c r="A99" s="156">
        <v>12072</v>
      </c>
      <c r="B99" s="139" t="s">
        <v>151</v>
      </c>
      <c r="C99" s="140">
        <v>46085</v>
      </c>
      <c r="D99" s="160" t="s">
        <v>106</v>
      </c>
      <c r="E99" s="141" t="s">
        <v>45</v>
      </c>
      <c r="F99" s="141" t="s">
        <v>53</v>
      </c>
      <c r="G99" s="141" t="s">
        <v>32</v>
      </c>
      <c r="H99" s="141">
        <f>IF(_xlfn.XLOOKUP(A99,[1]分配表!L:L,[1]分配表!O:O)=0,"未出单",_xlfn.XLOOKUP(A99,[1]分配表!L:L,[1]分配表!O:O))</f>
        <v>46112</v>
      </c>
      <c r="I99" s="142" t="s">
        <v>106</v>
      </c>
      <c r="J99" s="143" t="s">
        <v>106</v>
      </c>
      <c r="K99" s="144">
        <v>3</v>
      </c>
      <c r="L99" s="142" t="s">
        <v>106</v>
      </c>
      <c r="M99" s="143" t="s">
        <v>106</v>
      </c>
      <c r="N99" s="146" t="s">
        <v>34</v>
      </c>
      <c r="O99" s="142" t="s">
        <v>106</v>
      </c>
      <c r="P99" s="143" t="s">
        <v>106</v>
      </c>
      <c r="Q99" s="147" t="s">
        <v>43</v>
      </c>
      <c r="R99" s="142" t="s">
        <v>106</v>
      </c>
      <c r="S99" s="143" t="s">
        <v>106</v>
      </c>
      <c r="T99" s="144">
        <v>1</v>
      </c>
      <c r="U99" s="142" t="s">
        <v>106</v>
      </c>
      <c r="V99" s="143" t="s">
        <v>106</v>
      </c>
      <c r="W99" s="144">
        <v>0</v>
      </c>
      <c r="X99" s="142" t="s">
        <v>106</v>
      </c>
      <c r="Y99" s="143" t="s">
        <v>106</v>
      </c>
      <c r="Z99" s="150">
        <v>299</v>
      </c>
      <c r="AA99" s="142" t="s">
        <v>106</v>
      </c>
      <c r="AB99" s="143" t="s">
        <v>106</v>
      </c>
      <c r="AC99" s="153">
        <v>1</v>
      </c>
      <c r="AI99" s="116"/>
      <c r="AJ99" s="116"/>
      <c r="AK99" s="116"/>
    </row>
    <row r="100" customFormat="1" ht="22.5" customHeight="1" spans="1:37">
      <c r="A100" s="156">
        <v>12248</v>
      </c>
      <c r="B100" s="139" t="s">
        <v>152</v>
      </c>
      <c r="C100" s="140">
        <v>46085</v>
      </c>
      <c r="D100" s="160" t="s">
        <v>106</v>
      </c>
      <c r="E100" s="141" t="s">
        <v>45</v>
      </c>
      <c r="F100" s="141" t="s">
        <v>60</v>
      </c>
      <c r="G100" s="141" t="s">
        <v>32</v>
      </c>
      <c r="H100" s="141">
        <f>IF(_xlfn.XLOOKUP(A100,[1]分配表!L:L,[1]分配表!O:O)=0,"未出单",_xlfn.XLOOKUP(A100,[1]分配表!L:L,[1]分配表!O:O))</f>
        <v>46091</v>
      </c>
      <c r="I100" s="142" t="s">
        <v>106</v>
      </c>
      <c r="J100" s="143" t="s">
        <v>106</v>
      </c>
      <c r="K100" s="144">
        <v>5</v>
      </c>
      <c r="L100" s="142" t="s">
        <v>106</v>
      </c>
      <c r="M100" s="143" t="s">
        <v>106</v>
      </c>
      <c r="N100" s="146" t="s">
        <v>39</v>
      </c>
      <c r="O100" s="142" t="s">
        <v>106</v>
      </c>
      <c r="P100" s="143" t="s">
        <v>106</v>
      </c>
      <c r="Q100" s="147" t="s">
        <v>36</v>
      </c>
      <c r="R100" s="142" t="s">
        <v>106</v>
      </c>
      <c r="S100" s="143" t="s">
        <v>106</v>
      </c>
      <c r="T100" s="144">
        <v>10</v>
      </c>
      <c r="U100" s="142" t="s">
        <v>106</v>
      </c>
      <c r="V100" s="143" t="s">
        <v>106</v>
      </c>
      <c r="W100" s="144">
        <v>6</v>
      </c>
      <c r="X100" s="142" t="s">
        <v>106</v>
      </c>
      <c r="Y100" s="143" t="s">
        <v>106</v>
      </c>
      <c r="Z100" s="150">
        <v>850</v>
      </c>
      <c r="AA100" s="142" t="s">
        <v>106</v>
      </c>
      <c r="AB100" s="143" t="s">
        <v>106</v>
      </c>
      <c r="AC100" s="153">
        <v>0.625</v>
      </c>
      <c r="AI100" s="116"/>
      <c r="AJ100" s="116"/>
      <c r="AK100" s="116"/>
    </row>
    <row r="101" customFormat="1" ht="22.5" customHeight="1" spans="1:37">
      <c r="A101" s="156">
        <v>12246</v>
      </c>
      <c r="B101" s="139" t="s">
        <v>153</v>
      </c>
      <c r="C101" s="140">
        <v>46085</v>
      </c>
      <c r="D101" s="160" t="s">
        <v>106</v>
      </c>
      <c r="E101" s="141" t="s">
        <v>45</v>
      </c>
      <c r="F101" s="141" t="s">
        <v>60</v>
      </c>
      <c r="G101" s="141" t="s">
        <v>32</v>
      </c>
      <c r="H101" s="141">
        <f>IF(_xlfn.XLOOKUP(A101,[1]分配表!L:L,[1]分配表!O:O)=0,"未出单",_xlfn.XLOOKUP(A101,[1]分配表!L:L,[1]分配表!O:O))</f>
        <v>46086</v>
      </c>
      <c r="I101" s="142" t="s">
        <v>106</v>
      </c>
      <c r="J101" s="143" t="s">
        <v>106</v>
      </c>
      <c r="K101" s="144">
        <v>4</v>
      </c>
      <c r="L101" s="142" t="s">
        <v>106</v>
      </c>
      <c r="M101" s="143" t="s">
        <v>106</v>
      </c>
      <c r="N101" s="146" t="s">
        <v>39</v>
      </c>
      <c r="O101" s="142" t="s">
        <v>106</v>
      </c>
      <c r="P101" s="143" t="s">
        <v>106</v>
      </c>
      <c r="Q101" s="147" t="s">
        <v>40</v>
      </c>
      <c r="R101" s="142" t="s">
        <v>106</v>
      </c>
      <c r="S101" s="143" t="s">
        <v>106</v>
      </c>
      <c r="T101" s="144">
        <v>33</v>
      </c>
      <c r="U101" s="142" t="s">
        <v>106</v>
      </c>
      <c r="V101" s="143" t="s">
        <v>106</v>
      </c>
      <c r="W101" s="144">
        <v>3</v>
      </c>
      <c r="X101" s="142" t="s">
        <v>106</v>
      </c>
      <c r="Y101" s="143" t="s">
        <v>106</v>
      </c>
      <c r="Z101" s="150">
        <v>3073</v>
      </c>
      <c r="AA101" s="142" t="s">
        <v>106</v>
      </c>
      <c r="AB101" s="143" t="s">
        <v>106</v>
      </c>
      <c r="AC101" s="153">
        <v>0.916666666666667</v>
      </c>
      <c r="AI101" s="116"/>
      <c r="AJ101" s="116"/>
      <c r="AK101" s="116"/>
    </row>
    <row r="102" customFormat="1" ht="22.5" customHeight="1" spans="1:37">
      <c r="A102" s="156">
        <v>12205</v>
      </c>
      <c r="B102" s="139" t="s">
        <v>154</v>
      </c>
      <c r="C102" s="140">
        <v>46086</v>
      </c>
      <c r="D102" s="160" t="s">
        <v>106</v>
      </c>
      <c r="E102" s="141" t="s">
        <v>45</v>
      </c>
      <c r="F102" s="141" t="s">
        <v>46</v>
      </c>
      <c r="G102" s="141" t="s">
        <v>32</v>
      </c>
      <c r="H102" s="141">
        <f>IF(_xlfn.XLOOKUP(A102,[1]分配表!L:L,[1]分配表!O:O)=0,"未出单",_xlfn.XLOOKUP(A102,[1]分配表!L:L,[1]分配表!O:O))</f>
        <v>46089</v>
      </c>
      <c r="I102" s="142" t="s">
        <v>106</v>
      </c>
      <c r="J102" s="143" t="s">
        <v>106</v>
      </c>
      <c r="K102" s="144">
        <v>5</v>
      </c>
      <c r="L102" s="142" t="s">
        <v>106</v>
      </c>
      <c r="M102" s="143" t="s">
        <v>106</v>
      </c>
      <c r="N102" s="146" t="s">
        <v>39</v>
      </c>
      <c r="O102" s="142" t="s">
        <v>106</v>
      </c>
      <c r="P102" s="143" t="s">
        <v>106</v>
      </c>
      <c r="Q102" s="147" t="s">
        <v>36</v>
      </c>
      <c r="R102" s="142" t="s">
        <v>106</v>
      </c>
      <c r="S102" s="143" t="s">
        <v>106</v>
      </c>
      <c r="T102" s="144">
        <v>16</v>
      </c>
      <c r="U102" s="142" t="s">
        <v>106</v>
      </c>
      <c r="V102" s="143" t="s">
        <v>106</v>
      </c>
      <c r="W102" s="144">
        <v>121</v>
      </c>
      <c r="X102" s="142" t="s">
        <v>106</v>
      </c>
      <c r="Y102" s="143" t="s">
        <v>106</v>
      </c>
      <c r="Z102" s="150">
        <v>348</v>
      </c>
      <c r="AA102" s="142" t="s">
        <v>106</v>
      </c>
      <c r="AB102" s="143" t="s">
        <v>106</v>
      </c>
      <c r="AC102" s="153">
        <v>0.116788321167883</v>
      </c>
      <c r="AI102" s="116"/>
      <c r="AJ102" s="116"/>
      <c r="AK102" s="116"/>
    </row>
    <row r="103" customFormat="1" ht="22.5" customHeight="1" spans="1:37">
      <c r="A103" s="156">
        <v>12206</v>
      </c>
      <c r="B103" s="139" t="s">
        <v>155</v>
      </c>
      <c r="C103" s="140">
        <v>46086</v>
      </c>
      <c r="D103" s="160" t="s">
        <v>106</v>
      </c>
      <c r="E103" s="141" t="s">
        <v>45</v>
      </c>
      <c r="F103" s="141" t="s">
        <v>46</v>
      </c>
      <c r="G103" s="141" t="s">
        <v>32</v>
      </c>
      <c r="H103" s="141">
        <f>IF(_xlfn.XLOOKUP(A103,[1]分配表!L:L,[1]分配表!O:O)=0,"未出单",_xlfn.XLOOKUP(A103,[1]分配表!L:L,[1]分配表!O:O))</f>
        <v>46094</v>
      </c>
      <c r="I103" s="142" t="s">
        <v>106</v>
      </c>
      <c r="J103" s="143" t="s">
        <v>106</v>
      </c>
      <c r="K103" s="144">
        <v>6</v>
      </c>
      <c r="L103" s="142" t="s">
        <v>106</v>
      </c>
      <c r="M103" s="143" t="s">
        <v>106</v>
      </c>
      <c r="N103" s="146" t="s">
        <v>39</v>
      </c>
      <c r="O103" s="142" t="s">
        <v>106</v>
      </c>
      <c r="P103" s="143" t="s">
        <v>106</v>
      </c>
      <c r="Q103" s="147" t="s">
        <v>36</v>
      </c>
      <c r="R103" s="142" t="s">
        <v>106</v>
      </c>
      <c r="S103" s="143" t="s">
        <v>106</v>
      </c>
      <c r="T103" s="144">
        <v>2</v>
      </c>
      <c r="U103" s="142" t="s">
        <v>106</v>
      </c>
      <c r="V103" s="143" t="s">
        <v>106</v>
      </c>
      <c r="W103" s="144">
        <v>18</v>
      </c>
      <c r="X103" s="142" t="s">
        <v>106</v>
      </c>
      <c r="Y103" s="143" t="s">
        <v>106</v>
      </c>
      <c r="Z103" s="150">
        <v>44</v>
      </c>
      <c r="AA103" s="142" t="s">
        <v>106</v>
      </c>
      <c r="AB103" s="143" t="s">
        <v>106</v>
      </c>
      <c r="AC103" s="153">
        <v>0.1</v>
      </c>
      <c r="AI103" s="116"/>
      <c r="AJ103" s="116"/>
      <c r="AK103" s="116"/>
    </row>
    <row r="104" customFormat="1" ht="22.5" customHeight="1" spans="1:37">
      <c r="A104" s="156">
        <v>11997</v>
      </c>
      <c r="B104" s="139" t="s">
        <v>156</v>
      </c>
      <c r="C104" s="140">
        <v>46091</v>
      </c>
      <c r="D104" s="160" t="s">
        <v>106</v>
      </c>
      <c r="E104" s="141" t="s">
        <v>65</v>
      </c>
      <c r="F104" s="141" t="s">
        <v>66</v>
      </c>
      <c r="G104" s="141" t="s">
        <v>32</v>
      </c>
      <c r="H104" s="141">
        <f>IF(_xlfn.XLOOKUP(A104,[1]分配表!L:L,[1]分配表!O:O)=0,"未出单",_xlfn.XLOOKUP(A104,[1]分配表!L:L,[1]分配表!O:O))</f>
        <v>46105</v>
      </c>
      <c r="I104" s="142" t="s">
        <v>106</v>
      </c>
      <c r="J104" s="143" t="s">
        <v>106</v>
      </c>
      <c r="K104" s="144">
        <v>2</v>
      </c>
      <c r="L104" s="142" t="s">
        <v>106</v>
      </c>
      <c r="M104" s="143" t="s">
        <v>106</v>
      </c>
      <c r="N104" s="146" t="s">
        <v>34</v>
      </c>
      <c r="O104" s="142" t="s">
        <v>106</v>
      </c>
      <c r="P104" s="143" t="s">
        <v>106</v>
      </c>
      <c r="Q104" s="147" t="s">
        <v>40</v>
      </c>
      <c r="R104" s="142" t="s">
        <v>106</v>
      </c>
      <c r="S104" s="143" t="s">
        <v>106</v>
      </c>
      <c r="T104" s="144">
        <v>1</v>
      </c>
      <c r="U104" s="142" t="s">
        <v>106</v>
      </c>
      <c r="V104" s="143" t="s">
        <v>106</v>
      </c>
      <c r="W104" s="144">
        <v>2</v>
      </c>
      <c r="X104" s="142" t="s">
        <v>106</v>
      </c>
      <c r="Y104" s="143" t="s">
        <v>106</v>
      </c>
      <c r="Z104" s="150">
        <v>139</v>
      </c>
      <c r="AA104" s="142" t="s">
        <v>106</v>
      </c>
      <c r="AB104" s="143" t="s">
        <v>106</v>
      </c>
      <c r="AC104" s="153">
        <v>0.333333333333333</v>
      </c>
      <c r="AI104" s="116"/>
      <c r="AJ104" s="116"/>
      <c r="AK104" s="116"/>
    </row>
    <row r="105" customFormat="1" ht="22.5" customHeight="1" spans="1:37">
      <c r="A105" s="156">
        <v>12262</v>
      </c>
      <c r="B105" s="139" t="s">
        <v>157</v>
      </c>
      <c r="C105" s="140">
        <v>46091</v>
      </c>
      <c r="D105" s="160" t="s">
        <v>106</v>
      </c>
      <c r="E105" s="141" t="s">
        <v>102</v>
      </c>
      <c r="F105" s="141" t="s">
        <v>31</v>
      </c>
      <c r="G105" s="141" t="s">
        <v>32</v>
      </c>
      <c r="H105" s="141">
        <f>IF(_xlfn.XLOOKUP(A105,[1]分配表!L:L,[1]分配表!O:O)=0,"未出单",_xlfn.XLOOKUP(A105,[1]分配表!L:L,[1]分配表!O:O))</f>
        <v>46094</v>
      </c>
      <c r="I105" s="142" t="s">
        <v>106</v>
      </c>
      <c r="J105" s="143" t="s">
        <v>106</v>
      </c>
      <c r="K105" s="144">
        <v>2</v>
      </c>
      <c r="L105" s="142" t="s">
        <v>106</v>
      </c>
      <c r="M105" s="143" t="s">
        <v>106</v>
      </c>
      <c r="N105" s="146" t="s">
        <v>39</v>
      </c>
      <c r="O105" s="142" t="s">
        <v>106</v>
      </c>
      <c r="P105" s="143" t="s">
        <v>106</v>
      </c>
      <c r="Q105" s="147" t="s">
        <v>40</v>
      </c>
      <c r="R105" s="142" t="s">
        <v>106</v>
      </c>
      <c r="S105" s="143" t="s">
        <v>106</v>
      </c>
      <c r="T105" s="144">
        <v>3</v>
      </c>
      <c r="U105" s="142" t="s">
        <v>106</v>
      </c>
      <c r="V105" s="143" t="s">
        <v>106</v>
      </c>
      <c r="W105" s="144">
        <v>2</v>
      </c>
      <c r="X105" s="142" t="s">
        <v>106</v>
      </c>
      <c r="Y105" s="143" t="s">
        <v>106</v>
      </c>
      <c r="Z105" s="150">
        <v>426</v>
      </c>
      <c r="AA105" s="142" t="s">
        <v>106</v>
      </c>
      <c r="AB105" s="143" t="s">
        <v>106</v>
      </c>
      <c r="AC105" s="153">
        <v>0.6</v>
      </c>
      <c r="AI105" s="116"/>
      <c r="AJ105" s="116"/>
      <c r="AK105" s="116"/>
    </row>
    <row r="106" customFormat="1" ht="22.5" customHeight="1" spans="1:37">
      <c r="A106" s="156">
        <v>12244</v>
      </c>
      <c r="B106" s="139" t="s">
        <v>158</v>
      </c>
      <c r="C106" s="140">
        <v>46091</v>
      </c>
      <c r="D106" s="160" t="s">
        <v>106</v>
      </c>
      <c r="E106" s="141" t="s">
        <v>65</v>
      </c>
      <c r="F106" s="141" t="s">
        <v>66</v>
      </c>
      <c r="G106" s="141" t="s">
        <v>32</v>
      </c>
      <c r="H106" s="141">
        <f>IF(_xlfn.XLOOKUP(A106,[1]分配表!L:L,[1]分配表!O:O)=0,"未出单",_xlfn.XLOOKUP(A106,[1]分配表!L:L,[1]分配表!O:O))</f>
        <v>46101</v>
      </c>
      <c r="I106" s="142" t="s">
        <v>106</v>
      </c>
      <c r="J106" s="143" t="s">
        <v>106</v>
      </c>
      <c r="K106" s="144">
        <v>2</v>
      </c>
      <c r="L106" s="142" t="s">
        <v>106</v>
      </c>
      <c r="M106" s="143" t="s">
        <v>106</v>
      </c>
      <c r="N106" s="146" t="s">
        <v>34</v>
      </c>
      <c r="O106" s="142" t="s">
        <v>106</v>
      </c>
      <c r="P106" s="143" t="s">
        <v>106</v>
      </c>
      <c r="Q106" s="147" t="s">
        <v>40</v>
      </c>
      <c r="R106" s="142" t="s">
        <v>106</v>
      </c>
      <c r="S106" s="143" t="s">
        <v>106</v>
      </c>
      <c r="T106" s="144">
        <v>2</v>
      </c>
      <c r="U106" s="142" t="s">
        <v>106</v>
      </c>
      <c r="V106" s="143" t="s">
        <v>106</v>
      </c>
      <c r="W106" s="144">
        <v>7</v>
      </c>
      <c r="X106" s="142" t="s">
        <v>106</v>
      </c>
      <c r="Y106" s="143" t="s">
        <v>106</v>
      </c>
      <c r="Z106" s="150">
        <v>76</v>
      </c>
      <c r="AA106" s="142" t="s">
        <v>106</v>
      </c>
      <c r="AB106" s="143" t="s">
        <v>106</v>
      </c>
      <c r="AC106" s="153">
        <v>0.222222222222222</v>
      </c>
      <c r="AI106" s="116"/>
      <c r="AJ106" s="116"/>
      <c r="AK106" s="116"/>
    </row>
    <row r="107" customFormat="1" ht="22.5" customHeight="1" spans="1:37">
      <c r="A107" s="156">
        <v>12243</v>
      </c>
      <c r="B107" s="139" t="s">
        <v>159</v>
      </c>
      <c r="C107" s="140">
        <v>46091</v>
      </c>
      <c r="D107" s="160" t="s">
        <v>106</v>
      </c>
      <c r="E107" s="141" t="s">
        <v>65</v>
      </c>
      <c r="F107" s="141" t="s">
        <v>66</v>
      </c>
      <c r="G107" s="141" t="s">
        <v>32</v>
      </c>
      <c r="H107" s="141">
        <f>IF(_xlfn.XLOOKUP(A107,[1]分配表!L:L,[1]分配表!O:O)=0,"未出单",_xlfn.XLOOKUP(A107,[1]分配表!L:L,[1]分配表!O:O))</f>
        <v>46106</v>
      </c>
      <c r="I107" s="142" t="s">
        <v>106</v>
      </c>
      <c r="J107" s="143" t="s">
        <v>106</v>
      </c>
      <c r="K107" s="144">
        <v>2</v>
      </c>
      <c r="L107" s="142" t="s">
        <v>106</v>
      </c>
      <c r="M107" s="143" t="s">
        <v>106</v>
      </c>
      <c r="N107" s="146" t="s">
        <v>34</v>
      </c>
      <c r="O107" s="142" t="s">
        <v>106</v>
      </c>
      <c r="P107" s="143" t="s">
        <v>106</v>
      </c>
      <c r="Q107" s="147" t="s">
        <v>40</v>
      </c>
      <c r="R107" s="142" t="s">
        <v>106</v>
      </c>
      <c r="S107" s="143" t="s">
        <v>106</v>
      </c>
      <c r="T107" s="144">
        <v>4</v>
      </c>
      <c r="U107" s="142" t="s">
        <v>106</v>
      </c>
      <c r="V107" s="143" t="s">
        <v>106</v>
      </c>
      <c r="W107" s="144">
        <v>7</v>
      </c>
      <c r="X107" s="142" t="s">
        <v>106</v>
      </c>
      <c r="Y107" s="143" t="s">
        <v>106</v>
      </c>
      <c r="Z107" s="150">
        <v>152</v>
      </c>
      <c r="AA107" s="142" t="s">
        <v>106</v>
      </c>
      <c r="AB107" s="143" t="s">
        <v>106</v>
      </c>
      <c r="AC107" s="153">
        <v>0.363636363636364</v>
      </c>
      <c r="AI107" s="116"/>
      <c r="AJ107" s="116"/>
      <c r="AK107" s="116"/>
    </row>
    <row r="108" customFormat="1" ht="22.5" customHeight="1" spans="1:37">
      <c r="A108" s="156">
        <v>12304</v>
      </c>
      <c r="B108" s="139" t="s">
        <v>160</v>
      </c>
      <c r="C108" s="140">
        <v>46092</v>
      </c>
      <c r="D108" s="160" t="s">
        <v>106</v>
      </c>
      <c r="E108" s="141" t="s">
        <v>49</v>
      </c>
      <c r="F108" s="141" t="s">
        <v>46</v>
      </c>
      <c r="G108" s="141" t="s">
        <v>32</v>
      </c>
      <c r="H108" s="141">
        <f>IF(_xlfn.XLOOKUP(A108,[1]分配表!L:L,[1]分配表!O:O)=0,"未出单",_xlfn.XLOOKUP(A108,[1]分配表!L:L,[1]分配表!O:O))</f>
        <v>46095</v>
      </c>
      <c r="I108" s="142" t="s">
        <v>106</v>
      </c>
      <c r="J108" s="143" t="s">
        <v>106</v>
      </c>
      <c r="K108" s="144">
        <v>2</v>
      </c>
      <c r="L108" s="142" t="s">
        <v>106</v>
      </c>
      <c r="M108" s="143" t="s">
        <v>106</v>
      </c>
      <c r="N108" s="146" t="s">
        <v>39</v>
      </c>
      <c r="O108" s="142" t="s">
        <v>106</v>
      </c>
      <c r="P108" s="143" t="s">
        <v>106</v>
      </c>
      <c r="Q108" s="147" t="s">
        <v>40</v>
      </c>
      <c r="R108" s="142" t="s">
        <v>106</v>
      </c>
      <c r="S108" s="143" t="s">
        <v>106</v>
      </c>
      <c r="T108" s="144">
        <v>7</v>
      </c>
      <c r="U108" s="142" t="s">
        <v>106</v>
      </c>
      <c r="V108" s="143" t="s">
        <v>106</v>
      </c>
      <c r="W108" s="144">
        <v>0</v>
      </c>
      <c r="X108" s="142" t="s">
        <v>106</v>
      </c>
      <c r="Y108" s="143" t="s">
        <v>106</v>
      </c>
      <c r="Z108" s="150">
        <v>3493</v>
      </c>
      <c r="AA108" s="142" t="s">
        <v>106</v>
      </c>
      <c r="AB108" s="143" t="s">
        <v>106</v>
      </c>
      <c r="AC108" s="153">
        <v>1</v>
      </c>
      <c r="AI108" s="116"/>
      <c r="AJ108" s="116"/>
      <c r="AK108" s="116"/>
    </row>
    <row r="109" customFormat="1" ht="22.5" customHeight="1" spans="1:37">
      <c r="A109" s="156">
        <v>12085</v>
      </c>
      <c r="B109" s="139" t="s">
        <v>161</v>
      </c>
      <c r="C109" s="140">
        <v>46092</v>
      </c>
      <c r="D109" s="160" t="s">
        <v>106</v>
      </c>
      <c r="E109" s="141" t="s">
        <v>102</v>
      </c>
      <c r="F109" s="141" t="s">
        <v>31</v>
      </c>
      <c r="G109" s="141" t="s">
        <v>47</v>
      </c>
      <c r="H109" s="141">
        <f>IF(_xlfn.XLOOKUP(A109,[1]分配表!L:L,[1]分配表!O:O)=0,"未出单",_xlfn.XLOOKUP(A109,[1]分配表!L:L,[1]分配表!O:O))</f>
        <v>46099</v>
      </c>
      <c r="I109" s="142" t="s">
        <v>106</v>
      </c>
      <c r="J109" s="143" t="s">
        <v>106</v>
      </c>
      <c r="K109" s="144">
        <v>2</v>
      </c>
      <c r="L109" s="142" t="s">
        <v>106</v>
      </c>
      <c r="M109" s="143" t="s">
        <v>106</v>
      </c>
      <c r="N109" s="146" t="s">
        <v>39</v>
      </c>
      <c r="O109" s="142" t="s">
        <v>106</v>
      </c>
      <c r="P109" s="143" t="s">
        <v>106</v>
      </c>
      <c r="Q109" s="147" t="s">
        <v>36</v>
      </c>
      <c r="R109" s="142" t="s">
        <v>106</v>
      </c>
      <c r="S109" s="143" t="s">
        <v>106</v>
      </c>
      <c r="T109" s="144">
        <v>5</v>
      </c>
      <c r="U109" s="142" t="s">
        <v>106</v>
      </c>
      <c r="V109" s="143" t="s">
        <v>106</v>
      </c>
      <c r="W109" s="144">
        <v>8</v>
      </c>
      <c r="X109" s="142" t="s">
        <v>106</v>
      </c>
      <c r="Y109" s="143" t="s">
        <v>106</v>
      </c>
      <c r="Z109" s="150">
        <v>425</v>
      </c>
      <c r="AA109" s="142" t="s">
        <v>106</v>
      </c>
      <c r="AB109" s="143" t="s">
        <v>106</v>
      </c>
      <c r="AC109" s="153">
        <v>0.384615384615385</v>
      </c>
      <c r="AI109" s="116"/>
      <c r="AJ109" s="116"/>
      <c r="AK109" s="116"/>
    </row>
    <row r="110" customFormat="1" ht="22.5" customHeight="1" spans="1:37">
      <c r="A110" s="156">
        <v>12086</v>
      </c>
      <c r="B110" s="139" t="s">
        <v>162</v>
      </c>
      <c r="C110" s="140">
        <v>46092</v>
      </c>
      <c r="D110" s="160" t="s">
        <v>106</v>
      </c>
      <c r="E110" s="141" t="s">
        <v>102</v>
      </c>
      <c r="F110" s="141" t="s">
        <v>31</v>
      </c>
      <c r="G110" s="141" t="s">
        <v>32</v>
      </c>
      <c r="H110" s="141">
        <f>IF(_xlfn.XLOOKUP(A110,[1]分配表!L:L,[1]分配表!O:O)=0,"未出单",_xlfn.XLOOKUP(A110,[1]分配表!L:L,[1]分配表!O:O))</f>
        <v>46100</v>
      </c>
      <c r="I110" s="142" t="s">
        <v>106</v>
      </c>
      <c r="J110" s="143" t="s">
        <v>106</v>
      </c>
      <c r="K110" s="144">
        <v>2</v>
      </c>
      <c r="L110" s="142" t="s">
        <v>106</v>
      </c>
      <c r="M110" s="143" t="s">
        <v>106</v>
      </c>
      <c r="N110" s="146" t="s">
        <v>39</v>
      </c>
      <c r="O110" s="142" t="s">
        <v>106</v>
      </c>
      <c r="P110" s="143" t="s">
        <v>106</v>
      </c>
      <c r="Q110" s="147" t="s">
        <v>36</v>
      </c>
      <c r="R110" s="142" t="s">
        <v>106</v>
      </c>
      <c r="S110" s="143" t="s">
        <v>106</v>
      </c>
      <c r="T110" s="144">
        <v>5</v>
      </c>
      <c r="U110" s="142" t="s">
        <v>106</v>
      </c>
      <c r="V110" s="143" t="s">
        <v>106</v>
      </c>
      <c r="W110" s="144">
        <v>17</v>
      </c>
      <c r="X110" s="142" t="s">
        <v>106</v>
      </c>
      <c r="Y110" s="143" t="s">
        <v>106</v>
      </c>
      <c r="Z110" s="150">
        <v>375</v>
      </c>
      <c r="AA110" s="142" t="s">
        <v>106</v>
      </c>
      <c r="AB110" s="143" t="s">
        <v>106</v>
      </c>
      <c r="AC110" s="153">
        <v>0.227272727272727</v>
      </c>
      <c r="AI110" s="116"/>
      <c r="AJ110" s="116"/>
      <c r="AK110" s="116"/>
    </row>
    <row r="111" customFormat="1" ht="22.5" customHeight="1" spans="1:37">
      <c r="A111" s="156">
        <v>12258</v>
      </c>
      <c r="B111" s="139" t="s">
        <v>163</v>
      </c>
      <c r="C111" s="140">
        <v>46092</v>
      </c>
      <c r="D111" s="160" t="s">
        <v>106</v>
      </c>
      <c r="E111" s="141" t="s">
        <v>102</v>
      </c>
      <c r="F111" s="141" t="s">
        <v>31</v>
      </c>
      <c r="G111" s="141" t="s">
        <v>32</v>
      </c>
      <c r="H111" s="141">
        <f>IF(_xlfn.XLOOKUP(A111,[1]分配表!L:L,[1]分配表!O:O)=0,"未出单",_xlfn.XLOOKUP(A111,[1]分配表!L:L,[1]分配表!O:O))</f>
        <v>46099</v>
      </c>
      <c r="I111" s="142" t="s">
        <v>106</v>
      </c>
      <c r="J111" s="143" t="s">
        <v>106</v>
      </c>
      <c r="K111" s="144">
        <v>2</v>
      </c>
      <c r="L111" s="142" t="s">
        <v>106</v>
      </c>
      <c r="M111" s="143" t="s">
        <v>106</v>
      </c>
      <c r="N111" s="146" t="s">
        <v>39</v>
      </c>
      <c r="O111" s="142" t="s">
        <v>106</v>
      </c>
      <c r="P111" s="143" t="s">
        <v>106</v>
      </c>
      <c r="Q111" s="147" t="s">
        <v>36</v>
      </c>
      <c r="R111" s="142" t="s">
        <v>106</v>
      </c>
      <c r="S111" s="143" t="s">
        <v>106</v>
      </c>
      <c r="T111" s="144">
        <v>9</v>
      </c>
      <c r="U111" s="142" t="s">
        <v>106</v>
      </c>
      <c r="V111" s="143" t="s">
        <v>106</v>
      </c>
      <c r="W111" s="144">
        <v>36</v>
      </c>
      <c r="X111" s="142" t="s">
        <v>106</v>
      </c>
      <c r="Y111" s="143" t="s">
        <v>106</v>
      </c>
      <c r="Z111" s="150">
        <v>252</v>
      </c>
      <c r="AA111" s="142" t="s">
        <v>106</v>
      </c>
      <c r="AB111" s="143" t="s">
        <v>106</v>
      </c>
      <c r="AC111" s="153">
        <v>0.2</v>
      </c>
      <c r="AI111" s="116"/>
      <c r="AJ111" s="116"/>
      <c r="AK111" s="116"/>
    </row>
    <row r="112" customFormat="1" ht="22.5" customHeight="1" spans="1:37">
      <c r="A112" s="156">
        <v>12210</v>
      </c>
      <c r="B112" s="139" t="s">
        <v>164</v>
      </c>
      <c r="C112" s="140">
        <v>46092</v>
      </c>
      <c r="D112" s="160" t="s">
        <v>106</v>
      </c>
      <c r="E112" s="141" t="s">
        <v>102</v>
      </c>
      <c r="F112" s="141" t="s">
        <v>66</v>
      </c>
      <c r="G112" s="141" t="s">
        <v>32</v>
      </c>
      <c r="H112" s="141">
        <f>IF(_xlfn.XLOOKUP(A112,[1]分配表!L:L,[1]分配表!O:O)=0,"未出单",_xlfn.XLOOKUP(A112,[1]分配表!L:L,[1]分配表!O:O))</f>
        <v>46104</v>
      </c>
      <c r="I112" s="142" t="s">
        <v>106</v>
      </c>
      <c r="J112" s="143" t="s">
        <v>106</v>
      </c>
      <c r="K112" s="144">
        <v>2</v>
      </c>
      <c r="L112" s="142" t="s">
        <v>106</v>
      </c>
      <c r="M112" s="143" t="s">
        <v>106</v>
      </c>
      <c r="N112" s="146" t="s">
        <v>34</v>
      </c>
      <c r="O112" s="142" t="s">
        <v>106</v>
      </c>
      <c r="P112" s="143" t="s">
        <v>106</v>
      </c>
      <c r="Q112" s="147" t="s">
        <v>36</v>
      </c>
      <c r="R112" s="142" t="s">
        <v>106</v>
      </c>
      <c r="S112" s="143" t="s">
        <v>106</v>
      </c>
      <c r="T112" s="144">
        <v>3</v>
      </c>
      <c r="U112" s="142" t="s">
        <v>106</v>
      </c>
      <c r="V112" s="143" t="s">
        <v>106</v>
      </c>
      <c r="W112" s="144">
        <v>105</v>
      </c>
      <c r="X112" s="142" t="s">
        <v>106</v>
      </c>
      <c r="Y112" s="143" t="s">
        <v>106</v>
      </c>
      <c r="Z112" s="150">
        <v>36</v>
      </c>
      <c r="AA112" s="142" t="s">
        <v>106</v>
      </c>
      <c r="AB112" s="143" t="s">
        <v>106</v>
      </c>
      <c r="AC112" s="153">
        <v>0.0277777777777778</v>
      </c>
      <c r="AI112" s="116"/>
      <c r="AJ112" s="116"/>
      <c r="AK112" s="116"/>
    </row>
    <row r="113" customFormat="1" ht="22.5" customHeight="1" spans="1:37">
      <c r="A113" s="156">
        <v>12250</v>
      </c>
      <c r="B113" s="139" t="s">
        <v>165</v>
      </c>
      <c r="C113" s="140">
        <v>46092</v>
      </c>
      <c r="D113" s="160" t="s">
        <v>106</v>
      </c>
      <c r="E113" s="141" t="s">
        <v>65</v>
      </c>
      <c r="F113" s="141" t="s">
        <v>66</v>
      </c>
      <c r="G113" s="141" t="s">
        <v>47</v>
      </c>
      <c r="H113" s="141">
        <f>IF(_xlfn.XLOOKUP(A113,[1]分配表!L:L,[1]分配表!O:O)=0,"未出单",_xlfn.XLOOKUP(A113,[1]分配表!L:L,[1]分配表!O:O))</f>
        <v>46096</v>
      </c>
      <c r="I113" s="142" t="s">
        <v>106</v>
      </c>
      <c r="J113" s="143" t="s">
        <v>106</v>
      </c>
      <c r="K113" s="144">
        <v>1</v>
      </c>
      <c r="L113" s="142" t="s">
        <v>106</v>
      </c>
      <c r="M113" s="143" t="s">
        <v>106</v>
      </c>
      <c r="N113" s="146" t="s">
        <v>39</v>
      </c>
      <c r="O113" s="142" t="s">
        <v>106</v>
      </c>
      <c r="P113" s="143" t="s">
        <v>106</v>
      </c>
      <c r="Q113" s="147" t="s">
        <v>43</v>
      </c>
      <c r="R113" s="142" t="s">
        <v>106</v>
      </c>
      <c r="S113" s="143" t="s">
        <v>106</v>
      </c>
      <c r="T113" s="144">
        <v>2</v>
      </c>
      <c r="U113" s="142" t="s">
        <v>106</v>
      </c>
      <c r="V113" s="143" t="s">
        <v>106</v>
      </c>
      <c r="W113" s="144">
        <v>3</v>
      </c>
      <c r="X113" s="142" t="s">
        <v>106</v>
      </c>
      <c r="Y113" s="143" t="s">
        <v>106</v>
      </c>
      <c r="Z113" s="150">
        <v>78</v>
      </c>
      <c r="AA113" s="142" t="s">
        <v>106</v>
      </c>
      <c r="AB113" s="143" t="s">
        <v>106</v>
      </c>
      <c r="AC113" s="153">
        <v>0.4</v>
      </c>
      <c r="AI113" s="116"/>
      <c r="AJ113" s="116"/>
      <c r="AK113" s="116"/>
    </row>
    <row r="114" customFormat="1" ht="22.5" customHeight="1" spans="1:37">
      <c r="A114" s="156">
        <v>12251</v>
      </c>
      <c r="B114" s="139" t="s">
        <v>166</v>
      </c>
      <c r="C114" s="140">
        <v>46092</v>
      </c>
      <c r="D114" s="160" t="s">
        <v>106</v>
      </c>
      <c r="E114" s="141" t="s">
        <v>65</v>
      </c>
      <c r="F114" s="141" t="s">
        <v>66</v>
      </c>
      <c r="G114" s="141" t="s">
        <v>47</v>
      </c>
      <c r="H114" s="141">
        <f>IF(_xlfn.XLOOKUP(A114,[1]分配表!L:L,[1]分配表!O:O)=0,"未出单",_xlfn.XLOOKUP(A114,[1]分配表!L:L,[1]分配表!O:O))</f>
        <v>46112</v>
      </c>
      <c r="I114" s="142" t="s">
        <v>106</v>
      </c>
      <c r="J114" s="143" t="s">
        <v>106</v>
      </c>
      <c r="K114" s="144">
        <v>1</v>
      </c>
      <c r="L114" s="142" t="s">
        <v>106</v>
      </c>
      <c r="M114" s="143" t="s">
        <v>106</v>
      </c>
      <c r="N114" s="146" t="s">
        <v>34</v>
      </c>
      <c r="O114" s="142" t="s">
        <v>106</v>
      </c>
      <c r="P114" s="143" t="s">
        <v>106</v>
      </c>
      <c r="Q114" s="147" t="s">
        <v>36</v>
      </c>
      <c r="R114" s="142" t="s">
        <v>106</v>
      </c>
      <c r="S114" s="143" t="s">
        <v>106</v>
      </c>
      <c r="T114" s="144">
        <v>1</v>
      </c>
      <c r="U114" s="142" t="s">
        <v>106</v>
      </c>
      <c r="V114" s="143" t="s">
        <v>106</v>
      </c>
      <c r="W114" s="144">
        <v>4</v>
      </c>
      <c r="X114" s="142" t="s">
        <v>106</v>
      </c>
      <c r="Y114" s="143" t="s">
        <v>106</v>
      </c>
      <c r="Z114" s="150">
        <v>39</v>
      </c>
      <c r="AA114" s="142" t="s">
        <v>106</v>
      </c>
      <c r="AB114" s="143" t="s">
        <v>106</v>
      </c>
      <c r="AC114" s="153">
        <v>0.2</v>
      </c>
      <c r="AI114" s="116"/>
      <c r="AJ114" s="116"/>
      <c r="AK114" s="116"/>
    </row>
    <row r="115" customFormat="1" ht="22.5" customHeight="1" spans="1:37">
      <c r="A115" s="156">
        <v>12332</v>
      </c>
      <c r="B115" s="139" t="s">
        <v>167</v>
      </c>
      <c r="C115" s="140">
        <v>46092</v>
      </c>
      <c r="D115" s="160" t="s">
        <v>106</v>
      </c>
      <c r="E115" s="141" t="s">
        <v>65</v>
      </c>
      <c r="F115" s="141" t="s">
        <v>66</v>
      </c>
      <c r="G115" s="141" t="s">
        <v>32</v>
      </c>
      <c r="H115" s="141">
        <f>IF(_xlfn.XLOOKUP(A115,[1]分配表!L:L,[1]分配表!O:O)=0,"未出单",_xlfn.XLOOKUP(A115,[1]分配表!L:L,[1]分配表!O:O))</f>
        <v>46095</v>
      </c>
      <c r="I115" s="142" t="s">
        <v>106</v>
      </c>
      <c r="J115" s="143" t="s">
        <v>106</v>
      </c>
      <c r="K115" s="144">
        <v>1</v>
      </c>
      <c r="L115" s="142" t="s">
        <v>106</v>
      </c>
      <c r="M115" s="143" t="s">
        <v>106</v>
      </c>
      <c r="N115" s="146" t="s">
        <v>39</v>
      </c>
      <c r="O115" s="142" t="s">
        <v>106</v>
      </c>
      <c r="P115" s="143" t="s">
        <v>106</v>
      </c>
      <c r="Q115" s="147" t="s">
        <v>40</v>
      </c>
      <c r="R115" s="142" t="s">
        <v>106</v>
      </c>
      <c r="S115" s="143" t="s">
        <v>106</v>
      </c>
      <c r="T115" s="144">
        <v>14</v>
      </c>
      <c r="U115" s="142" t="s">
        <v>106</v>
      </c>
      <c r="V115" s="143" t="s">
        <v>106</v>
      </c>
      <c r="W115" s="144">
        <v>4</v>
      </c>
      <c r="X115" s="142" t="s">
        <v>106</v>
      </c>
      <c r="Y115" s="143" t="s">
        <v>106</v>
      </c>
      <c r="Z115" s="150">
        <v>1526</v>
      </c>
      <c r="AA115" s="142" t="s">
        <v>106</v>
      </c>
      <c r="AB115" s="143" t="s">
        <v>106</v>
      </c>
      <c r="AC115" s="153">
        <v>0.777777777777778</v>
      </c>
      <c r="AI115" s="116"/>
      <c r="AJ115" s="116"/>
      <c r="AK115" s="116"/>
    </row>
    <row r="116" customFormat="1" ht="22.5" customHeight="1" spans="1:37">
      <c r="A116" s="156">
        <v>12227</v>
      </c>
      <c r="B116" s="139" t="s">
        <v>168</v>
      </c>
      <c r="C116" s="140">
        <v>46092</v>
      </c>
      <c r="D116" s="160" t="s">
        <v>106</v>
      </c>
      <c r="E116" s="141" t="s">
        <v>102</v>
      </c>
      <c r="F116" s="141" t="s">
        <v>60</v>
      </c>
      <c r="G116" s="141" t="s">
        <v>32</v>
      </c>
      <c r="H116" s="141">
        <f>IF(_xlfn.XLOOKUP(A116,[1]分配表!L:L,[1]分配表!O:O)=0,"未出单",_xlfn.XLOOKUP(A116,[1]分配表!L:L,[1]分配表!O:O))</f>
        <v>46097</v>
      </c>
      <c r="I116" s="142" t="s">
        <v>106</v>
      </c>
      <c r="J116" s="143" t="s">
        <v>106</v>
      </c>
      <c r="K116" s="144">
        <v>2</v>
      </c>
      <c r="L116" s="142" t="s">
        <v>106</v>
      </c>
      <c r="M116" s="143" t="s">
        <v>106</v>
      </c>
      <c r="N116" s="146" t="s">
        <v>39</v>
      </c>
      <c r="O116" s="142" t="s">
        <v>106</v>
      </c>
      <c r="P116" s="143" t="s">
        <v>106</v>
      </c>
      <c r="Q116" s="147" t="s">
        <v>40</v>
      </c>
      <c r="R116" s="142" t="s">
        <v>106</v>
      </c>
      <c r="S116" s="143" t="s">
        <v>106</v>
      </c>
      <c r="T116" s="144">
        <v>8</v>
      </c>
      <c r="U116" s="142" t="s">
        <v>106</v>
      </c>
      <c r="V116" s="143" t="s">
        <v>106</v>
      </c>
      <c r="W116" s="144">
        <v>4</v>
      </c>
      <c r="X116" s="142" t="s">
        <v>106</v>
      </c>
      <c r="Y116" s="143" t="s">
        <v>106</v>
      </c>
      <c r="Z116" s="150">
        <v>552</v>
      </c>
      <c r="AA116" s="142" t="s">
        <v>106</v>
      </c>
      <c r="AB116" s="143" t="s">
        <v>106</v>
      </c>
      <c r="AC116" s="153">
        <v>0.666666666666667</v>
      </c>
      <c r="AI116" s="116"/>
      <c r="AJ116" s="116"/>
      <c r="AK116" s="116"/>
    </row>
    <row r="117" customFormat="1" ht="22.5" customHeight="1" spans="1:37">
      <c r="A117" s="156">
        <v>12309</v>
      </c>
      <c r="B117" s="139" t="s">
        <v>169</v>
      </c>
      <c r="C117" s="140">
        <v>46092</v>
      </c>
      <c r="D117" s="160" t="s">
        <v>106</v>
      </c>
      <c r="E117" s="141" t="s">
        <v>49</v>
      </c>
      <c r="F117" s="141" t="s">
        <v>46</v>
      </c>
      <c r="G117" s="141" t="s">
        <v>32</v>
      </c>
      <c r="H117" s="141">
        <f>IF(_xlfn.XLOOKUP(A117,[1]分配表!L:L,[1]分配表!O:O)=0,"未出单",_xlfn.XLOOKUP(A117,[1]分配表!L:L,[1]分配表!O:O))</f>
        <v>46101</v>
      </c>
      <c r="I117" s="142" t="s">
        <v>106</v>
      </c>
      <c r="J117" s="143" t="s">
        <v>106</v>
      </c>
      <c r="K117" s="144">
        <v>2</v>
      </c>
      <c r="L117" s="142" t="s">
        <v>106</v>
      </c>
      <c r="M117" s="143" t="s">
        <v>106</v>
      </c>
      <c r="N117" s="146" t="s">
        <v>34</v>
      </c>
      <c r="O117" s="142" t="s">
        <v>106</v>
      </c>
      <c r="P117" s="143" t="s">
        <v>106</v>
      </c>
      <c r="Q117" s="147" t="s">
        <v>40</v>
      </c>
      <c r="R117" s="142" t="s">
        <v>106</v>
      </c>
      <c r="S117" s="143" t="s">
        <v>106</v>
      </c>
      <c r="T117" s="144">
        <v>3</v>
      </c>
      <c r="U117" s="142" t="s">
        <v>106</v>
      </c>
      <c r="V117" s="143" t="s">
        <v>106</v>
      </c>
      <c r="W117" s="144">
        <v>5</v>
      </c>
      <c r="X117" s="142" t="s">
        <v>106</v>
      </c>
      <c r="Y117" s="143" t="s">
        <v>106</v>
      </c>
      <c r="Z117" s="150">
        <v>1440</v>
      </c>
      <c r="AA117" s="142" t="s">
        <v>106</v>
      </c>
      <c r="AB117" s="143" t="s">
        <v>106</v>
      </c>
      <c r="AC117" s="153">
        <v>0.375</v>
      </c>
      <c r="AI117" s="116"/>
      <c r="AJ117" s="116"/>
      <c r="AK117" s="116"/>
    </row>
    <row r="118" customFormat="1" ht="22.5" customHeight="1" spans="1:37">
      <c r="A118" s="156">
        <v>12310</v>
      </c>
      <c r="B118" s="139" t="s">
        <v>170</v>
      </c>
      <c r="C118" s="140">
        <v>46092</v>
      </c>
      <c r="D118" s="160" t="s">
        <v>106</v>
      </c>
      <c r="E118" s="141" t="s">
        <v>49</v>
      </c>
      <c r="F118" s="141" t="s">
        <v>46</v>
      </c>
      <c r="G118" s="141" t="s">
        <v>32</v>
      </c>
      <c r="H118" s="141">
        <f>IF(_xlfn.XLOOKUP(A118,[1]分配表!L:L,[1]分配表!O:O)=0,"未出单",_xlfn.XLOOKUP(A118,[1]分配表!L:L,[1]分配表!O:O))</f>
        <v>46096</v>
      </c>
      <c r="I118" s="142" t="s">
        <v>106</v>
      </c>
      <c r="J118" s="143" t="s">
        <v>106</v>
      </c>
      <c r="K118" s="144">
        <v>3</v>
      </c>
      <c r="L118" s="142" t="s">
        <v>106</v>
      </c>
      <c r="M118" s="143" t="s">
        <v>106</v>
      </c>
      <c r="N118" s="146" t="s">
        <v>39</v>
      </c>
      <c r="O118" s="142" t="s">
        <v>106</v>
      </c>
      <c r="P118" s="143" t="s">
        <v>106</v>
      </c>
      <c r="Q118" s="147" t="s">
        <v>40</v>
      </c>
      <c r="R118" s="142" t="s">
        <v>106</v>
      </c>
      <c r="S118" s="143" t="s">
        <v>106</v>
      </c>
      <c r="T118" s="144">
        <v>4</v>
      </c>
      <c r="U118" s="142" t="s">
        <v>106</v>
      </c>
      <c r="V118" s="143" t="s">
        <v>106</v>
      </c>
      <c r="W118" s="144">
        <v>4</v>
      </c>
      <c r="X118" s="142" t="s">
        <v>106</v>
      </c>
      <c r="Y118" s="143" t="s">
        <v>106</v>
      </c>
      <c r="Z118" s="150">
        <v>1920</v>
      </c>
      <c r="AA118" s="142" t="s">
        <v>106</v>
      </c>
      <c r="AB118" s="143" t="s">
        <v>106</v>
      </c>
      <c r="AC118" s="153">
        <v>0.5</v>
      </c>
      <c r="AI118" s="116"/>
      <c r="AJ118" s="116"/>
      <c r="AK118" s="116"/>
    </row>
    <row r="119" customFormat="1" ht="22.5" customHeight="1" spans="1:37">
      <c r="A119" s="156">
        <v>12311</v>
      </c>
      <c r="B119" s="139" t="s">
        <v>171</v>
      </c>
      <c r="C119" s="140">
        <v>46092</v>
      </c>
      <c r="D119" s="160" t="s">
        <v>106</v>
      </c>
      <c r="E119" s="141" t="s">
        <v>49</v>
      </c>
      <c r="F119" s="141" t="s">
        <v>46</v>
      </c>
      <c r="G119" s="141" t="s">
        <v>32</v>
      </c>
      <c r="H119" s="141">
        <f>IF(_xlfn.XLOOKUP(A119,[1]分配表!L:L,[1]分配表!O:O)=0,"未出单",_xlfn.XLOOKUP(A119,[1]分配表!L:L,[1]分配表!O:O))</f>
        <v>46102</v>
      </c>
      <c r="I119" s="142" t="s">
        <v>106</v>
      </c>
      <c r="J119" s="143" t="s">
        <v>106</v>
      </c>
      <c r="K119" s="144">
        <v>2</v>
      </c>
      <c r="L119" s="142" t="s">
        <v>106</v>
      </c>
      <c r="M119" s="143" t="s">
        <v>106</v>
      </c>
      <c r="N119" s="146" t="s">
        <v>34</v>
      </c>
      <c r="O119" s="142" t="s">
        <v>106</v>
      </c>
      <c r="P119" s="143" t="s">
        <v>106</v>
      </c>
      <c r="Q119" s="147" t="s">
        <v>36</v>
      </c>
      <c r="R119" s="142" t="s">
        <v>106</v>
      </c>
      <c r="S119" s="143" t="s">
        <v>106</v>
      </c>
      <c r="T119" s="144">
        <v>1</v>
      </c>
      <c r="U119" s="142" t="s">
        <v>106</v>
      </c>
      <c r="V119" s="143" t="s">
        <v>106</v>
      </c>
      <c r="W119" s="144">
        <v>6</v>
      </c>
      <c r="X119" s="142" t="s">
        <v>106</v>
      </c>
      <c r="Y119" s="143" t="s">
        <v>106</v>
      </c>
      <c r="Z119" s="150">
        <v>480</v>
      </c>
      <c r="AA119" s="142" t="s">
        <v>106</v>
      </c>
      <c r="AB119" s="143" t="s">
        <v>106</v>
      </c>
      <c r="AC119" s="153">
        <v>0.142857142857143</v>
      </c>
      <c r="AI119" s="116"/>
      <c r="AJ119" s="116"/>
      <c r="AK119" s="116"/>
    </row>
    <row r="120" customFormat="1" ht="22.5" customHeight="1" spans="1:37">
      <c r="A120" s="156">
        <v>12312</v>
      </c>
      <c r="B120" s="139" t="s">
        <v>172</v>
      </c>
      <c r="C120" s="140">
        <v>46092</v>
      </c>
      <c r="D120" s="160" t="s">
        <v>106</v>
      </c>
      <c r="E120" s="141" t="s">
        <v>49</v>
      </c>
      <c r="F120" s="141" t="s">
        <v>46</v>
      </c>
      <c r="G120" s="141" t="s">
        <v>32</v>
      </c>
      <c r="H120" s="141">
        <f>IF(_xlfn.XLOOKUP(A120,[1]分配表!L:L,[1]分配表!O:O)=0,"未出单",_xlfn.XLOOKUP(A120,[1]分配表!L:L,[1]分配表!O:O))</f>
        <v>46096</v>
      </c>
      <c r="I120" s="142" t="s">
        <v>106</v>
      </c>
      <c r="J120" s="143" t="s">
        <v>106</v>
      </c>
      <c r="K120" s="144">
        <v>3</v>
      </c>
      <c r="L120" s="142" t="s">
        <v>106</v>
      </c>
      <c r="M120" s="143" t="s">
        <v>106</v>
      </c>
      <c r="N120" s="146" t="s">
        <v>39</v>
      </c>
      <c r="O120" s="142" t="s">
        <v>106</v>
      </c>
      <c r="P120" s="143" t="s">
        <v>106</v>
      </c>
      <c r="Q120" s="147" t="s">
        <v>36</v>
      </c>
      <c r="R120" s="142" t="s">
        <v>106</v>
      </c>
      <c r="S120" s="143" t="s">
        <v>106</v>
      </c>
      <c r="T120" s="144">
        <v>4</v>
      </c>
      <c r="U120" s="142" t="s">
        <v>106</v>
      </c>
      <c r="V120" s="143" t="s">
        <v>106</v>
      </c>
      <c r="W120" s="144">
        <v>8</v>
      </c>
      <c r="X120" s="142" t="s">
        <v>106</v>
      </c>
      <c r="Y120" s="143" t="s">
        <v>106</v>
      </c>
      <c r="Z120" s="150">
        <v>1920</v>
      </c>
      <c r="AA120" s="142" t="s">
        <v>106</v>
      </c>
      <c r="AB120" s="143" t="s">
        <v>106</v>
      </c>
      <c r="AC120" s="153">
        <v>0.333333333333333</v>
      </c>
      <c r="AI120" s="116"/>
      <c r="AJ120" s="116"/>
      <c r="AK120" s="116"/>
    </row>
    <row r="121" customFormat="1" ht="22.5" customHeight="1" spans="1:37">
      <c r="A121" s="156">
        <v>12441</v>
      </c>
      <c r="B121" s="139" t="s">
        <v>173</v>
      </c>
      <c r="C121" s="140">
        <v>46093</v>
      </c>
      <c r="D121" s="160" t="s">
        <v>106</v>
      </c>
      <c r="E121" s="141" t="s">
        <v>45</v>
      </c>
      <c r="F121" s="141" t="s">
        <v>31</v>
      </c>
      <c r="G121" s="141" t="s">
        <v>32</v>
      </c>
      <c r="H121" s="141">
        <f>IF(_xlfn.XLOOKUP(A121,[1]分配表!L:L,[1]分配表!O:O)=0,"未出单",_xlfn.XLOOKUP(A121,[1]分配表!L:L,[1]分配表!O:O))</f>
        <v>46100</v>
      </c>
      <c r="I121" s="142" t="s">
        <v>106</v>
      </c>
      <c r="J121" s="143" t="s">
        <v>106</v>
      </c>
      <c r="K121" s="144">
        <v>4</v>
      </c>
      <c r="L121" s="142" t="s">
        <v>106</v>
      </c>
      <c r="M121" s="143" t="s">
        <v>106</v>
      </c>
      <c r="N121" s="146" t="s">
        <v>39</v>
      </c>
      <c r="O121" s="142" t="s">
        <v>106</v>
      </c>
      <c r="P121" s="143" t="s">
        <v>106</v>
      </c>
      <c r="Q121" s="147" t="s">
        <v>36</v>
      </c>
      <c r="R121" s="142" t="s">
        <v>106</v>
      </c>
      <c r="S121" s="143" t="s">
        <v>106</v>
      </c>
      <c r="T121" s="144">
        <v>5</v>
      </c>
      <c r="U121" s="142" t="s">
        <v>106</v>
      </c>
      <c r="V121" s="143" t="s">
        <v>106</v>
      </c>
      <c r="W121" s="144">
        <v>6</v>
      </c>
      <c r="X121" s="142" t="s">
        <v>106</v>
      </c>
      <c r="Y121" s="143" t="s">
        <v>106</v>
      </c>
      <c r="Z121" s="150">
        <v>695</v>
      </c>
      <c r="AA121" s="142" t="s">
        <v>106</v>
      </c>
      <c r="AB121" s="143" t="s">
        <v>106</v>
      </c>
      <c r="AC121" s="153">
        <v>0.454545454545455</v>
      </c>
      <c r="AI121" s="116"/>
      <c r="AJ121" s="116"/>
      <c r="AK121" s="116"/>
    </row>
    <row r="122" customFormat="1" ht="22.5" customHeight="1" spans="1:37">
      <c r="A122" s="156">
        <v>12271</v>
      </c>
      <c r="B122" s="139" t="s">
        <v>174</v>
      </c>
      <c r="C122" s="140">
        <v>46097</v>
      </c>
      <c r="D122" s="160" t="s">
        <v>106</v>
      </c>
      <c r="E122" s="141" t="s">
        <v>49</v>
      </c>
      <c r="F122" s="141" t="s">
        <v>46</v>
      </c>
      <c r="G122" s="141" t="s">
        <v>32</v>
      </c>
      <c r="H122" s="141">
        <f>IF(_xlfn.XLOOKUP(A122,[1]分配表!L:L,[1]分配表!O:O)=0,"未出单",_xlfn.XLOOKUP(A122,[1]分配表!L:L,[1]分配表!O:O))</f>
        <v>46098</v>
      </c>
      <c r="I122" s="142" t="s">
        <v>106</v>
      </c>
      <c r="J122" s="143" t="s">
        <v>106</v>
      </c>
      <c r="K122" s="144">
        <v>3</v>
      </c>
      <c r="L122" s="142" t="s">
        <v>106</v>
      </c>
      <c r="M122" s="143" t="s">
        <v>106</v>
      </c>
      <c r="N122" s="146" t="s">
        <v>39</v>
      </c>
      <c r="O122" s="142" t="s">
        <v>106</v>
      </c>
      <c r="P122" s="143" t="s">
        <v>106</v>
      </c>
      <c r="Q122" s="147" t="s">
        <v>40</v>
      </c>
      <c r="R122" s="142" t="s">
        <v>106</v>
      </c>
      <c r="S122" s="143" t="s">
        <v>106</v>
      </c>
      <c r="T122" s="144">
        <v>72</v>
      </c>
      <c r="U122" s="142" t="s">
        <v>106</v>
      </c>
      <c r="V122" s="143" t="s">
        <v>106</v>
      </c>
      <c r="W122" s="144">
        <v>2</v>
      </c>
      <c r="X122" s="142" t="s">
        <v>106</v>
      </c>
      <c r="Y122" s="143" t="s">
        <v>106</v>
      </c>
      <c r="Z122" s="150">
        <v>17775</v>
      </c>
      <c r="AA122" s="142" t="s">
        <v>106</v>
      </c>
      <c r="AB122" s="143" t="s">
        <v>106</v>
      </c>
      <c r="AC122" s="153">
        <v>0.972972972972973</v>
      </c>
      <c r="AI122" s="116"/>
      <c r="AJ122" s="116"/>
      <c r="AK122" s="116"/>
    </row>
    <row r="123" customFormat="1" ht="22.5" customHeight="1" spans="1:37">
      <c r="A123" s="156">
        <v>12270</v>
      </c>
      <c r="B123" s="139" t="s">
        <v>175</v>
      </c>
      <c r="C123" s="140">
        <v>46097</v>
      </c>
      <c r="D123" s="160" t="s">
        <v>106</v>
      </c>
      <c r="E123" s="141" t="s">
        <v>49</v>
      </c>
      <c r="F123" s="141" t="s">
        <v>46</v>
      </c>
      <c r="G123" s="141" t="s">
        <v>32</v>
      </c>
      <c r="H123" s="141">
        <f>IF(_xlfn.XLOOKUP(A123,[1]分配表!L:L,[1]分配表!O:O)=0,"未出单",_xlfn.XLOOKUP(A123,[1]分配表!L:L,[1]分配表!O:O))</f>
        <v>46100</v>
      </c>
      <c r="I123" s="142" t="s">
        <v>106</v>
      </c>
      <c r="J123" s="143" t="s">
        <v>106</v>
      </c>
      <c r="K123" s="144">
        <v>1</v>
      </c>
      <c r="L123" s="142" t="s">
        <v>106</v>
      </c>
      <c r="M123" s="143" t="s">
        <v>106</v>
      </c>
      <c r="N123" s="146" t="s">
        <v>39</v>
      </c>
      <c r="O123" s="142" t="s">
        <v>106</v>
      </c>
      <c r="P123" s="143" t="s">
        <v>106</v>
      </c>
      <c r="Q123" s="147" t="s">
        <v>40</v>
      </c>
      <c r="R123" s="142" t="s">
        <v>106</v>
      </c>
      <c r="S123" s="143" t="s">
        <v>106</v>
      </c>
      <c r="T123" s="144">
        <v>15</v>
      </c>
      <c r="U123" s="142" t="s">
        <v>106</v>
      </c>
      <c r="V123" s="143" t="s">
        <v>106</v>
      </c>
      <c r="W123" s="144">
        <v>1</v>
      </c>
      <c r="X123" s="142" t="s">
        <v>106</v>
      </c>
      <c r="Y123" s="143" t="s">
        <v>106</v>
      </c>
      <c r="Z123" s="150">
        <v>3740</v>
      </c>
      <c r="AA123" s="142" t="s">
        <v>106</v>
      </c>
      <c r="AB123" s="143" t="s">
        <v>106</v>
      </c>
      <c r="AC123" s="153">
        <v>0.9375</v>
      </c>
      <c r="AI123" s="116"/>
      <c r="AJ123" s="116"/>
      <c r="AK123" s="116"/>
    </row>
    <row r="124" customFormat="1" ht="22.5" customHeight="1" spans="1:37">
      <c r="A124" s="156">
        <v>12318</v>
      </c>
      <c r="B124" s="139" t="s">
        <v>176</v>
      </c>
      <c r="C124" s="140">
        <v>46097</v>
      </c>
      <c r="D124" s="160" t="s">
        <v>106</v>
      </c>
      <c r="E124" s="141" t="s">
        <v>45</v>
      </c>
      <c r="F124" s="141" t="s">
        <v>46</v>
      </c>
      <c r="G124" s="141" t="s">
        <v>32</v>
      </c>
      <c r="H124" s="141">
        <f>IF(_xlfn.XLOOKUP(A124,[1]分配表!L:L,[1]分配表!O:O)=0,"未出单",_xlfn.XLOOKUP(A124,[1]分配表!L:L,[1]分配表!O:O))</f>
        <v>46103</v>
      </c>
      <c r="I124" s="142" t="s">
        <v>106</v>
      </c>
      <c r="J124" s="143" t="s">
        <v>106</v>
      </c>
      <c r="K124" s="144">
        <v>1</v>
      </c>
      <c r="L124" s="142" t="s">
        <v>106</v>
      </c>
      <c r="M124" s="143" t="s">
        <v>106</v>
      </c>
      <c r="N124" s="146" t="s">
        <v>39</v>
      </c>
      <c r="O124" s="142" t="s">
        <v>106</v>
      </c>
      <c r="P124" s="143" t="s">
        <v>106</v>
      </c>
      <c r="Q124" s="147" t="s">
        <v>40</v>
      </c>
      <c r="R124" s="142" t="s">
        <v>106</v>
      </c>
      <c r="S124" s="143" t="s">
        <v>106</v>
      </c>
      <c r="T124" s="144">
        <v>2</v>
      </c>
      <c r="U124" s="142" t="s">
        <v>106</v>
      </c>
      <c r="V124" s="143" t="s">
        <v>106</v>
      </c>
      <c r="W124" s="144">
        <v>0</v>
      </c>
      <c r="X124" s="142" t="s">
        <v>106</v>
      </c>
      <c r="Y124" s="143" t="s">
        <v>106</v>
      </c>
      <c r="Z124" s="150">
        <v>880</v>
      </c>
      <c r="AA124" s="142" t="s">
        <v>106</v>
      </c>
      <c r="AB124" s="143" t="s">
        <v>106</v>
      </c>
      <c r="AC124" s="153">
        <v>1</v>
      </c>
      <c r="AI124" s="116"/>
      <c r="AJ124" s="116"/>
      <c r="AK124" s="116"/>
    </row>
    <row r="125" customFormat="1" ht="22.5" customHeight="1" spans="1:37">
      <c r="A125" s="156">
        <v>12320</v>
      </c>
      <c r="B125" s="139" t="s">
        <v>177</v>
      </c>
      <c r="C125" s="140">
        <v>46097</v>
      </c>
      <c r="D125" s="160" t="s">
        <v>106</v>
      </c>
      <c r="E125" s="141" t="s">
        <v>30</v>
      </c>
      <c r="F125" s="141" t="s">
        <v>38</v>
      </c>
      <c r="G125" s="141" t="s">
        <v>32</v>
      </c>
      <c r="H125" s="141" t="str">
        <f>IF(_xlfn.XLOOKUP(A125,[1]分配表!L:L,[1]分配表!O:O)=0,"未出单",_xlfn.XLOOKUP(A125,[1]分配表!L:L,[1]分配表!O:O))</f>
        <v>未出单</v>
      </c>
      <c r="I125" s="142" t="s">
        <v>106</v>
      </c>
      <c r="J125" s="143" t="s">
        <v>106</v>
      </c>
      <c r="K125" s="144">
        <v>3</v>
      </c>
      <c r="L125" s="142" t="s">
        <v>106</v>
      </c>
      <c r="M125" s="143" t="s">
        <v>106</v>
      </c>
      <c r="N125" s="146" t="s">
        <v>33</v>
      </c>
      <c r="O125" s="142" t="s">
        <v>106</v>
      </c>
      <c r="P125" s="143" t="s">
        <v>106</v>
      </c>
      <c r="Q125" s="147" t="s">
        <v>36</v>
      </c>
      <c r="R125" s="142" t="s">
        <v>106</v>
      </c>
      <c r="S125" s="143" t="s">
        <v>106</v>
      </c>
      <c r="T125" s="144">
        <v>0</v>
      </c>
      <c r="U125" s="142" t="s">
        <v>106</v>
      </c>
      <c r="V125" s="143" t="s">
        <v>106</v>
      </c>
      <c r="W125" s="144">
        <v>3</v>
      </c>
      <c r="X125" s="142" t="s">
        <v>106</v>
      </c>
      <c r="Y125" s="143" t="s">
        <v>106</v>
      </c>
      <c r="Z125" s="150">
        <v>0</v>
      </c>
      <c r="AA125" s="142" t="s">
        <v>106</v>
      </c>
      <c r="AB125" s="143" t="s">
        <v>106</v>
      </c>
      <c r="AC125" s="153">
        <v>0</v>
      </c>
      <c r="AI125" s="116"/>
      <c r="AJ125" s="116"/>
      <c r="AK125" s="116"/>
    </row>
    <row r="126" customFormat="1" ht="22.5" customHeight="1" spans="1:37">
      <c r="A126" s="156">
        <v>12305</v>
      </c>
      <c r="B126" s="139" t="s">
        <v>178</v>
      </c>
      <c r="C126" s="140">
        <v>46097</v>
      </c>
      <c r="D126" s="160" t="s">
        <v>106</v>
      </c>
      <c r="E126" s="141" t="s">
        <v>49</v>
      </c>
      <c r="F126" s="141" t="s">
        <v>46</v>
      </c>
      <c r="G126" s="141" t="s">
        <v>32</v>
      </c>
      <c r="H126" s="141">
        <f>IF(_xlfn.XLOOKUP(A126,[1]分配表!L:L,[1]分配表!O:O)=0,"未出单",_xlfn.XLOOKUP(A126,[1]分配表!L:L,[1]分配表!O:O))</f>
        <v>46100</v>
      </c>
      <c r="I126" s="142" t="s">
        <v>106</v>
      </c>
      <c r="J126" s="143" t="s">
        <v>106</v>
      </c>
      <c r="K126" s="144">
        <v>3</v>
      </c>
      <c r="L126" s="142" t="s">
        <v>106</v>
      </c>
      <c r="M126" s="143" t="s">
        <v>106</v>
      </c>
      <c r="N126" s="146" t="s">
        <v>39</v>
      </c>
      <c r="O126" s="142" t="s">
        <v>106</v>
      </c>
      <c r="P126" s="143" t="s">
        <v>106</v>
      </c>
      <c r="Q126" s="147" t="s">
        <v>40</v>
      </c>
      <c r="R126" s="142" t="s">
        <v>106</v>
      </c>
      <c r="S126" s="143" t="s">
        <v>106</v>
      </c>
      <c r="T126" s="144">
        <v>7</v>
      </c>
      <c r="U126" s="142" t="s">
        <v>106</v>
      </c>
      <c r="V126" s="143" t="s">
        <v>106</v>
      </c>
      <c r="W126" s="144">
        <v>1</v>
      </c>
      <c r="X126" s="142" t="s">
        <v>106</v>
      </c>
      <c r="Y126" s="143" t="s">
        <v>106</v>
      </c>
      <c r="Z126" s="150">
        <v>3850</v>
      </c>
      <c r="AA126" s="142" t="s">
        <v>106</v>
      </c>
      <c r="AB126" s="143" t="s">
        <v>106</v>
      </c>
      <c r="AC126" s="153">
        <v>0.875</v>
      </c>
      <c r="AI126" s="116"/>
      <c r="AJ126" s="116"/>
      <c r="AK126" s="116"/>
    </row>
    <row r="127" customFormat="1" ht="22.5" customHeight="1" spans="1:37">
      <c r="A127" s="156">
        <v>12321</v>
      </c>
      <c r="B127" s="139" t="s">
        <v>179</v>
      </c>
      <c r="C127" s="140">
        <v>46097</v>
      </c>
      <c r="D127" s="160" t="s">
        <v>106</v>
      </c>
      <c r="E127" s="141" t="s">
        <v>49</v>
      </c>
      <c r="F127" s="141" t="s">
        <v>46</v>
      </c>
      <c r="G127" s="141" t="s">
        <v>32</v>
      </c>
      <c r="H127" s="141" t="str">
        <f>IF(_xlfn.XLOOKUP(A127,[1]分配表!L:L,[1]分配表!O:O)=0,"未出单",_xlfn.XLOOKUP(A127,[1]分配表!L:L,[1]分配表!O:O))</f>
        <v>未出单</v>
      </c>
      <c r="I127" s="142" t="s">
        <v>106</v>
      </c>
      <c r="J127" s="143" t="s">
        <v>106</v>
      </c>
      <c r="K127" s="144">
        <v>1</v>
      </c>
      <c r="L127" s="142" t="s">
        <v>106</v>
      </c>
      <c r="M127" s="143" t="s">
        <v>106</v>
      </c>
      <c r="N127" s="146" t="s">
        <v>33</v>
      </c>
      <c r="O127" s="142" t="s">
        <v>106</v>
      </c>
      <c r="P127" s="143" t="s">
        <v>106</v>
      </c>
      <c r="Q127" s="147" t="s">
        <v>36</v>
      </c>
      <c r="R127" s="142" t="s">
        <v>106</v>
      </c>
      <c r="S127" s="143" t="s">
        <v>106</v>
      </c>
      <c r="T127" s="144">
        <v>0</v>
      </c>
      <c r="U127" s="142" t="s">
        <v>106</v>
      </c>
      <c r="V127" s="143" t="s">
        <v>106</v>
      </c>
      <c r="W127" s="144">
        <v>10</v>
      </c>
      <c r="X127" s="142" t="s">
        <v>106</v>
      </c>
      <c r="Y127" s="143" t="s">
        <v>106</v>
      </c>
      <c r="Z127" s="150">
        <v>0</v>
      </c>
      <c r="AA127" s="142" t="s">
        <v>106</v>
      </c>
      <c r="AB127" s="143" t="s">
        <v>106</v>
      </c>
      <c r="AC127" s="153">
        <v>0</v>
      </c>
      <c r="AI127" s="116"/>
      <c r="AJ127" s="116"/>
      <c r="AK127" s="116"/>
    </row>
    <row r="128" customFormat="1" ht="22.5" customHeight="1" spans="1:37">
      <c r="A128" s="156">
        <v>12272</v>
      </c>
      <c r="B128" s="139" t="s">
        <v>180</v>
      </c>
      <c r="C128" s="140">
        <v>46097</v>
      </c>
      <c r="D128" s="160" t="s">
        <v>106</v>
      </c>
      <c r="E128" s="141" t="s">
        <v>45</v>
      </c>
      <c r="F128" s="141" t="s">
        <v>46</v>
      </c>
      <c r="G128" s="141" t="s">
        <v>32</v>
      </c>
      <c r="H128" s="141">
        <f>IF(_xlfn.XLOOKUP(A128,[1]分配表!L:L,[1]分配表!O:O)=0,"未出单",_xlfn.XLOOKUP(A128,[1]分配表!L:L,[1]分配表!O:O))</f>
        <v>46099</v>
      </c>
      <c r="I128" s="142" t="s">
        <v>106</v>
      </c>
      <c r="J128" s="143" t="s">
        <v>106</v>
      </c>
      <c r="K128" s="144">
        <v>1</v>
      </c>
      <c r="L128" s="142" t="s">
        <v>106</v>
      </c>
      <c r="M128" s="143" t="s">
        <v>106</v>
      </c>
      <c r="N128" s="146" t="s">
        <v>39</v>
      </c>
      <c r="O128" s="142" t="s">
        <v>106</v>
      </c>
      <c r="P128" s="143" t="s">
        <v>106</v>
      </c>
      <c r="Q128" s="147" t="s">
        <v>40</v>
      </c>
      <c r="R128" s="142" t="s">
        <v>106</v>
      </c>
      <c r="S128" s="143" t="s">
        <v>106</v>
      </c>
      <c r="T128" s="144">
        <v>7</v>
      </c>
      <c r="U128" s="142" t="s">
        <v>106</v>
      </c>
      <c r="V128" s="143" t="s">
        <v>106</v>
      </c>
      <c r="W128" s="144">
        <v>0</v>
      </c>
      <c r="X128" s="142" t="s">
        <v>106</v>
      </c>
      <c r="Y128" s="143" t="s">
        <v>106</v>
      </c>
      <c r="Z128" s="150">
        <v>476</v>
      </c>
      <c r="AA128" s="142" t="s">
        <v>106</v>
      </c>
      <c r="AB128" s="143" t="s">
        <v>106</v>
      </c>
      <c r="AC128" s="153">
        <v>1</v>
      </c>
      <c r="AI128" s="116"/>
      <c r="AJ128" s="116"/>
      <c r="AK128" s="116"/>
    </row>
    <row r="129" customFormat="1" ht="22.5" customHeight="1" spans="1:37">
      <c r="A129" s="156">
        <v>12292</v>
      </c>
      <c r="B129" s="139" t="s">
        <v>181</v>
      </c>
      <c r="C129" s="140">
        <v>46097</v>
      </c>
      <c r="D129" s="160" t="s">
        <v>106</v>
      </c>
      <c r="E129" s="141" t="s">
        <v>30</v>
      </c>
      <c r="F129" s="141" t="s">
        <v>38</v>
      </c>
      <c r="G129" s="141" t="s">
        <v>32</v>
      </c>
      <c r="H129" s="141">
        <f>IF(_xlfn.XLOOKUP(A129,[1]分配表!L:L,[1]分配表!O:O)=0,"未出单",_xlfn.XLOOKUP(A129,[1]分配表!L:L,[1]分配表!O:O))</f>
        <v>46100</v>
      </c>
      <c r="I129" s="142" t="s">
        <v>106</v>
      </c>
      <c r="J129" s="143" t="s">
        <v>106</v>
      </c>
      <c r="K129" s="144">
        <v>3</v>
      </c>
      <c r="L129" s="142" t="s">
        <v>106</v>
      </c>
      <c r="M129" s="143" t="s">
        <v>106</v>
      </c>
      <c r="N129" s="146" t="s">
        <v>39</v>
      </c>
      <c r="O129" s="142" t="s">
        <v>106</v>
      </c>
      <c r="P129" s="143" t="s">
        <v>106</v>
      </c>
      <c r="Q129" s="147" t="s">
        <v>40</v>
      </c>
      <c r="R129" s="142" t="s">
        <v>106</v>
      </c>
      <c r="S129" s="143" t="s">
        <v>106</v>
      </c>
      <c r="T129" s="144">
        <v>4</v>
      </c>
      <c r="U129" s="142" t="s">
        <v>106</v>
      </c>
      <c r="V129" s="143" t="s">
        <v>106</v>
      </c>
      <c r="W129" s="144">
        <v>0</v>
      </c>
      <c r="X129" s="142" t="s">
        <v>106</v>
      </c>
      <c r="Y129" s="143" t="s">
        <v>106</v>
      </c>
      <c r="Z129" s="150">
        <v>380</v>
      </c>
      <c r="AA129" s="142" t="s">
        <v>106</v>
      </c>
      <c r="AB129" s="143" t="s">
        <v>106</v>
      </c>
      <c r="AC129" s="153">
        <v>1</v>
      </c>
      <c r="AI129" s="116"/>
      <c r="AJ129" s="116"/>
      <c r="AK129" s="116"/>
    </row>
    <row r="130" customFormat="1" ht="22.5" customHeight="1" spans="1:37">
      <c r="A130" s="156">
        <v>12333</v>
      </c>
      <c r="B130" s="139" t="s">
        <v>182</v>
      </c>
      <c r="C130" s="140">
        <v>46097</v>
      </c>
      <c r="D130" s="160" t="s">
        <v>106</v>
      </c>
      <c r="E130" s="141" t="s">
        <v>30</v>
      </c>
      <c r="F130" s="141" t="s">
        <v>46</v>
      </c>
      <c r="G130" s="141" t="s">
        <v>32</v>
      </c>
      <c r="H130" s="141" t="str">
        <f>IF(_xlfn.XLOOKUP(A130,[1]分配表!L:L,[1]分配表!O:O)=0,"未出单",_xlfn.XLOOKUP(A130,[1]分配表!L:L,[1]分配表!O:O))</f>
        <v>未出单</v>
      </c>
      <c r="I130" s="142" t="s">
        <v>106</v>
      </c>
      <c r="J130" s="143" t="s">
        <v>106</v>
      </c>
      <c r="K130" s="144">
        <v>3</v>
      </c>
      <c r="L130" s="142" t="s">
        <v>106</v>
      </c>
      <c r="M130" s="143" t="s">
        <v>106</v>
      </c>
      <c r="N130" s="146" t="s">
        <v>33</v>
      </c>
      <c r="O130" s="142" t="s">
        <v>106</v>
      </c>
      <c r="P130" s="143" t="s">
        <v>106</v>
      </c>
      <c r="Q130" s="147" t="s">
        <v>35</v>
      </c>
      <c r="R130" s="142" t="s">
        <v>106</v>
      </c>
      <c r="S130" s="143" t="s">
        <v>106</v>
      </c>
      <c r="T130" s="144">
        <v>0</v>
      </c>
      <c r="U130" s="142" t="s">
        <v>106</v>
      </c>
      <c r="V130" s="143" t="s">
        <v>106</v>
      </c>
      <c r="W130" s="144">
        <v>2</v>
      </c>
      <c r="X130" s="142" t="s">
        <v>106</v>
      </c>
      <c r="Y130" s="143" t="s">
        <v>106</v>
      </c>
      <c r="Z130" s="150">
        <v>0</v>
      </c>
      <c r="AA130" s="142" t="s">
        <v>106</v>
      </c>
      <c r="AB130" s="143" t="s">
        <v>106</v>
      </c>
      <c r="AC130" s="153">
        <v>0</v>
      </c>
      <c r="AI130" s="116"/>
      <c r="AJ130" s="116"/>
      <c r="AK130" s="116"/>
    </row>
    <row r="131" customFormat="1" ht="22.5" customHeight="1" spans="1:37">
      <c r="A131" s="156">
        <v>12334</v>
      </c>
      <c r="B131" s="139" t="s">
        <v>183</v>
      </c>
      <c r="C131" s="140">
        <v>46097</v>
      </c>
      <c r="D131" s="160" t="s">
        <v>106</v>
      </c>
      <c r="E131" s="141" t="s">
        <v>30</v>
      </c>
      <c r="F131" s="141" t="s">
        <v>46</v>
      </c>
      <c r="G131" s="141" t="s">
        <v>32</v>
      </c>
      <c r="H131" s="141">
        <f>IF(_xlfn.XLOOKUP(A131,[1]分配表!L:L,[1]分配表!O:O)=0,"未出单",_xlfn.XLOOKUP(A131,[1]分配表!L:L,[1]分配表!O:O))</f>
        <v>46105</v>
      </c>
      <c r="I131" s="142" t="s">
        <v>106</v>
      </c>
      <c r="J131" s="143" t="s">
        <v>106</v>
      </c>
      <c r="K131" s="144">
        <v>3</v>
      </c>
      <c r="L131" s="142" t="s">
        <v>106</v>
      </c>
      <c r="M131" s="143" t="s">
        <v>106</v>
      </c>
      <c r="N131" s="146" t="s">
        <v>39</v>
      </c>
      <c r="O131" s="142" t="s">
        <v>106</v>
      </c>
      <c r="P131" s="143" t="s">
        <v>106</v>
      </c>
      <c r="Q131" s="147" t="s">
        <v>40</v>
      </c>
      <c r="R131" s="142" t="s">
        <v>106</v>
      </c>
      <c r="S131" s="143" t="s">
        <v>106</v>
      </c>
      <c r="T131" s="144">
        <v>1</v>
      </c>
      <c r="U131" s="142" t="s">
        <v>106</v>
      </c>
      <c r="V131" s="143" t="s">
        <v>106</v>
      </c>
      <c r="W131" s="144">
        <v>0</v>
      </c>
      <c r="X131" s="142" t="s">
        <v>106</v>
      </c>
      <c r="Y131" s="143" t="s">
        <v>106</v>
      </c>
      <c r="Z131" s="150">
        <v>225</v>
      </c>
      <c r="AA131" s="142" t="s">
        <v>106</v>
      </c>
      <c r="AB131" s="143" t="s">
        <v>106</v>
      </c>
      <c r="AC131" s="153">
        <v>1</v>
      </c>
      <c r="AI131" s="116"/>
      <c r="AJ131" s="116"/>
      <c r="AK131" s="116"/>
    </row>
    <row r="132" customFormat="1" ht="22.5" customHeight="1" spans="1:37">
      <c r="A132" s="156">
        <v>12368</v>
      </c>
      <c r="B132" s="139" t="s">
        <v>184</v>
      </c>
      <c r="C132" s="140">
        <v>46097</v>
      </c>
      <c r="D132" s="160" t="s">
        <v>106</v>
      </c>
      <c r="E132" s="141" t="s">
        <v>45</v>
      </c>
      <c r="F132" s="141" t="s">
        <v>60</v>
      </c>
      <c r="G132" s="141" t="s">
        <v>32</v>
      </c>
      <c r="H132" s="141">
        <f>IF(_xlfn.XLOOKUP(A132,[1]分配表!L:L,[1]分配表!O:O)=0,"未出单",_xlfn.XLOOKUP(A132,[1]分配表!L:L,[1]分配表!O:O))</f>
        <v>46104</v>
      </c>
      <c r="I132" s="142" t="s">
        <v>106</v>
      </c>
      <c r="J132" s="143" t="s">
        <v>106</v>
      </c>
      <c r="K132" s="144">
        <v>2</v>
      </c>
      <c r="L132" s="142" t="s">
        <v>106</v>
      </c>
      <c r="M132" s="143" t="s">
        <v>106</v>
      </c>
      <c r="N132" s="146" t="s">
        <v>39</v>
      </c>
      <c r="O132" s="142" t="s">
        <v>106</v>
      </c>
      <c r="P132" s="143" t="s">
        <v>106</v>
      </c>
      <c r="Q132" s="147" t="s">
        <v>40</v>
      </c>
      <c r="R132" s="142" t="s">
        <v>106</v>
      </c>
      <c r="S132" s="143" t="s">
        <v>106</v>
      </c>
      <c r="T132" s="144">
        <v>4</v>
      </c>
      <c r="U132" s="142" t="s">
        <v>106</v>
      </c>
      <c r="V132" s="143" t="s">
        <v>106</v>
      </c>
      <c r="W132" s="144">
        <v>0</v>
      </c>
      <c r="X132" s="142" t="s">
        <v>106</v>
      </c>
      <c r="Y132" s="143" t="s">
        <v>106</v>
      </c>
      <c r="Z132" s="150">
        <v>380</v>
      </c>
      <c r="AA132" s="142" t="s">
        <v>106</v>
      </c>
      <c r="AB132" s="143" t="s">
        <v>106</v>
      </c>
      <c r="AC132" s="153">
        <v>1</v>
      </c>
      <c r="AI132" s="116"/>
      <c r="AJ132" s="116"/>
      <c r="AK132" s="116"/>
    </row>
    <row r="133" customFormat="1" ht="22.5" customHeight="1" spans="1:37">
      <c r="A133" s="156">
        <v>12306</v>
      </c>
      <c r="B133" s="139" t="s">
        <v>185</v>
      </c>
      <c r="C133" s="140">
        <v>46097</v>
      </c>
      <c r="D133" s="160" t="s">
        <v>106</v>
      </c>
      <c r="E133" s="141" t="s">
        <v>49</v>
      </c>
      <c r="F133" s="141" t="s">
        <v>46</v>
      </c>
      <c r="G133" s="141" t="s">
        <v>32</v>
      </c>
      <c r="H133" s="141">
        <f>IF(_xlfn.XLOOKUP(A133,[1]分配表!L:L,[1]分配表!O:O)=0,"未出单",_xlfn.XLOOKUP(A133,[1]分配表!L:L,[1]分配表!O:O))</f>
        <v>46099</v>
      </c>
      <c r="I133" s="142" t="s">
        <v>106</v>
      </c>
      <c r="J133" s="143" t="s">
        <v>106</v>
      </c>
      <c r="K133" s="144">
        <v>1</v>
      </c>
      <c r="L133" s="142" t="s">
        <v>106</v>
      </c>
      <c r="M133" s="143" t="s">
        <v>106</v>
      </c>
      <c r="N133" s="146" t="s">
        <v>39</v>
      </c>
      <c r="O133" s="142" t="s">
        <v>106</v>
      </c>
      <c r="P133" s="143" t="s">
        <v>106</v>
      </c>
      <c r="Q133" s="147" t="s">
        <v>40</v>
      </c>
      <c r="R133" s="142" t="s">
        <v>106</v>
      </c>
      <c r="S133" s="143" t="s">
        <v>106</v>
      </c>
      <c r="T133" s="144">
        <v>7</v>
      </c>
      <c r="U133" s="142" t="s">
        <v>106</v>
      </c>
      <c r="V133" s="143" t="s">
        <v>106</v>
      </c>
      <c r="W133" s="144">
        <v>0</v>
      </c>
      <c r="X133" s="142" t="s">
        <v>106</v>
      </c>
      <c r="Y133" s="143" t="s">
        <v>106</v>
      </c>
      <c r="Z133" s="150">
        <v>3880</v>
      </c>
      <c r="AA133" s="142" t="s">
        <v>106</v>
      </c>
      <c r="AB133" s="143" t="s">
        <v>106</v>
      </c>
      <c r="AC133" s="153">
        <v>1</v>
      </c>
      <c r="AI133" s="116"/>
      <c r="AJ133" s="116"/>
      <c r="AK133" s="116"/>
    </row>
    <row r="134" customFormat="1" ht="22.5" customHeight="1" spans="1:37">
      <c r="A134" s="156">
        <v>12307</v>
      </c>
      <c r="B134" s="139" t="s">
        <v>186</v>
      </c>
      <c r="C134" s="140">
        <v>46097</v>
      </c>
      <c r="D134" s="160" t="s">
        <v>106</v>
      </c>
      <c r="E134" s="141" t="s">
        <v>49</v>
      </c>
      <c r="F134" s="141" t="s">
        <v>46</v>
      </c>
      <c r="G134" s="141" t="s">
        <v>32</v>
      </c>
      <c r="H134" s="141">
        <f>IF(_xlfn.XLOOKUP(A134,[1]分配表!L:L,[1]分配表!O:O)=0,"未出单",_xlfn.XLOOKUP(A134,[1]分配表!L:L,[1]分配表!O:O))</f>
        <v>46103</v>
      </c>
      <c r="I134" s="142" t="s">
        <v>106</v>
      </c>
      <c r="J134" s="143" t="s">
        <v>106</v>
      </c>
      <c r="K134" s="144">
        <v>1</v>
      </c>
      <c r="L134" s="142" t="s">
        <v>106</v>
      </c>
      <c r="M134" s="143" t="s">
        <v>106</v>
      </c>
      <c r="N134" s="146" t="s">
        <v>39</v>
      </c>
      <c r="O134" s="142" t="s">
        <v>106</v>
      </c>
      <c r="P134" s="143" t="s">
        <v>106</v>
      </c>
      <c r="Q134" s="147" t="s">
        <v>36</v>
      </c>
      <c r="R134" s="142" t="s">
        <v>106</v>
      </c>
      <c r="S134" s="143" t="s">
        <v>106</v>
      </c>
      <c r="T134" s="144">
        <v>5</v>
      </c>
      <c r="U134" s="142" t="s">
        <v>106</v>
      </c>
      <c r="V134" s="143" t="s">
        <v>106</v>
      </c>
      <c r="W134" s="144">
        <v>2</v>
      </c>
      <c r="X134" s="142" t="s">
        <v>106</v>
      </c>
      <c r="Y134" s="143" t="s">
        <v>106</v>
      </c>
      <c r="Z134" s="150">
        <v>2750</v>
      </c>
      <c r="AA134" s="142" t="s">
        <v>106</v>
      </c>
      <c r="AB134" s="143" t="s">
        <v>106</v>
      </c>
      <c r="AC134" s="153">
        <v>0.714285714285714</v>
      </c>
      <c r="AI134" s="116"/>
      <c r="AJ134" s="116"/>
      <c r="AK134" s="116"/>
    </row>
    <row r="135" customFormat="1" ht="22.5" customHeight="1" spans="1:37">
      <c r="A135" s="156">
        <v>12308</v>
      </c>
      <c r="B135" s="139" t="s">
        <v>187</v>
      </c>
      <c r="C135" s="140">
        <v>46097</v>
      </c>
      <c r="D135" s="160" t="s">
        <v>106</v>
      </c>
      <c r="E135" s="141" t="s">
        <v>49</v>
      </c>
      <c r="F135" s="141" t="s">
        <v>46</v>
      </c>
      <c r="G135" s="141" t="s">
        <v>32</v>
      </c>
      <c r="H135" s="141">
        <f>IF(_xlfn.XLOOKUP(A135,[1]分配表!L:L,[1]分配表!O:O)=0,"未出单",_xlfn.XLOOKUP(A135,[1]分配表!L:L,[1]分配表!O:O))</f>
        <v>46099</v>
      </c>
      <c r="I135" s="142" t="s">
        <v>106</v>
      </c>
      <c r="J135" s="143" t="s">
        <v>106</v>
      </c>
      <c r="K135" s="144">
        <v>1</v>
      </c>
      <c r="L135" s="142" t="s">
        <v>106</v>
      </c>
      <c r="M135" s="143" t="s">
        <v>106</v>
      </c>
      <c r="N135" s="146" t="s">
        <v>39</v>
      </c>
      <c r="O135" s="142" t="s">
        <v>106</v>
      </c>
      <c r="P135" s="143" t="s">
        <v>106</v>
      </c>
      <c r="Q135" s="147" t="s">
        <v>40</v>
      </c>
      <c r="R135" s="142" t="s">
        <v>106</v>
      </c>
      <c r="S135" s="143" t="s">
        <v>106</v>
      </c>
      <c r="T135" s="144">
        <v>11</v>
      </c>
      <c r="U135" s="142" t="s">
        <v>106</v>
      </c>
      <c r="V135" s="143" t="s">
        <v>106</v>
      </c>
      <c r="W135" s="144">
        <v>3</v>
      </c>
      <c r="X135" s="142" t="s">
        <v>106</v>
      </c>
      <c r="Y135" s="143" t="s">
        <v>106</v>
      </c>
      <c r="Z135" s="150">
        <v>6050</v>
      </c>
      <c r="AA135" s="142" t="s">
        <v>106</v>
      </c>
      <c r="AB135" s="143" t="s">
        <v>106</v>
      </c>
      <c r="AC135" s="153">
        <v>0.785714285714286</v>
      </c>
      <c r="AI135" s="116"/>
      <c r="AJ135" s="116"/>
      <c r="AK135" s="116"/>
    </row>
    <row r="136" customFormat="1" ht="22.5" customHeight="1" spans="1:37">
      <c r="A136" s="156">
        <v>12293</v>
      </c>
      <c r="B136" s="139" t="s">
        <v>188</v>
      </c>
      <c r="C136" s="140">
        <v>46099</v>
      </c>
      <c r="D136" s="160" t="s">
        <v>106</v>
      </c>
      <c r="E136" s="141" t="s">
        <v>30</v>
      </c>
      <c r="F136" s="141" t="s">
        <v>46</v>
      </c>
      <c r="G136" s="141" t="s">
        <v>32</v>
      </c>
      <c r="H136" s="141">
        <f>IF(_xlfn.XLOOKUP(A136,[1]分配表!L:L,[1]分配表!O:O)=0,"未出单",_xlfn.XLOOKUP(A136,[1]分配表!L:L,[1]分配表!O:O))</f>
        <v>46104</v>
      </c>
      <c r="I136" s="142" t="s">
        <v>106</v>
      </c>
      <c r="J136" s="143" t="s">
        <v>106</v>
      </c>
      <c r="K136" s="144">
        <v>2</v>
      </c>
      <c r="L136" s="142" t="s">
        <v>106</v>
      </c>
      <c r="M136" s="143" t="s">
        <v>106</v>
      </c>
      <c r="N136" s="146" t="s">
        <v>39</v>
      </c>
      <c r="O136" s="142" t="s">
        <v>106</v>
      </c>
      <c r="P136" s="143" t="s">
        <v>106</v>
      </c>
      <c r="Q136" s="147" t="s">
        <v>36</v>
      </c>
      <c r="R136" s="142" t="s">
        <v>106</v>
      </c>
      <c r="S136" s="143" t="s">
        <v>106</v>
      </c>
      <c r="T136" s="144">
        <v>1</v>
      </c>
      <c r="U136" s="142" t="s">
        <v>106</v>
      </c>
      <c r="V136" s="143" t="s">
        <v>106</v>
      </c>
      <c r="W136" s="144">
        <v>1</v>
      </c>
      <c r="X136" s="142" t="s">
        <v>106</v>
      </c>
      <c r="Y136" s="143" t="s">
        <v>106</v>
      </c>
      <c r="Z136" s="150">
        <v>55</v>
      </c>
      <c r="AA136" s="142" t="s">
        <v>106</v>
      </c>
      <c r="AB136" s="143" t="s">
        <v>106</v>
      </c>
      <c r="AC136" s="153">
        <v>0.5</v>
      </c>
      <c r="AI136" s="116"/>
      <c r="AJ136" s="116"/>
      <c r="AK136" s="116"/>
    </row>
    <row r="137" customFormat="1" ht="22.5" customHeight="1" spans="1:37">
      <c r="A137" s="156">
        <v>12298</v>
      </c>
      <c r="B137" s="139" t="s">
        <v>189</v>
      </c>
      <c r="C137" s="140">
        <v>46099</v>
      </c>
      <c r="D137" s="160" t="s">
        <v>106</v>
      </c>
      <c r="E137" s="141" t="s">
        <v>30</v>
      </c>
      <c r="F137" s="141" t="s">
        <v>46</v>
      </c>
      <c r="G137" s="141" t="s">
        <v>47</v>
      </c>
      <c r="H137" s="141" t="str">
        <f>IF(_xlfn.XLOOKUP(A137,[1]分配表!L:L,[1]分配表!O:O)=0,"未出单",_xlfn.XLOOKUP(A137,[1]分配表!L:L,[1]分配表!O:O))</f>
        <v>未出单</v>
      </c>
      <c r="I137" s="142" t="s">
        <v>106</v>
      </c>
      <c r="J137" s="143" t="s">
        <v>106</v>
      </c>
      <c r="K137" s="144">
        <v>2</v>
      </c>
      <c r="L137" s="142" t="s">
        <v>106</v>
      </c>
      <c r="M137" s="143" t="s">
        <v>106</v>
      </c>
      <c r="N137" s="146" t="s">
        <v>33</v>
      </c>
      <c r="O137" s="142" t="s">
        <v>106</v>
      </c>
      <c r="P137" s="143" t="s">
        <v>106</v>
      </c>
      <c r="Q137" s="147" t="s">
        <v>36</v>
      </c>
      <c r="R137" s="142" t="s">
        <v>106</v>
      </c>
      <c r="S137" s="143" t="s">
        <v>106</v>
      </c>
      <c r="T137" s="144">
        <v>0</v>
      </c>
      <c r="U137" s="142" t="s">
        <v>106</v>
      </c>
      <c r="V137" s="143" t="s">
        <v>106</v>
      </c>
      <c r="W137" s="144">
        <v>2</v>
      </c>
      <c r="X137" s="142" t="s">
        <v>106</v>
      </c>
      <c r="Y137" s="143" t="s">
        <v>106</v>
      </c>
      <c r="Z137" s="150">
        <v>0</v>
      </c>
      <c r="AA137" s="142" t="s">
        <v>106</v>
      </c>
      <c r="AB137" s="143" t="s">
        <v>106</v>
      </c>
      <c r="AC137" s="153">
        <v>0</v>
      </c>
      <c r="AI137" s="116"/>
      <c r="AJ137" s="116"/>
      <c r="AK137" s="116"/>
    </row>
    <row r="138" customFormat="1" ht="22.5" customHeight="1" spans="1:37">
      <c r="A138" s="156">
        <v>12299</v>
      </c>
      <c r="B138" s="139" t="s">
        <v>190</v>
      </c>
      <c r="C138" s="140">
        <v>46099</v>
      </c>
      <c r="D138" s="160" t="s">
        <v>106</v>
      </c>
      <c r="E138" s="141" t="s">
        <v>30</v>
      </c>
      <c r="F138" s="141" t="s">
        <v>46</v>
      </c>
      <c r="G138" s="141" t="s">
        <v>47</v>
      </c>
      <c r="H138" s="141" t="str">
        <f>IF(_xlfn.XLOOKUP(A138,[1]分配表!L:L,[1]分配表!O:O)=0,"未出单",_xlfn.XLOOKUP(A138,[1]分配表!L:L,[1]分配表!O:O))</f>
        <v>未出单</v>
      </c>
      <c r="I138" s="142" t="s">
        <v>106</v>
      </c>
      <c r="J138" s="143" t="s">
        <v>106</v>
      </c>
      <c r="K138" s="144">
        <v>2</v>
      </c>
      <c r="L138" s="142" t="s">
        <v>106</v>
      </c>
      <c r="M138" s="143" t="s">
        <v>106</v>
      </c>
      <c r="N138" s="146" t="s">
        <v>33</v>
      </c>
      <c r="O138" s="142" t="s">
        <v>106</v>
      </c>
      <c r="P138" s="143" t="s">
        <v>106</v>
      </c>
      <c r="Q138" s="147" t="s">
        <v>36</v>
      </c>
      <c r="R138" s="142" t="s">
        <v>106</v>
      </c>
      <c r="S138" s="143" t="s">
        <v>106</v>
      </c>
      <c r="T138" s="144">
        <v>0</v>
      </c>
      <c r="U138" s="142" t="s">
        <v>106</v>
      </c>
      <c r="V138" s="143" t="s">
        <v>106</v>
      </c>
      <c r="W138" s="144">
        <v>4</v>
      </c>
      <c r="X138" s="142" t="s">
        <v>106</v>
      </c>
      <c r="Y138" s="143" t="s">
        <v>106</v>
      </c>
      <c r="Z138" s="150">
        <v>0</v>
      </c>
      <c r="AA138" s="142" t="s">
        <v>106</v>
      </c>
      <c r="AB138" s="143" t="s">
        <v>106</v>
      </c>
      <c r="AC138" s="153">
        <v>0</v>
      </c>
      <c r="AI138" s="116"/>
      <c r="AJ138" s="116"/>
      <c r="AK138" s="116"/>
    </row>
    <row r="139" customFormat="1" ht="22.5" customHeight="1" spans="1:37">
      <c r="A139" s="156">
        <v>12396</v>
      </c>
      <c r="B139" s="139" t="s">
        <v>191</v>
      </c>
      <c r="C139" s="140">
        <v>46104</v>
      </c>
      <c r="D139" s="160" t="s">
        <v>106</v>
      </c>
      <c r="E139" s="141" t="s">
        <v>49</v>
      </c>
      <c r="F139" s="141" t="s">
        <v>46</v>
      </c>
      <c r="G139" s="141" t="s">
        <v>32</v>
      </c>
      <c r="H139" s="141" t="str">
        <f>IF(_xlfn.XLOOKUP(A139,[1]分配表!L:L,[1]分配表!O:O)=0,"未出单",_xlfn.XLOOKUP(A139,[1]分配表!L:L,[1]分配表!O:O))</f>
        <v>未出单</v>
      </c>
      <c r="I139" s="142" t="s">
        <v>106</v>
      </c>
      <c r="J139" s="143" t="s">
        <v>106</v>
      </c>
      <c r="K139" s="144">
        <v>1</v>
      </c>
      <c r="L139" s="142" t="s">
        <v>106</v>
      </c>
      <c r="M139" s="143" t="s">
        <v>106</v>
      </c>
      <c r="N139" s="146" t="s">
        <v>33</v>
      </c>
      <c r="O139" s="142" t="s">
        <v>106</v>
      </c>
      <c r="P139" s="143" t="s">
        <v>106</v>
      </c>
      <c r="Q139" s="147" t="s">
        <v>43</v>
      </c>
      <c r="R139" s="142" t="s">
        <v>106</v>
      </c>
      <c r="S139" s="143" t="s">
        <v>106</v>
      </c>
      <c r="T139" s="144">
        <v>0</v>
      </c>
      <c r="U139" s="142" t="s">
        <v>106</v>
      </c>
      <c r="V139" s="143" t="s">
        <v>106</v>
      </c>
      <c r="W139" s="144">
        <v>0</v>
      </c>
      <c r="X139" s="142" t="s">
        <v>106</v>
      </c>
      <c r="Y139" s="143" t="s">
        <v>106</v>
      </c>
      <c r="Z139" s="150">
        <v>0</v>
      </c>
      <c r="AA139" s="142" t="s">
        <v>106</v>
      </c>
      <c r="AB139" s="143" t="s">
        <v>106</v>
      </c>
      <c r="AC139" s="153" t="s">
        <v>62</v>
      </c>
      <c r="AI139" s="116"/>
      <c r="AJ139" s="116"/>
      <c r="AK139" s="116"/>
    </row>
    <row r="140" customFormat="1" ht="22.5" customHeight="1" spans="1:37">
      <c r="A140" s="156">
        <v>12291</v>
      </c>
      <c r="B140" s="139" t="s">
        <v>192</v>
      </c>
      <c r="C140" s="140">
        <v>46104</v>
      </c>
      <c r="D140" s="160" t="s">
        <v>106</v>
      </c>
      <c r="E140" s="141" t="s">
        <v>30</v>
      </c>
      <c r="F140" s="141" t="s">
        <v>38</v>
      </c>
      <c r="G140" s="141" t="s">
        <v>32</v>
      </c>
      <c r="H140" s="141" t="str">
        <f>IF(_xlfn.XLOOKUP(A140,[1]分配表!L:L,[1]分配表!O:O)=0,"未出单",_xlfn.XLOOKUP(A140,[1]分配表!L:L,[1]分配表!O:O))</f>
        <v>未出单</v>
      </c>
      <c r="I140" s="142" t="s">
        <v>106</v>
      </c>
      <c r="J140" s="143" t="s">
        <v>106</v>
      </c>
      <c r="K140" s="144">
        <v>1</v>
      </c>
      <c r="L140" s="142" t="s">
        <v>106</v>
      </c>
      <c r="M140" s="143" t="s">
        <v>106</v>
      </c>
      <c r="N140" s="146" t="s">
        <v>33</v>
      </c>
      <c r="O140" s="142" t="s">
        <v>106</v>
      </c>
      <c r="P140" s="143" t="s">
        <v>106</v>
      </c>
      <c r="Q140" s="147" t="s">
        <v>43</v>
      </c>
      <c r="R140" s="142" t="s">
        <v>106</v>
      </c>
      <c r="S140" s="143" t="s">
        <v>106</v>
      </c>
      <c r="T140" s="144">
        <v>0</v>
      </c>
      <c r="U140" s="142" t="s">
        <v>106</v>
      </c>
      <c r="V140" s="143" t="s">
        <v>106</v>
      </c>
      <c r="W140" s="144">
        <v>0</v>
      </c>
      <c r="X140" s="142" t="s">
        <v>106</v>
      </c>
      <c r="Y140" s="143" t="s">
        <v>106</v>
      </c>
      <c r="Z140" s="150">
        <v>0</v>
      </c>
      <c r="AA140" s="142" t="s">
        <v>106</v>
      </c>
      <c r="AB140" s="143" t="s">
        <v>106</v>
      </c>
      <c r="AC140" s="153" t="s">
        <v>62</v>
      </c>
      <c r="AI140" s="116"/>
      <c r="AJ140" s="116"/>
      <c r="AK140" s="116"/>
    </row>
    <row r="141" customFormat="1" ht="22.5" customHeight="1" spans="1:37">
      <c r="A141" s="156">
        <v>12290</v>
      </c>
      <c r="B141" s="139" t="s">
        <v>193</v>
      </c>
      <c r="C141" s="140">
        <v>46104</v>
      </c>
      <c r="D141" s="160" t="s">
        <v>106</v>
      </c>
      <c r="E141" s="141" t="s">
        <v>30</v>
      </c>
      <c r="F141" s="141" t="s">
        <v>38</v>
      </c>
      <c r="G141" s="141" t="s">
        <v>32</v>
      </c>
      <c r="H141" s="141" t="str">
        <f>IF(_xlfn.XLOOKUP(A141,[1]分配表!L:L,[1]分配表!O:O)=0,"未出单",_xlfn.XLOOKUP(A141,[1]分配表!L:L,[1]分配表!O:O))</f>
        <v>未出单</v>
      </c>
      <c r="I141" s="142" t="s">
        <v>106</v>
      </c>
      <c r="J141" s="143" t="s">
        <v>106</v>
      </c>
      <c r="K141" s="144">
        <v>1</v>
      </c>
      <c r="L141" s="142" t="s">
        <v>106</v>
      </c>
      <c r="M141" s="143" t="s">
        <v>106</v>
      </c>
      <c r="N141" s="146" t="s">
        <v>33</v>
      </c>
      <c r="O141" s="142" t="s">
        <v>106</v>
      </c>
      <c r="P141" s="143" t="s">
        <v>106</v>
      </c>
      <c r="Q141" s="147" t="s">
        <v>36</v>
      </c>
      <c r="R141" s="142" t="s">
        <v>106</v>
      </c>
      <c r="S141" s="143" t="s">
        <v>106</v>
      </c>
      <c r="T141" s="144">
        <v>0</v>
      </c>
      <c r="U141" s="142" t="s">
        <v>106</v>
      </c>
      <c r="V141" s="143" t="s">
        <v>106</v>
      </c>
      <c r="W141" s="144">
        <v>2</v>
      </c>
      <c r="X141" s="142" t="s">
        <v>106</v>
      </c>
      <c r="Y141" s="143" t="s">
        <v>106</v>
      </c>
      <c r="Z141" s="150">
        <v>0</v>
      </c>
      <c r="AA141" s="142" t="s">
        <v>106</v>
      </c>
      <c r="AB141" s="143" t="s">
        <v>106</v>
      </c>
      <c r="AC141" s="153">
        <v>0</v>
      </c>
      <c r="AI141" s="116"/>
      <c r="AJ141" s="116"/>
      <c r="AK141" s="116"/>
    </row>
    <row r="142" customFormat="1" ht="22.5" customHeight="1" spans="1:37">
      <c r="A142" s="156">
        <v>12391</v>
      </c>
      <c r="B142" s="139" t="s">
        <v>194</v>
      </c>
      <c r="C142" s="140">
        <v>46104</v>
      </c>
      <c r="D142" s="160" t="s">
        <v>106</v>
      </c>
      <c r="E142" s="141" t="s">
        <v>102</v>
      </c>
      <c r="F142" s="141" t="s">
        <v>60</v>
      </c>
      <c r="G142" s="141" t="s">
        <v>32</v>
      </c>
      <c r="H142" s="141" t="str">
        <f>IF(_xlfn.XLOOKUP(A142,[1]分配表!L:L,[1]分配表!O:O)=0,"未出单",_xlfn.XLOOKUP(A142,[1]分配表!L:L,[1]分配表!O:O))</f>
        <v>未出单</v>
      </c>
      <c r="I142" s="142" t="s">
        <v>106</v>
      </c>
      <c r="J142" s="143" t="s">
        <v>106</v>
      </c>
      <c r="K142" s="144">
        <v>1</v>
      </c>
      <c r="L142" s="142" t="s">
        <v>106</v>
      </c>
      <c r="M142" s="143" t="s">
        <v>106</v>
      </c>
      <c r="N142" s="146" t="s">
        <v>33</v>
      </c>
      <c r="O142" s="142" t="s">
        <v>106</v>
      </c>
      <c r="P142" s="143" t="s">
        <v>106</v>
      </c>
      <c r="Q142" s="147" t="s">
        <v>43</v>
      </c>
      <c r="R142" s="142" t="s">
        <v>106</v>
      </c>
      <c r="S142" s="143" t="s">
        <v>106</v>
      </c>
      <c r="T142" s="144">
        <v>0</v>
      </c>
      <c r="U142" s="142" t="s">
        <v>106</v>
      </c>
      <c r="V142" s="143" t="s">
        <v>106</v>
      </c>
      <c r="W142" s="144">
        <v>0</v>
      </c>
      <c r="X142" s="142" t="s">
        <v>106</v>
      </c>
      <c r="Y142" s="143" t="s">
        <v>106</v>
      </c>
      <c r="Z142" s="150">
        <v>0</v>
      </c>
      <c r="AA142" s="142" t="s">
        <v>106</v>
      </c>
      <c r="AB142" s="143" t="s">
        <v>106</v>
      </c>
      <c r="AC142" s="153" t="s">
        <v>62</v>
      </c>
      <c r="AI142" s="116"/>
      <c r="AJ142" s="116"/>
      <c r="AK142" s="116"/>
    </row>
    <row r="143" customFormat="1" ht="22.5" customHeight="1" spans="1:37">
      <c r="A143" s="156">
        <v>12398</v>
      </c>
      <c r="B143" s="139" t="s">
        <v>195</v>
      </c>
      <c r="C143" s="140">
        <v>46104</v>
      </c>
      <c r="D143" s="160" t="s">
        <v>106</v>
      </c>
      <c r="E143" s="141" t="s">
        <v>102</v>
      </c>
      <c r="F143" s="141" t="s">
        <v>60</v>
      </c>
      <c r="G143" s="141" t="s">
        <v>47</v>
      </c>
      <c r="H143" s="141" t="str">
        <f>IF(_xlfn.XLOOKUP(A143,[1]分配表!L:L,[1]分配表!O:O)=0,"未出单",_xlfn.XLOOKUP(A143,[1]分配表!L:L,[1]分配表!O:O))</f>
        <v>未出单</v>
      </c>
      <c r="I143" s="142" t="s">
        <v>106</v>
      </c>
      <c r="J143" s="143" t="s">
        <v>106</v>
      </c>
      <c r="K143" s="144">
        <v>1</v>
      </c>
      <c r="L143" s="142" t="s">
        <v>106</v>
      </c>
      <c r="M143" s="143" t="s">
        <v>106</v>
      </c>
      <c r="N143" s="146" t="s">
        <v>33</v>
      </c>
      <c r="O143" s="142" t="s">
        <v>106</v>
      </c>
      <c r="P143" s="143" t="s">
        <v>106</v>
      </c>
      <c r="Q143" s="147" t="s">
        <v>43</v>
      </c>
      <c r="R143" s="142" t="s">
        <v>106</v>
      </c>
      <c r="S143" s="143" t="s">
        <v>106</v>
      </c>
      <c r="T143" s="144">
        <v>0</v>
      </c>
      <c r="U143" s="142" t="s">
        <v>106</v>
      </c>
      <c r="V143" s="143" t="s">
        <v>106</v>
      </c>
      <c r="W143" s="144">
        <v>0</v>
      </c>
      <c r="X143" s="142" t="s">
        <v>106</v>
      </c>
      <c r="Y143" s="143" t="s">
        <v>106</v>
      </c>
      <c r="Z143" s="150">
        <v>0</v>
      </c>
      <c r="AA143" s="142" t="s">
        <v>106</v>
      </c>
      <c r="AB143" s="143" t="s">
        <v>106</v>
      </c>
      <c r="AC143" s="153" t="s">
        <v>62</v>
      </c>
      <c r="AI143" s="116"/>
      <c r="AJ143" s="116"/>
      <c r="AK143" s="116"/>
    </row>
    <row r="144" customFormat="1" ht="22.5" customHeight="1" spans="1:37">
      <c r="A144" s="156">
        <v>12357</v>
      </c>
      <c r="B144" s="139" t="s">
        <v>196</v>
      </c>
      <c r="C144" s="140">
        <v>46104</v>
      </c>
      <c r="D144" s="160" t="s">
        <v>106</v>
      </c>
      <c r="E144" s="141" t="s">
        <v>45</v>
      </c>
      <c r="F144" s="141" t="s">
        <v>60</v>
      </c>
      <c r="G144" s="141" t="s">
        <v>32</v>
      </c>
      <c r="H144" s="141">
        <f>IF(_xlfn.XLOOKUP(A144,[1]分配表!L:L,[1]分配表!O:O)=0,"未出单",_xlfn.XLOOKUP(A144,[1]分配表!L:L,[1]分配表!O:O))</f>
        <v>46104</v>
      </c>
      <c r="I144" s="142" t="s">
        <v>106</v>
      </c>
      <c r="J144" s="143" t="s">
        <v>106</v>
      </c>
      <c r="K144" s="144">
        <v>1</v>
      </c>
      <c r="L144" s="142" t="s">
        <v>106</v>
      </c>
      <c r="M144" s="143" t="s">
        <v>106</v>
      </c>
      <c r="N144" s="146" t="s">
        <v>39</v>
      </c>
      <c r="O144" s="142" t="s">
        <v>106</v>
      </c>
      <c r="P144" s="143" t="s">
        <v>106</v>
      </c>
      <c r="Q144" s="147" t="s">
        <v>35</v>
      </c>
      <c r="R144" s="142" t="s">
        <v>106</v>
      </c>
      <c r="S144" s="143" t="s">
        <v>106</v>
      </c>
      <c r="T144" s="144">
        <v>1</v>
      </c>
      <c r="U144" s="142" t="s">
        <v>106</v>
      </c>
      <c r="V144" s="143" t="s">
        <v>106</v>
      </c>
      <c r="W144" s="144">
        <v>0</v>
      </c>
      <c r="X144" s="142" t="s">
        <v>106</v>
      </c>
      <c r="Y144" s="143" t="s">
        <v>106</v>
      </c>
      <c r="Z144" s="150">
        <v>110</v>
      </c>
      <c r="AA144" s="142" t="s">
        <v>106</v>
      </c>
      <c r="AB144" s="143" t="s">
        <v>106</v>
      </c>
      <c r="AC144" s="153">
        <v>1</v>
      </c>
      <c r="AI144" s="116"/>
      <c r="AJ144" s="116"/>
      <c r="AK144" s="116"/>
    </row>
    <row r="145" customFormat="1" ht="22.5" customHeight="1" spans="1:37">
      <c r="A145" s="156">
        <v>12423</v>
      </c>
      <c r="B145" s="139" t="s">
        <v>197</v>
      </c>
      <c r="C145" s="140">
        <v>46104</v>
      </c>
      <c r="D145" s="160" t="s">
        <v>106</v>
      </c>
      <c r="E145" s="141" t="s">
        <v>45</v>
      </c>
      <c r="F145" s="141" t="s">
        <v>60</v>
      </c>
      <c r="G145" s="141" t="s">
        <v>32</v>
      </c>
      <c r="H145" s="141">
        <f>IF(_xlfn.XLOOKUP(A145,[1]分配表!L:L,[1]分配表!O:O)=0,"未出单",_xlfn.XLOOKUP(A145,[1]分配表!L:L,[1]分配表!O:O))</f>
        <v>46108</v>
      </c>
      <c r="I145" s="142" t="s">
        <v>106</v>
      </c>
      <c r="J145" s="143" t="s">
        <v>106</v>
      </c>
      <c r="K145" s="144">
        <v>1</v>
      </c>
      <c r="L145" s="142" t="s">
        <v>106</v>
      </c>
      <c r="M145" s="143" t="s">
        <v>106</v>
      </c>
      <c r="N145" s="146" t="s">
        <v>39</v>
      </c>
      <c r="O145" s="142" t="s">
        <v>106</v>
      </c>
      <c r="P145" s="143" t="s">
        <v>106</v>
      </c>
      <c r="Q145" s="147" t="s">
        <v>40</v>
      </c>
      <c r="R145" s="142" t="s">
        <v>106</v>
      </c>
      <c r="S145" s="143" t="s">
        <v>106</v>
      </c>
      <c r="T145" s="144">
        <v>1</v>
      </c>
      <c r="U145" s="142" t="s">
        <v>106</v>
      </c>
      <c r="V145" s="143" t="s">
        <v>106</v>
      </c>
      <c r="W145" s="144">
        <v>0</v>
      </c>
      <c r="X145" s="142" t="s">
        <v>106</v>
      </c>
      <c r="Y145" s="143" t="s">
        <v>106</v>
      </c>
      <c r="Z145" s="150">
        <v>58</v>
      </c>
      <c r="AA145" s="142" t="s">
        <v>106</v>
      </c>
      <c r="AB145" s="143" t="s">
        <v>106</v>
      </c>
      <c r="AC145" s="153">
        <v>1</v>
      </c>
      <c r="AI145" s="116"/>
      <c r="AJ145" s="116"/>
      <c r="AK145" s="116"/>
    </row>
    <row r="146" customFormat="1" ht="22.5" customHeight="1" spans="1:37">
      <c r="A146" s="156">
        <v>12387</v>
      </c>
      <c r="B146" s="139" t="s">
        <v>198</v>
      </c>
      <c r="C146" s="140">
        <v>46105</v>
      </c>
      <c r="D146" s="160" t="s">
        <v>106</v>
      </c>
      <c r="E146" s="141" t="s">
        <v>49</v>
      </c>
      <c r="F146" s="141" t="s">
        <v>53</v>
      </c>
      <c r="G146" s="141" t="s">
        <v>32</v>
      </c>
      <c r="H146" s="141" t="str">
        <f>IF(_xlfn.XLOOKUP(A146,[1]分配表!L:L,[1]分配表!O:O)=0,"未出单",_xlfn.XLOOKUP(A146,[1]分配表!L:L,[1]分配表!O:O))</f>
        <v>未出单</v>
      </c>
      <c r="I146" s="142" t="s">
        <v>106</v>
      </c>
      <c r="J146" s="143" t="s">
        <v>106</v>
      </c>
      <c r="K146" s="144">
        <v>1</v>
      </c>
      <c r="L146" s="142" t="s">
        <v>106</v>
      </c>
      <c r="M146" s="143" t="s">
        <v>106</v>
      </c>
      <c r="N146" s="146" t="s">
        <v>33</v>
      </c>
      <c r="O146" s="142" t="s">
        <v>106</v>
      </c>
      <c r="P146" s="143" t="s">
        <v>106</v>
      </c>
      <c r="Q146" s="147" t="s">
        <v>36</v>
      </c>
      <c r="R146" s="142" t="s">
        <v>106</v>
      </c>
      <c r="S146" s="143" t="s">
        <v>106</v>
      </c>
      <c r="T146" s="144">
        <v>0</v>
      </c>
      <c r="U146" s="142" t="s">
        <v>106</v>
      </c>
      <c r="V146" s="143" t="s">
        <v>106</v>
      </c>
      <c r="W146" s="144">
        <v>7</v>
      </c>
      <c r="X146" s="142" t="s">
        <v>106</v>
      </c>
      <c r="Y146" s="143" t="s">
        <v>106</v>
      </c>
      <c r="Z146" s="150">
        <v>0</v>
      </c>
      <c r="AA146" s="142" t="s">
        <v>106</v>
      </c>
      <c r="AB146" s="143" t="s">
        <v>106</v>
      </c>
      <c r="AC146" s="153">
        <v>0</v>
      </c>
      <c r="AI146" s="116"/>
      <c r="AJ146" s="116"/>
      <c r="AK146" s="116"/>
    </row>
    <row r="147" customFormat="1" ht="22.5" customHeight="1" spans="1:37">
      <c r="A147" s="156">
        <v>12388</v>
      </c>
      <c r="B147" s="139" t="s">
        <v>199</v>
      </c>
      <c r="C147" s="140">
        <v>46105</v>
      </c>
      <c r="D147" s="160" t="s">
        <v>106</v>
      </c>
      <c r="E147" s="141" t="s">
        <v>49</v>
      </c>
      <c r="F147" s="141" t="s">
        <v>53</v>
      </c>
      <c r="G147" s="141" t="s">
        <v>32</v>
      </c>
      <c r="H147" s="141" t="str">
        <f>IF(_xlfn.XLOOKUP(A147,[1]分配表!L:L,[1]分配表!O:O)=0,"未出单",_xlfn.XLOOKUP(A147,[1]分配表!L:L,[1]分配表!O:O))</f>
        <v>未出单</v>
      </c>
      <c r="I147" s="142" t="s">
        <v>106</v>
      </c>
      <c r="J147" s="143" t="s">
        <v>106</v>
      </c>
      <c r="K147" s="144">
        <v>1</v>
      </c>
      <c r="L147" s="142" t="s">
        <v>106</v>
      </c>
      <c r="M147" s="143" t="s">
        <v>106</v>
      </c>
      <c r="N147" s="146" t="s">
        <v>33</v>
      </c>
      <c r="O147" s="142" t="s">
        <v>106</v>
      </c>
      <c r="P147" s="143" t="s">
        <v>106</v>
      </c>
      <c r="Q147" s="147" t="s">
        <v>36</v>
      </c>
      <c r="R147" s="142" t="s">
        <v>106</v>
      </c>
      <c r="S147" s="143" t="s">
        <v>106</v>
      </c>
      <c r="T147" s="144">
        <v>0</v>
      </c>
      <c r="U147" s="142" t="s">
        <v>106</v>
      </c>
      <c r="V147" s="143" t="s">
        <v>106</v>
      </c>
      <c r="W147" s="144">
        <v>4</v>
      </c>
      <c r="X147" s="142" t="s">
        <v>106</v>
      </c>
      <c r="Y147" s="143" t="s">
        <v>106</v>
      </c>
      <c r="Z147" s="150">
        <v>0</v>
      </c>
      <c r="AA147" s="142" t="s">
        <v>106</v>
      </c>
      <c r="AB147" s="143" t="s">
        <v>106</v>
      </c>
      <c r="AC147" s="153">
        <v>0</v>
      </c>
      <c r="AI147" s="116"/>
      <c r="AJ147" s="116"/>
      <c r="AK147" s="116"/>
    </row>
    <row r="148" customFormat="1" ht="22.5" customHeight="1" spans="1:37">
      <c r="A148" s="156">
        <v>12474</v>
      </c>
      <c r="B148" s="139" t="s">
        <v>200</v>
      </c>
      <c r="C148" s="140">
        <v>46108</v>
      </c>
      <c r="D148" s="160" t="s">
        <v>106</v>
      </c>
      <c r="E148" s="141" t="s">
        <v>102</v>
      </c>
      <c r="F148" s="141" t="s">
        <v>66</v>
      </c>
      <c r="G148" s="141" t="s">
        <v>47</v>
      </c>
      <c r="H148" s="141" t="str">
        <f>IF(_xlfn.XLOOKUP(A148,[1]分配表!L:L,[1]分配表!O:O)=0,"未出单",_xlfn.XLOOKUP(A148,[1]分配表!L:L,[1]分配表!O:O))</f>
        <v>未出单</v>
      </c>
      <c r="I148" s="142" t="s">
        <v>106</v>
      </c>
      <c r="J148" s="143" t="s">
        <v>106</v>
      </c>
      <c r="K148" s="144">
        <v>1</v>
      </c>
      <c r="L148" s="142" t="s">
        <v>106</v>
      </c>
      <c r="M148" s="143" t="s">
        <v>106</v>
      </c>
      <c r="N148" s="146" t="s">
        <v>33</v>
      </c>
      <c r="O148" s="142" t="s">
        <v>106</v>
      </c>
      <c r="P148" s="143" t="s">
        <v>106</v>
      </c>
      <c r="Q148" s="147" t="s">
        <v>43</v>
      </c>
      <c r="R148" s="142" t="s">
        <v>106</v>
      </c>
      <c r="S148" s="143" t="s">
        <v>106</v>
      </c>
      <c r="T148" s="144">
        <v>0</v>
      </c>
      <c r="U148" s="142" t="s">
        <v>106</v>
      </c>
      <c r="V148" s="143" t="s">
        <v>106</v>
      </c>
      <c r="W148" s="144">
        <v>0</v>
      </c>
      <c r="X148" s="142" t="s">
        <v>106</v>
      </c>
      <c r="Y148" s="143" t="s">
        <v>106</v>
      </c>
      <c r="Z148" s="150">
        <v>0</v>
      </c>
      <c r="AA148" s="142" t="s">
        <v>106</v>
      </c>
      <c r="AB148" s="143" t="s">
        <v>106</v>
      </c>
      <c r="AC148" s="153" t="s">
        <v>62</v>
      </c>
      <c r="AI148" s="116"/>
      <c r="AJ148" s="116"/>
      <c r="AK148" s="116"/>
    </row>
    <row r="149" customFormat="1" ht="22.5" customHeight="1" spans="1:37">
      <c r="A149" s="156">
        <v>12429</v>
      </c>
      <c r="B149" s="139" t="s">
        <v>201</v>
      </c>
      <c r="C149" s="140">
        <v>46108</v>
      </c>
      <c r="D149" s="160" t="s">
        <v>106</v>
      </c>
      <c r="E149" s="141" t="s">
        <v>49</v>
      </c>
      <c r="F149" s="141" t="s">
        <v>46</v>
      </c>
      <c r="G149" s="141" t="s">
        <v>47</v>
      </c>
      <c r="H149" s="141">
        <f>IF(_xlfn.XLOOKUP(A149,[1]分配表!L:L,[1]分配表!O:O)=0,"未出单",_xlfn.XLOOKUP(A149,[1]分配表!L:L,[1]分配表!O:O))</f>
        <v>46111</v>
      </c>
      <c r="I149" s="142" t="s">
        <v>106</v>
      </c>
      <c r="J149" s="143" t="s">
        <v>106</v>
      </c>
      <c r="K149" s="144">
        <v>1</v>
      </c>
      <c r="L149" s="142" t="s">
        <v>106</v>
      </c>
      <c r="M149" s="143" t="s">
        <v>106</v>
      </c>
      <c r="N149" s="146" t="s">
        <v>39</v>
      </c>
      <c r="O149" s="142" t="s">
        <v>106</v>
      </c>
      <c r="P149" s="143" t="s">
        <v>106</v>
      </c>
      <c r="Q149" s="147" t="s">
        <v>40</v>
      </c>
      <c r="R149" s="142" t="s">
        <v>106</v>
      </c>
      <c r="S149" s="143" t="s">
        <v>106</v>
      </c>
      <c r="T149" s="144">
        <v>1</v>
      </c>
      <c r="U149" s="142" t="s">
        <v>106</v>
      </c>
      <c r="V149" s="143" t="s">
        <v>106</v>
      </c>
      <c r="W149" s="144">
        <v>0</v>
      </c>
      <c r="X149" s="142" t="s">
        <v>106</v>
      </c>
      <c r="Y149" s="143" t="s">
        <v>106</v>
      </c>
      <c r="Z149" s="150">
        <v>160</v>
      </c>
      <c r="AA149" s="142" t="s">
        <v>106</v>
      </c>
      <c r="AB149" s="143" t="s">
        <v>106</v>
      </c>
      <c r="AC149" s="153">
        <v>1</v>
      </c>
      <c r="AI149" s="116"/>
      <c r="AJ149" s="116"/>
      <c r="AK149" s="116"/>
    </row>
    <row r="150" customFormat="1" ht="22.5" customHeight="1" spans="1:37">
      <c r="A150" s="156">
        <v>12424</v>
      </c>
      <c r="B150" s="139" t="s">
        <v>202</v>
      </c>
      <c r="C150" s="140">
        <v>46108</v>
      </c>
      <c r="D150" s="160" t="s">
        <v>106</v>
      </c>
      <c r="E150" s="141" t="s">
        <v>49</v>
      </c>
      <c r="F150" s="141" t="s">
        <v>46</v>
      </c>
      <c r="G150" s="141" t="s">
        <v>47</v>
      </c>
      <c r="H150" s="141" t="str">
        <f>IF(_xlfn.XLOOKUP(A150,[1]分配表!L:L,[1]分配表!O:O)=0,"未出单",_xlfn.XLOOKUP(A150,[1]分配表!L:L,[1]分配表!O:O))</f>
        <v>未出单</v>
      </c>
      <c r="I150" s="142" t="s">
        <v>106</v>
      </c>
      <c r="J150" s="143" t="s">
        <v>106</v>
      </c>
      <c r="K150" s="144">
        <v>1</v>
      </c>
      <c r="L150" s="142" t="s">
        <v>106</v>
      </c>
      <c r="M150" s="143" t="s">
        <v>106</v>
      </c>
      <c r="N150" s="146" t="s">
        <v>33</v>
      </c>
      <c r="O150" s="142" t="s">
        <v>106</v>
      </c>
      <c r="P150" s="143" t="s">
        <v>106</v>
      </c>
      <c r="Q150" s="147" t="s">
        <v>43</v>
      </c>
      <c r="R150" s="142" t="s">
        <v>106</v>
      </c>
      <c r="S150" s="143" t="s">
        <v>106</v>
      </c>
      <c r="T150" s="144">
        <v>0</v>
      </c>
      <c r="U150" s="142" t="s">
        <v>106</v>
      </c>
      <c r="V150" s="143" t="s">
        <v>106</v>
      </c>
      <c r="W150" s="144">
        <v>0</v>
      </c>
      <c r="X150" s="142" t="s">
        <v>106</v>
      </c>
      <c r="Y150" s="143" t="s">
        <v>106</v>
      </c>
      <c r="Z150" s="150">
        <v>0</v>
      </c>
      <c r="AA150" s="142" t="s">
        <v>106</v>
      </c>
      <c r="AB150" s="143" t="s">
        <v>106</v>
      </c>
      <c r="AC150" s="153" t="s">
        <v>62</v>
      </c>
      <c r="AI150" s="116"/>
      <c r="AJ150" s="116"/>
      <c r="AK150" s="116"/>
    </row>
    <row r="151" customFormat="1" ht="22.5" customHeight="1" spans="1:37">
      <c r="A151" s="156">
        <v>12386</v>
      </c>
      <c r="B151" s="139" t="s">
        <v>203</v>
      </c>
      <c r="C151" s="140">
        <v>46108</v>
      </c>
      <c r="D151" s="160" t="s">
        <v>106</v>
      </c>
      <c r="E151" s="141" t="s">
        <v>49</v>
      </c>
      <c r="F151" s="141" t="s">
        <v>46</v>
      </c>
      <c r="G151" s="141" t="s">
        <v>47</v>
      </c>
      <c r="H151" s="141" t="str">
        <f>IF(_xlfn.XLOOKUP(A151,[1]分配表!L:L,[1]分配表!O:O)=0,"未出单",_xlfn.XLOOKUP(A151,[1]分配表!L:L,[1]分配表!O:O))</f>
        <v>未出单</v>
      </c>
      <c r="I151" s="142" t="s">
        <v>106</v>
      </c>
      <c r="J151" s="143" t="s">
        <v>106</v>
      </c>
      <c r="K151" s="144">
        <v>1</v>
      </c>
      <c r="L151" s="142" t="s">
        <v>106</v>
      </c>
      <c r="M151" s="143" t="s">
        <v>106</v>
      </c>
      <c r="N151" s="146" t="s">
        <v>33</v>
      </c>
      <c r="O151" s="142" t="s">
        <v>106</v>
      </c>
      <c r="P151" s="143" t="s">
        <v>106</v>
      </c>
      <c r="Q151" s="147" t="s">
        <v>36</v>
      </c>
      <c r="R151" s="142" t="s">
        <v>106</v>
      </c>
      <c r="S151" s="143" t="s">
        <v>106</v>
      </c>
      <c r="T151" s="144">
        <v>0</v>
      </c>
      <c r="U151" s="142" t="s">
        <v>106</v>
      </c>
      <c r="V151" s="143" t="s">
        <v>106</v>
      </c>
      <c r="W151" s="144">
        <v>2</v>
      </c>
      <c r="X151" s="142" t="s">
        <v>106</v>
      </c>
      <c r="Y151" s="143" t="s">
        <v>106</v>
      </c>
      <c r="Z151" s="150">
        <v>0</v>
      </c>
      <c r="AA151" s="142" t="s">
        <v>106</v>
      </c>
      <c r="AB151" s="143" t="s">
        <v>106</v>
      </c>
      <c r="AC151" s="153">
        <v>0</v>
      </c>
      <c r="AI151" s="116"/>
      <c r="AJ151" s="116"/>
      <c r="AK151" s="116"/>
    </row>
    <row r="152" customFormat="1" ht="22.5" customHeight="1" spans="1:37">
      <c r="A152" s="156">
        <v>12426</v>
      </c>
      <c r="B152" s="139" t="s">
        <v>204</v>
      </c>
      <c r="C152" s="140">
        <v>46108</v>
      </c>
      <c r="D152" s="160" t="s">
        <v>106</v>
      </c>
      <c r="E152" s="141" t="s">
        <v>45</v>
      </c>
      <c r="F152" s="141" t="s">
        <v>46</v>
      </c>
      <c r="G152" s="141" t="s">
        <v>32</v>
      </c>
      <c r="H152" s="141" t="str">
        <f>IF(_xlfn.XLOOKUP(A152,[1]分配表!L:L,[1]分配表!O:O)=0,"未出单",_xlfn.XLOOKUP(A152,[1]分配表!L:L,[1]分配表!O:O))</f>
        <v>未出单</v>
      </c>
      <c r="I152" s="142" t="s">
        <v>106</v>
      </c>
      <c r="J152" s="143" t="s">
        <v>106</v>
      </c>
      <c r="K152" s="144" t="s">
        <v>141</v>
      </c>
      <c r="L152" s="142" t="s">
        <v>106</v>
      </c>
      <c r="M152" s="143" t="s">
        <v>106</v>
      </c>
      <c r="N152" s="146" t="s">
        <v>33</v>
      </c>
      <c r="O152" s="142" t="s">
        <v>106</v>
      </c>
      <c r="P152" s="143" t="s">
        <v>106</v>
      </c>
      <c r="Q152" s="147" t="s">
        <v>43</v>
      </c>
      <c r="R152" s="142" t="s">
        <v>106</v>
      </c>
      <c r="S152" s="143" t="s">
        <v>106</v>
      </c>
      <c r="T152" s="144">
        <v>0</v>
      </c>
      <c r="U152" s="142" t="s">
        <v>106</v>
      </c>
      <c r="V152" s="143" t="s">
        <v>106</v>
      </c>
      <c r="W152" s="144">
        <v>0</v>
      </c>
      <c r="X152" s="142" t="s">
        <v>106</v>
      </c>
      <c r="Y152" s="143" t="s">
        <v>106</v>
      </c>
      <c r="Z152" s="150">
        <v>0</v>
      </c>
      <c r="AA152" s="142" t="s">
        <v>106</v>
      </c>
      <c r="AB152" s="143" t="s">
        <v>106</v>
      </c>
      <c r="AC152" s="153" t="s">
        <v>62</v>
      </c>
      <c r="AI152" s="116"/>
      <c r="AJ152" s="116"/>
      <c r="AK152" s="116"/>
    </row>
    <row r="153" customFormat="1" ht="22.5" customHeight="1" spans="1:37">
      <c r="A153" s="156">
        <v>12483</v>
      </c>
      <c r="B153" s="139" t="s">
        <v>205</v>
      </c>
      <c r="C153" s="140">
        <v>46108</v>
      </c>
      <c r="D153" s="160" t="s">
        <v>106</v>
      </c>
      <c r="E153" s="141" t="s">
        <v>45</v>
      </c>
      <c r="F153" s="141" t="s">
        <v>60</v>
      </c>
      <c r="G153" s="141" t="s">
        <v>32</v>
      </c>
      <c r="H153" s="141">
        <f>IF(_xlfn.XLOOKUP(A153,[1]分配表!L:L,[1]分配表!O:O)=0,"未出单",_xlfn.XLOOKUP(A153,[1]分配表!L:L,[1]分配表!O:O))</f>
        <v>46111</v>
      </c>
      <c r="I153" s="142" t="s">
        <v>106</v>
      </c>
      <c r="J153" s="143" t="s">
        <v>106</v>
      </c>
      <c r="K153" s="144" t="s">
        <v>141</v>
      </c>
      <c r="L153" s="142" t="s">
        <v>106</v>
      </c>
      <c r="M153" s="143" t="s">
        <v>106</v>
      </c>
      <c r="N153" s="146" t="s">
        <v>39</v>
      </c>
      <c r="O153" s="142" t="s">
        <v>106</v>
      </c>
      <c r="P153" s="143" t="s">
        <v>106</v>
      </c>
      <c r="Q153" s="147" t="s">
        <v>40</v>
      </c>
      <c r="R153" s="142" t="s">
        <v>106</v>
      </c>
      <c r="S153" s="143" t="s">
        <v>106</v>
      </c>
      <c r="T153" s="144">
        <v>2</v>
      </c>
      <c r="U153" s="142" t="s">
        <v>106</v>
      </c>
      <c r="V153" s="143" t="s">
        <v>106</v>
      </c>
      <c r="W153" s="144">
        <v>0</v>
      </c>
      <c r="X153" s="142" t="s">
        <v>106</v>
      </c>
      <c r="Y153" s="143" t="s">
        <v>106</v>
      </c>
      <c r="Z153" s="150">
        <v>234</v>
      </c>
      <c r="AA153" s="142" t="s">
        <v>106</v>
      </c>
      <c r="AB153" s="143" t="s">
        <v>106</v>
      </c>
      <c r="AC153" s="153">
        <v>1</v>
      </c>
      <c r="AI153" s="116"/>
      <c r="AJ153" s="116"/>
      <c r="AK153" s="116"/>
    </row>
    <row r="154" customFormat="1" ht="22.5" customHeight="1" spans="1:37">
      <c r="A154" s="156">
        <v>12484</v>
      </c>
      <c r="B154" s="139" t="s">
        <v>206</v>
      </c>
      <c r="C154" s="140">
        <v>46108</v>
      </c>
      <c r="D154" s="160" t="s">
        <v>106</v>
      </c>
      <c r="E154" s="141" t="s">
        <v>45</v>
      </c>
      <c r="F154" s="141" t="s">
        <v>60</v>
      </c>
      <c r="G154" s="141" t="s">
        <v>32</v>
      </c>
      <c r="H154" s="141">
        <f>IF(_xlfn.XLOOKUP(A154,[1]分配表!L:L,[1]分配表!O:O)=0,"未出单",_xlfn.XLOOKUP(A154,[1]分配表!L:L,[1]分配表!O:O))</f>
        <v>46111</v>
      </c>
      <c r="I154" s="142" t="s">
        <v>106</v>
      </c>
      <c r="J154" s="143" t="s">
        <v>106</v>
      </c>
      <c r="K154" s="144" t="s">
        <v>141</v>
      </c>
      <c r="L154" s="142" t="s">
        <v>106</v>
      </c>
      <c r="M154" s="143" t="s">
        <v>106</v>
      </c>
      <c r="N154" s="146" t="s">
        <v>39</v>
      </c>
      <c r="O154" s="142" t="s">
        <v>106</v>
      </c>
      <c r="P154" s="143" t="s">
        <v>106</v>
      </c>
      <c r="Q154" s="147" t="s">
        <v>40</v>
      </c>
      <c r="R154" s="142" t="s">
        <v>106</v>
      </c>
      <c r="S154" s="143" t="s">
        <v>106</v>
      </c>
      <c r="T154" s="144">
        <v>1</v>
      </c>
      <c r="U154" s="142" t="s">
        <v>106</v>
      </c>
      <c r="V154" s="143" t="s">
        <v>106</v>
      </c>
      <c r="W154" s="144">
        <v>0</v>
      </c>
      <c r="X154" s="142" t="s">
        <v>106</v>
      </c>
      <c r="Y154" s="143" t="s">
        <v>106</v>
      </c>
      <c r="Z154" s="150">
        <v>110</v>
      </c>
      <c r="AA154" s="142" t="s">
        <v>106</v>
      </c>
      <c r="AB154" s="143" t="s">
        <v>106</v>
      </c>
      <c r="AC154" s="153">
        <v>1</v>
      </c>
      <c r="AI154" s="116"/>
      <c r="AJ154" s="116"/>
      <c r="AK154" s="116"/>
    </row>
    <row r="155" customFormat="1" ht="22.5" customHeight="1" spans="1:37">
      <c r="A155" s="156">
        <v>12414</v>
      </c>
      <c r="B155" s="139" t="s">
        <v>207</v>
      </c>
      <c r="C155" s="140">
        <v>46108</v>
      </c>
      <c r="D155" s="160" t="s">
        <v>106</v>
      </c>
      <c r="E155" s="141" t="s">
        <v>49</v>
      </c>
      <c r="F155" s="141" t="s">
        <v>46</v>
      </c>
      <c r="G155" s="141" t="s">
        <v>47</v>
      </c>
      <c r="H155" s="141" t="str">
        <f>IF(_xlfn.XLOOKUP(A155,[1]分配表!L:L,[1]分配表!O:O)=0,"未出单",_xlfn.XLOOKUP(A155,[1]分配表!L:L,[1]分配表!O:O))</f>
        <v>未出单</v>
      </c>
      <c r="I155" s="142" t="s">
        <v>106</v>
      </c>
      <c r="J155" s="143" t="s">
        <v>106</v>
      </c>
      <c r="K155" s="144">
        <v>1</v>
      </c>
      <c r="L155" s="142" t="s">
        <v>106</v>
      </c>
      <c r="M155" s="143" t="s">
        <v>106</v>
      </c>
      <c r="N155" s="146" t="s">
        <v>33</v>
      </c>
      <c r="O155" s="142" t="s">
        <v>106</v>
      </c>
      <c r="P155" s="143" t="s">
        <v>106</v>
      </c>
      <c r="Q155" s="147" t="s">
        <v>43</v>
      </c>
      <c r="R155" s="142" t="s">
        <v>106</v>
      </c>
      <c r="S155" s="143" t="s">
        <v>106</v>
      </c>
      <c r="T155" s="144">
        <v>0</v>
      </c>
      <c r="U155" s="142" t="s">
        <v>106</v>
      </c>
      <c r="V155" s="143" t="s">
        <v>106</v>
      </c>
      <c r="W155" s="144">
        <v>0</v>
      </c>
      <c r="X155" s="142" t="s">
        <v>106</v>
      </c>
      <c r="Y155" s="143" t="s">
        <v>106</v>
      </c>
      <c r="Z155" s="150">
        <v>0</v>
      </c>
      <c r="AA155" s="142" t="s">
        <v>106</v>
      </c>
      <c r="AB155" s="143" t="s">
        <v>106</v>
      </c>
      <c r="AC155" s="153" t="s">
        <v>62</v>
      </c>
      <c r="AI155" s="116"/>
      <c r="AJ155" s="116"/>
      <c r="AK155" s="116"/>
    </row>
    <row r="156" customFormat="1" ht="22.5" customHeight="1" spans="1:37">
      <c r="A156" s="156">
        <v>12422</v>
      </c>
      <c r="B156" s="139" t="s">
        <v>208</v>
      </c>
      <c r="C156" s="140">
        <v>46108</v>
      </c>
      <c r="D156" s="160" t="s">
        <v>106</v>
      </c>
      <c r="E156" s="141" t="s">
        <v>49</v>
      </c>
      <c r="F156" s="141" t="s">
        <v>46</v>
      </c>
      <c r="G156" s="141" t="s">
        <v>47</v>
      </c>
      <c r="H156" s="141" t="str">
        <f>IF(_xlfn.XLOOKUP(A156,[1]分配表!L:L,[1]分配表!O:O)=0,"未出单",_xlfn.XLOOKUP(A156,[1]分配表!L:L,[1]分配表!O:O))</f>
        <v>未出单</v>
      </c>
      <c r="I156" s="142" t="s">
        <v>106</v>
      </c>
      <c r="J156" s="143" t="s">
        <v>106</v>
      </c>
      <c r="K156" s="144">
        <v>1</v>
      </c>
      <c r="L156" s="142" t="s">
        <v>106</v>
      </c>
      <c r="M156" s="143" t="s">
        <v>106</v>
      </c>
      <c r="N156" s="146" t="s">
        <v>33</v>
      </c>
      <c r="O156" s="142" t="s">
        <v>106</v>
      </c>
      <c r="P156" s="143" t="s">
        <v>106</v>
      </c>
      <c r="Q156" s="147" t="s">
        <v>43</v>
      </c>
      <c r="R156" s="142" t="s">
        <v>106</v>
      </c>
      <c r="S156" s="143" t="s">
        <v>106</v>
      </c>
      <c r="T156" s="144">
        <v>0</v>
      </c>
      <c r="U156" s="142" t="s">
        <v>106</v>
      </c>
      <c r="V156" s="143" t="s">
        <v>106</v>
      </c>
      <c r="W156" s="144">
        <v>0</v>
      </c>
      <c r="X156" s="142" t="s">
        <v>106</v>
      </c>
      <c r="Y156" s="143" t="s">
        <v>106</v>
      </c>
      <c r="Z156" s="150">
        <v>0</v>
      </c>
      <c r="AA156" s="142" t="s">
        <v>106</v>
      </c>
      <c r="AB156" s="143" t="s">
        <v>106</v>
      </c>
      <c r="AC156" s="153" t="s">
        <v>62</v>
      </c>
      <c r="AI156" s="116"/>
      <c r="AJ156" s="116"/>
      <c r="AK156" s="116"/>
    </row>
    <row r="157" customFormat="1" ht="22.5" customHeight="1" spans="1:37">
      <c r="A157" s="156">
        <v>12213</v>
      </c>
      <c r="B157" s="139" t="s">
        <v>209</v>
      </c>
      <c r="C157" s="140">
        <v>46108</v>
      </c>
      <c r="D157" s="160" t="s">
        <v>106</v>
      </c>
      <c r="E157" s="141" t="s">
        <v>102</v>
      </c>
      <c r="F157" s="141" t="s">
        <v>31</v>
      </c>
      <c r="G157" s="141" t="s">
        <v>32</v>
      </c>
      <c r="H157" s="141" t="str">
        <f>IF(_xlfn.XLOOKUP(A157,[1]分配表!L:L,[1]分配表!O:O)=0,"未出单",_xlfn.XLOOKUP(A157,[1]分配表!L:L,[1]分配表!O:O))</f>
        <v>未出单</v>
      </c>
      <c r="I157" s="142" t="s">
        <v>106</v>
      </c>
      <c r="J157" s="143" t="s">
        <v>106</v>
      </c>
      <c r="K157" s="144">
        <v>1</v>
      </c>
      <c r="L157" s="142" t="s">
        <v>106</v>
      </c>
      <c r="M157" s="143" t="s">
        <v>106</v>
      </c>
      <c r="N157" s="146" t="s">
        <v>33</v>
      </c>
      <c r="O157" s="142" t="s">
        <v>106</v>
      </c>
      <c r="P157" s="143" t="s">
        <v>106</v>
      </c>
      <c r="Q157" s="147" t="s">
        <v>36</v>
      </c>
      <c r="R157" s="142" t="s">
        <v>106</v>
      </c>
      <c r="S157" s="143" t="s">
        <v>106</v>
      </c>
      <c r="T157" s="144">
        <v>0</v>
      </c>
      <c r="U157" s="142" t="s">
        <v>106</v>
      </c>
      <c r="V157" s="143" t="s">
        <v>106</v>
      </c>
      <c r="W157" s="144">
        <v>10</v>
      </c>
      <c r="X157" s="142" t="s">
        <v>106</v>
      </c>
      <c r="Y157" s="143" t="s">
        <v>106</v>
      </c>
      <c r="Z157" s="150">
        <v>0</v>
      </c>
      <c r="AA157" s="142" t="s">
        <v>106</v>
      </c>
      <c r="AB157" s="143" t="s">
        <v>106</v>
      </c>
      <c r="AC157" s="153">
        <v>0</v>
      </c>
      <c r="AI157" s="116"/>
      <c r="AJ157" s="116"/>
      <c r="AK157" s="116"/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8"/>
  <sheetViews>
    <sheetView topLeftCell="G1" workbookViewId="0">
      <selection activeCell="R14" sqref="R14"/>
    </sheetView>
  </sheetViews>
  <sheetFormatPr defaultColWidth="8.725" defaultRowHeight="13.5"/>
  <cols>
    <col min="1" max="1" width="15.8166666666667" customWidth="1"/>
    <col min="2" max="2" width="12.0916666666667" customWidth="1"/>
    <col min="3" max="4" width="12.725" customWidth="1"/>
    <col min="5" max="7" width="15.75" customWidth="1"/>
    <col min="8" max="8" width="11.3666666666667" customWidth="1"/>
    <col min="9" max="10" width="12.9083333333333" customWidth="1"/>
    <col min="11" max="11" width="13.5416666666667" customWidth="1"/>
    <col min="12" max="13" width="13.3666666666667" customWidth="1"/>
    <col min="14" max="17" width="11.3666666666667" customWidth="1"/>
    <col min="18" max="19" width="15.5416666666667" customWidth="1"/>
    <col min="20" max="20" width="14.9083333333333" customWidth="1"/>
    <col min="21" max="22" width="19" customWidth="1"/>
    <col min="23" max="23" width="14.0916666666667" customWidth="1"/>
    <col min="24" max="26" width="11.3666666666667" customWidth="1"/>
  </cols>
  <sheetData>
    <row r="1" customFormat="1" ht="24" customHeight="1" spans="1:27">
      <c r="A1" s="95" t="s">
        <v>210</v>
      </c>
      <c r="B1" s="95" t="s">
        <v>211</v>
      </c>
      <c r="C1" s="95" t="s">
        <v>212</v>
      </c>
      <c r="D1" s="95" t="s">
        <v>213</v>
      </c>
      <c r="E1" s="95" t="s">
        <v>17</v>
      </c>
      <c r="F1" s="95" t="s">
        <v>18</v>
      </c>
      <c r="G1" s="95" t="s">
        <v>19</v>
      </c>
      <c r="H1" s="95" t="s">
        <v>23</v>
      </c>
      <c r="I1" s="95" t="s">
        <v>24</v>
      </c>
      <c r="J1" s="95" t="s">
        <v>25</v>
      </c>
      <c r="K1" s="95" t="s">
        <v>20</v>
      </c>
      <c r="L1" s="95" t="s">
        <v>21</v>
      </c>
      <c r="M1" s="95" t="s">
        <v>22</v>
      </c>
      <c r="N1" s="95" t="s">
        <v>26</v>
      </c>
      <c r="O1" s="95" t="s">
        <v>27</v>
      </c>
      <c r="P1" s="95" t="s">
        <v>28</v>
      </c>
      <c r="Q1" s="95" t="s">
        <v>214</v>
      </c>
      <c r="R1" s="95" t="s">
        <v>215</v>
      </c>
      <c r="S1" s="95" t="s">
        <v>216</v>
      </c>
      <c r="T1" s="95" t="s">
        <v>217</v>
      </c>
      <c r="U1" s="95" t="s">
        <v>218</v>
      </c>
      <c r="V1" s="95" t="s">
        <v>219</v>
      </c>
    </row>
    <row r="2" customFormat="1" ht="24" customHeight="1" spans="1:27">
      <c r="A2" s="95" t="s">
        <v>220</v>
      </c>
      <c r="B2" s="95">
        <v>0</v>
      </c>
      <c r="C2" s="95">
        <v>0</v>
      </c>
      <c r="D2" s="95"/>
      <c r="E2" s="95">
        <v>0</v>
      </c>
      <c r="F2" s="95">
        <v>0</v>
      </c>
      <c r="G2" s="95"/>
      <c r="H2" s="98">
        <v>0</v>
      </c>
      <c r="I2" s="98">
        <v>0</v>
      </c>
      <c r="J2" s="98"/>
      <c r="K2" s="95">
        <v>0</v>
      </c>
      <c r="L2" s="95">
        <v>0</v>
      </c>
      <c r="M2" s="95"/>
      <c r="N2" s="96">
        <v>0</v>
      </c>
      <c r="O2" s="96">
        <v>0</v>
      </c>
      <c r="P2" s="96"/>
      <c r="Q2" s="95">
        <v>0</v>
      </c>
      <c r="R2" s="95">
        <v>0</v>
      </c>
      <c r="S2" s="95"/>
      <c r="T2" s="96">
        <v>0</v>
      </c>
      <c r="U2" s="96">
        <v>0</v>
      </c>
      <c r="V2" s="96"/>
      <c r="AA2" s="57"/>
    </row>
    <row r="3" customFormat="1" ht="24" customHeight="1" spans="1:27">
      <c r="A3" s="95" t="s">
        <v>46</v>
      </c>
      <c r="B3" s="95">
        <v>17</v>
      </c>
      <c r="C3" s="95">
        <v>9</v>
      </c>
      <c r="D3" s="95"/>
      <c r="E3" s="95">
        <v>23</v>
      </c>
      <c r="F3" s="95">
        <v>73</v>
      </c>
      <c r="G3" s="95"/>
      <c r="H3" s="98">
        <v>3770.64</v>
      </c>
      <c r="I3" s="98">
        <v>11012</v>
      </c>
      <c r="J3" s="98"/>
      <c r="K3" s="95">
        <v>25</v>
      </c>
      <c r="L3" s="95">
        <v>22</v>
      </c>
      <c r="M3" s="95"/>
      <c r="N3" s="96">
        <v>0.479166666666667</v>
      </c>
      <c r="O3" s="96">
        <v>0.768421052631579</v>
      </c>
      <c r="P3" s="96"/>
      <c r="Q3" s="96">
        <v>0.352941176470588</v>
      </c>
      <c r="R3" s="96">
        <v>0.777777777777778</v>
      </c>
      <c r="S3" s="96"/>
      <c r="T3" s="96">
        <v>0.0375475999355924</v>
      </c>
      <c r="U3" s="96">
        <v>0.0883321223629308</v>
      </c>
      <c r="V3" s="96"/>
    </row>
    <row r="4" customFormat="1" ht="24" customHeight="1" spans="1:27">
      <c r="A4" s="95" t="s">
        <v>53</v>
      </c>
      <c r="B4" s="95">
        <v>3</v>
      </c>
      <c r="C4" s="95">
        <v>5</v>
      </c>
      <c r="D4" s="95"/>
      <c r="E4" s="95">
        <v>5</v>
      </c>
      <c r="F4" s="95">
        <v>91</v>
      </c>
      <c r="G4" s="95"/>
      <c r="H4" s="98">
        <v>534.5</v>
      </c>
      <c r="I4" s="98">
        <v>14461.05</v>
      </c>
      <c r="J4" s="98"/>
      <c r="K4" s="95">
        <v>8</v>
      </c>
      <c r="L4" s="95">
        <v>13</v>
      </c>
      <c r="M4" s="95"/>
      <c r="N4" s="96">
        <v>0.384615384615385</v>
      </c>
      <c r="O4" s="96">
        <v>0.875</v>
      </c>
      <c r="P4" s="96"/>
      <c r="Q4" s="96">
        <v>0.666666666666667</v>
      </c>
      <c r="R4" s="96">
        <v>0.6</v>
      </c>
      <c r="S4" s="96"/>
      <c r="T4" s="96">
        <v>0.00279985621991857</v>
      </c>
      <c r="U4" s="96">
        <v>0.0657465276214933</v>
      </c>
      <c r="V4" s="96"/>
    </row>
    <row r="5" customFormat="1" ht="24" customHeight="1" spans="1:27">
      <c r="A5" s="95" t="s">
        <v>38</v>
      </c>
      <c r="B5" s="95">
        <v>10</v>
      </c>
      <c r="C5" s="95">
        <v>7</v>
      </c>
      <c r="D5" s="95"/>
      <c r="E5" s="95">
        <v>16</v>
      </c>
      <c r="F5" s="95">
        <v>11</v>
      </c>
      <c r="G5" s="95"/>
      <c r="H5" s="98">
        <v>2060</v>
      </c>
      <c r="I5" s="98">
        <v>2005</v>
      </c>
      <c r="J5" s="98"/>
      <c r="K5" s="95">
        <v>12</v>
      </c>
      <c r="L5" s="95">
        <v>9</v>
      </c>
      <c r="M5" s="95"/>
      <c r="N5" s="96">
        <v>0.571428571428571</v>
      </c>
      <c r="O5" s="96">
        <v>0.55</v>
      </c>
      <c r="P5" s="96"/>
      <c r="Q5" s="96">
        <v>0.5</v>
      </c>
      <c r="R5" s="96">
        <v>0.285714285714286</v>
      </c>
      <c r="S5" s="96"/>
      <c r="T5" s="96">
        <v>0.00736784201629938</v>
      </c>
      <c r="U5" s="96">
        <v>0.00777680741149528</v>
      </c>
      <c r="V5" s="96"/>
    </row>
    <row r="6" customFormat="1" ht="24" customHeight="1" spans="1:27">
      <c r="A6" s="95" t="s">
        <v>31</v>
      </c>
      <c r="B6" s="95">
        <v>10</v>
      </c>
      <c r="C6" s="95">
        <v>3</v>
      </c>
      <c r="D6" s="95"/>
      <c r="E6" s="95">
        <v>20</v>
      </c>
      <c r="F6" s="95">
        <v>10</v>
      </c>
      <c r="G6" s="95"/>
      <c r="H6" s="98">
        <v>1947.52</v>
      </c>
      <c r="I6" s="98">
        <v>1258</v>
      </c>
      <c r="J6" s="98"/>
      <c r="K6" s="95">
        <v>17</v>
      </c>
      <c r="L6" s="95">
        <v>7</v>
      </c>
      <c r="M6" s="95"/>
      <c r="N6" s="96">
        <v>0.540540540540541</v>
      </c>
      <c r="O6" s="96">
        <v>0.588235294117647</v>
      </c>
      <c r="P6" s="96"/>
      <c r="Q6" s="96">
        <v>0.7</v>
      </c>
      <c r="R6" s="96">
        <v>1</v>
      </c>
      <c r="S6" s="96"/>
      <c r="T6" s="96">
        <v>0.0398033377642833</v>
      </c>
      <c r="U6" s="96">
        <v>0.0281818558580961</v>
      </c>
      <c r="V6" s="96"/>
    </row>
    <row r="7" customFormat="1" ht="24" customHeight="1" spans="1:27">
      <c r="A7" s="95" t="s">
        <v>221</v>
      </c>
      <c r="B7" s="95">
        <v>0</v>
      </c>
      <c r="C7" s="95">
        <v>0</v>
      </c>
      <c r="D7" s="95"/>
      <c r="E7" s="95">
        <v>0</v>
      </c>
      <c r="F7" s="95">
        <v>0</v>
      </c>
      <c r="G7" s="95"/>
      <c r="H7" s="98">
        <v>0</v>
      </c>
      <c r="I7" s="98">
        <v>0</v>
      </c>
      <c r="J7" s="98"/>
      <c r="K7" s="95">
        <v>0</v>
      </c>
      <c r="L7" s="95">
        <v>0</v>
      </c>
      <c r="M7" s="95"/>
      <c r="N7" s="96">
        <v>0</v>
      </c>
      <c r="O7" s="96">
        <v>0</v>
      </c>
      <c r="P7" s="96"/>
      <c r="Q7" s="96">
        <v>0</v>
      </c>
      <c r="R7" s="96">
        <v>0</v>
      </c>
      <c r="S7" s="96"/>
      <c r="T7" s="96">
        <v>0</v>
      </c>
      <c r="U7" s="96">
        <v>0</v>
      </c>
      <c r="V7" s="96"/>
    </row>
    <row r="8" customFormat="1" ht="24" customHeight="1" spans="1:27">
      <c r="A8" s="95" t="s">
        <v>60</v>
      </c>
      <c r="B8" s="95">
        <v>0</v>
      </c>
      <c r="C8" s="95">
        <v>4</v>
      </c>
      <c r="D8" s="95"/>
      <c r="E8" s="95">
        <v>0</v>
      </c>
      <c r="F8" s="95">
        <v>5</v>
      </c>
      <c r="G8" s="95"/>
      <c r="H8" s="98">
        <v>0</v>
      </c>
      <c r="I8" s="98">
        <v>232</v>
      </c>
      <c r="J8" s="98"/>
      <c r="K8" s="95">
        <v>0</v>
      </c>
      <c r="L8" s="95">
        <v>29</v>
      </c>
      <c r="M8" s="95"/>
      <c r="N8" s="96">
        <v>0</v>
      </c>
      <c r="O8" s="96">
        <v>0.147058823529412</v>
      </c>
      <c r="P8" s="96"/>
      <c r="Q8" s="96">
        <v>0</v>
      </c>
      <c r="R8" s="96">
        <v>0.5</v>
      </c>
      <c r="S8" s="96"/>
      <c r="T8" s="96">
        <v>0</v>
      </c>
      <c r="U8" s="96">
        <v>0.00410203094734813</v>
      </c>
      <c r="V8" s="96"/>
    </row>
    <row r="9" customFormat="1" ht="24" customHeight="1" spans="1:27">
      <c r="A9" s="95" t="s">
        <v>222</v>
      </c>
      <c r="B9" s="95">
        <v>0</v>
      </c>
      <c r="C9" s="95">
        <v>0</v>
      </c>
      <c r="D9" s="95"/>
      <c r="E9" s="95">
        <v>0</v>
      </c>
      <c r="F9" s="95">
        <v>0</v>
      </c>
      <c r="G9" s="95"/>
      <c r="H9" s="98">
        <v>0</v>
      </c>
      <c r="I9" s="98">
        <v>0</v>
      </c>
      <c r="J9" s="98"/>
      <c r="K9" s="95">
        <v>0</v>
      </c>
      <c r="L9" s="95">
        <v>0</v>
      </c>
      <c r="M9" s="95"/>
      <c r="N9" s="96">
        <v>0</v>
      </c>
      <c r="O9" s="96">
        <v>0</v>
      </c>
      <c r="P9" s="96"/>
      <c r="Q9" s="96">
        <v>0</v>
      </c>
      <c r="R9" s="96">
        <v>0</v>
      </c>
      <c r="S9" s="96"/>
      <c r="T9" s="96">
        <v>0</v>
      </c>
      <c r="U9" s="96">
        <v>0</v>
      </c>
      <c r="V9" s="96"/>
    </row>
    <row r="10" customFormat="1" ht="24" customHeight="1" spans="1:27">
      <c r="A10" s="95" t="s">
        <v>66</v>
      </c>
      <c r="B10" s="95">
        <v>12</v>
      </c>
      <c r="C10" s="95">
        <v>9</v>
      </c>
      <c r="D10" s="95"/>
      <c r="E10" s="95">
        <v>7</v>
      </c>
      <c r="F10" s="95">
        <v>8</v>
      </c>
      <c r="G10" s="95"/>
      <c r="H10" s="98">
        <v>363</v>
      </c>
      <c r="I10" s="98">
        <v>605</v>
      </c>
      <c r="J10" s="98"/>
      <c r="K10" s="95">
        <v>28</v>
      </c>
      <c r="L10" s="95">
        <v>112</v>
      </c>
      <c r="M10" s="95"/>
      <c r="N10" s="96">
        <v>0.2</v>
      </c>
      <c r="O10" s="96">
        <v>0.0666666666666667</v>
      </c>
      <c r="P10" s="96"/>
      <c r="Q10" s="96">
        <v>0.166666666666667</v>
      </c>
      <c r="R10" s="96">
        <v>0.444444444444444</v>
      </c>
      <c r="S10" s="96"/>
      <c r="T10" s="96">
        <v>0.00752687904491992</v>
      </c>
      <c r="U10" s="96">
        <v>0.0102081897015733</v>
      </c>
      <c r="V10" s="96"/>
    </row>
    <row r="11" customFormat="1" ht="24" customHeight="1" spans="1:27">
      <c r="A11" s="95" t="s">
        <v>223</v>
      </c>
      <c r="B11" s="95">
        <v>1</v>
      </c>
      <c r="C11" s="95">
        <v>0</v>
      </c>
      <c r="D11" s="95"/>
      <c r="E11" s="95">
        <v>1</v>
      </c>
      <c r="F11" s="95">
        <v>0</v>
      </c>
      <c r="G11" s="95"/>
      <c r="H11" s="98">
        <v>80</v>
      </c>
      <c r="I11" s="98">
        <v>0</v>
      </c>
      <c r="J11" s="98"/>
      <c r="K11" s="95">
        <v>3</v>
      </c>
      <c r="L11" s="95">
        <v>0</v>
      </c>
      <c r="M11" s="95"/>
      <c r="N11" s="96">
        <v>0.25</v>
      </c>
      <c r="O11" s="96">
        <v>0</v>
      </c>
      <c r="P11" s="96"/>
      <c r="Q11" s="96">
        <v>1</v>
      </c>
      <c r="R11" s="96">
        <v>0</v>
      </c>
      <c r="S11" s="96"/>
      <c r="T11" s="96">
        <v>0.00098490412820103</v>
      </c>
      <c r="U11" s="96">
        <v>0</v>
      </c>
      <c r="V11" s="96"/>
    </row>
    <row r="12" customFormat="1" ht="24" customHeight="1" spans="1:27">
      <c r="A12" s="95" t="s">
        <v>224</v>
      </c>
      <c r="B12" s="95">
        <f>SUM(B2:B11)</f>
        <v>53</v>
      </c>
      <c r="C12" s="95">
        <f>SUM(C2:C11)</f>
        <v>37</v>
      </c>
      <c r="D12" s="95"/>
      <c r="E12" s="95">
        <v>72</v>
      </c>
      <c r="F12" s="95">
        <v>198</v>
      </c>
      <c r="G12" s="95"/>
      <c r="H12" s="98">
        <v>8755.66</v>
      </c>
      <c r="I12" s="98">
        <v>29573.05</v>
      </c>
      <c r="J12" s="98"/>
      <c r="K12" s="95">
        <v>93</v>
      </c>
      <c r="L12" s="95">
        <v>192</v>
      </c>
      <c r="M12" s="95"/>
      <c r="N12" s="96">
        <v>0.436363636363636</v>
      </c>
      <c r="O12" s="96">
        <v>0.507692307692308</v>
      </c>
      <c r="P12" s="96"/>
      <c r="Q12" s="96">
        <v>0.433962264150943</v>
      </c>
      <c r="R12" s="96">
        <v>0.567567567567568</v>
      </c>
      <c r="S12" s="96"/>
      <c r="T12" s="96">
        <v>0.00894993882812498</v>
      </c>
      <c r="U12" s="96">
        <v>0.0283001424220226</v>
      </c>
      <c r="V12" s="96"/>
    </row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6" ht="24" customHeight="1"/>
    <row r="27" ht="24" customHeight="1"/>
    <row r="28" ht="24" customHeight="1"/>
    <row r="29" ht="24" customHeight="1"/>
    <row r="30" ht="24" customHeight="1"/>
    <row r="34" ht="24" customHeight="1"/>
    <row r="35" ht="24" customHeight="1"/>
    <row r="36" ht="24" customHeight="1"/>
    <row r="37" ht="24" customHeight="1"/>
    <row r="38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</sheetData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8"/>
  <sheetViews>
    <sheetView workbookViewId="0">
      <selection activeCell="C1" sqref="C1:D1"/>
    </sheetView>
  </sheetViews>
  <sheetFormatPr defaultColWidth="8.725" defaultRowHeight="13.5"/>
  <cols>
    <col min="1" max="1" width="15.8166666666667" customWidth="1"/>
    <col min="2" max="2" width="12.0916666666667" customWidth="1"/>
    <col min="3" max="4" width="12.725" customWidth="1"/>
    <col min="5" max="5" width="18.9083333333333" customWidth="1"/>
    <col min="6" max="7" width="18.4583333333333" style="99" customWidth="1"/>
    <col min="8" max="8" width="11.3666666666667" customWidth="1"/>
    <col min="9" max="10" width="12.9083333333333" customWidth="1"/>
    <col min="11" max="11" width="13.5416666666667" customWidth="1"/>
    <col min="12" max="13" width="13.3666666666667" customWidth="1"/>
    <col min="14" max="17" width="11.3666666666667" customWidth="1"/>
    <col min="18" max="19" width="15.5416666666667" customWidth="1"/>
    <col min="20" max="20" width="14.9083333333333" customWidth="1"/>
    <col min="21" max="21" width="19" customWidth="1"/>
    <col min="22" max="22" width="14.0916666666667" customWidth="1"/>
    <col min="23" max="25" width="11.3666666666667" customWidth="1"/>
  </cols>
  <sheetData>
    <row r="1" customFormat="1" ht="24" customHeight="1" spans="1:26">
      <c r="A1" s="95" t="s">
        <v>225</v>
      </c>
      <c r="B1" s="95" t="s">
        <v>211</v>
      </c>
      <c r="C1" s="95" t="s">
        <v>212</v>
      </c>
      <c r="D1" s="95" t="s">
        <v>213</v>
      </c>
      <c r="E1" s="95" t="s">
        <v>226</v>
      </c>
      <c r="F1" s="100" t="s">
        <v>227</v>
      </c>
      <c r="G1" s="100" t="s">
        <v>228</v>
      </c>
      <c r="H1" s="95" t="s">
        <v>17</v>
      </c>
      <c r="I1" s="95" t="s">
        <v>18</v>
      </c>
      <c r="J1" s="95" t="s">
        <v>19</v>
      </c>
      <c r="K1" s="95" t="s">
        <v>23</v>
      </c>
      <c r="L1" s="95" t="s">
        <v>24</v>
      </c>
      <c r="M1" s="95" t="s">
        <v>25</v>
      </c>
      <c r="N1" s="95" t="s">
        <v>229</v>
      </c>
      <c r="O1" s="95" t="s">
        <v>230</v>
      </c>
      <c r="P1" s="95" t="s">
        <v>231</v>
      </c>
      <c r="Q1" s="95" t="s">
        <v>20</v>
      </c>
      <c r="R1" s="95" t="s">
        <v>21</v>
      </c>
      <c r="S1" s="95" t="s">
        <v>22</v>
      </c>
      <c r="T1" s="95" t="s">
        <v>26</v>
      </c>
      <c r="U1" s="95" t="s">
        <v>27</v>
      </c>
      <c r="V1" s="95" t="s">
        <v>28</v>
      </c>
    </row>
    <row r="2" customFormat="1" ht="24" customHeight="1" spans="1:26">
      <c r="A2" s="95" t="s">
        <v>45</v>
      </c>
      <c r="B2" s="95">
        <v>0</v>
      </c>
      <c r="C2" s="95">
        <v>3</v>
      </c>
      <c r="D2" s="95"/>
      <c r="E2" s="95">
        <v>0</v>
      </c>
      <c r="F2" s="100">
        <v>2.66666666666667</v>
      </c>
      <c r="G2" s="100"/>
      <c r="H2" s="98">
        <v>0</v>
      </c>
      <c r="I2" s="98">
        <v>4</v>
      </c>
      <c r="J2" s="98"/>
      <c r="K2" s="95">
        <v>0</v>
      </c>
      <c r="L2" s="95">
        <v>1996</v>
      </c>
      <c r="M2" s="95"/>
      <c r="N2" s="98">
        <v>0</v>
      </c>
      <c r="O2" s="98">
        <v>499</v>
      </c>
      <c r="P2" s="98"/>
      <c r="Q2" s="95">
        <v>0</v>
      </c>
      <c r="R2" s="95">
        <v>0</v>
      </c>
      <c r="S2" s="95"/>
      <c r="T2" s="96">
        <v>0</v>
      </c>
      <c r="U2" s="96">
        <v>1</v>
      </c>
      <c r="V2" s="97"/>
      <c r="Z2" s="57"/>
    </row>
    <row r="3" customFormat="1" ht="24" customHeight="1" spans="1:26">
      <c r="A3" s="95" t="s">
        <v>65</v>
      </c>
      <c r="B3" s="95">
        <v>13</v>
      </c>
      <c r="C3" s="95">
        <v>13</v>
      </c>
      <c r="D3" s="95"/>
      <c r="E3" s="95">
        <v>1.23076923076923</v>
      </c>
      <c r="F3" s="100">
        <v>2.30769230769231</v>
      </c>
      <c r="G3" s="100"/>
      <c r="H3" s="98">
        <v>14</v>
      </c>
      <c r="I3" s="98">
        <v>104</v>
      </c>
      <c r="J3" s="98"/>
      <c r="K3" s="95">
        <v>1076.64</v>
      </c>
      <c r="L3" s="95">
        <v>15324.05</v>
      </c>
      <c r="M3" s="95"/>
      <c r="N3" s="98">
        <v>76.9028571428571</v>
      </c>
      <c r="O3" s="98">
        <v>147.346634615385</v>
      </c>
      <c r="P3" s="98"/>
      <c r="Q3" s="95">
        <v>47</v>
      </c>
      <c r="R3" s="95">
        <v>109</v>
      </c>
      <c r="S3" s="95"/>
      <c r="T3" s="96">
        <v>0.216666666666667</v>
      </c>
      <c r="U3" s="96">
        <v>0.10655737704918</v>
      </c>
      <c r="V3" s="97"/>
    </row>
    <row r="4" customFormat="1" ht="24" customHeight="1" spans="1:26">
      <c r="A4" s="95" t="s">
        <v>49</v>
      </c>
      <c r="B4" s="95">
        <v>17</v>
      </c>
      <c r="C4" s="95">
        <v>6</v>
      </c>
      <c r="D4" s="95"/>
      <c r="E4" s="95">
        <v>1.58823529411765</v>
      </c>
      <c r="F4" s="100">
        <v>2.83333333333333</v>
      </c>
      <c r="G4" s="100"/>
      <c r="H4" s="98">
        <v>20</v>
      </c>
      <c r="I4" s="98">
        <v>65</v>
      </c>
      <c r="J4" s="98"/>
      <c r="K4" s="95">
        <v>3180</v>
      </c>
      <c r="L4" s="95">
        <v>8793</v>
      </c>
      <c r="M4" s="95"/>
      <c r="N4" s="98">
        <v>159</v>
      </c>
      <c r="O4" s="98">
        <v>135.276923076923</v>
      </c>
      <c r="P4" s="98"/>
      <c r="Q4" s="95">
        <v>16</v>
      </c>
      <c r="R4" s="95">
        <v>20</v>
      </c>
      <c r="S4" s="95"/>
      <c r="T4" s="96">
        <v>0.515151515151515</v>
      </c>
      <c r="U4" s="96">
        <v>0.230769230769231</v>
      </c>
      <c r="V4" s="97"/>
    </row>
    <row r="5" customFormat="1" ht="24" customHeight="1" spans="1:26">
      <c r="A5" s="95" t="s">
        <v>102</v>
      </c>
      <c r="B5" s="95">
        <v>0</v>
      </c>
      <c r="C5" s="95">
        <v>9</v>
      </c>
      <c r="D5" s="95"/>
      <c r="E5" s="95">
        <v>0</v>
      </c>
      <c r="F5" s="100">
        <v>1</v>
      </c>
      <c r="G5" s="100"/>
      <c r="H5" s="98">
        <v>0</v>
      </c>
      <c r="I5" s="98">
        <v>17</v>
      </c>
      <c r="J5" s="98"/>
      <c r="K5" s="95">
        <v>0</v>
      </c>
      <c r="L5" s="95">
        <v>1770</v>
      </c>
      <c r="M5" s="95"/>
      <c r="N5" s="98">
        <v>0</v>
      </c>
      <c r="O5" s="98">
        <v>104.117647058824</v>
      </c>
      <c r="P5" s="98"/>
      <c r="Q5" s="95">
        <v>0</v>
      </c>
      <c r="R5" s="95">
        <v>56</v>
      </c>
      <c r="S5" s="95"/>
      <c r="T5" s="96">
        <v>0</v>
      </c>
      <c r="U5" s="96">
        <v>1</v>
      </c>
      <c r="V5" s="97"/>
    </row>
    <row r="6" customFormat="1" ht="24" customHeight="1" spans="1:26">
      <c r="A6" s="95" t="s">
        <v>30</v>
      </c>
      <c r="B6" s="95">
        <v>23</v>
      </c>
      <c r="C6" s="95">
        <v>6</v>
      </c>
      <c r="D6" s="95"/>
      <c r="E6" s="95">
        <v>3</v>
      </c>
      <c r="F6" s="100">
        <v>2.5</v>
      </c>
      <c r="G6" s="100"/>
      <c r="H6" s="98">
        <v>38</v>
      </c>
      <c r="I6" s="98">
        <v>8</v>
      </c>
      <c r="J6" s="98"/>
      <c r="K6" s="95">
        <v>4499.02</v>
      </c>
      <c r="L6" s="95">
        <v>1690</v>
      </c>
      <c r="M6" s="95"/>
      <c r="N6" s="98">
        <v>118.395263157895</v>
      </c>
      <c r="O6" s="98">
        <v>211.25</v>
      </c>
      <c r="P6" s="98"/>
      <c r="Q6" s="95">
        <v>30</v>
      </c>
      <c r="R6" s="95">
        <v>7</v>
      </c>
      <c r="S6" s="95"/>
      <c r="T6" s="96">
        <v>0.433962264150943</v>
      </c>
      <c r="U6" s="96">
        <v>0.461538461538462</v>
      </c>
      <c r="V6" s="97"/>
    </row>
    <row r="7" customFormat="1" ht="24" customHeight="1" spans="1:26">
      <c r="A7" s="95" t="s">
        <v>224</v>
      </c>
      <c r="B7" s="95">
        <v>53</v>
      </c>
      <c r="C7" s="95">
        <v>37</v>
      </c>
      <c r="D7" s="95"/>
      <c r="E7" s="95">
        <v>2.11320754716981</v>
      </c>
      <c r="F7" s="100">
        <v>2.13513513513514</v>
      </c>
      <c r="G7" s="100"/>
      <c r="H7" s="98">
        <v>72</v>
      </c>
      <c r="I7" s="98">
        <v>198</v>
      </c>
      <c r="J7" s="98"/>
      <c r="K7" s="95">
        <v>8755.66</v>
      </c>
      <c r="L7" s="95">
        <v>29573.05</v>
      </c>
      <c r="M7" s="95"/>
      <c r="N7" s="98">
        <v>121.606388888889</v>
      </c>
      <c r="O7" s="98">
        <v>149.358838383838</v>
      </c>
      <c r="P7" s="98"/>
      <c r="Q7" s="95">
        <v>93</v>
      </c>
      <c r="R7" s="95">
        <v>192</v>
      </c>
      <c r="S7" s="95"/>
      <c r="T7" s="96">
        <v>0.363013698630137</v>
      </c>
      <c r="U7" s="96">
        <v>0.161572052401747</v>
      </c>
      <c r="V7" s="97"/>
    </row>
    <row r="8" ht="24" customHeight="1"/>
    <row r="9" ht="24" customHeight="1"/>
    <row r="10" ht="24" customHeight="1"/>
    <row r="11" ht="24" customHeight="1"/>
    <row r="12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6" ht="24" customHeight="1"/>
    <row r="27" ht="24" customHeight="1"/>
    <row r="28" ht="24" customHeight="1"/>
    <row r="29" ht="24" customHeight="1"/>
    <row r="30" ht="24" customHeight="1"/>
    <row r="34" ht="24" customHeight="1"/>
    <row r="35" ht="24" customHeight="1"/>
    <row r="36" ht="24" customHeight="1"/>
    <row r="37" ht="24" customHeight="1"/>
    <row r="38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8"/>
  <sheetViews>
    <sheetView workbookViewId="0">
      <selection activeCell="C1" sqref="C1:D1"/>
    </sheetView>
  </sheetViews>
  <sheetFormatPr defaultColWidth="8.725" defaultRowHeight="13.5"/>
  <cols>
    <col min="1" max="1" width="15.8166666666667" customWidth="1"/>
    <col min="2" max="2" width="12.0916666666667" customWidth="1"/>
    <col min="3" max="4" width="12.725" customWidth="1"/>
    <col min="5" max="5" width="18.9083333333333" customWidth="1"/>
    <col min="6" max="7" width="18.4583333333333" customWidth="1"/>
    <col min="8" max="8" width="11.3666666666667" customWidth="1"/>
    <col min="9" max="10" width="12.9083333333333" customWidth="1"/>
    <col min="11" max="11" width="13.5416666666667" customWidth="1"/>
    <col min="12" max="13" width="13.3666666666667" customWidth="1"/>
    <col min="14" max="16" width="11.3666666666667" customWidth="1"/>
    <col min="17" max="17" width="14.625" customWidth="1"/>
    <col min="18" max="18" width="15.5416666666667" customWidth="1"/>
    <col min="19" max="19" width="14.9083333333333" customWidth="1"/>
    <col min="20" max="20" width="19" customWidth="1"/>
    <col min="21" max="21" width="14.0916666666667" customWidth="1"/>
    <col min="22" max="24" width="11.3666666666667" customWidth="1"/>
  </cols>
  <sheetData>
    <row r="1" customFormat="1" ht="24" customHeight="1" spans="1:25">
      <c r="A1" s="95" t="s">
        <v>232</v>
      </c>
      <c r="B1" s="95" t="s">
        <v>211</v>
      </c>
      <c r="C1" s="95" t="s">
        <v>212</v>
      </c>
      <c r="D1" s="95" t="s">
        <v>213</v>
      </c>
      <c r="E1" s="95" t="s">
        <v>17</v>
      </c>
      <c r="F1" s="95" t="s">
        <v>18</v>
      </c>
      <c r="G1" s="95" t="s">
        <v>19</v>
      </c>
      <c r="H1" s="95" t="s">
        <v>23</v>
      </c>
      <c r="I1" s="95" t="s">
        <v>24</v>
      </c>
      <c r="J1" s="95" t="s">
        <v>25</v>
      </c>
      <c r="K1" s="95" t="s">
        <v>20</v>
      </c>
      <c r="L1" s="95" t="s">
        <v>21</v>
      </c>
      <c r="M1" s="95" t="s">
        <v>22</v>
      </c>
      <c r="N1" s="95" t="s">
        <v>26</v>
      </c>
      <c r="O1" s="95" t="s">
        <v>27</v>
      </c>
      <c r="P1" s="95" t="s">
        <v>28</v>
      </c>
      <c r="Q1" s="95" t="s">
        <v>214</v>
      </c>
      <c r="R1" s="95" t="s">
        <v>215</v>
      </c>
      <c r="S1" s="95" t="s">
        <v>216</v>
      </c>
    </row>
    <row r="2" customFormat="1" ht="24" customHeight="1" spans="1:25">
      <c r="A2" s="95" t="s">
        <v>47</v>
      </c>
      <c r="B2" s="95">
        <v>18</v>
      </c>
      <c r="C2" s="95">
        <v>13</v>
      </c>
      <c r="D2" s="95"/>
      <c r="E2" s="95">
        <v>20</v>
      </c>
      <c r="F2" s="95">
        <v>103</v>
      </c>
      <c r="G2" s="95"/>
      <c r="H2" s="98">
        <v>3068</v>
      </c>
      <c r="I2" s="98">
        <v>17434.05</v>
      </c>
      <c r="J2" s="98"/>
      <c r="K2" s="95">
        <v>12</v>
      </c>
      <c r="L2" s="95">
        <v>27</v>
      </c>
      <c r="M2" s="95"/>
      <c r="N2" s="96">
        <f>B2/(B2+K2)</f>
        <v>0.6</v>
      </c>
      <c r="O2" s="96">
        <f>C2/(C2+L2)</f>
        <v>0.325</v>
      </c>
      <c r="P2" s="96"/>
      <c r="Q2" s="96">
        <v>0.277777777777778</v>
      </c>
      <c r="R2" s="96">
        <v>0.615384615384615</v>
      </c>
      <c r="S2" s="97"/>
      <c r="T2"/>
      <c r="Y2" s="57"/>
    </row>
    <row r="3" customFormat="1" ht="24" customHeight="1" spans="1:25">
      <c r="A3" s="95" t="s">
        <v>32</v>
      </c>
      <c r="B3" s="95">
        <v>35</v>
      </c>
      <c r="C3" s="95">
        <v>23</v>
      </c>
      <c r="D3" s="95"/>
      <c r="E3" s="95">
        <v>52</v>
      </c>
      <c r="F3" s="95">
        <v>91</v>
      </c>
      <c r="G3" s="95"/>
      <c r="H3" s="98">
        <v>5687.66</v>
      </c>
      <c r="I3" s="98">
        <v>10143</v>
      </c>
      <c r="J3" s="98"/>
      <c r="K3" s="95">
        <v>81</v>
      </c>
      <c r="L3" s="95">
        <v>165</v>
      </c>
      <c r="M3" s="95"/>
      <c r="N3" s="96">
        <f>B3/(B3+K3)</f>
        <v>0.301724137931034</v>
      </c>
      <c r="O3" s="96">
        <f>C3/(C3+L3)</f>
        <v>0.122340425531915</v>
      </c>
      <c r="P3" s="96"/>
      <c r="Q3" s="96">
        <v>0.514285714285714</v>
      </c>
      <c r="R3" s="96">
        <v>0.521739130434783</v>
      </c>
      <c r="S3" s="97"/>
    </row>
    <row r="4" customFormat="1" ht="24" customHeight="1" spans="1:25">
      <c r="A4" s="95" t="s">
        <v>105</v>
      </c>
      <c r="B4" s="95">
        <v>0</v>
      </c>
      <c r="C4" s="95">
        <v>1</v>
      </c>
      <c r="D4" s="95"/>
      <c r="E4" s="95">
        <v>0</v>
      </c>
      <c r="F4" s="95">
        <v>4</v>
      </c>
      <c r="G4" s="95"/>
      <c r="H4" s="98">
        <v>0</v>
      </c>
      <c r="I4" s="98">
        <v>1996</v>
      </c>
      <c r="J4" s="98"/>
      <c r="K4" s="95">
        <v>0</v>
      </c>
      <c r="L4" s="95">
        <v>0</v>
      </c>
      <c r="M4" s="95"/>
      <c r="N4" s="96">
        <v>0</v>
      </c>
      <c r="O4" s="96">
        <v>0</v>
      </c>
      <c r="P4" s="96"/>
      <c r="Q4" s="96">
        <v>0</v>
      </c>
      <c r="R4" s="96">
        <v>1</v>
      </c>
      <c r="S4" s="97"/>
    </row>
    <row r="5" customFormat="1" ht="24" customHeight="1" spans="1:25">
      <c r="A5" s="95" t="s">
        <v>224</v>
      </c>
      <c r="B5" s="95">
        <v>53</v>
      </c>
      <c r="C5" s="95">
        <v>37</v>
      </c>
      <c r="D5" s="95"/>
      <c r="E5" s="95">
        <v>72</v>
      </c>
      <c r="F5" s="95">
        <v>198</v>
      </c>
      <c r="G5" s="95"/>
      <c r="H5" s="98">
        <v>8755.66</v>
      </c>
      <c r="I5" s="98">
        <v>29573.05</v>
      </c>
      <c r="J5" s="98"/>
      <c r="K5" s="95">
        <v>93</v>
      </c>
      <c r="L5" s="95">
        <v>192</v>
      </c>
      <c r="M5" s="95"/>
      <c r="N5" s="96">
        <f>B5/(B5+K5)</f>
        <v>0.363013698630137</v>
      </c>
      <c r="O5" s="96">
        <f>C5/(C5+L5)</f>
        <v>0.161572052401747</v>
      </c>
      <c r="P5" s="96"/>
      <c r="Q5" s="96">
        <v>0.433962264150943</v>
      </c>
      <c r="R5" s="96">
        <v>0.567567567567568</v>
      </c>
      <c r="S5" s="97"/>
    </row>
    <row r="6" customFormat="1" ht="24" customHeight="1"/>
    <row r="7" customFormat="1" ht="24" customHeight="1"/>
    <row r="8" customFormat="1" ht="24" customHeight="1"/>
    <row r="9" customFormat="1" ht="24" customHeight="1"/>
    <row r="10" customFormat="1" ht="24" customHeight="1"/>
    <row r="11" customFormat="1" ht="24" customHeight="1"/>
    <row r="12" customFormat="1" ht="24" customHeight="1"/>
    <row r="13" customFormat="1"/>
    <row r="14" customFormat="1"/>
    <row r="15" customFormat="1"/>
    <row r="16" customFormat="1" ht="24" customHeight="1"/>
    <row r="17" customFormat="1" ht="24" customHeight="1"/>
    <row r="18" customFormat="1" ht="24" customHeight="1"/>
    <row r="19" customFormat="1" ht="24" customHeight="1"/>
    <row r="20" customFormat="1" ht="24" customHeight="1"/>
    <row r="21" customFormat="1" ht="24" customHeight="1"/>
    <row r="22" customFormat="1" ht="24" customHeight="1"/>
    <row r="23" customFormat="1"/>
    <row r="24" customFormat="1"/>
    <row r="25" customFormat="1"/>
    <row r="26" customFormat="1" ht="24" customHeight="1"/>
    <row r="27" customFormat="1" ht="24" customHeight="1"/>
    <row r="28" customFormat="1" ht="24" customHeight="1"/>
    <row r="29" customFormat="1" ht="24" customHeight="1"/>
    <row r="30" customFormat="1" ht="24" customHeight="1"/>
    <row r="31" customFormat="1"/>
    <row r="32" customFormat="1"/>
    <row r="33" customFormat="1"/>
    <row r="34" customFormat="1" ht="24" customHeight="1"/>
    <row r="35" customFormat="1" ht="24" customHeight="1"/>
    <row r="36" customFormat="1" ht="24" customHeight="1"/>
    <row r="37" customFormat="1" ht="24" customHeight="1"/>
    <row r="38" customFormat="1" ht="24" customHeight="1"/>
    <row r="39" customFormat="1"/>
    <row r="40" customFormat="1"/>
    <row r="41" customFormat="1"/>
    <row r="42" customFormat="1" ht="24" customHeight="1"/>
    <row r="43" customFormat="1" ht="24" customHeight="1"/>
    <row r="44" customFormat="1" ht="24" customHeight="1"/>
    <row r="45" customFormat="1" ht="24" customHeight="1"/>
    <row r="46" customFormat="1" ht="24" customHeight="1"/>
    <row r="47" customFormat="1" ht="24" customHeight="1"/>
    <row r="48" customFormat="1" ht="24" customHeight="1"/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workbookViewId="0">
      <selection activeCell="E1" sqref="E$1:G$1048576"/>
    </sheetView>
  </sheetViews>
  <sheetFormatPr defaultColWidth="8.725" defaultRowHeight="13.5"/>
  <cols>
    <col min="1" max="1" width="15.8166666666667" customWidth="1"/>
    <col min="2" max="2" width="12.0916666666667" customWidth="1"/>
    <col min="3" max="4" width="12.725" customWidth="1"/>
    <col min="5" max="7" width="12.125" customWidth="1"/>
    <col min="8" max="8" width="11.3666666666667" customWidth="1"/>
    <col min="9" max="9" width="12.9083333333333" customWidth="1"/>
    <col min="10" max="10" width="13.5416666666667" customWidth="1"/>
    <col min="11" max="11" width="13.3666666666667" customWidth="1"/>
    <col min="12" max="14" width="11.3666666666667" customWidth="1"/>
    <col min="15" max="15" width="15.5416666666667" customWidth="1"/>
    <col min="16" max="16" width="14.9083333333333" customWidth="1"/>
    <col min="17" max="17" width="19" customWidth="1"/>
    <col min="18" max="18" width="14.0916666666667" customWidth="1"/>
    <col min="19" max="21" width="11.3666666666667" customWidth="1"/>
  </cols>
  <sheetData>
    <row r="1" customFormat="1" ht="24" customHeight="1" spans="1:22">
      <c r="A1" s="95" t="s">
        <v>233</v>
      </c>
      <c r="B1" s="95" t="s">
        <v>211</v>
      </c>
      <c r="C1" s="95" t="s">
        <v>212</v>
      </c>
      <c r="D1" s="95" t="s">
        <v>213</v>
      </c>
      <c r="E1" s="95" t="s">
        <v>234</v>
      </c>
      <c r="F1" s="95" t="s">
        <v>235</v>
      </c>
      <c r="G1" s="95" t="s">
        <v>236</v>
      </c>
    </row>
    <row r="2" customFormat="1" ht="24" customHeight="1" spans="1:22">
      <c r="A2" s="95" t="s">
        <v>34</v>
      </c>
      <c r="B2" s="95">
        <v>4</v>
      </c>
      <c r="C2" s="95">
        <v>4</v>
      </c>
      <c r="D2" s="95"/>
      <c r="E2" s="96">
        <f>B2/$B$5</f>
        <v>0.0754716981132075</v>
      </c>
      <c r="F2" s="96">
        <f>C2/$C$5</f>
        <v>0.108108108108108</v>
      </c>
      <c r="G2" s="96"/>
      <c r="H2"/>
      <c r="I2"/>
      <c r="J2"/>
      <c r="K2"/>
      <c r="L2"/>
      <c r="M2"/>
      <c r="N2"/>
      <c r="O2"/>
      <c r="P2"/>
      <c r="Q2"/>
      <c r="V2" s="57"/>
    </row>
    <row r="3" customFormat="1" ht="24" customHeight="1" spans="1:22">
      <c r="A3" s="95" t="s">
        <v>39</v>
      </c>
      <c r="B3" s="95">
        <v>20</v>
      </c>
      <c r="C3" s="95">
        <v>17</v>
      </c>
      <c r="D3" s="95"/>
      <c r="E3" s="96">
        <f>B3/$B$5</f>
        <v>0.377358490566038</v>
      </c>
      <c r="F3" s="96">
        <f>C3/$C$5</f>
        <v>0.459459459459459</v>
      </c>
      <c r="G3" s="96"/>
    </row>
    <row r="4" customFormat="1" ht="24" customHeight="1" spans="1:22">
      <c r="A4" s="95" t="s">
        <v>33</v>
      </c>
      <c r="B4" s="95">
        <v>29</v>
      </c>
      <c r="C4" s="95">
        <v>16</v>
      </c>
      <c r="D4" s="95"/>
      <c r="E4" s="96">
        <f>B4/$B$5</f>
        <v>0.547169811320755</v>
      </c>
      <c r="F4" s="96">
        <f>C4/$C$5</f>
        <v>0.432432432432432</v>
      </c>
      <c r="G4" s="96"/>
    </row>
    <row r="5" customFormat="1" ht="24" customHeight="1" spans="1:22">
      <c r="A5" s="95" t="s">
        <v>237</v>
      </c>
      <c r="B5" s="95">
        <f>SUM(B2:B4)</f>
        <v>53</v>
      </c>
      <c r="C5" s="95">
        <f>SUM(C2:C4)</f>
        <v>37</v>
      </c>
      <c r="D5" s="95"/>
      <c r="E5" s="95"/>
      <c r="F5" s="95"/>
      <c r="G5" s="95"/>
    </row>
    <row r="6" customFormat="1" ht="24" customHeight="1"/>
    <row r="7" customFormat="1" ht="24" customHeight="1"/>
    <row r="8" customFormat="1" ht="24" customHeight="1"/>
    <row r="9" customFormat="1" ht="24" customHeight="1"/>
    <row r="10" customFormat="1" ht="24" customHeight="1"/>
    <row r="11" customFormat="1" ht="24" customHeight="1"/>
    <row r="12" customFormat="1" ht="24" customHeight="1"/>
    <row r="13" customFormat="1"/>
    <row r="14" customFormat="1"/>
    <row r="15" customFormat="1"/>
    <row r="16" customFormat="1" ht="24" customHeight="1"/>
    <row r="17" customFormat="1" ht="24" customHeight="1"/>
    <row r="18" customFormat="1" ht="24" customHeight="1"/>
    <row r="19" customFormat="1" ht="24" customHeight="1"/>
    <row r="20" customFormat="1" ht="24" customHeight="1"/>
    <row r="21" customFormat="1" ht="24" customHeight="1"/>
    <row r="22" customFormat="1" ht="24" customHeight="1"/>
    <row r="23" customFormat="1"/>
    <row r="24" customFormat="1"/>
    <row r="25" customFormat="1"/>
    <row r="26" customFormat="1" ht="24" customHeight="1"/>
    <row r="27" customFormat="1" ht="24" customHeight="1"/>
    <row r="28" customFormat="1" ht="24" customHeight="1"/>
    <row r="29" customFormat="1" ht="24" customHeight="1"/>
    <row r="30" customFormat="1" ht="24" customHeight="1"/>
    <row r="31" customFormat="1"/>
    <row r="32" customFormat="1"/>
    <row r="33" customFormat="1"/>
    <row r="34" customFormat="1" ht="24" customHeight="1"/>
    <row r="35" customFormat="1" ht="24" customHeight="1"/>
    <row r="36" customFormat="1" ht="24" customHeight="1"/>
    <row r="37" customFormat="1" ht="24" customHeight="1"/>
    <row r="38" customFormat="1" ht="24" customHeight="1"/>
    <row r="39" customFormat="1"/>
    <row r="40" customFormat="1"/>
    <row r="41" customFormat="1"/>
    <row r="42" customFormat="1" ht="24" customHeight="1"/>
    <row r="43" customFormat="1" ht="24" customHeight="1"/>
    <row r="44" customFormat="1" ht="24" customHeight="1"/>
    <row r="45" customFormat="1" ht="24" customHeight="1"/>
    <row r="46" customFormat="1" ht="24" customHeight="1"/>
    <row r="47" customFormat="1" ht="24" customHeight="1"/>
    <row r="48" customFormat="1" ht="24" customHeight="1"/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8"/>
  <sheetViews>
    <sheetView workbookViewId="0">
      <selection activeCell="H3" sqref="H3"/>
    </sheetView>
  </sheetViews>
  <sheetFormatPr defaultColWidth="8.725" defaultRowHeight="13.5"/>
  <cols>
    <col min="1" max="1" width="15.8166666666667" customWidth="1"/>
    <col min="2" max="2" width="12.0916666666667" customWidth="1"/>
    <col min="3" max="4" width="12.725" customWidth="1"/>
    <col min="5" max="6" width="17.625" style="94" customWidth="1"/>
    <col min="7" max="7" width="17.625" customWidth="1"/>
    <col min="8" max="8" width="12.9083333333333" customWidth="1"/>
    <col min="9" max="9" width="13.5416666666667" customWidth="1"/>
    <col min="10" max="10" width="13.3666666666667" customWidth="1"/>
    <col min="11" max="13" width="11.3666666666667" customWidth="1"/>
    <col min="14" max="14" width="15.5416666666667" customWidth="1"/>
    <col min="15" max="15" width="14.9083333333333" customWidth="1"/>
    <col min="16" max="16" width="19" customWidth="1"/>
    <col min="17" max="17" width="14.0916666666667" customWidth="1"/>
    <col min="18" max="20" width="11.3666666666667" customWidth="1"/>
  </cols>
  <sheetData>
    <row r="1" customFormat="1" ht="24" customHeight="1" spans="1:21">
      <c r="A1" s="95" t="s">
        <v>238</v>
      </c>
      <c r="B1" s="95" t="s">
        <v>211</v>
      </c>
      <c r="C1" s="95" t="s">
        <v>212</v>
      </c>
      <c r="D1" s="95" t="s">
        <v>213</v>
      </c>
      <c r="E1" s="96" t="s">
        <v>239</v>
      </c>
      <c r="F1" s="96" t="s">
        <v>240</v>
      </c>
      <c r="G1" s="96" t="s">
        <v>241</v>
      </c>
    </row>
    <row r="2" customFormat="1" ht="24" customHeight="1" spans="1:21">
      <c r="A2" s="95" t="s">
        <v>36</v>
      </c>
      <c r="B2" s="95">
        <v>12</v>
      </c>
      <c r="C2" s="95">
        <v>4</v>
      </c>
      <c r="D2" s="95"/>
      <c r="E2" s="96">
        <v>0.4</v>
      </c>
      <c r="F2" s="96">
        <v>0.25</v>
      </c>
      <c r="G2" s="97"/>
      <c r="H2"/>
      <c r="I2"/>
      <c r="J2"/>
      <c r="K2"/>
      <c r="L2"/>
      <c r="M2"/>
      <c r="N2"/>
      <c r="O2"/>
      <c r="P2"/>
      <c r="U2" s="57"/>
    </row>
    <row r="3" customFormat="1" ht="24" customHeight="1" spans="1:21">
      <c r="A3" s="95" t="s">
        <v>43</v>
      </c>
      <c r="B3" s="95">
        <v>16</v>
      </c>
      <c r="C3" s="95">
        <v>10</v>
      </c>
      <c r="D3" s="95"/>
      <c r="E3" s="96">
        <v>0.533333333333333</v>
      </c>
      <c r="F3" s="96">
        <v>0.625</v>
      </c>
      <c r="G3" s="97"/>
    </row>
    <row r="4" customFormat="1" ht="24" customHeight="1" spans="1:21">
      <c r="A4" s="95" t="s">
        <v>50</v>
      </c>
      <c r="B4" s="95">
        <v>1</v>
      </c>
      <c r="C4" s="95">
        <v>2</v>
      </c>
      <c r="D4" s="95"/>
      <c r="E4" s="96">
        <v>0.0333333333333333</v>
      </c>
      <c r="F4" s="96">
        <v>0.125</v>
      </c>
      <c r="G4" s="97"/>
    </row>
    <row r="5" customFormat="1" ht="24" customHeight="1" spans="1:21">
      <c r="A5" s="95" t="s">
        <v>35</v>
      </c>
      <c r="B5" s="95">
        <v>1</v>
      </c>
      <c r="C5" s="95">
        <v>0</v>
      </c>
      <c r="D5" s="95"/>
      <c r="E5" s="96">
        <v>0.0333333333333333</v>
      </c>
      <c r="F5" s="96">
        <v>0</v>
      </c>
      <c r="G5" s="97"/>
    </row>
    <row r="6" customFormat="1" ht="24" customHeight="1" spans="1:21">
      <c r="A6" s="95" t="s">
        <v>40</v>
      </c>
      <c r="B6" s="95">
        <v>0</v>
      </c>
      <c r="C6" s="95">
        <v>0</v>
      </c>
      <c r="D6" s="95"/>
      <c r="E6" s="96">
        <v>0</v>
      </c>
      <c r="F6" s="96">
        <v>0</v>
      </c>
      <c r="G6" s="97"/>
    </row>
    <row r="7" customFormat="1" ht="24" customHeight="1" spans="1:21">
      <c r="A7" s="95" t="s">
        <v>237</v>
      </c>
      <c r="B7" s="95">
        <f>SUM(B2:B6)</f>
        <v>30</v>
      </c>
      <c r="C7" s="95">
        <f>SUM(C2:C6)</f>
        <v>16</v>
      </c>
      <c r="D7" s="95"/>
      <c r="E7" s="96"/>
      <c r="F7" s="96"/>
      <c r="G7" s="97"/>
    </row>
    <row r="8" customFormat="1" ht="24" customHeight="1"/>
    <row r="9" customFormat="1" ht="24" customHeight="1"/>
    <row r="10" customFormat="1" ht="24" customHeight="1"/>
    <row r="11" customFormat="1" ht="24" customHeight="1"/>
    <row r="12" customFormat="1" ht="24" customHeight="1"/>
    <row r="13" customFormat="1" spans="1:21">
      <c r="E13" s="94"/>
      <c r="F13" s="94"/>
    </row>
    <row r="14" customFormat="1" spans="1:21">
      <c r="E14" s="94"/>
      <c r="F14" s="94"/>
    </row>
    <row r="15" customFormat="1" spans="1:21">
      <c r="E15" s="94"/>
      <c r="F15" s="94"/>
    </row>
    <row r="16" customFormat="1" ht="24" customHeight="1" spans="1:21">
      <c r="E16" s="94"/>
      <c r="F16" s="94"/>
    </row>
    <row r="17" customFormat="1" ht="24" customHeight="1" spans="5:6">
      <c r="E17" s="94"/>
      <c r="F17" s="94"/>
    </row>
    <row r="18" customFormat="1" ht="24" customHeight="1" spans="5:6">
      <c r="E18" s="94"/>
      <c r="F18" s="94"/>
    </row>
    <row r="19" customFormat="1" ht="24" customHeight="1" spans="5:6">
      <c r="E19" s="94"/>
      <c r="F19" s="94"/>
    </row>
    <row r="20" customFormat="1" ht="24" customHeight="1" spans="5:6">
      <c r="E20" s="94"/>
      <c r="F20" s="94"/>
    </row>
    <row r="21" customFormat="1" ht="24" customHeight="1" spans="5:6">
      <c r="E21" s="94"/>
      <c r="F21" s="94"/>
    </row>
    <row r="22" customFormat="1" ht="24" customHeight="1" spans="5:6">
      <c r="E22" s="94"/>
      <c r="F22" s="94"/>
    </row>
    <row r="23" customFormat="1" spans="5:6">
      <c r="E23" s="94"/>
      <c r="F23" s="94"/>
    </row>
    <row r="24" customFormat="1" spans="5:6">
      <c r="E24" s="94"/>
      <c r="F24" s="94"/>
    </row>
    <row r="25" customFormat="1" spans="5:6">
      <c r="E25" s="94"/>
      <c r="F25" s="94"/>
    </row>
    <row r="26" customFormat="1" ht="24" customHeight="1" spans="5:6">
      <c r="E26" s="94"/>
      <c r="F26" s="94"/>
    </row>
    <row r="27" customFormat="1" ht="24" customHeight="1" spans="5:6">
      <c r="E27" s="94"/>
      <c r="F27" s="94"/>
    </row>
    <row r="28" customFormat="1" ht="24" customHeight="1" spans="5:6">
      <c r="E28" s="94"/>
      <c r="F28" s="94"/>
    </row>
    <row r="29" customFormat="1" ht="24" customHeight="1" spans="5:6">
      <c r="E29" s="94"/>
      <c r="F29" s="94"/>
    </row>
    <row r="30" customFormat="1" ht="24" customHeight="1" spans="5:6">
      <c r="E30" s="94"/>
      <c r="F30" s="94"/>
    </row>
    <row r="31" customFormat="1" spans="5:6">
      <c r="E31" s="94"/>
      <c r="F31" s="94"/>
    </row>
    <row r="32" customFormat="1" spans="5:6">
      <c r="E32" s="94"/>
      <c r="F32" s="94"/>
    </row>
    <row r="33" customFormat="1" spans="5:6">
      <c r="E33" s="94"/>
      <c r="F33" s="94"/>
    </row>
    <row r="34" customFormat="1" ht="24" customHeight="1" spans="5:6">
      <c r="E34" s="94"/>
      <c r="F34" s="94"/>
    </row>
    <row r="35" customFormat="1" ht="24" customHeight="1" spans="5:6">
      <c r="E35" s="94"/>
      <c r="F35" s="94"/>
    </row>
    <row r="36" customFormat="1" ht="24" customHeight="1" spans="5:6">
      <c r="E36" s="94"/>
      <c r="F36" s="94"/>
    </row>
    <row r="37" customFormat="1" ht="24" customHeight="1" spans="5:6">
      <c r="E37" s="94"/>
      <c r="F37" s="94"/>
    </row>
    <row r="38" customFormat="1" ht="24" customHeight="1" spans="5:6">
      <c r="E38" s="94"/>
      <c r="F38" s="94"/>
    </row>
    <row r="39" customFormat="1" spans="5:6">
      <c r="E39" s="94"/>
      <c r="F39" s="94"/>
    </row>
    <row r="40" customFormat="1" spans="5:6">
      <c r="E40" s="94"/>
      <c r="F40" s="94"/>
    </row>
    <row r="41" customFormat="1" spans="5:6">
      <c r="E41" s="94"/>
      <c r="F41" s="94"/>
    </row>
    <row r="42" customFormat="1" ht="24" customHeight="1" spans="5:6">
      <c r="E42" s="94"/>
      <c r="F42" s="94"/>
    </row>
    <row r="43" customFormat="1" ht="24" customHeight="1" spans="5:6">
      <c r="E43" s="94"/>
      <c r="F43" s="94"/>
    </row>
    <row r="44" customFormat="1" ht="24" customHeight="1" spans="5:6">
      <c r="E44" s="94"/>
      <c r="F44" s="94"/>
    </row>
    <row r="45" customFormat="1" ht="24" customHeight="1" spans="5:6">
      <c r="E45" s="94"/>
      <c r="F45" s="94"/>
    </row>
    <row r="46" customFormat="1" ht="24" customHeight="1" spans="5:6">
      <c r="E46" s="94"/>
      <c r="F46" s="94"/>
    </row>
    <row r="47" customFormat="1" ht="24" customHeight="1" spans="5:6">
      <c r="E47" s="94"/>
      <c r="F47" s="94"/>
    </row>
    <row r="48" customFormat="1" ht="24" customHeight="1" spans="5:6">
      <c r="E48" s="94"/>
      <c r="F48" s="94"/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8"/>
  <sheetViews>
    <sheetView workbookViewId="0">
      <selection activeCell="P10" sqref="P10"/>
    </sheetView>
  </sheetViews>
  <sheetFormatPr defaultColWidth="8.725" defaultRowHeight="13.5"/>
  <cols>
    <col min="1" max="1" width="15.8166666666667" customWidth="1"/>
    <col min="2" max="2" width="12.0916666666667" customWidth="1"/>
    <col min="3" max="3" width="12.725" customWidth="1"/>
    <col min="4" max="4" width="18.9083333333333" customWidth="1"/>
    <col min="5" max="5" width="18.4583333333333" customWidth="1"/>
    <col min="6" max="6" width="11.3666666666667" customWidth="1"/>
    <col min="7" max="7" width="12.9083333333333" customWidth="1"/>
    <col min="8" max="8" width="13.5416666666667" customWidth="1"/>
    <col min="9" max="9" width="13.3666666666667" customWidth="1"/>
    <col min="10" max="12" width="11.3666666666667" customWidth="1"/>
    <col min="13" max="13" width="15.5416666666667" customWidth="1"/>
    <col min="14" max="14" width="14.9083333333333" customWidth="1"/>
    <col min="15" max="15" width="19" customWidth="1"/>
    <col min="16" max="16" width="14.0916666666667" customWidth="1"/>
    <col min="17" max="19" width="11.3666666666667" customWidth="1"/>
  </cols>
  <sheetData>
    <row r="1" customFormat="1" ht="24" customHeight="1" spans="1:20">
      <c r="A1" s="42" t="s">
        <v>242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4"/>
    </row>
    <row r="2" customFormat="1" ht="24" customHeight="1" spans="1:20">
      <c r="A2" s="45" t="s">
        <v>0</v>
      </c>
      <c r="B2" s="18" t="s">
        <v>1</v>
      </c>
      <c r="C2" s="46" t="s">
        <v>2</v>
      </c>
      <c r="D2" s="47" t="s">
        <v>3</v>
      </c>
      <c r="E2" s="48" t="s">
        <v>5</v>
      </c>
      <c r="F2" s="47" t="s">
        <v>6</v>
      </c>
      <c r="G2" s="47" t="s">
        <v>7</v>
      </c>
      <c r="H2" s="49" t="s">
        <v>9</v>
      </c>
      <c r="I2" s="50" t="s">
        <v>243</v>
      </c>
      <c r="J2" s="51" t="s">
        <v>15</v>
      </c>
      <c r="K2" s="52" t="s">
        <v>18</v>
      </c>
      <c r="L2" s="53" t="s">
        <v>21</v>
      </c>
      <c r="M2" s="54" t="s">
        <v>24</v>
      </c>
      <c r="N2" s="55" t="s">
        <v>27</v>
      </c>
      <c r="O2" s="56" t="s">
        <v>244</v>
      </c>
      <c r="P2"/>
      <c r="T2" s="57"/>
    </row>
    <row r="3" customFormat="1" ht="24" customHeight="1" spans="1:20">
      <c r="A3" s="58">
        <v>11929</v>
      </c>
      <c r="B3" s="59" t="s">
        <v>114</v>
      </c>
      <c r="C3" s="60">
        <v>46062</v>
      </c>
      <c r="D3" t="s">
        <v>49</v>
      </c>
      <c r="E3" s="61" t="s">
        <v>46</v>
      </c>
      <c r="F3" t="s">
        <v>32</v>
      </c>
      <c r="G3" s="62">
        <v>46066</v>
      </c>
      <c r="H3" s="63">
        <v>2</v>
      </c>
      <c r="I3" s="62" t="s">
        <v>39</v>
      </c>
      <c r="J3" s="64" t="s">
        <v>43</v>
      </c>
      <c r="K3" s="65">
        <v>46</v>
      </c>
      <c r="L3" s="65">
        <v>20</v>
      </c>
      <c r="M3" s="66">
        <v>5290</v>
      </c>
      <c r="N3" s="67">
        <v>0.696969696969697</v>
      </c>
      <c r="O3" s="68" t="s">
        <v>245</v>
      </c>
    </row>
    <row r="4" customFormat="1" ht="24" customHeight="1" spans="1:20">
      <c r="A4" s="58">
        <v>11981</v>
      </c>
      <c r="B4" s="59" t="s">
        <v>118</v>
      </c>
      <c r="C4" s="60">
        <v>46066</v>
      </c>
      <c r="D4" s="60" t="s">
        <v>102</v>
      </c>
      <c r="E4" s="60" t="s">
        <v>31</v>
      </c>
      <c r="F4" t="s">
        <v>32</v>
      </c>
      <c r="G4" s="62">
        <v>46071</v>
      </c>
      <c r="H4" s="63">
        <v>1</v>
      </c>
      <c r="I4" s="62" t="s">
        <v>39</v>
      </c>
      <c r="J4" s="64" t="s">
        <v>43</v>
      </c>
      <c r="K4" s="65">
        <v>1</v>
      </c>
      <c r="L4" s="65">
        <v>1</v>
      </c>
      <c r="M4" s="66">
        <v>159</v>
      </c>
      <c r="N4" s="67">
        <v>0.5</v>
      </c>
      <c r="O4" s="69" t="s">
        <v>246</v>
      </c>
    </row>
    <row r="5" customFormat="1" ht="24" customHeight="1" spans="1:20">
      <c r="A5" s="58">
        <v>11890</v>
      </c>
      <c r="B5" s="59" t="s">
        <v>119</v>
      </c>
      <c r="C5" s="60">
        <v>46066</v>
      </c>
      <c r="D5" s="60" t="s">
        <v>65</v>
      </c>
      <c r="E5" s="60" t="s">
        <v>46</v>
      </c>
      <c r="F5" t="s">
        <v>47</v>
      </c>
      <c r="G5" s="62">
        <v>46079</v>
      </c>
      <c r="H5" s="63">
        <v>3</v>
      </c>
      <c r="I5" s="62" t="s">
        <v>34</v>
      </c>
      <c r="J5" s="64" t="s">
        <v>43</v>
      </c>
      <c r="K5" s="65">
        <v>1</v>
      </c>
      <c r="L5" s="65">
        <v>2</v>
      </c>
      <c r="M5" s="66">
        <v>46</v>
      </c>
      <c r="N5" s="67">
        <v>0.333333333333333</v>
      </c>
      <c r="O5" s="68" t="s">
        <v>247</v>
      </c>
    </row>
    <row r="6" customFormat="1" ht="24" customHeight="1" spans="1:20">
      <c r="A6" s="58">
        <v>11989</v>
      </c>
      <c r="B6" s="59" t="s">
        <v>120</v>
      </c>
      <c r="C6" s="60">
        <v>46066</v>
      </c>
      <c r="D6" s="60" t="s">
        <v>102</v>
      </c>
      <c r="E6" s="60" t="s">
        <v>38</v>
      </c>
      <c r="F6" t="s">
        <v>32</v>
      </c>
      <c r="G6" s="62">
        <v>46072</v>
      </c>
      <c r="H6" s="63">
        <v>1</v>
      </c>
      <c r="I6" s="62" t="s">
        <v>39</v>
      </c>
      <c r="J6" s="64" t="s">
        <v>50</v>
      </c>
      <c r="K6" s="65">
        <v>3</v>
      </c>
      <c r="L6" s="65">
        <v>2</v>
      </c>
      <c r="M6" s="66">
        <v>315</v>
      </c>
      <c r="N6" s="67">
        <v>0.6</v>
      </c>
      <c r="O6" s="70" t="s">
        <v>248</v>
      </c>
    </row>
    <row r="7" customFormat="1" ht="24" customHeight="1" spans="1:20">
      <c r="A7" s="58">
        <v>12088</v>
      </c>
      <c r="B7" s="59" t="s">
        <v>121</v>
      </c>
      <c r="C7" s="60">
        <v>46066</v>
      </c>
      <c r="D7" s="60" t="s">
        <v>65</v>
      </c>
      <c r="E7" s="60" t="s">
        <v>66</v>
      </c>
      <c r="F7" t="s">
        <v>47</v>
      </c>
      <c r="G7" s="62">
        <v>46068</v>
      </c>
      <c r="H7" s="63">
        <v>2</v>
      </c>
      <c r="I7" s="62" t="s">
        <v>39</v>
      </c>
      <c r="J7" s="64" t="s">
        <v>36</v>
      </c>
      <c r="K7" s="65">
        <v>2</v>
      </c>
      <c r="L7" s="65">
        <v>11</v>
      </c>
      <c r="M7" s="66">
        <v>166</v>
      </c>
      <c r="N7" s="67">
        <v>0.153846153846154</v>
      </c>
      <c r="O7" s="69" t="s">
        <v>249</v>
      </c>
    </row>
    <row r="8" customFormat="1" ht="24" customHeight="1" spans="1:20">
      <c r="A8" s="58">
        <v>12089</v>
      </c>
      <c r="B8" s="59" t="s">
        <v>122</v>
      </c>
      <c r="C8" s="60">
        <v>46066</v>
      </c>
      <c r="D8" s="60" t="s">
        <v>65</v>
      </c>
      <c r="E8" s="60" t="s">
        <v>66</v>
      </c>
      <c r="F8" t="s">
        <v>47</v>
      </c>
      <c r="G8" s="62">
        <v>46070</v>
      </c>
      <c r="H8" s="63">
        <v>2</v>
      </c>
      <c r="I8" s="62" t="s">
        <v>39</v>
      </c>
      <c r="J8" s="64" t="s">
        <v>43</v>
      </c>
      <c r="K8" s="65">
        <v>1</v>
      </c>
      <c r="L8" s="65">
        <v>1</v>
      </c>
      <c r="M8" s="66">
        <v>89</v>
      </c>
      <c r="N8" s="67">
        <v>0.5</v>
      </c>
      <c r="O8" s="69" t="s">
        <v>249</v>
      </c>
    </row>
    <row r="9" customFormat="1" ht="24" customHeight="1" spans="1:20">
      <c r="A9" s="58">
        <v>12005</v>
      </c>
      <c r="B9" s="59" t="s">
        <v>125</v>
      </c>
      <c r="C9" s="60">
        <v>46066</v>
      </c>
      <c r="D9" s="60" t="s">
        <v>65</v>
      </c>
      <c r="E9" s="60" t="s">
        <v>66</v>
      </c>
      <c r="F9" t="s">
        <v>32</v>
      </c>
      <c r="G9" s="62">
        <v>46077</v>
      </c>
      <c r="H9" s="63">
        <v>3</v>
      </c>
      <c r="I9" s="62" t="s">
        <v>34</v>
      </c>
      <c r="J9" s="64" t="s">
        <v>36</v>
      </c>
      <c r="K9" s="65">
        <v>1</v>
      </c>
      <c r="L9" s="65">
        <v>49</v>
      </c>
      <c r="M9" s="66">
        <v>70</v>
      </c>
      <c r="N9" s="67">
        <v>0.02</v>
      </c>
      <c r="O9" s="69" t="s">
        <v>249</v>
      </c>
    </row>
    <row r="10" customFormat="1" ht="24" customHeight="1" spans="1:20">
      <c r="A10" s="58">
        <v>12006</v>
      </c>
      <c r="B10" s="59" t="s">
        <v>126</v>
      </c>
      <c r="C10" s="60">
        <v>46066</v>
      </c>
      <c r="D10" s="60" t="s">
        <v>65</v>
      </c>
      <c r="E10" s="60" t="s">
        <v>66</v>
      </c>
      <c r="F10" t="s">
        <v>32</v>
      </c>
      <c r="G10" s="62">
        <v>46070</v>
      </c>
      <c r="H10" s="63">
        <v>2</v>
      </c>
      <c r="I10" s="62" t="s">
        <v>39</v>
      </c>
      <c r="J10" s="64" t="s">
        <v>36</v>
      </c>
      <c r="K10" s="65">
        <v>4</v>
      </c>
      <c r="L10" s="65">
        <v>25</v>
      </c>
      <c r="M10" s="66">
        <v>280</v>
      </c>
      <c r="N10" s="67">
        <v>0.137931034482759</v>
      </c>
      <c r="O10" s="69" t="s">
        <v>249</v>
      </c>
    </row>
    <row r="11" customFormat="1" ht="24" customHeight="1" spans="1:20">
      <c r="A11" s="58">
        <v>12011</v>
      </c>
      <c r="B11" s="59" t="s">
        <v>127</v>
      </c>
      <c r="C11" s="60">
        <v>46066</v>
      </c>
      <c r="D11" s="60" t="s">
        <v>102</v>
      </c>
      <c r="E11" s="60" t="s">
        <v>31</v>
      </c>
      <c r="F11" t="s">
        <v>32</v>
      </c>
      <c r="G11" s="62">
        <v>46071</v>
      </c>
      <c r="H11" s="63">
        <v>1</v>
      </c>
      <c r="I11" s="62" t="s">
        <v>39</v>
      </c>
      <c r="J11" s="64" t="s">
        <v>36</v>
      </c>
      <c r="K11" s="65">
        <v>8</v>
      </c>
      <c r="L11" s="65">
        <v>5</v>
      </c>
      <c r="M11" s="66">
        <v>1080</v>
      </c>
      <c r="N11" s="67">
        <v>0.615384615384615</v>
      </c>
      <c r="O11" s="68" t="s">
        <v>245</v>
      </c>
    </row>
    <row r="12" customFormat="1" ht="24" customHeight="1" spans="1:20">
      <c r="A12" s="58">
        <v>12021</v>
      </c>
      <c r="B12" s="59" t="s">
        <v>128</v>
      </c>
      <c r="C12" s="60">
        <v>46066</v>
      </c>
      <c r="D12" s="60" t="s">
        <v>65</v>
      </c>
      <c r="E12" s="60" t="s">
        <v>60</v>
      </c>
      <c r="F12" t="s">
        <v>32</v>
      </c>
      <c r="G12" s="62">
        <v>46069</v>
      </c>
      <c r="H12" s="63">
        <v>2</v>
      </c>
      <c r="I12" s="62" t="s">
        <v>39</v>
      </c>
      <c r="J12" s="64" t="s">
        <v>36</v>
      </c>
      <c r="K12" s="65">
        <v>4</v>
      </c>
      <c r="L12" s="65">
        <v>8</v>
      </c>
      <c r="M12" s="66">
        <v>212</v>
      </c>
      <c r="N12" s="67">
        <v>0.333333333333333</v>
      </c>
      <c r="O12" s="69" t="s">
        <v>249</v>
      </c>
    </row>
    <row r="13" customFormat="1" ht="15.75" spans="1:20">
      <c r="A13" s="58">
        <v>12023</v>
      </c>
      <c r="B13" s="59" t="s">
        <v>129</v>
      </c>
      <c r="C13" s="60">
        <v>46066</v>
      </c>
      <c r="D13" s="60" t="s">
        <v>30</v>
      </c>
      <c r="E13" s="60" t="s">
        <v>38</v>
      </c>
      <c r="F13" t="s">
        <v>32</v>
      </c>
      <c r="G13" s="62">
        <v>0</v>
      </c>
      <c r="H13" s="63">
        <v>4</v>
      </c>
      <c r="I13" s="71" t="s">
        <v>33</v>
      </c>
      <c r="J13" s="64" t="s">
        <v>36</v>
      </c>
      <c r="K13" s="65">
        <v>0</v>
      </c>
      <c r="L13" s="65">
        <v>2</v>
      </c>
      <c r="M13" s="66">
        <v>0</v>
      </c>
      <c r="N13" s="67">
        <v>0</v>
      </c>
      <c r="O13" s="69" t="s">
        <v>249</v>
      </c>
    </row>
    <row r="14" customFormat="1" ht="15.75" spans="1:20">
      <c r="A14" s="58">
        <v>12058</v>
      </c>
      <c r="B14" s="59" t="s">
        <v>130</v>
      </c>
      <c r="C14" s="60">
        <v>46070</v>
      </c>
      <c r="D14" s="60" t="s">
        <v>102</v>
      </c>
      <c r="E14" s="60" t="s">
        <v>60</v>
      </c>
      <c r="F14" t="s">
        <v>32</v>
      </c>
      <c r="G14" s="62">
        <v>0</v>
      </c>
      <c r="H14" s="63">
        <v>1</v>
      </c>
      <c r="I14" s="71" t="s">
        <v>33</v>
      </c>
      <c r="J14" s="64" t="s">
        <v>36</v>
      </c>
      <c r="K14" s="65">
        <v>0</v>
      </c>
      <c r="L14" s="65">
        <v>11</v>
      </c>
      <c r="M14" s="66">
        <v>0</v>
      </c>
      <c r="N14" s="67">
        <v>0</v>
      </c>
      <c r="O14" s="69" t="s">
        <v>248</v>
      </c>
    </row>
    <row r="15" customFormat="1" ht="15.75" spans="1:20">
      <c r="A15" s="58">
        <v>12059</v>
      </c>
      <c r="B15" s="59" t="s">
        <v>131</v>
      </c>
      <c r="C15" s="60">
        <v>46070</v>
      </c>
      <c r="D15" s="60" t="s">
        <v>102</v>
      </c>
      <c r="E15" s="60" t="s">
        <v>60</v>
      </c>
      <c r="F15" t="s">
        <v>32</v>
      </c>
      <c r="G15" s="62">
        <v>46073</v>
      </c>
      <c r="H15" s="63">
        <v>1</v>
      </c>
      <c r="I15" s="62" t="s">
        <v>39</v>
      </c>
      <c r="J15" s="64" t="s">
        <v>36</v>
      </c>
      <c r="K15" s="65">
        <v>1</v>
      </c>
      <c r="L15" s="65">
        <v>10</v>
      </c>
      <c r="M15" s="66">
        <v>20</v>
      </c>
      <c r="N15" s="67">
        <v>0.0909090909090909</v>
      </c>
      <c r="O15" s="69" t="s">
        <v>246</v>
      </c>
    </row>
    <row r="16" customFormat="1" ht="24" customHeight="1" spans="1:20">
      <c r="A16" s="58">
        <v>12060</v>
      </c>
      <c r="B16" s="59" t="s">
        <v>132</v>
      </c>
      <c r="C16" s="60">
        <v>46070</v>
      </c>
      <c r="D16" s="60" t="s">
        <v>102</v>
      </c>
      <c r="E16" s="60" t="s">
        <v>66</v>
      </c>
      <c r="F16" t="s">
        <v>32</v>
      </c>
      <c r="G16" s="62">
        <v>0</v>
      </c>
      <c r="H16" s="63">
        <v>1</v>
      </c>
      <c r="I16" s="71" t="s">
        <v>33</v>
      </c>
      <c r="J16" s="64" t="s">
        <v>36</v>
      </c>
      <c r="K16" s="65">
        <v>0</v>
      </c>
      <c r="L16" s="65">
        <v>26</v>
      </c>
      <c r="M16" s="66">
        <v>0</v>
      </c>
      <c r="N16" s="67">
        <v>0</v>
      </c>
      <c r="O16" s="69" t="s">
        <v>246</v>
      </c>
    </row>
    <row r="17" customFormat="1" ht="24" customHeight="1" spans="1:15">
      <c r="A17" s="58">
        <v>12139</v>
      </c>
      <c r="B17" s="59" t="s">
        <v>133</v>
      </c>
      <c r="C17" s="60">
        <v>46070</v>
      </c>
      <c r="D17" s="60" t="s">
        <v>102</v>
      </c>
      <c r="E17" s="60" t="s">
        <v>31</v>
      </c>
      <c r="F17" t="s">
        <v>32</v>
      </c>
      <c r="G17" s="62">
        <v>46080</v>
      </c>
      <c r="H17" s="63">
        <v>1</v>
      </c>
      <c r="I17" s="62" t="s">
        <v>34</v>
      </c>
      <c r="J17" s="64" t="s">
        <v>36</v>
      </c>
      <c r="K17" s="65">
        <v>1</v>
      </c>
      <c r="L17" s="65">
        <v>1</v>
      </c>
      <c r="M17" s="66">
        <v>19</v>
      </c>
      <c r="N17" s="67">
        <v>0.5</v>
      </c>
      <c r="O17" s="69" t="s">
        <v>248</v>
      </c>
    </row>
    <row r="18" customFormat="1" ht="24" customHeight="1" spans="1:15">
      <c r="A18" s="72">
        <v>12079</v>
      </c>
      <c r="B18" s="73" t="s">
        <v>136</v>
      </c>
      <c r="C18" s="74">
        <v>46076</v>
      </c>
      <c r="D18" s="74" t="s">
        <v>30</v>
      </c>
      <c r="E18" s="74" t="s">
        <v>38</v>
      </c>
      <c r="F18" s="75" t="s">
        <v>32</v>
      </c>
      <c r="G18" s="76">
        <v>0</v>
      </c>
      <c r="H18" s="77">
        <v>3</v>
      </c>
      <c r="I18" s="78" t="s">
        <v>33</v>
      </c>
      <c r="J18" s="79" t="s">
        <v>50</v>
      </c>
      <c r="K18" s="80">
        <v>0</v>
      </c>
      <c r="L18" s="80">
        <v>5</v>
      </c>
      <c r="M18" s="81">
        <v>0</v>
      </c>
      <c r="N18" s="82">
        <v>0</v>
      </c>
      <c r="O18" s="83" t="s">
        <v>247</v>
      </c>
    </row>
    <row r="19" customFormat="1" ht="24" customHeight="1" spans="1:15">
      <c r="A19" s="84"/>
      <c r="O19" s="85"/>
    </row>
    <row r="20" customFormat="1" ht="24" customHeight="1" spans="1:15">
      <c r="A20" s="86" t="s">
        <v>5</v>
      </c>
      <c r="B20" s="87" t="s">
        <v>250</v>
      </c>
      <c r="D20" s="87" t="s">
        <v>15</v>
      </c>
      <c r="E20" s="87" t="s">
        <v>250</v>
      </c>
      <c r="G20" s="87" t="s">
        <v>243</v>
      </c>
      <c r="H20" s="87" t="s">
        <v>250</v>
      </c>
      <c r="O20" s="85"/>
    </row>
    <row r="21" customFormat="1" ht="24" customHeight="1" spans="1:15">
      <c r="A21" s="84" t="s">
        <v>46</v>
      </c>
      <c r="B21">
        <v>2</v>
      </c>
      <c r="D21" t="s">
        <v>36</v>
      </c>
      <c r="E21">
        <v>10</v>
      </c>
      <c r="G21" t="s">
        <v>34</v>
      </c>
      <c r="H21">
        <v>3</v>
      </c>
      <c r="O21" s="85"/>
    </row>
    <row r="22" customFormat="1" ht="24" customHeight="1" spans="1:15">
      <c r="A22" s="84" t="s">
        <v>38</v>
      </c>
      <c r="B22">
        <v>3</v>
      </c>
      <c r="D22" t="s">
        <v>43</v>
      </c>
      <c r="E22">
        <v>4</v>
      </c>
      <c r="G22" t="s">
        <v>39</v>
      </c>
      <c r="H22">
        <v>9</v>
      </c>
      <c r="O22" s="85"/>
    </row>
    <row r="23" customFormat="1" spans="1:15">
      <c r="A23" s="84" t="s">
        <v>31</v>
      </c>
      <c r="B23">
        <v>3</v>
      </c>
      <c r="D23" s="88" t="s">
        <v>50</v>
      </c>
      <c r="E23" s="88">
        <v>2</v>
      </c>
      <c r="G23" s="88" t="s">
        <v>33</v>
      </c>
      <c r="H23" s="88">
        <v>4</v>
      </c>
      <c r="O23" s="85"/>
    </row>
    <row r="24" customFormat="1" spans="1:15">
      <c r="A24" s="84" t="s">
        <v>60</v>
      </c>
      <c r="B24">
        <v>3</v>
      </c>
      <c r="D24" s="89" t="s">
        <v>251</v>
      </c>
      <c r="E24" s="89">
        <v>16</v>
      </c>
      <c r="G24" s="89" t="s">
        <v>251</v>
      </c>
      <c r="H24" s="89">
        <v>16</v>
      </c>
      <c r="O24" s="85"/>
    </row>
    <row r="25" customFormat="1" spans="1:15">
      <c r="A25" s="90" t="s">
        <v>66</v>
      </c>
      <c r="B25" s="88">
        <v>5</v>
      </c>
      <c r="O25" s="85"/>
    </row>
    <row r="26" customFormat="1" ht="24" customHeight="1" spans="1:15">
      <c r="A26" s="91" t="s">
        <v>251</v>
      </c>
      <c r="B26" s="92">
        <v>16</v>
      </c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93"/>
    </row>
    <row r="27" ht="24" customHeight="1"/>
    <row r="28" ht="24" customHeight="1"/>
    <row r="29" ht="24" customHeight="1"/>
    <row r="30" ht="24" customHeight="1"/>
    <row r="34" ht="24" customHeight="1"/>
    <row r="35" ht="24" customHeight="1"/>
    <row r="36" ht="24" customHeight="1"/>
    <row r="37" ht="24" customHeight="1"/>
    <row r="38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</sheetData>
  <mergeCells count="1">
    <mergeCell ref="A1:O1"/>
  </mergeCells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48"/>
  <sheetViews>
    <sheetView tabSelected="1" workbookViewId="0">
      <selection activeCell="G9" sqref="G9"/>
    </sheetView>
  </sheetViews>
  <sheetFormatPr defaultColWidth="9" defaultRowHeight="13.5"/>
  <cols>
    <col min="1" max="1" width="13.2583333333333" style="1" customWidth="1"/>
    <col min="2" max="2" width="16" style="2" customWidth="1"/>
    <col min="3" max="3" width="13.2583333333333" style="3" customWidth="1"/>
    <col min="4" max="4" width="13.2583333333333" style="4" customWidth="1"/>
    <col min="5" max="5" width="13.2583333333333" style="5" customWidth="1"/>
    <col min="6" max="6" width="12.875" style="5" customWidth="1"/>
    <col min="7" max="7" width="13.2583333333333" style="6" customWidth="1"/>
    <col min="8" max="8" width="13.2583333333333" style="5" customWidth="1"/>
    <col min="9" max="9" width="13.7583333333333" style="5" customWidth="1"/>
    <col min="10" max="10" width="9.5" style="7" customWidth="1"/>
    <col min="11" max="11" width="17.875" style="8" customWidth="1"/>
    <col min="12" max="12" width="15" style="9" customWidth="1"/>
    <col min="13" max="14" width="15" style="5" customWidth="1"/>
    <col min="15" max="15" width="16" style="5" customWidth="1"/>
    <col min="16" max="16" width="14.875" style="10" customWidth="1"/>
    <col min="17" max="17" width="14" customWidth="1"/>
    <col min="18" max="18" width="30.875" customWidth="1"/>
    <col min="19" max="20" width="10.625" style="11" customWidth="1"/>
    <col min="21" max="21" width="10.625" customWidth="1"/>
  </cols>
  <sheetData>
    <row r="1" customFormat="1" customHeight="1" spans="1:21">
      <c r="A1" s="12" t="s">
        <v>252</v>
      </c>
      <c r="B1" s="13"/>
      <c r="C1" s="14"/>
      <c r="D1" s="12"/>
      <c r="E1" s="12"/>
      <c r="F1" s="12"/>
      <c r="G1" s="15"/>
      <c r="H1" s="12"/>
      <c r="I1" s="12"/>
      <c r="J1" s="12"/>
      <c r="K1" s="12" t="s">
        <v>253</v>
      </c>
      <c r="L1" s="12"/>
      <c r="M1" s="12"/>
      <c r="N1" s="12"/>
      <c r="O1" s="12"/>
      <c r="P1" s="16"/>
      <c r="Q1" s="17"/>
      <c r="R1" s="17"/>
      <c r="S1" s="17"/>
      <c r="T1" s="17"/>
      <c r="U1" s="17"/>
    </row>
    <row r="2" ht="27.75" customHeight="1" spans="1:21">
      <c r="A2" s="18" t="s">
        <v>0</v>
      </c>
      <c r="B2" s="19" t="s">
        <v>1</v>
      </c>
      <c r="C2" s="20" t="s">
        <v>254</v>
      </c>
      <c r="D2" s="21" t="s">
        <v>255</v>
      </c>
      <c r="E2" s="21" t="s">
        <v>256</v>
      </c>
      <c r="F2" s="21" t="s">
        <v>257</v>
      </c>
      <c r="G2" s="22" t="s">
        <v>258</v>
      </c>
      <c r="H2" s="21" t="s">
        <v>259</v>
      </c>
      <c r="I2" s="23" t="s">
        <v>260</v>
      </c>
      <c r="J2" s="21" t="s">
        <v>225</v>
      </c>
      <c r="K2" s="24" t="s">
        <v>261</v>
      </c>
      <c r="L2" s="24" t="s">
        <v>33</v>
      </c>
      <c r="M2" s="24" t="s">
        <v>262</v>
      </c>
      <c r="N2" s="21" t="s">
        <v>263</v>
      </c>
      <c r="O2" s="21" t="s">
        <v>264</v>
      </c>
      <c r="P2" s="25" t="s">
        <v>265</v>
      </c>
      <c r="Q2" s="26" t="s">
        <v>266</v>
      </c>
      <c r="R2" s="17" t="s">
        <v>267</v>
      </c>
      <c r="S2" s="17" t="s">
        <v>268</v>
      </c>
      <c r="T2" s="17" t="s">
        <v>269</v>
      </c>
      <c r="U2" s="17" t="s">
        <v>270</v>
      </c>
    </row>
    <row r="3" customFormat="1" ht="28.5" customHeight="1" spans="1:21">
      <c r="A3" s="27">
        <v>11547</v>
      </c>
      <c r="B3" s="28" t="s">
        <v>29</v>
      </c>
      <c r="C3" s="29" t="s">
        <v>32</v>
      </c>
      <c r="D3" s="30">
        <v>46027</v>
      </c>
      <c r="E3" s="31">
        <v>59</v>
      </c>
      <c r="F3" s="31">
        <v>0</v>
      </c>
      <c r="G3" s="32" t="s">
        <v>62</v>
      </c>
      <c r="H3" s="32" t="s">
        <v>34</v>
      </c>
      <c r="I3" s="31">
        <v>12</v>
      </c>
      <c r="J3" s="31" t="s">
        <v>30</v>
      </c>
      <c r="K3" s="33" t="s">
        <v>271</v>
      </c>
      <c r="L3" s="33" t="s">
        <v>40</v>
      </c>
      <c r="M3" s="33" t="s">
        <v>40</v>
      </c>
      <c r="N3" s="31" t="s">
        <v>35</v>
      </c>
      <c r="O3" s="31" t="s">
        <v>272</v>
      </c>
      <c r="P3" s="16" t="s">
        <v>141</v>
      </c>
      <c r="Q3" s="16"/>
      <c r="R3" s="34"/>
      <c r="S3" s="17"/>
      <c r="T3" s="17"/>
      <c r="U3" s="17"/>
    </row>
    <row r="4" customFormat="1" ht="28.5" customHeight="1" spans="1:21">
      <c r="A4" s="27">
        <v>11650</v>
      </c>
      <c r="B4" s="28" t="s">
        <v>37</v>
      </c>
      <c r="C4" s="29" t="s">
        <v>32</v>
      </c>
      <c r="D4" s="30">
        <v>46027</v>
      </c>
      <c r="E4" s="31">
        <v>150</v>
      </c>
      <c r="F4" s="31">
        <v>0</v>
      </c>
      <c r="G4" s="32">
        <v>1</v>
      </c>
      <c r="H4" s="32" t="s">
        <v>39</v>
      </c>
      <c r="I4" s="31">
        <v>9</v>
      </c>
      <c r="J4" s="31" t="s">
        <v>30</v>
      </c>
      <c r="K4" s="33" t="s">
        <v>271</v>
      </c>
      <c r="L4" s="33" t="s">
        <v>40</v>
      </c>
      <c r="M4" s="33" t="s">
        <v>40</v>
      </c>
      <c r="N4" s="31" t="s">
        <v>40</v>
      </c>
      <c r="O4" s="31" t="s">
        <v>246</v>
      </c>
      <c r="P4" s="16" t="s">
        <v>141</v>
      </c>
      <c r="Q4" s="16"/>
      <c r="R4" s="34"/>
      <c r="S4" s="17"/>
      <c r="T4" s="17"/>
      <c r="U4" s="17"/>
    </row>
    <row r="5" customFormat="1" ht="28.5" customHeight="1" spans="1:21">
      <c r="A5" s="27">
        <v>11674</v>
      </c>
      <c r="B5" s="28" t="s">
        <v>41</v>
      </c>
      <c r="C5" s="29" t="s">
        <v>32</v>
      </c>
      <c r="D5" s="30">
        <v>46027</v>
      </c>
      <c r="E5" s="31">
        <v>69</v>
      </c>
      <c r="F5" s="31">
        <v>0</v>
      </c>
      <c r="G5" s="32">
        <v>1</v>
      </c>
      <c r="H5" s="32" t="s">
        <v>39</v>
      </c>
      <c r="I5" s="31">
        <v>12</v>
      </c>
      <c r="J5" s="31" t="s">
        <v>30</v>
      </c>
      <c r="K5" s="33" t="s">
        <v>271</v>
      </c>
      <c r="L5" s="33" t="s">
        <v>40</v>
      </c>
      <c r="M5" s="33" t="s">
        <v>40</v>
      </c>
      <c r="N5" s="31" t="s">
        <v>40</v>
      </c>
      <c r="O5" s="31" t="s">
        <v>246</v>
      </c>
      <c r="P5" s="16" t="s">
        <v>141</v>
      </c>
      <c r="Q5" s="16"/>
      <c r="R5" s="34"/>
      <c r="S5" s="17"/>
      <c r="T5" s="17"/>
      <c r="U5" s="17"/>
    </row>
    <row r="6" customFormat="1" ht="28.5" customHeight="1" spans="1:21">
      <c r="A6" s="27">
        <v>11668</v>
      </c>
      <c r="B6" s="28" t="s">
        <v>42</v>
      </c>
      <c r="C6" s="29" t="s">
        <v>32</v>
      </c>
      <c r="D6" s="30">
        <v>46027</v>
      </c>
      <c r="E6" s="31">
        <v>135</v>
      </c>
      <c r="F6" s="31">
        <v>149.99</v>
      </c>
      <c r="G6" s="32">
        <v>0.5</v>
      </c>
      <c r="H6" s="32" t="s">
        <v>39</v>
      </c>
      <c r="I6" s="31">
        <v>8</v>
      </c>
      <c r="J6" s="31" t="s">
        <v>30</v>
      </c>
      <c r="K6" s="33" t="s">
        <v>271</v>
      </c>
      <c r="L6" s="33" t="s">
        <v>40</v>
      </c>
      <c r="M6" s="33" t="s">
        <v>40</v>
      </c>
      <c r="N6" s="31" t="s">
        <v>36</v>
      </c>
      <c r="O6" s="31" t="s">
        <v>273</v>
      </c>
      <c r="P6" s="16" t="s">
        <v>141</v>
      </c>
      <c r="Q6" s="16"/>
      <c r="R6" s="34"/>
      <c r="S6" s="17"/>
      <c r="T6" s="17"/>
      <c r="U6" s="17"/>
    </row>
    <row r="7" customFormat="1" ht="28.5" customHeight="1" spans="1:21">
      <c r="A7" s="27">
        <v>11681</v>
      </c>
      <c r="B7" s="28" t="s">
        <v>44</v>
      </c>
      <c r="C7" s="29" t="s">
        <v>47</v>
      </c>
      <c r="D7" s="30">
        <v>46028</v>
      </c>
      <c r="E7" s="31">
        <v>350</v>
      </c>
      <c r="F7" s="31">
        <v>0</v>
      </c>
      <c r="G7" s="32">
        <v>1</v>
      </c>
      <c r="H7" s="32" t="s">
        <v>39</v>
      </c>
      <c r="I7" s="31">
        <v>13</v>
      </c>
      <c r="J7" s="31" t="s">
        <v>45</v>
      </c>
      <c r="K7" s="33" t="s">
        <v>271</v>
      </c>
      <c r="L7" s="33" t="s">
        <v>40</v>
      </c>
      <c r="M7" s="33" t="s">
        <v>40</v>
      </c>
      <c r="N7" s="31" t="s">
        <v>40</v>
      </c>
      <c r="O7" s="31" t="s">
        <v>246</v>
      </c>
      <c r="P7" s="16" t="s">
        <v>245</v>
      </c>
      <c r="Q7" s="16"/>
      <c r="R7" s="34" t="s">
        <v>274</v>
      </c>
      <c r="S7" s="17"/>
      <c r="T7" s="17"/>
      <c r="U7" s="17"/>
    </row>
    <row r="8" customFormat="1" ht="28.5" customHeight="1" spans="1:21">
      <c r="A8" s="27">
        <v>11742</v>
      </c>
      <c r="B8" s="28" t="s">
        <v>48</v>
      </c>
      <c r="C8" s="29" t="s">
        <v>32</v>
      </c>
      <c r="D8" s="30">
        <v>46030</v>
      </c>
      <c r="E8" s="31">
        <v>110</v>
      </c>
      <c r="F8" s="31">
        <v>0</v>
      </c>
      <c r="G8" s="32">
        <v>1</v>
      </c>
      <c r="H8" s="32" t="s">
        <v>39</v>
      </c>
      <c r="I8" s="31">
        <v>9</v>
      </c>
      <c r="J8" s="31" t="s">
        <v>49</v>
      </c>
      <c r="K8" s="33" t="s">
        <v>271</v>
      </c>
      <c r="L8" s="33" t="s">
        <v>40</v>
      </c>
      <c r="M8" s="33" t="s">
        <v>40</v>
      </c>
      <c r="N8" s="31" t="s">
        <v>40</v>
      </c>
      <c r="O8" s="31" t="s">
        <v>246</v>
      </c>
      <c r="P8" s="16" t="s">
        <v>245</v>
      </c>
      <c r="Q8" s="16"/>
      <c r="R8" s="34" t="s">
        <v>275</v>
      </c>
      <c r="S8" s="17"/>
      <c r="T8" s="17"/>
      <c r="U8" s="17"/>
    </row>
    <row r="9" customFormat="1" ht="28.5" customHeight="1" spans="1:21">
      <c r="A9" s="27">
        <v>11603</v>
      </c>
      <c r="B9" s="28" t="s">
        <v>51</v>
      </c>
      <c r="C9" s="29" t="s">
        <v>32</v>
      </c>
      <c r="D9" s="30">
        <v>46031</v>
      </c>
      <c r="E9" s="31">
        <v>95.2</v>
      </c>
      <c r="F9" s="31">
        <v>0</v>
      </c>
      <c r="G9" s="32">
        <v>1</v>
      </c>
      <c r="H9" s="32" t="s">
        <v>34</v>
      </c>
      <c r="I9" s="31">
        <v>12</v>
      </c>
      <c r="J9" s="31" t="s">
        <v>30</v>
      </c>
      <c r="K9" s="33" t="s">
        <v>271</v>
      </c>
      <c r="L9" s="33" t="s">
        <v>40</v>
      </c>
      <c r="M9" s="33" t="s">
        <v>40</v>
      </c>
      <c r="N9" s="31" t="s">
        <v>40</v>
      </c>
      <c r="O9" s="31" t="s">
        <v>246</v>
      </c>
      <c r="P9" s="16" t="s">
        <v>141</v>
      </c>
      <c r="Q9" s="16"/>
      <c r="R9" s="34"/>
      <c r="S9" s="17"/>
      <c r="T9" s="17"/>
      <c r="U9" s="17"/>
    </row>
    <row r="10" customFormat="1" ht="28.5" customHeight="1" spans="1:21">
      <c r="A10" s="27">
        <v>11704</v>
      </c>
      <c r="B10" s="28" t="s">
        <v>52</v>
      </c>
      <c r="C10" s="29" t="s">
        <v>47</v>
      </c>
      <c r="D10" s="30">
        <v>46034</v>
      </c>
      <c r="E10" s="31">
        <v>98.5</v>
      </c>
      <c r="F10" s="31">
        <v>92.82</v>
      </c>
      <c r="G10" s="32">
        <v>0.2</v>
      </c>
      <c r="H10" s="32" t="s">
        <v>34</v>
      </c>
      <c r="I10" s="31">
        <v>2</v>
      </c>
      <c r="J10" s="31" t="s">
        <v>49</v>
      </c>
      <c r="K10" s="33" t="s">
        <v>40</v>
      </c>
      <c r="L10" s="33" t="s">
        <v>40</v>
      </c>
      <c r="M10" s="33" t="s">
        <v>40</v>
      </c>
      <c r="N10" s="31" t="s">
        <v>36</v>
      </c>
      <c r="O10" s="31" t="s">
        <v>273</v>
      </c>
      <c r="P10" s="16"/>
      <c r="Q10" s="16"/>
      <c r="R10" s="34"/>
      <c r="S10" s="17"/>
      <c r="T10" s="17"/>
      <c r="U10" s="17"/>
    </row>
    <row r="11" customFormat="1" ht="28.5" customHeight="1" spans="1:21">
      <c r="A11" s="27">
        <v>11699</v>
      </c>
      <c r="B11" s="28" t="s">
        <v>54</v>
      </c>
      <c r="C11" s="29" t="s">
        <v>32</v>
      </c>
      <c r="D11" s="30">
        <v>46034</v>
      </c>
      <c r="E11" s="31">
        <v>110</v>
      </c>
      <c r="F11" s="31">
        <v>116.92</v>
      </c>
      <c r="G11" s="32">
        <v>0.6667</v>
      </c>
      <c r="H11" s="32" t="s">
        <v>34</v>
      </c>
      <c r="I11" s="31">
        <v>8</v>
      </c>
      <c r="J11" s="31" t="s">
        <v>49</v>
      </c>
      <c r="K11" s="33" t="s">
        <v>271</v>
      </c>
      <c r="L11" s="33" t="s">
        <v>40</v>
      </c>
      <c r="M11" s="33" t="s">
        <v>40</v>
      </c>
      <c r="N11" s="31" t="s">
        <v>36</v>
      </c>
      <c r="O11" s="31" t="s">
        <v>273</v>
      </c>
      <c r="P11" s="16" t="s">
        <v>245</v>
      </c>
      <c r="Q11" s="16"/>
      <c r="R11" s="34" t="s">
        <v>276</v>
      </c>
      <c r="S11" s="17"/>
      <c r="T11" s="17"/>
      <c r="U11" s="17"/>
    </row>
    <row r="12" customFormat="1" ht="28.5" customHeight="1" spans="1:21">
      <c r="A12" s="27">
        <v>11982</v>
      </c>
      <c r="B12" s="28" t="s">
        <v>55</v>
      </c>
      <c r="C12" s="29" t="s">
        <v>32</v>
      </c>
      <c r="D12" s="30">
        <v>46034</v>
      </c>
      <c r="E12" s="31">
        <v>155</v>
      </c>
      <c r="F12" s="31">
        <v>0</v>
      </c>
      <c r="G12" s="32">
        <v>1</v>
      </c>
      <c r="H12" s="32" t="s">
        <v>39</v>
      </c>
      <c r="I12" s="31">
        <v>12</v>
      </c>
      <c r="J12" s="31" t="s">
        <v>30</v>
      </c>
      <c r="K12" s="33" t="s">
        <v>271</v>
      </c>
      <c r="L12" s="33" t="s">
        <v>40</v>
      </c>
      <c r="M12" s="33" t="s">
        <v>40</v>
      </c>
      <c r="N12" s="31" t="s">
        <v>40</v>
      </c>
      <c r="O12" s="31" t="s">
        <v>246</v>
      </c>
      <c r="P12" s="16" t="s">
        <v>141</v>
      </c>
      <c r="Q12" s="16"/>
      <c r="R12" s="34"/>
      <c r="S12" s="17"/>
      <c r="T12" s="17"/>
      <c r="U12" s="17"/>
    </row>
    <row r="13" customFormat="1" ht="28.5" customHeight="1" spans="1:21">
      <c r="A13" s="27">
        <v>11911</v>
      </c>
      <c r="B13" s="28" t="s">
        <v>56</v>
      </c>
      <c r="C13" s="29" t="s">
        <v>32</v>
      </c>
      <c r="D13" s="30">
        <v>46034</v>
      </c>
      <c r="E13" s="31">
        <v>62.16</v>
      </c>
      <c r="F13" s="31">
        <v>57.11</v>
      </c>
      <c r="G13" s="32">
        <v>0.2609</v>
      </c>
      <c r="H13" s="32" t="s">
        <v>34</v>
      </c>
      <c r="I13" s="31">
        <v>2</v>
      </c>
      <c r="J13" s="31" t="s">
        <v>45</v>
      </c>
      <c r="K13" s="33" t="s">
        <v>40</v>
      </c>
      <c r="L13" s="33" t="s">
        <v>40</v>
      </c>
      <c r="M13" s="33" t="s">
        <v>40</v>
      </c>
      <c r="N13" s="31" t="s">
        <v>36</v>
      </c>
      <c r="O13" s="31" t="s">
        <v>273</v>
      </c>
      <c r="P13" s="16"/>
      <c r="Q13" s="16"/>
      <c r="R13" s="34"/>
      <c r="S13" s="17"/>
      <c r="T13" s="17"/>
      <c r="U13" s="17"/>
    </row>
    <row r="14" customFormat="1" ht="28.5" customHeight="1" spans="1:21">
      <c r="A14" s="27">
        <v>11848</v>
      </c>
      <c r="B14" s="28" t="s">
        <v>57</v>
      </c>
      <c r="C14" s="29" t="s">
        <v>47</v>
      </c>
      <c r="D14" s="30">
        <v>46034</v>
      </c>
      <c r="E14" s="31">
        <v>44</v>
      </c>
      <c r="F14" s="31">
        <v>349.97</v>
      </c>
      <c r="G14" s="32">
        <v>0</v>
      </c>
      <c r="H14" s="32" t="s">
        <v>34</v>
      </c>
      <c r="I14" s="31">
        <v>12</v>
      </c>
      <c r="J14" s="31" t="s">
        <v>45</v>
      </c>
      <c r="K14" s="33" t="s">
        <v>271</v>
      </c>
      <c r="L14" s="33" t="s">
        <v>40</v>
      </c>
      <c r="M14" s="33" t="s">
        <v>40</v>
      </c>
      <c r="N14" s="31" t="s">
        <v>36</v>
      </c>
      <c r="O14" s="31" t="s">
        <v>273</v>
      </c>
      <c r="P14" s="16" t="s">
        <v>248</v>
      </c>
      <c r="Q14" s="16"/>
      <c r="R14" s="34" t="s">
        <v>277</v>
      </c>
      <c r="S14" s="17"/>
      <c r="T14" s="17"/>
      <c r="U14" s="17"/>
    </row>
    <row r="15" customFormat="1" ht="28.5" customHeight="1" spans="1:21">
      <c r="A15" s="27">
        <v>11875</v>
      </c>
      <c r="B15" s="28" t="s">
        <v>58</v>
      </c>
      <c r="C15" s="29" t="s">
        <v>47</v>
      </c>
      <c r="D15" s="30">
        <v>46034</v>
      </c>
      <c r="E15" s="31">
        <v>230</v>
      </c>
      <c r="F15" s="31">
        <v>0</v>
      </c>
      <c r="G15" s="32">
        <v>1</v>
      </c>
      <c r="H15" s="32" t="s">
        <v>39</v>
      </c>
      <c r="I15" s="31">
        <v>1</v>
      </c>
      <c r="J15" s="31" t="s">
        <v>45</v>
      </c>
      <c r="K15" s="33" t="s">
        <v>40</v>
      </c>
      <c r="L15" s="33" t="s">
        <v>40</v>
      </c>
      <c r="M15" s="33" t="s">
        <v>40</v>
      </c>
      <c r="N15" s="31" t="s">
        <v>40</v>
      </c>
      <c r="O15" s="31" t="s">
        <v>246</v>
      </c>
      <c r="P15" s="16"/>
      <c r="Q15" s="16"/>
      <c r="R15" s="34"/>
      <c r="S15" s="17"/>
      <c r="T15" s="17"/>
      <c r="U15" s="17"/>
    </row>
    <row r="16" customFormat="1" ht="28.5" customHeight="1" spans="1:21">
      <c r="A16" s="27">
        <v>11833</v>
      </c>
      <c r="B16" s="28" t="s">
        <v>59</v>
      </c>
      <c r="C16" s="29" t="s">
        <v>32</v>
      </c>
      <c r="D16" s="30">
        <v>46034</v>
      </c>
      <c r="E16" s="31">
        <v>45</v>
      </c>
      <c r="F16" s="31">
        <v>0</v>
      </c>
      <c r="G16" s="32">
        <v>1</v>
      </c>
      <c r="H16" s="32" t="s">
        <v>39</v>
      </c>
      <c r="I16" s="31">
        <v>11</v>
      </c>
      <c r="J16" s="31" t="s">
        <v>49</v>
      </c>
      <c r="K16" s="33" t="s">
        <v>271</v>
      </c>
      <c r="L16" s="33" t="s">
        <v>40</v>
      </c>
      <c r="M16" s="33" t="s">
        <v>40</v>
      </c>
      <c r="N16" s="31" t="s">
        <v>40</v>
      </c>
      <c r="O16" s="31" t="s">
        <v>246</v>
      </c>
      <c r="P16" s="16" t="s">
        <v>245</v>
      </c>
      <c r="Q16" s="16"/>
      <c r="R16" s="34" t="s">
        <v>278</v>
      </c>
      <c r="S16" s="17"/>
      <c r="T16" s="17"/>
      <c r="U16" s="17"/>
    </row>
    <row r="17" customFormat="1" ht="28.5" customHeight="1" spans="1:21">
      <c r="A17" s="27">
        <v>11683</v>
      </c>
      <c r="B17" s="28" t="s">
        <v>61</v>
      </c>
      <c r="C17" s="35" t="s">
        <v>47</v>
      </c>
      <c r="D17" s="30">
        <v>46041</v>
      </c>
      <c r="E17" s="31">
        <v>185</v>
      </c>
      <c r="F17" s="31">
        <v>0</v>
      </c>
      <c r="G17" s="32" t="s">
        <v>62</v>
      </c>
      <c r="H17" s="32" t="s">
        <v>33</v>
      </c>
      <c r="I17" s="31">
        <v>13</v>
      </c>
      <c r="J17" s="31" t="s">
        <v>45</v>
      </c>
      <c r="K17" s="33" t="s">
        <v>271</v>
      </c>
      <c r="L17" s="33" t="s">
        <v>271</v>
      </c>
      <c r="M17" s="33" t="s">
        <v>40</v>
      </c>
      <c r="N17" s="31" t="s">
        <v>43</v>
      </c>
      <c r="O17" s="31" t="s">
        <v>279</v>
      </c>
      <c r="P17" s="16" t="s">
        <v>245</v>
      </c>
      <c r="Q17" s="16"/>
      <c r="R17" s="34" t="s">
        <v>280</v>
      </c>
      <c r="S17" s="17"/>
      <c r="T17" s="17"/>
      <c r="U17" s="17"/>
    </row>
    <row r="18" customFormat="1" ht="28.5" customHeight="1" spans="1:21">
      <c r="A18" s="27">
        <v>11733</v>
      </c>
      <c r="B18" s="28" t="s">
        <v>63</v>
      </c>
      <c r="C18" s="35" t="s">
        <v>32</v>
      </c>
      <c r="D18" s="30">
        <v>46041</v>
      </c>
      <c r="E18" s="31">
        <v>35</v>
      </c>
      <c r="F18" s="31">
        <v>0</v>
      </c>
      <c r="G18" s="32" t="s">
        <v>62</v>
      </c>
      <c r="H18" s="32" t="s">
        <v>34</v>
      </c>
      <c r="I18" s="31">
        <v>8</v>
      </c>
      <c r="J18" s="31" t="s">
        <v>49</v>
      </c>
      <c r="K18" s="33" t="s">
        <v>271</v>
      </c>
      <c r="L18" s="33" t="s">
        <v>40</v>
      </c>
      <c r="M18" s="33" t="s">
        <v>40</v>
      </c>
      <c r="N18" s="31" t="s">
        <v>43</v>
      </c>
      <c r="O18" s="31" t="s">
        <v>279</v>
      </c>
      <c r="P18" s="16" t="s">
        <v>245</v>
      </c>
      <c r="Q18" s="16"/>
      <c r="R18" s="34" t="s">
        <v>281</v>
      </c>
      <c r="S18" s="17"/>
      <c r="T18" s="17"/>
      <c r="U18" s="17"/>
    </row>
    <row r="19" customFormat="1" ht="28.5" customHeight="1" spans="1:21">
      <c r="A19" s="27">
        <v>11751</v>
      </c>
      <c r="B19" s="28" t="s">
        <v>64</v>
      </c>
      <c r="C19" s="35" t="s">
        <v>32</v>
      </c>
      <c r="D19" s="30">
        <v>46041</v>
      </c>
      <c r="E19" s="31">
        <v>69</v>
      </c>
      <c r="F19" s="31">
        <v>73.09</v>
      </c>
      <c r="G19" s="32">
        <v>0.9231</v>
      </c>
      <c r="H19" s="32" t="s">
        <v>39</v>
      </c>
      <c r="I19" s="31">
        <v>16</v>
      </c>
      <c r="J19" s="31" t="s">
        <v>65</v>
      </c>
      <c r="K19" s="33" t="s">
        <v>271</v>
      </c>
      <c r="L19" s="33" t="s">
        <v>40</v>
      </c>
      <c r="M19" s="33" t="s">
        <v>40</v>
      </c>
      <c r="N19" s="31" t="s">
        <v>40</v>
      </c>
      <c r="O19" s="31" t="s">
        <v>246</v>
      </c>
      <c r="P19" s="16" t="s">
        <v>141</v>
      </c>
      <c r="Q19" s="16"/>
      <c r="R19" s="34"/>
      <c r="S19" s="17"/>
      <c r="T19" s="17"/>
      <c r="U19" s="17"/>
    </row>
    <row r="20" customFormat="1" ht="28.5" customHeight="1" spans="1:21">
      <c r="A20" s="36">
        <v>11830</v>
      </c>
      <c r="B20" s="37" t="s">
        <v>67</v>
      </c>
      <c r="C20" s="35" t="s">
        <v>32</v>
      </c>
      <c r="D20" s="30">
        <v>46041</v>
      </c>
      <c r="E20" s="31">
        <v>59</v>
      </c>
      <c r="F20" s="31">
        <v>0</v>
      </c>
      <c r="G20" s="32">
        <v>1</v>
      </c>
      <c r="H20" s="32" t="s">
        <v>34</v>
      </c>
      <c r="I20" s="31">
        <v>16</v>
      </c>
      <c r="J20" s="31" t="s">
        <v>65</v>
      </c>
      <c r="K20" s="33" t="s">
        <v>271</v>
      </c>
      <c r="L20" s="33" t="s">
        <v>40</v>
      </c>
      <c r="M20" s="33" t="s">
        <v>40</v>
      </c>
      <c r="N20" s="31" t="s">
        <v>40</v>
      </c>
      <c r="O20" s="31" t="s">
        <v>246</v>
      </c>
      <c r="P20" s="16" t="s">
        <v>141</v>
      </c>
      <c r="Q20" s="16"/>
      <c r="R20" s="34"/>
      <c r="S20" s="17"/>
      <c r="T20" s="17"/>
      <c r="U20" s="17"/>
    </row>
    <row r="21" customFormat="1" ht="28.5" customHeight="1" spans="1:21">
      <c r="A21" s="27">
        <v>11682</v>
      </c>
      <c r="B21" s="28" t="s">
        <v>282</v>
      </c>
      <c r="C21" s="35" t="s">
        <v>47</v>
      </c>
      <c r="D21" s="30">
        <v>46042</v>
      </c>
      <c r="E21" s="31">
        <v>185</v>
      </c>
      <c r="F21" s="31">
        <v>0</v>
      </c>
      <c r="G21" s="32" t="s">
        <v>62</v>
      </c>
      <c r="H21" s="32" t="s">
        <v>34</v>
      </c>
      <c r="I21" s="31">
        <v>13</v>
      </c>
      <c r="J21" s="31" t="s">
        <v>45</v>
      </c>
      <c r="K21" s="33" t="s">
        <v>271</v>
      </c>
      <c r="L21" s="33" t="s">
        <v>40</v>
      </c>
      <c r="M21" s="33" t="s">
        <v>40</v>
      </c>
      <c r="N21" s="31" t="s">
        <v>43</v>
      </c>
      <c r="O21" s="31" t="s">
        <v>279</v>
      </c>
      <c r="P21" s="16" t="s">
        <v>245</v>
      </c>
      <c r="Q21" s="16"/>
      <c r="R21" s="34" t="s">
        <v>280</v>
      </c>
      <c r="S21" s="17"/>
      <c r="T21" s="17"/>
      <c r="U21" s="17"/>
    </row>
    <row r="22" customFormat="1" ht="28.5" customHeight="1" spans="1:21">
      <c r="A22" s="27">
        <v>11736</v>
      </c>
      <c r="B22" s="28" t="s">
        <v>68</v>
      </c>
      <c r="C22" s="35" t="s">
        <v>32</v>
      </c>
      <c r="D22" s="30">
        <v>46042</v>
      </c>
      <c r="E22" s="31">
        <v>105</v>
      </c>
      <c r="F22" s="31">
        <v>0</v>
      </c>
      <c r="G22" s="32">
        <v>1</v>
      </c>
      <c r="H22" s="32" t="s">
        <v>34</v>
      </c>
      <c r="I22" s="31">
        <v>5</v>
      </c>
      <c r="J22" s="31" t="s">
        <v>49</v>
      </c>
      <c r="K22" s="33" t="s">
        <v>40</v>
      </c>
      <c r="L22" s="33" t="s">
        <v>40</v>
      </c>
      <c r="M22" s="33" t="s">
        <v>40</v>
      </c>
      <c r="N22" s="31" t="s">
        <v>40</v>
      </c>
      <c r="O22" s="31" t="s">
        <v>246</v>
      </c>
      <c r="P22" s="16"/>
      <c r="Q22" s="16"/>
      <c r="R22" s="34"/>
      <c r="S22" s="17"/>
      <c r="T22" s="17"/>
      <c r="U22" s="17"/>
    </row>
    <row r="23" customFormat="1" ht="28.5" customHeight="1" spans="1:21">
      <c r="A23" s="27">
        <v>11745</v>
      </c>
      <c r="B23" s="28" t="s">
        <v>69</v>
      </c>
      <c r="C23" s="29" t="s">
        <v>32</v>
      </c>
      <c r="D23" s="30">
        <v>46042</v>
      </c>
      <c r="E23" s="31">
        <v>79.24</v>
      </c>
      <c r="F23" s="31">
        <v>78.59</v>
      </c>
      <c r="G23" s="32">
        <v>0.4</v>
      </c>
      <c r="H23" s="32" t="s">
        <v>39</v>
      </c>
      <c r="I23" s="31">
        <v>8</v>
      </c>
      <c r="J23" s="31" t="s">
        <v>30</v>
      </c>
      <c r="K23" s="33" t="s">
        <v>271</v>
      </c>
      <c r="L23" s="33" t="s">
        <v>40</v>
      </c>
      <c r="M23" s="33" t="s">
        <v>40</v>
      </c>
      <c r="N23" s="31" t="s">
        <v>36</v>
      </c>
      <c r="O23" s="31" t="s">
        <v>273</v>
      </c>
      <c r="P23" s="16" t="s">
        <v>141</v>
      </c>
      <c r="Q23" s="16"/>
      <c r="R23" s="34"/>
      <c r="S23" s="17"/>
      <c r="T23" s="17"/>
      <c r="U23" s="17"/>
    </row>
    <row r="24" customFormat="1" ht="28.5" customHeight="1" spans="1:21">
      <c r="A24" s="27">
        <v>11777</v>
      </c>
      <c r="B24" s="28" t="s">
        <v>70</v>
      </c>
      <c r="C24" s="29" t="s">
        <v>32</v>
      </c>
      <c r="D24" s="30">
        <v>46042</v>
      </c>
      <c r="E24" s="31">
        <v>215</v>
      </c>
      <c r="F24" s="31">
        <v>0</v>
      </c>
      <c r="G24" s="32">
        <v>1</v>
      </c>
      <c r="H24" s="32" t="s">
        <v>34</v>
      </c>
      <c r="I24" s="31">
        <v>8</v>
      </c>
      <c r="J24" s="31" t="s">
        <v>30</v>
      </c>
      <c r="K24" s="33" t="s">
        <v>271</v>
      </c>
      <c r="L24" s="33" t="s">
        <v>40</v>
      </c>
      <c r="M24" s="33" t="s">
        <v>40</v>
      </c>
      <c r="N24" s="31" t="s">
        <v>40</v>
      </c>
      <c r="O24" s="31" t="s">
        <v>246</v>
      </c>
      <c r="P24" s="16" t="s">
        <v>141</v>
      </c>
      <c r="Q24" s="16"/>
      <c r="R24" s="34"/>
      <c r="S24" s="17"/>
      <c r="T24" s="17"/>
      <c r="U24" s="17"/>
    </row>
    <row r="25" customFormat="1" ht="28.5" customHeight="1" spans="1:21">
      <c r="A25" s="27">
        <v>11778</v>
      </c>
      <c r="B25" s="28" t="s">
        <v>71</v>
      </c>
      <c r="C25" s="29" t="s">
        <v>32</v>
      </c>
      <c r="D25" s="30">
        <v>46042</v>
      </c>
      <c r="E25" s="31">
        <v>398</v>
      </c>
      <c r="F25" s="31">
        <v>0</v>
      </c>
      <c r="G25" s="32" t="s">
        <v>62</v>
      </c>
      <c r="H25" s="32" t="s">
        <v>34</v>
      </c>
      <c r="I25" s="31">
        <v>13</v>
      </c>
      <c r="J25" s="31" t="s">
        <v>45</v>
      </c>
      <c r="K25" s="33" t="s">
        <v>271</v>
      </c>
      <c r="L25" s="33" t="s">
        <v>40</v>
      </c>
      <c r="M25" s="33" t="s">
        <v>40</v>
      </c>
      <c r="N25" s="31" t="s">
        <v>43</v>
      </c>
      <c r="O25" s="31" t="s">
        <v>279</v>
      </c>
      <c r="P25" s="16" t="s">
        <v>245</v>
      </c>
      <c r="Q25" s="16"/>
      <c r="R25" s="34" t="s">
        <v>283</v>
      </c>
      <c r="S25" s="17"/>
      <c r="T25" s="17"/>
      <c r="U25" s="17"/>
    </row>
    <row r="26" customFormat="1" ht="28.5" customHeight="1" spans="1:21">
      <c r="A26" s="27">
        <v>11780</v>
      </c>
      <c r="B26" s="28" t="s">
        <v>72</v>
      </c>
      <c r="C26" s="29" t="s">
        <v>47</v>
      </c>
      <c r="D26" s="30">
        <v>46042</v>
      </c>
      <c r="E26" s="31">
        <v>160</v>
      </c>
      <c r="F26" s="31">
        <v>0</v>
      </c>
      <c r="G26" s="32" t="s">
        <v>62</v>
      </c>
      <c r="H26" s="32" t="s">
        <v>39</v>
      </c>
      <c r="I26" s="31">
        <v>13</v>
      </c>
      <c r="J26" s="31" t="s">
        <v>45</v>
      </c>
      <c r="K26" s="33" t="s">
        <v>271</v>
      </c>
      <c r="L26" s="33" t="s">
        <v>40</v>
      </c>
      <c r="M26" s="33" t="s">
        <v>40</v>
      </c>
      <c r="N26" s="31" t="s">
        <v>35</v>
      </c>
      <c r="O26" s="31" t="s">
        <v>272</v>
      </c>
      <c r="P26" s="16" t="s">
        <v>245</v>
      </c>
      <c r="Q26" s="16"/>
      <c r="R26" s="34" t="s">
        <v>284</v>
      </c>
      <c r="S26" s="17"/>
      <c r="T26" s="17"/>
      <c r="U26" s="17"/>
    </row>
    <row r="27" customFormat="1" ht="28.5" customHeight="1" spans="1:21">
      <c r="A27" s="27">
        <v>11781</v>
      </c>
      <c r="B27" s="28" t="s">
        <v>73</v>
      </c>
      <c r="C27" s="29" t="s">
        <v>47</v>
      </c>
      <c r="D27" s="30">
        <v>46042</v>
      </c>
      <c r="E27" s="31">
        <v>30</v>
      </c>
      <c r="F27" s="31">
        <v>30.8</v>
      </c>
      <c r="G27" s="32">
        <v>0.3571</v>
      </c>
      <c r="H27" s="32" t="s">
        <v>34</v>
      </c>
      <c r="I27" s="31">
        <v>1</v>
      </c>
      <c r="J27" s="31" t="s">
        <v>49</v>
      </c>
      <c r="K27" s="33" t="s">
        <v>40</v>
      </c>
      <c r="L27" s="33" t="s">
        <v>40</v>
      </c>
      <c r="M27" s="33" t="s">
        <v>40</v>
      </c>
      <c r="N27" s="31" t="s">
        <v>36</v>
      </c>
      <c r="O27" s="31" t="s">
        <v>273</v>
      </c>
      <c r="P27" s="16"/>
      <c r="Q27" s="16"/>
      <c r="R27" s="34"/>
      <c r="S27" s="17"/>
      <c r="T27" s="17"/>
      <c r="U27" s="17"/>
    </row>
    <row r="28" customFormat="1" ht="28.5" customHeight="1" spans="1:21">
      <c r="A28" s="27">
        <v>11792</v>
      </c>
      <c r="B28" s="28" t="s">
        <v>74</v>
      </c>
      <c r="C28" s="29" t="s">
        <v>47</v>
      </c>
      <c r="D28" s="30">
        <v>46042</v>
      </c>
      <c r="E28" s="31">
        <v>144</v>
      </c>
      <c r="F28" s="31">
        <v>0</v>
      </c>
      <c r="G28" s="32">
        <v>1</v>
      </c>
      <c r="H28" s="32" t="s">
        <v>34</v>
      </c>
      <c r="I28" s="31">
        <v>13</v>
      </c>
      <c r="J28" s="31" t="s">
        <v>45</v>
      </c>
      <c r="K28" s="33" t="s">
        <v>271</v>
      </c>
      <c r="L28" s="33" t="s">
        <v>40</v>
      </c>
      <c r="M28" s="33" t="s">
        <v>40</v>
      </c>
      <c r="N28" s="31" t="s">
        <v>40</v>
      </c>
      <c r="O28" s="31" t="s">
        <v>246</v>
      </c>
      <c r="P28" s="16" t="s">
        <v>245</v>
      </c>
      <c r="Q28" s="16"/>
      <c r="R28" s="34" t="s">
        <v>284</v>
      </c>
      <c r="S28" s="17"/>
      <c r="T28" s="17"/>
      <c r="U28" s="17"/>
    </row>
    <row r="29" customFormat="1" ht="28.5" customHeight="1" spans="1:21">
      <c r="A29" s="27">
        <v>11793</v>
      </c>
      <c r="B29" s="28" t="s">
        <v>75</v>
      </c>
      <c r="C29" s="29" t="s">
        <v>47</v>
      </c>
      <c r="D29" s="30">
        <v>46042</v>
      </c>
      <c r="E29" s="31">
        <v>30</v>
      </c>
      <c r="F29" s="31">
        <v>0</v>
      </c>
      <c r="G29" s="32">
        <v>0.5</v>
      </c>
      <c r="H29" s="32" t="s">
        <v>34</v>
      </c>
      <c r="I29" s="31">
        <v>9</v>
      </c>
      <c r="J29" s="31" t="s">
        <v>49</v>
      </c>
      <c r="K29" s="33" t="s">
        <v>271</v>
      </c>
      <c r="L29" s="33" t="s">
        <v>40</v>
      </c>
      <c r="M29" s="33" t="s">
        <v>40</v>
      </c>
      <c r="N29" s="31" t="s">
        <v>50</v>
      </c>
      <c r="O29" s="31" t="s">
        <v>285</v>
      </c>
      <c r="P29" s="16" t="s">
        <v>245</v>
      </c>
      <c r="Q29" s="16"/>
      <c r="R29" s="34" t="s">
        <v>286</v>
      </c>
      <c r="S29" s="17"/>
      <c r="T29" s="17"/>
      <c r="U29" s="17"/>
    </row>
    <row r="30" customFormat="1" ht="28.5" customHeight="1" spans="1:21">
      <c r="A30" s="27">
        <v>11904</v>
      </c>
      <c r="B30" s="28" t="s">
        <v>76</v>
      </c>
      <c r="C30" s="29" t="s">
        <v>32</v>
      </c>
      <c r="D30" s="30">
        <v>46042</v>
      </c>
      <c r="E30" s="31">
        <v>81.59</v>
      </c>
      <c r="F30" s="31">
        <v>83.25</v>
      </c>
      <c r="G30" s="32">
        <v>0</v>
      </c>
      <c r="H30" s="32" t="s">
        <v>39</v>
      </c>
      <c r="I30" s="31">
        <v>0</v>
      </c>
      <c r="J30" s="31" t="s">
        <v>49</v>
      </c>
      <c r="K30" s="33" t="s">
        <v>40</v>
      </c>
      <c r="L30" s="33" t="s">
        <v>40</v>
      </c>
      <c r="M30" s="33" t="s">
        <v>40</v>
      </c>
      <c r="N30" s="31" t="s">
        <v>36</v>
      </c>
      <c r="O30" s="31" t="s">
        <v>273</v>
      </c>
      <c r="P30" s="16"/>
      <c r="Q30" s="16"/>
      <c r="R30" s="34"/>
      <c r="S30" s="17"/>
      <c r="T30" s="17"/>
      <c r="U30" s="17"/>
    </row>
    <row r="31" customFormat="1" ht="28.5" customHeight="1" spans="1:21">
      <c r="A31" s="27">
        <v>11756</v>
      </c>
      <c r="B31" s="28" t="s">
        <v>77</v>
      </c>
      <c r="C31" s="29" t="s">
        <v>47</v>
      </c>
      <c r="D31" s="30">
        <v>46043</v>
      </c>
      <c r="E31" s="31">
        <v>398</v>
      </c>
      <c r="F31" s="31">
        <v>0</v>
      </c>
      <c r="G31" s="32" t="s">
        <v>62</v>
      </c>
      <c r="H31" s="32" t="s">
        <v>34</v>
      </c>
      <c r="I31" s="31">
        <v>1</v>
      </c>
      <c r="J31" s="31" t="s">
        <v>45</v>
      </c>
      <c r="K31" s="33" t="s">
        <v>40</v>
      </c>
      <c r="L31" s="33" t="s">
        <v>40</v>
      </c>
      <c r="M31" s="33" t="s">
        <v>40</v>
      </c>
      <c r="N31" s="31" t="s">
        <v>43</v>
      </c>
      <c r="O31" s="31" t="s">
        <v>279</v>
      </c>
      <c r="P31" s="16"/>
      <c r="Q31" s="16"/>
      <c r="R31" s="34"/>
      <c r="S31" s="17"/>
      <c r="T31" s="17"/>
      <c r="U31" s="17"/>
    </row>
    <row r="32" customFormat="1" ht="28.5" customHeight="1" spans="1:21">
      <c r="A32" s="27">
        <v>11757</v>
      </c>
      <c r="B32" s="28" t="s">
        <v>78</v>
      </c>
      <c r="C32" s="29" t="s">
        <v>47</v>
      </c>
      <c r="D32" s="30">
        <v>46043</v>
      </c>
      <c r="E32" s="31">
        <v>48</v>
      </c>
      <c r="F32" s="31">
        <v>46</v>
      </c>
      <c r="G32" s="32">
        <v>0.6667</v>
      </c>
      <c r="H32" s="32" t="s">
        <v>39</v>
      </c>
      <c r="I32" s="31">
        <v>12</v>
      </c>
      <c r="J32" s="31" t="s">
        <v>30</v>
      </c>
      <c r="K32" s="33" t="s">
        <v>271</v>
      </c>
      <c r="L32" s="33" t="s">
        <v>40</v>
      </c>
      <c r="M32" s="33" t="s">
        <v>40</v>
      </c>
      <c r="N32" s="31" t="s">
        <v>36</v>
      </c>
      <c r="O32" s="31" t="s">
        <v>273</v>
      </c>
      <c r="P32" s="16" t="s">
        <v>141</v>
      </c>
      <c r="Q32" s="16"/>
      <c r="R32" s="34"/>
      <c r="S32" s="17"/>
      <c r="T32" s="17"/>
      <c r="U32" s="17"/>
    </row>
    <row r="33" customFormat="1" ht="28.5" customHeight="1" spans="1:21">
      <c r="A33" s="27">
        <v>11758</v>
      </c>
      <c r="B33" s="28" t="s">
        <v>79</v>
      </c>
      <c r="C33" s="29" t="s">
        <v>32</v>
      </c>
      <c r="D33" s="30">
        <v>46043</v>
      </c>
      <c r="E33" s="31">
        <v>45.74</v>
      </c>
      <c r="F33" s="31">
        <v>45</v>
      </c>
      <c r="G33" s="32">
        <v>0</v>
      </c>
      <c r="H33" s="32" t="s">
        <v>39</v>
      </c>
      <c r="I33" s="31">
        <v>16</v>
      </c>
      <c r="J33" s="31" t="s">
        <v>30</v>
      </c>
      <c r="K33" s="33" t="s">
        <v>271</v>
      </c>
      <c r="L33" s="33" t="s">
        <v>40</v>
      </c>
      <c r="M33" s="33" t="s">
        <v>40</v>
      </c>
      <c r="N33" s="31" t="s">
        <v>36</v>
      </c>
      <c r="O33" s="31" t="s">
        <v>273</v>
      </c>
      <c r="P33" s="16" t="s">
        <v>141</v>
      </c>
      <c r="Q33" s="16"/>
      <c r="R33" s="34"/>
      <c r="S33" s="17"/>
      <c r="T33" s="17"/>
      <c r="U33" s="17"/>
    </row>
    <row r="34" customFormat="1" ht="28.5" customHeight="1" spans="1:21">
      <c r="A34" s="27">
        <v>11808</v>
      </c>
      <c r="B34" s="28" t="s">
        <v>80</v>
      </c>
      <c r="C34" s="29" t="s">
        <v>47</v>
      </c>
      <c r="D34" s="30">
        <v>46043</v>
      </c>
      <c r="E34" s="31">
        <v>48</v>
      </c>
      <c r="F34" s="31">
        <v>47.89</v>
      </c>
      <c r="G34" s="32">
        <v>0.25</v>
      </c>
      <c r="H34" s="32" t="s">
        <v>34</v>
      </c>
      <c r="I34" s="31">
        <v>12</v>
      </c>
      <c r="J34" s="31" t="s">
        <v>30</v>
      </c>
      <c r="K34" s="33" t="s">
        <v>271</v>
      </c>
      <c r="L34" s="33" t="s">
        <v>40</v>
      </c>
      <c r="M34" s="33" t="s">
        <v>40</v>
      </c>
      <c r="N34" s="31" t="s">
        <v>36</v>
      </c>
      <c r="O34" s="31" t="s">
        <v>273</v>
      </c>
      <c r="P34" s="16" t="s">
        <v>141</v>
      </c>
      <c r="Q34" s="16"/>
      <c r="R34" s="34"/>
      <c r="S34" s="17"/>
      <c r="T34" s="17"/>
      <c r="U34" s="17"/>
    </row>
    <row r="35" customFormat="1" ht="28.5" customHeight="1" spans="1:21">
      <c r="A35" s="27">
        <v>11809</v>
      </c>
      <c r="B35" s="28" t="s">
        <v>81</v>
      </c>
      <c r="C35" s="29" t="s">
        <v>32</v>
      </c>
      <c r="D35" s="30">
        <v>46043</v>
      </c>
      <c r="E35" s="31">
        <v>48.78</v>
      </c>
      <c r="F35" s="31">
        <v>52.59</v>
      </c>
      <c r="G35" s="32">
        <v>0.7143</v>
      </c>
      <c r="H35" s="32" t="s">
        <v>39</v>
      </c>
      <c r="I35" s="31">
        <v>12</v>
      </c>
      <c r="J35" s="31" t="s">
        <v>30</v>
      </c>
      <c r="K35" s="33" t="s">
        <v>271</v>
      </c>
      <c r="L35" s="33" t="s">
        <v>40</v>
      </c>
      <c r="M35" s="33" t="s">
        <v>40</v>
      </c>
      <c r="N35" s="31" t="s">
        <v>40</v>
      </c>
      <c r="O35" s="31" t="s">
        <v>246</v>
      </c>
      <c r="P35" s="16" t="s">
        <v>141</v>
      </c>
      <c r="Q35" s="16"/>
      <c r="R35" s="34"/>
      <c r="S35" s="17"/>
      <c r="T35" s="17"/>
      <c r="U35" s="17"/>
    </row>
    <row r="36" customFormat="1" ht="28.5" customHeight="1" spans="1:21">
      <c r="A36" s="27">
        <v>11823</v>
      </c>
      <c r="B36" s="28" t="s">
        <v>82</v>
      </c>
      <c r="C36" s="29" t="s">
        <v>32</v>
      </c>
      <c r="D36" s="30">
        <v>46043</v>
      </c>
      <c r="E36" s="31">
        <v>45</v>
      </c>
      <c r="F36" s="31">
        <v>39.99</v>
      </c>
      <c r="G36" s="32">
        <v>0.5</v>
      </c>
      <c r="H36" s="32" t="s">
        <v>39</v>
      </c>
      <c r="I36" s="31">
        <v>16</v>
      </c>
      <c r="J36" s="31" t="s">
        <v>65</v>
      </c>
      <c r="K36" s="33" t="s">
        <v>271</v>
      </c>
      <c r="L36" s="33" t="s">
        <v>40</v>
      </c>
      <c r="M36" s="33" t="s">
        <v>40</v>
      </c>
      <c r="N36" s="31" t="s">
        <v>36</v>
      </c>
      <c r="O36" s="31" t="s">
        <v>273</v>
      </c>
      <c r="P36" s="16" t="s">
        <v>141</v>
      </c>
      <c r="Q36" s="16"/>
      <c r="R36" s="34"/>
      <c r="S36" s="17"/>
      <c r="T36" s="17"/>
      <c r="U36" s="17"/>
    </row>
    <row r="37" customFormat="1" ht="28.5" customHeight="1" spans="1:21">
      <c r="A37" s="27">
        <v>11814</v>
      </c>
      <c r="B37" s="28" t="s">
        <v>83</v>
      </c>
      <c r="C37" s="29" t="s">
        <v>32</v>
      </c>
      <c r="D37" s="30">
        <v>46043</v>
      </c>
      <c r="E37" s="31">
        <v>45</v>
      </c>
      <c r="F37" s="31">
        <v>0</v>
      </c>
      <c r="G37" s="32">
        <v>0.5</v>
      </c>
      <c r="H37" s="32" t="s">
        <v>34</v>
      </c>
      <c r="I37" s="31">
        <v>16</v>
      </c>
      <c r="J37" s="31" t="s">
        <v>30</v>
      </c>
      <c r="K37" s="33" t="s">
        <v>271</v>
      </c>
      <c r="L37" s="33" t="s">
        <v>40</v>
      </c>
      <c r="M37" s="33" t="s">
        <v>40</v>
      </c>
      <c r="N37" s="31" t="s">
        <v>50</v>
      </c>
      <c r="O37" s="31" t="s">
        <v>285</v>
      </c>
      <c r="P37" s="16" t="s">
        <v>141</v>
      </c>
      <c r="Q37" s="16"/>
      <c r="R37" s="34"/>
      <c r="S37" s="17"/>
      <c r="T37" s="17"/>
      <c r="U37" s="17"/>
    </row>
    <row r="38" customFormat="1" ht="28.5" customHeight="1" spans="1:21">
      <c r="A38" s="27">
        <v>11815</v>
      </c>
      <c r="B38" s="28" t="s">
        <v>84</v>
      </c>
      <c r="C38" s="29" t="s">
        <v>32</v>
      </c>
      <c r="D38" s="30">
        <v>46043</v>
      </c>
      <c r="E38" s="31">
        <v>43</v>
      </c>
      <c r="F38" s="31">
        <v>31.99</v>
      </c>
      <c r="G38" s="32">
        <v>0</v>
      </c>
      <c r="H38" s="32" t="s">
        <v>34</v>
      </c>
      <c r="I38" s="31">
        <v>12</v>
      </c>
      <c r="J38" s="31" t="s">
        <v>30</v>
      </c>
      <c r="K38" s="33" t="s">
        <v>271</v>
      </c>
      <c r="L38" s="33" t="s">
        <v>40</v>
      </c>
      <c r="M38" s="33" t="s">
        <v>40</v>
      </c>
      <c r="N38" s="31" t="s">
        <v>36</v>
      </c>
      <c r="O38" s="31" t="s">
        <v>273</v>
      </c>
      <c r="P38" s="16" t="s">
        <v>141</v>
      </c>
      <c r="Q38" s="16"/>
      <c r="R38" s="34"/>
      <c r="S38" s="17"/>
      <c r="T38" s="17"/>
      <c r="U38" s="17"/>
    </row>
    <row r="39" customFormat="1" ht="28.5" customHeight="1" spans="1:21">
      <c r="A39" s="27">
        <v>11824</v>
      </c>
      <c r="B39" s="28" t="s">
        <v>85</v>
      </c>
      <c r="C39" s="29" t="s">
        <v>32</v>
      </c>
      <c r="D39" s="30">
        <v>46043</v>
      </c>
      <c r="E39" s="31">
        <v>135</v>
      </c>
      <c r="F39" s="31">
        <v>0</v>
      </c>
      <c r="G39" s="32">
        <v>1</v>
      </c>
      <c r="H39" s="32" t="s">
        <v>39</v>
      </c>
      <c r="I39" s="31">
        <v>11</v>
      </c>
      <c r="J39" s="31" t="s">
        <v>30</v>
      </c>
      <c r="K39" s="33" t="s">
        <v>271</v>
      </c>
      <c r="L39" s="33" t="s">
        <v>40</v>
      </c>
      <c r="M39" s="33" t="s">
        <v>40</v>
      </c>
      <c r="N39" s="31" t="s">
        <v>40</v>
      </c>
      <c r="O39" s="31" t="s">
        <v>246</v>
      </c>
      <c r="P39" s="16" t="s">
        <v>141</v>
      </c>
      <c r="Q39" s="16"/>
      <c r="R39" s="34"/>
      <c r="S39" s="17"/>
      <c r="T39" s="17"/>
      <c r="U39" s="17"/>
    </row>
    <row r="40" customFormat="1" ht="28.5" customHeight="1" spans="1:21">
      <c r="A40" s="27">
        <v>11855</v>
      </c>
      <c r="B40" s="28" t="s">
        <v>86</v>
      </c>
      <c r="C40" s="29" t="s">
        <v>32</v>
      </c>
      <c r="D40" s="30">
        <v>46043</v>
      </c>
      <c r="E40" s="31">
        <v>79</v>
      </c>
      <c r="F40" s="31">
        <v>0</v>
      </c>
      <c r="G40" s="32" t="s">
        <v>62</v>
      </c>
      <c r="H40" s="32" t="s">
        <v>34</v>
      </c>
      <c r="I40" s="31">
        <v>5</v>
      </c>
      <c r="J40" s="31" t="s">
        <v>49</v>
      </c>
      <c r="K40" s="33" t="s">
        <v>40</v>
      </c>
      <c r="L40" s="33" t="s">
        <v>40</v>
      </c>
      <c r="M40" s="33" t="s">
        <v>40</v>
      </c>
      <c r="N40" s="31" t="s">
        <v>35</v>
      </c>
      <c r="O40" s="31" t="s">
        <v>272</v>
      </c>
      <c r="P40" s="16"/>
      <c r="Q40" s="16"/>
      <c r="R40" s="34"/>
      <c r="S40" s="17"/>
      <c r="T40" s="17"/>
      <c r="U40" s="17"/>
    </row>
    <row r="41" customFormat="1" ht="28.5" customHeight="1" spans="1:21">
      <c r="A41" s="27">
        <v>11856</v>
      </c>
      <c r="B41" s="28" t="s">
        <v>87</v>
      </c>
      <c r="C41" s="29" t="s">
        <v>47</v>
      </c>
      <c r="D41" s="30">
        <v>46043</v>
      </c>
      <c r="E41" s="31">
        <v>39.09</v>
      </c>
      <c r="F41" s="31">
        <v>60.3</v>
      </c>
      <c r="G41" s="32">
        <v>0</v>
      </c>
      <c r="H41" s="32" t="s">
        <v>34</v>
      </c>
      <c r="I41" s="31">
        <v>0</v>
      </c>
      <c r="J41" s="31" t="s">
        <v>49</v>
      </c>
      <c r="K41" s="33" t="s">
        <v>40</v>
      </c>
      <c r="L41" s="33" t="s">
        <v>40</v>
      </c>
      <c r="M41" s="33" t="s">
        <v>40</v>
      </c>
      <c r="N41" s="31" t="s">
        <v>36</v>
      </c>
      <c r="O41" s="31" t="s">
        <v>273</v>
      </c>
      <c r="P41" s="16"/>
      <c r="Q41" s="16"/>
      <c r="R41" s="34"/>
      <c r="S41" s="17"/>
      <c r="T41" s="17"/>
      <c r="U41" s="17"/>
    </row>
    <row r="42" customFormat="1" ht="28.5" customHeight="1" spans="1:21">
      <c r="A42" s="38">
        <v>11857</v>
      </c>
      <c r="B42" s="39" t="s">
        <v>88</v>
      </c>
      <c r="C42" s="29" t="s">
        <v>47</v>
      </c>
      <c r="D42" s="30">
        <v>46043</v>
      </c>
      <c r="E42" s="31">
        <v>36.99</v>
      </c>
      <c r="F42" s="31">
        <v>57.47</v>
      </c>
      <c r="G42" s="32">
        <v>0.5</v>
      </c>
      <c r="H42" s="32" t="s">
        <v>34</v>
      </c>
      <c r="I42" s="31">
        <v>9</v>
      </c>
      <c r="J42" s="31" t="s">
        <v>49</v>
      </c>
      <c r="K42" s="33" t="s">
        <v>271</v>
      </c>
      <c r="L42" s="33" t="s">
        <v>40</v>
      </c>
      <c r="M42" s="33" t="s">
        <v>40</v>
      </c>
      <c r="N42" s="31" t="s">
        <v>36</v>
      </c>
      <c r="O42" s="31" t="s">
        <v>273</v>
      </c>
      <c r="P42" s="16" t="s">
        <v>249</v>
      </c>
      <c r="Q42" s="16"/>
      <c r="R42" s="34" t="s">
        <v>287</v>
      </c>
      <c r="S42" s="17"/>
      <c r="T42" s="17"/>
      <c r="U42" s="17"/>
    </row>
    <row r="43" customFormat="1" ht="28.5" customHeight="1" spans="1:21">
      <c r="A43" s="27">
        <v>12303</v>
      </c>
      <c r="B43" s="28" t="s">
        <v>89</v>
      </c>
      <c r="C43" s="29" t="s">
        <v>47</v>
      </c>
      <c r="D43" s="30">
        <v>46044</v>
      </c>
      <c r="E43" s="31">
        <v>35</v>
      </c>
      <c r="F43" s="31">
        <v>0</v>
      </c>
      <c r="G43" s="32" t="s">
        <v>62</v>
      </c>
      <c r="H43" s="32" t="s">
        <v>39</v>
      </c>
      <c r="I43" s="31">
        <v>0</v>
      </c>
      <c r="J43" s="31" t="s">
        <v>49</v>
      </c>
      <c r="K43" s="33" t="s">
        <v>40</v>
      </c>
      <c r="L43" s="33" t="s">
        <v>40</v>
      </c>
      <c r="M43" s="33" t="s">
        <v>40</v>
      </c>
      <c r="N43" s="31" t="s">
        <v>35</v>
      </c>
      <c r="O43" s="31" t="s">
        <v>272</v>
      </c>
      <c r="P43" s="16"/>
      <c r="Q43" s="16"/>
      <c r="R43" s="34"/>
      <c r="S43" s="17"/>
      <c r="T43" s="17"/>
      <c r="U43" s="17"/>
    </row>
    <row r="44" customFormat="1" ht="28.5" customHeight="1" spans="1:21">
      <c r="A44" s="27">
        <v>11933</v>
      </c>
      <c r="B44" s="28" t="s">
        <v>90</v>
      </c>
      <c r="C44" s="29" t="s">
        <v>32</v>
      </c>
      <c r="D44" s="30">
        <v>46047</v>
      </c>
      <c r="E44" s="31">
        <v>64.78</v>
      </c>
      <c r="F44" s="31">
        <v>87.38</v>
      </c>
      <c r="G44" s="32">
        <v>0</v>
      </c>
      <c r="H44" s="32" t="s">
        <v>34</v>
      </c>
      <c r="I44" s="31">
        <v>8</v>
      </c>
      <c r="J44" s="31" t="s">
        <v>30</v>
      </c>
      <c r="K44" s="33" t="s">
        <v>271</v>
      </c>
      <c r="L44" s="33" t="s">
        <v>40</v>
      </c>
      <c r="M44" s="33" t="s">
        <v>40</v>
      </c>
      <c r="N44" s="31" t="s">
        <v>36</v>
      </c>
      <c r="O44" s="31" t="s">
        <v>273</v>
      </c>
      <c r="P44" s="16" t="s">
        <v>141</v>
      </c>
      <c r="Q44" s="16"/>
      <c r="R44" s="34"/>
      <c r="S44" s="17"/>
      <c r="T44" s="17"/>
      <c r="U44" s="17"/>
    </row>
    <row r="45" customFormat="1" ht="28.5" customHeight="1" spans="1:21">
      <c r="A45" s="27">
        <v>11839</v>
      </c>
      <c r="B45" s="28" t="s">
        <v>91</v>
      </c>
      <c r="C45" s="29" t="s">
        <v>32</v>
      </c>
      <c r="D45" s="30">
        <v>46050</v>
      </c>
      <c r="E45" s="31">
        <v>44</v>
      </c>
      <c r="F45" s="31">
        <v>55</v>
      </c>
      <c r="G45" s="32">
        <v>0.875</v>
      </c>
      <c r="H45" s="32" t="s">
        <v>39</v>
      </c>
      <c r="I45" s="31">
        <v>16</v>
      </c>
      <c r="J45" s="31" t="s">
        <v>65</v>
      </c>
      <c r="K45" s="33" t="s">
        <v>271</v>
      </c>
      <c r="L45" s="33" t="s">
        <v>40</v>
      </c>
      <c r="M45" s="33" t="s">
        <v>40</v>
      </c>
      <c r="N45" s="31" t="s">
        <v>40</v>
      </c>
      <c r="O45" s="31" t="s">
        <v>246</v>
      </c>
      <c r="P45" s="16" t="s">
        <v>141</v>
      </c>
      <c r="Q45" s="16"/>
      <c r="R45" s="34"/>
      <c r="S45" s="17"/>
      <c r="T45" s="17"/>
      <c r="U45" s="17"/>
    </row>
    <row r="46" customFormat="1" ht="28.5" customHeight="1" spans="1:21">
      <c r="A46" s="27">
        <v>11840</v>
      </c>
      <c r="B46" s="28" t="s">
        <v>92</v>
      </c>
      <c r="C46" s="29" t="s">
        <v>32</v>
      </c>
      <c r="D46" s="30">
        <v>46050</v>
      </c>
      <c r="E46" s="31">
        <v>47</v>
      </c>
      <c r="F46" s="31">
        <v>55</v>
      </c>
      <c r="G46" s="32">
        <v>0.6316</v>
      </c>
      <c r="H46" s="32" t="s">
        <v>39</v>
      </c>
      <c r="I46" s="31">
        <v>8</v>
      </c>
      <c r="J46" s="31" t="s">
        <v>65</v>
      </c>
      <c r="K46" s="33" t="s">
        <v>271</v>
      </c>
      <c r="L46" s="33" t="s">
        <v>40</v>
      </c>
      <c r="M46" s="33" t="s">
        <v>40</v>
      </c>
      <c r="N46" s="31" t="s">
        <v>36</v>
      </c>
      <c r="O46" s="31" t="s">
        <v>273</v>
      </c>
      <c r="P46" s="16" t="s">
        <v>141</v>
      </c>
      <c r="Q46" s="16"/>
      <c r="R46" s="34"/>
      <c r="S46" s="17"/>
      <c r="T46" s="17"/>
      <c r="U46" s="17"/>
    </row>
    <row r="47" customFormat="1" ht="28.5" customHeight="1" spans="1:21">
      <c r="A47" s="27">
        <v>11794</v>
      </c>
      <c r="B47" s="28" t="s">
        <v>93</v>
      </c>
      <c r="C47" s="29" t="s">
        <v>32</v>
      </c>
      <c r="D47" s="30">
        <v>46050</v>
      </c>
      <c r="E47" s="31">
        <v>69</v>
      </c>
      <c r="F47" s="31">
        <v>0</v>
      </c>
      <c r="G47" s="32">
        <v>1</v>
      </c>
      <c r="H47" s="32" t="s">
        <v>39</v>
      </c>
      <c r="I47" s="31">
        <v>11</v>
      </c>
      <c r="J47" s="31" t="s">
        <v>30</v>
      </c>
      <c r="K47" s="33" t="s">
        <v>271</v>
      </c>
      <c r="L47" s="33" t="s">
        <v>40</v>
      </c>
      <c r="M47" s="33" t="s">
        <v>40</v>
      </c>
      <c r="N47" s="31" t="s">
        <v>40</v>
      </c>
      <c r="O47" s="31" t="s">
        <v>246</v>
      </c>
      <c r="P47" s="16" t="s">
        <v>141</v>
      </c>
      <c r="Q47" s="16"/>
      <c r="R47" s="34"/>
      <c r="S47" s="17"/>
      <c r="T47" s="17"/>
      <c r="U47" s="17"/>
    </row>
    <row r="48" customFormat="1" ht="28.5" customHeight="1" spans="1:21">
      <c r="A48" s="27">
        <v>11866</v>
      </c>
      <c r="B48" s="28" t="s">
        <v>94</v>
      </c>
      <c r="C48" s="29" t="s">
        <v>32</v>
      </c>
      <c r="D48" s="30">
        <v>46050</v>
      </c>
      <c r="E48" s="31">
        <v>26</v>
      </c>
      <c r="F48" s="31">
        <v>26.15</v>
      </c>
      <c r="G48" s="32">
        <v>0.2</v>
      </c>
      <c r="H48" s="32" t="s">
        <v>34</v>
      </c>
      <c r="I48" s="31">
        <v>1</v>
      </c>
      <c r="J48" s="31" t="s">
        <v>49</v>
      </c>
      <c r="K48" s="33" t="s">
        <v>40</v>
      </c>
      <c r="L48" s="33" t="s">
        <v>40</v>
      </c>
      <c r="M48" s="33" t="s">
        <v>40</v>
      </c>
      <c r="N48" s="31" t="s">
        <v>36</v>
      </c>
      <c r="O48" s="31" t="s">
        <v>273</v>
      </c>
      <c r="P48" s="16"/>
      <c r="Q48" s="16"/>
      <c r="R48" s="34"/>
      <c r="S48" s="17"/>
      <c r="T48" s="17"/>
      <c r="U48" s="17"/>
    </row>
    <row r="49" customFormat="1" ht="28.5" customHeight="1" spans="1:21">
      <c r="A49" s="27">
        <v>11867</v>
      </c>
      <c r="B49" s="28" t="s">
        <v>95</v>
      </c>
      <c r="C49" s="29" t="s">
        <v>32</v>
      </c>
      <c r="D49" s="30">
        <v>46050</v>
      </c>
      <c r="E49" s="31">
        <v>26</v>
      </c>
      <c r="F49" s="31">
        <v>30.9</v>
      </c>
      <c r="G49" s="32">
        <v>0.5</v>
      </c>
      <c r="H49" s="32" t="s">
        <v>34</v>
      </c>
      <c r="I49" s="31">
        <v>1</v>
      </c>
      <c r="J49" s="31" t="s">
        <v>49</v>
      </c>
      <c r="K49" s="33" t="s">
        <v>40</v>
      </c>
      <c r="L49" s="33" t="s">
        <v>40</v>
      </c>
      <c r="M49" s="33" t="s">
        <v>40</v>
      </c>
      <c r="N49" s="31" t="s">
        <v>36</v>
      </c>
      <c r="O49" s="31" t="s">
        <v>273</v>
      </c>
      <c r="P49" s="16"/>
      <c r="Q49" s="16"/>
      <c r="R49" s="34"/>
      <c r="S49" s="17"/>
      <c r="T49" s="17"/>
      <c r="U49" s="17"/>
    </row>
    <row r="50" customFormat="1" ht="28.5" customHeight="1" spans="1:21">
      <c r="A50" s="27">
        <v>11826</v>
      </c>
      <c r="B50" s="28" t="s">
        <v>96</v>
      </c>
      <c r="C50" s="29" t="s">
        <v>32</v>
      </c>
      <c r="D50" s="30">
        <v>46051</v>
      </c>
      <c r="E50" s="31">
        <v>45</v>
      </c>
      <c r="F50" s="31">
        <v>0</v>
      </c>
      <c r="G50" s="32">
        <v>1</v>
      </c>
      <c r="H50" s="32" t="s">
        <v>34</v>
      </c>
      <c r="I50" s="31">
        <v>9</v>
      </c>
      <c r="J50" s="31" t="s">
        <v>49</v>
      </c>
      <c r="K50" s="33" t="s">
        <v>271</v>
      </c>
      <c r="L50" s="33" t="s">
        <v>40</v>
      </c>
      <c r="M50" s="33" t="s">
        <v>40</v>
      </c>
      <c r="N50" s="31" t="s">
        <v>40</v>
      </c>
      <c r="O50" s="31" t="s">
        <v>246</v>
      </c>
      <c r="P50" s="16" t="s">
        <v>245</v>
      </c>
      <c r="Q50" s="16"/>
      <c r="R50" s="34" t="s">
        <v>288</v>
      </c>
      <c r="S50" s="17"/>
      <c r="T50" s="17"/>
      <c r="U50" s="17"/>
    </row>
    <row r="51" customFormat="1" ht="28.5" customHeight="1" spans="1:21">
      <c r="A51" s="27">
        <v>11876</v>
      </c>
      <c r="B51" s="28" t="s">
        <v>97</v>
      </c>
      <c r="C51" s="29" t="s">
        <v>47</v>
      </c>
      <c r="D51" s="30">
        <v>46051</v>
      </c>
      <c r="E51" s="31">
        <v>207</v>
      </c>
      <c r="F51" s="31">
        <v>0</v>
      </c>
      <c r="G51" s="32" t="s">
        <v>62</v>
      </c>
      <c r="H51" s="32" t="s">
        <v>34</v>
      </c>
      <c r="I51" s="31">
        <v>0</v>
      </c>
      <c r="J51" s="31" t="s">
        <v>49</v>
      </c>
      <c r="K51" s="33" t="s">
        <v>40</v>
      </c>
      <c r="L51" s="33" t="s">
        <v>40</v>
      </c>
      <c r="M51" s="33" t="s">
        <v>40</v>
      </c>
      <c r="N51" s="31" t="s">
        <v>43</v>
      </c>
      <c r="O51" s="31" t="s">
        <v>279</v>
      </c>
      <c r="P51" s="16"/>
      <c r="Q51" s="16"/>
      <c r="R51" s="34"/>
      <c r="S51" s="17"/>
      <c r="T51" s="17"/>
      <c r="U51" s="17"/>
    </row>
    <row r="52" ht="28.5" customHeight="1" spans="1:21">
      <c r="A52" s="27">
        <v>11936</v>
      </c>
      <c r="B52" s="28" t="s">
        <v>98</v>
      </c>
      <c r="C52" s="29" t="s">
        <v>47</v>
      </c>
      <c r="D52" s="30">
        <v>46051</v>
      </c>
      <c r="E52" s="31">
        <v>25</v>
      </c>
      <c r="F52" s="31">
        <v>0</v>
      </c>
      <c r="G52" s="32">
        <v>1</v>
      </c>
      <c r="H52" s="32" t="s">
        <v>39</v>
      </c>
      <c r="I52" s="31">
        <v>16</v>
      </c>
      <c r="J52" s="31" t="s">
        <v>65</v>
      </c>
      <c r="K52" s="33" t="s">
        <v>271</v>
      </c>
      <c r="L52" s="33" t="s">
        <v>40</v>
      </c>
      <c r="M52" s="33" t="s">
        <v>40</v>
      </c>
      <c r="N52" s="31" t="s">
        <v>40</v>
      </c>
      <c r="O52" s="31" t="s">
        <v>246</v>
      </c>
      <c r="P52" s="16" t="s">
        <v>141</v>
      </c>
      <c r="Q52" s="16"/>
      <c r="R52" s="34"/>
      <c r="S52" s="17"/>
      <c r="T52" s="17"/>
      <c r="U52" s="17"/>
    </row>
    <row r="53" ht="28.5" customHeight="1" spans="1:21">
      <c r="A53" s="27">
        <v>11937</v>
      </c>
      <c r="B53" s="28" t="s">
        <v>99</v>
      </c>
      <c r="C53" s="29" t="s">
        <v>47</v>
      </c>
      <c r="D53" s="30">
        <v>46051</v>
      </c>
      <c r="E53" s="31">
        <v>23</v>
      </c>
      <c r="F53" s="31">
        <v>0</v>
      </c>
      <c r="G53" s="32">
        <v>1</v>
      </c>
      <c r="H53" s="32" t="s">
        <v>34</v>
      </c>
      <c r="I53" s="31">
        <v>16</v>
      </c>
      <c r="J53" s="31" t="s">
        <v>65</v>
      </c>
      <c r="K53" s="33" t="s">
        <v>271</v>
      </c>
      <c r="L53" s="33" t="s">
        <v>40</v>
      </c>
      <c r="M53" s="33" t="s">
        <v>40</v>
      </c>
      <c r="N53" s="31" t="s">
        <v>40</v>
      </c>
      <c r="O53" s="31" t="s">
        <v>246</v>
      </c>
      <c r="P53" s="16" t="s">
        <v>141</v>
      </c>
      <c r="Q53" s="16"/>
      <c r="R53" s="34"/>
      <c r="S53" s="17"/>
      <c r="T53" s="17"/>
      <c r="U53" s="17"/>
    </row>
    <row r="54" customFormat="1" ht="28.5" customHeight="1" spans="1:21">
      <c r="A54" s="27">
        <v>11874</v>
      </c>
      <c r="B54" s="28" t="s">
        <v>100</v>
      </c>
      <c r="C54" s="29" t="s">
        <v>32</v>
      </c>
      <c r="D54" s="30">
        <v>46051</v>
      </c>
      <c r="E54" s="31">
        <v>135</v>
      </c>
      <c r="F54" s="31">
        <v>0</v>
      </c>
      <c r="G54" s="32">
        <v>1</v>
      </c>
      <c r="H54" s="32" t="s">
        <v>39</v>
      </c>
      <c r="I54" s="31">
        <v>11</v>
      </c>
      <c r="J54" s="31" t="s">
        <v>49</v>
      </c>
      <c r="K54" s="33" t="s">
        <v>271</v>
      </c>
      <c r="L54" s="33" t="s">
        <v>40</v>
      </c>
      <c r="M54" s="33" t="s">
        <v>40</v>
      </c>
      <c r="N54" s="31" t="s">
        <v>40</v>
      </c>
      <c r="O54" s="31" t="s">
        <v>246</v>
      </c>
      <c r="P54" s="16" t="s">
        <v>246</v>
      </c>
      <c r="Q54" s="16"/>
      <c r="R54" s="34" t="s">
        <v>289</v>
      </c>
      <c r="S54" s="17"/>
      <c r="T54" s="17"/>
      <c r="U54" s="17"/>
    </row>
    <row r="55" customFormat="1" ht="28.5" customHeight="1" spans="1:21">
      <c r="A55" s="27">
        <v>11925</v>
      </c>
      <c r="B55" s="28" t="s">
        <v>101</v>
      </c>
      <c r="C55" s="29" t="s">
        <v>32</v>
      </c>
      <c r="D55" s="30">
        <v>46051</v>
      </c>
      <c r="E55" s="31">
        <v>279.9</v>
      </c>
      <c r="F55" s="31">
        <v>0</v>
      </c>
      <c r="G55" s="32">
        <v>1</v>
      </c>
      <c r="H55" s="32" t="s">
        <v>39</v>
      </c>
      <c r="I55" s="31">
        <v>11</v>
      </c>
      <c r="J55" s="31" t="s">
        <v>102</v>
      </c>
      <c r="K55" s="33" t="s">
        <v>271</v>
      </c>
      <c r="L55" s="33" t="s">
        <v>40</v>
      </c>
      <c r="M55" s="33" t="s">
        <v>40</v>
      </c>
      <c r="N55" s="31" t="s">
        <v>40</v>
      </c>
      <c r="O55" s="31" t="s">
        <v>246</v>
      </c>
      <c r="P55" s="16" t="s">
        <v>245</v>
      </c>
      <c r="Q55" s="16"/>
      <c r="R55" s="34" t="s">
        <v>290</v>
      </c>
      <c r="S55" s="17"/>
      <c r="T55" s="17"/>
      <c r="U55" s="17"/>
    </row>
    <row r="56" customFormat="1" ht="28.5" customHeight="1" spans="1:21">
      <c r="A56" s="27">
        <v>11852</v>
      </c>
      <c r="B56" s="28" t="s">
        <v>103</v>
      </c>
      <c r="C56" s="29" t="s">
        <v>32</v>
      </c>
      <c r="D56" s="30">
        <v>46051</v>
      </c>
      <c r="E56" s="31">
        <v>420</v>
      </c>
      <c r="F56" s="31">
        <v>0</v>
      </c>
      <c r="G56" s="32">
        <v>1</v>
      </c>
      <c r="H56" s="32" t="s">
        <v>34</v>
      </c>
      <c r="I56" s="31">
        <v>11</v>
      </c>
      <c r="J56" s="31" t="s">
        <v>49</v>
      </c>
      <c r="K56" s="33" t="s">
        <v>271</v>
      </c>
      <c r="L56" s="33" t="s">
        <v>40</v>
      </c>
      <c r="M56" s="33" t="s">
        <v>40</v>
      </c>
      <c r="N56" s="31" t="s">
        <v>40</v>
      </c>
      <c r="O56" s="31" t="s">
        <v>246</v>
      </c>
      <c r="P56" s="16" t="s">
        <v>245</v>
      </c>
      <c r="Q56" s="16"/>
      <c r="R56" s="34" t="s">
        <v>291</v>
      </c>
      <c r="S56" s="17"/>
      <c r="T56" s="17"/>
      <c r="U56" s="17"/>
    </row>
    <row r="57" customFormat="1" ht="28.5" customHeight="1" spans="1:21">
      <c r="A57" s="27">
        <v>11921</v>
      </c>
      <c r="B57" s="28" t="s">
        <v>107</v>
      </c>
      <c r="C57" s="29" t="s">
        <v>47</v>
      </c>
      <c r="D57" s="30">
        <v>46056</v>
      </c>
      <c r="E57" s="31">
        <v>159</v>
      </c>
      <c r="F57" s="31">
        <v>0</v>
      </c>
      <c r="G57" s="32">
        <v>1</v>
      </c>
      <c r="H57" s="32" t="s">
        <v>39</v>
      </c>
      <c r="I57" s="31">
        <v>16</v>
      </c>
      <c r="J57" s="31" t="s">
        <v>65</v>
      </c>
      <c r="K57" s="33" t="s">
        <v>271</v>
      </c>
      <c r="L57" s="33" t="s">
        <v>40</v>
      </c>
      <c r="M57" s="33" t="s">
        <v>40</v>
      </c>
      <c r="N57" s="31" t="s">
        <v>40</v>
      </c>
      <c r="O57" s="31" t="s">
        <v>246</v>
      </c>
      <c r="P57" s="16" t="s">
        <v>141</v>
      </c>
      <c r="Q57" s="16"/>
      <c r="R57" s="34"/>
      <c r="S57" s="17"/>
      <c r="T57" s="17"/>
      <c r="U57" s="17"/>
    </row>
    <row r="58" customFormat="1" ht="28.5" customHeight="1" spans="1:21">
      <c r="A58" s="27">
        <v>11922</v>
      </c>
      <c r="B58" s="28" t="s">
        <v>108</v>
      </c>
      <c r="C58" s="29" t="s">
        <v>47</v>
      </c>
      <c r="D58" s="30">
        <v>46056</v>
      </c>
      <c r="E58" s="31">
        <v>174</v>
      </c>
      <c r="F58" s="31">
        <v>0</v>
      </c>
      <c r="G58" s="32">
        <v>1</v>
      </c>
      <c r="H58" s="32" t="s">
        <v>39</v>
      </c>
      <c r="I58" s="31">
        <v>5</v>
      </c>
      <c r="J58" s="31" t="s">
        <v>65</v>
      </c>
      <c r="K58" s="33" t="s">
        <v>40</v>
      </c>
      <c r="L58" s="33" t="s">
        <v>40</v>
      </c>
      <c r="M58" s="33" t="s">
        <v>40</v>
      </c>
      <c r="N58" s="31" t="s">
        <v>40</v>
      </c>
      <c r="O58" s="31" t="s">
        <v>246</v>
      </c>
      <c r="P58" s="16"/>
      <c r="Q58" s="16"/>
      <c r="R58" s="34"/>
      <c r="S58" s="17"/>
      <c r="T58" s="17"/>
      <c r="U58" s="17"/>
    </row>
    <row r="59" customFormat="1" ht="28.5" customHeight="1" spans="1:21">
      <c r="A59" s="27">
        <v>11923</v>
      </c>
      <c r="B59" s="28" t="s">
        <v>109</v>
      </c>
      <c r="C59" s="29" t="s">
        <v>47</v>
      </c>
      <c r="D59" s="30">
        <v>46056</v>
      </c>
      <c r="E59" s="31">
        <v>159</v>
      </c>
      <c r="F59" s="31">
        <v>0</v>
      </c>
      <c r="G59" s="32">
        <v>1</v>
      </c>
      <c r="H59" s="32" t="s">
        <v>39</v>
      </c>
      <c r="I59" s="31">
        <v>16</v>
      </c>
      <c r="J59" s="31" t="s">
        <v>65</v>
      </c>
      <c r="K59" s="33" t="s">
        <v>271</v>
      </c>
      <c r="L59" s="33" t="s">
        <v>40</v>
      </c>
      <c r="M59" s="33" t="s">
        <v>40</v>
      </c>
      <c r="N59" s="31" t="s">
        <v>40</v>
      </c>
      <c r="O59" s="31" t="s">
        <v>246</v>
      </c>
      <c r="P59" s="16" t="s">
        <v>141</v>
      </c>
      <c r="Q59" s="16"/>
      <c r="R59" s="34"/>
      <c r="S59" s="17"/>
      <c r="T59" s="17"/>
      <c r="U59" s="17"/>
    </row>
    <row r="60" customFormat="1" ht="28.5" customHeight="1" spans="1:21">
      <c r="A60" s="27">
        <v>11927</v>
      </c>
      <c r="B60" s="28" t="s">
        <v>110</v>
      </c>
      <c r="C60" s="29" t="s">
        <v>32</v>
      </c>
      <c r="D60" s="30">
        <v>46056</v>
      </c>
      <c r="E60" s="31">
        <v>30</v>
      </c>
      <c r="F60" s="31">
        <v>0</v>
      </c>
      <c r="G60" s="32" t="s">
        <v>62</v>
      </c>
      <c r="H60" s="32" t="s">
        <v>34</v>
      </c>
      <c r="I60" s="31">
        <v>11</v>
      </c>
      <c r="J60" s="31" t="s">
        <v>49</v>
      </c>
      <c r="K60" s="33" t="s">
        <v>271</v>
      </c>
      <c r="L60" s="33" t="s">
        <v>40</v>
      </c>
      <c r="M60" s="33" t="s">
        <v>40</v>
      </c>
      <c r="N60" s="31" t="s">
        <v>43</v>
      </c>
      <c r="O60" s="31" t="s">
        <v>279</v>
      </c>
      <c r="P60" s="16" t="s">
        <v>245</v>
      </c>
      <c r="Q60" s="16"/>
      <c r="R60" s="34" t="s">
        <v>292</v>
      </c>
      <c r="S60" s="17"/>
      <c r="T60" s="17"/>
      <c r="U60" s="17"/>
    </row>
    <row r="61" customFormat="1" ht="28.5" customHeight="1" spans="1:21">
      <c r="A61" s="27">
        <v>11928</v>
      </c>
      <c r="B61" s="28" t="s">
        <v>111</v>
      </c>
      <c r="C61" s="29" t="s">
        <v>47</v>
      </c>
      <c r="D61" s="30">
        <v>46056</v>
      </c>
      <c r="E61" s="31">
        <v>27</v>
      </c>
      <c r="F61" s="31">
        <v>0</v>
      </c>
      <c r="G61" s="32">
        <v>1</v>
      </c>
      <c r="H61" s="32" t="s">
        <v>34</v>
      </c>
      <c r="I61" s="31">
        <v>8</v>
      </c>
      <c r="J61" s="31" t="s">
        <v>49</v>
      </c>
      <c r="K61" s="33" t="s">
        <v>271</v>
      </c>
      <c r="L61" s="33" t="s">
        <v>40</v>
      </c>
      <c r="M61" s="33" t="s">
        <v>40</v>
      </c>
      <c r="N61" s="31" t="s">
        <v>40</v>
      </c>
      <c r="O61" s="31" t="s">
        <v>246</v>
      </c>
      <c r="P61" s="16" t="s">
        <v>245</v>
      </c>
      <c r="Q61" s="16"/>
      <c r="R61" s="34" t="s">
        <v>293</v>
      </c>
      <c r="S61" s="17"/>
      <c r="T61" s="17"/>
      <c r="U61" s="17"/>
    </row>
    <row r="62" customFormat="1" ht="28.5" customHeight="1" spans="1:21">
      <c r="A62" s="27">
        <v>12359</v>
      </c>
      <c r="B62" s="28" t="s">
        <v>104</v>
      </c>
      <c r="C62" s="29" t="s">
        <v>105</v>
      </c>
      <c r="D62" s="30">
        <v>46056</v>
      </c>
      <c r="E62" s="31">
        <v>499</v>
      </c>
      <c r="F62" s="31">
        <v>0</v>
      </c>
      <c r="G62" s="32">
        <v>1</v>
      </c>
      <c r="H62" s="32" t="s">
        <v>39</v>
      </c>
      <c r="I62" s="31">
        <v>12</v>
      </c>
      <c r="J62" s="31" t="s">
        <v>45</v>
      </c>
      <c r="K62" s="33" t="s">
        <v>271</v>
      </c>
      <c r="L62" s="33" t="s">
        <v>40</v>
      </c>
      <c r="M62" s="33" t="s">
        <v>40</v>
      </c>
      <c r="N62" s="31" t="s">
        <v>40</v>
      </c>
      <c r="O62" s="31" t="s">
        <v>246</v>
      </c>
      <c r="P62" s="16" t="s">
        <v>248</v>
      </c>
      <c r="Q62" s="16"/>
      <c r="R62" s="34" t="s">
        <v>294</v>
      </c>
      <c r="S62" s="17"/>
      <c r="T62" s="17"/>
      <c r="U62" s="17"/>
    </row>
    <row r="63" customFormat="1" ht="28.5" customHeight="1" spans="1:21">
      <c r="A63" s="27">
        <v>11926</v>
      </c>
      <c r="B63" s="28" t="s">
        <v>112</v>
      </c>
      <c r="C63" s="29" t="s">
        <v>32</v>
      </c>
      <c r="D63" s="30">
        <v>46062</v>
      </c>
      <c r="E63" s="31">
        <v>79</v>
      </c>
      <c r="F63" s="31">
        <v>0</v>
      </c>
      <c r="G63" s="32">
        <v>1</v>
      </c>
      <c r="H63" s="32" t="s">
        <v>39</v>
      </c>
      <c r="I63" s="31">
        <v>11</v>
      </c>
      <c r="J63" s="31" t="s">
        <v>49</v>
      </c>
      <c r="K63" s="33" t="s">
        <v>271</v>
      </c>
      <c r="L63" s="33" t="s">
        <v>40</v>
      </c>
      <c r="M63" s="33" t="s">
        <v>40</v>
      </c>
      <c r="N63" s="31" t="s">
        <v>40</v>
      </c>
      <c r="O63" s="31" t="s">
        <v>246</v>
      </c>
      <c r="P63" s="16" t="s">
        <v>245</v>
      </c>
      <c r="Q63" s="16"/>
      <c r="R63" s="34" t="s">
        <v>295</v>
      </c>
      <c r="S63" s="17"/>
      <c r="T63" s="17"/>
      <c r="U63" s="17"/>
    </row>
    <row r="64" customFormat="1" ht="28.5" customHeight="1" spans="1:21">
      <c r="A64" s="27">
        <v>11998</v>
      </c>
      <c r="B64" s="28" t="s">
        <v>113</v>
      </c>
      <c r="C64" s="29" t="s">
        <v>47</v>
      </c>
      <c r="D64" s="30">
        <v>46062</v>
      </c>
      <c r="E64" s="31">
        <v>499</v>
      </c>
      <c r="F64" s="31">
        <v>0</v>
      </c>
      <c r="G64" s="32">
        <v>1</v>
      </c>
      <c r="H64" s="32" t="s">
        <v>39</v>
      </c>
      <c r="I64" s="31">
        <v>5</v>
      </c>
      <c r="J64" s="31" t="s">
        <v>49</v>
      </c>
      <c r="K64" s="33" t="s">
        <v>40</v>
      </c>
      <c r="L64" s="33" t="s">
        <v>40</v>
      </c>
      <c r="M64" s="33" t="s">
        <v>40</v>
      </c>
      <c r="N64" s="31" t="s">
        <v>40</v>
      </c>
      <c r="O64" s="31" t="s">
        <v>246</v>
      </c>
      <c r="P64" s="16"/>
      <c r="Q64" s="16"/>
      <c r="R64" s="34"/>
      <c r="S64" s="17"/>
      <c r="T64" s="17"/>
      <c r="U64" s="17"/>
    </row>
    <row r="65" customFormat="1" ht="28.5" customHeight="1" spans="1:21">
      <c r="A65" s="27">
        <v>11929</v>
      </c>
      <c r="B65" s="28" t="s">
        <v>114</v>
      </c>
      <c r="C65" s="29" t="s">
        <v>32</v>
      </c>
      <c r="D65" s="30">
        <v>46062</v>
      </c>
      <c r="E65" s="31">
        <v>118</v>
      </c>
      <c r="F65" s="31">
        <v>0</v>
      </c>
      <c r="G65" s="32" t="s">
        <v>62</v>
      </c>
      <c r="H65" s="32" t="s">
        <v>39</v>
      </c>
      <c r="I65" s="31">
        <v>11</v>
      </c>
      <c r="J65" s="31" t="s">
        <v>49</v>
      </c>
      <c r="K65" s="33" t="s">
        <v>271</v>
      </c>
      <c r="L65" s="33" t="s">
        <v>40</v>
      </c>
      <c r="M65" s="33" t="s">
        <v>40</v>
      </c>
      <c r="N65" s="31" t="s">
        <v>35</v>
      </c>
      <c r="O65" s="31" t="s">
        <v>272</v>
      </c>
      <c r="P65" s="16" t="s">
        <v>246</v>
      </c>
      <c r="Q65" s="16"/>
      <c r="R65" s="34" t="s">
        <v>296</v>
      </c>
      <c r="S65" s="17"/>
      <c r="T65" s="17"/>
      <c r="U65" s="17"/>
    </row>
    <row r="66" customFormat="1" ht="28.5" customHeight="1" spans="1:21">
      <c r="A66" s="27">
        <v>12061</v>
      </c>
      <c r="B66" s="28" t="s">
        <v>115</v>
      </c>
      <c r="C66" s="29" t="s">
        <v>47</v>
      </c>
      <c r="D66" s="30">
        <v>46062</v>
      </c>
      <c r="E66" s="31">
        <v>49.9</v>
      </c>
      <c r="F66" s="31">
        <v>0</v>
      </c>
      <c r="G66" s="32">
        <v>1</v>
      </c>
      <c r="H66" s="32" t="s">
        <v>39</v>
      </c>
      <c r="I66" s="31">
        <v>11</v>
      </c>
      <c r="J66" s="31" t="s">
        <v>102</v>
      </c>
      <c r="K66" s="33" t="s">
        <v>271</v>
      </c>
      <c r="L66" s="33" t="s">
        <v>40</v>
      </c>
      <c r="M66" s="33" t="s">
        <v>40</v>
      </c>
      <c r="N66" s="31" t="s">
        <v>40</v>
      </c>
      <c r="O66" s="31" t="s">
        <v>246</v>
      </c>
      <c r="P66" s="16" t="s">
        <v>246</v>
      </c>
      <c r="Q66" s="16"/>
      <c r="R66" s="34" t="s">
        <v>297</v>
      </c>
      <c r="S66" s="17"/>
      <c r="T66" s="17"/>
      <c r="U66" s="17"/>
    </row>
    <row r="67" customFormat="1" ht="28.5" customHeight="1" spans="1:21">
      <c r="A67" s="27">
        <v>11990</v>
      </c>
      <c r="B67" s="28" t="s">
        <v>116</v>
      </c>
      <c r="C67" s="29" t="s">
        <v>32</v>
      </c>
      <c r="D67" s="30">
        <v>46062</v>
      </c>
      <c r="E67" s="31">
        <v>82</v>
      </c>
      <c r="F67" s="31">
        <v>0</v>
      </c>
      <c r="G67" s="32" t="s">
        <v>62</v>
      </c>
      <c r="H67" s="32" t="s">
        <v>33</v>
      </c>
      <c r="I67" s="31">
        <v>1</v>
      </c>
      <c r="J67" s="31" t="s">
        <v>45</v>
      </c>
      <c r="K67" s="33" t="s">
        <v>40</v>
      </c>
      <c r="L67" s="33" t="s">
        <v>271</v>
      </c>
      <c r="M67" s="33" t="s">
        <v>40</v>
      </c>
      <c r="N67" s="31" t="s">
        <v>35</v>
      </c>
      <c r="O67" s="31" t="s">
        <v>272</v>
      </c>
      <c r="P67" s="16" t="s">
        <v>248</v>
      </c>
      <c r="Q67" s="16"/>
      <c r="R67" s="34" t="s">
        <v>298</v>
      </c>
      <c r="S67" s="17"/>
      <c r="T67" s="17"/>
      <c r="U67" s="17"/>
    </row>
    <row r="68" customFormat="1" ht="28.5" customHeight="1" spans="1:21">
      <c r="A68" s="27">
        <v>11991</v>
      </c>
      <c r="B68" s="28" t="s">
        <v>117</v>
      </c>
      <c r="C68" s="29" t="s">
        <v>47</v>
      </c>
      <c r="D68" s="30">
        <v>46062</v>
      </c>
      <c r="E68" s="31">
        <v>40</v>
      </c>
      <c r="F68" s="31">
        <v>0</v>
      </c>
      <c r="G68" s="32">
        <v>1</v>
      </c>
      <c r="H68" s="32" t="s">
        <v>34</v>
      </c>
      <c r="I68" s="31">
        <v>13</v>
      </c>
      <c r="J68" s="31" t="s">
        <v>45</v>
      </c>
      <c r="K68" s="33" t="s">
        <v>271</v>
      </c>
      <c r="L68" s="33" t="s">
        <v>40</v>
      </c>
      <c r="M68" s="33" t="s">
        <v>40</v>
      </c>
      <c r="N68" s="31" t="s">
        <v>40</v>
      </c>
      <c r="O68" s="31" t="s">
        <v>246</v>
      </c>
      <c r="P68" s="16" t="s">
        <v>245</v>
      </c>
      <c r="Q68" s="16"/>
      <c r="R68" s="34" t="s">
        <v>299</v>
      </c>
      <c r="S68" s="17"/>
      <c r="T68" s="17"/>
      <c r="U68" s="17"/>
    </row>
    <row r="69" customFormat="1" ht="28.5" customHeight="1" spans="1:21">
      <c r="A69" s="27">
        <v>11981</v>
      </c>
      <c r="B69" s="28" t="s">
        <v>118</v>
      </c>
      <c r="C69" s="29" t="s">
        <v>32</v>
      </c>
      <c r="D69" s="30">
        <v>46066</v>
      </c>
      <c r="E69" s="31">
        <v>159</v>
      </c>
      <c r="F69" s="31">
        <v>0</v>
      </c>
      <c r="G69" s="32">
        <v>1</v>
      </c>
      <c r="H69" s="32" t="s">
        <v>39</v>
      </c>
      <c r="I69" s="31">
        <v>11</v>
      </c>
      <c r="J69" s="31" t="s">
        <v>102</v>
      </c>
      <c r="K69" s="33" t="s">
        <v>271</v>
      </c>
      <c r="L69" s="33" t="s">
        <v>40</v>
      </c>
      <c r="M69" s="33" t="s">
        <v>40</v>
      </c>
      <c r="N69" s="31" t="s">
        <v>40</v>
      </c>
      <c r="O69" s="31" t="s">
        <v>246</v>
      </c>
      <c r="P69" s="16" t="s">
        <v>245</v>
      </c>
      <c r="Q69" s="16"/>
      <c r="R69" s="34" t="s">
        <v>300</v>
      </c>
      <c r="S69" s="17"/>
      <c r="T69" s="17"/>
      <c r="U69" s="17"/>
    </row>
    <row r="70" customFormat="1" ht="28.5" customHeight="1" spans="1:21">
      <c r="A70" s="27">
        <v>11890</v>
      </c>
      <c r="B70" s="28" t="s">
        <v>119</v>
      </c>
      <c r="C70" s="29" t="s">
        <v>47</v>
      </c>
      <c r="D70" s="30">
        <v>46066</v>
      </c>
      <c r="E70" s="31">
        <v>46</v>
      </c>
      <c r="F70" s="31">
        <v>93.27</v>
      </c>
      <c r="G70" s="32">
        <v>0.6667</v>
      </c>
      <c r="H70" s="32" t="s">
        <v>34</v>
      </c>
      <c r="I70" s="31">
        <v>15</v>
      </c>
      <c r="J70" s="31" t="s">
        <v>65</v>
      </c>
      <c r="K70" s="33" t="s">
        <v>271</v>
      </c>
      <c r="L70" s="33" t="s">
        <v>40</v>
      </c>
      <c r="M70" s="33" t="s">
        <v>40</v>
      </c>
      <c r="N70" s="31" t="s">
        <v>36</v>
      </c>
      <c r="O70" s="31" t="s">
        <v>273</v>
      </c>
      <c r="P70" s="16" t="s">
        <v>141</v>
      </c>
      <c r="Q70" s="16"/>
      <c r="R70" s="34"/>
      <c r="S70" s="17"/>
      <c r="T70" s="17"/>
      <c r="U70" s="17"/>
    </row>
    <row r="71" customFormat="1" ht="28.5" customHeight="1" spans="1:21">
      <c r="A71" s="27">
        <v>11989</v>
      </c>
      <c r="B71" s="28" t="s">
        <v>120</v>
      </c>
      <c r="C71" s="29" t="s">
        <v>32</v>
      </c>
      <c r="D71" s="30">
        <v>46066</v>
      </c>
      <c r="E71" s="31">
        <v>105</v>
      </c>
      <c r="F71" s="31">
        <v>96</v>
      </c>
      <c r="G71" s="32">
        <v>0.3333</v>
      </c>
      <c r="H71" s="32" t="s">
        <v>39</v>
      </c>
      <c r="I71" s="31">
        <v>11</v>
      </c>
      <c r="J71" s="31" t="s">
        <v>102</v>
      </c>
      <c r="K71" s="33" t="s">
        <v>271</v>
      </c>
      <c r="L71" s="33" t="s">
        <v>40</v>
      </c>
      <c r="M71" s="33" t="s">
        <v>40</v>
      </c>
      <c r="N71" s="31" t="s">
        <v>36</v>
      </c>
      <c r="O71" s="31" t="s">
        <v>273</v>
      </c>
      <c r="P71" s="16" t="s">
        <v>245</v>
      </c>
      <c r="Q71" s="16"/>
      <c r="R71" s="34" t="s">
        <v>301</v>
      </c>
      <c r="S71" s="17"/>
      <c r="T71" s="17"/>
      <c r="U71" s="17"/>
    </row>
    <row r="72" customFormat="1" ht="28.5" customHeight="1" spans="1:21">
      <c r="A72" s="27">
        <v>12088</v>
      </c>
      <c r="B72" s="28" t="s">
        <v>121</v>
      </c>
      <c r="C72" s="29" t="s">
        <v>47</v>
      </c>
      <c r="D72" s="30">
        <v>46066</v>
      </c>
      <c r="E72" s="31">
        <v>83</v>
      </c>
      <c r="F72" s="31">
        <v>83</v>
      </c>
      <c r="G72" s="32">
        <v>0</v>
      </c>
      <c r="H72" s="32" t="s">
        <v>39</v>
      </c>
      <c r="I72" s="31">
        <v>16</v>
      </c>
      <c r="J72" s="31" t="s">
        <v>65</v>
      </c>
      <c r="K72" s="33" t="s">
        <v>271</v>
      </c>
      <c r="L72" s="33" t="s">
        <v>40</v>
      </c>
      <c r="M72" s="33" t="s">
        <v>40</v>
      </c>
      <c r="N72" s="31" t="s">
        <v>36</v>
      </c>
      <c r="O72" s="31" t="s">
        <v>273</v>
      </c>
      <c r="P72" s="16" t="s">
        <v>141</v>
      </c>
      <c r="Q72" s="16"/>
      <c r="R72" s="34"/>
      <c r="S72" s="17"/>
      <c r="T72" s="17"/>
      <c r="U72" s="17"/>
    </row>
    <row r="73" customFormat="1" ht="28.5" customHeight="1" spans="1:21">
      <c r="A73" s="27">
        <v>12089</v>
      </c>
      <c r="B73" s="28" t="s">
        <v>122</v>
      </c>
      <c r="C73" s="29" t="s">
        <v>47</v>
      </c>
      <c r="D73" s="30">
        <v>46066</v>
      </c>
      <c r="E73" s="31">
        <v>89</v>
      </c>
      <c r="F73" s="31">
        <v>115.99</v>
      </c>
      <c r="G73" s="32">
        <v>0.6</v>
      </c>
      <c r="H73" s="32" t="s">
        <v>39</v>
      </c>
      <c r="I73" s="31">
        <v>16</v>
      </c>
      <c r="J73" s="31" t="s">
        <v>65</v>
      </c>
      <c r="K73" s="33" t="s">
        <v>271</v>
      </c>
      <c r="L73" s="33" t="s">
        <v>40</v>
      </c>
      <c r="M73" s="33" t="s">
        <v>40</v>
      </c>
      <c r="N73" s="31" t="s">
        <v>36</v>
      </c>
      <c r="O73" s="31" t="s">
        <v>273</v>
      </c>
      <c r="P73" s="16" t="s">
        <v>141</v>
      </c>
      <c r="Q73" s="16"/>
      <c r="R73" s="34"/>
      <c r="S73" s="17"/>
      <c r="T73" s="17"/>
      <c r="U73" s="17"/>
    </row>
    <row r="74" customFormat="1" ht="28.5" customHeight="1" spans="1:21">
      <c r="A74" s="27">
        <v>12002</v>
      </c>
      <c r="B74" s="28" t="s">
        <v>123</v>
      </c>
      <c r="C74" s="29" t="s">
        <v>32</v>
      </c>
      <c r="D74" s="30">
        <v>46066</v>
      </c>
      <c r="E74" s="31">
        <v>80</v>
      </c>
      <c r="F74" s="31">
        <v>0</v>
      </c>
      <c r="G74" s="32">
        <v>1</v>
      </c>
      <c r="H74" s="32" t="s">
        <v>34</v>
      </c>
      <c r="I74" s="31">
        <v>16</v>
      </c>
      <c r="J74" s="31" t="s">
        <v>65</v>
      </c>
      <c r="K74" s="33" t="s">
        <v>271</v>
      </c>
      <c r="L74" s="33" t="s">
        <v>40</v>
      </c>
      <c r="M74" s="33" t="s">
        <v>40</v>
      </c>
      <c r="N74" s="31" t="s">
        <v>40</v>
      </c>
      <c r="O74" s="31" t="s">
        <v>246</v>
      </c>
      <c r="P74" s="16" t="s">
        <v>141</v>
      </c>
      <c r="Q74" s="16"/>
      <c r="R74" s="34"/>
      <c r="S74" s="17"/>
      <c r="T74" s="17"/>
      <c r="U74" s="17"/>
    </row>
    <row r="75" customFormat="1" ht="28.5" customHeight="1" spans="1:21">
      <c r="A75" s="27">
        <v>11938</v>
      </c>
      <c r="B75" s="28" t="s">
        <v>124</v>
      </c>
      <c r="C75" s="29" t="s">
        <v>47</v>
      </c>
      <c r="D75" s="30">
        <v>46066</v>
      </c>
      <c r="E75" s="31">
        <v>45</v>
      </c>
      <c r="F75" s="31">
        <v>0</v>
      </c>
      <c r="G75" s="32" t="s">
        <v>62</v>
      </c>
      <c r="H75" s="32" t="s">
        <v>33</v>
      </c>
      <c r="I75" s="31">
        <v>7</v>
      </c>
      <c r="J75" s="31" t="s">
        <v>65</v>
      </c>
      <c r="K75" s="33" t="s">
        <v>40</v>
      </c>
      <c r="L75" s="33" t="s">
        <v>271</v>
      </c>
      <c r="M75" s="33" t="s">
        <v>40</v>
      </c>
      <c r="N75" s="31" t="s">
        <v>43</v>
      </c>
      <c r="O75" s="31" t="s">
        <v>279</v>
      </c>
      <c r="P75" s="16"/>
      <c r="Q75" s="16"/>
      <c r="R75" s="34"/>
      <c r="S75" s="17"/>
      <c r="T75" s="17"/>
      <c r="U75" s="17"/>
    </row>
    <row r="76" customFormat="1" ht="28.5" customHeight="1" spans="1:21">
      <c r="A76" s="27">
        <v>12005</v>
      </c>
      <c r="B76" s="28" t="s">
        <v>125</v>
      </c>
      <c r="C76" s="29" t="s">
        <v>32</v>
      </c>
      <c r="D76" s="30">
        <v>46066</v>
      </c>
      <c r="E76" s="31">
        <v>70</v>
      </c>
      <c r="F76" s="31">
        <v>69</v>
      </c>
      <c r="G76" s="32">
        <v>0.7</v>
      </c>
      <c r="H76" s="32" t="s">
        <v>34</v>
      </c>
      <c r="I76" s="31">
        <v>16</v>
      </c>
      <c r="J76" s="31" t="s">
        <v>65</v>
      </c>
      <c r="K76" s="33" t="s">
        <v>271</v>
      </c>
      <c r="L76" s="33" t="s">
        <v>40</v>
      </c>
      <c r="M76" s="33" t="s">
        <v>40</v>
      </c>
      <c r="N76" s="31" t="s">
        <v>40</v>
      </c>
      <c r="O76" s="31" t="s">
        <v>246</v>
      </c>
      <c r="P76" s="16" t="s">
        <v>141</v>
      </c>
      <c r="Q76" s="16"/>
      <c r="R76" s="34"/>
      <c r="S76" s="17"/>
      <c r="T76" s="17"/>
      <c r="U76" s="17"/>
    </row>
    <row r="77" customFormat="1" ht="28.5" customHeight="1" spans="1:21">
      <c r="A77" s="27">
        <v>12006</v>
      </c>
      <c r="B77" s="28" t="s">
        <v>126</v>
      </c>
      <c r="C77" s="29" t="s">
        <v>32</v>
      </c>
      <c r="D77" s="30">
        <v>46066</v>
      </c>
      <c r="E77" s="31">
        <v>56</v>
      </c>
      <c r="F77" s="31">
        <v>72.99</v>
      </c>
      <c r="G77" s="32">
        <v>0.8</v>
      </c>
      <c r="H77" s="32" t="s">
        <v>39</v>
      </c>
      <c r="I77" s="31">
        <v>16</v>
      </c>
      <c r="J77" s="31" t="s">
        <v>65</v>
      </c>
      <c r="K77" s="33" t="s">
        <v>271</v>
      </c>
      <c r="L77" s="33" t="s">
        <v>40</v>
      </c>
      <c r="M77" s="33" t="s">
        <v>40</v>
      </c>
      <c r="N77" s="31" t="s">
        <v>40</v>
      </c>
      <c r="O77" s="31" t="s">
        <v>246</v>
      </c>
      <c r="P77" s="16" t="s">
        <v>141</v>
      </c>
      <c r="Q77" s="16"/>
      <c r="R77" s="34"/>
      <c r="S77" s="17"/>
      <c r="T77" s="17"/>
      <c r="U77" s="17"/>
    </row>
    <row r="78" customFormat="1" ht="28.5" customHeight="1" spans="1:21">
      <c r="A78" s="27">
        <v>12011</v>
      </c>
      <c r="B78" s="28" t="s">
        <v>127</v>
      </c>
      <c r="C78" s="29" t="s">
        <v>32</v>
      </c>
      <c r="D78" s="30">
        <v>46066</v>
      </c>
      <c r="E78" s="31">
        <v>135</v>
      </c>
      <c r="F78" s="31">
        <v>146.99</v>
      </c>
      <c r="G78" s="32">
        <v>0.8</v>
      </c>
      <c r="H78" s="32" t="s">
        <v>39</v>
      </c>
      <c r="I78" s="31">
        <v>11</v>
      </c>
      <c r="J78" s="31" t="s">
        <v>102</v>
      </c>
      <c r="K78" s="33" t="s">
        <v>271</v>
      </c>
      <c r="L78" s="33" t="s">
        <v>40</v>
      </c>
      <c r="M78" s="33" t="s">
        <v>40</v>
      </c>
      <c r="N78" s="31" t="s">
        <v>40</v>
      </c>
      <c r="O78" s="31" t="s">
        <v>246</v>
      </c>
      <c r="P78" s="16" t="s">
        <v>245</v>
      </c>
      <c r="Q78" s="16"/>
      <c r="R78" s="34" t="s">
        <v>302</v>
      </c>
      <c r="S78" s="17"/>
      <c r="T78" s="17"/>
      <c r="U78" s="17"/>
    </row>
    <row r="79" customFormat="1" ht="28.5" customHeight="1" spans="1:21">
      <c r="A79" s="27">
        <v>12021</v>
      </c>
      <c r="B79" s="28" t="s">
        <v>128</v>
      </c>
      <c r="C79" s="29" t="s">
        <v>32</v>
      </c>
      <c r="D79" s="30">
        <v>46066</v>
      </c>
      <c r="E79" s="31">
        <v>53</v>
      </c>
      <c r="F79" s="31">
        <v>52.9</v>
      </c>
      <c r="G79" s="32">
        <v>0.3333</v>
      </c>
      <c r="H79" s="32" t="s">
        <v>39</v>
      </c>
      <c r="I79" s="31">
        <v>5</v>
      </c>
      <c r="J79" s="31" t="s">
        <v>65</v>
      </c>
      <c r="K79" s="33" t="s">
        <v>40</v>
      </c>
      <c r="L79" s="33" t="s">
        <v>40</v>
      </c>
      <c r="M79" s="33" t="s">
        <v>40</v>
      </c>
      <c r="N79" s="31" t="s">
        <v>36</v>
      </c>
      <c r="O79" s="31" t="s">
        <v>273</v>
      </c>
      <c r="P79" s="16"/>
      <c r="Q79" s="16"/>
      <c r="R79" s="34"/>
      <c r="S79" s="17"/>
      <c r="T79" s="17"/>
      <c r="U79" s="17"/>
    </row>
    <row r="80" customFormat="1" ht="28.5" customHeight="1" spans="1:21">
      <c r="A80" s="27">
        <v>12023</v>
      </c>
      <c r="B80" s="28" t="s">
        <v>129</v>
      </c>
      <c r="C80" s="29" t="s">
        <v>32</v>
      </c>
      <c r="D80" s="30">
        <v>46066</v>
      </c>
      <c r="E80" s="31">
        <v>53</v>
      </c>
      <c r="F80" s="31">
        <v>56.99</v>
      </c>
      <c r="G80" s="32">
        <v>0</v>
      </c>
      <c r="H80" s="32" t="s">
        <v>33</v>
      </c>
      <c r="I80" s="31">
        <v>8</v>
      </c>
      <c r="J80" s="31" t="s">
        <v>30</v>
      </c>
      <c r="K80" s="33" t="s">
        <v>271</v>
      </c>
      <c r="L80" s="33" t="s">
        <v>271</v>
      </c>
      <c r="M80" s="33" t="s">
        <v>40</v>
      </c>
      <c r="N80" s="31" t="s">
        <v>36</v>
      </c>
      <c r="O80" s="31" t="s">
        <v>273</v>
      </c>
      <c r="P80" s="16" t="s">
        <v>141</v>
      </c>
      <c r="Q80" s="16"/>
      <c r="R80" s="34"/>
      <c r="S80" s="17"/>
      <c r="T80" s="17"/>
      <c r="U80" s="17"/>
    </row>
    <row r="81" customFormat="1" ht="28.5" customHeight="1" spans="1:21">
      <c r="A81" s="27">
        <v>12058</v>
      </c>
      <c r="B81" s="28" t="s">
        <v>130</v>
      </c>
      <c r="C81" s="29" t="s">
        <v>32</v>
      </c>
      <c r="D81" s="30">
        <v>46070</v>
      </c>
      <c r="E81" s="31">
        <v>20</v>
      </c>
      <c r="F81" s="31">
        <v>22.99</v>
      </c>
      <c r="G81" s="32">
        <v>0.25</v>
      </c>
      <c r="H81" s="32" t="s">
        <v>34</v>
      </c>
      <c r="I81" s="31">
        <v>1</v>
      </c>
      <c r="J81" s="31" t="s">
        <v>102</v>
      </c>
      <c r="K81" s="33" t="s">
        <v>40</v>
      </c>
      <c r="L81" s="33" t="s">
        <v>40</v>
      </c>
      <c r="M81" s="33" t="s">
        <v>40</v>
      </c>
      <c r="N81" s="31" t="s">
        <v>36</v>
      </c>
      <c r="O81" s="31" t="s">
        <v>273</v>
      </c>
      <c r="P81" s="16"/>
      <c r="Q81" s="16"/>
      <c r="R81" s="34"/>
      <c r="S81" s="17"/>
      <c r="T81" s="17"/>
      <c r="U81" s="17"/>
    </row>
    <row r="82" customFormat="1" ht="28.5" customHeight="1" spans="1:21">
      <c r="A82" s="27">
        <v>12059</v>
      </c>
      <c r="B82" s="28" t="s">
        <v>131</v>
      </c>
      <c r="C82" s="29" t="s">
        <v>32</v>
      </c>
      <c r="D82" s="30">
        <v>46070</v>
      </c>
      <c r="E82" s="31">
        <v>20</v>
      </c>
      <c r="F82" s="31">
        <v>21.69</v>
      </c>
      <c r="G82" s="32">
        <v>0.25</v>
      </c>
      <c r="H82" s="32" t="s">
        <v>39</v>
      </c>
      <c r="I82" s="31">
        <v>5</v>
      </c>
      <c r="J82" s="31" t="s">
        <v>102</v>
      </c>
      <c r="K82" s="33" t="s">
        <v>40</v>
      </c>
      <c r="L82" s="33" t="s">
        <v>40</v>
      </c>
      <c r="M82" s="33" t="s">
        <v>40</v>
      </c>
      <c r="N82" s="31" t="s">
        <v>36</v>
      </c>
      <c r="O82" s="31" t="s">
        <v>273</v>
      </c>
      <c r="P82" s="16"/>
      <c r="Q82" s="16"/>
      <c r="R82" s="34"/>
      <c r="S82" s="17"/>
      <c r="T82" s="17"/>
      <c r="U82" s="17"/>
    </row>
    <row r="83" customFormat="1" ht="28.5" customHeight="1" spans="1:21">
      <c r="A83" s="27">
        <v>12060</v>
      </c>
      <c r="B83" s="28" t="s">
        <v>132</v>
      </c>
      <c r="C83" s="29" t="s">
        <v>32</v>
      </c>
      <c r="D83" s="30">
        <v>46070</v>
      </c>
      <c r="E83" s="31">
        <v>20</v>
      </c>
      <c r="F83" s="31">
        <v>14.99</v>
      </c>
      <c r="G83" s="32">
        <v>0.0769</v>
      </c>
      <c r="H83" s="32" t="s">
        <v>34</v>
      </c>
      <c r="I83" s="31">
        <v>5</v>
      </c>
      <c r="J83" s="31" t="s">
        <v>102</v>
      </c>
      <c r="K83" s="33" t="s">
        <v>40</v>
      </c>
      <c r="L83" s="33" t="s">
        <v>40</v>
      </c>
      <c r="M83" s="33" t="s">
        <v>40</v>
      </c>
      <c r="N83" s="31" t="s">
        <v>36</v>
      </c>
      <c r="O83" s="31" t="s">
        <v>273</v>
      </c>
      <c r="P83" s="16"/>
      <c r="Q83" s="16"/>
      <c r="R83" s="34"/>
      <c r="S83" s="17"/>
      <c r="T83" s="17"/>
      <c r="U83" s="17"/>
    </row>
    <row r="84" customFormat="1" ht="28.5" customHeight="1" spans="1:21">
      <c r="A84" s="27">
        <v>12139</v>
      </c>
      <c r="B84" s="28" t="s">
        <v>133</v>
      </c>
      <c r="C84" s="29" t="s">
        <v>32</v>
      </c>
      <c r="D84" s="30">
        <v>46070</v>
      </c>
      <c r="E84" s="31">
        <v>35.99</v>
      </c>
      <c r="F84" s="31">
        <v>105</v>
      </c>
      <c r="G84" s="32">
        <v>0.9</v>
      </c>
      <c r="H84" s="32" t="s">
        <v>34</v>
      </c>
      <c r="I84" s="31">
        <v>1</v>
      </c>
      <c r="J84" s="31" t="s">
        <v>102</v>
      </c>
      <c r="K84" s="33" t="s">
        <v>40</v>
      </c>
      <c r="L84" s="33" t="s">
        <v>40</v>
      </c>
      <c r="M84" s="33" t="s">
        <v>40</v>
      </c>
      <c r="N84" s="31" t="s">
        <v>40</v>
      </c>
      <c r="O84" s="31" t="s">
        <v>246</v>
      </c>
      <c r="P84" s="16"/>
      <c r="Q84" s="16"/>
      <c r="R84" s="34"/>
      <c r="S84" s="17"/>
      <c r="T84" s="17"/>
      <c r="U84" s="17"/>
    </row>
    <row r="85" customFormat="1" ht="28.5" customHeight="1" spans="1:21">
      <c r="A85" s="27">
        <v>12087</v>
      </c>
      <c r="B85" s="28" t="s">
        <v>134</v>
      </c>
      <c r="C85" s="29" t="s">
        <v>32</v>
      </c>
      <c r="D85" s="30">
        <v>46073</v>
      </c>
      <c r="E85" s="31">
        <v>45</v>
      </c>
      <c r="F85" s="31">
        <v>0</v>
      </c>
      <c r="G85" s="32">
        <v>1</v>
      </c>
      <c r="H85" s="32" t="s">
        <v>34</v>
      </c>
      <c r="I85" s="31">
        <v>0</v>
      </c>
      <c r="J85" s="31" t="s">
        <v>65</v>
      </c>
      <c r="K85" s="33" t="s">
        <v>40</v>
      </c>
      <c r="L85" s="33" t="s">
        <v>40</v>
      </c>
      <c r="M85" s="33" t="s">
        <v>40</v>
      </c>
      <c r="N85" s="31" t="s">
        <v>40</v>
      </c>
      <c r="O85" s="31" t="s">
        <v>246</v>
      </c>
      <c r="P85" s="16"/>
      <c r="Q85" s="16"/>
      <c r="R85" s="34"/>
      <c r="S85" s="17"/>
      <c r="T85" s="17"/>
      <c r="U85" s="17"/>
    </row>
    <row r="86" customFormat="1" ht="28.5" customHeight="1" spans="1:21">
      <c r="A86" s="27">
        <v>12143</v>
      </c>
      <c r="B86" s="28" t="s">
        <v>135</v>
      </c>
      <c r="C86" s="29" t="s">
        <v>32</v>
      </c>
      <c r="D86" s="30">
        <v>46076</v>
      </c>
      <c r="E86" s="31">
        <v>145</v>
      </c>
      <c r="F86" s="31">
        <v>295</v>
      </c>
      <c r="G86" s="32">
        <v>0</v>
      </c>
      <c r="H86" s="32" t="s">
        <v>33</v>
      </c>
      <c r="I86" s="31">
        <v>0</v>
      </c>
      <c r="J86" s="31" t="s">
        <v>49</v>
      </c>
      <c r="K86" s="33" t="s">
        <v>40</v>
      </c>
      <c r="L86" s="33" t="s">
        <v>271</v>
      </c>
      <c r="M86" s="33" t="s">
        <v>40</v>
      </c>
      <c r="N86" s="31" t="s">
        <v>36</v>
      </c>
      <c r="O86" s="31" t="s">
        <v>273</v>
      </c>
      <c r="P86" s="16" t="s">
        <v>245</v>
      </c>
      <c r="Q86" s="16"/>
      <c r="R86" s="34" t="s">
        <v>303</v>
      </c>
      <c r="S86" s="17"/>
      <c r="T86" s="17"/>
      <c r="U86" s="17"/>
    </row>
    <row r="87" customFormat="1" ht="28.5" customHeight="1" spans="1:21">
      <c r="A87" s="27">
        <v>12079</v>
      </c>
      <c r="B87" s="28" t="s">
        <v>136</v>
      </c>
      <c r="C87" s="29" t="s">
        <v>32</v>
      </c>
      <c r="D87" s="30">
        <v>46076</v>
      </c>
      <c r="E87" s="31">
        <v>116</v>
      </c>
      <c r="F87" s="31">
        <v>0</v>
      </c>
      <c r="G87" s="32">
        <v>1</v>
      </c>
      <c r="H87" s="32" t="s">
        <v>34</v>
      </c>
      <c r="I87" s="31">
        <v>15</v>
      </c>
      <c r="J87" s="31" t="s">
        <v>30</v>
      </c>
      <c r="K87" s="33" t="s">
        <v>271</v>
      </c>
      <c r="L87" s="33" t="s">
        <v>40</v>
      </c>
      <c r="M87" s="33" t="s">
        <v>40</v>
      </c>
      <c r="N87" s="31" t="s">
        <v>40</v>
      </c>
      <c r="O87" s="31" t="s">
        <v>246</v>
      </c>
      <c r="P87" s="16" t="s">
        <v>141</v>
      </c>
      <c r="Q87" s="16"/>
      <c r="R87" s="34"/>
      <c r="S87" s="17"/>
      <c r="T87" s="17"/>
      <c r="U87" s="17"/>
    </row>
    <row r="88" customFormat="1" ht="28.5" customHeight="1" spans="1:21">
      <c r="A88" s="27">
        <v>12104</v>
      </c>
      <c r="B88" s="28" t="s">
        <v>137</v>
      </c>
      <c r="C88" s="29" t="s">
        <v>32</v>
      </c>
      <c r="D88" s="30">
        <v>46076</v>
      </c>
      <c r="E88" s="31">
        <v>85</v>
      </c>
      <c r="F88" s="31">
        <v>0</v>
      </c>
      <c r="G88" s="32" t="s">
        <v>62</v>
      </c>
      <c r="H88" s="32" t="s">
        <v>39</v>
      </c>
      <c r="I88" s="31">
        <v>11</v>
      </c>
      <c r="J88" s="31" t="s">
        <v>30</v>
      </c>
      <c r="K88" s="33" t="s">
        <v>271</v>
      </c>
      <c r="L88" s="33" t="s">
        <v>40</v>
      </c>
      <c r="M88" s="33" t="s">
        <v>40</v>
      </c>
      <c r="N88" s="31" t="s">
        <v>43</v>
      </c>
      <c r="O88" s="31" t="s">
        <v>279</v>
      </c>
      <c r="P88" s="16" t="s">
        <v>141</v>
      </c>
      <c r="Q88" s="16"/>
      <c r="R88" s="34"/>
      <c r="S88" s="17"/>
      <c r="T88" s="17"/>
      <c r="U88" s="17"/>
    </row>
    <row r="89" customFormat="1" ht="28.5" customHeight="1" spans="1:21">
      <c r="A89" s="27">
        <v>12105</v>
      </c>
      <c r="B89" s="28" t="s">
        <v>138</v>
      </c>
      <c r="C89" s="29" t="s">
        <v>47</v>
      </c>
      <c r="D89" s="30">
        <v>46076</v>
      </c>
      <c r="E89" s="31">
        <v>52</v>
      </c>
      <c r="F89" s="31">
        <v>0</v>
      </c>
      <c r="G89" s="32" t="s">
        <v>62</v>
      </c>
      <c r="H89" s="32" t="s">
        <v>39</v>
      </c>
      <c r="I89" s="31">
        <v>11</v>
      </c>
      <c r="J89" s="31" t="s">
        <v>30</v>
      </c>
      <c r="K89" s="33" t="s">
        <v>271</v>
      </c>
      <c r="L89" s="33" t="s">
        <v>40</v>
      </c>
      <c r="M89" s="33" t="s">
        <v>40</v>
      </c>
      <c r="N89" s="31" t="s">
        <v>43</v>
      </c>
      <c r="O89" s="31" t="s">
        <v>279</v>
      </c>
      <c r="P89" s="16" t="s">
        <v>141</v>
      </c>
      <c r="Q89" s="16"/>
      <c r="R89" s="34"/>
      <c r="S89" s="17"/>
      <c r="T89" s="17"/>
      <c r="U89" s="17"/>
    </row>
    <row r="90" customFormat="1" ht="28.5" customHeight="1" spans="1:21">
      <c r="A90" s="27">
        <v>12106</v>
      </c>
      <c r="B90" s="28" t="s">
        <v>139</v>
      </c>
      <c r="C90" s="29" t="s">
        <v>47</v>
      </c>
      <c r="D90" s="30">
        <v>46076</v>
      </c>
      <c r="E90" s="31">
        <v>52</v>
      </c>
      <c r="F90" s="31">
        <v>0</v>
      </c>
      <c r="G90" s="32">
        <v>1</v>
      </c>
      <c r="H90" s="32" t="s">
        <v>34</v>
      </c>
      <c r="I90" s="31">
        <v>11</v>
      </c>
      <c r="J90" s="31" t="s">
        <v>30</v>
      </c>
      <c r="K90" s="33" t="s">
        <v>271</v>
      </c>
      <c r="L90" s="33" t="s">
        <v>40</v>
      </c>
      <c r="M90" s="33" t="s">
        <v>40</v>
      </c>
      <c r="N90" s="31" t="s">
        <v>40</v>
      </c>
      <c r="O90" s="31" t="s">
        <v>246</v>
      </c>
      <c r="P90" s="16" t="s">
        <v>141</v>
      </c>
      <c r="Q90" s="16"/>
      <c r="R90" s="34"/>
      <c r="S90" s="17"/>
      <c r="T90" s="17"/>
      <c r="U90" s="17"/>
    </row>
    <row r="91" customFormat="1" ht="28.5" customHeight="1" spans="1:21">
      <c r="A91" s="27">
        <v>12240</v>
      </c>
      <c r="B91" s="28" t="s">
        <v>140</v>
      </c>
      <c r="C91" s="29" t="s">
        <v>32</v>
      </c>
      <c r="D91" s="30">
        <v>46081</v>
      </c>
      <c r="E91" s="31">
        <v>62</v>
      </c>
      <c r="F91" s="31">
        <v>0</v>
      </c>
      <c r="G91" s="32" t="s">
        <v>62</v>
      </c>
      <c r="H91" s="32" t="s">
        <v>39</v>
      </c>
      <c r="I91" s="31">
        <v>7</v>
      </c>
      <c r="J91" s="31" t="s">
        <v>65</v>
      </c>
      <c r="K91" s="33" t="s">
        <v>40</v>
      </c>
      <c r="L91" s="33" t="s">
        <v>40</v>
      </c>
      <c r="M91" s="33" t="s">
        <v>40</v>
      </c>
      <c r="N91" s="31" t="s">
        <v>43</v>
      </c>
      <c r="O91" s="31" t="s">
        <v>279</v>
      </c>
      <c r="P91" s="16"/>
      <c r="Q91" s="16"/>
      <c r="R91" s="34"/>
      <c r="S91" s="17"/>
      <c r="T91" s="17"/>
      <c r="U91" s="17"/>
    </row>
    <row r="92" customFormat="1" ht="28.5" customHeight="1" spans="1:21">
      <c r="A92" s="27">
        <v>12225</v>
      </c>
      <c r="B92" s="28" t="s">
        <v>142</v>
      </c>
      <c r="C92" s="29" t="s">
        <v>32</v>
      </c>
      <c r="D92" s="30">
        <v>46081</v>
      </c>
      <c r="E92" s="31">
        <v>59</v>
      </c>
      <c r="F92" s="31">
        <v>0</v>
      </c>
      <c r="G92" s="32">
        <v>1</v>
      </c>
      <c r="H92" s="32" t="s">
        <v>34</v>
      </c>
      <c r="I92" s="31">
        <v>12</v>
      </c>
      <c r="J92" s="31" t="s">
        <v>102</v>
      </c>
      <c r="K92" s="33" t="s">
        <v>271</v>
      </c>
      <c r="L92" s="33" t="s">
        <v>40</v>
      </c>
      <c r="M92" s="33" t="s">
        <v>40</v>
      </c>
      <c r="N92" s="31" t="s">
        <v>40</v>
      </c>
      <c r="O92" s="31" t="s">
        <v>246</v>
      </c>
      <c r="P92" s="16" t="s">
        <v>245</v>
      </c>
      <c r="Q92" s="16"/>
      <c r="R92" s="34" t="s">
        <v>304</v>
      </c>
      <c r="S92" s="17"/>
      <c r="T92" s="17"/>
      <c r="U92" s="17"/>
    </row>
    <row r="93" customFormat="1" ht="28.5" customHeight="1" spans="1:21">
      <c r="A93" s="27">
        <v>12073</v>
      </c>
      <c r="B93" s="28" t="s">
        <v>143</v>
      </c>
      <c r="C93" s="29" t="s">
        <v>32</v>
      </c>
      <c r="D93" s="30">
        <v>46085</v>
      </c>
      <c r="E93" s="31">
        <v>420</v>
      </c>
      <c r="F93" s="31">
        <v>0</v>
      </c>
      <c r="G93" s="32">
        <v>1</v>
      </c>
      <c r="H93" s="32" t="s">
        <v>39</v>
      </c>
      <c r="I93" s="31">
        <v>2</v>
      </c>
      <c r="J93" s="31" t="s">
        <v>30</v>
      </c>
      <c r="K93" s="33" t="s">
        <v>40</v>
      </c>
      <c r="L93" s="33" t="s">
        <v>40</v>
      </c>
      <c r="M93" s="33" t="s">
        <v>40</v>
      </c>
      <c r="N93" s="31" t="s">
        <v>40</v>
      </c>
      <c r="O93" s="31" t="s">
        <v>246</v>
      </c>
      <c r="P93" s="16"/>
      <c r="Q93" s="16"/>
      <c r="R93" s="34"/>
      <c r="S93" s="17"/>
      <c r="T93" s="17"/>
      <c r="U93" s="17"/>
    </row>
    <row r="94" customFormat="1" ht="28.5" customHeight="1" spans="1:21">
      <c r="A94" s="27">
        <v>12074</v>
      </c>
      <c r="B94" s="28" t="s">
        <v>144</v>
      </c>
      <c r="C94" s="29" t="s">
        <v>47</v>
      </c>
      <c r="D94" s="30">
        <v>46085</v>
      </c>
      <c r="E94" s="31">
        <v>220</v>
      </c>
      <c r="F94" s="31">
        <v>0</v>
      </c>
      <c r="G94" s="32">
        <v>1</v>
      </c>
      <c r="H94" s="32" t="s">
        <v>39</v>
      </c>
      <c r="I94" s="31">
        <v>2</v>
      </c>
      <c r="J94" s="31" t="s">
        <v>30</v>
      </c>
      <c r="K94" s="33" t="s">
        <v>40</v>
      </c>
      <c r="L94" s="33" t="s">
        <v>40</v>
      </c>
      <c r="M94" s="33" t="s">
        <v>40</v>
      </c>
      <c r="N94" s="31" t="s">
        <v>40</v>
      </c>
      <c r="O94" s="31" t="s">
        <v>246</v>
      </c>
      <c r="P94" s="16"/>
      <c r="Q94" s="16"/>
      <c r="R94" s="34"/>
      <c r="S94" s="17"/>
      <c r="T94" s="17"/>
      <c r="U94" s="17"/>
    </row>
    <row r="95" customFormat="1" ht="28.5" customHeight="1" spans="1:21">
      <c r="A95" s="27">
        <v>12075</v>
      </c>
      <c r="B95" s="28" t="s">
        <v>145</v>
      </c>
      <c r="C95" s="29" t="s">
        <v>47</v>
      </c>
      <c r="D95" s="30">
        <v>46085</v>
      </c>
      <c r="E95" s="31">
        <v>220</v>
      </c>
      <c r="F95" s="31">
        <v>0</v>
      </c>
      <c r="G95" s="32">
        <v>1</v>
      </c>
      <c r="H95" s="32" t="s">
        <v>39</v>
      </c>
      <c r="I95" s="31">
        <v>2</v>
      </c>
      <c r="J95" s="31" t="s">
        <v>30</v>
      </c>
      <c r="K95" s="33" t="s">
        <v>40</v>
      </c>
      <c r="L95" s="33" t="s">
        <v>40</v>
      </c>
      <c r="M95" s="33" t="s">
        <v>40</v>
      </c>
      <c r="N95" s="31" t="s">
        <v>40</v>
      </c>
      <c r="O95" s="31" t="s">
        <v>246</v>
      </c>
      <c r="P95" s="16"/>
      <c r="Q95" s="16"/>
      <c r="R95" s="34"/>
      <c r="S95" s="17"/>
      <c r="T95" s="17"/>
      <c r="U95" s="17"/>
    </row>
    <row r="96" customFormat="1" ht="28.5" customHeight="1" spans="1:21">
      <c r="A96" s="27">
        <v>12252</v>
      </c>
      <c r="B96" s="28" t="s">
        <v>146</v>
      </c>
      <c r="C96" s="29" t="s">
        <v>32</v>
      </c>
      <c r="D96" s="30">
        <v>46085</v>
      </c>
      <c r="E96" s="31">
        <v>40</v>
      </c>
      <c r="F96" s="31">
        <v>47.49</v>
      </c>
      <c r="G96" s="32">
        <v>0.3333</v>
      </c>
      <c r="H96" s="32" t="s">
        <v>39</v>
      </c>
      <c r="I96" s="31">
        <v>0</v>
      </c>
      <c r="J96" s="31" t="s">
        <v>45</v>
      </c>
      <c r="K96" s="33" t="s">
        <v>40</v>
      </c>
      <c r="L96" s="33" t="s">
        <v>40</v>
      </c>
      <c r="M96" s="33" t="s">
        <v>40</v>
      </c>
      <c r="N96" s="31" t="s">
        <v>36</v>
      </c>
      <c r="O96" s="31" t="s">
        <v>273</v>
      </c>
      <c r="P96" s="16"/>
      <c r="Q96" s="16"/>
      <c r="R96" s="34"/>
      <c r="S96" s="17"/>
      <c r="T96" s="17"/>
      <c r="U96" s="17"/>
    </row>
    <row r="97" customFormat="1" ht="28.5" customHeight="1" spans="1:21">
      <c r="A97" s="27">
        <v>12165</v>
      </c>
      <c r="B97" s="28" t="s">
        <v>147</v>
      </c>
      <c r="C97" s="29" t="s">
        <v>32</v>
      </c>
      <c r="D97" s="30">
        <v>46085</v>
      </c>
      <c r="E97" s="31">
        <v>169</v>
      </c>
      <c r="F97" s="31">
        <v>658</v>
      </c>
      <c r="G97" s="32">
        <v>0</v>
      </c>
      <c r="H97" s="32" t="s">
        <v>39</v>
      </c>
      <c r="I97" s="31">
        <v>2</v>
      </c>
      <c r="J97" s="31" t="s">
        <v>30</v>
      </c>
      <c r="K97" s="33" t="s">
        <v>40</v>
      </c>
      <c r="L97" s="33" t="s">
        <v>40</v>
      </c>
      <c r="M97" s="33" t="s">
        <v>40</v>
      </c>
      <c r="N97" s="31" t="s">
        <v>36</v>
      </c>
      <c r="O97" s="31" t="s">
        <v>273</v>
      </c>
      <c r="P97" s="16"/>
      <c r="Q97" s="16"/>
      <c r="R97" s="34"/>
      <c r="S97" s="17"/>
      <c r="T97" s="17"/>
      <c r="U97" s="17"/>
    </row>
    <row r="98" customFormat="1" ht="28.5" customHeight="1" spans="1:21">
      <c r="A98" s="27">
        <v>12247</v>
      </c>
      <c r="B98" s="28" t="s">
        <v>148</v>
      </c>
      <c r="C98" s="29" t="s">
        <v>32</v>
      </c>
      <c r="D98" s="30">
        <v>46085</v>
      </c>
      <c r="E98" s="31">
        <v>79</v>
      </c>
      <c r="F98" s="31">
        <v>0</v>
      </c>
      <c r="G98" s="32">
        <v>1</v>
      </c>
      <c r="H98" s="32" t="s">
        <v>39</v>
      </c>
      <c r="I98" s="31">
        <v>1</v>
      </c>
      <c r="J98" s="31" t="s">
        <v>45</v>
      </c>
      <c r="K98" s="33" t="s">
        <v>40</v>
      </c>
      <c r="L98" s="33" t="s">
        <v>40</v>
      </c>
      <c r="M98" s="33" t="s">
        <v>40</v>
      </c>
      <c r="N98" s="31" t="s">
        <v>40</v>
      </c>
      <c r="O98" s="31" t="s">
        <v>246</v>
      </c>
      <c r="P98" s="16"/>
      <c r="Q98" s="16"/>
      <c r="R98" s="34"/>
      <c r="S98" s="17"/>
      <c r="T98" s="17"/>
      <c r="U98" s="17"/>
    </row>
    <row r="99" customFormat="1" ht="28.5" customHeight="1" spans="1:21">
      <c r="A99" s="27">
        <v>11102</v>
      </c>
      <c r="B99" s="28" t="s">
        <v>149</v>
      </c>
      <c r="C99" s="29" t="s">
        <v>32</v>
      </c>
      <c r="D99" s="30">
        <v>46085</v>
      </c>
      <c r="E99" s="31">
        <v>32</v>
      </c>
      <c r="F99" s="31">
        <v>27.58</v>
      </c>
      <c r="G99" s="32">
        <v>0.2</v>
      </c>
      <c r="H99" s="32" t="s">
        <v>34</v>
      </c>
      <c r="I99" s="31">
        <v>2</v>
      </c>
      <c r="J99" s="31" t="s">
        <v>102</v>
      </c>
      <c r="K99" s="33" t="s">
        <v>40</v>
      </c>
      <c r="L99" s="33" t="s">
        <v>40</v>
      </c>
      <c r="M99" s="33" t="s">
        <v>40</v>
      </c>
      <c r="N99" s="31" t="s">
        <v>36</v>
      </c>
      <c r="O99" s="31" t="s">
        <v>273</v>
      </c>
      <c r="P99" s="16"/>
      <c r="Q99" s="16"/>
      <c r="R99" s="34"/>
      <c r="S99" s="17"/>
      <c r="T99" s="17"/>
      <c r="U99" s="17"/>
    </row>
    <row r="100" customFormat="1" ht="28.5" customHeight="1" spans="1:21">
      <c r="A100" s="27">
        <v>12071</v>
      </c>
      <c r="B100" s="28" t="s">
        <v>150</v>
      </c>
      <c r="C100" s="29" t="s">
        <v>47</v>
      </c>
      <c r="D100" s="30">
        <v>46085</v>
      </c>
      <c r="E100" s="31">
        <v>299</v>
      </c>
      <c r="F100" s="31">
        <v>0</v>
      </c>
      <c r="G100" s="32" t="s">
        <v>62</v>
      </c>
      <c r="H100" s="32" t="s">
        <v>39</v>
      </c>
      <c r="I100" s="31">
        <v>1</v>
      </c>
      <c r="J100" s="31" t="s">
        <v>45</v>
      </c>
      <c r="K100" s="33" t="s">
        <v>40</v>
      </c>
      <c r="L100" s="33" t="s">
        <v>40</v>
      </c>
      <c r="M100" s="33" t="s">
        <v>40</v>
      </c>
      <c r="N100" s="31" t="s">
        <v>43</v>
      </c>
      <c r="O100" s="31" t="s">
        <v>279</v>
      </c>
      <c r="P100" s="16"/>
      <c r="Q100" s="16"/>
      <c r="R100" s="34"/>
      <c r="S100" s="17"/>
      <c r="T100" s="17"/>
      <c r="U100" s="17"/>
    </row>
    <row r="101" customFormat="1" ht="28.5" customHeight="1" spans="1:21">
      <c r="A101" s="27">
        <v>12248</v>
      </c>
      <c r="B101" s="28" t="s">
        <v>152</v>
      </c>
      <c r="C101" s="29" t="s">
        <v>32</v>
      </c>
      <c r="D101" s="30">
        <v>46085</v>
      </c>
      <c r="E101" s="31">
        <v>85</v>
      </c>
      <c r="F101" s="31">
        <v>199.02</v>
      </c>
      <c r="G101" s="32">
        <v>0.75</v>
      </c>
      <c r="H101" s="32" t="s">
        <v>39</v>
      </c>
      <c r="I101" s="31">
        <v>7</v>
      </c>
      <c r="J101" s="31" t="s">
        <v>45</v>
      </c>
      <c r="K101" s="33" t="s">
        <v>40</v>
      </c>
      <c r="L101" s="33" t="s">
        <v>40</v>
      </c>
      <c r="M101" s="33" t="s">
        <v>40</v>
      </c>
      <c r="N101" s="31" t="s">
        <v>40</v>
      </c>
      <c r="O101" s="31" t="s">
        <v>246</v>
      </c>
      <c r="P101" s="16"/>
      <c r="Q101" s="16"/>
      <c r="R101" s="34"/>
      <c r="S101" s="17"/>
      <c r="T101" s="17"/>
      <c r="U101" s="17"/>
    </row>
    <row r="102" customFormat="1" ht="28.5" customHeight="1" spans="1:21">
      <c r="A102" s="27">
        <v>12246</v>
      </c>
      <c r="B102" s="28" t="s">
        <v>153</v>
      </c>
      <c r="C102" s="29" t="s">
        <v>32</v>
      </c>
      <c r="D102" s="30">
        <v>46085</v>
      </c>
      <c r="E102" s="31">
        <v>85</v>
      </c>
      <c r="F102" s="31">
        <v>0</v>
      </c>
      <c r="G102" s="32">
        <v>1</v>
      </c>
      <c r="H102" s="32" t="s">
        <v>39</v>
      </c>
      <c r="I102" s="31">
        <v>11</v>
      </c>
      <c r="J102" s="31" t="s">
        <v>45</v>
      </c>
      <c r="K102" s="33" t="s">
        <v>271</v>
      </c>
      <c r="L102" s="33" t="s">
        <v>40</v>
      </c>
      <c r="M102" s="33" t="s">
        <v>40</v>
      </c>
      <c r="N102" s="31" t="s">
        <v>40</v>
      </c>
      <c r="O102" s="31" t="s">
        <v>246</v>
      </c>
      <c r="P102" s="16" t="s">
        <v>248</v>
      </c>
      <c r="Q102" s="16"/>
      <c r="R102" s="34" t="s">
        <v>305</v>
      </c>
      <c r="S102" s="17"/>
      <c r="T102" s="17"/>
      <c r="U102" s="17"/>
    </row>
    <row r="103" customFormat="1" ht="28.5" customHeight="1" spans="1:21">
      <c r="A103" s="27">
        <v>12205</v>
      </c>
      <c r="B103" s="28" t="s">
        <v>154</v>
      </c>
      <c r="C103" s="29" t="s">
        <v>32</v>
      </c>
      <c r="D103" s="30">
        <v>46086</v>
      </c>
      <c r="E103" s="31">
        <v>22</v>
      </c>
      <c r="F103" s="31">
        <v>22.45</v>
      </c>
      <c r="G103" s="32">
        <v>0.0333</v>
      </c>
      <c r="H103" s="32" t="s">
        <v>39</v>
      </c>
      <c r="I103" s="31">
        <v>0</v>
      </c>
      <c r="J103" s="31" t="s">
        <v>45</v>
      </c>
      <c r="K103" s="33" t="s">
        <v>40</v>
      </c>
      <c r="L103" s="33" t="s">
        <v>40</v>
      </c>
      <c r="M103" s="33" t="s">
        <v>40</v>
      </c>
      <c r="N103" s="31" t="s">
        <v>36</v>
      </c>
      <c r="O103" s="31" t="s">
        <v>273</v>
      </c>
      <c r="P103" s="16"/>
      <c r="Q103" s="16"/>
      <c r="R103" s="34"/>
      <c r="S103" s="17"/>
      <c r="T103" s="17"/>
      <c r="U103" s="17"/>
    </row>
    <row r="104" customFormat="1" ht="28.5" customHeight="1" spans="1:21">
      <c r="A104" s="27">
        <v>12206</v>
      </c>
      <c r="B104" s="28" t="s">
        <v>155</v>
      </c>
      <c r="C104" s="29" t="s">
        <v>32</v>
      </c>
      <c r="D104" s="30">
        <v>46087</v>
      </c>
      <c r="E104" s="31">
        <v>22</v>
      </c>
      <c r="F104" s="31">
        <v>25.64</v>
      </c>
      <c r="G104" s="32">
        <v>0</v>
      </c>
      <c r="H104" s="32" t="s">
        <v>39</v>
      </c>
      <c r="I104" s="31">
        <v>0</v>
      </c>
      <c r="J104" s="31" t="s">
        <v>45</v>
      </c>
      <c r="K104" s="33" t="s">
        <v>40</v>
      </c>
      <c r="L104" s="33" t="s">
        <v>40</v>
      </c>
      <c r="M104" s="33" t="s">
        <v>40</v>
      </c>
      <c r="N104" s="31" t="s">
        <v>36</v>
      </c>
      <c r="O104" s="31" t="s">
        <v>273</v>
      </c>
      <c r="P104" s="16"/>
      <c r="Q104" s="16"/>
      <c r="R104" s="34"/>
      <c r="S104" s="17"/>
      <c r="T104" s="17"/>
      <c r="U104" s="17"/>
    </row>
    <row r="105" customFormat="1" ht="28.5" customHeight="1" spans="1:21">
      <c r="A105" s="27">
        <v>11997</v>
      </c>
      <c r="B105" s="28" t="s">
        <v>156</v>
      </c>
      <c r="C105" s="29" t="s">
        <v>32</v>
      </c>
      <c r="D105" s="30">
        <v>46088</v>
      </c>
      <c r="E105" s="31">
        <v>139</v>
      </c>
      <c r="F105" s="31">
        <v>0</v>
      </c>
      <c r="G105" s="32" t="s">
        <v>62</v>
      </c>
      <c r="H105" s="32" t="s">
        <v>34</v>
      </c>
      <c r="I105" s="31">
        <v>7</v>
      </c>
      <c r="J105" s="31" t="s">
        <v>65</v>
      </c>
      <c r="K105" s="33" t="s">
        <v>40</v>
      </c>
      <c r="L105" s="33" t="s">
        <v>40</v>
      </c>
      <c r="M105" s="33" t="s">
        <v>40</v>
      </c>
      <c r="N105" s="31" t="s">
        <v>43</v>
      </c>
      <c r="O105" s="31" t="s">
        <v>279</v>
      </c>
      <c r="P105" s="16"/>
      <c r="Q105" s="16"/>
      <c r="R105" s="40"/>
      <c r="S105" s="17"/>
      <c r="T105" s="17"/>
      <c r="U105" s="17"/>
    </row>
    <row r="106" customFormat="1" ht="28.5" customHeight="1" spans="1:21">
      <c r="A106" s="27">
        <v>12262</v>
      </c>
      <c r="B106" s="28" t="s">
        <v>157</v>
      </c>
      <c r="C106" s="29" t="s">
        <v>32</v>
      </c>
      <c r="D106" s="30">
        <v>46089</v>
      </c>
      <c r="E106" s="31">
        <v>142</v>
      </c>
      <c r="F106" s="31">
        <v>0</v>
      </c>
      <c r="G106" s="32">
        <v>1</v>
      </c>
      <c r="H106" s="32" t="s">
        <v>39</v>
      </c>
      <c r="I106" s="31">
        <v>14</v>
      </c>
      <c r="J106" s="31" t="s">
        <v>102</v>
      </c>
      <c r="K106" s="33" t="s">
        <v>271</v>
      </c>
      <c r="L106" s="33" t="s">
        <v>40</v>
      </c>
      <c r="M106" s="33" t="s">
        <v>40</v>
      </c>
      <c r="N106" s="31" t="s">
        <v>40</v>
      </c>
      <c r="O106" s="31" t="s">
        <v>246</v>
      </c>
      <c r="P106" s="16" t="s">
        <v>245</v>
      </c>
      <c r="Q106" s="16"/>
      <c r="R106" s="34" t="s">
        <v>306</v>
      </c>
      <c r="S106" s="17"/>
      <c r="T106" s="17"/>
      <c r="U106" s="17"/>
    </row>
    <row r="107" customFormat="1" ht="28.5" customHeight="1" spans="1:21">
      <c r="A107" s="27">
        <v>12244</v>
      </c>
      <c r="B107" s="28" t="s">
        <v>158</v>
      </c>
      <c r="C107" s="29" t="s">
        <v>32</v>
      </c>
      <c r="D107" s="41">
        <v>46090</v>
      </c>
      <c r="E107" s="31">
        <v>38</v>
      </c>
      <c r="F107" s="31">
        <v>42.13</v>
      </c>
      <c r="G107" s="32">
        <v>0.25</v>
      </c>
      <c r="H107" s="32" t="s">
        <v>34</v>
      </c>
      <c r="I107" s="31">
        <v>7</v>
      </c>
      <c r="J107" s="31" t="s">
        <v>65</v>
      </c>
      <c r="K107" s="33" t="s">
        <v>40</v>
      </c>
      <c r="L107" s="33" t="s">
        <v>40</v>
      </c>
      <c r="M107" s="33" t="s">
        <v>40</v>
      </c>
      <c r="N107" s="31" t="s">
        <v>36</v>
      </c>
      <c r="O107" s="31" t="s">
        <v>273</v>
      </c>
      <c r="P107" s="16"/>
      <c r="Q107" s="16"/>
      <c r="R107" s="34"/>
      <c r="S107" s="17"/>
      <c r="T107" s="17"/>
      <c r="U107" s="17"/>
    </row>
    <row r="108" customFormat="1" ht="28.5" customHeight="1" spans="1:21">
      <c r="A108" s="27">
        <v>12243</v>
      </c>
      <c r="B108" s="28" t="s">
        <v>159</v>
      </c>
      <c r="C108" s="29" t="s">
        <v>32</v>
      </c>
      <c r="D108" s="41">
        <v>46091</v>
      </c>
      <c r="E108" s="31">
        <v>38</v>
      </c>
      <c r="F108" s="31">
        <v>49</v>
      </c>
      <c r="G108" s="32">
        <v>0</v>
      </c>
      <c r="H108" s="32" t="s">
        <v>34</v>
      </c>
      <c r="I108" s="31">
        <v>7</v>
      </c>
      <c r="J108" s="31" t="s">
        <v>65</v>
      </c>
      <c r="K108" s="33" t="s">
        <v>40</v>
      </c>
      <c r="L108" s="33" t="s">
        <v>40</v>
      </c>
      <c r="M108" s="33" t="s">
        <v>40</v>
      </c>
      <c r="N108" s="31" t="s">
        <v>36</v>
      </c>
      <c r="O108" s="31" t="s">
        <v>273</v>
      </c>
      <c r="P108" s="16"/>
      <c r="Q108" s="16"/>
      <c r="R108" s="40"/>
      <c r="S108" s="17"/>
      <c r="T108" s="17"/>
      <c r="U108" s="17"/>
    </row>
    <row r="109" customFormat="1" ht="28.5" customHeight="1" spans="1:21">
      <c r="A109" s="27">
        <v>12304</v>
      </c>
      <c r="B109" s="28" t="s">
        <v>160</v>
      </c>
      <c r="C109" s="29" t="s">
        <v>32</v>
      </c>
      <c r="D109" s="41">
        <v>46092</v>
      </c>
      <c r="E109" s="31">
        <v>499</v>
      </c>
      <c r="F109" s="31">
        <v>0</v>
      </c>
      <c r="G109" s="32">
        <v>1</v>
      </c>
      <c r="H109" s="32" t="s">
        <v>39</v>
      </c>
      <c r="I109" s="31">
        <v>0</v>
      </c>
      <c r="J109" s="31" t="s">
        <v>49</v>
      </c>
      <c r="K109" s="33" t="s">
        <v>40</v>
      </c>
      <c r="L109" s="33" t="s">
        <v>40</v>
      </c>
      <c r="M109" s="33" t="s">
        <v>40</v>
      </c>
      <c r="N109" s="31" t="s">
        <v>40</v>
      </c>
      <c r="O109" s="31" t="s">
        <v>246</v>
      </c>
      <c r="P109" s="16"/>
      <c r="Q109" s="16"/>
      <c r="R109" s="40"/>
      <c r="S109" s="17"/>
      <c r="T109" s="17"/>
      <c r="U109" s="17"/>
    </row>
    <row r="110" customFormat="1" ht="28.5" customHeight="1" spans="1:21">
      <c r="A110" s="27">
        <v>12085</v>
      </c>
      <c r="B110" s="28" t="s">
        <v>161</v>
      </c>
      <c r="C110" s="29" t="s">
        <v>47</v>
      </c>
      <c r="D110" s="41">
        <v>46092</v>
      </c>
      <c r="E110" s="31">
        <v>85</v>
      </c>
      <c r="F110" s="31">
        <v>118.79</v>
      </c>
      <c r="G110" s="32">
        <v>0.6667</v>
      </c>
      <c r="H110" s="32" t="s">
        <v>39</v>
      </c>
      <c r="I110" s="31">
        <v>2</v>
      </c>
      <c r="J110" s="31" t="s">
        <v>102</v>
      </c>
      <c r="K110" s="33" t="s">
        <v>40</v>
      </c>
      <c r="L110" s="33" t="s">
        <v>40</v>
      </c>
      <c r="M110" s="33" t="s">
        <v>40</v>
      </c>
      <c r="N110" s="31" t="s">
        <v>36</v>
      </c>
      <c r="O110" s="31" t="s">
        <v>273</v>
      </c>
      <c r="P110" s="16"/>
      <c r="Q110" s="16"/>
      <c r="R110" s="40"/>
      <c r="S110" s="17"/>
      <c r="T110" s="17"/>
      <c r="U110" s="17"/>
    </row>
    <row r="111" customFormat="1" ht="28.5" customHeight="1" spans="1:21">
      <c r="A111" s="27">
        <v>12086</v>
      </c>
      <c r="B111" s="28" t="s">
        <v>162</v>
      </c>
      <c r="C111" s="29" t="s">
        <v>32</v>
      </c>
      <c r="D111" s="41">
        <v>46092</v>
      </c>
      <c r="E111" s="31">
        <v>75</v>
      </c>
      <c r="F111" s="31">
        <v>79.04</v>
      </c>
      <c r="G111" s="32">
        <v>0.1</v>
      </c>
      <c r="H111" s="32" t="s">
        <v>39</v>
      </c>
      <c r="I111" s="31">
        <v>2</v>
      </c>
      <c r="J111" s="31" t="s">
        <v>102</v>
      </c>
      <c r="K111" s="33" t="s">
        <v>40</v>
      </c>
      <c r="L111" s="33" t="s">
        <v>40</v>
      </c>
      <c r="M111" s="33" t="s">
        <v>40</v>
      </c>
      <c r="N111" s="31" t="s">
        <v>36</v>
      </c>
      <c r="O111" s="31" t="s">
        <v>273</v>
      </c>
      <c r="P111" s="16"/>
      <c r="Q111" s="16"/>
      <c r="R111" s="40"/>
      <c r="S111" s="17"/>
      <c r="T111" s="17"/>
      <c r="U111" s="17"/>
    </row>
    <row r="112" customFormat="1" ht="28.5" customHeight="1" spans="1:21">
      <c r="A112" s="27">
        <v>12258</v>
      </c>
      <c r="B112" s="28" t="s">
        <v>163</v>
      </c>
      <c r="C112" s="29" t="s">
        <v>32</v>
      </c>
      <c r="D112" s="41">
        <v>46092</v>
      </c>
      <c r="E112" s="31">
        <v>28</v>
      </c>
      <c r="F112" s="31">
        <v>31.5</v>
      </c>
      <c r="G112" s="32">
        <v>0.3846</v>
      </c>
      <c r="H112" s="32" t="s">
        <v>39</v>
      </c>
      <c r="I112" s="31">
        <v>2</v>
      </c>
      <c r="J112" s="31" t="s">
        <v>102</v>
      </c>
      <c r="K112" s="33" t="s">
        <v>40</v>
      </c>
      <c r="L112" s="33" t="s">
        <v>40</v>
      </c>
      <c r="M112" s="33" t="s">
        <v>40</v>
      </c>
      <c r="N112" s="31" t="s">
        <v>36</v>
      </c>
      <c r="O112" s="31" t="s">
        <v>273</v>
      </c>
      <c r="P112" s="16"/>
      <c r="Q112" s="16"/>
      <c r="R112" s="40"/>
      <c r="S112" s="17"/>
      <c r="T112" s="17"/>
      <c r="U112" s="17"/>
    </row>
    <row r="113" customFormat="1" ht="28.5" customHeight="1" spans="1:21">
      <c r="A113" s="27">
        <v>12210</v>
      </c>
      <c r="B113" s="28" t="s">
        <v>164</v>
      </c>
      <c r="C113" s="29" t="s">
        <v>32</v>
      </c>
      <c r="D113" s="41">
        <v>46092</v>
      </c>
      <c r="E113" s="31">
        <v>12</v>
      </c>
      <c r="F113" s="31">
        <v>13.26</v>
      </c>
      <c r="G113" s="32">
        <v>0.037</v>
      </c>
      <c r="H113" s="32" t="s">
        <v>34</v>
      </c>
      <c r="I113" s="31">
        <v>2</v>
      </c>
      <c r="J113" s="31" t="s">
        <v>102</v>
      </c>
      <c r="K113" s="33" t="s">
        <v>40</v>
      </c>
      <c r="L113" s="33" t="s">
        <v>40</v>
      </c>
      <c r="M113" s="33" t="s">
        <v>40</v>
      </c>
      <c r="N113" s="31" t="s">
        <v>36</v>
      </c>
      <c r="O113" s="31" t="s">
        <v>273</v>
      </c>
      <c r="P113" s="16"/>
      <c r="Q113" s="16"/>
      <c r="R113" s="40"/>
      <c r="S113" s="17"/>
      <c r="T113" s="17"/>
      <c r="U113" s="17"/>
    </row>
    <row r="114" customFormat="1" ht="28.5" customHeight="1" spans="1:21">
      <c r="A114" s="27">
        <v>12250</v>
      </c>
      <c r="B114" s="28" t="s">
        <v>165</v>
      </c>
      <c r="C114" s="29" t="s">
        <v>47</v>
      </c>
      <c r="D114" s="41">
        <v>46092</v>
      </c>
      <c r="E114" s="31">
        <v>39</v>
      </c>
      <c r="F114" s="31">
        <v>47.98</v>
      </c>
      <c r="G114" s="32">
        <v>0</v>
      </c>
      <c r="H114" s="32" t="s">
        <v>39</v>
      </c>
      <c r="I114" s="31">
        <v>14</v>
      </c>
      <c r="J114" s="31" t="s">
        <v>65</v>
      </c>
      <c r="K114" s="33" t="s">
        <v>271</v>
      </c>
      <c r="L114" s="33" t="s">
        <v>40</v>
      </c>
      <c r="M114" s="33" t="s">
        <v>40</v>
      </c>
      <c r="N114" s="31" t="s">
        <v>36</v>
      </c>
      <c r="O114" s="31" t="s">
        <v>273</v>
      </c>
      <c r="P114" s="16" t="s">
        <v>141</v>
      </c>
      <c r="Q114" s="16"/>
      <c r="R114" s="40"/>
      <c r="S114" s="17"/>
      <c r="T114" s="17"/>
      <c r="U114" s="17"/>
    </row>
    <row r="115" customFormat="1" ht="28.5" customHeight="1" spans="1:21">
      <c r="A115" s="27">
        <v>12251</v>
      </c>
      <c r="B115" s="28" t="s">
        <v>166</v>
      </c>
      <c r="C115" s="29" t="s">
        <v>47</v>
      </c>
      <c r="D115" s="41">
        <v>46092</v>
      </c>
      <c r="E115" s="31">
        <v>39</v>
      </c>
      <c r="F115" s="31">
        <v>47.48</v>
      </c>
      <c r="G115" s="32">
        <v>0</v>
      </c>
      <c r="H115" s="32" t="s">
        <v>33</v>
      </c>
      <c r="I115" s="31">
        <v>14</v>
      </c>
      <c r="J115" s="31" t="s">
        <v>65</v>
      </c>
      <c r="K115" s="33" t="s">
        <v>271</v>
      </c>
      <c r="L115" s="33" t="s">
        <v>271</v>
      </c>
      <c r="M115" s="33" t="s">
        <v>40</v>
      </c>
      <c r="N115" s="31" t="s">
        <v>36</v>
      </c>
      <c r="O115" s="31" t="s">
        <v>273</v>
      </c>
      <c r="P115" s="16" t="s">
        <v>141</v>
      </c>
      <c r="Q115" s="16"/>
      <c r="R115" s="40"/>
      <c r="S115" s="17"/>
      <c r="T115" s="17"/>
      <c r="U115" s="17"/>
    </row>
    <row r="116" customFormat="1" ht="28.5" customHeight="1" spans="1:21">
      <c r="A116" s="27">
        <v>12332</v>
      </c>
      <c r="B116" s="28" t="s">
        <v>167</v>
      </c>
      <c r="C116" s="29" t="s">
        <v>32</v>
      </c>
      <c r="D116" s="41">
        <v>46092</v>
      </c>
      <c r="E116" s="31">
        <v>109</v>
      </c>
      <c r="F116" s="31">
        <v>119</v>
      </c>
      <c r="G116" s="32">
        <v>0.7778</v>
      </c>
      <c r="H116" s="32" t="s">
        <v>39</v>
      </c>
      <c r="I116" s="31">
        <v>14</v>
      </c>
      <c r="J116" s="31" t="s">
        <v>65</v>
      </c>
      <c r="K116" s="33" t="s">
        <v>271</v>
      </c>
      <c r="L116" s="33" t="s">
        <v>40</v>
      </c>
      <c r="M116" s="33" t="s">
        <v>40</v>
      </c>
      <c r="N116" s="31" t="s">
        <v>40</v>
      </c>
      <c r="O116" s="31" t="s">
        <v>246</v>
      </c>
      <c r="P116" s="16" t="s">
        <v>141</v>
      </c>
      <c r="Q116" s="16"/>
      <c r="R116" s="34"/>
      <c r="S116" s="17"/>
      <c r="T116" s="17"/>
      <c r="U116" s="17"/>
    </row>
    <row r="117" customFormat="1" ht="28.5" customHeight="1" spans="1:21">
      <c r="A117" s="27">
        <v>12227</v>
      </c>
      <c r="B117" s="28" t="s">
        <v>168</v>
      </c>
      <c r="C117" s="29" t="s">
        <v>32</v>
      </c>
      <c r="D117" s="41">
        <v>46092</v>
      </c>
      <c r="E117" s="31">
        <v>69</v>
      </c>
      <c r="F117" s="31">
        <v>0</v>
      </c>
      <c r="G117" s="32">
        <v>1</v>
      </c>
      <c r="H117" s="32" t="s">
        <v>39</v>
      </c>
      <c r="I117" s="31">
        <v>2</v>
      </c>
      <c r="J117" s="31" t="s">
        <v>102</v>
      </c>
      <c r="K117" s="33" t="s">
        <v>40</v>
      </c>
      <c r="L117" s="33" t="s">
        <v>40</v>
      </c>
      <c r="M117" s="33" t="s">
        <v>40</v>
      </c>
      <c r="N117" s="31" t="s">
        <v>40</v>
      </c>
      <c r="O117" s="31" t="s">
        <v>246</v>
      </c>
      <c r="P117" s="16"/>
      <c r="Q117" s="16"/>
      <c r="R117" s="34"/>
      <c r="S117" s="17"/>
      <c r="T117" s="17"/>
      <c r="U117" s="17"/>
    </row>
    <row r="118" customFormat="1" ht="28.5" customHeight="1" spans="1:21">
      <c r="A118" s="27">
        <v>12309</v>
      </c>
      <c r="B118" s="28" t="s">
        <v>169</v>
      </c>
      <c r="C118" s="29" t="s">
        <v>32</v>
      </c>
      <c r="D118" s="41">
        <v>46092</v>
      </c>
      <c r="E118" s="31">
        <v>480</v>
      </c>
      <c r="F118" s="31">
        <v>575</v>
      </c>
      <c r="G118" s="32">
        <v>0.5</v>
      </c>
      <c r="H118" s="32" t="s">
        <v>34</v>
      </c>
      <c r="I118" s="31">
        <v>0</v>
      </c>
      <c r="J118" s="31" t="s">
        <v>49</v>
      </c>
      <c r="K118" s="33" t="s">
        <v>40</v>
      </c>
      <c r="L118" s="33" t="s">
        <v>40</v>
      </c>
      <c r="M118" s="33" t="s">
        <v>40</v>
      </c>
      <c r="N118" s="31" t="s">
        <v>36</v>
      </c>
      <c r="O118" s="31" t="s">
        <v>273</v>
      </c>
      <c r="P118" s="16"/>
      <c r="Q118" s="16"/>
      <c r="R118" s="34"/>
      <c r="S118" s="17"/>
      <c r="T118" s="17"/>
      <c r="U118" s="17"/>
    </row>
    <row r="119" customFormat="1" ht="28.5" customHeight="1" spans="1:21">
      <c r="A119" s="27">
        <v>12310</v>
      </c>
      <c r="B119" s="28" t="s">
        <v>170</v>
      </c>
      <c r="C119" s="29" t="s">
        <v>32</v>
      </c>
      <c r="D119" s="41">
        <v>46092</v>
      </c>
      <c r="E119" s="31">
        <v>480</v>
      </c>
      <c r="F119" s="31">
        <v>499</v>
      </c>
      <c r="G119" s="32">
        <v>0</v>
      </c>
      <c r="H119" s="32" t="s">
        <v>39</v>
      </c>
      <c r="I119" s="31">
        <v>0</v>
      </c>
      <c r="J119" s="31" t="s">
        <v>49</v>
      </c>
      <c r="K119" s="33" t="s">
        <v>40</v>
      </c>
      <c r="L119" s="33" t="s">
        <v>40</v>
      </c>
      <c r="M119" s="33" t="s">
        <v>40</v>
      </c>
      <c r="N119" s="31" t="s">
        <v>36</v>
      </c>
      <c r="O119" s="31" t="s">
        <v>273</v>
      </c>
      <c r="P119" s="16"/>
      <c r="Q119" s="16"/>
      <c r="R119" s="34"/>
      <c r="S119" s="17"/>
      <c r="T119" s="17"/>
      <c r="U119" s="17"/>
    </row>
    <row r="120" customFormat="1" ht="28.5" customHeight="1" spans="1:21">
      <c r="A120" s="27">
        <v>12311</v>
      </c>
      <c r="B120" s="28" t="s">
        <v>171</v>
      </c>
      <c r="C120" s="29" t="s">
        <v>32</v>
      </c>
      <c r="D120" s="41">
        <v>46092</v>
      </c>
      <c r="E120" s="31">
        <v>480</v>
      </c>
      <c r="F120" s="31">
        <v>489</v>
      </c>
      <c r="G120" s="32">
        <v>0.25</v>
      </c>
      <c r="H120" s="32" t="s">
        <v>34</v>
      </c>
      <c r="I120" s="31">
        <v>0</v>
      </c>
      <c r="J120" s="31" t="s">
        <v>49</v>
      </c>
      <c r="K120" s="33" t="s">
        <v>40</v>
      </c>
      <c r="L120" s="33" t="s">
        <v>40</v>
      </c>
      <c r="M120" s="33" t="s">
        <v>40</v>
      </c>
      <c r="N120" s="31" t="s">
        <v>36</v>
      </c>
      <c r="O120" s="31" t="s">
        <v>273</v>
      </c>
      <c r="P120" s="16"/>
      <c r="Q120" s="16"/>
      <c r="R120" s="40"/>
      <c r="S120" s="17"/>
      <c r="T120" s="17"/>
      <c r="U120" s="17"/>
    </row>
    <row r="121" customFormat="1" ht="28.5" customHeight="1" spans="1:21">
      <c r="A121" s="27">
        <v>12312</v>
      </c>
      <c r="B121" s="28" t="s">
        <v>172</v>
      </c>
      <c r="C121" s="29" t="s">
        <v>32</v>
      </c>
      <c r="D121" s="41">
        <v>46092</v>
      </c>
      <c r="E121" s="31">
        <v>480</v>
      </c>
      <c r="F121" s="31">
        <v>479.99</v>
      </c>
      <c r="G121" s="32">
        <v>0</v>
      </c>
      <c r="H121" s="32" t="s">
        <v>39</v>
      </c>
      <c r="I121" s="31">
        <v>0</v>
      </c>
      <c r="J121" s="31" t="s">
        <v>49</v>
      </c>
      <c r="K121" s="33" t="s">
        <v>40</v>
      </c>
      <c r="L121" s="33" t="s">
        <v>40</v>
      </c>
      <c r="M121" s="33" t="s">
        <v>40</v>
      </c>
      <c r="N121" s="31" t="s">
        <v>36</v>
      </c>
      <c r="O121" s="31" t="s">
        <v>273</v>
      </c>
      <c r="P121" s="16"/>
      <c r="Q121" s="16"/>
      <c r="R121" s="40"/>
      <c r="S121" s="17"/>
      <c r="T121" s="17"/>
      <c r="U121" s="17"/>
    </row>
    <row r="122" customFormat="1" ht="28.5" customHeight="1" spans="1:21">
      <c r="A122" s="27">
        <v>12441</v>
      </c>
      <c r="B122" s="28" t="s">
        <v>173</v>
      </c>
      <c r="C122" s="29" t="s">
        <v>32</v>
      </c>
      <c r="D122" s="41">
        <v>46093</v>
      </c>
      <c r="E122" s="31">
        <v>139</v>
      </c>
      <c r="F122" s="31">
        <v>159.99</v>
      </c>
      <c r="G122" s="32">
        <v>0.6</v>
      </c>
      <c r="H122" s="32" t="s">
        <v>39</v>
      </c>
      <c r="I122" s="31">
        <v>0</v>
      </c>
      <c r="J122" s="31" t="s">
        <v>45</v>
      </c>
      <c r="K122" s="33" t="s">
        <v>40</v>
      </c>
      <c r="L122" s="33" t="s">
        <v>40</v>
      </c>
      <c r="M122" s="33" t="s">
        <v>40</v>
      </c>
      <c r="N122" s="31" t="s">
        <v>36</v>
      </c>
      <c r="O122" s="31" t="s">
        <v>273</v>
      </c>
      <c r="P122" s="16"/>
      <c r="Q122" s="16"/>
      <c r="R122" s="40"/>
      <c r="S122" s="17"/>
      <c r="T122" s="17"/>
      <c r="U122" s="17"/>
    </row>
    <row r="123" customFormat="1" ht="28.5" customHeight="1" spans="1:21">
      <c r="A123" s="27">
        <v>12271</v>
      </c>
      <c r="B123" s="28" t="s">
        <v>174</v>
      </c>
      <c r="C123" s="29" t="s">
        <v>32</v>
      </c>
      <c r="D123" s="41">
        <v>46097</v>
      </c>
      <c r="E123" s="31">
        <v>220</v>
      </c>
      <c r="F123" s="31">
        <v>774.8</v>
      </c>
      <c r="G123" s="32">
        <v>0.9677</v>
      </c>
      <c r="H123" s="32" t="s">
        <v>39</v>
      </c>
      <c r="I123" s="31">
        <v>9</v>
      </c>
      <c r="J123" s="31" t="s">
        <v>49</v>
      </c>
      <c r="K123" s="33" t="s">
        <v>271</v>
      </c>
      <c r="L123" s="33" t="s">
        <v>40</v>
      </c>
      <c r="M123" s="33" t="s">
        <v>40</v>
      </c>
      <c r="N123" s="31" t="s">
        <v>40</v>
      </c>
      <c r="O123" s="31" t="s">
        <v>246</v>
      </c>
      <c r="P123" s="16" t="s">
        <v>246</v>
      </c>
      <c r="Q123" s="16"/>
      <c r="R123" s="34" t="s">
        <v>307</v>
      </c>
      <c r="S123" s="17"/>
      <c r="T123" s="17"/>
      <c r="U123" s="17"/>
    </row>
    <row r="124" customFormat="1" ht="28.5" customHeight="1" spans="1:21">
      <c r="A124" s="27">
        <v>12270</v>
      </c>
      <c r="B124" s="28" t="s">
        <v>175</v>
      </c>
      <c r="C124" s="29" t="s">
        <v>32</v>
      </c>
      <c r="D124" s="41">
        <v>46097</v>
      </c>
      <c r="E124" s="31">
        <v>220</v>
      </c>
      <c r="F124" s="31">
        <v>0</v>
      </c>
      <c r="G124" s="32">
        <v>1</v>
      </c>
      <c r="H124" s="32" t="s">
        <v>39</v>
      </c>
      <c r="I124" s="31">
        <v>9</v>
      </c>
      <c r="J124" s="31" t="s">
        <v>49</v>
      </c>
      <c r="K124" s="33" t="s">
        <v>271</v>
      </c>
      <c r="L124" s="33" t="s">
        <v>40</v>
      </c>
      <c r="M124" s="33" t="s">
        <v>40</v>
      </c>
      <c r="N124" s="31" t="s">
        <v>40</v>
      </c>
      <c r="O124" s="31" t="s">
        <v>246</v>
      </c>
      <c r="P124" s="16" t="s">
        <v>246</v>
      </c>
      <c r="Q124" s="16"/>
      <c r="R124" s="34" t="s">
        <v>308</v>
      </c>
      <c r="S124" s="17"/>
      <c r="T124" s="17"/>
      <c r="U124" s="17"/>
    </row>
    <row r="125" customFormat="1" ht="28.5" customHeight="1" spans="1:21">
      <c r="A125" s="27">
        <v>12318</v>
      </c>
      <c r="B125" s="28" t="s">
        <v>176</v>
      </c>
      <c r="C125" s="29" t="s">
        <v>32</v>
      </c>
      <c r="D125" s="41">
        <v>46097</v>
      </c>
      <c r="E125" s="31">
        <v>420</v>
      </c>
      <c r="F125" s="31">
        <v>0</v>
      </c>
      <c r="G125" s="32">
        <v>1</v>
      </c>
      <c r="H125" s="32" t="s">
        <v>39</v>
      </c>
      <c r="I125" s="31">
        <v>8</v>
      </c>
      <c r="J125" s="31" t="s">
        <v>45</v>
      </c>
      <c r="K125" s="33" t="s">
        <v>271</v>
      </c>
      <c r="L125" s="33" t="s">
        <v>40</v>
      </c>
      <c r="M125" s="33" t="s">
        <v>40</v>
      </c>
      <c r="N125" s="31" t="s">
        <v>40</v>
      </c>
      <c r="O125" s="31" t="s">
        <v>246</v>
      </c>
      <c r="P125" s="16" t="s">
        <v>249</v>
      </c>
      <c r="Q125" s="16"/>
      <c r="R125" s="40" t="s">
        <v>309</v>
      </c>
      <c r="S125" s="17"/>
      <c r="T125" s="17"/>
      <c r="U125" s="17"/>
    </row>
    <row r="126" customFormat="1" ht="28.5" customHeight="1" spans="1:21">
      <c r="A126" s="27">
        <v>12320</v>
      </c>
      <c r="B126" s="28" t="s">
        <v>177</v>
      </c>
      <c r="C126" s="29" t="s">
        <v>32</v>
      </c>
      <c r="D126" s="41">
        <v>46097</v>
      </c>
      <c r="E126" s="31">
        <v>94.5</v>
      </c>
      <c r="F126" s="31">
        <v>129.95</v>
      </c>
      <c r="G126" s="32">
        <v>0</v>
      </c>
      <c r="H126" s="32" t="s">
        <v>33</v>
      </c>
      <c r="I126" s="31">
        <v>2</v>
      </c>
      <c r="J126" s="31" t="s">
        <v>30</v>
      </c>
      <c r="K126" s="33" t="s">
        <v>40</v>
      </c>
      <c r="L126" s="33" t="s">
        <v>271</v>
      </c>
      <c r="M126" s="33" t="s">
        <v>40</v>
      </c>
      <c r="N126" s="31" t="s">
        <v>36</v>
      </c>
      <c r="O126" s="31" t="s">
        <v>273</v>
      </c>
      <c r="P126" s="16" t="s">
        <v>248</v>
      </c>
      <c r="Q126" s="16"/>
      <c r="R126" s="40" t="s">
        <v>310</v>
      </c>
      <c r="S126" s="17"/>
      <c r="T126" s="17"/>
      <c r="U126" s="17"/>
    </row>
    <row r="127" customFormat="1" ht="28.5" customHeight="1" spans="1:21">
      <c r="A127" s="27">
        <v>12305</v>
      </c>
      <c r="B127" s="28" t="s">
        <v>178</v>
      </c>
      <c r="C127" s="29" t="s">
        <v>32</v>
      </c>
      <c r="D127" s="41">
        <v>46097</v>
      </c>
      <c r="E127" s="31">
        <v>550</v>
      </c>
      <c r="F127" s="31">
        <v>758.62</v>
      </c>
      <c r="G127" s="32">
        <v>0.6667</v>
      </c>
      <c r="H127" s="32" t="s">
        <v>39</v>
      </c>
      <c r="I127" s="31">
        <v>8</v>
      </c>
      <c r="J127" s="31" t="s">
        <v>49</v>
      </c>
      <c r="K127" s="33" t="s">
        <v>271</v>
      </c>
      <c r="L127" s="33" t="s">
        <v>40</v>
      </c>
      <c r="M127" s="33" t="s">
        <v>40</v>
      </c>
      <c r="N127" s="31" t="s">
        <v>36</v>
      </c>
      <c r="O127" s="31" t="s">
        <v>273</v>
      </c>
      <c r="P127" s="16" t="s">
        <v>246</v>
      </c>
      <c r="Q127" s="16"/>
      <c r="R127" s="34" t="s">
        <v>311</v>
      </c>
      <c r="S127" s="17"/>
      <c r="T127" s="17"/>
      <c r="U127" s="17"/>
    </row>
    <row r="128" customFormat="1" ht="28.5" customHeight="1" spans="1:21">
      <c r="A128" s="27">
        <v>12321</v>
      </c>
      <c r="B128" s="28" t="s">
        <v>179</v>
      </c>
      <c r="C128" s="29" t="s">
        <v>32</v>
      </c>
      <c r="D128" s="41">
        <v>46097</v>
      </c>
      <c r="E128" s="31">
        <v>45</v>
      </c>
      <c r="F128" s="31">
        <v>36.36</v>
      </c>
      <c r="G128" s="32">
        <v>0</v>
      </c>
      <c r="H128" s="32" t="s">
        <v>33</v>
      </c>
      <c r="I128" s="31">
        <v>8</v>
      </c>
      <c r="J128" s="31" t="s">
        <v>49</v>
      </c>
      <c r="K128" s="33" t="s">
        <v>271</v>
      </c>
      <c r="L128" s="33" t="s">
        <v>271</v>
      </c>
      <c r="M128" s="33" t="s">
        <v>40</v>
      </c>
      <c r="N128" s="31" t="s">
        <v>36</v>
      </c>
      <c r="O128" s="31" t="s">
        <v>273</v>
      </c>
      <c r="P128" s="16" t="s">
        <v>285</v>
      </c>
      <c r="Q128" s="16">
        <v>34.542</v>
      </c>
      <c r="R128" s="34" t="s">
        <v>312</v>
      </c>
      <c r="S128" s="17"/>
      <c r="T128" s="17"/>
      <c r="U128" s="17"/>
    </row>
    <row r="129" customFormat="1" ht="28.5" customHeight="1" spans="1:21">
      <c r="A129" s="27">
        <v>12272</v>
      </c>
      <c r="B129" s="28" t="s">
        <v>180</v>
      </c>
      <c r="C129" s="29" t="s">
        <v>32</v>
      </c>
      <c r="D129" s="41">
        <v>46097</v>
      </c>
      <c r="E129" s="31">
        <v>68</v>
      </c>
      <c r="F129" s="31">
        <v>0</v>
      </c>
      <c r="G129" s="32">
        <v>1</v>
      </c>
      <c r="H129" s="32" t="s">
        <v>39</v>
      </c>
      <c r="I129" s="31">
        <v>8</v>
      </c>
      <c r="J129" s="31" t="s">
        <v>45</v>
      </c>
      <c r="K129" s="33" t="s">
        <v>271</v>
      </c>
      <c r="L129" s="33" t="s">
        <v>40</v>
      </c>
      <c r="M129" s="33" t="s">
        <v>40</v>
      </c>
      <c r="N129" s="31" t="s">
        <v>40</v>
      </c>
      <c r="O129" s="31" t="s">
        <v>246</v>
      </c>
      <c r="P129" s="16" t="s">
        <v>248</v>
      </c>
      <c r="Q129" s="16"/>
      <c r="R129" s="40" t="s">
        <v>313</v>
      </c>
      <c r="S129" s="17"/>
      <c r="T129" s="17"/>
      <c r="U129" s="17"/>
    </row>
    <row r="130" customFormat="1" ht="28.5" customHeight="1" spans="1:21">
      <c r="A130" s="27">
        <v>12292</v>
      </c>
      <c r="B130" s="28" t="s">
        <v>181</v>
      </c>
      <c r="C130" s="29" t="s">
        <v>32</v>
      </c>
      <c r="D130" s="41">
        <v>46097</v>
      </c>
      <c r="E130" s="31">
        <v>95</v>
      </c>
      <c r="F130" s="31">
        <v>0</v>
      </c>
      <c r="G130" s="32">
        <v>1</v>
      </c>
      <c r="H130" s="32" t="s">
        <v>39</v>
      </c>
      <c r="I130" s="31">
        <v>2</v>
      </c>
      <c r="J130" s="31" t="s">
        <v>30</v>
      </c>
      <c r="K130" s="33" t="s">
        <v>40</v>
      </c>
      <c r="L130" s="33" t="s">
        <v>40</v>
      </c>
      <c r="M130" s="33" t="s">
        <v>40</v>
      </c>
      <c r="N130" s="31" t="s">
        <v>40</v>
      </c>
      <c r="O130" s="31" t="s">
        <v>246</v>
      </c>
      <c r="P130" s="16"/>
      <c r="Q130" s="16"/>
      <c r="R130" s="40"/>
      <c r="S130" s="17"/>
      <c r="T130" s="17"/>
      <c r="U130" s="17"/>
    </row>
    <row r="131" customFormat="1" ht="28.5" customHeight="1" spans="1:21">
      <c r="A131" s="27">
        <v>12333</v>
      </c>
      <c r="B131" s="28" t="s">
        <v>182</v>
      </c>
      <c r="C131" s="29" t="s">
        <v>32</v>
      </c>
      <c r="D131" s="41">
        <v>46097</v>
      </c>
      <c r="E131" s="31">
        <v>98</v>
      </c>
      <c r="F131" s="31">
        <v>116.96</v>
      </c>
      <c r="G131" s="32">
        <v>0</v>
      </c>
      <c r="H131" s="32" t="s">
        <v>33</v>
      </c>
      <c r="I131" s="31">
        <v>2</v>
      </c>
      <c r="J131" s="31" t="s">
        <v>30</v>
      </c>
      <c r="K131" s="33" t="s">
        <v>40</v>
      </c>
      <c r="L131" s="33" t="s">
        <v>271</v>
      </c>
      <c r="M131" s="33" t="s">
        <v>40</v>
      </c>
      <c r="N131" s="31" t="s">
        <v>36</v>
      </c>
      <c r="O131" s="31" t="s">
        <v>273</v>
      </c>
      <c r="P131" s="16" t="s">
        <v>245</v>
      </c>
      <c r="Q131" s="16"/>
      <c r="R131" s="40" t="s">
        <v>314</v>
      </c>
      <c r="S131" s="17"/>
      <c r="T131" s="17"/>
      <c r="U131" s="17"/>
    </row>
    <row r="132" customFormat="1" ht="28.5" customHeight="1" spans="1:21">
      <c r="A132" s="27">
        <v>12334</v>
      </c>
      <c r="B132" s="28" t="s">
        <v>183</v>
      </c>
      <c r="C132" s="29" t="s">
        <v>32</v>
      </c>
      <c r="D132" s="41">
        <v>46097</v>
      </c>
      <c r="E132" s="31">
        <v>225</v>
      </c>
      <c r="F132" s="31">
        <v>0</v>
      </c>
      <c r="G132" s="32" t="s">
        <v>62</v>
      </c>
      <c r="H132" s="32" t="s">
        <v>39</v>
      </c>
      <c r="I132" s="31">
        <v>2</v>
      </c>
      <c r="J132" s="31" t="s">
        <v>30</v>
      </c>
      <c r="K132" s="33" t="s">
        <v>40</v>
      </c>
      <c r="L132" s="33" t="s">
        <v>40</v>
      </c>
      <c r="M132" s="33" t="s">
        <v>40</v>
      </c>
      <c r="N132" s="31" t="s">
        <v>43</v>
      </c>
      <c r="O132" s="31" t="s">
        <v>279</v>
      </c>
      <c r="P132" s="16"/>
      <c r="Q132" s="16"/>
      <c r="R132" s="40"/>
      <c r="S132" s="17"/>
      <c r="T132" s="17"/>
      <c r="U132" s="17"/>
    </row>
    <row r="133" customFormat="1" ht="28.5" customHeight="1" spans="1:21">
      <c r="A133" s="27">
        <v>12368</v>
      </c>
      <c r="B133" s="28" t="s">
        <v>184</v>
      </c>
      <c r="C133" s="29" t="s">
        <v>32</v>
      </c>
      <c r="D133" s="41">
        <v>46097</v>
      </c>
      <c r="E133" s="31">
        <v>95</v>
      </c>
      <c r="F133" s="31">
        <v>0</v>
      </c>
      <c r="G133" s="32">
        <v>1</v>
      </c>
      <c r="H133" s="32" t="s">
        <v>39</v>
      </c>
      <c r="I133" s="31">
        <v>5</v>
      </c>
      <c r="J133" s="31" t="s">
        <v>45</v>
      </c>
      <c r="K133" s="33" t="s">
        <v>40</v>
      </c>
      <c r="L133" s="33" t="s">
        <v>40</v>
      </c>
      <c r="M133" s="33" t="s">
        <v>40</v>
      </c>
      <c r="N133" s="31" t="s">
        <v>40</v>
      </c>
      <c r="O133" s="31" t="s">
        <v>246</v>
      </c>
      <c r="P133" s="16"/>
      <c r="Q133" s="16"/>
      <c r="R133" s="40"/>
      <c r="S133" s="17"/>
      <c r="T133" s="17"/>
      <c r="U133" s="17"/>
    </row>
    <row r="134" customFormat="1" ht="28.5" customHeight="1" spans="1:21">
      <c r="A134" s="27">
        <v>12306</v>
      </c>
      <c r="B134" s="28" t="s">
        <v>185</v>
      </c>
      <c r="C134" s="29" t="s">
        <v>32</v>
      </c>
      <c r="D134" s="41">
        <v>46097</v>
      </c>
      <c r="E134" s="31">
        <v>550</v>
      </c>
      <c r="F134" s="31">
        <v>0</v>
      </c>
      <c r="G134" s="32">
        <v>1</v>
      </c>
      <c r="H134" s="32" t="s">
        <v>39</v>
      </c>
      <c r="I134" s="31">
        <v>8</v>
      </c>
      <c r="J134" s="31" t="s">
        <v>49</v>
      </c>
      <c r="K134" s="33" t="s">
        <v>271</v>
      </c>
      <c r="L134" s="33" t="s">
        <v>40</v>
      </c>
      <c r="M134" s="33" t="s">
        <v>40</v>
      </c>
      <c r="N134" s="31" t="s">
        <v>40</v>
      </c>
      <c r="O134" s="31" t="s">
        <v>246</v>
      </c>
      <c r="P134" s="16" t="s">
        <v>246</v>
      </c>
      <c r="Q134" s="16"/>
      <c r="R134" s="34" t="s">
        <v>315</v>
      </c>
      <c r="S134" s="17"/>
      <c r="T134" s="17"/>
      <c r="U134" s="17"/>
    </row>
    <row r="135" customFormat="1" ht="28.5" customHeight="1" spans="1:21">
      <c r="A135" s="27">
        <v>12307</v>
      </c>
      <c r="B135" s="28" t="s">
        <v>186</v>
      </c>
      <c r="C135" s="29" t="s">
        <v>32</v>
      </c>
      <c r="D135" s="41">
        <v>46097</v>
      </c>
      <c r="E135" s="31">
        <v>550</v>
      </c>
      <c r="F135" s="31">
        <v>694.66</v>
      </c>
      <c r="G135" s="32">
        <v>0.5</v>
      </c>
      <c r="H135" s="32" t="s">
        <v>39</v>
      </c>
      <c r="I135" s="31">
        <v>8</v>
      </c>
      <c r="J135" s="31" t="s">
        <v>49</v>
      </c>
      <c r="K135" s="33" t="s">
        <v>271</v>
      </c>
      <c r="L135" s="33" t="s">
        <v>40</v>
      </c>
      <c r="M135" s="33" t="s">
        <v>40</v>
      </c>
      <c r="N135" s="31" t="s">
        <v>36</v>
      </c>
      <c r="O135" s="31" t="s">
        <v>273</v>
      </c>
      <c r="P135" s="16" t="s">
        <v>246</v>
      </c>
      <c r="Q135" s="16"/>
      <c r="R135" s="34" t="s">
        <v>316</v>
      </c>
      <c r="S135" s="17"/>
      <c r="T135" s="17"/>
      <c r="U135" s="17"/>
    </row>
    <row r="136" customFormat="1" ht="28.5" customHeight="1" spans="1:21">
      <c r="A136" s="27">
        <v>12308</v>
      </c>
      <c r="B136" s="28" t="s">
        <v>187</v>
      </c>
      <c r="C136" s="29" t="s">
        <v>32</v>
      </c>
      <c r="D136" s="41">
        <v>46097</v>
      </c>
      <c r="E136" s="31">
        <v>550</v>
      </c>
      <c r="F136" s="31">
        <v>0</v>
      </c>
      <c r="G136" s="32">
        <v>1</v>
      </c>
      <c r="H136" s="32" t="s">
        <v>39</v>
      </c>
      <c r="I136" s="31">
        <v>8</v>
      </c>
      <c r="J136" s="31" t="s">
        <v>49</v>
      </c>
      <c r="K136" s="33" t="s">
        <v>271</v>
      </c>
      <c r="L136" s="33" t="s">
        <v>40</v>
      </c>
      <c r="M136" s="33" t="s">
        <v>40</v>
      </c>
      <c r="N136" s="31" t="s">
        <v>40</v>
      </c>
      <c r="O136" s="31" t="s">
        <v>246</v>
      </c>
      <c r="P136" s="16" t="s">
        <v>246</v>
      </c>
      <c r="Q136" s="16"/>
      <c r="R136" s="34" t="s">
        <v>317</v>
      </c>
      <c r="S136" s="17"/>
      <c r="T136" s="17"/>
      <c r="U136" s="17"/>
    </row>
    <row r="137" customFormat="1" ht="28.5" customHeight="1" spans="1:21">
      <c r="A137" s="27">
        <v>12293</v>
      </c>
      <c r="B137" s="28" t="s">
        <v>188</v>
      </c>
      <c r="C137" s="29" t="s">
        <v>32</v>
      </c>
      <c r="D137" s="41">
        <v>46099</v>
      </c>
      <c r="E137" s="31">
        <v>55</v>
      </c>
      <c r="F137" s="31">
        <v>0</v>
      </c>
      <c r="G137" s="32">
        <v>1</v>
      </c>
      <c r="H137" s="32" t="s">
        <v>39</v>
      </c>
      <c r="I137" s="31">
        <v>2</v>
      </c>
      <c r="J137" s="31" t="s">
        <v>30</v>
      </c>
      <c r="K137" s="33" t="s">
        <v>40</v>
      </c>
      <c r="L137" s="33" t="s">
        <v>40</v>
      </c>
      <c r="M137" s="33" t="s">
        <v>40</v>
      </c>
      <c r="N137" s="31" t="s">
        <v>40</v>
      </c>
      <c r="O137" s="31" t="s">
        <v>246</v>
      </c>
      <c r="P137" s="16"/>
      <c r="Q137" s="16"/>
      <c r="R137" s="40"/>
      <c r="S137" s="17"/>
      <c r="T137" s="17"/>
      <c r="U137" s="17"/>
    </row>
    <row r="138" customFormat="1" ht="28.5" customHeight="1" spans="1:21">
      <c r="A138" s="27">
        <v>12298</v>
      </c>
      <c r="B138" s="28" t="s">
        <v>189</v>
      </c>
      <c r="C138" s="29" t="s">
        <v>47</v>
      </c>
      <c r="D138" s="41">
        <v>46099</v>
      </c>
      <c r="E138" s="31">
        <v>26.42</v>
      </c>
      <c r="F138" s="31">
        <v>0</v>
      </c>
      <c r="G138" s="32" t="s">
        <v>62</v>
      </c>
      <c r="H138" s="32" t="s">
        <v>33</v>
      </c>
      <c r="I138" s="31">
        <v>2</v>
      </c>
      <c r="J138" s="31" t="s">
        <v>30</v>
      </c>
      <c r="K138" s="33" t="s">
        <v>40</v>
      </c>
      <c r="L138" s="33" t="s">
        <v>40</v>
      </c>
      <c r="M138" s="33" t="s">
        <v>40</v>
      </c>
      <c r="N138" s="31" t="s">
        <v>43</v>
      </c>
      <c r="O138" s="31" t="s">
        <v>279</v>
      </c>
      <c r="P138" s="16"/>
      <c r="Q138" s="16"/>
      <c r="R138" s="40"/>
      <c r="S138" s="17"/>
      <c r="T138" s="17"/>
      <c r="U138" s="17"/>
    </row>
    <row r="139" customFormat="1" ht="28.5" customHeight="1" spans="1:21">
      <c r="A139" s="27">
        <v>12299</v>
      </c>
      <c r="B139" s="28" t="s">
        <v>190</v>
      </c>
      <c r="C139" s="29" t="s">
        <v>47</v>
      </c>
      <c r="D139" s="41">
        <v>46099</v>
      </c>
      <c r="E139" s="31">
        <v>26.42</v>
      </c>
      <c r="F139" s="31">
        <v>49</v>
      </c>
      <c r="G139" s="32">
        <v>0</v>
      </c>
      <c r="H139" s="32" t="s">
        <v>33</v>
      </c>
      <c r="I139" s="31">
        <v>2</v>
      </c>
      <c r="J139" s="31" t="s">
        <v>30</v>
      </c>
      <c r="K139" s="33" t="s">
        <v>40</v>
      </c>
      <c r="L139" s="33" t="s">
        <v>40</v>
      </c>
      <c r="M139" s="33" t="s">
        <v>40</v>
      </c>
      <c r="N139" s="31" t="s">
        <v>36</v>
      </c>
      <c r="O139" s="31" t="s">
        <v>273</v>
      </c>
      <c r="P139" s="16"/>
      <c r="Q139" s="16"/>
      <c r="R139" s="40"/>
      <c r="S139" s="17"/>
      <c r="T139" s="17"/>
      <c r="U139" s="17"/>
    </row>
    <row r="140" customFormat="1" ht="28.5" customHeight="1" spans="1:21">
      <c r="A140" s="27">
        <v>12396</v>
      </c>
      <c r="B140" s="28" t="s">
        <v>191</v>
      </c>
      <c r="C140" s="29" t="s">
        <v>32</v>
      </c>
      <c r="D140" s="41">
        <v>46104</v>
      </c>
      <c r="E140" s="31">
        <v>295</v>
      </c>
      <c r="F140" s="31">
        <v>0</v>
      </c>
      <c r="G140" s="32" t="s">
        <v>62</v>
      </c>
      <c r="H140" s="32" t="s">
        <v>33</v>
      </c>
      <c r="I140" s="31">
        <v>2</v>
      </c>
      <c r="J140" s="31" t="s">
        <v>49</v>
      </c>
      <c r="K140" s="33" t="s">
        <v>40</v>
      </c>
      <c r="L140" s="33" t="s">
        <v>40</v>
      </c>
      <c r="M140" s="33" t="s">
        <v>40</v>
      </c>
      <c r="N140" s="31" t="s">
        <v>43</v>
      </c>
      <c r="O140" s="31" t="s">
        <v>279</v>
      </c>
      <c r="P140" s="16"/>
      <c r="Q140" s="16"/>
      <c r="R140" s="40"/>
      <c r="S140" s="17"/>
      <c r="T140" s="17"/>
      <c r="U140" s="17"/>
    </row>
    <row r="141" customFormat="1" ht="28.5" customHeight="1" spans="1:21">
      <c r="A141" s="27">
        <v>12291</v>
      </c>
      <c r="B141" s="28" t="s">
        <v>192</v>
      </c>
      <c r="C141" s="29" t="s">
        <v>32</v>
      </c>
      <c r="D141" s="41">
        <v>46104</v>
      </c>
      <c r="E141" s="31">
        <v>185</v>
      </c>
      <c r="F141" s="31">
        <v>0</v>
      </c>
      <c r="G141" s="32" t="s">
        <v>62</v>
      </c>
      <c r="H141" s="32" t="s">
        <v>33</v>
      </c>
      <c r="I141" s="31">
        <v>2</v>
      </c>
      <c r="J141" s="31" t="s">
        <v>30</v>
      </c>
      <c r="K141" s="33" t="s">
        <v>40</v>
      </c>
      <c r="L141" s="33" t="s">
        <v>40</v>
      </c>
      <c r="M141" s="33" t="s">
        <v>40</v>
      </c>
      <c r="N141" s="31" t="s">
        <v>43</v>
      </c>
      <c r="O141" s="31" t="s">
        <v>279</v>
      </c>
      <c r="P141" s="16"/>
      <c r="Q141" s="16"/>
      <c r="R141" s="40"/>
      <c r="S141" s="17"/>
      <c r="T141" s="17"/>
      <c r="U141" s="17"/>
    </row>
    <row r="142" customFormat="1" ht="28.5" customHeight="1" spans="1:21">
      <c r="A142" s="27">
        <v>12290</v>
      </c>
      <c r="B142" s="28" t="s">
        <v>193</v>
      </c>
      <c r="C142" s="29" t="s">
        <v>32</v>
      </c>
      <c r="D142" s="41">
        <v>46104</v>
      </c>
      <c r="E142" s="31">
        <v>139</v>
      </c>
      <c r="F142" s="31">
        <v>0</v>
      </c>
      <c r="G142" s="32" t="s">
        <v>62</v>
      </c>
      <c r="H142" s="32" t="s">
        <v>33</v>
      </c>
      <c r="I142" s="31">
        <v>2</v>
      </c>
      <c r="J142" s="31" t="s">
        <v>30</v>
      </c>
      <c r="K142" s="33" t="s">
        <v>40</v>
      </c>
      <c r="L142" s="33" t="s">
        <v>40</v>
      </c>
      <c r="M142" s="33" t="s">
        <v>40</v>
      </c>
      <c r="N142" s="31" t="s">
        <v>43</v>
      </c>
      <c r="O142" s="31" t="s">
        <v>279</v>
      </c>
      <c r="P142" s="16"/>
      <c r="Q142" s="16"/>
      <c r="R142" s="40"/>
      <c r="S142" s="17"/>
      <c r="T142" s="17"/>
      <c r="U142" s="17"/>
    </row>
    <row r="143" customFormat="1" ht="28.5" customHeight="1" spans="1:21">
      <c r="A143" s="27">
        <v>12391</v>
      </c>
      <c r="B143" s="28" t="s">
        <v>194</v>
      </c>
      <c r="C143" s="29" t="s">
        <v>32</v>
      </c>
      <c r="D143" s="41">
        <v>46104</v>
      </c>
      <c r="E143" s="31">
        <v>169</v>
      </c>
      <c r="F143" s="31">
        <v>0</v>
      </c>
      <c r="G143" s="32" t="s">
        <v>62</v>
      </c>
      <c r="H143" s="32" t="s">
        <v>33</v>
      </c>
      <c r="I143" s="31">
        <v>2</v>
      </c>
      <c r="J143" s="31" t="s">
        <v>102</v>
      </c>
      <c r="K143" s="33" t="s">
        <v>40</v>
      </c>
      <c r="L143" s="33" t="s">
        <v>40</v>
      </c>
      <c r="M143" s="33" t="s">
        <v>40</v>
      </c>
      <c r="N143" s="31" t="s">
        <v>43</v>
      </c>
      <c r="O143" s="31" t="s">
        <v>279</v>
      </c>
      <c r="P143" s="16"/>
      <c r="Q143" s="16"/>
      <c r="R143" s="40"/>
      <c r="S143" s="17"/>
      <c r="T143" s="17"/>
      <c r="U143" s="17"/>
    </row>
    <row r="144" customFormat="1" ht="28.5" customHeight="1" spans="1:21">
      <c r="A144" s="27">
        <v>12398</v>
      </c>
      <c r="B144" s="28" t="s">
        <v>195</v>
      </c>
      <c r="C144" s="29" t="s">
        <v>47</v>
      </c>
      <c r="D144" s="41">
        <v>46104</v>
      </c>
      <c r="E144" s="31">
        <v>49</v>
      </c>
      <c r="F144" s="31">
        <v>0</v>
      </c>
      <c r="G144" s="32" t="s">
        <v>62</v>
      </c>
      <c r="H144" s="32" t="s">
        <v>33</v>
      </c>
      <c r="I144" s="31">
        <v>1</v>
      </c>
      <c r="J144" s="31" t="s">
        <v>102</v>
      </c>
      <c r="K144" s="33" t="s">
        <v>40</v>
      </c>
      <c r="L144" s="33" t="s">
        <v>40</v>
      </c>
      <c r="M144" s="33" t="s">
        <v>40</v>
      </c>
      <c r="N144" s="31" t="s">
        <v>43</v>
      </c>
      <c r="O144" s="31" t="s">
        <v>279</v>
      </c>
      <c r="P144" s="16"/>
      <c r="Q144" s="16"/>
      <c r="R144" s="40"/>
      <c r="S144" s="17"/>
      <c r="T144" s="17"/>
      <c r="U144" s="17"/>
    </row>
    <row r="145" customFormat="1" ht="28.5" customHeight="1" spans="1:21">
      <c r="A145" s="27">
        <v>12357</v>
      </c>
      <c r="B145" s="28" t="s">
        <v>196</v>
      </c>
      <c r="C145" s="29" t="s">
        <v>32</v>
      </c>
      <c r="D145" s="41">
        <v>46104</v>
      </c>
      <c r="E145" s="31">
        <v>110</v>
      </c>
      <c r="F145" s="31">
        <v>0</v>
      </c>
      <c r="G145" s="32">
        <v>1</v>
      </c>
      <c r="H145" s="32" t="s">
        <v>39</v>
      </c>
      <c r="I145" s="31">
        <v>2</v>
      </c>
      <c r="J145" s="31" t="s">
        <v>45</v>
      </c>
      <c r="K145" s="33" t="s">
        <v>40</v>
      </c>
      <c r="L145" s="33" t="s">
        <v>40</v>
      </c>
      <c r="M145" s="33" t="s">
        <v>40</v>
      </c>
      <c r="N145" s="31" t="s">
        <v>40</v>
      </c>
      <c r="O145" s="31" t="s">
        <v>246</v>
      </c>
      <c r="P145" s="16"/>
      <c r="Q145" s="16"/>
      <c r="R145" s="40"/>
      <c r="S145" s="17"/>
      <c r="T145" s="17"/>
      <c r="U145" s="17"/>
    </row>
    <row r="146" customFormat="1" ht="28.5" customHeight="1" spans="1:21">
      <c r="A146" s="27">
        <v>12423</v>
      </c>
      <c r="B146" s="28" t="s">
        <v>197</v>
      </c>
      <c r="C146" s="29" t="s">
        <v>32</v>
      </c>
      <c r="D146" s="41">
        <v>46104</v>
      </c>
      <c r="E146" s="31">
        <v>58</v>
      </c>
      <c r="F146" s="31">
        <v>0</v>
      </c>
      <c r="G146" s="32" t="s">
        <v>62</v>
      </c>
      <c r="H146" s="32" t="s">
        <v>33</v>
      </c>
      <c r="I146" s="31">
        <v>1</v>
      </c>
      <c r="J146" s="31" t="s">
        <v>45</v>
      </c>
      <c r="K146" s="33" t="s">
        <v>40</v>
      </c>
      <c r="L146" s="33" t="s">
        <v>40</v>
      </c>
      <c r="M146" s="33" t="s">
        <v>40</v>
      </c>
      <c r="N146" s="31" t="s">
        <v>43</v>
      </c>
      <c r="O146" s="31" t="s">
        <v>279</v>
      </c>
      <c r="P146" s="16"/>
      <c r="Q146" s="16"/>
      <c r="R146" s="40"/>
      <c r="S146" s="17"/>
      <c r="T146" s="17"/>
      <c r="U146" s="17"/>
    </row>
    <row r="147" customFormat="1" ht="28.5" customHeight="1" spans="1:21">
      <c r="A147" s="27">
        <v>12387</v>
      </c>
      <c r="B147" s="28" t="s">
        <v>198</v>
      </c>
      <c r="C147" s="29" t="s">
        <v>32</v>
      </c>
      <c r="D147" s="41">
        <v>46105</v>
      </c>
      <c r="E147" s="31">
        <v>35</v>
      </c>
      <c r="F147" s="31" t="e">
        <v>#N/A</v>
      </c>
      <c r="G147" s="32" t="e">
        <v>#N/A</v>
      </c>
      <c r="H147" s="32" t="s">
        <v>33</v>
      </c>
      <c r="I147" s="31">
        <v>46106</v>
      </c>
      <c r="J147" s="31" t="s">
        <v>49</v>
      </c>
      <c r="K147" s="33" t="s">
        <v>271</v>
      </c>
      <c r="L147" s="33" t="s">
        <v>40</v>
      </c>
      <c r="M147" s="33" t="s">
        <v>271</v>
      </c>
      <c r="N147" s="31" t="e">
        <v>#N/A</v>
      </c>
      <c r="O147" s="31" t="e">
        <v>#N/A</v>
      </c>
      <c r="P147" s="16" t="s">
        <v>246</v>
      </c>
      <c r="Q147" s="16"/>
      <c r="R147" s="34" t="s">
        <v>318</v>
      </c>
      <c r="S147" s="17"/>
      <c r="T147" s="17"/>
      <c r="U147" s="17"/>
    </row>
    <row r="148" customFormat="1" ht="28.5" customHeight="1" spans="1:21">
      <c r="A148" s="27">
        <v>12388</v>
      </c>
      <c r="B148" s="28" t="s">
        <v>199</v>
      </c>
      <c r="C148" s="29" t="s">
        <v>32</v>
      </c>
      <c r="D148" s="41">
        <v>46105</v>
      </c>
      <c r="E148" s="31">
        <v>35</v>
      </c>
      <c r="F148" s="31" t="e">
        <v>#N/A</v>
      </c>
      <c r="G148" s="32" t="e">
        <v>#N/A</v>
      </c>
      <c r="H148" s="32" t="s">
        <v>33</v>
      </c>
      <c r="I148" s="31">
        <v>46106</v>
      </c>
      <c r="J148" s="31" t="s">
        <v>49</v>
      </c>
      <c r="K148" s="33" t="s">
        <v>271</v>
      </c>
      <c r="L148" s="33" t="s">
        <v>40</v>
      </c>
      <c r="M148" s="33" t="s">
        <v>271</v>
      </c>
      <c r="N148" s="31" t="e">
        <v>#N/A</v>
      </c>
      <c r="O148" s="31" t="e">
        <v>#N/A</v>
      </c>
      <c r="P148" s="16" t="s">
        <v>246</v>
      </c>
      <c r="Q148" s="16"/>
      <c r="R148" s="34" t="s">
        <v>318</v>
      </c>
      <c r="S148" s="17"/>
      <c r="T148" s="17"/>
      <c r="U148" s="17"/>
    </row>
  </sheetData>
  <mergeCells count="1">
    <mergeCell ref="K1:O1"/>
  </mergeCells>
  <conditionalFormatting sqref="H125">
    <cfRule type="containsText" dxfId="0" priority="48" operator="between" text="未出单">
      <formula>NOT(ISERROR(SEARCH("未出单",H125)))</formula>
    </cfRule>
  </conditionalFormatting>
  <conditionalFormatting sqref="K125:M125">
    <cfRule type="containsText" dxfId="1" priority="39" operator="between" text="异常">
      <formula>NOT(ISERROR(SEARCH("异常",K125)))</formula>
    </cfRule>
  </conditionalFormatting>
  <conditionalFormatting sqref="H126">
    <cfRule type="containsText" dxfId="0" priority="47" operator="between" text="未出单">
      <formula>NOT(ISERROR(SEARCH("未出单",H126)))</formula>
    </cfRule>
  </conditionalFormatting>
  <conditionalFormatting sqref="K126:M126">
    <cfRule type="containsText" dxfId="1" priority="38" operator="between" text="异常">
      <formula>NOT(ISERROR(SEARCH("异常",K126)))</formula>
    </cfRule>
  </conditionalFormatting>
  <conditionalFormatting sqref="H127">
    <cfRule type="containsText" dxfId="0" priority="46" operator="between" text="未出单">
      <formula>NOT(ISERROR(SEARCH("未出单",H127)))</formula>
    </cfRule>
  </conditionalFormatting>
  <conditionalFormatting sqref="K127:M127">
    <cfRule type="containsText" dxfId="1" priority="37" operator="between" text="异常">
      <formula>NOT(ISERROR(SEARCH("异常",K127)))</formula>
    </cfRule>
  </conditionalFormatting>
  <conditionalFormatting sqref="H128">
    <cfRule type="containsText" dxfId="0" priority="45" operator="between" text="未出单">
      <formula>NOT(ISERROR(SEARCH("未出单",H128)))</formula>
    </cfRule>
  </conditionalFormatting>
  <conditionalFormatting sqref="K128:M128">
    <cfRule type="containsText" dxfId="1" priority="36" operator="between" text="异常">
      <formula>NOT(ISERROR(SEARCH("异常",K128)))</formula>
    </cfRule>
  </conditionalFormatting>
  <conditionalFormatting sqref="H129">
    <cfRule type="containsText" dxfId="0" priority="44" operator="between" text="未出单">
      <formula>NOT(ISERROR(SEARCH("未出单",H129)))</formula>
    </cfRule>
  </conditionalFormatting>
  <conditionalFormatting sqref="K129:M129">
    <cfRule type="containsText" dxfId="1" priority="35" operator="between" text="异常">
      <formula>NOT(ISERROR(SEARCH("异常",K129)))</formula>
    </cfRule>
  </conditionalFormatting>
  <conditionalFormatting sqref="H130">
    <cfRule type="containsText" dxfId="0" priority="43" operator="between" text="未出单">
      <formula>NOT(ISERROR(SEARCH("未出单",H130)))</formula>
    </cfRule>
  </conditionalFormatting>
  <conditionalFormatting sqref="K130:M130">
    <cfRule type="containsText" dxfId="1" priority="34" operator="between" text="异常">
      <formula>NOT(ISERROR(SEARCH("异常",K130)))</formula>
    </cfRule>
  </conditionalFormatting>
  <conditionalFormatting sqref="H131">
    <cfRule type="containsText" dxfId="0" priority="42" operator="between" text="未出单">
      <formula>NOT(ISERROR(SEARCH("未出单",H131)))</formula>
    </cfRule>
  </conditionalFormatting>
  <conditionalFormatting sqref="K131:M131">
    <cfRule type="containsText" dxfId="1" priority="33" operator="between" text="异常">
      <formula>NOT(ISERROR(SEARCH("异常",K131)))</formula>
    </cfRule>
  </conditionalFormatting>
  <conditionalFormatting sqref="H132">
    <cfRule type="containsText" dxfId="0" priority="41" operator="between" text="未出单">
      <formula>NOT(ISERROR(SEARCH("未出单",H132)))</formula>
    </cfRule>
  </conditionalFormatting>
  <conditionalFormatting sqref="K132:M132">
    <cfRule type="containsText" dxfId="1" priority="32" operator="between" text="异常">
      <formula>NOT(ISERROR(SEARCH("异常",K132)))</formula>
    </cfRule>
  </conditionalFormatting>
  <conditionalFormatting sqref="H133">
    <cfRule type="containsText" dxfId="0" priority="40" operator="between" text="未出单">
      <formula>NOT(ISERROR(SEARCH("未出单",H133)))</formula>
    </cfRule>
  </conditionalFormatting>
  <conditionalFormatting sqref="K133:M133">
    <cfRule type="containsText" dxfId="1" priority="31" operator="between" text="异常">
      <formula>NOT(ISERROR(SEARCH("异常",K133)))</formula>
    </cfRule>
  </conditionalFormatting>
  <conditionalFormatting sqref="H134">
    <cfRule type="containsText" dxfId="0" priority="30" operator="between" text="未出单">
      <formula>NOT(ISERROR(SEARCH("未出单",H134)))</formula>
    </cfRule>
  </conditionalFormatting>
  <conditionalFormatting sqref="K134:M134">
    <cfRule type="containsText" dxfId="1" priority="15" operator="between" text="异常">
      <formula>NOT(ISERROR(SEARCH("异常",K134)))</formula>
    </cfRule>
  </conditionalFormatting>
  <conditionalFormatting sqref="H135">
    <cfRule type="containsText" dxfId="0" priority="29" operator="between" text="未出单">
      <formula>NOT(ISERROR(SEARCH("未出单",H135)))</formula>
    </cfRule>
  </conditionalFormatting>
  <conditionalFormatting sqref="K135:M135">
    <cfRule type="containsText" dxfId="1" priority="14" operator="between" text="异常">
      <formula>NOT(ISERROR(SEARCH("异常",K135)))</formula>
    </cfRule>
  </conditionalFormatting>
  <conditionalFormatting sqref="H136">
    <cfRule type="containsText" dxfId="0" priority="28" operator="between" text="未出单">
      <formula>NOT(ISERROR(SEARCH("未出单",H136)))</formula>
    </cfRule>
  </conditionalFormatting>
  <conditionalFormatting sqref="K136:M136">
    <cfRule type="containsText" dxfId="1" priority="13" operator="between" text="异常">
      <formula>NOT(ISERROR(SEARCH("异常",K136)))</formula>
    </cfRule>
  </conditionalFormatting>
  <conditionalFormatting sqref="H137">
    <cfRule type="containsText" dxfId="0" priority="27" operator="between" text="未出单">
      <formula>NOT(ISERROR(SEARCH("未出单",H137)))</formula>
    </cfRule>
  </conditionalFormatting>
  <conditionalFormatting sqref="K137:M137">
    <cfRule type="containsText" dxfId="1" priority="12" operator="between" text="异常">
      <formula>NOT(ISERROR(SEARCH("异常",K137)))</formula>
    </cfRule>
  </conditionalFormatting>
  <conditionalFormatting sqref="H138">
    <cfRule type="containsText" dxfId="0" priority="26" operator="between" text="未出单">
      <formula>NOT(ISERROR(SEARCH("未出单",H138)))</formula>
    </cfRule>
  </conditionalFormatting>
  <conditionalFormatting sqref="K138:M138">
    <cfRule type="containsText" dxfId="1" priority="11" operator="between" text="异常">
      <formula>NOT(ISERROR(SEARCH("异常",K138)))</formula>
    </cfRule>
  </conditionalFormatting>
  <conditionalFormatting sqref="H139">
    <cfRule type="containsText" dxfId="0" priority="25" operator="between" text="未出单">
      <formula>NOT(ISERROR(SEARCH("未出单",H139)))</formula>
    </cfRule>
  </conditionalFormatting>
  <conditionalFormatting sqref="K139:M139">
    <cfRule type="containsText" dxfId="1" priority="10" operator="between" text="异常">
      <formula>NOT(ISERROR(SEARCH("异常",K139)))</formula>
    </cfRule>
  </conditionalFormatting>
  <conditionalFormatting sqref="H140">
    <cfRule type="containsText" dxfId="0" priority="24" operator="between" text="未出单">
      <formula>NOT(ISERROR(SEARCH("未出单",H140)))</formula>
    </cfRule>
  </conditionalFormatting>
  <conditionalFormatting sqref="K140:M140">
    <cfRule type="containsText" dxfId="1" priority="9" operator="between" text="异常">
      <formula>NOT(ISERROR(SEARCH("异常",K140)))</formula>
    </cfRule>
  </conditionalFormatting>
  <conditionalFormatting sqref="H141">
    <cfRule type="containsText" dxfId="0" priority="23" operator="between" text="未出单">
      <formula>NOT(ISERROR(SEARCH("未出单",H141)))</formula>
    </cfRule>
  </conditionalFormatting>
  <conditionalFormatting sqref="K141:M141">
    <cfRule type="containsText" dxfId="1" priority="8" operator="between" text="异常">
      <formula>NOT(ISERROR(SEARCH("异常",K141)))</formula>
    </cfRule>
  </conditionalFormatting>
  <conditionalFormatting sqref="H142">
    <cfRule type="containsText" dxfId="0" priority="22" operator="between" text="未出单">
      <formula>NOT(ISERROR(SEARCH("未出单",H142)))</formula>
    </cfRule>
  </conditionalFormatting>
  <conditionalFormatting sqref="K142:M142">
    <cfRule type="containsText" dxfId="1" priority="7" operator="between" text="异常">
      <formula>NOT(ISERROR(SEARCH("异常",K142)))</formula>
    </cfRule>
  </conditionalFormatting>
  <conditionalFormatting sqref="H143">
    <cfRule type="containsText" dxfId="0" priority="21" operator="between" text="未出单">
      <formula>NOT(ISERROR(SEARCH("未出单",H143)))</formula>
    </cfRule>
  </conditionalFormatting>
  <conditionalFormatting sqref="K143:M143">
    <cfRule type="containsText" dxfId="1" priority="6" operator="between" text="异常">
      <formula>NOT(ISERROR(SEARCH("异常",K143)))</formula>
    </cfRule>
  </conditionalFormatting>
  <conditionalFormatting sqref="H144">
    <cfRule type="containsText" dxfId="0" priority="20" operator="between" text="未出单">
      <formula>NOT(ISERROR(SEARCH("未出单",H144)))</formula>
    </cfRule>
  </conditionalFormatting>
  <conditionalFormatting sqref="K144:M144">
    <cfRule type="containsText" dxfId="1" priority="5" operator="between" text="异常">
      <formula>NOT(ISERROR(SEARCH("异常",K144)))</formula>
    </cfRule>
  </conditionalFormatting>
  <conditionalFormatting sqref="H145">
    <cfRule type="containsText" dxfId="0" priority="19" operator="between" text="未出单">
      <formula>NOT(ISERROR(SEARCH("未出单",H145)))</formula>
    </cfRule>
  </conditionalFormatting>
  <conditionalFormatting sqref="K145:M145">
    <cfRule type="containsText" dxfId="1" priority="4" operator="between" text="异常">
      <formula>NOT(ISERROR(SEARCH("异常",K145)))</formula>
    </cfRule>
  </conditionalFormatting>
  <conditionalFormatting sqref="H146">
    <cfRule type="containsText" dxfId="0" priority="18" operator="between" text="未出单">
      <formula>NOT(ISERROR(SEARCH("未出单",H146)))</formula>
    </cfRule>
  </conditionalFormatting>
  <conditionalFormatting sqref="K146:M146">
    <cfRule type="containsText" dxfId="1" priority="3" operator="between" text="异常">
      <formula>NOT(ISERROR(SEARCH("异常",K146)))</formula>
    </cfRule>
  </conditionalFormatting>
  <conditionalFormatting sqref="H147">
    <cfRule type="containsText" dxfId="0" priority="17" operator="between" text="未出单">
      <formula>NOT(ISERROR(SEARCH("未出单",H147)))</formula>
    </cfRule>
  </conditionalFormatting>
  <conditionalFormatting sqref="K147:M147">
    <cfRule type="containsText" dxfId="1" priority="2" operator="between" text="异常">
      <formula>NOT(ISERROR(SEARCH("异常",K147)))</formula>
    </cfRule>
  </conditionalFormatting>
  <conditionalFormatting sqref="H148">
    <cfRule type="containsText" dxfId="0" priority="16" operator="between" text="未出单">
      <formula>NOT(ISERROR(SEARCH("未出单",H148)))</formula>
    </cfRule>
  </conditionalFormatting>
  <conditionalFormatting sqref="K148:M148">
    <cfRule type="containsText" dxfId="1" priority="1" operator="between" text="异常">
      <formula>NOT(ISERROR(SEARCH("异常",K148)))</formula>
    </cfRule>
  </conditionalFormatting>
  <conditionalFormatting sqref="D1:D102">
    <cfRule type="timePeriod" dxfId="2" priority="49" timePeriod="last7Days">
      <formula>AND(TODAY()-FLOOR(D1,1)&lt;=6,FLOOR(D1,1)&lt;=TODAY())</formula>
    </cfRule>
  </conditionalFormatting>
  <conditionalFormatting sqref="H1:H124 H149:H1048576">
    <cfRule type="containsText" dxfId="0" priority="51" operator="between" text="未出单">
      <formula>NOT(ISERROR(SEARCH("未出单",H1)))</formula>
    </cfRule>
  </conditionalFormatting>
  <conditionalFormatting sqref="K1:M124">
    <cfRule type="containsText" dxfId="1" priority="50" operator="between" text="异常">
      <formula>NOT(ISERROR(SEARCH("异常",K1)))</formula>
    </cfRule>
  </conditionalFormatting>
  <pageMargins left="0.75" right="0.75" top="1" bottom="1" header="0.5" footer="0.5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Administrator\WPSDrive\1657638535\WPS企业云盘\常州市凌越信息技术服务有限公司\团队文档\eBay运营三部\新品\新品检查记录.xlsx" FileId="488119903997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源数据</vt:lpstr>
      <vt:lpstr>品线维度</vt:lpstr>
      <vt:lpstr>分析人维度</vt:lpstr>
      <vt:lpstr>拓展类型维度</vt:lpstr>
      <vt:lpstr>出单情况维度</vt:lpstr>
      <vt:lpstr>未出单情况维度</vt:lpstr>
      <vt:lpstr>低占比维度</vt:lpstr>
      <vt:lpstr>3.25判断操作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2018-06-02T08:28:00Z</dcterms:created>
  <dcterms:modified xsi:type="dcterms:W3CDTF">2026-04-08T08:29:31Z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E21970CA0A1D4AB1BD6F0B2E35137529_13</vt:lpwstr>
  </property>
  <property fmtid="{D5CDD505-2E9C-101B-9397-08002B2CF9AE}" pid="4" name="CalculationRule">
    <vt:i4>0</vt:i4>
  </property>
</Properties>
</file>