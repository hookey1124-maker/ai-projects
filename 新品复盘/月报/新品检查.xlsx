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/>
  </bookViews>
  <sheets>
    <sheet name="4月低占比" sheetId="26" r:id="rId1"/>
  </sheets>
  <definedNames>
    <definedName name="_xlnm._FilterDatabase" localSheetId="0" hidden="1">'4月低占比'!$A$1:$AE$50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<sst xmlns="http://schemas.openxmlformats.org/spreadsheetml/2006/main" count="549" uniqueCount="173">
  <si>
    <t>销售编号</t>
  </si>
  <si>
    <t>SKU</t>
  </si>
  <si>
    <t>最新上架日期</t>
  </si>
  <si>
    <t>首次出单日期</t>
  </si>
  <si>
    <t>3月分析人</t>
  </si>
  <si>
    <t>4月分析人</t>
  </si>
  <si>
    <t>品类</t>
  </si>
  <si>
    <t>产品拓展</t>
  </si>
  <si>
    <t>情况标签</t>
  </si>
  <si>
    <t>市场</t>
  </si>
  <si>
    <t>价格</t>
  </si>
  <si>
    <t>运营</t>
  </si>
  <si>
    <t>产品</t>
  </si>
  <si>
    <t>操作判断</t>
  </si>
  <si>
    <t>分析内容</t>
  </si>
  <si>
    <t>3月分析频次</t>
  </si>
  <si>
    <t>4月分析频次</t>
  </si>
  <si>
    <t>3月 8日出单</t>
  </si>
  <si>
    <t>4月 8日出单</t>
  </si>
  <si>
    <t>3月销量</t>
  </si>
  <si>
    <t>4月销量</t>
  </si>
  <si>
    <t>环比</t>
  </si>
  <si>
    <t>3月对手出单</t>
  </si>
  <si>
    <t>4月对手出单</t>
  </si>
  <si>
    <t>3月销售额</t>
  </si>
  <si>
    <t>4月销售额</t>
  </si>
  <si>
    <t>3月市占比</t>
  </si>
  <si>
    <t>4月市占比</t>
  </si>
  <si>
    <t>LYAP-X1482-3</t>
  </si>
  <si>
    <t>王偲涵</t>
  </si>
  <si>
    <t>俞东旭</t>
  </si>
  <si>
    <t>车身外扩件</t>
  </si>
  <si>
    <t>拓展品</t>
  </si>
  <si>
    <t>正常-数据问题</t>
  </si>
  <si>
    <t>保持观察—等待数据累积</t>
  </si>
  <si>
    <t>分析：对手补货了，我们补货后周销0-11上涨很快，跟对手价差很大依旧正常出单，不跟价</t>
  </si>
  <si>
    <t>Y</t>
  </si>
  <si>
    <t>LYAP-X1799</t>
  </si>
  <si>
    <t>车门系统</t>
  </si>
  <si>
    <t>原开品</t>
  </si>
  <si>
    <t>市场-波动</t>
  </si>
  <si>
    <t>分析：主要对手128.7，我们还是有一定价格优势，自店周销0-3也在上升了，可以再观察一下</t>
  </si>
  <si>
    <t>LYAM-X2575-4</t>
  </si>
  <si>
    <t>分析：ty低价出单后持续涨价，站外低价涨价后也不出单了，我们也不出单，当前市场需求有波动，我们BM排名还是在前排的，先维持一下</t>
  </si>
  <si>
    <t>N</t>
  </si>
  <si>
    <t>LYAP-X1920-BK</t>
  </si>
  <si>
    <t>朱培源</t>
  </si>
  <si>
    <t>饰条</t>
  </si>
  <si>
    <t>价格-价格战严重 流量流失</t>
  </si>
  <si>
    <t>降价跟价—市场有低价出单,广告—增投PLP</t>
  </si>
  <si>
    <t>市场价格战严重，对手跟价幅度大且迅速，我们周0又不出单，plp有曝点转化差，samrt效果不太好。先申请跟价，然后转手动合打</t>
  </si>
  <si>
    <t>LYAP-X1920-C</t>
  </si>
  <si>
    <t>广告—增投PLP</t>
  </si>
  <si>
    <t>kspeed低价偶然性出1单，近期市场波动量较少，对手出1占比50%影响，实际对手6日内无后续出单，tp我们周2占比回升，价格不跟，系列重打广告中</t>
  </si>
  <si>
    <t>LYAP-X1992</t>
  </si>
  <si>
    <t>张潇</t>
  </si>
  <si>
    <t>对手-壁垒抢流</t>
  </si>
  <si>
    <t>链接优化—图片</t>
  </si>
  <si>
    <t>4月低占比，市场主要对手为MJD，对手高价品牌壁垒，低价市场上，我们基本占据90%的低价市场，高价壁垒对手难抢流，我们多数链接为白底图，优化主图</t>
  </si>
  <si>
    <t>LYAP-X1993</t>
  </si>
  <si>
    <t>对手-降价抢流</t>
  </si>
  <si>
    <t>4月低占比，市场有高价壁垒型对手MJD，高价持续出单，还有多个同价位对手价格基本在65-70之间，会分散抢流，目前我们库存不多，后续补货要到6月，活动测试链接价格回调；bike长期没流量，下架重上</t>
  </si>
  <si>
    <t>LYAP-X2089</t>
  </si>
  <si>
    <t>章鹏</t>
  </si>
  <si>
    <t>机盖及附件</t>
  </si>
  <si>
    <t>市场-市场总量减少</t>
  </si>
  <si>
    <t>降价跟价—市场有低价出单</t>
  </si>
  <si>
    <t>4月占比下滑较多，4月出单对手皆为高价对，价差都在10美金以上，整体影响不大，主要是我们自身销量下滑，近期市场出现黑色低价对手287260076166-116.95周内出了4单，看链接库存充足，申请单链接跟价113.99</t>
  </si>
  <si>
    <t>LYAP-X2135</t>
  </si>
  <si>
    <t>其他</t>
  </si>
  <si>
    <t>分析：低价对手补上了库存又出单了，自店周销2-0不出单了，目前还在开启PLP，单链接跟价
措施：跟价50.99</t>
  </si>
  <si>
    <t>LYAP-X2146</t>
  </si>
  <si>
    <t>挡泥板</t>
  </si>
  <si>
    <t>半月内市场仅出1单，市场量近期低迷。plp目前点击都来自非搜索，bm目前排名第一，调整一下广告</t>
  </si>
  <si>
    <t>未出单</t>
  </si>
  <si>
    <t>LYAM-X2569-1</t>
  </si>
  <si>
    <t>链接优化—标题详情,链接优化—上新链接</t>
  </si>
  <si>
    <t>低货值产品站内对手比较多，oem对手也只比我们高3块多，bike上架新链接，给5%plg，同时标题参考oem对手写</t>
  </si>
  <si>
    <t>LYAM-X2570-1</t>
  </si>
  <si>
    <t>flash广告近2周13点击无出单，站内包括tyllq在内有多个20以下对手出单，目前周出0，可售62周申请跟价
操作：跟价至19.19"</t>
  </si>
  <si>
    <t>LYAM-X2574-1</t>
  </si>
  <si>
    <t>对手-排名优质抢流</t>
  </si>
  <si>
    <t>4月低占比，4月市场主要都是高价对手在出单，价格基本在25以上，我们拉大价差依然低占比，之前跟价对手已经回涨，我们也回涨19.99，上回新铺的super高价20+都已经出单了，目前我们整体链接排名靠后，xauto复开smart，关闭PLG，super和via增投smart，先把排名打上去</t>
  </si>
  <si>
    <t>LYAM-X2695</t>
  </si>
  <si>
    <t>库存-断货</t>
  </si>
  <si>
    <t>断货</t>
  </si>
  <si>
    <t>LYAP-X2148-1</t>
  </si>
  <si>
    <t>市场-新品市场需求少</t>
  </si>
  <si>
    <t>组合排名一般，去调整广告</t>
  </si>
  <si>
    <t>LYAP-X1800-1</t>
  </si>
  <si>
    <t>胡煜星</t>
  </si>
  <si>
    <t>过去30天市场共出单19单，我们仅出单5，主要还是自身链接质量不足，目前销量最好对手已经断货，主图需求制作中，等主图做好再看看</t>
  </si>
  <si>
    <t>LYAP-X1877</t>
  </si>
  <si>
    <t>tp市场简介铆钉款出单较多，非铆钉款仅高价对手一体式出1，市场偏好，站外amz同价周2，上次测降0.5%后流量变化不大，暂时保持</t>
  </si>
  <si>
    <t>LYAM-X2254-L</t>
  </si>
  <si>
    <t>4月占比58%，市场整体分为低价市场价格在25-32之间，高价市场基本在50以上（品牌或OEM对手），高价市场部分难抢流，低价市场时不时有对手降价抢流，导致4月低占比，目前已经增投多个smart，保持排名，暂不做其他操作</t>
  </si>
  <si>
    <t>LYAP-X2308</t>
  </si>
  <si>
    <t>市场主要高价一体式对手出单，主要对手evan和automotive_parts_depot_usa，自身周销3,4月销19，产品自身爆点转下降多，复开PLP看看效果</t>
  </si>
  <si>
    <t>LYAP-X1800-1L</t>
  </si>
  <si>
    <t>链接优化—图片,降价跟价—拉大与对手价格差</t>
  </si>
  <si>
    <t>主要市场竞争激烈，多个对手高低价都能出单，我们高低价差拉大一些，bike做降价跟价，20，主图已经提需求</t>
  </si>
  <si>
    <t>LYAP-X1800-1R</t>
  </si>
  <si>
    <t>产品呗对手auxito抢流严重，目前对手已经断货，我们主图也制作完成，暂时观察看看后续广告效果</t>
  </si>
  <si>
    <t>LYAP-X2190-R</t>
  </si>
  <si>
    <t>4月占比40%，市场需求小，月市场约10，市场主要出单为partsngo，对手高价壁垒，难抢流，目前状态正常维持</t>
  </si>
  <si>
    <t>LYAP-X1642-GR</t>
  </si>
  <si>
    <t>分析：无出单低价，降价回499后我们又能出单了，继续维持</t>
  </si>
  <si>
    <t>LYAP-X1911-BK</t>
  </si>
  <si>
    <t>4月占比52%，4月仅高价对手出单，出单价格在100-120之间，多个连接且排名靠前，我们在4月中稳定出单后排名上升，5月对手出单减少，近期市场上多个链接降价到95左右，需继续观察</t>
  </si>
  <si>
    <t>LYAP-X1911-C</t>
  </si>
  <si>
    <t>4月占比45%，市场主要对手为movetech，4月高我们3美金，排名稳定靠前，sold和好评数比我们多，4月中开始我们靠低价优势一周能稳定出单2-5，占比逐渐上升，近期对手有降价抢流，已跟价</t>
  </si>
  <si>
    <t>LYAP-X1927</t>
  </si>
  <si>
    <t>广告—增投PLP,链接优化—上新链接,链接优化—图片</t>
  </si>
  <si>
    <t>4月低占比33%，市场主要对手为performance，多链接价格30左右，BM前十中有6个都是他家的铺货链接，5月初自店上架3条链接，能出单，但排名还是较差，出单不稳定，低货值开smart抢流，且我们图片多为白底图，参考对手做主图</t>
  </si>
  <si>
    <t>LYAP-X1934</t>
  </si>
  <si>
    <t>链接优化—图片,广告—提高PLG</t>
  </si>
  <si>
    <t>4月占比22%，市场主要对手gp，高价多链接价差与我们在0.5以内，sold记录和好评数都较多，且排名更优势，5月初补的链接能出单，但排名不佳，增投smart的链接，排名都上去了，但整体ACOS较高，平均ACOS在9%左右，其他链接排名靠后，先提升点费率，目前我们主要出单在via，via主图含红色车型，比较显眼，参考via做主图</t>
  </si>
  <si>
    <t>LYAP-X2148-1L</t>
  </si>
  <si>
    <t xml:space="preserve">市场需求问题，近2周市场无出单，上一轮测降无效果，展示状态正常，更多的还是组合在出单。系列之间创建超链接引流把。
</t>
  </si>
  <si>
    <t>LYAP-X2148-1R</t>
  </si>
  <si>
    <t>LYAP-X2418</t>
  </si>
  <si>
    <t>无</t>
  </si>
  <si>
    <t>进入五月一直稳定高占比，站内对手就一个，且高价，可尝试涨价，喊amz一起涨</t>
  </si>
  <si>
    <t>MD-002-FL</t>
  </si>
  <si>
    <t>对手-低价对手观察中</t>
  </si>
  <si>
    <t>分析：低价对手刚出1单，目前低库存未补，应该是低价清货的，不跟价</t>
  </si>
  <si>
    <t>MD-002-RL</t>
  </si>
  <si>
    <t>分析：产品需求较低，有低价对手出单后涨价了，我们当前有价格优势，先不调整</t>
  </si>
  <si>
    <t>MD-002-RR</t>
  </si>
  <si>
    <r>
      <rPr>
        <sz val="10"/>
        <color rgb="FF000000"/>
        <rFont val="微软雅黑"/>
        <charset val="134"/>
      </rPr>
      <t>分析：ty新的低价出现，但是库存较低没有自动补货，可能低价清货，先把PLP的预算降低，等对手断货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措施：每日预算3，model 3 door出价0.81，tesla model 3 door shell出价0.81</t>
    </r>
  </si>
  <si>
    <t>LYAM-X2862</t>
  </si>
  <si>
    <t>降价跟价—拉大与对手价格差</t>
  </si>
  <si>
    <t>4月占比66%，市场需求小，月市场不超过10，4月对手出了3单，都是高价出单，E-Z Parts出了2单，价格159+运费，对我们影响不大；近期我们不出单，周内Evan出1，目前我们价差仅1美金，申请拉大价差；</t>
  </si>
  <si>
    <t>LYAP-X1788-GR</t>
  </si>
  <si>
    <t>分析：gp又开始出单了，但是自店周销3-4也正常出单，不跟价</t>
  </si>
  <si>
    <t>MD-001-FR</t>
  </si>
  <si>
    <t>分析：已经断货</t>
  </si>
  <si>
    <t>MD-001-RR</t>
  </si>
  <si>
    <t>未跟价-库存不足</t>
  </si>
  <si>
    <t>分析：ty低价出单，我们剩2个库存无法跟价，海上也没什么货，只能先维持</t>
  </si>
  <si>
    <t>LYAP-X2144-1L</t>
  </si>
  <si>
    <t>周1，无对手，跟降后出单，市场量低，目前无问题</t>
  </si>
  <si>
    <t>LYAP-X2144-1R</t>
  </si>
  <si>
    <t>对手-未知原因抢流</t>
  </si>
  <si>
    <t>广告—提高PLG,链接优化—标题详情</t>
  </si>
  <si>
    <t>周1，周内有高价对手出单，我们周曝有上升但是整体还是低，周不足500，另一条乐悦链接测试对手标题和08适配，上调plg</t>
  </si>
  <si>
    <t>LYAP-X1878</t>
  </si>
  <si>
    <t>产品-对手升级改进</t>
  </si>
  <si>
    <t>4月低占比，市场主要对手为ikon和TYGER，对手产品都为半分体式（四个轮眉分6，两个整体两个分体），自店产品为全分体（四个轮眉分10，两个分2，两个分3），产品上无优势，目前我们有两个链接排名靠前，但图片都为白底图，参考对手做主图</t>
  </si>
  <si>
    <t>LYAP-X2077</t>
  </si>
  <si>
    <t>分析：evan低价没有持续出单了，我们目前也没有持续出单，站外同价倒是再出单了，可能近期市场需求有一定波动和转移，再观察一下</t>
  </si>
  <si>
    <t>LYAP-X2085</t>
  </si>
  <si>
    <t>分析：市场需求差，近期站内外都无人出单，先维持吧</t>
  </si>
  <si>
    <t>LYAP-X1788-BN</t>
  </si>
  <si>
    <t>广告—提高PLG</t>
  </si>
  <si>
    <r>
      <rPr>
        <sz val="10"/>
        <color rgb="FF000000"/>
        <rFont val="微软雅黑"/>
        <charset val="134"/>
      </rPr>
      <t>分析：via排名上去之后开始能出单了，gp多个链接高价，排名在我们之前，也能出单，再加一次费率把排名冲上去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措施：所有链接费率加0.5%</t>
    </r>
  </si>
  <si>
    <t>LYAP-X1929</t>
  </si>
  <si>
    <t>4月占比54%，市场主要出单对手jerbor ，多个链接价格在149以上，价差超100美金，品牌壁垒型对手，难抢流；</t>
  </si>
  <si>
    <t>LYAM-X2428-BK</t>
  </si>
  <si>
    <t>未上架</t>
  </si>
  <si>
    <t>分析：近期市场有波动，无对手出单，自店周销5-2有下滑但还能持续出单，没问题</t>
  </si>
  <si>
    <t>LYAP-X2504</t>
  </si>
  <si>
    <t>对手-页面优质抢流</t>
  </si>
  <si>
    <t>链接优化—销售计划(提价打折/自动补货/运费链接)</t>
  </si>
  <si>
    <r>
      <rPr>
        <sz val="10"/>
        <color rgb="FF000000"/>
        <rFont val="微软雅黑"/>
        <charset val="134"/>
      </rPr>
      <t>分析：高价强力对手是运费链接，面价跟我们很接近，而且这个产品出多件的情况很多，我们也做运费链接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措施：flash做运费链接</t>
    </r>
  </si>
  <si>
    <t>LYAP-X2210-C</t>
  </si>
  <si>
    <t>链接优化—上新链接</t>
  </si>
  <si>
    <t>4月29号上架，4月合理低占比，市场上多为铺货型对手，我们也再上几条链接</t>
  </si>
  <si>
    <t>LYAM-X2450-SL</t>
  </si>
  <si>
    <t>链接优化—促销手段(折扣/VP/coupon)</t>
  </si>
  <si>
    <t>市场需求容量比较一般，近一周就对手出了1单，我们PLP多点击转化较差，广告展示正常，广告搜索词多不相关年份曝光点击（做否定），其次链接开启BO，接受offer测试心理价位</t>
  </si>
  <si>
    <t>LYAP-X1909</t>
  </si>
  <si>
    <t>周6无对手出单，高占比，之前可能市场有波动，sku当前问题是乐悦打了plp但是没曝光，其他链接没开广告但是周5纯自然出单，plp关了吧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</si>
</sst>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[Red]\$\-#,##0.00"/>
    <numFmt numFmtId="177" formatCode="yyyy/m/d;@"/>
    <numFmt numFmtId="178" formatCode="0_);[Red]\(0\)"/>
    <numFmt numFmtId="179" formatCode="0_ ;[Red]\-0\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E3F2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10" applyNumberFormat="0" applyAlignment="0" applyProtection="0">
      <alignment vertical="center"/>
    </xf>
    <xf numFmtId="0" fontId="14" fillId="12" borderId="11" applyNumberFormat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6" fillId="13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0" xfId="0" applyNumberForma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2" xfId="0" applyNumberFormat="1" applyBorder="1">
      <alignment vertical="center"/>
    </xf>
    <xf numFmtId="10" fontId="0" fillId="0" borderId="2" xfId="0" applyNumberForma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1" fillId="7" borderId="4" xfId="0" applyNumberFormat="1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horizontal="center" vertical="center" wrapText="1"/>
    </xf>
    <xf numFmtId="176" fontId="1" fillId="8" borderId="2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0" xfId="0" applyFont="1" applyFill="1" applyBorder="1" applyAlignment="1">
      <alignment horizontal="center" vertical="center" wrapText="1"/>
    </xf>
    <xf numFmtId="10" fontId="1" fillId="9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77" fontId="2" fillId="0" borderId="0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178" fontId="2" fillId="0" borderId="3" xfId="0" applyNumberFormat="1" applyFont="1" applyBorder="1" applyAlignment="1">
      <alignment horizontal="center" vertical="center" wrapText="1"/>
    </xf>
    <xf numFmtId="178" fontId="2" fillId="0" borderId="0" xfId="0" applyNumberFormat="1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179" fontId="2" fillId="0" borderId="4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26" fontId="2" fillId="0" borderId="0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0" fontId="2" fillId="0" borderId="0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FF0000"/>
      </font>
    </dxf>
    <dxf>
      <font>
        <color rgb="FFD73434"/>
      </font>
      <fill>
        <patternFill patternType="solid">
          <bgColor rgb="FFFEC8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5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0"/>
  <sheetViews>
    <sheetView tabSelected="1" workbookViewId="0">
      <pane xSplit="9" ySplit="1" topLeftCell="J2" activePane="bottomRight" state="frozen"/>
      <selection/>
      <selection pane="topRight"/>
      <selection pane="bottomLeft"/>
      <selection pane="bottomRight" activeCell="K6" sqref="K6"/>
    </sheetView>
  </sheetViews>
  <sheetFormatPr defaultColWidth="9" defaultRowHeight="33" customHeight="1"/>
  <cols>
    <col min="1" max="1" width="9" style="1"/>
    <col min="2" max="2" width="15" style="2" customWidth="1"/>
    <col min="3" max="4" width="13.625" style="2" customWidth="1"/>
    <col min="5" max="6" width="11.375" style="2" customWidth="1"/>
    <col min="7" max="7" width="9" style="2"/>
    <col min="8" max="8" width="9" style="3"/>
    <col min="9" max="13" width="18.3666666666667" style="2" customWidth="1"/>
    <col min="14" max="14" width="18.3666666666667" style="4" customWidth="1"/>
    <col min="15" max="15" width="18.3666666666667" style="2" customWidth="1"/>
    <col min="16" max="16" width="9" style="5" customWidth="1"/>
    <col min="17" max="17" width="9" style="2"/>
    <col min="18" max="18" width="9" style="2" customWidth="1"/>
    <col min="19" max="19" width="9" style="6"/>
    <col min="20" max="20" width="9" style="5" customWidth="1"/>
    <col min="21" max="21" width="9" style="2"/>
    <col min="22" max="22" width="9" style="6"/>
    <col min="23" max="23" width="9" style="5" customWidth="1"/>
    <col min="24" max="24" width="9" style="2"/>
    <col min="25" max="25" width="9.09166666666667" style="7"/>
    <col min="26" max="27" width="11" style="2" customWidth="1"/>
    <col min="28" max="28" width="12.275" style="8"/>
    <col min="29" max="29" width="9" style="1" customWidth="1"/>
    <col min="30" max="30" width="9" style="2"/>
    <col min="31" max="31" width="9" style="9"/>
  </cols>
  <sheetData>
    <row r="1" customHeight="1" spans="1:3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4" t="s">
        <v>15</v>
      </c>
      <c r="Q1" s="15" t="s">
        <v>16</v>
      </c>
      <c r="R1" s="16" t="s">
        <v>17</v>
      </c>
      <c r="S1" s="17" t="s">
        <v>18</v>
      </c>
      <c r="T1" s="18" t="s">
        <v>19</v>
      </c>
      <c r="U1" s="19" t="s">
        <v>20</v>
      </c>
      <c r="V1" s="20" t="s">
        <v>21</v>
      </c>
      <c r="W1" s="21" t="s">
        <v>22</v>
      </c>
      <c r="X1" s="22" t="s">
        <v>23</v>
      </c>
      <c r="Y1" s="23" t="s">
        <v>21</v>
      </c>
      <c r="Z1" s="24" t="s">
        <v>24</v>
      </c>
      <c r="AA1" s="24" t="s">
        <v>25</v>
      </c>
      <c r="AB1" s="25" t="s">
        <v>21</v>
      </c>
      <c r="AC1" s="26" t="s">
        <v>26</v>
      </c>
      <c r="AD1" s="27" t="s">
        <v>27</v>
      </c>
      <c r="AE1" s="28" t="s">
        <v>21</v>
      </c>
    </row>
    <row r="2" customHeight="1" spans="1:31">
      <c r="A2" s="29">
        <v>11922</v>
      </c>
      <c r="B2" s="30" t="s">
        <v>28</v>
      </c>
      <c r="C2" s="31">
        <v>46056</v>
      </c>
      <c r="D2" s="31">
        <v>46058</v>
      </c>
      <c r="E2" s="31" t="s">
        <v>29</v>
      </c>
      <c r="F2" s="31" t="s">
        <v>30</v>
      </c>
      <c r="G2" s="31" t="s">
        <v>31</v>
      </c>
      <c r="H2" s="32" t="s">
        <v>32</v>
      </c>
      <c r="I2" s="31" t="str" cm="1">
        <f t="array" ref="I2">_xlfn.IFS(S2="未出单","低占比-未出单",AE2&lt;-10%,"低占比-占比下滑多",AB2&lt;-200,"低占比-销售额下滑",V2&lt;0,"低占比-销量下滑",Q2&lt;4,"低占比-低频分析",AND(AE2&gt;=0,AE2&lt;10%),"低占比-占比上升慢",TRUE,"低占比")</f>
        <v>低占比-占比下滑多</v>
      </c>
      <c r="J2" s="31"/>
      <c r="K2" s="31"/>
      <c r="L2" s="31" t="s">
        <v>33</v>
      </c>
      <c r="M2" s="31"/>
      <c r="N2" s="33" t="s">
        <v>34</v>
      </c>
      <c r="O2" s="34" t="s">
        <v>35</v>
      </c>
      <c r="P2" s="35">
        <v>3</v>
      </c>
      <c r="Q2" s="36">
        <v>1</v>
      </c>
      <c r="R2" s="31" t="s">
        <v>36</v>
      </c>
      <c r="S2" s="37" t="s">
        <v>36</v>
      </c>
      <c r="T2" s="35">
        <v>94</v>
      </c>
      <c r="U2" s="36">
        <v>30</v>
      </c>
      <c r="V2" s="38">
        <f t="shared" ref="V2:V50" si="0">IFERROR(U2-T2,U2)</f>
        <v>-64</v>
      </c>
      <c r="W2" s="35">
        <v>8</v>
      </c>
      <c r="X2" s="36">
        <v>36</v>
      </c>
      <c r="Y2" s="39">
        <f t="shared" ref="Y2:Y50" si="1">IFERROR(X2-W2,X2)</f>
        <v>28</v>
      </c>
      <c r="Z2" s="40">
        <v>15954.8</v>
      </c>
      <c r="AA2" s="40">
        <v>5426.11</v>
      </c>
      <c r="AB2" s="41">
        <f t="shared" ref="AB2:AB50" si="2">IFERROR(AA2-Z2,AA2)</f>
        <v>-10528.69</v>
      </c>
      <c r="AC2" s="42">
        <v>0.92156862745098</v>
      </c>
      <c r="AD2" s="43">
        <v>0.454545454545455</v>
      </c>
      <c r="AE2" s="44">
        <f t="shared" ref="AE2:AE50" si="3">IFERROR(AD2-AC2,AD2)</f>
        <v>-0.467023172905525</v>
      </c>
    </row>
    <row r="3" customHeight="1" spans="1:31">
      <c r="A3" s="29">
        <v>11929</v>
      </c>
      <c r="B3" s="30" t="s">
        <v>37</v>
      </c>
      <c r="C3" s="31">
        <v>46062</v>
      </c>
      <c r="D3" s="31">
        <v>46066</v>
      </c>
      <c r="E3" s="31" t="s">
        <v>30</v>
      </c>
      <c r="F3" s="31" t="s">
        <v>30</v>
      </c>
      <c r="G3" s="31" t="s">
        <v>38</v>
      </c>
      <c r="H3" s="32" t="s">
        <v>39</v>
      </c>
      <c r="I3" s="31" t="str" cm="1">
        <f t="array" ref="I3">_xlfn.IFS(S3="未出单","低占比-未出单",AE3&lt;-10%,"低占比-占比下滑多",AB3&lt;-200,"低占比-销售额下滑",V3&lt;0,"低占比-销量下滑",Q3&lt;4,"低占比-低频分析",AND(AE3&gt;=0,AE3&lt;10%),"低占比-占比上升慢",TRUE,"低占比")</f>
        <v>低占比-低频分析</v>
      </c>
      <c r="J3" s="31" t="s">
        <v>40</v>
      </c>
      <c r="K3" s="31"/>
      <c r="L3" s="31"/>
      <c r="M3" s="31"/>
      <c r="N3" s="33" t="s">
        <v>34</v>
      </c>
      <c r="O3" s="34" t="s">
        <v>41</v>
      </c>
      <c r="P3" s="35">
        <v>1</v>
      </c>
      <c r="Q3" s="36">
        <v>3</v>
      </c>
      <c r="R3" s="31" t="s">
        <v>36</v>
      </c>
      <c r="S3" s="37" t="s">
        <v>36</v>
      </c>
      <c r="T3" s="35">
        <v>2</v>
      </c>
      <c r="U3" s="36">
        <v>5</v>
      </c>
      <c r="V3" s="38">
        <f t="shared" si="0"/>
        <v>3</v>
      </c>
      <c r="W3" s="35">
        <v>4</v>
      </c>
      <c r="X3" s="36">
        <v>2</v>
      </c>
      <c r="Y3" s="39">
        <f t="shared" si="1"/>
        <v>-2</v>
      </c>
      <c r="Z3" s="40">
        <v>236</v>
      </c>
      <c r="AA3" s="40">
        <v>592</v>
      </c>
      <c r="AB3" s="41">
        <f t="shared" si="2"/>
        <v>356</v>
      </c>
      <c r="AC3" s="42">
        <v>0.333333333333333</v>
      </c>
      <c r="AD3" s="43">
        <v>0.714285714285714</v>
      </c>
      <c r="AE3" s="44">
        <f t="shared" si="3"/>
        <v>0.380952380952381</v>
      </c>
    </row>
    <row r="4" customHeight="1" spans="1:31">
      <c r="A4" s="29">
        <v>11890</v>
      </c>
      <c r="B4" s="30" t="s">
        <v>42</v>
      </c>
      <c r="C4" s="31">
        <v>46066</v>
      </c>
      <c r="D4" s="31">
        <v>46079</v>
      </c>
      <c r="E4" s="31" t="s">
        <v>29</v>
      </c>
      <c r="F4" s="31" t="s">
        <v>30</v>
      </c>
      <c r="G4" s="31" t="s">
        <v>38</v>
      </c>
      <c r="H4" s="32" t="s">
        <v>32</v>
      </c>
      <c r="I4" s="31" t="str" cm="1">
        <f t="array" ref="I4">_xlfn.IFS(S4="未出单","低占比-未出单",AE4&lt;-10%,"低占比-占比下滑多",AB4&lt;-200,"低占比-销售额下滑",V4&lt;0,"低占比-销量下滑",Q4&lt;4,"低占比-低频分析",AND(AE4&gt;=0,AE4&lt;10%),"低占比-占比上升慢",TRUE,"低占比")</f>
        <v>低占比-占比下滑多</v>
      </c>
      <c r="J4" s="31" t="s">
        <v>40</v>
      </c>
      <c r="K4" s="31"/>
      <c r="L4" s="31"/>
      <c r="M4" s="31"/>
      <c r="N4" s="33" t="s">
        <v>34</v>
      </c>
      <c r="O4" s="34" t="s">
        <v>43</v>
      </c>
      <c r="P4" s="35">
        <v>1</v>
      </c>
      <c r="Q4" s="36">
        <v>3</v>
      </c>
      <c r="R4" s="31" t="s">
        <v>44</v>
      </c>
      <c r="S4" s="37" t="s">
        <v>44</v>
      </c>
      <c r="T4" s="35">
        <v>5</v>
      </c>
      <c r="U4" s="36">
        <v>2</v>
      </c>
      <c r="V4" s="38">
        <f t="shared" si="0"/>
        <v>-3</v>
      </c>
      <c r="W4" s="35">
        <v>5</v>
      </c>
      <c r="X4" s="36">
        <v>5</v>
      </c>
      <c r="Y4" s="39">
        <f t="shared" si="1"/>
        <v>0</v>
      </c>
      <c r="Z4" s="40">
        <v>220</v>
      </c>
      <c r="AA4" s="40">
        <v>91</v>
      </c>
      <c r="AB4" s="41">
        <f t="shared" si="2"/>
        <v>-129</v>
      </c>
      <c r="AC4" s="42">
        <v>0.5</v>
      </c>
      <c r="AD4" s="43">
        <v>0.285714285714286</v>
      </c>
      <c r="AE4" s="44">
        <f t="shared" si="3"/>
        <v>-0.214285714285714</v>
      </c>
    </row>
    <row r="5" customHeight="1" spans="1:31">
      <c r="A5" s="29">
        <v>12088</v>
      </c>
      <c r="B5" s="30" t="s">
        <v>45</v>
      </c>
      <c r="C5" s="31">
        <v>46066</v>
      </c>
      <c r="D5" s="31">
        <v>46068</v>
      </c>
      <c r="E5" s="31" t="s">
        <v>29</v>
      </c>
      <c r="F5" s="31" t="s">
        <v>46</v>
      </c>
      <c r="G5" s="31" t="s">
        <v>47</v>
      </c>
      <c r="H5" s="32" t="s">
        <v>32</v>
      </c>
      <c r="I5" s="31" t="str" cm="1">
        <f t="array" ref="I5">_xlfn.IFS(S5="未出单","低占比-未出单",AE5&lt;-10%,"低占比-占比下滑多",AB5&lt;-200,"低占比-销售额下滑",V5&lt;0,"低占比-销量下滑",Q5&lt;4,"低占比-低频分析",AND(AE5&gt;=0,AE5&lt;10%),"低占比-占比上升慢",TRUE,"低占比")</f>
        <v>低占比-占比下滑多</v>
      </c>
      <c r="J5" s="31"/>
      <c r="K5" s="31" t="s">
        <v>48</v>
      </c>
      <c r="L5" s="31"/>
      <c r="M5" s="31"/>
      <c r="N5" s="33" t="s">
        <v>49</v>
      </c>
      <c r="O5" s="45" t="s">
        <v>50</v>
      </c>
      <c r="P5" s="35">
        <v>1</v>
      </c>
      <c r="Q5" s="36">
        <v>3</v>
      </c>
      <c r="R5" s="31" t="s">
        <v>36</v>
      </c>
      <c r="S5" s="37" t="s">
        <v>36</v>
      </c>
      <c r="T5" s="35">
        <v>13</v>
      </c>
      <c r="U5" s="36">
        <v>5</v>
      </c>
      <c r="V5" s="38">
        <f t="shared" si="0"/>
        <v>-8</v>
      </c>
      <c r="W5" s="35">
        <v>13</v>
      </c>
      <c r="X5" s="36">
        <v>15</v>
      </c>
      <c r="Y5" s="39">
        <f t="shared" si="1"/>
        <v>2</v>
      </c>
      <c r="Z5" s="40">
        <v>1079</v>
      </c>
      <c r="AA5" s="40">
        <v>398.14</v>
      </c>
      <c r="AB5" s="41">
        <f t="shared" si="2"/>
        <v>-680.86</v>
      </c>
      <c r="AC5" s="42">
        <v>0.5</v>
      </c>
      <c r="AD5" s="43">
        <v>0.25</v>
      </c>
      <c r="AE5" s="44">
        <f t="shared" si="3"/>
        <v>-0.25</v>
      </c>
    </row>
    <row r="6" customHeight="1" spans="1:31">
      <c r="A6" s="29">
        <v>12089</v>
      </c>
      <c r="B6" s="30" t="s">
        <v>51</v>
      </c>
      <c r="C6" s="31">
        <v>46066</v>
      </c>
      <c r="D6" s="31">
        <v>46070</v>
      </c>
      <c r="E6" s="31" t="s">
        <v>29</v>
      </c>
      <c r="F6" s="31" t="s">
        <v>46</v>
      </c>
      <c r="G6" s="31" t="s">
        <v>47</v>
      </c>
      <c r="H6" s="32" t="s">
        <v>32</v>
      </c>
      <c r="I6" s="31" t="str" cm="1">
        <f t="array" ref="I6">_xlfn.IFS(S6="未出单","低占比-未出单",AE6&lt;-10%,"低占比-占比下滑多",AB6&lt;-200,"低占比-销售额下滑",V6&lt;0,"低占比-销量下滑",Q6&lt;4,"低占比-低频分析",AND(AE6&gt;=0,AE6&lt;10%),"低占比-占比上升慢",TRUE,"低占比")</f>
        <v>低占比-低频分析</v>
      </c>
      <c r="J6" s="31" t="s">
        <v>40</v>
      </c>
      <c r="K6" s="31"/>
      <c r="L6" s="31"/>
      <c r="M6" s="31"/>
      <c r="N6" s="33" t="s">
        <v>52</v>
      </c>
      <c r="O6" s="45" t="s">
        <v>53</v>
      </c>
      <c r="P6" s="35">
        <v>1</v>
      </c>
      <c r="Q6" s="36">
        <v>2</v>
      </c>
      <c r="R6" s="31" t="s">
        <v>36</v>
      </c>
      <c r="S6" s="37" t="s">
        <v>36</v>
      </c>
      <c r="T6" s="35">
        <v>13</v>
      </c>
      <c r="U6" s="36">
        <v>18</v>
      </c>
      <c r="V6" s="38">
        <f t="shared" si="0"/>
        <v>5</v>
      </c>
      <c r="W6" s="35">
        <v>4</v>
      </c>
      <c r="X6" s="36">
        <v>7</v>
      </c>
      <c r="Y6" s="39">
        <f t="shared" si="1"/>
        <v>3</v>
      </c>
      <c r="Z6" s="40">
        <v>1148.1</v>
      </c>
      <c r="AA6" s="40">
        <v>1571.53</v>
      </c>
      <c r="AB6" s="41">
        <f t="shared" si="2"/>
        <v>423.43</v>
      </c>
      <c r="AC6" s="42">
        <v>0.764705882352941</v>
      </c>
      <c r="AD6" s="43">
        <v>0.72</v>
      </c>
      <c r="AE6" s="44">
        <f t="shared" si="3"/>
        <v>-0.044705882352941</v>
      </c>
    </row>
    <row r="7" customHeight="1" spans="1:31">
      <c r="A7" s="29">
        <v>12005</v>
      </c>
      <c r="B7" s="30" t="s">
        <v>54</v>
      </c>
      <c r="C7" s="31">
        <v>46066</v>
      </c>
      <c r="D7" s="31">
        <v>46077</v>
      </c>
      <c r="E7" s="31" t="s">
        <v>29</v>
      </c>
      <c r="F7" s="31" t="s">
        <v>55</v>
      </c>
      <c r="G7" s="31" t="s">
        <v>47</v>
      </c>
      <c r="H7" s="32" t="s">
        <v>39</v>
      </c>
      <c r="I7" s="31" t="str" cm="1">
        <f t="array" ref="I7">_xlfn.IFS(S7="未出单","低占比-未出单",AE7&lt;-10%,"低占比-占比下滑多",AB7&lt;-200,"低占比-销售额下滑",V7&lt;0,"低占比-销量下滑",Q7&lt;4,"低占比-低频分析",AND(AE7&gt;=0,AE7&lt;10%),"低占比-占比上升慢",TRUE,"低占比")</f>
        <v>低占比-占比下滑多</v>
      </c>
      <c r="J7" s="31" t="s">
        <v>56</v>
      </c>
      <c r="K7" s="31"/>
      <c r="L7" s="31"/>
      <c r="M7" s="31"/>
      <c r="N7" s="33" t="s">
        <v>57</v>
      </c>
      <c r="O7" s="34" t="s">
        <v>58</v>
      </c>
      <c r="P7" s="35">
        <v>1</v>
      </c>
      <c r="Q7" s="36">
        <v>3</v>
      </c>
      <c r="R7" s="31" t="s">
        <v>44</v>
      </c>
      <c r="S7" s="37" t="s">
        <v>44</v>
      </c>
      <c r="T7" s="35">
        <v>39</v>
      </c>
      <c r="U7" s="36">
        <v>30</v>
      </c>
      <c r="V7" s="38">
        <f t="shared" si="0"/>
        <v>-9</v>
      </c>
      <c r="W7" s="35">
        <v>1</v>
      </c>
      <c r="X7" s="36">
        <v>26</v>
      </c>
      <c r="Y7" s="39">
        <f t="shared" si="1"/>
        <v>25</v>
      </c>
      <c r="Z7" s="40">
        <v>2730</v>
      </c>
      <c r="AA7" s="40">
        <v>2066.9</v>
      </c>
      <c r="AB7" s="41">
        <f t="shared" si="2"/>
        <v>-663.1</v>
      </c>
      <c r="AC7" s="42">
        <v>0.975</v>
      </c>
      <c r="AD7" s="43">
        <v>0.535714285714286</v>
      </c>
      <c r="AE7" s="44">
        <f t="shared" si="3"/>
        <v>-0.439285714285714</v>
      </c>
    </row>
    <row r="8" customHeight="1" spans="1:31">
      <c r="A8" s="29">
        <v>12006</v>
      </c>
      <c r="B8" s="30" t="s">
        <v>59</v>
      </c>
      <c r="C8" s="31">
        <v>46066</v>
      </c>
      <c r="D8" s="31">
        <v>46070</v>
      </c>
      <c r="E8" s="31" t="s">
        <v>29</v>
      </c>
      <c r="F8" s="31" t="s">
        <v>55</v>
      </c>
      <c r="G8" s="31" t="s">
        <v>47</v>
      </c>
      <c r="H8" s="32" t="s">
        <v>39</v>
      </c>
      <c r="I8" s="31" t="str" cm="1">
        <f t="array" ref="I8">_xlfn.IFS(S8="未出单","低占比-未出单",AE8&lt;-10%,"低占比-占比下滑多",AB8&lt;-200,"低占比-销售额下滑",V8&lt;0,"低占比-销量下滑",Q8&lt;4,"低占比-低频分析",AND(AE8&gt;=0,AE8&lt;10%),"低占比-占比上升慢",TRUE,"低占比")</f>
        <v>低占比-占比下滑多</v>
      </c>
      <c r="J8" s="31" t="s">
        <v>60</v>
      </c>
      <c r="K8" s="31"/>
      <c r="L8" s="31"/>
      <c r="M8" s="31"/>
      <c r="N8" s="33" t="s">
        <v>57</v>
      </c>
      <c r="O8" s="34" t="s">
        <v>61</v>
      </c>
      <c r="P8" s="35">
        <v>1</v>
      </c>
      <c r="Q8" s="36">
        <v>4</v>
      </c>
      <c r="R8" s="31" t="s">
        <v>36</v>
      </c>
      <c r="S8" s="37" t="s">
        <v>36</v>
      </c>
      <c r="T8" s="35">
        <v>37</v>
      </c>
      <c r="U8" s="36">
        <v>49</v>
      </c>
      <c r="V8" s="38">
        <f t="shared" si="0"/>
        <v>12</v>
      </c>
      <c r="W8" s="35">
        <v>0</v>
      </c>
      <c r="X8" s="36">
        <v>43</v>
      </c>
      <c r="Y8" s="39">
        <f t="shared" si="1"/>
        <v>43</v>
      </c>
      <c r="Z8" s="40">
        <v>2544.5</v>
      </c>
      <c r="AA8" s="40">
        <v>3138.95</v>
      </c>
      <c r="AB8" s="41">
        <f t="shared" si="2"/>
        <v>594.45</v>
      </c>
      <c r="AC8" s="42">
        <v>1</v>
      </c>
      <c r="AD8" s="43">
        <v>0.532608695652174</v>
      </c>
      <c r="AE8" s="44">
        <f t="shared" si="3"/>
        <v>-0.467391304347826</v>
      </c>
    </row>
    <row r="9" customHeight="1" spans="1:31">
      <c r="A9" s="29">
        <v>12011</v>
      </c>
      <c r="B9" s="30" t="s">
        <v>62</v>
      </c>
      <c r="C9" s="31">
        <v>46066</v>
      </c>
      <c r="D9" s="31">
        <v>46071</v>
      </c>
      <c r="E9" s="31" t="s">
        <v>63</v>
      </c>
      <c r="F9" s="31" t="s">
        <v>55</v>
      </c>
      <c r="G9" s="31" t="s">
        <v>64</v>
      </c>
      <c r="H9" s="32" t="s">
        <v>39</v>
      </c>
      <c r="I9" s="31" t="str" cm="1">
        <f t="array" ref="I9">_xlfn.IFS(S9="未出单","低占比-未出单",AE9&lt;-10%,"低占比-占比下滑多",AB9&lt;-200,"低占比-销售额下滑",V9&lt;0,"低占比-销量下滑",Q9&lt;4,"低占比-低频分析",AND(AE9&gt;=0,AE9&lt;10%),"低占比-占比上升慢",TRUE,"低占比")</f>
        <v>低占比-占比下滑多</v>
      </c>
      <c r="J9" s="31" t="s">
        <v>65</v>
      </c>
      <c r="K9" s="31"/>
      <c r="L9" s="31"/>
      <c r="M9" s="31"/>
      <c r="N9" s="33" t="s">
        <v>66</v>
      </c>
      <c r="O9" s="34" t="s">
        <v>67</v>
      </c>
      <c r="P9" s="35">
        <v>3</v>
      </c>
      <c r="Q9" s="36">
        <v>3</v>
      </c>
      <c r="R9" s="31" t="s">
        <v>36</v>
      </c>
      <c r="S9" s="37" t="s">
        <v>36</v>
      </c>
      <c r="T9" s="35">
        <v>17</v>
      </c>
      <c r="U9" s="36">
        <v>8</v>
      </c>
      <c r="V9" s="38">
        <f t="shared" si="0"/>
        <v>-9</v>
      </c>
      <c r="W9" s="35">
        <v>8</v>
      </c>
      <c r="X9" s="36">
        <v>7</v>
      </c>
      <c r="Y9" s="39">
        <f t="shared" si="1"/>
        <v>-1</v>
      </c>
      <c r="Z9" s="40">
        <v>2288.25</v>
      </c>
      <c r="AA9" s="40">
        <v>1080</v>
      </c>
      <c r="AB9" s="41">
        <f t="shared" si="2"/>
        <v>-1208.25</v>
      </c>
      <c r="AC9" s="42">
        <v>0.68</v>
      </c>
      <c r="AD9" s="43">
        <v>0.533333333333333</v>
      </c>
      <c r="AE9" s="44">
        <f t="shared" si="3"/>
        <v>-0.146666666666667</v>
      </c>
    </row>
    <row r="10" customHeight="1" spans="1:31">
      <c r="A10" s="29">
        <v>12021</v>
      </c>
      <c r="B10" s="30" t="s">
        <v>68</v>
      </c>
      <c r="C10" s="31">
        <v>46066</v>
      </c>
      <c r="D10" s="31">
        <v>46069</v>
      </c>
      <c r="E10" s="31" t="s">
        <v>29</v>
      </c>
      <c r="F10" s="31" t="s">
        <v>30</v>
      </c>
      <c r="G10" s="31" t="s">
        <v>69</v>
      </c>
      <c r="H10" s="32" t="s">
        <v>39</v>
      </c>
      <c r="I10" s="31" t="str" cm="1">
        <f t="array" ref="I10">_xlfn.IFS(S10="未出单","低占比-未出单",AE10&lt;-10%,"低占比-占比下滑多",AB10&lt;-200,"低占比-销售额下滑",V10&lt;0,"低占比-销量下滑",Q10&lt;4,"低占比-低频分析",AND(AE10&gt;=0,AE10&lt;10%),"低占比-占比上升慢",TRUE,"低占比")</f>
        <v>低占比-占比下滑多</v>
      </c>
      <c r="J10" s="31" t="s">
        <v>60</v>
      </c>
      <c r="K10" s="31"/>
      <c r="L10" s="31"/>
      <c r="M10" s="31"/>
      <c r="N10" s="33" t="s">
        <v>66</v>
      </c>
      <c r="O10" s="34" t="s">
        <v>70</v>
      </c>
      <c r="P10" s="35">
        <v>2</v>
      </c>
      <c r="Q10" s="36">
        <v>4</v>
      </c>
      <c r="R10" s="31" t="s">
        <v>36</v>
      </c>
      <c r="S10" s="37" t="s">
        <v>36</v>
      </c>
      <c r="T10" s="35">
        <v>9</v>
      </c>
      <c r="U10" s="36">
        <v>3</v>
      </c>
      <c r="V10" s="38">
        <f t="shared" si="0"/>
        <v>-6</v>
      </c>
      <c r="W10" s="35">
        <v>16</v>
      </c>
      <c r="X10" s="36">
        <v>11</v>
      </c>
      <c r="Y10" s="39">
        <f t="shared" si="1"/>
        <v>-5</v>
      </c>
      <c r="Z10" s="40">
        <v>477</v>
      </c>
      <c r="AA10" s="40">
        <v>158</v>
      </c>
      <c r="AB10" s="41">
        <f t="shared" si="2"/>
        <v>-319</v>
      </c>
      <c r="AC10" s="42">
        <v>0.36</v>
      </c>
      <c r="AD10" s="43">
        <v>0.214285714285714</v>
      </c>
      <c r="AE10" s="44">
        <f t="shared" si="3"/>
        <v>-0.145714285714286</v>
      </c>
    </row>
    <row r="11" customHeight="1" spans="1:31">
      <c r="A11" s="29">
        <v>12023</v>
      </c>
      <c r="B11" s="30" t="s">
        <v>71</v>
      </c>
      <c r="C11" s="31">
        <v>46066</v>
      </c>
      <c r="D11" s="31">
        <v>46113</v>
      </c>
      <c r="E11" s="31" t="s">
        <v>46</v>
      </c>
      <c r="F11" s="31" t="s">
        <v>46</v>
      </c>
      <c r="G11" s="31" t="s">
        <v>72</v>
      </c>
      <c r="H11" s="32" t="s">
        <v>39</v>
      </c>
      <c r="I11" s="31" t="str" cm="1">
        <f t="array" ref="I11">_xlfn.IFS(S11="未出单","低占比-未出单",AE11&lt;-10%,"低占比-占比下滑多",AB11&lt;-200,"低占比-销售额下滑",V11&lt;0,"低占比-销量下滑",Q11&lt;4,"低占比-低频分析",AND(AE11&gt;=0,AE11&lt;10%),"低占比-占比上升慢",TRUE,"低占比")</f>
        <v>低占比-低频分析</v>
      </c>
      <c r="J11" s="31" t="s">
        <v>40</v>
      </c>
      <c r="K11" s="31"/>
      <c r="L11" s="31"/>
      <c r="M11" s="31"/>
      <c r="N11" s="33" t="s">
        <v>52</v>
      </c>
      <c r="O11" s="45" t="s">
        <v>73</v>
      </c>
      <c r="P11" s="35">
        <v>3</v>
      </c>
      <c r="Q11" s="36">
        <v>2</v>
      </c>
      <c r="R11" s="31" t="s">
        <v>74</v>
      </c>
      <c r="S11" s="37" t="s">
        <v>44</v>
      </c>
      <c r="T11" s="35">
        <v>0</v>
      </c>
      <c r="U11" s="36">
        <v>1</v>
      </c>
      <c r="V11" s="38">
        <f t="shared" si="0"/>
        <v>1</v>
      </c>
      <c r="W11" s="35">
        <v>8</v>
      </c>
      <c r="X11" s="36">
        <v>12</v>
      </c>
      <c r="Y11" s="39">
        <f t="shared" si="1"/>
        <v>4</v>
      </c>
      <c r="Z11" s="40">
        <v>0</v>
      </c>
      <c r="AA11" s="40">
        <v>53</v>
      </c>
      <c r="AB11" s="41">
        <f t="shared" si="2"/>
        <v>53</v>
      </c>
      <c r="AC11" s="42">
        <v>0</v>
      </c>
      <c r="AD11" s="43">
        <v>0.0769230769230769</v>
      </c>
      <c r="AE11" s="44">
        <f t="shared" si="3"/>
        <v>0.0769230769230769</v>
      </c>
    </row>
    <row r="12" customHeight="1" spans="1:31">
      <c r="A12" s="29">
        <v>12058</v>
      </c>
      <c r="B12" s="30" t="s">
        <v>75</v>
      </c>
      <c r="C12" s="31">
        <v>46070</v>
      </c>
      <c r="D12" s="31">
        <v>46086</v>
      </c>
      <c r="E12" s="31" t="s">
        <v>63</v>
      </c>
      <c r="F12" s="31" t="s">
        <v>63</v>
      </c>
      <c r="G12" s="31" t="s">
        <v>69</v>
      </c>
      <c r="H12" s="32" t="s">
        <v>39</v>
      </c>
      <c r="I12" s="31" t="str" cm="1">
        <f t="array" ref="I12">_xlfn.IFS(S12="未出单","低占比-未出单",AE12&lt;-10%,"低占比-占比下滑多",AB12&lt;-200,"低占比-销售额下滑",V12&lt;0,"低占比-销量下滑",Q12&lt;4,"低占比-低频分析",AND(AE12&gt;=0,AE12&lt;10%),"低占比-占比上升慢",TRUE,"低占比")</f>
        <v>低占比</v>
      </c>
      <c r="J12" s="31" t="s">
        <v>56</v>
      </c>
      <c r="K12" s="31"/>
      <c r="L12" s="31"/>
      <c r="M12" s="31"/>
      <c r="N12" s="33" t="s">
        <v>76</v>
      </c>
      <c r="O12" s="31" t="s">
        <v>77</v>
      </c>
      <c r="P12" s="35">
        <v>5</v>
      </c>
      <c r="Q12" s="36">
        <v>4</v>
      </c>
      <c r="R12" s="31" t="s">
        <v>44</v>
      </c>
      <c r="S12" s="37" t="s">
        <v>44</v>
      </c>
      <c r="T12" s="35">
        <v>24</v>
      </c>
      <c r="U12" s="36">
        <v>27</v>
      </c>
      <c r="V12" s="38">
        <f t="shared" si="0"/>
        <v>3</v>
      </c>
      <c r="W12" s="35">
        <v>36</v>
      </c>
      <c r="X12" s="36">
        <v>14</v>
      </c>
      <c r="Y12" s="39">
        <f t="shared" si="1"/>
        <v>-22</v>
      </c>
      <c r="Z12" s="40">
        <v>479</v>
      </c>
      <c r="AA12" s="40">
        <v>544</v>
      </c>
      <c r="AB12" s="41">
        <f t="shared" si="2"/>
        <v>65</v>
      </c>
      <c r="AC12" s="42">
        <v>0.4</v>
      </c>
      <c r="AD12" s="43">
        <v>0.658536585365854</v>
      </c>
      <c r="AE12" s="44">
        <f t="shared" si="3"/>
        <v>0.258536585365854</v>
      </c>
    </row>
    <row r="13" customHeight="1" spans="1:31">
      <c r="A13" s="29">
        <v>12059</v>
      </c>
      <c r="B13" s="30" t="s">
        <v>78</v>
      </c>
      <c r="C13" s="31">
        <v>46070</v>
      </c>
      <c r="D13" s="31">
        <v>46073</v>
      </c>
      <c r="E13" s="31" t="s">
        <v>63</v>
      </c>
      <c r="F13" s="31" t="s">
        <v>63</v>
      </c>
      <c r="G13" s="31" t="s">
        <v>69</v>
      </c>
      <c r="H13" s="32" t="s">
        <v>39</v>
      </c>
      <c r="I13" s="31" t="str" cm="1">
        <f t="array" ref="I13">_xlfn.IFS(S13="未出单","低占比-未出单",AE13&lt;-10%,"低占比-占比下滑多",AB13&lt;-200,"低占比-销售额下滑",V13&lt;0,"低占比-销量下滑",Q13&lt;4,"低占比-低频分析",AND(AE13&gt;=0,AE13&lt;10%),"低占比-占比上升慢",TRUE,"低占比")</f>
        <v>低占比-占比下滑多</v>
      </c>
      <c r="J13" s="31" t="s">
        <v>60</v>
      </c>
      <c r="K13" s="31"/>
      <c r="L13" s="31"/>
      <c r="M13" s="31"/>
      <c r="N13" s="33" t="s">
        <v>66</v>
      </c>
      <c r="O13" s="31" t="s">
        <v>79</v>
      </c>
      <c r="P13" s="35">
        <v>3</v>
      </c>
      <c r="Q13" s="36">
        <v>3</v>
      </c>
      <c r="R13" s="31" t="s">
        <v>36</v>
      </c>
      <c r="S13" s="37" t="s">
        <v>36</v>
      </c>
      <c r="T13" s="35">
        <v>16</v>
      </c>
      <c r="U13" s="36">
        <v>6</v>
      </c>
      <c r="V13" s="38">
        <f t="shared" si="0"/>
        <v>-10</v>
      </c>
      <c r="W13" s="35">
        <v>22</v>
      </c>
      <c r="X13" s="36">
        <v>21</v>
      </c>
      <c r="Y13" s="39">
        <f t="shared" si="1"/>
        <v>-1</v>
      </c>
      <c r="Z13" s="40">
        <v>340</v>
      </c>
      <c r="AA13" s="40">
        <v>120</v>
      </c>
      <c r="AB13" s="41">
        <f t="shared" si="2"/>
        <v>-220</v>
      </c>
      <c r="AC13" s="42">
        <v>0.421052631578947</v>
      </c>
      <c r="AD13" s="43">
        <v>0.222222222222222</v>
      </c>
      <c r="AE13" s="44">
        <f t="shared" si="3"/>
        <v>-0.198830409356725</v>
      </c>
    </row>
    <row r="14" customHeight="1" spans="1:31">
      <c r="A14" s="29">
        <v>12060</v>
      </c>
      <c r="B14" s="30" t="s">
        <v>80</v>
      </c>
      <c r="C14" s="31">
        <v>46070</v>
      </c>
      <c r="D14" s="31">
        <v>46090</v>
      </c>
      <c r="E14" s="31" t="s">
        <v>63</v>
      </c>
      <c r="F14" s="31" t="s">
        <v>55</v>
      </c>
      <c r="G14" s="31" t="s">
        <v>47</v>
      </c>
      <c r="H14" s="32" t="s">
        <v>39</v>
      </c>
      <c r="I14" s="31" t="str" cm="1">
        <f t="array" ref="I14">_xlfn.IFS(S14="未出单","低占比-未出单",AE14&lt;-10%,"低占比-占比下滑多",AB14&lt;-200,"低占比-销售额下滑",V14&lt;0,"低占比-销量下滑",Q14&lt;4,"低占比-低频分析",AND(AE14&gt;=0,AE14&lt;10%),"低占比-占比上升慢",TRUE,"低占比")</f>
        <v>低占比-销量下滑</v>
      </c>
      <c r="J14" s="31" t="s">
        <v>81</v>
      </c>
      <c r="K14" s="31"/>
      <c r="L14" s="31"/>
      <c r="M14" s="31"/>
      <c r="N14" s="33" t="s">
        <v>52</v>
      </c>
      <c r="O14" s="34" t="s">
        <v>82</v>
      </c>
      <c r="P14" s="35">
        <v>4</v>
      </c>
      <c r="Q14" s="36">
        <v>5</v>
      </c>
      <c r="R14" s="31" t="s">
        <v>44</v>
      </c>
      <c r="S14" s="37" t="s">
        <v>44</v>
      </c>
      <c r="T14" s="35">
        <v>5</v>
      </c>
      <c r="U14" s="36">
        <v>2</v>
      </c>
      <c r="V14" s="38">
        <f t="shared" si="0"/>
        <v>-3</v>
      </c>
      <c r="W14" s="35">
        <v>81</v>
      </c>
      <c r="X14" s="36">
        <v>65</v>
      </c>
      <c r="Y14" s="39">
        <f t="shared" si="1"/>
        <v>-16</v>
      </c>
      <c r="Z14" s="40">
        <v>100</v>
      </c>
      <c r="AA14" s="40">
        <v>40</v>
      </c>
      <c r="AB14" s="41">
        <f t="shared" si="2"/>
        <v>-60</v>
      </c>
      <c r="AC14" s="42">
        <v>0.0581395348837209</v>
      </c>
      <c r="AD14" s="43">
        <v>0.0298507462686567</v>
      </c>
      <c r="AE14" s="44">
        <f t="shared" si="3"/>
        <v>-0.0282887886150642</v>
      </c>
    </row>
    <row r="15" customHeight="1" spans="1:31">
      <c r="A15" s="29">
        <v>12139</v>
      </c>
      <c r="B15" s="30" t="s">
        <v>83</v>
      </c>
      <c r="C15" s="31">
        <v>46070</v>
      </c>
      <c r="D15" s="31">
        <v>46080</v>
      </c>
      <c r="E15" s="31" t="s">
        <v>63</v>
      </c>
      <c r="F15" s="31" t="s">
        <v>55</v>
      </c>
      <c r="G15" s="31" t="s">
        <v>64</v>
      </c>
      <c r="H15" s="32" t="s">
        <v>39</v>
      </c>
      <c r="I15" s="31" t="str" cm="1">
        <f t="array" ref="I15">_xlfn.IFS(S15="未出单","低占比-未出单",AE15&lt;-10%,"低占比-占比下滑多",AB15&lt;-200,"低占比-销售额下滑",V15&lt;0,"低占比-销量下滑",Q15&lt;4,"低占比-低频分析",AND(AE15&gt;=0,AE15&lt;10%),"低占比-占比上升慢",TRUE,"低占比")</f>
        <v>低占比-占比下滑多</v>
      </c>
      <c r="J15" s="31"/>
      <c r="K15" s="31"/>
      <c r="L15" s="31" t="s">
        <v>84</v>
      </c>
      <c r="M15" s="31"/>
      <c r="N15" s="33"/>
      <c r="O15" s="34" t="s">
        <v>85</v>
      </c>
      <c r="P15" s="35">
        <v>6</v>
      </c>
      <c r="Q15" s="36">
        <v>1</v>
      </c>
      <c r="R15" s="31" t="s">
        <v>44</v>
      </c>
      <c r="S15" s="37" t="s">
        <v>44</v>
      </c>
      <c r="T15" s="35">
        <v>40</v>
      </c>
      <c r="U15" s="36">
        <v>3</v>
      </c>
      <c r="V15" s="38">
        <f t="shared" si="0"/>
        <v>-37</v>
      </c>
      <c r="W15" s="35">
        <v>2</v>
      </c>
      <c r="X15" s="36">
        <v>5</v>
      </c>
      <c r="Y15" s="39">
        <f t="shared" si="1"/>
        <v>3</v>
      </c>
      <c r="Z15" s="40">
        <v>1069.9</v>
      </c>
      <c r="AA15" s="40">
        <v>107.97</v>
      </c>
      <c r="AB15" s="41">
        <f t="shared" si="2"/>
        <v>-961.93</v>
      </c>
      <c r="AC15" s="42">
        <v>0.952380952380952</v>
      </c>
      <c r="AD15" s="43">
        <v>0.375</v>
      </c>
      <c r="AE15" s="44">
        <f t="shared" si="3"/>
        <v>-0.577380952380952</v>
      </c>
    </row>
    <row r="16" customHeight="1" spans="1:31">
      <c r="A16" s="29">
        <v>12240</v>
      </c>
      <c r="B16" s="30" t="s">
        <v>86</v>
      </c>
      <c r="C16" s="31">
        <v>46081</v>
      </c>
      <c r="D16" s="31">
        <v>46082</v>
      </c>
      <c r="E16" s="31" t="s">
        <v>29</v>
      </c>
      <c r="F16" s="31" t="s">
        <v>29</v>
      </c>
      <c r="G16" s="31" t="s">
        <v>47</v>
      </c>
      <c r="H16" s="32" t="s">
        <v>39</v>
      </c>
      <c r="I16" s="31" t="str" cm="1">
        <f t="array" ref="I16">_xlfn.IFS(S16="未出单","低占比-未出单",AE16&lt;-10%,"低占比-占比下滑多",AB16&lt;-200,"低占比-销售额下滑",V16&lt;0,"低占比-销量下滑",Q16&lt;4,"低占比-低频分析",AND(AE16&gt;=0,AE16&lt;10%),"低占比-占比上升慢",TRUE,"低占比")</f>
        <v>低占比-占比下滑多</v>
      </c>
      <c r="J16" s="31" t="s">
        <v>87</v>
      </c>
      <c r="K16" s="31"/>
      <c r="L16" s="31"/>
      <c r="M16" s="31"/>
      <c r="N16" s="33" t="s">
        <v>52</v>
      </c>
      <c r="O16" s="31" t="s">
        <v>88</v>
      </c>
      <c r="P16" s="35">
        <v>2</v>
      </c>
      <c r="Q16" s="36">
        <v>3</v>
      </c>
      <c r="R16" s="31" t="s">
        <v>36</v>
      </c>
      <c r="S16" s="37" t="s">
        <v>36</v>
      </c>
      <c r="T16" s="35">
        <v>11</v>
      </c>
      <c r="U16" s="36">
        <v>6</v>
      </c>
      <c r="V16" s="38">
        <f t="shared" si="0"/>
        <v>-5</v>
      </c>
      <c r="W16" s="35">
        <v>4</v>
      </c>
      <c r="X16" s="36">
        <v>9</v>
      </c>
      <c r="Y16" s="39">
        <f t="shared" si="1"/>
        <v>5</v>
      </c>
      <c r="Z16" s="40">
        <v>670</v>
      </c>
      <c r="AA16" s="40">
        <v>360</v>
      </c>
      <c r="AB16" s="41">
        <f t="shared" si="2"/>
        <v>-310</v>
      </c>
      <c r="AC16" s="42">
        <v>0.733333333333333</v>
      </c>
      <c r="AD16" s="43">
        <v>0.4</v>
      </c>
      <c r="AE16" s="44">
        <f t="shared" si="3"/>
        <v>-0.333333333333333</v>
      </c>
    </row>
    <row r="17" customHeight="1" spans="1:31">
      <c r="A17" s="29">
        <v>12252</v>
      </c>
      <c r="B17" s="30" t="s">
        <v>89</v>
      </c>
      <c r="C17" s="31">
        <v>46085</v>
      </c>
      <c r="D17" s="31">
        <v>46089</v>
      </c>
      <c r="E17" s="31" t="s">
        <v>90</v>
      </c>
      <c r="F17" s="31" t="s">
        <v>90</v>
      </c>
      <c r="G17" s="31" t="s">
        <v>38</v>
      </c>
      <c r="H17" s="32" t="s">
        <v>39</v>
      </c>
      <c r="I17" s="31" t="str" cm="1">
        <f t="array" ref="I17">_xlfn.IFS(S17="未出单","低占比-未出单",AE17&lt;-10%,"低占比-占比下滑多",AB17&lt;-200,"低占比-销售额下滑",V17&lt;0,"低占比-销量下滑",Q17&lt;4,"低占比-低频分析",AND(AE17&gt;=0,AE17&lt;10%),"低占比-占比上升慢",TRUE,"低占比")</f>
        <v>低占比-占比下滑多</v>
      </c>
      <c r="J17" s="31" t="s">
        <v>56</v>
      </c>
      <c r="K17" s="31"/>
      <c r="L17" s="31"/>
      <c r="M17" s="31"/>
      <c r="N17" s="33" t="s">
        <v>57</v>
      </c>
      <c r="O17" s="31" t="s">
        <v>91</v>
      </c>
      <c r="P17" s="35">
        <v>5</v>
      </c>
      <c r="Q17" s="36">
        <v>3</v>
      </c>
      <c r="R17" s="31" t="s">
        <v>36</v>
      </c>
      <c r="S17" s="37" t="s">
        <v>36</v>
      </c>
      <c r="T17" s="35">
        <v>10</v>
      </c>
      <c r="U17" s="36">
        <v>1</v>
      </c>
      <c r="V17" s="38">
        <f t="shared" si="0"/>
        <v>-9</v>
      </c>
      <c r="W17" s="35">
        <v>16</v>
      </c>
      <c r="X17" s="36">
        <v>13</v>
      </c>
      <c r="Y17" s="39">
        <f t="shared" si="1"/>
        <v>-3</v>
      </c>
      <c r="Z17" s="40">
        <v>402</v>
      </c>
      <c r="AA17" s="40">
        <v>40</v>
      </c>
      <c r="AB17" s="41">
        <f t="shared" si="2"/>
        <v>-362</v>
      </c>
      <c r="AC17" s="42">
        <v>0.384615384615385</v>
      </c>
      <c r="AD17" s="43">
        <v>0.0714285714285714</v>
      </c>
      <c r="AE17" s="44">
        <f t="shared" si="3"/>
        <v>-0.313186813186814</v>
      </c>
    </row>
    <row r="18" customHeight="1" spans="1:31">
      <c r="A18" s="29">
        <v>12165</v>
      </c>
      <c r="B18" s="30" t="s">
        <v>92</v>
      </c>
      <c r="C18" s="31">
        <v>46085</v>
      </c>
      <c r="D18" s="31">
        <v>46093</v>
      </c>
      <c r="E18" s="31" t="s">
        <v>46</v>
      </c>
      <c r="F18" s="31" t="s">
        <v>46</v>
      </c>
      <c r="G18" s="31" t="s">
        <v>72</v>
      </c>
      <c r="H18" s="32" t="s">
        <v>39</v>
      </c>
      <c r="I18" s="31" t="str" cm="1">
        <f t="array" ref="I18">_xlfn.IFS(S18="未出单","低占比-未出单",AE18&lt;-10%,"低占比-占比下滑多",AB18&lt;-200,"低占比-销售额下滑",V18&lt;0,"低占比-销量下滑",Q18&lt;4,"低占比-低频分析",AND(AE18&gt;=0,AE18&lt;10%),"低占比-占比上升慢",TRUE,"低占比")</f>
        <v>低占比-低频分析</v>
      </c>
      <c r="J18" s="31" t="s">
        <v>40</v>
      </c>
      <c r="K18" s="31"/>
      <c r="L18" s="31"/>
      <c r="M18" s="31"/>
      <c r="N18" s="33" t="s">
        <v>34</v>
      </c>
      <c r="O18" s="45" t="s">
        <v>93</v>
      </c>
      <c r="P18" s="35">
        <v>4</v>
      </c>
      <c r="Q18" s="36">
        <v>3</v>
      </c>
      <c r="R18" s="31" t="s">
        <v>36</v>
      </c>
      <c r="S18" s="37" t="s">
        <v>36</v>
      </c>
      <c r="T18" s="35">
        <v>2</v>
      </c>
      <c r="U18" s="36">
        <v>3</v>
      </c>
      <c r="V18" s="38">
        <f t="shared" si="0"/>
        <v>1</v>
      </c>
      <c r="W18" s="35">
        <v>7</v>
      </c>
      <c r="X18" s="36">
        <v>14</v>
      </c>
      <c r="Y18" s="39">
        <f t="shared" si="1"/>
        <v>7</v>
      </c>
      <c r="Z18" s="40">
        <v>338</v>
      </c>
      <c r="AA18" s="40">
        <v>507</v>
      </c>
      <c r="AB18" s="41">
        <f t="shared" si="2"/>
        <v>169</v>
      </c>
      <c r="AC18" s="42">
        <v>0.222222222222222</v>
      </c>
      <c r="AD18" s="43">
        <v>0.176470588235294</v>
      </c>
      <c r="AE18" s="44">
        <f t="shared" si="3"/>
        <v>-0.045751633986928</v>
      </c>
    </row>
    <row r="19" customHeight="1" spans="1:31">
      <c r="A19" s="29">
        <v>11102</v>
      </c>
      <c r="B19" s="30" t="s">
        <v>94</v>
      </c>
      <c r="C19" s="31">
        <v>46085</v>
      </c>
      <c r="D19" s="31">
        <v>46100</v>
      </c>
      <c r="E19" s="31" t="s">
        <v>63</v>
      </c>
      <c r="F19" s="31" t="s">
        <v>55</v>
      </c>
      <c r="G19" s="31" t="s">
        <v>38</v>
      </c>
      <c r="H19" s="32" t="s">
        <v>39</v>
      </c>
      <c r="I19" s="31" t="str" cm="1">
        <f t="array" ref="I19">_xlfn.IFS(S19="未出单","低占比-未出单",AE19&lt;-10%,"低占比-占比下滑多",AB19&lt;-200,"低占比-销售额下滑",V19&lt;0,"低占比-销量下滑",Q19&lt;4,"低占比-低频分析",AND(AE19&gt;=0,AE19&lt;10%),"低占比-占比上升慢",TRUE,"低占比")</f>
        <v>低占比</v>
      </c>
      <c r="J19" s="31" t="s">
        <v>60</v>
      </c>
      <c r="K19" s="31"/>
      <c r="L19" s="31"/>
      <c r="M19" s="31"/>
      <c r="N19" s="33" t="s">
        <v>34</v>
      </c>
      <c r="O19" s="34" t="s">
        <v>95</v>
      </c>
      <c r="P19" s="35">
        <v>4</v>
      </c>
      <c r="Q19" s="36">
        <v>4</v>
      </c>
      <c r="R19" s="31" t="s">
        <v>44</v>
      </c>
      <c r="S19" s="37" t="s">
        <v>44</v>
      </c>
      <c r="T19" s="35">
        <v>3</v>
      </c>
      <c r="U19" s="36">
        <v>10</v>
      </c>
      <c r="V19" s="38">
        <f t="shared" si="0"/>
        <v>7</v>
      </c>
      <c r="W19" s="35">
        <v>10</v>
      </c>
      <c r="X19" s="36">
        <v>7</v>
      </c>
      <c r="Y19" s="39">
        <f t="shared" si="1"/>
        <v>-3</v>
      </c>
      <c r="Z19" s="40">
        <v>96</v>
      </c>
      <c r="AA19" s="40">
        <v>300.95</v>
      </c>
      <c r="AB19" s="41">
        <f t="shared" si="2"/>
        <v>204.95</v>
      </c>
      <c r="AC19" s="42">
        <v>0.230769230769231</v>
      </c>
      <c r="AD19" s="43">
        <v>0.588235294117647</v>
      </c>
      <c r="AE19" s="44">
        <f t="shared" si="3"/>
        <v>0.357466063348416</v>
      </c>
    </row>
    <row r="20" customHeight="1" spans="1:31">
      <c r="A20" s="29">
        <v>12248</v>
      </c>
      <c r="B20" s="30" t="s">
        <v>96</v>
      </c>
      <c r="C20" s="31">
        <v>46085</v>
      </c>
      <c r="D20" s="31">
        <v>46091</v>
      </c>
      <c r="E20" s="31" t="s">
        <v>90</v>
      </c>
      <c r="F20" s="31" t="s">
        <v>90</v>
      </c>
      <c r="G20" s="31" t="s">
        <v>69</v>
      </c>
      <c r="H20" s="32" t="s">
        <v>39</v>
      </c>
      <c r="I20" s="31" t="str" cm="1">
        <f t="array" ref="I20">_xlfn.IFS(S20="未出单","低占比-未出单",AE20&lt;-10%,"低占比-占比下滑多",AB20&lt;-200,"低占比-销售额下滑",V20&lt;0,"低占比-销量下滑",Q20&lt;4,"低占比-低频分析",AND(AE20&gt;=0,AE20&lt;10%),"低占比-占比上升慢",TRUE,"低占比")</f>
        <v>低占比-低频分析</v>
      </c>
      <c r="J20" s="31" t="s">
        <v>56</v>
      </c>
      <c r="K20" s="31"/>
      <c r="L20" s="31"/>
      <c r="M20" s="31"/>
      <c r="N20" s="33" t="s">
        <v>52</v>
      </c>
      <c r="O20" s="31" t="s">
        <v>97</v>
      </c>
      <c r="P20" s="35">
        <v>5</v>
      </c>
      <c r="Q20" s="36">
        <v>2</v>
      </c>
      <c r="R20" s="31" t="s">
        <v>36</v>
      </c>
      <c r="S20" s="37" t="s">
        <v>36</v>
      </c>
      <c r="T20" s="35">
        <v>10</v>
      </c>
      <c r="U20" s="36">
        <v>19</v>
      </c>
      <c r="V20" s="38">
        <f t="shared" si="0"/>
        <v>9</v>
      </c>
      <c r="W20" s="35">
        <v>6</v>
      </c>
      <c r="X20" s="36">
        <v>9</v>
      </c>
      <c r="Y20" s="39">
        <f t="shared" si="1"/>
        <v>3</v>
      </c>
      <c r="Z20" s="40">
        <v>850</v>
      </c>
      <c r="AA20" s="40">
        <v>1622</v>
      </c>
      <c r="AB20" s="41">
        <f t="shared" si="2"/>
        <v>772</v>
      </c>
      <c r="AC20" s="42">
        <v>0.625</v>
      </c>
      <c r="AD20" s="43">
        <v>0.678571428571429</v>
      </c>
      <c r="AE20" s="44">
        <f t="shared" si="3"/>
        <v>0.053571428571429</v>
      </c>
    </row>
    <row r="21" customHeight="1" spans="1:31">
      <c r="A21" s="29">
        <v>12205</v>
      </c>
      <c r="B21" s="30" t="s">
        <v>98</v>
      </c>
      <c r="C21" s="31">
        <v>46086</v>
      </c>
      <c r="D21" s="31">
        <v>46089</v>
      </c>
      <c r="E21" s="31" t="s">
        <v>90</v>
      </c>
      <c r="F21" s="31" t="s">
        <v>90</v>
      </c>
      <c r="G21" s="31" t="s">
        <v>38</v>
      </c>
      <c r="H21" s="32" t="s">
        <v>39</v>
      </c>
      <c r="I21" s="31" t="str" cm="1">
        <f t="array" ref="I21">_xlfn.IFS(S21="未出单","低占比-未出单",AE21&lt;-10%,"低占比-占比下滑多",AB21&lt;-200,"低占比-销售额下滑",V21&lt;0,"低占比-销量下滑",Q21&lt;4,"低占比-低频分析",AND(AE21&gt;=0,AE21&lt;10%),"低占比-占比上升慢",TRUE,"低占比")</f>
        <v>低占比</v>
      </c>
      <c r="J21" s="31" t="s">
        <v>56</v>
      </c>
      <c r="K21" s="31"/>
      <c r="L21" s="31"/>
      <c r="M21" s="31"/>
      <c r="N21" s="33" t="s">
        <v>99</v>
      </c>
      <c r="O21" s="31" t="s">
        <v>100</v>
      </c>
      <c r="P21" s="35">
        <v>5</v>
      </c>
      <c r="Q21" s="36">
        <v>5</v>
      </c>
      <c r="R21" s="31" t="s">
        <v>36</v>
      </c>
      <c r="S21" s="37" t="s">
        <v>36</v>
      </c>
      <c r="T21" s="35">
        <v>16</v>
      </c>
      <c r="U21" s="36">
        <v>33</v>
      </c>
      <c r="V21" s="38">
        <f t="shared" si="0"/>
        <v>17</v>
      </c>
      <c r="W21" s="35">
        <v>121</v>
      </c>
      <c r="X21" s="36">
        <v>85</v>
      </c>
      <c r="Y21" s="39">
        <f t="shared" si="1"/>
        <v>-36</v>
      </c>
      <c r="Z21" s="40">
        <v>348</v>
      </c>
      <c r="AA21" s="40">
        <v>726</v>
      </c>
      <c r="AB21" s="41">
        <f t="shared" si="2"/>
        <v>378</v>
      </c>
      <c r="AC21" s="42">
        <v>0.116788321167883</v>
      </c>
      <c r="AD21" s="43">
        <v>0.279661016949153</v>
      </c>
      <c r="AE21" s="44">
        <f t="shared" si="3"/>
        <v>0.16287269578127</v>
      </c>
    </row>
    <row r="22" customHeight="1" spans="1:31">
      <c r="A22" s="29">
        <v>12206</v>
      </c>
      <c r="B22" s="30" t="s">
        <v>101</v>
      </c>
      <c r="C22" s="31">
        <v>46086</v>
      </c>
      <c r="D22" s="31">
        <v>46094</v>
      </c>
      <c r="E22" s="31" t="s">
        <v>90</v>
      </c>
      <c r="F22" s="31" t="s">
        <v>90</v>
      </c>
      <c r="G22" s="31" t="s">
        <v>38</v>
      </c>
      <c r="H22" s="32" t="s">
        <v>39</v>
      </c>
      <c r="I22" s="31" t="str" cm="1">
        <f t="array" ref="I22">_xlfn.IFS(S22="未出单","低占比-未出单",AE22&lt;-10%,"低占比-占比下滑多",AB22&lt;-200,"低占比-销售额下滑",V22&lt;0,"低占比-销量下滑",Q22&lt;4,"低占比-低频分析",AND(AE22&gt;=0,AE22&lt;10%),"低占比-占比上升慢",TRUE,"低占比")</f>
        <v>低占比-低频分析</v>
      </c>
      <c r="J22" s="31" t="s">
        <v>56</v>
      </c>
      <c r="K22" s="31"/>
      <c r="L22" s="31"/>
      <c r="M22" s="31"/>
      <c r="N22" s="33" t="s">
        <v>34</v>
      </c>
      <c r="O22" s="31" t="s">
        <v>102</v>
      </c>
      <c r="P22" s="35">
        <v>6</v>
      </c>
      <c r="Q22" s="36">
        <v>3</v>
      </c>
      <c r="R22" s="31" t="s">
        <v>36</v>
      </c>
      <c r="S22" s="37" t="s">
        <v>36</v>
      </c>
      <c r="T22" s="35">
        <v>2</v>
      </c>
      <c r="U22" s="36">
        <v>4</v>
      </c>
      <c r="V22" s="38">
        <f t="shared" si="0"/>
        <v>2</v>
      </c>
      <c r="W22" s="35">
        <v>18</v>
      </c>
      <c r="X22" s="36">
        <v>10</v>
      </c>
      <c r="Y22" s="39">
        <f t="shared" si="1"/>
        <v>-8</v>
      </c>
      <c r="Z22" s="40">
        <v>44</v>
      </c>
      <c r="AA22" s="40">
        <v>88</v>
      </c>
      <c r="AB22" s="41">
        <f t="shared" si="2"/>
        <v>44</v>
      </c>
      <c r="AC22" s="42">
        <v>0.1</v>
      </c>
      <c r="AD22" s="43">
        <v>0.285714285714286</v>
      </c>
      <c r="AE22" s="44">
        <f t="shared" si="3"/>
        <v>0.185714285714286</v>
      </c>
    </row>
    <row r="23" customHeight="1" spans="1:31">
      <c r="A23" s="29">
        <v>12243</v>
      </c>
      <c r="B23" s="30" t="s">
        <v>103</v>
      </c>
      <c r="C23" s="31">
        <v>46091</v>
      </c>
      <c r="D23" s="31">
        <v>46106</v>
      </c>
      <c r="E23" s="31" t="s">
        <v>29</v>
      </c>
      <c r="F23" s="31" t="s">
        <v>55</v>
      </c>
      <c r="G23" s="31" t="s">
        <v>47</v>
      </c>
      <c r="H23" s="32" t="s">
        <v>39</v>
      </c>
      <c r="I23" s="31" t="str" cm="1">
        <f t="array" ref="I23">_xlfn.IFS(S23="未出单","低占比-未出单",AE23&lt;-10%,"低占比-占比下滑多",AB23&lt;-200,"低占比-销售额下滑",V23&lt;0,"低占比-销量下滑",Q23&lt;4,"低占比-低频分析",AND(AE23&gt;=0,AE23&lt;10%),"低占比-占比上升慢",TRUE,"低占比")</f>
        <v>低占比-占比上升慢</v>
      </c>
      <c r="J23" s="31" t="s">
        <v>56</v>
      </c>
      <c r="K23" s="31"/>
      <c r="L23" s="31"/>
      <c r="M23" s="31"/>
      <c r="N23" s="33" t="s">
        <v>34</v>
      </c>
      <c r="O23" s="34" t="s">
        <v>104</v>
      </c>
      <c r="P23" s="35">
        <v>2</v>
      </c>
      <c r="Q23" s="36">
        <v>4</v>
      </c>
      <c r="R23" s="31" t="s">
        <v>44</v>
      </c>
      <c r="S23" s="37" t="s">
        <v>44</v>
      </c>
      <c r="T23" s="35">
        <v>4</v>
      </c>
      <c r="U23" s="36">
        <v>4</v>
      </c>
      <c r="V23" s="38">
        <f t="shared" si="0"/>
        <v>0</v>
      </c>
      <c r="W23" s="35">
        <v>7</v>
      </c>
      <c r="X23" s="36">
        <v>6</v>
      </c>
      <c r="Y23" s="39">
        <f t="shared" si="1"/>
        <v>-1</v>
      </c>
      <c r="Z23" s="40">
        <v>152</v>
      </c>
      <c r="AA23" s="40">
        <v>152</v>
      </c>
      <c r="AB23" s="41">
        <f t="shared" si="2"/>
        <v>0</v>
      </c>
      <c r="AC23" s="42">
        <v>0.363636363636364</v>
      </c>
      <c r="AD23" s="43">
        <v>0.4</v>
      </c>
      <c r="AE23" s="44">
        <f t="shared" si="3"/>
        <v>0.036363636363636</v>
      </c>
    </row>
    <row r="24" customHeight="1" spans="1:31">
      <c r="A24" s="29">
        <v>12304</v>
      </c>
      <c r="B24" s="30" t="s">
        <v>105</v>
      </c>
      <c r="C24" s="31">
        <v>46092</v>
      </c>
      <c r="D24" s="31">
        <v>46095</v>
      </c>
      <c r="E24" s="31" t="s">
        <v>30</v>
      </c>
      <c r="F24" s="31" t="s">
        <v>30</v>
      </c>
      <c r="G24" s="31" t="s">
        <v>38</v>
      </c>
      <c r="H24" s="32" t="s">
        <v>39</v>
      </c>
      <c r="I24" s="31" t="str" cm="1">
        <f t="array" ref="I24">_xlfn.IFS(S24="未出单","低占比-未出单",AE24&lt;-10%,"低占比-占比下滑多",AB24&lt;-200,"低占比-销售额下滑",V24&lt;0,"低占比-销量下滑",Q24&lt;4,"低占比-低频分析",AND(AE24&gt;=0,AE24&lt;10%),"低占比-占比上升慢",TRUE,"低占比")</f>
        <v>低占比-占比下滑多</v>
      </c>
      <c r="J24" s="31"/>
      <c r="K24" s="31"/>
      <c r="L24" s="31" t="s">
        <v>33</v>
      </c>
      <c r="M24" s="31"/>
      <c r="N24" s="33" t="s">
        <v>34</v>
      </c>
      <c r="O24" s="34" t="s">
        <v>106</v>
      </c>
      <c r="P24" s="35">
        <v>2</v>
      </c>
      <c r="Q24" s="36">
        <v>2</v>
      </c>
      <c r="R24" s="31" t="s">
        <v>36</v>
      </c>
      <c r="S24" s="37" t="s">
        <v>36</v>
      </c>
      <c r="T24" s="35">
        <v>7</v>
      </c>
      <c r="U24" s="36">
        <v>3</v>
      </c>
      <c r="V24" s="38">
        <f t="shared" si="0"/>
        <v>-4</v>
      </c>
      <c r="W24" s="35">
        <v>0</v>
      </c>
      <c r="X24" s="36">
        <v>4</v>
      </c>
      <c r="Y24" s="39">
        <f t="shared" si="1"/>
        <v>4</v>
      </c>
      <c r="Z24" s="40">
        <v>3493</v>
      </c>
      <c r="AA24" s="40">
        <v>1497</v>
      </c>
      <c r="AB24" s="41">
        <f t="shared" si="2"/>
        <v>-1996</v>
      </c>
      <c r="AC24" s="42">
        <v>1</v>
      </c>
      <c r="AD24" s="43">
        <v>0.428571428571429</v>
      </c>
      <c r="AE24" s="44">
        <f t="shared" si="3"/>
        <v>-0.571428571428571</v>
      </c>
    </row>
    <row r="25" customHeight="1" spans="1:31">
      <c r="A25" s="29">
        <v>12085</v>
      </c>
      <c r="B25" s="30" t="s">
        <v>107</v>
      </c>
      <c r="C25" s="31">
        <v>46092</v>
      </c>
      <c r="D25" s="31">
        <v>46099</v>
      </c>
      <c r="E25" s="31" t="s">
        <v>63</v>
      </c>
      <c r="F25" s="31" t="s">
        <v>55</v>
      </c>
      <c r="G25" s="31" t="s">
        <v>64</v>
      </c>
      <c r="H25" s="32" t="s">
        <v>32</v>
      </c>
      <c r="I25" s="31" t="str" cm="1">
        <f t="array" ref="I25">_xlfn.IFS(S25="未出单","低占比-未出单",AE25&lt;-10%,"低占比-占比下滑多",AB25&lt;-200,"低占比-销售额下滑",V25&lt;0,"低占比-销量下滑",Q25&lt;4,"低占比-低频分析",AND(AE25&gt;=0,AE25&lt;10%),"低占比-占比上升慢",TRUE,"低占比")</f>
        <v>低占比-低频分析</v>
      </c>
      <c r="J25" s="31" t="s">
        <v>81</v>
      </c>
      <c r="K25" s="31"/>
      <c r="L25" s="31"/>
      <c r="M25" s="31"/>
      <c r="N25" s="33" t="s">
        <v>34</v>
      </c>
      <c r="O25" s="34" t="s">
        <v>108</v>
      </c>
      <c r="P25" s="35">
        <v>2</v>
      </c>
      <c r="Q25" s="36">
        <v>2</v>
      </c>
      <c r="R25" s="31" t="s">
        <v>36</v>
      </c>
      <c r="S25" s="37" t="s">
        <v>36</v>
      </c>
      <c r="T25" s="35">
        <v>5</v>
      </c>
      <c r="U25" s="36">
        <v>10</v>
      </c>
      <c r="V25" s="38">
        <f t="shared" si="0"/>
        <v>5</v>
      </c>
      <c r="W25" s="35">
        <v>8</v>
      </c>
      <c r="X25" s="36">
        <v>9</v>
      </c>
      <c r="Y25" s="39">
        <f t="shared" si="1"/>
        <v>1</v>
      </c>
      <c r="Z25" s="40">
        <v>425</v>
      </c>
      <c r="AA25" s="40">
        <v>845.75</v>
      </c>
      <c r="AB25" s="41">
        <f t="shared" si="2"/>
        <v>420.75</v>
      </c>
      <c r="AC25" s="42">
        <v>0.384615384615385</v>
      </c>
      <c r="AD25" s="43">
        <v>0.526315789473684</v>
      </c>
      <c r="AE25" s="44">
        <f t="shared" si="3"/>
        <v>0.141700404858299</v>
      </c>
    </row>
    <row r="26" customHeight="1" spans="1:31">
      <c r="A26" s="29">
        <v>12086</v>
      </c>
      <c r="B26" s="30" t="s">
        <v>109</v>
      </c>
      <c r="C26" s="31">
        <v>46092</v>
      </c>
      <c r="D26" s="31">
        <v>46100</v>
      </c>
      <c r="E26" s="31" t="s">
        <v>63</v>
      </c>
      <c r="F26" s="31" t="s">
        <v>55</v>
      </c>
      <c r="G26" s="31" t="s">
        <v>64</v>
      </c>
      <c r="H26" s="32" t="s">
        <v>39</v>
      </c>
      <c r="I26" s="31" t="str" cm="1">
        <f t="array" ref="I26">_xlfn.IFS(S26="未出单","低占比-未出单",AE26&lt;-10%,"低占比-占比下滑多",AB26&lt;-200,"低占比-销售额下滑",V26&lt;0,"低占比-销量下滑",Q26&lt;4,"低占比-低频分析",AND(AE26&gt;=0,AE26&lt;10%),"低占比-占比上升慢",TRUE,"低占比")</f>
        <v>低占比-低频分析</v>
      </c>
      <c r="J26" s="31" t="s">
        <v>81</v>
      </c>
      <c r="K26" s="31"/>
      <c r="L26" s="31"/>
      <c r="M26" s="31"/>
      <c r="N26" s="33" t="s">
        <v>66</v>
      </c>
      <c r="O26" s="34" t="s">
        <v>110</v>
      </c>
      <c r="P26" s="35">
        <v>2</v>
      </c>
      <c r="Q26" s="36">
        <v>3</v>
      </c>
      <c r="R26" s="31" t="s">
        <v>36</v>
      </c>
      <c r="S26" s="37" t="s">
        <v>36</v>
      </c>
      <c r="T26" s="35">
        <v>5</v>
      </c>
      <c r="U26" s="36">
        <v>17</v>
      </c>
      <c r="V26" s="38">
        <f t="shared" si="0"/>
        <v>12</v>
      </c>
      <c r="W26" s="35">
        <v>17</v>
      </c>
      <c r="X26" s="36">
        <v>20</v>
      </c>
      <c r="Y26" s="39">
        <f t="shared" si="1"/>
        <v>3</v>
      </c>
      <c r="Z26" s="40">
        <v>375</v>
      </c>
      <c r="AA26" s="40">
        <v>1271.25</v>
      </c>
      <c r="AB26" s="41">
        <f t="shared" si="2"/>
        <v>896.25</v>
      </c>
      <c r="AC26" s="42">
        <v>0.227272727272727</v>
      </c>
      <c r="AD26" s="43">
        <v>0.459459459459459</v>
      </c>
      <c r="AE26" s="44">
        <f t="shared" si="3"/>
        <v>0.232186732186732</v>
      </c>
    </row>
    <row r="27" customHeight="1" spans="1:31">
      <c r="A27" s="29">
        <v>12258</v>
      </c>
      <c r="B27" s="30" t="s">
        <v>111</v>
      </c>
      <c r="C27" s="31">
        <v>46092</v>
      </c>
      <c r="D27" s="31">
        <v>46099</v>
      </c>
      <c r="E27" s="31" t="s">
        <v>63</v>
      </c>
      <c r="F27" s="31" t="s">
        <v>55</v>
      </c>
      <c r="G27" s="31" t="s">
        <v>64</v>
      </c>
      <c r="H27" s="32" t="s">
        <v>39</v>
      </c>
      <c r="I27" s="31" t="str" cm="1">
        <f t="array" ref="I27">_xlfn.IFS(S27="未出单","低占比-未出单",AE27&lt;-10%,"低占比-占比下滑多",AB27&lt;-200,"低占比-销售额下滑",V27&lt;0,"低占比-销量下滑",Q27&lt;4,"低占比-低频分析",AND(AE27&gt;=0,AE27&lt;10%),"低占比-占比上升慢",TRUE,"低占比")</f>
        <v>低占比-低频分析</v>
      </c>
      <c r="J27" s="31" t="s">
        <v>81</v>
      </c>
      <c r="K27" s="31"/>
      <c r="L27" s="31"/>
      <c r="M27" s="31"/>
      <c r="N27" s="33" t="s">
        <v>112</v>
      </c>
      <c r="O27" s="34" t="s">
        <v>113</v>
      </c>
      <c r="P27" s="35">
        <v>2</v>
      </c>
      <c r="Q27" s="36">
        <v>2</v>
      </c>
      <c r="R27" s="31" t="s">
        <v>36</v>
      </c>
      <c r="S27" s="37" t="s">
        <v>36</v>
      </c>
      <c r="T27" s="35">
        <v>9</v>
      </c>
      <c r="U27" s="36">
        <v>33</v>
      </c>
      <c r="V27" s="38">
        <f t="shared" si="0"/>
        <v>24</v>
      </c>
      <c r="W27" s="35">
        <v>36</v>
      </c>
      <c r="X27" s="36">
        <v>67</v>
      </c>
      <c r="Y27" s="39">
        <f t="shared" si="1"/>
        <v>31</v>
      </c>
      <c r="Z27" s="40">
        <v>252</v>
      </c>
      <c r="AA27" s="40">
        <v>924</v>
      </c>
      <c r="AB27" s="41">
        <f t="shared" si="2"/>
        <v>672</v>
      </c>
      <c r="AC27" s="42">
        <v>0.2</v>
      </c>
      <c r="AD27" s="43">
        <v>0.33</v>
      </c>
      <c r="AE27" s="44">
        <f t="shared" si="3"/>
        <v>0.13</v>
      </c>
    </row>
    <row r="28" customHeight="1" spans="1:31">
      <c r="A28" s="29">
        <v>12210</v>
      </c>
      <c r="B28" s="30" t="s">
        <v>114</v>
      </c>
      <c r="C28" s="31">
        <v>46092</v>
      </c>
      <c r="D28" s="31">
        <v>46104</v>
      </c>
      <c r="E28" s="31" t="s">
        <v>63</v>
      </c>
      <c r="F28" s="31" t="s">
        <v>55</v>
      </c>
      <c r="G28" s="31" t="s">
        <v>47</v>
      </c>
      <c r="H28" s="32" t="s">
        <v>39</v>
      </c>
      <c r="I28" s="31" t="str" cm="1">
        <f t="array" ref="I28">_xlfn.IFS(S28="未出单","低占比-未出单",AE28&lt;-10%,"低占比-占比下滑多",AB28&lt;-200,"低占比-销售额下滑",V28&lt;0,"低占比-销量下滑",Q28&lt;4,"低占比-低频分析",AND(AE28&gt;=0,AE28&lt;10%),"低占比-占比上升慢",TRUE,"低占比")</f>
        <v>低占比</v>
      </c>
      <c r="J28" s="31" t="s">
        <v>81</v>
      </c>
      <c r="K28" s="31"/>
      <c r="L28" s="31"/>
      <c r="M28" s="31"/>
      <c r="N28" s="33" t="s">
        <v>115</v>
      </c>
      <c r="O28" s="34" t="s">
        <v>116</v>
      </c>
      <c r="P28" s="35">
        <v>2</v>
      </c>
      <c r="Q28" s="36">
        <v>6</v>
      </c>
      <c r="R28" s="31" t="s">
        <v>44</v>
      </c>
      <c r="S28" s="37" t="s">
        <v>44</v>
      </c>
      <c r="T28" s="35">
        <v>3</v>
      </c>
      <c r="U28" s="36">
        <v>30</v>
      </c>
      <c r="V28" s="38">
        <f t="shared" si="0"/>
        <v>27</v>
      </c>
      <c r="W28" s="35">
        <v>105</v>
      </c>
      <c r="X28" s="36">
        <v>102</v>
      </c>
      <c r="Y28" s="39">
        <f t="shared" si="1"/>
        <v>-3</v>
      </c>
      <c r="Z28" s="40">
        <v>36</v>
      </c>
      <c r="AA28" s="40">
        <v>358.16</v>
      </c>
      <c r="AB28" s="41">
        <f t="shared" si="2"/>
        <v>322.16</v>
      </c>
      <c r="AC28" s="42">
        <v>0.0277777777777778</v>
      </c>
      <c r="AD28" s="43">
        <v>0.227272727272727</v>
      </c>
      <c r="AE28" s="44">
        <f t="shared" si="3"/>
        <v>0.199494949494949</v>
      </c>
    </row>
    <row r="29" customHeight="1" spans="1:31">
      <c r="A29" s="29">
        <v>12250</v>
      </c>
      <c r="B29" s="30" t="s">
        <v>117</v>
      </c>
      <c r="C29" s="31">
        <v>46092</v>
      </c>
      <c r="D29" s="31">
        <v>46096</v>
      </c>
      <c r="E29" s="31" t="s">
        <v>29</v>
      </c>
      <c r="F29" s="31" t="s">
        <v>29</v>
      </c>
      <c r="G29" s="31" t="s">
        <v>47</v>
      </c>
      <c r="H29" s="32" t="s">
        <v>32</v>
      </c>
      <c r="I29" s="31" t="str" cm="1">
        <f t="array" ref="I29">_xlfn.IFS(S29="未出单","低占比-未出单",AE29&lt;-10%,"低占比-占比下滑多",AB29&lt;-200,"低占比-销售额下滑",V29&lt;0,"低占比-销量下滑",Q29&lt;4,"低占比-低频分析",AND(AE29&gt;=0,AE29&lt;10%),"低占比-占比上升慢",TRUE,"低占比")</f>
        <v>低占比</v>
      </c>
      <c r="J29" s="31" t="s">
        <v>87</v>
      </c>
      <c r="K29" s="31"/>
      <c r="L29" s="31"/>
      <c r="M29" s="31"/>
      <c r="N29" s="33" t="s">
        <v>52</v>
      </c>
      <c r="O29" s="31" t="s">
        <v>118</v>
      </c>
      <c r="P29" s="35">
        <v>1</v>
      </c>
      <c r="Q29" s="36">
        <v>5</v>
      </c>
      <c r="R29" s="31" t="s">
        <v>36</v>
      </c>
      <c r="S29" s="37" t="s">
        <v>36</v>
      </c>
      <c r="T29" s="35">
        <v>2</v>
      </c>
      <c r="U29" s="36">
        <v>2</v>
      </c>
      <c r="V29" s="38">
        <f t="shared" si="0"/>
        <v>0</v>
      </c>
      <c r="W29" s="35">
        <v>3</v>
      </c>
      <c r="X29" s="36">
        <v>2</v>
      </c>
      <c r="Y29" s="39">
        <f t="shared" si="1"/>
        <v>-1</v>
      </c>
      <c r="Z29" s="40">
        <v>78</v>
      </c>
      <c r="AA29" s="40">
        <v>78</v>
      </c>
      <c r="AB29" s="41">
        <f t="shared" si="2"/>
        <v>0</v>
      </c>
      <c r="AC29" s="42">
        <v>0.4</v>
      </c>
      <c r="AD29" s="43">
        <v>0.5</v>
      </c>
      <c r="AE29" s="44">
        <f t="shared" si="3"/>
        <v>0.1</v>
      </c>
    </row>
    <row r="30" customHeight="1" spans="1:31">
      <c r="A30" s="29">
        <v>12251</v>
      </c>
      <c r="B30" s="30" t="s">
        <v>119</v>
      </c>
      <c r="C30" s="31">
        <v>46092</v>
      </c>
      <c r="D30" s="31">
        <v>46112</v>
      </c>
      <c r="E30" s="31" t="s">
        <v>29</v>
      </c>
      <c r="F30" s="31" t="s">
        <v>29</v>
      </c>
      <c r="G30" s="31" t="s">
        <v>47</v>
      </c>
      <c r="H30" s="32" t="s">
        <v>32</v>
      </c>
      <c r="I30" s="31" t="str" cm="1">
        <f t="array" ref="I30">_xlfn.IFS(S30="未出单","低占比-未出单",AE30&lt;-10%,"低占比-占比下滑多",AB30&lt;-200,"低占比-销售额下滑",V30&lt;0,"低占比-销量下滑",Q30&lt;4,"低占比-低频分析",AND(AE30&gt;=0,AE30&lt;10%),"低占比-占比上升慢",TRUE,"低占比")</f>
        <v>低占比</v>
      </c>
      <c r="J30" s="31" t="s">
        <v>87</v>
      </c>
      <c r="K30" s="31"/>
      <c r="L30" s="31"/>
      <c r="M30" s="31"/>
      <c r="N30" s="33" t="s">
        <v>52</v>
      </c>
      <c r="O30" s="31" t="s">
        <v>118</v>
      </c>
      <c r="P30" s="35">
        <v>1</v>
      </c>
      <c r="Q30" s="36">
        <v>4</v>
      </c>
      <c r="R30" s="31" t="s">
        <v>44</v>
      </c>
      <c r="S30" s="37" t="s">
        <v>44</v>
      </c>
      <c r="T30" s="35">
        <v>1</v>
      </c>
      <c r="U30" s="36">
        <v>2</v>
      </c>
      <c r="V30" s="38">
        <f t="shared" si="0"/>
        <v>1</v>
      </c>
      <c r="W30" s="35">
        <v>4</v>
      </c>
      <c r="X30" s="36">
        <v>1</v>
      </c>
      <c r="Y30" s="39">
        <f t="shared" si="1"/>
        <v>-3</v>
      </c>
      <c r="Z30" s="40">
        <v>39</v>
      </c>
      <c r="AA30" s="40">
        <v>78</v>
      </c>
      <c r="AB30" s="41">
        <f t="shared" si="2"/>
        <v>39</v>
      </c>
      <c r="AC30" s="42">
        <v>0.2</v>
      </c>
      <c r="AD30" s="43">
        <v>0.666666666666667</v>
      </c>
      <c r="AE30" s="44">
        <f t="shared" si="3"/>
        <v>0.466666666666667</v>
      </c>
    </row>
    <row r="31" customHeight="1" spans="1:31">
      <c r="A31" s="29">
        <v>12227</v>
      </c>
      <c r="B31" s="30" t="s">
        <v>120</v>
      </c>
      <c r="C31" s="31">
        <v>46092</v>
      </c>
      <c r="D31" s="31">
        <v>46097</v>
      </c>
      <c r="E31" s="31" t="s">
        <v>63</v>
      </c>
      <c r="F31" s="31" t="s">
        <v>63</v>
      </c>
      <c r="G31" s="31" t="s">
        <v>69</v>
      </c>
      <c r="H31" s="32" t="s">
        <v>39</v>
      </c>
      <c r="I31" s="31" t="str" cm="1">
        <f t="array" ref="I31">_xlfn.IFS(S31="未出单","低占比-未出单",AE31&lt;-10%,"低占比-占比下滑多",AB31&lt;-200,"低占比-销售额下滑",V31&lt;0,"低占比-销量下滑",Q31&lt;4,"低占比-低频分析",AND(AE31&gt;=0,AE31&lt;10%),"低占比-占比上升慢",TRUE,"低占比")</f>
        <v>低占比-低频分析</v>
      </c>
      <c r="J31" s="31" t="s">
        <v>121</v>
      </c>
      <c r="K31" s="31" t="s">
        <v>121</v>
      </c>
      <c r="L31" s="31" t="s">
        <v>121</v>
      </c>
      <c r="M31" s="31" t="s">
        <v>121</v>
      </c>
      <c r="N31" s="33" t="s">
        <v>34</v>
      </c>
      <c r="O31" s="31" t="s">
        <v>122</v>
      </c>
      <c r="P31" s="35">
        <v>2</v>
      </c>
      <c r="Q31" s="36">
        <v>2</v>
      </c>
      <c r="R31" s="31" t="s">
        <v>36</v>
      </c>
      <c r="S31" s="37" t="s">
        <v>36</v>
      </c>
      <c r="T31" s="35">
        <v>8</v>
      </c>
      <c r="U31" s="36">
        <v>11</v>
      </c>
      <c r="V31" s="38">
        <f t="shared" si="0"/>
        <v>3</v>
      </c>
      <c r="W31" s="35">
        <v>4</v>
      </c>
      <c r="X31" s="36">
        <v>5</v>
      </c>
      <c r="Y31" s="39">
        <f t="shared" si="1"/>
        <v>1</v>
      </c>
      <c r="Z31" s="40">
        <v>552</v>
      </c>
      <c r="AA31" s="40">
        <v>749</v>
      </c>
      <c r="AB31" s="41">
        <f t="shared" si="2"/>
        <v>197</v>
      </c>
      <c r="AC31" s="42">
        <v>0.666666666666667</v>
      </c>
      <c r="AD31" s="43">
        <v>0.6875</v>
      </c>
      <c r="AE31" s="44">
        <f t="shared" si="3"/>
        <v>0.020833333333333</v>
      </c>
    </row>
    <row r="32" customHeight="1" spans="1:31">
      <c r="A32" s="29">
        <v>12309</v>
      </c>
      <c r="B32" s="30" t="s">
        <v>123</v>
      </c>
      <c r="C32" s="31">
        <v>46092</v>
      </c>
      <c r="D32" s="31">
        <v>46101</v>
      </c>
      <c r="E32" s="31" t="s">
        <v>30</v>
      </c>
      <c r="F32" s="31" t="s">
        <v>30</v>
      </c>
      <c r="G32" s="31" t="s">
        <v>38</v>
      </c>
      <c r="H32" s="32" t="s">
        <v>39</v>
      </c>
      <c r="I32" s="31" t="str" cm="1">
        <f t="array" ref="I32">_xlfn.IFS(S32="未出单","低占比-未出单",AE32&lt;-10%,"低占比-占比下滑多",AB32&lt;-200,"低占比-销售额下滑",V32&lt;0,"低占比-销量下滑",Q32&lt;4,"低占比-低频分析",AND(AE32&gt;=0,AE32&lt;10%),"低占比-占比上升慢",TRUE,"低占比")</f>
        <v>低占比-低频分析</v>
      </c>
      <c r="J32" s="31" t="s">
        <v>124</v>
      </c>
      <c r="K32" s="31"/>
      <c r="L32" s="31"/>
      <c r="M32" s="31"/>
      <c r="N32" s="33" t="s">
        <v>34</v>
      </c>
      <c r="O32" s="34" t="s">
        <v>125</v>
      </c>
      <c r="P32" s="35">
        <v>2</v>
      </c>
      <c r="Q32" s="36">
        <v>2</v>
      </c>
      <c r="R32" s="31" t="s">
        <v>44</v>
      </c>
      <c r="S32" s="37" t="s">
        <v>44</v>
      </c>
      <c r="T32" s="35">
        <v>3</v>
      </c>
      <c r="U32" s="36">
        <v>3</v>
      </c>
      <c r="V32" s="38">
        <f t="shared" si="0"/>
        <v>0</v>
      </c>
      <c r="W32" s="35">
        <v>5</v>
      </c>
      <c r="X32" s="36">
        <v>4</v>
      </c>
      <c r="Y32" s="39">
        <f t="shared" si="1"/>
        <v>-1</v>
      </c>
      <c r="Z32" s="40">
        <v>1440</v>
      </c>
      <c r="AA32" s="40">
        <v>1440</v>
      </c>
      <c r="AB32" s="41">
        <f t="shared" si="2"/>
        <v>0</v>
      </c>
      <c r="AC32" s="42">
        <v>0.375</v>
      </c>
      <c r="AD32" s="43">
        <v>0.428571428571429</v>
      </c>
      <c r="AE32" s="44">
        <f t="shared" si="3"/>
        <v>0.053571428571429</v>
      </c>
    </row>
    <row r="33" customHeight="1" spans="1:31">
      <c r="A33" s="29">
        <v>12311</v>
      </c>
      <c r="B33" s="30" t="s">
        <v>126</v>
      </c>
      <c r="C33" s="31">
        <v>46092</v>
      </c>
      <c r="D33" s="31">
        <v>46102</v>
      </c>
      <c r="E33" s="31" t="s">
        <v>30</v>
      </c>
      <c r="F33" s="31" t="s">
        <v>30</v>
      </c>
      <c r="G33" s="31" t="s">
        <v>38</v>
      </c>
      <c r="H33" s="32" t="s">
        <v>39</v>
      </c>
      <c r="I33" s="31" t="str" cm="1">
        <f t="array" ref="I33">_xlfn.IFS(S33="未出单","低占比-未出单",AE33&lt;-10%,"低占比-占比下滑多",AB33&lt;-200,"低占比-销售额下滑",V33&lt;0,"低占比-销量下滑",Q33&lt;4,"低占比-低频分析",AND(AE33&gt;=0,AE33&lt;10%),"低占比-占比上升慢",TRUE,"低占比")</f>
        <v>低占比</v>
      </c>
      <c r="J33" s="31" t="s">
        <v>124</v>
      </c>
      <c r="K33" s="31"/>
      <c r="L33" s="31"/>
      <c r="M33" s="31"/>
      <c r="N33" s="33" t="s">
        <v>34</v>
      </c>
      <c r="O33" s="34" t="s">
        <v>127</v>
      </c>
      <c r="P33" s="35">
        <v>2</v>
      </c>
      <c r="Q33" s="36">
        <v>4</v>
      </c>
      <c r="R33" s="31" t="s">
        <v>44</v>
      </c>
      <c r="S33" s="37" t="s">
        <v>44</v>
      </c>
      <c r="T33" s="35">
        <v>1</v>
      </c>
      <c r="U33" s="36">
        <v>2</v>
      </c>
      <c r="V33" s="38">
        <f t="shared" si="0"/>
        <v>1</v>
      </c>
      <c r="W33" s="35">
        <v>6</v>
      </c>
      <c r="X33" s="36">
        <v>4</v>
      </c>
      <c r="Y33" s="39">
        <f t="shared" si="1"/>
        <v>-2</v>
      </c>
      <c r="Z33" s="40">
        <v>480</v>
      </c>
      <c r="AA33" s="40">
        <v>960</v>
      </c>
      <c r="AB33" s="41">
        <f t="shared" si="2"/>
        <v>480</v>
      </c>
      <c r="AC33" s="42">
        <v>0.142857142857143</v>
      </c>
      <c r="AD33" s="43">
        <v>0.333333333333333</v>
      </c>
      <c r="AE33" s="44">
        <f t="shared" si="3"/>
        <v>0.19047619047619</v>
      </c>
    </row>
    <row r="34" customHeight="1" spans="1:31">
      <c r="A34" s="29">
        <v>12312</v>
      </c>
      <c r="B34" s="30" t="s">
        <v>128</v>
      </c>
      <c r="C34" s="31">
        <v>46092</v>
      </c>
      <c r="D34" s="31">
        <v>46096</v>
      </c>
      <c r="E34" s="31" t="s">
        <v>30</v>
      </c>
      <c r="F34" s="31" t="s">
        <v>30</v>
      </c>
      <c r="G34" s="31" t="s">
        <v>38</v>
      </c>
      <c r="H34" s="32" t="s">
        <v>39</v>
      </c>
      <c r="I34" s="31" t="str" cm="1">
        <f t="array" ref="I34">_xlfn.IFS(S34="未出单","低占比-未出单",AE34&lt;-10%,"低占比-占比下滑多",AB34&lt;-200,"低占比-销售额下滑",V34&lt;0,"低占比-销量下滑",Q34&lt;4,"低占比-低频分析",AND(AE34&gt;=0,AE34&lt;10%),"低占比-占比上升慢",TRUE,"低占比")</f>
        <v>低占比-销售额下滑</v>
      </c>
      <c r="J34" s="31" t="s">
        <v>60</v>
      </c>
      <c r="K34" s="31"/>
      <c r="L34" s="31"/>
      <c r="M34" s="31"/>
      <c r="N34" s="33" t="s">
        <v>52</v>
      </c>
      <c r="O34" s="34" t="s">
        <v>129</v>
      </c>
      <c r="P34" s="35">
        <v>3</v>
      </c>
      <c r="Q34" s="36">
        <v>5</v>
      </c>
      <c r="R34" s="31" t="s">
        <v>36</v>
      </c>
      <c r="S34" s="37" t="s">
        <v>36</v>
      </c>
      <c r="T34" s="35">
        <v>4</v>
      </c>
      <c r="U34" s="36">
        <v>3</v>
      </c>
      <c r="V34" s="38">
        <f t="shared" si="0"/>
        <v>-1</v>
      </c>
      <c r="W34" s="35">
        <v>8</v>
      </c>
      <c r="X34" s="36">
        <v>7</v>
      </c>
      <c r="Y34" s="39">
        <f t="shared" si="1"/>
        <v>-1</v>
      </c>
      <c r="Z34" s="40">
        <v>1920</v>
      </c>
      <c r="AA34" s="40">
        <v>1436</v>
      </c>
      <c r="AB34" s="41">
        <f t="shared" si="2"/>
        <v>-484</v>
      </c>
      <c r="AC34" s="42">
        <v>0.333333333333333</v>
      </c>
      <c r="AD34" s="43">
        <v>0.3</v>
      </c>
      <c r="AE34" s="44">
        <f t="shared" si="3"/>
        <v>-0.033333333333333</v>
      </c>
    </row>
    <row r="35" customHeight="1" spans="1:31">
      <c r="A35" s="29">
        <v>12441</v>
      </c>
      <c r="B35" s="30" t="s">
        <v>130</v>
      </c>
      <c r="C35" s="31">
        <v>46093</v>
      </c>
      <c r="D35" s="31">
        <v>46100</v>
      </c>
      <c r="E35" s="31" t="s">
        <v>90</v>
      </c>
      <c r="F35" s="31" t="s">
        <v>55</v>
      </c>
      <c r="G35" s="31" t="s">
        <v>64</v>
      </c>
      <c r="H35" s="32" t="s">
        <v>39</v>
      </c>
      <c r="I35" s="31" t="str" cm="1">
        <f t="array" ref="I35">_xlfn.IFS(S35="未出单","低占比-未出单",AE35&lt;-10%,"低占比-占比下滑多",AB35&lt;-200,"低占比-销售额下滑",V35&lt;0,"低占比-销量下滑",Q35&lt;4,"低占比-低频分析",AND(AE35&gt;=0,AE35&lt;10%),"低占比-占比上升慢",TRUE,"低占比")</f>
        <v>低占比-低频分析</v>
      </c>
      <c r="J35" s="31" t="s">
        <v>56</v>
      </c>
      <c r="K35" s="31"/>
      <c r="L35" s="31"/>
      <c r="M35" s="31"/>
      <c r="N35" s="33" t="s">
        <v>131</v>
      </c>
      <c r="O35" s="34" t="s">
        <v>132</v>
      </c>
      <c r="P35" s="35">
        <v>4</v>
      </c>
      <c r="Q35" s="36">
        <v>2</v>
      </c>
      <c r="R35" s="31" t="s">
        <v>36</v>
      </c>
      <c r="S35" s="37" t="s">
        <v>36</v>
      </c>
      <c r="T35" s="35">
        <v>5</v>
      </c>
      <c r="U35" s="36">
        <v>6</v>
      </c>
      <c r="V35" s="38">
        <f t="shared" si="0"/>
        <v>1</v>
      </c>
      <c r="W35" s="35">
        <v>6</v>
      </c>
      <c r="X35" s="36">
        <v>3</v>
      </c>
      <c r="Y35" s="39">
        <f t="shared" si="1"/>
        <v>-3</v>
      </c>
      <c r="Z35" s="40">
        <v>695</v>
      </c>
      <c r="AA35" s="40">
        <v>838</v>
      </c>
      <c r="AB35" s="41">
        <f t="shared" si="2"/>
        <v>143</v>
      </c>
      <c r="AC35" s="42">
        <v>0.454545454545455</v>
      </c>
      <c r="AD35" s="43">
        <v>0.666666666666667</v>
      </c>
      <c r="AE35" s="44">
        <f t="shared" si="3"/>
        <v>0.212121212121212</v>
      </c>
    </row>
    <row r="36" customHeight="1" spans="1:31">
      <c r="A36" s="29">
        <v>12321</v>
      </c>
      <c r="B36" s="30" t="s">
        <v>133</v>
      </c>
      <c r="C36" s="31">
        <v>46097</v>
      </c>
      <c r="D36" s="31">
        <v>46120</v>
      </c>
      <c r="E36" s="31" t="s">
        <v>30</v>
      </c>
      <c r="F36" s="31" t="s">
        <v>30</v>
      </c>
      <c r="G36" s="31" t="s">
        <v>38</v>
      </c>
      <c r="H36" s="32" t="s">
        <v>39</v>
      </c>
      <c r="I36" s="31" t="str" cm="1">
        <f t="array" ref="I36">_xlfn.IFS(S36="未出单","低占比-未出单",AE36&lt;-10%,"低占比-占比下滑多",AB36&lt;-200,"低占比-销售额下滑",V36&lt;0,"低占比-销量下滑",Q36&lt;4,"低占比-低频分析",AND(AE36&gt;=0,AE36&lt;10%),"低占比-占比上升慢",TRUE,"低占比")</f>
        <v>低占比</v>
      </c>
      <c r="J36" s="31" t="s">
        <v>124</v>
      </c>
      <c r="K36" s="31"/>
      <c r="L36" s="31"/>
      <c r="M36" s="31"/>
      <c r="N36" s="33" t="s">
        <v>34</v>
      </c>
      <c r="O36" s="34" t="s">
        <v>134</v>
      </c>
      <c r="P36" s="35">
        <v>1</v>
      </c>
      <c r="Q36" s="36">
        <v>5</v>
      </c>
      <c r="R36" s="31" t="s">
        <v>74</v>
      </c>
      <c r="S36" s="37" t="s">
        <v>44</v>
      </c>
      <c r="T36" s="35">
        <v>0</v>
      </c>
      <c r="U36" s="36">
        <v>11</v>
      </c>
      <c r="V36" s="38">
        <f t="shared" si="0"/>
        <v>11</v>
      </c>
      <c r="W36" s="35">
        <v>10</v>
      </c>
      <c r="X36" s="36">
        <v>25</v>
      </c>
      <c r="Y36" s="39">
        <f t="shared" si="1"/>
        <v>15</v>
      </c>
      <c r="Z36" s="40">
        <v>0</v>
      </c>
      <c r="AA36" s="40">
        <v>394.9</v>
      </c>
      <c r="AB36" s="41">
        <f t="shared" si="2"/>
        <v>394.9</v>
      </c>
      <c r="AC36" s="42">
        <v>0</v>
      </c>
      <c r="AD36" s="43">
        <v>0.305555555555556</v>
      </c>
      <c r="AE36" s="44">
        <f t="shared" si="3"/>
        <v>0.305555555555556</v>
      </c>
    </row>
    <row r="37" customHeight="1" spans="1:31">
      <c r="A37" s="29">
        <v>12306</v>
      </c>
      <c r="B37" s="30" t="s">
        <v>135</v>
      </c>
      <c r="C37" s="31">
        <v>46097</v>
      </c>
      <c r="D37" s="31">
        <v>46099</v>
      </c>
      <c r="E37" s="31" t="s">
        <v>30</v>
      </c>
      <c r="F37" s="31" t="s">
        <v>30</v>
      </c>
      <c r="G37" s="31" t="s">
        <v>38</v>
      </c>
      <c r="H37" s="32" t="s">
        <v>39</v>
      </c>
      <c r="I37" s="31" t="str" cm="1">
        <f t="array" ref="I37">_xlfn.IFS(S37="未出单","低占比-未出单",AE37&lt;-10%,"低占比-占比下滑多",AB37&lt;-200,"低占比-销售额下滑",V37&lt;0,"低占比-销量下滑",Q37&lt;4,"低占比-低频分析",AND(AE37&gt;=0,AE37&lt;10%),"低占比-占比上升慢",TRUE,"低占比")</f>
        <v>低占比-占比下滑多</v>
      </c>
      <c r="J37" s="31"/>
      <c r="K37" s="31"/>
      <c r="L37" s="31" t="s">
        <v>84</v>
      </c>
      <c r="M37" s="31"/>
      <c r="N37" s="33" t="s">
        <v>34</v>
      </c>
      <c r="O37" s="34" t="s">
        <v>136</v>
      </c>
      <c r="P37" s="35">
        <v>1</v>
      </c>
      <c r="Q37" s="36">
        <v>4</v>
      </c>
      <c r="R37" s="31" t="s">
        <v>36</v>
      </c>
      <c r="S37" s="37" t="s">
        <v>36</v>
      </c>
      <c r="T37" s="35">
        <v>7</v>
      </c>
      <c r="U37" s="36">
        <v>9</v>
      </c>
      <c r="V37" s="38">
        <f t="shared" si="0"/>
        <v>2</v>
      </c>
      <c r="W37" s="35">
        <v>0</v>
      </c>
      <c r="X37" s="36">
        <v>7</v>
      </c>
      <c r="Y37" s="39">
        <f t="shared" si="1"/>
        <v>7</v>
      </c>
      <c r="Z37" s="40">
        <v>3880</v>
      </c>
      <c r="AA37" s="40">
        <v>5293</v>
      </c>
      <c r="AB37" s="41">
        <f t="shared" si="2"/>
        <v>1413</v>
      </c>
      <c r="AC37" s="42">
        <v>1</v>
      </c>
      <c r="AD37" s="43">
        <v>0.5625</v>
      </c>
      <c r="AE37" s="44">
        <f t="shared" si="3"/>
        <v>-0.4375</v>
      </c>
    </row>
    <row r="38" customHeight="1" spans="1:31">
      <c r="A38" s="29">
        <v>12308</v>
      </c>
      <c r="B38" s="30" t="s">
        <v>137</v>
      </c>
      <c r="C38" s="31">
        <v>46097</v>
      </c>
      <c r="D38" s="31">
        <v>46099</v>
      </c>
      <c r="E38" s="31" t="s">
        <v>30</v>
      </c>
      <c r="F38" s="31" t="s">
        <v>30</v>
      </c>
      <c r="G38" s="31" t="s">
        <v>38</v>
      </c>
      <c r="H38" s="32" t="s">
        <v>39</v>
      </c>
      <c r="I38" s="31" t="str" cm="1">
        <f t="array" ref="I38">_xlfn.IFS(S38="未出单","低占比-未出单",AE38&lt;-10%,"低占比-占比下滑多",AB38&lt;-200,"低占比-销售额下滑",V38&lt;0,"低占比-销量下滑",Q38&lt;4,"低占比-低频分析",AND(AE38&gt;=0,AE38&lt;10%),"低占比-占比上升慢",TRUE,"低占比")</f>
        <v>低占比-占比下滑多</v>
      </c>
      <c r="J38" s="31"/>
      <c r="K38" s="31"/>
      <c r="L38" s="31" t="s">
        <v>138</v>
      </c>
      <c r="M38" s="31"/>
      <c r="N38" s="33" t="s">
        <v>34</v>
      </c>
      <c r="O38" s="34" t="s">
        <v>139</v>
      </c>
      <c r="P38" s="35">
        <v>1</v>
      </c>
      <c r="Q38" s="36">
        <v>4</v>
      </c>
      <c r="R38" s="31" t="s">
        <v>36</v>
      </c>
      <c r="S38" s="37" t="s">
        <v>36</v>
      </c>
      <c r="T38" s="35">
        <v>11</v>
      </c>
      <c r="U38" s="36">
        <v>12</v>
      </c>
      <c r="V38" s="38">
        <f t="shared" si="0"/>
        <v>1</v>
      </c>
      <c r="W38" s="35">
        <v>3</v>
      </c>
      <c r="X38" s="36">
        <v>6</v>
      </c>
      <c r="Y38" s="39">
        <f t="shared" si="1"/>
        <v>3</v>
      </c>
      <c r="Z38" s="40">
        <v>6050</v>
      </c>
      <c r="AA38" s="40">
        <v>7011</v>
      </c>
      <c r="AB38" s="41">
        <f t="shared" si="2"/>
        <v>961</v>
      </c>
      <c r="AC38" s="42">
        <v>0.785714285714286</v>
      </c>
      <c r="AD38" s="43">
        <v>0.666666666666667</v>
      </c>
      <c r="AE38" s="44">
        <f t="shared" si="3"/>
        <v>-0.119047619047619</v>
      </c>
    </row>
    <row r="39" customHeight="1" spans="1:31">
      <c r="A39" s="29">
        <v>12298</v>
      </c>
      <c r="B39" s="30" t="s">
        <v>140</v>
      </c>
      <c r="C39" s="31">
        <v>46099</v>
      </c>
      <c r="D39" s="31" t="s">
        <v>74</v>
      </c>
      <c r="E39" s="31" t="s">
        <v>46</v>
      </c>
      <c r="F39" s="31" t="s">
        <v>46</v>
      </c>
      <c r="G39" s="31" t="s">
        <v>38</v>
      </c>
      <c r="H39" s="32" t="s">
        <v>32</v>
      </c>
      <c r="I39" s="31" t="str" cm="1">
        <f t="array" ref="I39">_xlfn.IFS(S39="未出单","低占比-未出单",AE39&lt;-10%,"低占比-占比下滑多",AB39&lt;-200,"低占比-销售额下滑",V39&lt;0,"低占比-销量下滑",Q39&lt;4,"低占比-低频分析",AND(AE39&gt;=0,AE39&lt;10%),"低占比-占比上升慢",TRUE,"低占比")</f>
        <v>低占比-未出单</v>
      </c>
      <c r="J39" s="31" t="s">
        <v>40</v>
      </c>
      <c r="K39" s="31"/>
      <c r="L39" s="31"/>
      <c r="M39" s="31"/>
      <c r="N39" s="33" t="s">
        <v>34</v>
      </c>
      <c r="O39" s="45" t="s">
        <v>141</v>
      </c>
      <c r="P39" s="35">
        <v>2</v>
      </c>
      <c r="Q39" s="36">
        <v>4</v>
      </c>
      <c r="R39" s="31" t="s">
        <v>74</v>
      </c>
      <c r="S39" s="37" t="s">
        <v>74</v>
      </c>
      <c r="T39" s="35">
        <v>0</v>
      </c>
      <c r="U39" s="36">
        <v>0</v>
      </c>
      <c r="V39" s="38">
        <f t="shared" si="0"/>
        <v>0</v>
      </c>
      <c r="W39" s="35">
        <v>2</v>
      </c>
      <c r="X39" s="36">
        <v>4</v>
      </c>
      <c r="Y39" s="39">
        <f t="shared" si="1"/>
        <v>2</v>
      </c>
      <c r="Z39" s="40">
        <v>0</v>
      </c>
      <c r="AA39" s="40">
        <v>0</v>
      </c>
      <c r="AB39" s="41">
        <f t="shared" si="2"/>
        <v>0</v>
      </c>
      <c r="AC39" s="42">
        <v>0</v>
      </c>
      <c r="AD39" s="43">
        <v>0</v>
      </c>
      <c r="AE39" s="44">
        <f t="shared" si="3"/>
        <v>0</v>
      </c>
    </row>
    <row r="40" customHeight="1" spans="1:31">
      <c r="A40" s="29">
        <v>12299</v>
      </c>
      <c r="B40" s="30" t="s">
        <v>142</v>
      </c>
      <c r="C40" s="31">
        <v>46099</v>
      </c>
      <c r="D40" s="31">
        <v>46119</v>
      </c>
      <c r="E40" s="31" t="s">
        <v>46</v>
      </c>
      <c r="F40" s="31" t="s">
        <v>46</v>
      </c>
      <c r="G40" s="31" t="s">
        <v>38</v>
      </c>
      <c r="H40" s="32" t="s">
        <v>32</v>
      </c>
      <c r="I40" s="31" t="str" cm="1">
        <f t="array" ref="I40">_xlfn.IFS(S40="未出单","低占比-未出单",AE40&lt;-10%,"低占比-占比下滑多",AB40&lt;-200,"低占比-销售额下滑",V40&lt;0,"低占比-销量下滑",Q40&lt;4,"低占比-低频分析",AND(AE40&gt;=0,AE40&lt;10%),"低占比-占比上升慢",TRUE,"低占比")</f>
        <v>低占比-低频分析</v>
      </c>
      <c r="J40" s="31" t="s">
        <v>143</v>
      </c>
      <c r="K40" s="31"/>
      <c r="L40" s="31"/>
      <c r="M40" s="31"/>
      <c r="N40" s="33" t="s">
        <v>144</v>
      </c>
      <c r="O40" s="45" t="s">
        <v>145</v>
      </c>
      <c r="P40" s="35">
        <v>2</v>
      </c>
      <c r="Q40" s="36">
        <v>3</v>
      </c>
      <c r="R40" s="31" t="s">
        <v>74</v>
      </c>
      <c r="S40" s="37" t="s">
        <v>44</v>
      </c>
      <c r="T40" s="35">
        <v>0</v>
      </c>
      <c r="U40" s="36">
        <v>5</v>
      </c>
      <c r="V40" s="38">
        <f t="shared" si="0"/>
        <v>5</v>
      </c>
      <c r="W40" s="35">
        <v>4</v>
      </c>
      <c r="X40" s="36">
        <v>5</v>
      </c>
      <c r="Y40" s="39">
        <f t="shared" si="1"/>
        <v>1</v>
      </c>
      <c r="Z40" s="40">
        <v>0</v>
      </c>
      <c r="AA40" s="40">
        <v>132.1</v>
      </c>
      <c r="AB40" s="41">
        <f t="shared" si="2"/>
        <v>132.1</v>
      </c>
      <c r="AC40" s="42">
        <v>0</v>
      </c>
      <c r="AD40" s="43">
        <v>0.5</v>
      </c>
      <c r="AE40" s="44">
        <f t="shared" si="3"/>
        <v>0.5</v>
      </c>
    </row>
    <row r="41" customHeight="1" spans="1:31">
      <c r="A41" s="29">
        <v>12290</v>
      </c>
      <c r="B41" s="30" t="s">
        <v>146</v>
      </c>
      <c r="C41" s="31">
        <v>46104</v>
      </c>
      <c r="D41" s="31">
        <v>46119</v>
      </c>
      <c r="E41" s="31" t="s">
        <v>46</v>
      </c>
      <c r="F41" s="31" t="s">
        <v>55</v>
      </c>
      <c r="G41" s="31" t="s">
        <v>72</v>
      </c>
      <c r="H41" s="32" t="s">
        <v>39</v>
      </c>
      <c r="I41" s="31" t="str" cm="1">
        <f t="array" ref="I41">_xlfn.IFS(S41="未出单","低占比-未出单",AE41&lt;-10%,"低占比-占比下滑多",AB41&lt;-200,"低占比-销售额下滑",V41&lt;0,"低占比-销量下滑",Q41&lt;4,"低占比-低频分析",AND(AE41&gt;=0,AE41&lt;10%),"低占比-占比上升慢",TRUE,"低占比")</f>
        <v>低占比-低频分析</v>
      </c>
      <c r="J41" s="31"/>
      <c r="K41" s="31"/>
      <c r="L41" s="31"/>
      <c r="M41" s="31" t="s">
        <v>147</v>
      </c>
      <c r="N41" s="33" t="s">
        <v>57</v>
      </c>
      <c r="O41" s="34" t="s">
        <v>148</v>
      </c>
      <c r="P41" s="35">
        <v>1</v>
      </c>
      <c r="Q41" s="36">
        <v>3</v>
      </c>
      <c r="R41" s="31" t="s">
        <v>74</v>
      </c>
      <c r="S41" s="37" t="s">
        <v>44</v>
      </c>
      <c r="T41" s="35">
        <v>0</v>
      </c>
      <c r="U41" s="36">
        <v>4</v>
      </c>
      <c r="V41" s="38">
        <f t="shared" si="0"/>
        <v>4</v>
      </c>
      <c r="W41" s="35">
        <v>2</v>
      </c>
      <c r="X41" s="36">
        <v>6</v>
      </c>
      <c r="Y41" s="39">
        <f t="shared" si="1"/>
        <v>4</v>
      </c>
      <c r="Z41" s="40">
        <v>0</v>
      </c>
      <c r="AA41" s="40">
        <v>472</v>
      </c>
      <c r="AB41" s="41">
        <f t="shared" si="2"/>
        <v>472</v>
      </c>
      <c r="AC41" s="42">
        <v>0</v>
      </c>
      <c r="AD41" s="43">
        <v>0.4</v>
      </c>
      <c r="AE41" s="44">
        <f t="shared" si="3"/>
        <v>0.4</v>
      </c>
    </row>
    <row r="42" customHeight="1" spans="1:31">
      <c r="A42" s="29">
        <v>12387</v>
      </c>
      <c r="B42" s="30" t="s">
        <v>149</v>
      </c>
      <c r="C42" s="31">
        <v>46105</v>
      </c>
      <c r="D42" s="31">
        <v>46125</v>
      </c>
      <c r="E42" s="31" t="s">
        <v>30</v>
      </c>
      <c r="F42" s="31" t="s">
        <v>30</v>
      </c>
      <c r="G42" s="31" t="s">
        <v>31</v>
      </c>
      <c r="H42" s="32" t="s">
        <v>39</v>
      </c>
      <c r="I42" s="31" t="str" cm="1">
        <f t="array" ref="I42">_xlfn.IFS(S42="未出单","低占比-未出单",AE42&lt;-10%,"低占比-占比下滑多",AB42&lt;-200,"低占比-销售额下滑",V42&lt;0,"低占比-销量下滑",Q42&lt;4,"低占比-低频分析",AND(AE42&gt;=0,AE42&lt;10%),"低占比-占比上升慢",TRUE,"低占比")</f>
        <v>低占比</v>
      </c>
      <c r="J42" s="31" t="s">
        <v>40</v>
      </c>
      <c r="K42" s="31"/>
      <c r="L42" s="31"/>
      <c r="M42" s="31"/>
      <c r="N42" s="33" t="s">
        <v>34</v>
      </c>
      <c r="O42" s="34" t="s">
        <v>150</v>
      </c>
      <c r="P42" s="35">
        <v>1</v>
      </c>
      <c r="Q42" s="36">
        <v>4</v>
      </c>
      <c r="R42" s="31" t="s">
        <v>74</v>
      </c>
      <c r="S42" s="37" t="s">
        <v>44</v>
      </c>
      <c r="T42" s="35">
        <v>0</v>
      </c>
      <c r="U42" s="36">
        <v>2</v>
      </c>
      <c r="V42" s="38">
        <f t="shared" si="0"/>
        <v>2</v>
      </c>
      <c r="W42" s="35">
        <v>7</v>
      </c>
      <c r="X42" s="36">
        <v>11</v>
      </c>
      <c r="Y42" s="39">
        <f t="shared" si="1"/>
        <v>4</v>
      </c>
      <c r="Z42" s="40">
        <v>0</v>
      </c>
      <c r="AA42" s="40">
        <v>70</v>
      </c>
      <c r="AB42" s="41">
        <f t="shared" si="2"/>
        <v>70</v>
      </c>
      <c r="AC42" s="42">
        <v>0</v>
      </c>
      <c r="AD42" s="43">
        <v>0.153846153846154</v>
      </c>
      <c r="AE42" s="44">
        <f t="shared" si="3"/>
        <v>0.153846153846154</v>
      </c>
    </row>
    <row r="43" customHeight="1" spans="1:31">
      <c r="A43" s="29">
        <v>12388</v>
      </c>
      <c r="B43" s="30" t="s">
        <v>151</v>
      </c>
      <c r="C43" s="31">
        <v>46105</v>
      </c>
      <c r="D43" s="31">
        <v>46125</v>
      </c>
      <c r="E43" s="31" t="s">
        <v>30</v>
      </c>
      <c r="F43" s="31" t="s">
        <v>30</v>
      </c>
      <c r="G43" s="31" t="s">
        <v>31</v>
      </c>
      <c r="H43" s="32" t="s">
        <v>39</v>
      </c>
      <c r="I43" s="31" t="str" cm="1">
        <f t="array" ref="I43">_xlfn.IFS(S43="未出单","低占比-未出单",AE43&lt;-10%,"低占比-占比下滑多",AB43&lt;-200,"低占比-销售额下滑",V43&lt;0,"低占比-销量下滑",Q43&lt;4,"低占比-低频分析",AND(AE43&gt;=0,AE43&lt;10%),"低占比-占比上升慢",TRUE,"低占比")</f>
        <v>低占比-占比上升慢</v>
      </c>
      <c r="J43" s="31" t="s">
        <v>40</v>
      </c>
      <c r="K43" s="31"/>
      <c r="L43" s="31"/>
      <c r="M43" s="31"/>
      <c r="N43" s="33" t="s">
        <v>34</v>
      </c>
      <c r="O43" s="34" t="s">
        <v>152</v>
      </c>
      <c r="P43" s="35">
        <v>1</v>
      </c>
      <c r="Q43" s="36">
        <v>4</v>
      </c>
      <c r="R43" s="31" t="s">
        <v>74</v>
      </c>
      <c r="S43" s="37" t="s">
        <v>44</v>
      </c>
      <c r="T43" s="35">
        <v>0</v>
      </c>
      <c r="U43" s="36">
        <v>1</v>
      </c>
      <c r="V43" s="38">
        <f t="shared" si="0"/>
        <v>1</v>
      </c>
      <c r="W43" s="35">
        <v>4</v>
      </c>
      <c r="X43" s="36">
        <v>10</v>
      </c>
      <c r="Y43" s="39">
        <f t="shared" si="1"/>
        <v>6</v>
      </c>
      <c r="Z43" s="40">
        <v>0</v>
      </c>
      <c r="AA43" s="40">
        <v>35</v>
      </c>
      <c r="AB43" s="41">
        <f t="shared" si="2"/>
        <v>35</v>
      </c>
      <c r="AC43" s="42">
        <v>0</v>
      </c>
      <c r="AD43" s="43">
        <v>0.0909090909090909</v>
      </c>
      <c r="AE43" s="44">
        <f t="shared" si="3"/>
        <v>0.0909090909090909</v>
      </c>
    </row>
    <row r="44" customHeight="1" spans="1:31">
      <c r="A44" s="29">
        <v>12386</v>
      </c>
      <c r="B44" s="30" t="s">
        <v>153</v>
      </c>
      <c r="C44" s="31">
        <v>46108</v>
      </c>
      <c r="D44" s="31">
        <v>46123</v>
      </c>
      <c r="E44" s="31" t="s">
        <v>30</v>
      </c>
      <c r="F44" s="31" t="s">
        <v>30</v>
      </c>
      <c r="G44" s="31" t="s">
        <v>38</v>
      </c>
      <c r="H44" s="32" t="s">
        <v>32</v>
      </c>
      <c r="I44" s="31" t="str" cm="1">
        <f t="array" ref="I44">_xlfn.IFS(S44="未出单","低占比-未出单",AE44&lt;-10%,"低占比-占比下滑多",AB44&lt;-200,"低占比-销售额下滑",V44&lt;0,"低占比-销量下滑",Q44&lt;4,"低占比-低频分析",AND(AE44&gt;=0,AE44&lt;10%),"低占比-占比上升慢",TRUE,"低占比")</f>
        <v>低占比-占比上升慢</v>
      </c>
      <c r="J44" s="31" t="s">
        <v>81</v>
      </c>
      <c r="K44" s="31"/>
      <c r="L44" s="31"/>
      <c r="M44" s="31"/>
      <c r="N44" s="33" t="s">
        <v>154</v>
      </c>
      <c r="O44" s="34" t="s">
        <v>155</v>
      </c>
      <c r="P44" s="35">
        <v>1</v>
      </c>
      <c r="Q44" s="36">
        <v>4</v>
      </c>
      <c r="R44" s="31" t="s">
        <v>74</v>
      </c>
      <c r="S44" s="37" t="s">
        <v>44</v>
      </c>
      <c r="T44" s="35">
        <v>0</v>
      </c>
      <c r="U44" s="36">
        <v>1</v>
      </c>
      <c r="V44" s="38">
        <f t="shared" si="0"/>
        <v>1</v>
      </c>
      <c r="W44" s="35">
        <v>2</v>
      </c>
      <c r="X44" s="36">
        <v>25</v>
      </c>
      <c r="Y44" s="39">
        <f t="shared" si="1"/>
        <v>23</v>
      </c>
      <c r="Z44" s="40">
        <v>0</v>
      </c>
      <c r="AA44" s="40">
        <v>30.59</v>
      </c>
      <c r="AB44" s="41">
        <f t="shared" si="2"/>
        <v>30.59</v>
      </c>
      <c r="AC44" s="42">
        <v>0</v>
      </c>
      <c r="AD44" s="43">
        <v>0.0384615384615385</v>
      </c>
      <c r="AE44" s="44">
        <f t="shared" si="3"/>
        <v>0.0384615384615385</v>
      </c>
    </row>
    <row r="45" customHeight="1" spans="1:31">
      <c r="A45" s="29">
        <v>12213</v>
      </c>
      <c r="B45" s="30" t="s">
        <v>156</v>
      </c>
      <c r="C45" s="31">
        <v>46108</v>
      </c>
      <c r="D45" s="31">
        <v>46114</v>
      </c>
      <c r="E45" s="31" t="s">
        <v>63</v>
      </c>
      <c r="F45" s="31" t="s">
        <v>55</v>
      </c>
      <c r="G45" s="31" t="s">
        <v>64</v>
      </c>
      <c r="H45" s="32" t="s">
        <v>39</v>
      </c>
      <c r="I45" s="31" t="str" cm="1">
        <f t="array" ref="I45">_xlfn.IFS(S45="未出单","低占比-未出单",AE45&lt;-10%,"低占比-占比下滑多",AB45&lt;-200,"低占比-销售额下滑",V45&lt;0,"低占比-销量下滑",Q45&lt;4,"低占比-低频分析",AND(AE45&gt;=0,AE45&lt;10%),"低占比-占比上升慢",TRUE,"低占比")</f>
        <v>低占比</v>
      </c>
      <c r="J45" s="31" t="s">
        <v>56</v>
      </c>
      <c r="K45" s="31"/>
      <c r="L45" s="31"/>
      <c r="M45" s="31"/>
      <c r="N45" s="33" t="s">
        <v>34</v>
      </c>
      <c r="O45" s="34" t="s">
        <v>157</v>
      </c>
      <c r="P45" s="35">
        <v>1</v>
      </c>
      <c r="Q45" s="36">
        <v>4</v>
      </c>
      <c r="R45" s="31" t="s">
        <v>74</v>
      </c>
      <c r="S45" s="37" t="s">
        <v>36</v>
      </c>
      <c r="T45" s="35">
        <v>0</v>
      </c>
      <c r="U45" s="36">
        <v>73</v>
      </c>
      <c r="V45" s="38">
        <f t="shared" si="0"/>
        <v>73</v>
      </c>
      <c r="W45" s="35">
        <v>10</v>
      </c>
      <c r="X45" s="36">
        <v>41</v>
      </c>
      <c r="Y45" s="39">
        <f t="shared" si="1"/>
        <v>31</v>
      </c>
      <c r="Z45" s="40">
        <v>0</v>
      </c>
      <c r="AA45" s="40">
        <v>2555</v>
      </c>
      <c r="AB45" s="41">
        <f t="shared" si="2"/>
        <v>2555</v>
      </c>
      <c r="AC45" s="42">
        <v>0</v>
      </c>
      <c r="AD45" s="43">
        <v>0.640350877192982</v>
      </c>
      <c r="AE45" s="44">
        <f t="shared" si="3"/>
        <v>0.640350877192982</v>
      </c>
    </row>
    <row r="46" customHeight="1" spans="1:31">
      <c r="A46" s="29">
        <v>12461</v>
      </c>
      <c r="B46" s="30" t="s">
        <v>158</v>
      </c>
      <c r="C46" s="31">
        <v>46119</v>
      </c>
      <c r="D46" s="31">
        <v>46124</v>
      </c>
      <c r="E46" s="31" t="s">
        <v>159</v>
      </c>
      <c r="F46" s="31" t="s">
        <v>30</v>
      </c>
      <c r="G46" s="31" t="s">
        <v>31</v>
      </c>
      <c r="H46" s="32" t="s">
        <v>32</v>
      </c>
      <c r="I46" s="31" t="str" cm="1">
        <f t="array" ref="I46">_xlfn.IFS(S46="未出单","低占比-未出单",AE46&lt;-10%,"低占比-占比下滑多",AB46&lt;-200,"低占比-销售额下滑",V46&lt;0,"低占比-销量下滑",Q46&lt;4,"低占比-低频分析",AND(AE46&gt;=0,AE46&lt;10%),"低占比-占比上升慢",TRUE,"低占比")</f>
        <v>低占比-低频分析</v>
      </c>
      <c r="J46" s="31" t="s">
        <v>40</v>
      </c>
      <c r="K46" s="31"/>
      <c r="L46" s="31"/>
      <c r="M46" s="31"/>
      <c r="N46" s="33" t="s">
        <v>34</v>
      </c>
      <c r="O46" s="34" t="s">
        <v>160</v>
      </c>
      <c r="P46" s="46" t="s">
        <v>159</v>
      </c>
      <c r="Q46" s="36">
        <v>2</v>
      </c>
      <c r="R46" s="31" t="s">
        <v>159</v>
      </c>
      <c r="S46" s="37" t="s">
        <v>36</v>
      </c>
      <c r="T46" s="46" t="s">
        <v>159</v>
      </c>
      <c r="U46" s="36">
        <v>9</v>
      </c>
      <c r="V46" s="38">
        <f t="shared" si="0"/>
        <v>9</v>
      </c>
      <c r="W46" s="46" t="s">
        <v>159</v>
      </c>
      <c r="X46" s="36">
        <v>12</v>
      </c>
      <c r="Y46" s="39">
        <f t="shared" si="1"/>
        <v>12</v>
      </c>
      <c r="Z46" s="31" t="s">
        <v>159</v>
      </c>
      <c r="AA46" s="40">
        <v>1071</v>
      </c>
      <c r="AB46" s="41">
        <f t="shared" si="2"/>
        <v>1071</v>
      </c>
      <c r="AC46" s="47" t="s">
        <v>159</v>
      </c>
      <c r="AD46" s="48">
        <v>0.428571428571429</v>
      </c>
      <c r="AE46" s="44">
        <f t="shared" si="3"/>
        <v>0.428571428571429</v>
      </c>
    </row>
    <row r="47" customHeight="1" spans="1:31">
      <c r="A47" s="29">
        <v>12489</v>
      </c>
      <c r="B47" s="30" t="s">
        <v>161</v>
      </c>
      <c r="C47" s="31">
        <v>46122</v>
      </c>
      <c r="D47" s="31">
        <v>46126</v>
      </c>
      <c r="E47" s="31" t="s">
        <v>159</v>
      </c>
      <c r="F47" s="31" t="s">
        <v>30</v>
      </c>
      <c r="G47" s="31" t="s">
        <v>72</v>
      </c>
      <c r="H47" s="32" t="s">
        <v>39</v>
      </c>
      <c r="I47" s="31" t="str" cm="1">
        <f t="array" ref="I47">_xlfn.IFS(S47="未出单","低占比-未出单",AE47&lt;-10%,"低占比-占比下滑多",AB47&lt;-200,"低占比-销售额下滑",V47&lt;0,"低占比-销量下滑",Q47&lt;4,"低占比-低频分析",AND(AE47&gt;=0,AE47&lt;10%),"低占比-占比上升慢",TRUE,"低占比")</f>
        <v>低占比-低频分析</v>
      </c>
      <c r="J47" s="31" t="s">
        <v>162</v>
      </c>
      <c r="K47" s="31"/>
      <c r="L47" s="31"/>
      <c r="M47" s="31"/>
      <c r="N47" s="33" t="s">
        <v>163</v>
      </c>
      <c r="O47" s="34" t="s">
        <v>164</v>
      </c>
      <c r="P47" s="46" t="s">
        <v>159</v>
      </c>
      <c r="Q47" s="36">
        <v>2</v>
      </c>
      <c r="R47" s="31" t="s">
        <v>159</v>
      </c>
      <c r="S47" s="37" t="s">
        <v>36</v>
      </c>
      <c r="T47" s="46" t="s">
        <v>159</v>
      </c>
      <c r="U47" s="36">
        <v>10</v>
      </c>
      <c r="V47" s="38">
        <f t="shared" si="0"/>
        <v>10</v>
      </c>
      <c r="W47" s="46" t="s">
        <v>159</v>
      </c>
      <c r="X47" s="36">
        <v>12</v>
      </c>
      <c r="Y47" s="39">
        <f t="shared" si="1"/>
        <v>12</v>
      </c>
      <c r="Z47" s="31" t="s">
        <v>159</v>
      </c>
      <c r="AA47" s="40">
        <v>450</v>
      </c>
      <c r="AB47" s="41">
        <f t="shared" si="2"/>
        <v>450</v>
      </c>
      <c r="AC47" s="47" t="s">
        <v>159</v>
      </c>
      <c r="AD47" s="48">
        <v>0.454545454545455</v>
      </c>
      <c r="AE47" s="44">
        <f t="shared" si="3"/>
        <v>0.454545454545455</v>
      </c>
    </row>
    <row r="48" customHeight="1" spans="1:31">
      <c r="A48" s="29">
        <v>12651</v>
      </c>
      <c r="B48" s="30" t="s">
        <v>165</v>
      </c>
      <c r="C48" s="31">
        <v>46140</v>
      </c>
      <c r="D48" s="31">
        <v>46142</v>
      </c>
      <c r="E48" s="31" t="s">
        <v>159</v>
      </c>
      <c r="F48" s="31" t="s">
        <v>55</v>
      </c>
      <c r="G48" s="31" t="s">
        <v>64</v>
      </c>
      <c r="H48" s="32" t="s">
        <v>39</v>
      </c>
      <c r="I48" s="31" t="str" cm="1">
        <f t="array" ref="I48">_xlfn.IFS(S48="未出单","低占比-未出单",AE48&lt;-10%,"低占比-占比下滑多",AB48&lt;-200,"低占比-销售额下滑",V48&lt;0,"低占比-销量下滑",Q48&lt;4,"低占比-低频分析",AND(AE48&gt;=0,AE48&lt;10%),"低占比-占比上升慢",TRUE,"低占比")</f>
        <v>低占比-低频分析</v>
      </c>
      <c r="J48" s="31" t="s">
        <v>121</v>
      </c>
      <c r="K48" s="31"/>
      <c r="L48" s="31"/>
      <c r="M48" s="31"/>
      <c r="N48" s="33" t="s">
        <v>166</v>
      </c>
      <c r="O48" s="34" t="s">
        <v>167</v>
      </c>
      <c r="P48" s="46" t="s">
        <v>159</v>
      </c>
      <c r="Q48" s="36">
        <v>1</v>
      </c>
      <c r="R48" s="31" t="s">
        <v>159</v>
      </c>
      <c r="S48" s="37" t="s">
        <v>36</v>
      </c>
      <c r="T48" s="46" t="s">
        <v>159</v>
      </c>
      <c r="U48" s="36">
        <v>2</v>
      </c>
      <c r="V48" s="38">
        <f t="shared" si="0"/>
        <v>2</v>
      </c>
      <c r="W48" s="46" t="s">
        <v>159</v>
      </c>
      <c r="X48" s="36">
        <v>5</v>
      </c>
      <c r="Y48" s="39">
        <f t="shared" si="1"/>
        <v>5</v>
      </c>
      <c r="Z48" s="31" t="s">
        <v>159</v>
      </c>
      <c r="AA48" s="40">
        <v>178</v>
      </c>
      <c r="AB48" s="41">
        <f t="shared" si="2"/>
        <v>178</v>
      </c>
      <c r="AC48" s="47" t="s">
        <v>159</v>
      </c>
      <c r="AD48" s="48">
        <v>0.285714285714286</v>
      </c>
      <c r="AE48" s="44">
        <f t="shared" si="3"/>
        <v>0.285714285714286</v>
      </c>
    </row>
    <row r="49" customHeight="1" spans="1:31">
      <c r="A49" s="29">
        <v>12590</v>
      </c>
      <c r="B49" s="30" t="s">
        <v>168</v>
      </c>
      <c r="C49" s="31">
        <v>46141</v>
      </c>
      <c r="D49" s="31">
        <v>46143</v>
      </c>
      <c r="E49" s="31" t="s">
        <v>159</v>
      </c>
      <c r="F49" s="31" t="s">
        <v>29</v>
      </c>
      <c r="G49" s="31" t="s">
        <v>31</v>
      </c>
      <c r="H49" s="32" t="s">
        <v>39</v>
      </c>
      <c r="I49" s="31" t="str" cm="1">
        <f t="array" ref="I49">_xlfn.IFS(S49="未出单","低占比-未出单",AE49&lt;-10%,"低占比-占比下滑多",AB49&lt;-200,"低占比-销售额下滑",V49&lt;0,"低占比-销量下滑",Q49&lt;4,"低占比-低频分析",AND(AE49&gt;=0,AE49&lt;10%),"低占比-占比上升慢",TRUE,"低占比")</f>
        <v>低占比-低频分析</v>
      </c>
      <c r="J49" s="31" t="s">
        <v>65</v>
      </c>
      <c r="K49" s="31"/>
      <c r="L49" s="31"/>
      <c r="M49" s="31"/>
      <c r="N49" s="33" t="s">
        <v>169</v>
      </c>
      <c r="O49" s="31" t="s">
        <v>170</v>
      </c>
      <c r="P49" s="46" t="s">
        <v>159</v>
      </c>
      <c r="Q49" s="36">
        <v>1</v>
      </c>
      <c r="R49" s="31" t="s">
        <v>159</v>
      </c>
      <c r="S49" s="37" t="s">
        <v>36</v>
      </c>
      <c r="T49" s="46" t="s">
        <v>159</v>
      </c>
      <c r="U49" s="36">
        <v>0</v>
      </c>
      <c r="V49" s="38">
        <f t="shared" si="0"/>
        <v>0</v>
      </c>
      <c r="W49" s="46" t="s">
        <v>159</v>
      </c>
      <c r="X49" s="36">
        <v>2</v>
      </c>
      <c r="Y49" s="39">
        <f t="shared" si="1"/>
        <v>2</v>
      </c>
      <c r="Z49" s="31" t="s">
        <v>159</v>
      </c>
      <c r="AA49" s="40">
        <v>0</v>
      </c>
      <c r="AB49" s="41">
        <f t="shared" si="2"/>
        <v>0</v>
      </c>
      <c r="AC49" s="47" t="s">
        <v>159</v>
      </c>
      <c r="AD49" s="48">
        <v>0</v>
      </c>
      <c r="AE49" s="44">
        <f t="shared" si="3"/>
        <v>0</v>
      </c>
    </row>
    <row r="50" customHeight="1" spans="1:31">
      <c r="A50" s="29">
        <v>12586</v>
      </c>
      <c r="B50" s="30" t="s">
        <v>171</v>
      </c>
      <c r="C50" s="31">
        <v>46141</v>
      </c>
      <c r="D50" s="31">
        <v>46142</v>
      </c>
      <c r="E50" s="31" t="s">
        <v>159</v>
      </c>
      <c r="F50" s="31" t="s">
        <v>46</v>
      </c>
      <c r="G50" s="31" t="s">
        <v>64</v>
      </c>
      <c r="H50" s="32" t="s">
        <v>39</v>
      </c>
      <c r="I50" s="31" t="str" cm="1">
        <f t="array" ref="I50">_xlfn.IFS(S50="未出单","低占比-未出单",AE50&lt;-10%,"低占比-占比下滑多",AB50&lt;-200,"低占比-销售额下滑",V50&lt;0,"低占比-销量下滑",Q50&lt;4,"低占比-低频分析",AND(AE50&gt;=0,AE50&lt;10%),"低占比-占比上升慢",TRUE,"低占比")</f>
        <v>低占比-低频分析</v>
      </c>
      <c r="J50" s="31" t="s">
        <v>40</v>
      </c>
      <c r="K50" s="31"/>
      <c r="L50" s="31"/>
      <c r="M50" s="31"/>
      <c r="N50" s="33" t="s">
        <v>34</v>
      </c>
      <c r="O50" s="45" t="s">
        <v>172</v>
      </c>
      <c r="P50" s="46" t="s">
        <v>159</v>
      </c>
      <c r="Q50" s="36">
        <v>1</v>
      </c>
      <c r="R50" s="31" t="s">
        <v>159</v>
      </c>
      <c r="S50" s="37" t="s">
        <v>36</v>
      </c>
      <c r="T50" s="46" t="s">
        <v>159</v>
      </c>
      <c r="U50" s="36">
        <v>1</v>
      </c>
      <c r="V50" s="38">
        <f t="shared" si="0"/>
        <v>1</v>
      </c>
      <c r="W50" s="46" t="s">
        <v>159</v>
      </c>
      <c r="X50" s="36">
        <v>1</v>
      </c>
      <c r="Y50" s="39">
        <f t="shared" si="1"/>
        <v>1</v>
      </c>
      <c r="Z50" s="31" t="s">
        <v>159</v>
      </c>
      <c r="AA50" s="40">
        <v>70</v>
      </c>
      <c r="AB50" s="41">
        <f t="shared" si="2"/>
        <v>70</v>
      </c>
      <c r="AC50" s="47" t="s">
        <v>159</v>
      </c>
      <c r="AD50" s="48">
        <v>0.5</v>
      </c>
      <c r="AE50" s="44">
        <f t="shared" si="3"/>
        <v>0.5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E50" etc:filterBottomFollowUsedRange="1">
    <extLst/>
  </autoFilter>
  <conditionalFormatting sqref="Q$1:Q$1048576">
    <cfRule type="cellIs" dxfId="0" priority="3" operator="lessThan">
      <formula>4</formula>
    </cfRule>
  </conditionalFormatting>
  <conditionalFormatting sqref="S$1:S$1048576">
    <cfRule type="containsText" dxfId="1" priority="1" operator="between" text="未出单">
      <formula>NOT(ISERROR(SEARCH("未出单",S1)))</formula>
    </cfRule>
  </conditionalFormatting>
  <conditionalFormatting sqref="Y2:Y1048576">
    <cfRule type="cellIs" dxfId="0" priority="2" operator="greaterThan">
      <formula>0</formula>
    </cfRule>
  </conditionalFormatting>
  <conditionalFormatting sqref="AE$1:AE$1048576">
    <cfRule type="cellIs" dxfId="0" priority="4" operator="lessThan">
      <formula>0</formula>
    </cfRule>
  </conditionalFormatting>
  <dataValidations count="6">
    <dataValidation allowBlank="1" showInputMessage="1" showErrorMessage="1" sqref="J1:M1"/>
    <dataValidation type="list" allowBlank="1" showInputMessage="1" showErrorMessage="1" sqref="J2:J1048576">
      <formula1>#REF!</formula1>
    </dataValidation>
    <dataValidation type="list" allowBlank="1" showInputMessage="1" showErrorMessage="1" sqref="K2:K1048576">
      <formula1>#REF!</formula1>
    </dataValidation>
    <dataValidation type="list" allowBlank="1" showInputMessage="1" showErrorMessage="1" sqref="L2:L1048576">
      <formula1>#REF!</formula1>
    </dataValidation>
    <dataValidation type="list" allowBlank="1" showInputMessage="1" showErrorMessage="1" sqref="M2:M1048576">
      <formula1>#REF!</formula1>
    </dataValidation>
    <dataValidation type="list" allowBlank="1" showInputMessage="1" showErrorMessage="1" errorTitle="错误提示" error="请输入下拉列表中的值" id="{5bad5da1-8c30-4a4d-bbf1-2b0980390471}" sqref="N2:N1048576">
      <formula1>#REF!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dvExts xmlns="http://www.wps.cn/et/2023/dataValidationExt" xmlns:s="http://schemas.openxmlformats.org/spreadsheetml/2006/main">
  <dvExt uuid="{5bad5da1-8c30-4a4d-bbf1-2b0980390471}">
    <list multiSupport="1" colorSupport="0"/>
  </dvExt>
</dvExts>
</file>

<file path=customXml/item2.xml>���\qf��30)Y�e�T[{	�NO`S�k�e�T�\qf�e�Q
N�g�e�TR�g����!k�e�f�eg�epenc�~r�W[SO- 7�e�c��
�~r�W[SO- 'Y�N7�e�c��
N�gS_�e���ۏL��
N�g�h�gt��
N!k�e1\����S�e��*��!k�eOo`�ed�Y	�!k�e�f�eg�epenc�~r�W[SO- 7�e�c��
�~r�W[SO- 'Y�N7�e�c��
N�gS_�e���ۏL��
N�g�h�gt��
N!k�e1\����S�e��*��!k�eOo`�ed�Y	�
</file>

<file path=customXml/item3.xml>��f�T�p _Go1g�W�n_8^�srP�m�zO��ON�e�srP�m1g�W�n _Go1g�W�n�zO��ON�e*g�QUS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/>
</ds:datastoreItem>
</file>

<file path=customXml/itemProps5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4月低占比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2025-10-19T17:11:00Z</dcterms:created>
  <dcterms:modified xsi:type="dcterms:W3CDTF">2026-06-09T01:17:17Z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CAFEFC8F3D3142E1BC3631829395D0EE_13</vt:lpwstr>
  </property>
  <property fmtid="{D5CDD505-2E9C-101B-9397-08002B2CF9AE}" pid="3" name="KSOProductBuildVer">
    <vt:lpwstr>2052-12.1.0.26884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