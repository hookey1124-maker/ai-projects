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/>
  </bookViews>
  <sheets>
    <sheet name="字段说明" sheetId="1" r:id="rId1"/>
    <sheet name="四三数据累计" sheetId="2" r:id="rId2"/>
    <sheet name="PLP明细" sheetId="3" r:id="rId3"/>
    <sheet name="四三销售数据" sheetId="4" r:id="rId4"/>
    <sheet name="自然周销售数据" sheetId="5" r:id="rId5"/>
  </sheets>
  <externalReferences>
    <externalReference r:id="rId6"/>
    <externalReference r:id="rId7"/>
  </externalReferences>
  <definedNames>
    <definedName name="_xlnm._FilterDatabase" localSheetId="1" hidden="1">四三数据累计!$A$1:$EU$141</definedName>
    <definedName name="_xlnm._FilterDatabase" localSheetId="4" hidden="1">自然周销售数据!$A$1:$D$867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<sst xmlns="http://schemas.openxmlformats.org/spreadsheetml/2006/main" count="13802" uniqueCount="1645">
  <si>
    <t>Sheet</t>
  </si>
  <si>
    <t>字段名(列)</t>
  </si>
  <si>
    <t>是否必填</t>
  </si>
  <si>
    <t>说明</t>
  </si>
  <si>
    <t>示例值</t>
  </si>
  <si>
    <t>对应React数据块</t>
  </si>
  <si>
    <t>四三数据累计</t>
  </si>
  <si>
    <t>销售编号(0)</t>
  </si>
  <si>
    <t>是</t>
  </si>
  <si>
    <t>唯一销售编号，整数</t>
  </si>
  <si>
    <t>12073</t>
  </si>
  <si>
    <t>cum43Data[].saleNo</t>
  </si>
  <si>
    <t>SKU(1)</t>
  </si>
  <si>
    <t>产品SKU编码</t>
  </si>
  <si>
    <t>LYAP-X1658</t>
  </si>
  <si>
    <t>cum43Data[].SKU</t>
  </si>
  <si>
    <t>上架日期(2)</t>
  </si>
  <si>
    <t>实际的上架日期 YYYY-MM-DD</t>
  </si>
  <si>
    <t>2026-03-04</t>
  </si>
  <si>
    <t>cum43Data[].listDate</t>
  </si>
  <si>
    <t>首次出单日期(3)</t>
  </si>
  <si>
    <t>首次出单日期 YYYY-MM-DD</t>
  </si>
  <si>
    <t>2026-03-12</t>
  </si>
  <si>
    <t>cum43Data[].firstOrderDate</t>
  </si>
  <si>
    <t>分析人(4)</t>
  </si>
  <si>
    <t>6人: 俞东旭/张潇/朱培源/王偲涵/章鹏/胡煜星</t>
  </si>
  <si>
    <t>俞东旭</t>
  </si>
  <si>
    <t>cum43Data[].analyst</t>
  </si>
  <si>
    <t>品类(5)</t>
  </si>
  <si>
    <t>7类: 车门系统/车身外扩件/挡泥板/机盖及附件/牌照板支架/其他/饰条</t>
  </si>
  <si>
    <t>车门系统</t>
  </si>
  <si>
    <t>cum43Data[].category</t>
  </si>
  <si>
    <t>拓展类型(6)</t>
  </si>
  <si>
    <t>原开品/拓展品/组合件</t>
  </si>
  <si>
    <t>原开品</t>
  </si>
  <si>
    <t>cum43Data[].expandType</t>
  </si>
  <si>
    <t>销量_本周(18)</t>
  </si>
  <si>
    <t>当前周销量（整数），新周追加列时改C映射</t>
  </si>
  <si>
    <t>231</t>
  </si>
  <si>
    <t>cum43Data[].curSalesQty</t>
  </si>
  <si>
    <t>对手销量_本周(44)</t>
  </si>
  <si>
    <t>截止上日的对手总销量</t>
  </si>
  <si>
    <t>5</t>
  </si>
  <si>
    <t>cum43Data[].curRivalQty</t>
  </si>
  <si>
    <t>市占比_本周(56)</t>
  </si>
  <si>
    <t>48.2</t>
  </si>
  <si>
    <t>cum43Data[].curMarketShare</t>
  </si>
  <si>
    <t>8日出单_本周(80)</t>
  </si>
  <si>
    <t>Y=8日内出单, N=8日外出单, 空=未出单</t>
  </si>
  <si>
    <t>Y</t>
  </si>
  <si>
    <t>cum43Data[].cur8dStatus</t>
  </si>
  <si>
    <t>市场状态_本周(117)</t>
  </si>
  <si>
    <t>正常/竞争无优势/无市场/站外出单</t>
  </si>
  <si>
    <t>正常</t>
  </si>
  <si>
    <t>cum43Data[].curMarketStatus</t>
  </si>
  <si>
    <t>运作判断_本周(129)</t>
  </si>
  <si>
    <t>否</t>
  </si>
  <si>
    <t>运作状态文字判断</t>
  </si>
  <si>
    <t>无异常</t>
  </si>
  <si>
    <t>cum43Data[].curOperation</t>
  </si>
  <si>
    <t>PLP开启(136)</t>
  </si>
  <si>
    <t>本周是否开启PLP广告 Y/N</t>
  </si>
  <si>
    <t>N</t>
  </si>
  <si>
    <t>cum43Data[].plpEnabled</t>
  </si>
  <si>
    <t>PLG费率(144)</t>
  </si>
  <si>
    <t>PLG最高费率 百分比字符串</t>
  </si>
  <si>
    <t>2.0%</t>
  </si>
  <si>
    <t>cum43Data[].plgFee</t>
  </si>
  <si>
    <t>PLP明细</t>
  </si>
  <si>
    <t>周期(0)</t>
  </si>
  <si>
    <t>自然周 Mon-Sun 如 5.18-5.24</t>
  </si>
  <si>
    <t>5.18-5.24</t>
  </si>
  <si>
    <t>plpDetailData[].period</t>
  </si>
  <si>
    <t>广告系列(1)</t>
  </si>
  <si>
    <t>广告系列名称</t>
  </si>
  <si>
    <t>LYAM-X2428-C~俞东旭</t>
  </si>
  <si>
    <t>plpDetailData[].campaign</t>
  </si>
  <si>
    <t>SKU(2)</t>
  </si>
  <si>
    <t>LYAM-X2428-C</t>
  </si>
  <si>
    <t>plpDetailData[].SKU</t>
  </si>
  <si>
    <t>曝光量(11)</t>
  </si>
  <si>
    <t>广告曝光次数</t>
  </si>
  <si>
    <t>794</t>
  </si>
  <si>
    <t>plpDetailData[].impressions</t>
  </si>
  <si>
    <t>点击量(12)</t>
  </si>
  <si>
    <t>广告点击次数</t>
  </si>
  <si>
    <t>9</t>
  </si>
  <si>
    <t>plpDetailData[].clicks</t>
  </si>
  <si>
    <t>售出件数(13)</t>
  </si>
  <si>
    <t>广告售出件数</t>
  </si>
  <si>
    <t>1</t>
  </si>
  <si>
    <t>plpDetailData[].salesQty</t>
  </si>
  <si>
    <t>花费(14)</t>
  </si>
  <si>
    <t>广告花费 USD</t>
  </si>
  <si>
    <t>5.09</t>
  </si>
  <si>
    <t>plpDetailData[].spend</t>
  </si>
  <si>
    <t>广告销售额(15)</t>
  </si>
  <si>
    <t>广告带来的销售额 USD</t>
  </si>
  <si>
    <t>133.44</t>
  </si>
  <si>
    <t>plpDetailData[].adRevenue</t>
  </si>
  <si>
    <t>总销售额(16)</t>
  </si>
  <si>
    <t>该SKU总销售额 USD（跨活动去重）</t>
  </si>
  <si>
    <t>250.00</t>
  </si>
  <si>
    <t>plpDetailData[].totalRevenue</t>
  </si>
  <si>
    <t>ROAS(17)</t>
  </si>
  <si>
    <t>广告销售额/花费</t>
  </si>
  <si>
    <t>26.22</t>
  </si>
  <si>
    <t>plpDetailData[].roas</t>
  </si>
  <si>
    <t>ACOS(22)</t>
  </si>
  <si>
    <t>花费/广告销售额 **0-1小数**</t>
  </si>
  <si>
    <t>0.0381</t>
  </si>
  <si>
    <t>plpDetailData[].acos</t>
  </si>
  <si>
    <t>ACOAS(23)</t>
  </si>
  <si>
    <t>花费/总销售额 **0-1小数**</t>
  </si>
  <si>
    <t>0.0204</t>
  </si>
  <si>
    <t>plpDetailData[].acoas</t>
  </si>
  <si>
    <t>⚠️ 百分比规则</t>
  </si>
  <si>
    <t>汇总表 share/acos/acoas/cvr</t>
  </si>
  <si>
    <t>-</t>
  </si>
  <si>
    <t>Python端已×100输出百分数；React端不再×100</t>
  </si>
  <si>
    <t>48.2(不是0.482)</t>
  </si>
  <si>
    <t>categoryRevenueData[]</t>
  </si>
  <si>
    <t>PLP明细表 acos/acoas/cvr/ctr</t>
  </si>
  <si>
    <t>保持0-1小数，React端渲染时×100</t>
  </si>
  <si>
    <t>0.0381→3.81%</t>
  </si>
  <si>
    <t>plpDetailData[]</t>
  </si>
  <si>
    <t>PLP/PLG汇总表 acos/cvr/cpc</t>
  </si>
  <si>
    <t>已是格式化字符串("11.31%")，React端直接透传</t>
  </si>
  <si>
    <t>"11.31%"</t>
  </si>
  <si>
    <t>plpAnalysts[]</t>
  </si>
  <si>
    <t>所有市占比字段</t>
  </si>
  <si>
    <t>52.6→52.6%</t>
  </si>
  <si>
    <t>totalShare4w[]</t>
  </si>
  <si>
    <t>通用</t>
  </si>
  <si>
    <t>销售额</t>
  </si>
  <si>
    <t>所有销售额为USD原值，禁止货币转换</t>
  </si>
  <si>
    <t/>
  </si>
  <si>
    <t>低占比定义</t>
  </si>
  <si>
    <t>市占比&lt;75% 且 对手销量&gt;0</t>
  </si>
  <si>
    <t>ACOAS去重</t>
  </si>
  <si>
    <t>计算ACOAS时totalRevenue按SKU去重</t>
  </si>
  <si>
    <t>分析人(6人)</t>
  </si>
  <si>
    <t>俞东旭/张潇/朱培源/王偲涵/章鹏/胡煜星</t>
  </si>
  <si>
    <t>品类(7类)</t>
  </si>
  <si>
    <t>车门系统/车身外扩件/挡泥板/机盖及附件/牌照板支架/其他/饰条</t>
  </si>
  <si>
    <t>私区数据</t>
  </si>
  <si>
    <t>追踪间隔</t>
  </si>
  <si>
    <t>8日出单情况</t>
  </si>
  <si>
    <t>N/Y/未出单/本期不分析(减少分析频次)</t>
  </si>
  <si>
    <t>未出单</t>
  </si>
  <si>
    <t>7日频次标签</t>
  </si>
  <si>
    <t>正常/异常/本期不分析(减少分析频次)</t>
  </si>
  <si>
    <t>异常</t>
  </si>
  <si>
    <t>上架8日内新品频次标签</t>
  </si>
  <si>
    <t>市场状态</t>
  </si>
  <si>
    <t>正常/无市场/站外出单/站内无价格优势/竞争无优势</t>
  </si>
  <si>
    <t>站外出单</t>
  </si>
  <si>
    <t>操作判断</t>
  </si>
  <si>
    <t>降价测试-市场无对手/降价测试-市场有低价对手出单/广告-PLG/广告-PLP/链接优化/无调整/8日新品优化</t>
  </si>
  <si>
    <t>广告-PLP</t>
  </si>
  <si>
    <t>销售编号</t>
  </si>
  <si>
    <t>SKU</t>
  </si>
  <si>
    <t>实际上架日期</t>
  </si>
  <si>
    <t>首次出单日期</t>
  </si>
  <si>
    <t>5月分析人</t>
  </si>
  <si>
    <t>品类</t>
  </si>
  <si>
    <t>产品拓展</t>
  </si>
  <si>
    <t>3.5-3.11销量</t>
  </si>
  <si>
    <t>3.12-3.18销量</t>
  </si>
  <si>
    <t>3.19-3.25销量</t>
  </si>
  <si>
    <t>3.26-4.1销量</t>
  </si>
  <si>
    <t>4.2-4.8销量</t>
  </si>
  <si>
    <t>4.9-4.15销量</t>
  </si>
  <si>
    <t>4.16-4.22销量</t>
  </si>
  <si>
    <t>4.23-4.29销量</t>
  </si>
  <si>
    <t>4.30-5.6销量</t>
  </si>
  <si>
    <t>5.7-5.13销量</t>
  </si>
  <si>
    <t>5.14-5.20销量</t>
  </si>
  <si>
    <t>5.21-5.27销量</t>
  </si>
  <si>
    <t>环比</t>
  </si>
  <si>
    <t>3.5-3.11销售额</t>
  </si>
  <si>
    <t>3.12-3.18销售额</t>
  </si>
  <si>
    <t>3.19-3.25销售额</t>
  </si>
  <si>
    <t>3.26-4.1销售额</t>
  </si>
  <si>
    <t>4.2-4.8销售额</t>
  </si>
  <si>
    <t>4.9-4.15销售额</t>
  </si>
  <si>
    <t>4.16-4.22销售额</t>
  </si>
  <si>
    <t>4.23-4.29销售额</t>
  </si>
  <si>
    <t>4.30-5.6销售额</t>
  </si>
  <si>
    <t>5.7-5.13销售额</t>
  </si>
  <si>
    <t>5.14-5.20销售额</t>
  </si>
  <si>
    <t>5.21-5.27销售额</t>
  </si>
  <si>
    <t>3.11对手销量</t>
  </si>
  <si>
    <t>3.18对手销量</t>
  </si>
  <si>
    <t>3.25对手销量</t>
  </si>
  <si>
    <t>4.1对手销量</t>
  </si>
  <si>
    <t>4.8对手销量</t>
  </si>
  <si>
    <t>4.15对手销量</t>
  </si>
  <si>
    <t>4.22对手销量</t>
  </si>
  <si>
    <t>4.29对手销量</t>
  </si>
  <si>
    <t>5.6对手销量</t>
  </si>
  <si>
    <t>5.13对手销量</t>
  </si>
  <si>
    <t>5.20对手销量</t>
  </si>
  <si>
    <t>5.27对手销量</t>
  </si>
  <si>
    <t>3.11市占比</t>
  </si>
  <si>
    <t>3.18市占比</t>
  </si>
  <si>
    <t>3.25市占比</t>
  </si>
  <si>
    <t>4.1市占比</t>
  </si>
  <si>
    <t>4.8市占比</t>
  </si>
  <si>
    <t>4.15市占比</t>
  </si>
  <si>
    <t>4.22市占比</t>
  </si>
  <si>
    <t>4.29市占比</t>
  </si>
  <si>
    <t>5.6市占比</t>
  </si>
  <si>
    <t>5.13市占比</t>
  </si>
  <si>
    <t>5.20市占比</t>
  </si>
  <si>
    <t>5.27市占比</t>
  </si>
  <si>
    <t>3.11追踪间隔</t>
  </si>
  <si>
    <t>3.18追踪间隔</t>
  </si>
  <si>
    <t>3.25追踪间隔</t>
  </si>
  <si>
    <t>4.1追踪间隔</t>
  </si>
  <si>
    <t>4.8追踪间隔</t>
  </si>
  <si>
    <t>4.15追踪间隔</t>
  </si>
  <si>
    <t>4.22追踪间隔</t>
  </si>
  <si>
    <t>4.29追踪间隔</t>
  </si>
  <si>
    <t>5.6追踪间隔</t>
  </si>
  <si>
    <t>5.13追踪间隔</t>
  </si>
  <si>
    <t>5.20追踪间隔</t>
  </si>
  <si>
    <t>5.27追踪间隔</t>
  </si>
  <si>
    <t>3.11 8日出单情况</t>
  </si>
  <si>
    <t>3.18 8日出单情况</t>
  </si>
  <si>
    <t>3.25 8日出单情况</t>
  </si>
  <si>
    <t>4.1 8日出单情况</t>
  </si>
  <si>
    <t>4.8 8日出单情况</t>
  </si>
  <si>
    <t>4.15 8日出单情况</t>
  </si>
  <si>
    <t>4.22 8日出单情况</t>
  </si>
  <si>
    <t>4.29 8日出单情况</t>
  </si>
  <si>
    <t>5.6 8日出单情况</t>
  </si>
  <si>
    <t>5.13 8日出单情况</t>
  </si>
  <si>
    <t>5.20  8日出单情况</t>
  </si>
  <si>
    <t>5.27  8日出单情况</t>
  </si>
  <si>
    <t>3.11 7日频次标签</t>
  </si>
  <si>
    <t>3.18 7日频次标签</t>
  </si>
  <si>
    <t>3.25 7日频次标签</t>
  </si>
  <si>
    <t>4.1 7日频次标签</t>
  </si>
  <si>
    <t>4.8 7日频次标签</t>
  </si>
  <si>
    <t>4.15 7日频次标签</t>
  </si>
  <si>
    <t>4.22 7日频次标签</t>
  </si>
  <si>
    <t>4.29 7日频次标签</t>
  </si>
  <si>
    <t>5.6 7日频次标签</t>
  </si>
  <si>
    <t>5.13 7日频次标签</t>
  </si>
  <si>
    <t>5.20 7日频次标签</t>
  </si>
  <si>
    <t>5.27  7日频次标签</t>
  </si>
  <si>
    <t>3.11 上架8日内新品频次标签</t>
  </si>
  <si>
    <t>3.18 上架8日内新品频次标签</t>
  </si>
  <si>
    <t>3.25 上架8日内新品频次标签</t>
  </si>
  <si>
    <t>4.1 上架8日内新品频次标签</t>
  </si>
  <si>
    <t>4.8 上架8日内新品频次标签</t>
  </si>
  <si>
    <t>4.15 上架8日内新品频次标签</t>
  </si>
  <si>
    <t>4.22 上架8日内新品频次标签</t>
  </si>
  <si>
    <t>4.29 上架8日内新品频次标签</t>
  </si>
  <si>
    <t>5.6 上架8日内新品频次标签</t>
  </si>
  <si>
    <t>5.13上架8日内新品频次标签</t>
  </si>
  <si>
    <t>5.20上架8日内新品频次标签</t>
  </si>
  <si>
    <t>5.27上架8日内新品频次标签</t>
  </si>
  <si>
    <t>3.4市场状态</t>
  </si>
  <si>
    <t>3.11市场状态</t>
  </si>
  <si>
    <t>3.18市场状态</t>
  </si>
  <si>
    <t>3.25市场状态</t>
  </si>
  <si>
    <t>4.1市场状态</t>
  </si>
  <si>
    <t>4.8市场状态</t>
  </si>
  <si>
    <t>4.15市场状态</t>
  </si>
  <si>
    <t>4.22市场状态</t>
  </si>
  <si>
    <t>4.29市场状态</t>
  </si>
  <si>
    <t>5.6市场状态</t>
  </si>
  <si>
    <t>5.13市场状态</t>
  </si>
  <si>
    <t>5.20市场状态</t>
  </si>
  <si>
    <t>5.27市场状态</t>
  </si>
  <si>
    <t>3.5-3.11操作判断</t>
  </si>
  <si>
    <t>3.12-3.18操作判断</t>
  </si>
  <si>
    <t>3.19-3.25操作判断</t>
  </si>
  <si>
    <t>3.26-4.1操作判断</t>
  </si>
  <si>
    <t>4.2-4.8操作判断</t>
  </si>
  <si>
    <t>4.9-4.15操作判断</t>
  </si>
  <si>
    <t>4.16-4.22操作判断</t>
  </si>
  <si>
    <t>4.23-4.29操作判断</t>
  </si>
  <si>
    <t>4.30-5.6操作判断</t>
  </si>
  <si>
    <t>5.7-5.13操作判断</t>
  </si>
  <si>
    <t>5.14-5.20操作判断</t>
  </si>
  <si>
    <t>5.21-5.27操作判断</t>
  </si>
  <si>
    <t>4.9-4.15开启PLP</t>
  </si>
  <si>
    <t>4.16-4.22开启PLP</t>
  </si>
  <si>
    <t>4.23-4.29开启PLP</t>
  </si>
  <si>
    <t>4.30-5.6开启PLP</t>
  </si>
  <si>
    <t>5.4-5.10开启PLP</t>
  </si>
  <si>
    <t>5.11-5.17开启PLP</t>
  </si>
  <si>
    <t>5.18-5.24开启PLP</t>
  </si>
  <si>
    <t>5.18-5.24PLP广告花费</t>
  </si>
  <si>
    <t>5.18-5.24PLP广告销售额</t>
  </si>
  <si>
    <t>4.16-4.22PLG最高费率</t>
  </si>
  <si>
    <t>4.23-4.29PLG最高费率</t>
  </si>
  <si>
    <t>4.30-5.6PLG最高费率</t>
  </si>
  <si>
    <t>5.4-5.10PLG最高费率</t>
  </si>
  <si>
    <t>5.11-5.17PLG最高费率</t>
  </si>
  <si>
    <t>5.18-5.24PLG最高费率</t>
  </si>
  <si>
    <t>5.18-5.24PLG广告花费</t>
  </si>
  <si>
    <t>5.18-5.24PLG广告销售额</t>
  </si>
  <si>
    <t>市场无出单</t>
  </si>
  <si>
    <t>无市场</t>
  </si>
  <si>
    <t>未分析</t>
  </si>
  <si>
    <t>LYAP-X1658L</t>
  </si>
  <si>
    <t>无调整</t>
  </si>
  <si>
    <t>LYAP-X1658R</t>
  </si>
  <si>
    <t>LYAP-X1800-1</t>
  </si>
  <si>
    <t>竞争无优势</t>
  </si>
  <si>
    <t>广告-PLG</t>
  </si>
  <si>
    <t>链接优化</t>
  </si>
  <si>
    <t>本期不分析</t>
  </si>
  <si>
    <t>LYAP-X1877</t>
  </si>
  <si>
    <t>LYAP-X2528</t>
  </si>
  <si>
    <t>LYAM-X2254-L</t>
  </si>
  <si>
    <t>站内无价格优势</t>
  </si>
  <si>
    <t>LYAM-X2980-BK</t>
  </si>
  <si>
    <t>8日新品优化</t>
  </si>
  <si>
    <t>LYAM-X2980-GR</t>
  </si>
  <si>
    <t>不分析</t>
  </si>
  <si>
    <t>LYAP-X2308</t>
  </si>
  <si>
    <t>LYAP-X2527</t>
  </si>
  <si>
    <t>LYAP-X1800S-1L</t>
  </si>
  <si>
    <t>未上架</t>
  </si>
  <si>
    <t>LYAP-X1800S-1R</t>
  </si>
  <si>
    <t>LYAM-X2896</t>
  </si>
  <si>
    <t>降价测试-市场无对手</t>
  </si>
  <si>
    <t>LYAP-X2170</t>
  </si>
  <si>
    <t>LYAP-X2190-L</t>
  </si>
  <si>
    <t>LYAP-X2190-R</t>
  </si>
  <si>
    <t>LYAP-X1642-GR</t>
  </si>
  <si>
    <t>LYAP-X1911-BK</t>
  </si>
  <si>
    <t>LYAP-X1911-C</t>
  </si>
  <si>
    <t>LYAP-X1927</t>
  </si>
  <si>
    <t>LYAP-X1934</t>
  </si>
  <si>
    <t>LYAP-X2148-1L</t>
  </si>
  <si>
    <t>LYAP-X2148-1R</t>
  </si>
  <si>
    <t>LYAP-X2289</t>
  </si>
  <si>
    <t>LYAP-X2418</t>
  </si>
  <si>
    <t>MD-002-FL</t>
  </si>
  <si>
    <t>MD-002-FR</t>
  </si>
  <si>
    <t>MD-002-RL</t>
  </si>
  <si>
    <t>MD-002-RR</t>
  </si>
  <si>
    <t>LYAM-X2862</t>
  </si>
  <si>
    <t>LYAP-X1651-1L</t>
  </si>
  <si>
    <t>LYAP-X1651-1R</t>
  </si>
  <si>
    <t>LYAP-X1676</t>
  </si>
  <si>
    <t>LYAP-X2417</t>
  </si>
  <si>
    <t>MD-001-FL</t>
  </si>
  <si>
    <t>LYAP-X1788-GR</t>
  </si>
  <si>
    <t>LYAP-X1808</t>
  </si>
  <si>
    <t>LYAP-X1879</t>
  </si>
  <si>
    <t>LYAP-X2429</t>
  </si>
  <si>
    <t>LYAP-X2523</t>
  </si>
  <si>
    <t>LYAP-X2530</t>
  </si>
  <si>
    <t>MD-001-FR</t>
  </si>
  <si>
    <t>MD-001-RL</t>
  </si>
  <si>
    <t>MD-001-RR</t>
  </si>
  <si>
    <t>LYAP-X2144-1</t>
  </si>
  <si>
    <t>LYAP-X2144-1L</t>
  </si>
  <si>
    <t>降价测试-市场有低价对手出单</t>
  </si>
  <si>
    <t>LYAP-X2144-1R</t>
  </si>
  <si>
    <t>LYAP-X1665-1</t>
  </si>
  <si>
    <t>LYAP-X1872</t>
  </si>
  <si>
    <t>LYAP-X1878</t>
  </si>
  <si>
    <t>LYAP-X2130-1</t>
  </si>
  <si>
    <t>LYAP-X2130-2</t>
  </si>
  <si>
    <t>LYAP-X2309</t>
  </si>
  <si>
    <t>LYAP-X2313</t>
  </si>
  <si>
    <t>LYAP-X2077</t>
  </si>
  <si>
    <t>LYAP-X2085</t>
  </si>
  <si>
    <t>LYAP-838</t>
  </si>
  <si>
    <t>LYAP-X1665-2L</t>
  </si>
  <si>
    <t>LYAP-X1665-2R</t>
  </si>
  <si>
    <t>LYAP-X1788-BN</t>
  </si>
  <si>
    <t>LYAP-X2215</t>
  </si>
  <si>
    <t>LYAP-X2310</t>
  </si>
  <si>
    <t>LYAP-X2317</t>
  </si>
  <si>
    <t>LYAP-X1665-1L</t>
  </si>
  <si>
    <t>LYAP-X1665-1R</t>
  </si>
  <si>
    <t>LYAP-X1929</t>
  </si>
  <si>
    <t>LYAM-X2428-BK</t>
  </si>
  <si>
    <t>LYAP-X2504</t>
  </si>
  <si>
    <t>LYAM-X2804</t>
  </si>
  <si>
    <t>LYAP-X1963</t>
  </si>
  <si>
    <t>LYAM-X2818</t>
  </si>
  <si>
    <t>LYAP-X2307</t>
  </si>
  <si>
    <t>LYAP-X2314</t>
  </si>
  <si>
    <t>LYAP-X2319</t>
  </si>
  <si>
    <t>LYAP-X2320</t>
  </si>
  <si>
    <t>LYAP-X2324</t>
  </si>
  <si>
    <t>LYAM-X2895</t>
  </si>
  <si>
    <t>LYAP-X2210-C</t>
  </si>
  <si>
    <t>LYAM-X2439</t>
  </si>
  <si>
    <t>LYAM-X2443</t>
  </si>
  <si>
    <t>LYAM-X2450-SL</t>
  </si>
  <si>
    <t>LYAP-X1909</t>
  </si>
  <si>
    <t>LYAP-X2042-FL</t>
  </si>
  <si>
    <t>LYAP-X2042-FR</t>
  </si>
  <si>
    <t>LYAP-X2317-L</t>
  </si>
  <si>
    <t>LYAP-X2317-R</t>
  </si>
  <si>
    <t>LYAP-X2318</t>
  </si>
  <si>
    <t>LYAP-X2385</t>
  </si>
  <si>
    <t>LYAP-X2428-3</t>
  </si>
  <si>
    <t>LYAP-X2428-2</t>
  </si>
  <si>
    <t>LYAP-X2428-1</t>
  </si>
  <si>
    <t>LYAP-X1360-1L</t>
  </si>
  <si>
    <t>LYAP-X2316</t>
  </si>
  <si>
    <t>LYAP-X2310-R</t>
  </si>
  <si>
    <t>LYAP-X2310-L</t>
  </si>
  <si>
    <t>LYAP-X2412</t>
  </si>
  <si>
    <t>LYAM-X2452-SL</t>
  </si>
  <si>
    <t>LYAM-X2460</t>
  </si>
  <si>
    <t>LYAP-X1966</t>
  </si>
  <si>
    <t>LYAM-X3058</t>
  </si>
  <si>
    <t>LYAP-X1957</t>
  </si>
  <si>
    <t>LYAP-X2025</t>
  </si>
  <si>
    <t>LYAP-X2210-BK</t>
  </si>
  <si>
    <t>LYAP-X2470</t>
  </si>
  <si>
    <t>LYAP-X2471</t>
  </si>
  <si>
    <t>LYAP-X2472</t>
  </si>
  <si>
    <t>LYAP-X2473</t>
  </si>
  <si>
    <t>LYAM-X2414-BK</t>
  </si>
  <si>
    <t>LYAM-X2414-SL</t>
  </si>
  <si>
    <t>LYAM-X2433-BK</t>
  </si>
  <si>
    <t>LYAM-X2433-SL</t>
  </si>
  <si>
    <t>LYAM-X2450-BK</t>
  </si>
  <si>
    <t>LYAM-X2452-BK</t>
  </si>
  <si>
    <t>LYAM-X2822S</t>
  </si>
  <si>
    <t>LYAP-X1959</t>
  </si>
  <si>
    <t>LYAM-X2816S</t>
  </si>
  <si>
    <t>LYAP-X1852-L</t>
  </si>
  <si>
    <t>LYAP-X1852-R</t>
  </si>
  <si>
    <t>LYAP-X1916-L</t>
  </si>
  <si>
    <t>LYAP-X1916-R</t>
  </si>
  <si>
    <t>LYAP-X1979</t>
  </si>
  <si>
    <t>LYAM-X2430-BK</t>
  </si>
  <si>
    <t>LYAM-X2440</t>
  </si>
  <si>
    <t>LYAM-X2445</t>
  </si>
  <si>
    <t>LYAP-385</t>
  </si>
  <si>
    <t>LYAP-X1660-2L</t>
  </si>
  <si>
    <t>LYAP-X1660-2R</t>
  </si>
  <si>
    <t>LYAP-X1891</t>
  </si>
  <si>
    <t>LYAP-X1960</t>
  </si>
  <si>
    <t>LYAP-X1961</t>
  </si>
  <si>
    <t>LYAP-X1968</t>
  </si>
  <si>
    <t>LYAP-X1970</t>
  </si>
  <si>
    <t>LYAM-X2438-BK</t>
  </si>
  <si>
    <t>LYAM-X2442-BK</t>
  </si>
  <si>
    <t>LYAM-X2444</t>
  </si>
  <si>
    <t>LYAM-X2449</t>
  </si>
  <si>
    <t>LYAP-X2479</t>
  </si>
  <si>
    <t>LYAP-X2657</t>
  </si>
  <si>
    <t>统计周期</t>
  </si>
  <si>
    <t>广告活动</t>
  </si>
  <si>
    <t>ID</t>
  </si>
  <si>
    <t>店铺</t>
  </si>
  <si>
    <t>PLP开始日期</t>
  </si>
  <si>
    <t>4月分析人</t>
  </si>
  <si>
    <t>广告曝光量</t>
  </si>
  <si>
    <t>广告点击量</t>
  </si>
  <si>
    <t>广告售出数</t>
  </si>
  <si>
    <t>广告花费</t>
  </si>
  <si>
    <t>广告销售额</t>
  </si>
  <si>
    <t>总销售额</t>
  </si>
  <si>
    <t>ROAS</t>
  </si>
  <si>
    <t>CVR</t>
  </si>
  <si>
    <t>CTR</t>
  </si>
  <si>
    <t>CPC</t>
  </si>
  <si>
    <t>CPA</t>
  </si>
  <si>
    <t>ACOS</t>
  </si>
  <si>
    <t>ACOAS</t>
  </si>
  <si>
    <t>是否开启PLG</t>
  </si>
  <si>
    <t>4.9-4.15</t>
  </si>
  <si>
    <t>总数据</t>
  </si>
  <si>
    <t>广告链接数量：</t>
  </si>
  <si>
    <t>总数据：</t>
  </si>
  <si>
    <t>LYAP-X1929~张潇~smart</t>
  </si>
  <si>
    <t>gogreenbike</t>
  </si>
  <si>
    <t>张潇</t>
  </si>
  <si>
    <t>机盖及附件</t>
  </si>
  <si>
    <t>LYAP-X1992系列~张潇~smart~via</t>
  </si>
  <si>
    <t>LYAP-X1993</t>
  </si>
  <si>
    <t>viautome</t>
  </si>
  <si>
    <t>饰条</t>
  </si>
  <si>
    <t>LYAM-X2575-2~张潇~smart~bap</t>
  </si>
  <si>
    <t>LYAM-X2575-2</t>
  </si>
  <si>
    <t>best-autoparts(授权即将过期)</t>
  </si>
  <si>
    <t>拓展品</t>
  </si>
  <si>
    <t>LYAP-X1992</t>
  </si>
  <si>
    <t>LYAP-X2527~胡煜星~smart</t>
  </si>
  <si>
    <t>胡煜星</t>
  </si>
  <si>
    <t>其他</t>
  </si>
  <si>
    <t>LYAP-838~张潇~smart~bike</t>
  </si>
  <si>
    <t>MD-001~俞东旭</t>
  </si>
  <si>
    <t>LYAM-X2570-1~章鹏~smart~flash</t>
  </si>
  <si>
    <t>LYAM-X2570-1</t>
  </si>
  <si>
    <t>flashemotor</t>
  </si>
  <si>
    <t>章鹏</t>
  </si>
  <si>
    <t>LYAP-X2148-1系列~王偲涵1</t>
  </si>
  <si>
    <t>王偲涵</t>
  </si>
  <si>
    <t>LYAP-X2289~张潇~smart</t>
  </si>
  <si>
    <t>LYAP-X2527~胡煜星~flash</t>
  </si>
  <si>
    <t>LYAP-X2308~胡煜星</t>
  </si>
  <si>
    <t>LYAM-X2569-1~章鹏~smart~xauto</t>
  </si>
  <si>
    <t>LYAM-X2569-1</t>
  </si>
  <si>
    <t>x-autoparts1</t>
  </si>
  <si>
    <t>LYAM-X2569-1~章鹏~smart~via</t>
  </si>
  <si>
    <t>LYAP-X1934~张潇~smart~flash</t>
  </si>
  <si>
    <t>LYAP-X1992~张潇~smart~super</t>
  </si>
  <si>
    <t>superiorparts11</t>
  </si>
  <si>
    <t>LYAM-X2753-1~胡煜星</t>
  </si>
  <si>
    <t>LYAM-X2753-1</t>
  </si>
  <si>
    <t>车身外扩件</t>
  </si>
  <si>
    <t>LYAP-X1879~朱培源</t>
  </si>
  <si>
    <t>朱培源</t>
  </si>
  <si>
    <t>挡泥板</t>
  </si>
  <si>
    <t>LYAP-X2135~俞东旭~smart</t>
  </si>
  <si>
    <t>LYAP-X2135</t>
  </si>
  <si>
    <t>LYAP-X1920系列~王偲涵</t>
  </si>
  <si>
    <t>LYAP-X1920-C</t>
  </si>
  <si>
    <t>LYAM-X2862~张潇</t>
  </si>
  <si>
    <t>LYAP-X2545-F系列~朱培源</t>
  </si>
  <si>
    <t>LYAP-X2545-FL</t>
  </si>
  <si>
    <t>LYAP-X2216~章鹏~smart~xauto</t>
  </si>
  <si>
    <t>LYAP-X2216</t>
  </si>
  <si>
    <t>LYAP-X1872~张潇~smart~flash</t>
  </si>
  <si>
    <t>LYAP-X1676~胡煜星~super</t>
  </si>
  <si>
    <t>LYAP-X1920-BK</t>
  </si>
  <si>
    <t>LYAP-X1872~张潇</t>
  </si>
  <si>
    <t>MD-002-RR~俞东旭</t>
  </si>
  <si>
    <t>LYAM-X2570-1~章鹏~smart~via</t>
  </si>
  <si>
    <t>LYAP-X2190系列~张潇~smart~flash</t>
  </si>
  <si>
    <t>LYAP-X2190系列~张潇~smart~bike</t>
  </si>
  <si>
    <t>LYAP-X2148-1~王偲涵smart</t>
  </si>
  <si>
    <t>LYAP-X2148-1</t>
  </si>
  <si>
    <t>LYAP-X1676~胡煜星~bike</t>
  </si>
  <si>
    <t>LYAM-X2254-L~张潇~smart~xauto</t>
  </si>
  <si>
    <t>LYAM-X2254-L~张潇~smart~bike</t>
  </si>
  <si>
    <t>LYAP-X1920-W</t>
  </si>
  <si>
    <t>LYAM-X2570-1~章鹏~smart~xauto</t>
  </si>
  <si>
    <t>LYAP-X2545-FR</t>
  </si>
  <si>
    <t>LYAP-X2545-F</t>
  </si>
  <si>
    <t>LYAM-X2569-1~章鹏~smart~flash</t>
  </si>
  <si>
    <t>LYAM-X2254-L~张潇~smart~via</t>
  </si>
  <si>
    <t>LYAP-X2085~俞东旭~smart</t>
  </si>
  <si>
    <t>LYAP-X2077~俞东旭~smart</t>
  </si>
  <si>
    <t>LYAP-X1800-1系列~胡煜星</t>
  </si>
  <si>
    <t>LYAP-X2528~胡煜星</t>
  </si>
  <si>
    <t>4.16-4.22</t>
  </si>
  <si>
    <t>LYAP-X1665-1~俞东旭</t>
  </si>
  <si>
    <t>LYAM-X2575-2~张潇</t>
  </si>
  <si>
    <t>LYAM-X2804~张潇</t>
  </si>
  <si>
    <t>未分类</t>
  </si>
  <si>
    <t>LYAP-X1963~朱培源</t>
  </si>
  <si>
    <t>LYAP-X2307~胡煜星</t>
  </si>
  <si>
    <t>LYAP-X2314~胡煜星</t>
  </si>
  <si>
    <t>LYAP-X2319~胡煜星</t>
  </si>
  <si>
    <t>4.23-4.29</t>
  </si>
  <si>
    <t>牌照板支架</t>
  </si>
  <si>
    <t>best-autoparts</t>
  </si>
  <si>
    <t>LYAP-X1665-2R~俞东旭</t>
  </si>
  <si>
    <t>LYAP-X1787-BK~俞东旭</t>
  </si>
  <si>
    <t>LYAP-X1787-BK</t>
  </si>
  <si>
    <t>LYAP-X2530~胡煜星</t>
  </si>
  <si>
    <t>LYAP-X2210-C~张潇</t>
  </si>
  <si>
    <t>LYAP-X2318~张潇</t>
  </si>
  <si>
    <t>LYAP-X1909~朱培源</t>
  </si>
  <si>
    <t>LYAP-X2317系列~胡煜星</t>
  </si>
  <si>
    <t>LYAP-X2385~张潇</t>
  </si>
  <si>
    <t>LYAM-X2895~章鹏</t>
  </si>
  <si>
    <t>LYAP-X2310系列~胡煜星</t>
  </si>
  <si>
    <t>LYAM-X2439～王偲涵</t>
  </si>
  <si>
    <t>LYAM-X2443～王偲涵</t>
  </si>
  <si>
    <t>LYAM-X2450-SL～王偲涵</t>
  </si>
  <si>
    <t>4.30-5.6</t>
  </si>
  <si>
    <t>LYAP-X1360-1L~章鹏~smart~bike</t>
  </si>
  <si>
    <t>LYAP-X2412～王偲涵</t>
  </si>
  <si>
    <t>LYAM-X2452-SL～王偲涵smart</t>
  </si>
  <si>
    <t>LYAP-X2316~张潇</t>
  </si>
  <si>
    <t>LYAM-X2460～王偲涵smart</t>
  </si>
  <si>
    <t>LYAP-X2210系列~张潇</t>
  </si>
  <si>
    <t>LYAP-X2210-C~张潇~smart</t>
  </si>
  <si>
    <t>LYAP-X1966~朱培源</t>
  </si>
  <si>
    <t>5.4-5.10</t>
  </si>
  <si>
    <t>LYAM-X3058~朱培源</t>
  </si>
  <si>
    <t>LYAP-X2473~张潇~smart</t>
  </si>
  <si>
    <t>LYAP-X1800系列~胡煜星</t>
  </si>
  <si>
    <t>LYAP-X2470~胡煜星</t>
  </si>
  <si>
    <t>LYAP-X2316~张潇~smart</t>
  </si>
  <si>
    <t>LYAP-X1957~朱培源</t>
  </si>
  <si>
    <t>LYAP-X2025~ 章鹏~bike</t>
  </si>
  <si>
    <t>LYAP-X1360-1L~章鹏~smart~flash</t>
  </si>
  <si>
    <t>LYAP-X2148-1~王偲涵flash</t>
  </si>
  <si>
    <t>LYAP-X1934~张潇~smart~bike</t>
  </si>
  <si>
    <t>LYAP-X2471~胡煜星</t>
  </si>
  <si>
    <t>LYAM-X2433-BK~俞东旭</t>
  </si>
  <si>
    <t>LYAM-X2433-SL~俞东旭</t>
  </si>
  <si>
    <t>LYAM-X2452-BK～王偲涵smart</t>
  </si>
  <si>
    <t>LYAM-X2414～系列王偲涵</t>
  </si>
  <si>
    <t>LYAP-X1934~张潇~smart~via</t>
  </si>
  <si>
    <t>5.11-5.17</t>
  </si>
  <si>
    <t>LYAP-X1959~朱培源</t>
  </si>
  <si>
    <t>LYAP-X1927~张潇~smart~luck</t>
  </si>
  <si>
    <t>lucksports-mall</t>
  </si>
  <si>
    <t>LYAP-X1927~张潇~smart~flash</t>
  </si>
  <si>
    <t>LYAP-X1916系列~章鹏~bike</t>
  </si>
  <si>
    <t>LYAP-X1979~朱培源</t>
  </si>
  <si>
    <t>LYAP-X1927~张潇~smart~bike</t>
  </si>
  <si>
    <t>LYAM-X2445~胡煜星~smart</t>
  </si>
  <si>
    <t>LYAM-X2430-BK~王偲涵</t>
  </si>
  <si>
    <t>LYAM-X2440~胡煜星</t>
  </si>
  <si>
    <t>LYAP-X1968~张潇</t>
  </si>
  <si>
    <t>LYAP-X1970~张潇</t>
  </si>
  <si>
    <t>LYAP-X1960~朱培源</t>
  </si>
  <si>
    <t>LYAM-X2438-BK~朱培源~smart</t>
  </si>
  <si>
    <t>LYAP-X1891~章鹏~bike</t>
  </si>
  <si>
    <t>LYAM-X2449~章鹏~bike</t>
  </si>
  <si>
    <t>LYAP-385~章鹏~bike</t>
  </si>
  <si>
    <t>LYAP-X2657~朱培源</t>
  </si>
  <si>
    <t>LYAM-X2444~章鹏~bike</t>
  </si>
  <si>
    <t>LYAP-X1968~张潇~smart~via</t>
  </si>
  <si>
    <t>LYAP-X1968~张潇~smart~flash</t>
  </si>
  <si>
    <t>LYAP-X2479~张潇~smart~flash</t>
  </si>
  <si>
    <t>LYAP-X2479~张潇</t>
  </si>
  <si>
    <t>LYAP-X1970~张潇~smart~via</t>
  </si>
  <si>
    <t>LYAP-X1970~张潇~smart~super</t>
  </si>
  <si>
    <t>LYAM-X2442-BK~王偲涵</t>
  </si>
  <si>
    <t>LYAP-X1961~朱培源</t>
  </si>
  <si>
    <t>LYAP-X1911-C~张潇</t>
  </si>
  <si>
    <t>销售编码</t>
  </si>
  <si>
    <t>在售SKU</t>
  </si>
  <si>
    <t>5/21-5/27销量</t>
  </si>
  <si>
    <t>5/21-5/27销售额</t>
  </si>
  <si>
    <t>统计</t>
  </si>
  <si>
    <t>LYAP-037S</t>
  </si>
  <si>
    <t>LYAP-050</t>
  </si>
  <si>
    <t>LYAP-064-2+LYAP-064S-1</t>
  </si>
  <si>
    <t>LYAP-073S</t>
  </si>
  <si>
    <t>LYAP-110</t>
  </si>
  <si>
    <t>LYAP-117S</t>
  </si>
  <si>
    <t>LYAP-126-1</t>
  </si>
  <si>
    <t>LYAP-126-2</t>
  </si>
  <si>
    <t>LYAP-131</t>
  </si>
  <si>
    <t>LYAP-144-1</t>
  </si>
  <si>
    <t>LYAP-168</t>
  </si>
  <si>
    <t>LYAP-601-1+LYAP-601-2</t>
  </si>
  <si>
    <t>LYAP-606</t>
  </si>
  <si>
    <t>LYAP-212</t>
  </si>
  <si>
    <t>LYAP-189</t>
  </si>
  <si>
    <t>LYAP-232-2</t>
  </si>
  <si>
    <t>LYCP-090S-1</t>
  </si>
  <si>
    <t>LYCP-115</t>
  </si>
  <si>
    <t>LYCP-116S</t>
  </si>
  <si>
    <t>LYCP-119-1</t>
  </si>
  <si>
    <t>LYCP-121-3</t>
  </si>
  <si>
    <t>LYCP-122-2</t>
  </si>
  <si>
    <t>LYCP-132</t>
  </si>
  <si>
    <t>LYCP-133-1</t>
  </si>
  <si>
    <t>LYCP-135</t>
  </si>
  <si>
    <t>LYCP-138</t>
  </si>
  <si>
    <t>LYAM-346</t>
  </si>
  <si>
    <t>LYCP-151</t>
  </si>
  <si>
    <t>LYAP-355</t>
  </si>
  <si>
    <t>LYAP-358</t>
  </si>
  <si>
    <t>LYAP-380</t>
  </si>
  <si>
    <t>LYAP-385-2+LYAP-385-3</t>
  </si>
  <si>
    <t>LYCP-158</t>
  </si>
  <si>
    <t>LYAP-450-1</t>
  </si>
  <si>
    <t>LYAP-484</t>
  </si>
  <si>
    <t>LYAM-486</t>
  </si>
  <si>
    <t>LYAM-488</t>
  </si>
  <si>
    <t>LYAP-508-1</t>
  </si>
  <si>
    <t>LYAP-510S</t>
  </si>
  <si>
    <t>LYAP-512S</t>
  </si>
  <si>
    <t>LYAP-519</t>
  </si>
  <si>
    <t>LYAP-529</t>
  </si>
  <si>
    <t>LYAP-534</t>
  </si>
  <si>
    <t>LYCP-114</t>
  </si>
  <si>
    <t>LYAP-538</t>
  </si>
  <si>
    <t>LYAM-117</t>
  </si>
  <si>
    <t>LYAM-117-L</t>
  </si>
  <si>
    <t>LYAM-118</t>
  </si>
  <si>
    <t>LYAM-121</t>
  </si>
  <si>
    <t>LYAM-159T</t>
  </si>
  <si>
    <t>LYAM-214S-1</t>
  </si>
  <si>
    <t>LYAM-252</t>
  </si>
  <si>
    <t>LYAM-289</t>
  </si>
  <si>
    <t>LYAM-290-2+LYAM-290-3</t>
  </si>
  <si>
    <t>LYAM-306T</t>
  </si>
  <si>
    <t>LYAM-307S</t>
  </si>
  <si>
    <t>LYAM-343</t>
  </si>
  <si>
    <t>LYAM-347</t>
  </si>
  <si>
    <t>LYAM-348S</t>
  </si>
  <si>
    <t>LYAM-368</t>
  </si>
  <si>
    <t>LYAM-370</t>
  </si>
  <si>
    <t>LYAM-375</t>
  </si>
  <si>
    <t>LYAM-379T-1</t>
  </si>
  <si>
    <t>LYAM-382</t>
  </si>
  <si>
    <t>LYAM-398</t>
  </si>
  <si>
    <t>LYAM-438</t>
  </si>
  <si>
    <t>LYAM-453</t>
  </si>
  <si>
    <t>LYAM-456</t>
  </si>
  <si>
    <t>LYAM-462T</t>
  </si>
  <si>
    <t>LYAM-466-1</t>
  </si>
  <si>
    <t>LYAM-593</t>
  </si>
  <si>
    <t>LYAM-600</t>
  </si>
  <si>
    <t>LYAM-664</t>
  </si>
  <si>
    <t>LYAM-666</t>
  </si>
  <si>
    <t>LYAM-705</t>
  </si>
  <si>
    <t>LYAM-716-2X2</t>
  </si>
  <si>
    <t>LYAM-717-2</t>
  </si>
  <si>
    <t>LYAM-775</t>
  </si>
  <si>
    <t>LYAM-780S-3</t>
  </si>
  <si>
    <t>LYAM-781-2</t>
  </si>
  <si>
    <t>LYAM-811-1</t>
  </si>
  <si>
    <t>LYAM-831</t>
  </si>
  <si>
    <t>LYAM-874</t>
  </si>
  <si>
    <t>LYAM-888-1</t>
  </si>
  <si>
    <t>LYAM-889-1X2</t>
  </si>
  <si>
    <t>LYAM-909</t>
  </si>
  <si>
    <t>LYAM-X1057-1</t>
  </si>
  <si>
    <t>LYAM-X1057-2</t>
  </si>
  <si>
    <t>LYAM-X1070</t>
  </si>
  <si>
    <t>LYAM-X1159</t>
  </si>
  <si>
    <t>LYAM-X1245S-1</t>
  </si>
  <si>
    <t>LYAM-X1245S-2</t>
  </si>
  <si>
    <t>LYAM-X1246</t>
  </si>
  <si>
    <t>LYAM-X1247A+LYAM-X1247SB</t>
  </si>
  <si>
    <t>LYAM-X1247SB</t>
  </si>
  <si>
    <t>LYAM-X1247SA</t>
  </si>
  <si>
    <t>LYAM-X1249</t>
  </si>
  <si>
    <t>LYAM-X1337</t>
  </si>
  <si>
    <t>LYAM-X1338</t>
  </si>
  <si>
    <t>LYAM-X1800-2-BK</t>
  </si>
  <si>
    <t>LYAM-X1869</t>
  </si>
  <si>
    <t>LYAM-X2014</t>
  </si>
  <si>
    <t>LYAP-024-MB</t>
  </si>
  <si>
    <t>LYAP-049</t>
  </si>
  <si>
    <t>LYAP-052</t>
  </si>
  <si>
    <t>LYAP-053-CB</t>
  </si>
  <si>
    <t>LYAP-053S</t>
  </si>
  <si>
    <t>LYAP-054</t>
  </si>
  <si>
    <t>LYAP-054-2</t>
  </si>
  <si>
    <t>LYAP-064S-1</t>
  </si>
  <si>
    <t>LYAP-072</t>
  </si>
  <si>
    <t>LYAP-075T-W</t>
  </si>
  <si>
    <t>LYAP-075T-C</t>
  </si>
  <si>
    <t>LYAP-075T-G</t>
  </si>
  <si>
    <t>LYAP-075T-MB</t>
  </si>
  <si>
    <t>LYAP-102</t>
  </si>
  <si>
    <t>LYAP-108T</t>
  </si>
  <si>
    <t>LYAP-109</t>
  </si>
  <si>
    <t>LYAP-154</t>
  </si>
  <si>
    <t>LYAP-161-1</t>
  </si>
  <si>
    <t>LYAP-161-2</t>
  </si>
  <si>
    <t>LYAP-165</t>
  </si>
  <si>
    <t>LYAP-184</t>
  </si>
  <si>
    <t>LYAP-185</t>
  </si>
  <si>
    <t>LYAP-191</t>
  </si>
  <si>
    <t>LYAP-197</t>
  </si>
  <si>
    <t>LYAP-199-1</t>
  </si>
  <si>
    <t>LYAP-199-1+LYAP-199-2</t>
  </si>
  <si>
    <t>LYAP-199-2</t>
  </si>
  <si>
    <t>LYAP-201S</t>
  </si>
  <si>
    <t>LYAP-202</t>
  </si>
  <si>
    <t>LYAP-205</t>
  </si>
  <si>
    <t>LYAP-206-DK</t>
  </si>
  <si>
    <t>LYAP-207</t>
  </si>
  <si>
    <t>LYAP-208S</t>
  </si>
  <si>
    <t>LYAP-213</t>
  </si>
  <si>
    <t>LYAP-220</t>
  </si>
  <si>
    <t>LYAP-223</t>
  </si>
  <si>
    <t>LYAP-225-1+LYAP-225-2</t>
  </si>
  <si>
    <t>LYAP-231-1</t>
  </si>
  <si>
    <t>LYAP-231-2</t>
  </si>
  <si>
    <t>LYAP-232</t>
  </si>
  <si>
    <t>LYAP-232-1</t>
  </si>
  <si>
    <t>LYAP-239-1</t>
  </si>
  <si>
    <t>LYAP-239-1+LYAP-239-2</t>
  </si>
  <si>
    <t>LYAP-240</t>
  </si>
  <si>
    <t>LYAP-243S</t>
  </si>
  <si>
    <t>LYAP-244S</t>
  </si>
  <si>
    <t>LYAP-245S</t>
  </si>
  <si>
    <t>LYAP-246S</t>
  </si>
  <si>
    <t>LYAP-247</t>
  </si>
  <si>
    <t>LYAP-248S</t>
  </si>
  <si>
    <t>LYAP-251-1+LYAP-251-2+LYAP-251-3+LYAP-251-4</t>
  </si>
  <si>
    <t>LYAP-279-2+LYAP-279-3+LYAP-279-4+LYAP-279-5</t>
  </si>
  <si>
    <t>LYAP-280-1</t>
  </si>
  <si>
    <t>LYAP-280-2</t>
  </si>
  <si>
    <t>LYAP-285</t>
  </si>
  <si>
    <t>LYAP-286T</t>
  </si>
  <si>
    <t>LYAP-296S</t>
  </si>
  <si>
    <t>LYAP-304-1+LYAP-304-2</t>
  </si>
  <si>
    <t>LYAP-305-3</t>
  </si>
  <si>
    <t>LYAP-305-3+LYAP-305-1</t>
  </si>
  <si>
    <t>LYAP-312</t>
  </si>
  <si>
    <t>LYAP-314-1</t>
  </si>
  <si>
    <t>LYAP-314-1+LYAP-314-2</t>
  </si>
  <si>
    <t>LYAP-314-2</t>
  </si>
  <si>
    <t>LYAP-315</t>
  </si>
  <si>
    <t>LYAP-319</t>
  </si>
  <si>
    <t>LYAP-321</t>
  </si>
  <si>
    <t>LYAP-338-1</t>
  </si>
  <si>
    <t>LYAP-338-1+LYAP-338-2</t>
  </si>
  <si>
    <t>LYAP-338-2</t>
  </si>
  <si>
    <t>LYAP-339-1</t>
  </si>
  <si>
    <t>LYAP-339-1+LYAP-339-2</t>
  </si>
  <si>
    <t>LYAP-339-2</t>
  </si>
  <si>
    <t>LYAP-340</t>
  </si>
  <si>
    <t>LYAP-343</t>
  </si>
  <si>
    <t>LYAP-344</t>
  </si>
  <si>
    <t>LYAP-350-1S</t>
  </si>
  <si>
    <t>LYAP-350-2S</t>
  </si>
  <si>
    <t>LYAP-356-1</t>
  </si>
  <si>
    <t>LYAP-360</t>
  </si>
  <si>
    <t>LYAP-362</t>
  </si>
  <si>
    <t>LYAP-364</t>
  </si>
  <si>
    <t>LYAP-365T-2</t>
  </si>
  <si>
    <t>LYAP-366-2</t>
  </si>
  <si>
    <t>LYAP-368</t>
  </si>
  <si>
    <t>LYAP-376T-1</t>
  </si>
  <si>
    <t>LYAP-376-2S</t>
  </si>
  <si>
    <t>LYAP-378T</t>
  </si>
  <si>
    <t>LYAP-382</t>
  </si>
  <si>
    <t>LYAP-384</t>
  </si>
  <si>
    <t>LYAP-388</t>
  </si>
  <si>
    <t>LYAP-391</t>
  </si>
  <si>
    <t>LYAP-392-1</t>
  </si>
  <si>
    <t>LYAP-398</t>
  </si>
  <si>
    <t>LYAP-401S-2+LYAP-401-3</t>
  </si>
  <si>
    <t>LYAP-414S</t>
  </si>
  <si>
    <t>LYAP-415</t>
  </si>
  <si>
    <t>LYAP-416-1</t>
  </si>
  <si>
    <t>LYAP-447</t>
  </si>
  <si>
    <t>LYAP-417</t>
  </si>
  <si>
    <t>LYAP-422-1T</t>
  </si>
  <si>
    <t>LYAP-422S</t>
  </si>
  <si>
    <t>LYAP-431S</t>
  </si>
  <si>
    <t>LYAP-450-2</t>
  </si>
  <si>
    <t>LYAP-451</t>
  </si>
  <si>
    <t>LYAP-452</t>
  </si>
  <si>
    <t>LYAP-453S</t>
  </si>
  <si>
    <t>LYAP-456</t>
  </si>
  <si>
    <t>LYAP-461S</t>
  </si>
  <si>
    <t>LYAP-462</t>
  </si>
  <si>
    <t>LYAP-467S</t>
  </si>
  <si>
    <t>LYAP-471</t>
  </si>
  <si>
    <t>LYAP-473S-1+LYAP-473S-2</t>
  </si>
  <si>
    <t>LYAP-474S</t>
  </si>
  <si>
    <t>LYAP-480</t>
  </si>
  <si>
    <t>LYAP-481</t>
  </si>
  <si>
    <t>LYAP-483S</t>
  </si>
  <si>
    <t>LYAP-485</t>
  </si>
  <si>
    <t>LYAP-495</t>
  </si>
  <si>
    <t>LYAP-499</t>
  </si>
  <si>
    <t>LYAP-508-2</t>
  </si>
  <si>
    <t>LYAP-513S</t>
  </si>
  <si>
    <t>LYAP-514</t>
  </si>
  <si>
    <t>LYAP-515S</t>
  </si>
  <si>
    <t>LYAP-516S-1</t>
  </si>
  <si>
    <t>LYAP-521</t>
  </si>
  <si>
    <t>LYAP-522</t>
  </si>
  <si>
    <t>LYAP-524S</t>
  </si>
  <si>
    <t>LYAP-526</t>
  </si>
  <si>
    <t>LYAP-528S</t>
  </si>
  <si>
    <t>LYAP-530</t>
  </si>
  <si>
    <t>LYAP-545</t>
  </si>
  <si>
    <t>LYAP-550-1+LYAP-550-2</t>
  </si>
  <si>
    <t>LYAP-550-3+LYAP-550-4</t>
  </si>
  <si>
    <t>LYAP-592S</t>
  </si>
  <si>
    <t>LYAP-594</t>
  </si>
  <si>
    <t>LYAP-600</t>
  </si>
  <si>
    <t>LYAP-600+LYAP-312</t>
  </si>
  <si>
    <t>LYAP-613S</t>
  </si>
  <si>
    <t>LYAP-614-2</t>
  </si>
  <si>
    <t>LYAP-614-3</t>
  </si>
  <si>
    <t>LYAP-619</t>
  </si>
  <si>
    <t>LYAP-622</t>
  </si>
  <si>
    <t>LYAP-627-1</t>
  </si>
  <si>
    <t>LYAP-628</t>
  </si>
  <si>
    <t>LYAP-633-1</t>
  </si>
  <si>
    <t>LYAP-633-2</t>
  </si>
  <si>
    <t>LYAP-636-1</t>
  </si>
  <si>
    <t>LYAP-636S-2</t>
  </si>
  <si>
    <t>LYAP-640S-2</t>
  </si>
  <si>
    <t>LYAP-643</t>
  </si>
  <si>
    <t>LYAP-647-2</t>
  </si>
  <si>
    <t>LYAP-647-3</t>
  </si>
  <si>
    <t>LYAP-649</t>
  </si>
  <si>
    <t>LYAP-651</t>
  </si>
  <si>
    <t>LYAP-655</t>
  </si>
  <si>
    <t>LYAP-656</t>
  </si>
  <si>
    <t>LYAP-657</t>
  </si>
  <si>
    <t>LYAP-659-1</t>
  </si>
  <si>
    <t>LYAP-665</t>
  </si>
  <si>
    <t>LYAP-666</t>
  </si>
  <si>
    <t>LYAP-667</t>
  </si>
  <si>
    <t>LYAP-668</t>
  </si>
  <si>
    <t>LYAP-670S-2</t>
  </si>
  <si>
    <t>LYAP-671S-1</t>
  </si>
  <si>
    <t>LYAP-671S-3</t>
  </si>
  <si>
    <t>LYAP-672</t>
  </si>
  <si>
    <t>LYAP-673</t>
  </si>
  <si>
    <t>LYAP-676-1</t>
  </si>
  <si>
    <t>LYAP-676-2</t>
  </si>
  <si>
    <t>LYAP-678</t>
  </si>
  <si>
    <t>LYAP-679S</t>
  </si>
  <si>
    <t>LYAP-680-1</t>
  </si>
  <si>
    <t>LYAP-680-3</t>
  </si>
  <si>
    <t>LYAP-682-1</t>
  </si>
  <si>
    <t>LYAP-682-2</t>
  </si>
  <si>
    <t>LYAP-683</t>
  </si>
  <si>
    <t>LYAP-684-2</t>
  </si>
  <si>
    <t>LYAP-687</t>
  </si>
  <si>
    <t>LYAP-689</t>
  </si>
  <si>
    <t>LYAP-693S-1</t>
  </si>
  <si>
    <t>LYAP-693S-2</t>
  </si>
  <si>
    <t>LYAP-695</t>
  </si>
  <si>
    <t>LYAP-697S</t>
  </si>
  <si>
    <t>LYAP-700S</t>
  </si>
  <si>
    <t>LYAP-703</t>
  </si>
  <si>
    <t>LYAP-706-1</t>
  </si>
  <si>
    <t>LYAP-721</t>
  </si>
  <si>
    <t>LYAP-722-1</t>
  </si>
  <si>
    <t>LYAP-723S-1</t>
  </si>
  <si>
    <t>LYAP-725</t>
  </si>
  <si>
    <t>LYAP-726</t>
  </si>
  <si>
    <t>LYAP-727-1</t>
  </si>
  <si>
    <t>LYAP-727-2</t>
  </si>
  <si>
    <t>LYAP-728</t>
  </si>
  <si>
    <t>LYAP-729</t>
  </si>
  <si>
    <t>LYAP-734-2</t>
  </si>
  <si>
    <t>LYAP-735</t>
  </si>
  <si>
    <t>LYAP-736</t>
  </si>
  <si>
    <t>LYAP-739</t>
  </si>
  <si>
    <t>LYAP-740-1</t>
  </si>
  <si>
    <t>LYAP-741</t>
  </si>
  <si>
    <t>LYAP-792S</t>
  </si>
  <si>
    <t>LYAP-794</t>
  </si>
  <si>
    <t>LYAP-796-2</t>
  </si>
  <si>
    <t>LYAP-806</t>
  </si>
  <si>
    <t>LYAP-816-1</t>
  </si>
  <si>
    <t>LYAP-816T-2</t>
  </si>
  <si>
    <t>LYAP-816T-2L</t>
  </si>
  <si>
    <t>LYAP-816T-2R</t>
  </si>
  <si>
    <t>LYAP-821S-1</t>
  </si>
  <si>
    <t>LYAP-825-3</t>
  </si>
  <si>
    <t>LYAP-830-1</t>
  </si>
  <si>
    <t>LYAP-831-1</t>
  </si>
  <si>
    <t>LYAP-871</t>
  </si>
  <si>
    <t>LYAP-876</t>
  </si>
  <si>
    <t>LYAP-877</t>
  </si>
  <si>
    <t>LYAP-878-1</t>
  </si>
  <si>
    <t>LYAP-878-2</t>
  </si>
  <si>
    <t>LYAP-879-2</t>
  </si>
  <si>
    <t>LYAP-883-2</t>
  </si>
  <si>
    <t>LYAP-884</t>
  </si>
  <si>
    <t>LYAP-888</t>
  </si>
  <si>
    <t>LYAP-891S</t>
  </si>
  <si>
    <t>LYAP-906</t>
  </si>
  <si>
    <t>LYAP-917S-1</t>
  </si>
  <si>
    <t>LYAP-917S-2</t>
  </si>
  <si>
    <t>LYAP-940S-1</t>
  </si>
  <si>
    <t>LYAP-940S-2</t>
  </si>
  <si>
    <t>LYAP-941-1</t>
  </si>
  <si>
    <t>LYAP-972-1</t>
  </si>
  <si>
    <t>LYAP-983-1FL</t>
  </si>
  <si>
    <t>LYAP-983-2</t>
  </si>
  <si>
    <t>LYAP-989</t>
  </si>
  <si>
    <t>LYAP-990-1</t>
  </si>
  <si>
    <t>LYAP-992-1</t>
  </si>
  <si>
    <t>LYAP-993-2R</t>
  </si>
  <si>
    <t>LYAP-998-1</t>
  </si>
  <si>
    <t>LYAP-X1000-2L</t>
  </si>
  <si>
    <t>LYAP-X1000-3</t>
  </si>
  <si>
    <t>LYAP-X1000-4</t>
  </si>
  <si>
    <t>LYAP-X1001-1</t>
  </si>
  <si>
    <t>LYAP-X1010</t>
  </si>
  <si>
    <t>LYAP-X1014</t>
  </si>
  <si>
    <t>LYAP-X1017S-1</t>
  </si>
  <si>
    <t>LYAP-X1017-2</t>
  </si>
  <si>
    <t>LYAP-X1019</t>
  </si>
  <si>
    <t>LYAP-X1020</t>
  </si>
  <si>
    <t>LYAP-X1126</t>
  </si>
  <si>
    <t>LYAP-X1152</t>
  </si>
  <si>
    <t>LYAP-X1153</t>
  </si>
  <si>
    <t>LYAP-X1206</t>
  </si>
  <si>
    <t>LYAP-X1210</t>
  </si>
  <si>
    <t>LYAP-X1247</t>
  </si>
  <si>
    <t>LYAP-X1279-GB</t>
  </si>
  <si>
    <t>LYAP-X1286</t>
  </si>
  <si>
    <t>LYAP-X1343</t>
  </si>
  <si>
    <t>LYAP-X1344</t>
  </si>
  <si>
    <t>LYAP-X1345</t>
  </si>
  <si>
    <t>LYAP-X1346</t>
  </si>
  <si>
    <t>LYAP-X1350</t>
  </si>
  <si>
    <t>LYAP-X1351</t>
  </si>
  <si>
    <t>LYAP-X1352</t>
  </si>
  <si>
    <t>LYAP-X1358</t>
  </si>
  <si>
    <t>LYAP-X1359-1</t>
  </si>
  <si>
    <t>LYAP-X1381</t>
  </si>
  <si>
    <t>LYAP-X1384</t>
  </si>
  <si>
    <t>LYAP-X1385-BK</t>
  </si>
  <si>
    <t>LYAP-X1386</t>
  </si>
  <si>
    <t>LYAP-X1403-1</t>
  </si>
  <si>
    <t>LYAP-X1403-1L</t>
  </si>
  <si>
    <t>LYAP-X1405</t>
  </si>
  <si>
    <t>LYAP-X1406</t>
  </si>
  <si>
    <t>LYAP-X1407-1</t>
  </si>
  <si>
    <t>LYAP-X1407-4</t>
  </si>
  <si>
    <t>LYAP-X1407-5N</t>
  </si>
  <si>
    <t>LYAP-X1408-1</t>
  </si>
  <si>
    <t>LYAP-X1415-1-BK</t>
  </si>
  <si>
    <t>LYAP-X1415-1-C</t>
  </si>
  <si>
    <t>LYAP-X1415-1-W</t>
  </si>
  <si>
    <t>LYAP-X1415-3-BK-FL</t>
  </si>
  <si>
    <t>LYAP-X1421-1-C</t>
  </si>
  <si>
    <t>LYAP-X1434</t>
  </si>
  <si>
    <t>LYAP-X1435-GB</t>
  </si>
  <si>
    <t>LYAP-X1435-MB</t>
  </si>
  <si>
    <t>LYAP-X1436-CB</t>
  </si>
  <si>
    <t>LYAP-X1438-BK</t>
  </si>
  <si>
    <t>LYAP-X1438-CB</t>
  </si>
  <si>
    <t>LYAP-X1478S</t>
  </si>
  <si>
    <t>LYAP-X1482-1</t>
  </si>
  <si>
    <t>LYAP-X1489-1</t>
  </si>
  <si>
    <t>LYAP-X1489-2</t>
  </si>
  <si>
    <t>LYAP-X1489-4</t>
  </si>
  <si>
    <t>LYAP-X1489-5-BK</t>
  </si>
  <si>
    <t>LYAP-X1519</t>
  </si>
  <si>
    <t>LYAP-X1520</t>
  </si>
  <si>
    <t>LYAP-X1521</t>
  </si>
  <si>
    <t>LYAP-X1522</t>
  </si>
  <si>
    <t>LYAP-X1525</t>
  </si>
  <si>
    <t>LYAP-X1526</t>
  </si>
  <si>
    <t>LYAP-X1527</t>
  </si>
  <si>
    <t>LYAP-X1529</t>
  </si>
  <si>
    <t>LYAP-X1530</t>
  </si>
  <si>
    <t>LYAP-X1531</t>
  </si>
  <si>
    <t>LYAP-X1532-BK</t>
  </si>
  <si>
    <t>LYAP-X1533</t>
  </si>
  <si>
    <t>LYAP-X1546</t>
  </si>
  <si>
    <t>LYAP-X1547-1L</t>
  </si>
  <si>
    <t>LYAP-X1547-1R</t>
  </si>
  <si>
    <t>LYAP-X1550-1</t>
  </si>
  <si>
    <t>LYAP-X1550-1R</t>
  </si>
  <si>
    <t>LYAP-X1552-1</t>
  </si>
  <si>
    <t>LYAP-X1552-1L</t>
  </si>
  <si>
    <t>LYAP-X1552-1R</t>
  </si>
  <si>
    <t>LYAP-X1557-1</t>
  </si>
  <si>
    <t>LYAP-X1559-1</t>
  </si>
  <si>
    <t>LYAP-X1559-1L</t>
  </si>
  <si>
    <t>LYAP-X1559-1R</t>
  </si>
  <si>
    <t>LYAP-X1563-1</t>
  </si>
  <si>
    <t>LYAP-X1563-1L</t>
  </si>
  <si>
    <t>LYAP-X1563-1R</t>
  </si>
  <si>
    <t>LYAP-X1563-2</t>
  </si>
  <si>
    <t>LYAP-X1563-2R</t>
  </si>
  <si>
    <t>LYAP-X1565-1</t>
  </si>
  <si>
    <t>LYAP-X1567-1</t>
  </si>
  <si>
    <t>LYAP-X1567-1L</t>
  </si>
  <si>
    <t>LYAP-X1569-1</t>
  </si>
  <si>
    <t>LYAP-X1569-1L</t>
  </si>
  <si>
    <t>LYAP-X1569-1R</t>
  </si>
  <si>
    <t>LYAP-X1569-2</t>
  </si>
  <si>
    <t>LYAP-X1569-2L</t>
  </si>
  <si>
    <t>LYAP-X1570-1</t>
  </si>
  <si>
    <t>LYAP-X1570-1L</t>
  </si>
  <si>
    <t>LYAP-X1570-1R</t>
  </si>
  <si>
    <t>LYAP-X1571-1</t>
  </si>
  <si>
    <t>LYAP-X1573-1</t>
  </si>
  <si>
    <t>LYAP-X1573-1-L</t>
  </si>
  <si>
    <t>LYAP-X1573-1-R</t>
  </si>
  <si>
    <t>LYAP-X1574-1</t>
  </si>
  <si>
    <t>LYAP-X1574-1L</t>
  </si>
  <si>
    <t>LYAP-X1574-1R</t>
  </si>
  <si>
    <t>LYAP-X1576-1</t>
  </si>
  <si>
    <t>LYAP-X1576-1R</t>
  </si>
  <si>
    <t>LYAP-X1577-1</t>
  </si>
  <si>
    <t>LYAP-X1577-1L</t>
  </si>
  <si>
    <t>LYAP-X1577-1R</t>
  </si>
  <si>
    <t>LYAP-X1579-1</t>
  </si>
  <si>
    <t>LYAP-X1579-1L</t>
  </si>
  <si>
    <t>LYAP-X1579-1R</t>
  </si>
  <si>
    <t>LYAP-X1580-1</t>
  </si>
  <si>
    <t>LYAP-X1580-1L</t>
  </si>
  <si>
    <t>LYAP-X1580-1R</t>
  </si>
  <si>
    <t>LYAP-X1582-1</t>
  </si>
  <si>
    <t>LYAP-X1582-1-L</t>
  </si>
  <si>
    <t>LYAP-X1582-1-R</t>
  </si>
  <si>
    <t>LYAP-X1584-1</t>
  </si>
  <si>
    <t>LYAP-X1584-1L</t>
  </si>
  <si>
    <t>LYAP-X1584-1R</t>
  </si>
  <si>
    <t>LYAP-X1588-1</t>
  </si>
  <si>
    <t>LYAP-X1588-1L</t>
  </si>
  <si>
    <t>LYAP-X1588-1R</t>
  </si>
  <si>
    <t>LYAP-X1590-1</t>
  </si>
  <si>
    <t>LYAP-X1590-1L</t>
  </si>
  <si>
    <t>LYAP-X1590-1R</t>
  </si>
  <si>
    <t>LYAP-X1590-2</t>
  </si>
  <si>
    <t>LYAP-X1590-2L</t>
  </si>
  <si>
    <t>LYAP-X1590-2R</t>
  </si>
  <si>
    <t>LYAP-X1596-1</t>
  </si>
  <si>
    <t>LYAP-X1596-1L</t>
  </si>
  <si>
    <t>LYAP-X1596-1R</t>
  </si>
  <si>
    <t>LYAP-X1598-1</t>
  </si>
  <si>
    <t>LYAP-X1598-1L</t>
  </si>
  <si>
    <t>LYAP-X1598-1R</t>
  </si>
  <si>
    <t>LYAP-X1599-1</t>
  </si>
  <si>
    <t>LYAP-X1599-1L</t>
  </si>
  <si>
    <t>LYAP-X1601-1</t>
  </si>
  <si>
    <t>LYAP-X1601-1L</t>
  </si>
  <si>
    <t>LYAP-X1601-1R</t>
  </si>
  <si>
    <t>LYAP-X1603-1</t>
  </si>
  <si>
    <t>LYAP-X1603-1L</t>
  </si>
  <si>
    <t>LYAP-X1603-1R</t>
  </si>
  <si>
    <t>LYAP-X1605-1</t>
  </si>
  <si>
    <t>LYAP-X1605-1-L</t>
  </si>
  <si>
    <t>LYAP-X1607-1</t>
  </si>
  <si>
    <t>LYAP-X1607-2</t>
  </si>
  <si>
    <t>LYAP-X1607-2-R</t>
  </si>
  <si>
    <t>LYAP-X1611-1-L</t>
  </si>
  <si>
    <t>LYAP-X1611-1-R</t>
  </si>
  <si>
    <t>LYAP-X1611-2</t>
  </si>
  <si>
    <t>LYAP-X1611-2-L</t>
  </si>
  <si>
    <t>LYAP-X1611-2-R</t>
  </si>
  <si>
    <t>LYAP-X1613</t>
  </si>
  <si>
    <t>LYAP-X1614-1</t>
  </si>
  <si>
    <t>LYAP-X1616-1</t>
  </si>
  <si>
    <t>LYAP-X1620-1</t>
  </si>
  <si>
    <t>LYAP-X1620-1F-L</t>
  </si>
  <si>
    <t>LYAP-X1620-1F-R</t>
  </si>
  <si>
    <t>LYAP-X1621-1</t>
  </si>
  <si>
    <t>LYAP-X1621S-1L</t>
  </si>
  <si>
    <t>LYAP-X1621S-1R</t>
  </si>
  <si>
    <t>LYAP-X1629</t>
  </si>
  <si>
    <t>LYAP-X1631</t>
  </si>
  <si>
    <t>LYAP-X1638</t>
  </si>
  <si>
    <t>LYAP-X1643-1</t>
  </si>
  <si>
    <t>LYAP-X1643-1L</t>
  </si>
  <si>
    <t>LYAP-X1643-1R</t>
  </si>
  <si>
    <t>LYAP-X1645-1</t>
  </si>
  <si>
    <t>LYAP-X1645-1L</t>
  </si>
  <si>
    <t>LYAP-X1645-1R</t>
  </si>
  <si>
    <t>LYAP-X1646-1</t>
  </si>
  <si>
    <t>LYAP-X1646-1L</t>
  </si>
  <si>
    <t>LYAP-X1646-1R</t>
  </si>
  <si>
    <t>LYAP-X1669-1R</t>
  </si>
  <si>
    <t>LYAP-X1705</t>
  </si>
  <si>
    <t>LYCP-012</t>
  </si>
  <si>
    <t>LYCP-089S-1</t>
  </si>
  <si>
    <t>LYCP-090S-2</t>
  </si>
  <si>
    <t>LYCP-117S-2</t>
  </si>
  <si>
    <t>LYCP-117S-2+LYAP-892</t>
  </si>
  <si>
    <t>LYCP-117S-1</t>
  </si>
  <si>
    <t>LYCP-118</t>
  </si>
  <si>
    <t>LYCP-120</t>
  </si>
  <si>
    <t>LYCP-121-1</t>
  </si>
  <si>
    <t>LYCP-122-1</t>
  </si>
  <si>
    <t>LYCP-125S</t>
  </si>
  <si>
    <t>LYCP-126</t>
  </si>
  <si>
    <t>LYCP-127</t>
  </si>
  <si>
    <t>LYCP-128</t>
  </si>
  <si>
    <t>LYCP-129</t>
  </si>
  <si>
    <t>LYCP-131-2</t>
  </si>
  <si>
    <t>LYCP-134S</t>
  </si>
  <si>
    <t>LYCP-154</t>
  </si>
  <si>
    <t>LYCP-155-1</t>
  </si>
  <si>
    <t>LYCP-157S</t>
  </si>
  <si>
    <t>LYCP-166</t>
  </si>
  <si>
    <t>LYCP-181</t>
  </si>
  <si>
    <t>LYCP-183</t>
  </si>
  <si>
    <t>LYCP-184</t>
  </si>
  <si>
    <t>LYCP-186</t>
  </si>
  <si>
    <t>LYCP-190S-2</t>
  </si>
  <si>
    <t>LYCP-190T-1</t>
  </si>
  <si>
    <t>LYCP-192</t>
  </si>
  <si>
    <t>LYCP-193S</t>
  </si>
  <si>
    <t>LYCP-195</t>
  </si>
  <si>
    <t>LYCP-197</t>
  </si>
  <si>
    <t>LYCP-198S</t>
  </si>
  <si>
    <t>LYCP-200</t>
  </si>
  <si>
    <t>LYCP-201</t>
  </si>
  <si>
    <t>LYCP-202</t>
  </si>
  <si>
    <t>LYCP-203S-1</t>
  </si>
  <si>
    <t>LYCP-203S-2</t>
  </si>
  <si>
    <t>LYCP-209</t>
  </si>
  <si>
    <t>LYCP-219</t>
  </si>
  <si>
    <t>LYCP-223</t>
  </si>
  <si>
    <t>LYHS-001L</t>
  </si>
  <si>
    <t>LYHS-001R</t>
  </si>
  <si>
    <t>LYHS-002L</t>
  </si>
  <si>
    <t>LYHS-002R</t>
  </si>
  <si>
    <t>LYHS-003L</t>
  </si>
  <si>
    <t>LYHS-003R</t>
  </si>
  <si>
    <t>LYHS-004L</t>
  </si>
  <si>
    <t>LYHS-004R</t>
  </si>
  <si>
    <t>LYHS-005L</t>
  </si>
  <si>
    <t>LYHS-005R</t>
  </si>
  <si>
    <t>LYHS-006L</t>
  </si>
  <si>
    <t>LYHS-006R</t>
  </si>
  <si>
    <t>LYHS-007L</t>
  </si>
  <si>
    <t>LYHS-007R</t>
  </si>
  <si>
    <t>LYHS-009L</t>
  </si>
  <si>
    <t>LYHS-009R</t>
  </si>
  <si>
    <t>LYHS-010SR</t>
  </si>
  <si>
    <t>LYHS-011SL</t>
  </si>
  <si>
    <t>LYHS-011SR</t>
  </si>
  <si>
    <t>LYHS-012SL</t>
  </si>
  <si>
    <t>LYHS-012R</t>
  </si>
  <si>
    <t>LYHS-013L</t>
  </si>
  <si>
    <t>LYHS-013R</t>
  </si>
  <si>
    <t>LYHS-016L</t>
  </si>
  <si>
    <t>LYHS-016R</t>
  </si>
  <si>
    <t>LYHS-017L</t>
  </si>
  <si>
    <t>LYHS-017R</t>
  </si>
  <si>
    <t>LYHS-018L</t>
  </si>
  <si>
    <t>LYHS-018R</t>
  </si>
  <si>
    <t>LYHS-019L</t>
  </si>
  <si>
    <t>LYHS-019R</t>
  </si>
  <si>
    <t>LYHS-020L</t>
  </si>
  <si>
    <t>LYHS-020R</t>
  </si>
  <si>
    <t>LYHS-028-R</t>
  </si>
  <si>
    <t>LYHS-029-L</t>
  </si>
  <si>
    <t>LYHS-029-R</t>
  </si>
  <si>
    <t>LYMIR-119-L-G</t>
  </si>
  <si>
    <t>LYMIR-119-L-S</t>
  </si>
  <si>
    <t>LYMIR-119-R-G</t>
  </si>
  <si>
    <t>LYMIR-119-R-S</t>
  </si>
  <si>
    <t>LYMIR-120-L</t>
  </si>
  <si>
    <t>LYMIR-120-R</t>
  </si>
  <si>
    <t>LYMIR-121-L</t>
  </si>
  <si>
    <t>LYMIR-122-L</t>
  </si>
  <si>
    <t>LYMIR-124L</t>
  </si>
  <si>
    <t>LYMIR-124R</t>
  </si>
  <si>
    <t>LYMIR-23S</t>
  </si>
  <si>
    <t>LYMIR-28S-1-GC</t>
  </si>
  <si>
    <t>LYMIR-29-1</t>
  </si>
  <si>
    <t>LYMIR-30-F</t>
  </si>
  <si>
    <t>LYMIR-30-R</t>
  </si>
  <si>
    <t>LYMIR-31-1</t>
  </si>
  <si>
    <t>LYMIR-31-2</t>
  </si>
  <si>
    <t>LYMIR-32</t>
  </si>
  <si>
    <t>LYMIR-33</t>
  </si>
  <si>
    <t>LYMIR-34-L</t>
  </si>
  <si>
    <t>LYMIR-34-R</t>
  </si>
  <si>
    <t>LYMIR-35-L</t>
  </si>
  <si>
    <t>LYMIR-35-R</t>
  </si>
  <si>
    <t>LYMIR-36-S</t>
  </si>
  <si>
    <t>LYMIR-37-1</t>
  </si>
  <si>
    <t>LYMIR-37-2</t>
  </si>
  <si>
    <t>LYMIR-38-1</t>
  </si>
  <si>
    <t>LYMIR-38-2</t>
  </si>
  <si>
    <t>LYMIR-39-L</t>
  </si>
  <si>
    <t>LYMIR-39-R</t>
  </si>
  <si>
    <t>LYMIR-40-L</t>
  </si>
  <si>
    <t>LYMIR-41-L</t>
  </si>
  <si>
    <t>LYMIR-41-R</t>
  </si>
  <si>
    <t>LYMIR-42-L</t>
  </si>
  <si>
    <t>LYMIR-42-R</t>
  </si>
  <si>
    <t>LYMIR-43</t>
  </si>
  <si>
    <t>LYMIR-44</t>
  </si>
  <si>
    <t>LYMIR-45-L</t>
  </si>
  <si>
    <t>LYMIR-45-R</t>
  </si>
  <si>
    <t>LYMIR-47-L</t>
  </si>
  <si>
    <t>LYMIR-47-R</t>
  </si>
  <si>
    <t>LYMIR-48-L</t>
  </si>
  <si>
    <t>LYMIR-48-R</t>
  </si>
  <si>
    <t>LYMIR-49S-L</t>
  </si>
  <si>
    <t>LYMIR-50-L</t>
  </si>
  <si>
    <t>LYMIR-50-R</t>
  </si>
  <si>
    <t>LYMIR-51-L</t>
  </si>
  <si>
    <t>LYMIR-52-L</t>
  </si>
  <si>
    <t>LYMIR-52-R</t>
  </si>
  <si>
    <t>LYMIR-53-L</t>
  </si>
  <si>
    <t>LYMIR-53-R</t>
  </si>
  <si>
    <t>LYMIR-54-L</t>
  </si>
  <si>
    <t>LYMIR-55-L</t>
  </si>
  <si>
    <t>LYMIR-55-R</t>
  </si>
  <si>
    <t>LYMIR-57S-L</t>
  </si>
  <si>
    <t>LYMIR-58-L</t>
  </si>
  <si>
    <t>LYMIR-59-L</t>
  </si>
  <si>
    <t>LYMIR-59-R</t>
  </si>
  <si>
    <t>LYMIR-66S-L</t>
  </si>
  <si>
    <t>LYMIR-66S-R</t>
  </si>
  <si>
    <t>LYMIR-67</t>
  </si>
  <si>
    <t>LYMIR-72-S</t>
  </si>
  <si>
    <t>LYMIR-73-R</t>
  </si>
  <si>
    <t>LYMIR-75</t>
  </si>
  <si>
    <t>LYMIR-76</t>
  </si>
  <si>
    <t>LYMIR-78</t>
  </si>
  <si>
    <t>LYMIR-78-L</t>
  </si>
  <si>
    <t>LYMIR-78-R</t>
  </si>
  <si>
    <t>LYMIR-80-L</t>
  </si>
  <si>
    <t>LYMIR-80-R</t>
  </si>
  <si>
    <t>LYMIR-86-G</t>
  </si>
  <si>
    <t>LYMIR-86-S</t>
  </si>
  <si>
    <t>LYMIR-87-L-DG</t>
  </si>
  <si>
    <t>LYMIR-87-R-DG</t>
  </si>
  <si>
    <t>LYMIR-88-S</t>
  </si>
  <si>
    <t>LYMIR-89S-R</t>
  </si>
  <si>
    <t>LYMIR-90</t>
  </si>
  <si>
    <t>LYMIR-91-G</t>
  </si>
  <si>
    <t>LYOP-034</t>
  </si>
  <si>
    <t>LYOP-061-1</t>
  </si>
  <si>
    <t>LYOP-061-2</t>
  </si>
  <si>
    <t>LYOP-106-1</t>
  </si>
  <si>
    <t>LYOP-106S-4</t>
  </si>
  <si>
    <t>LYPL-409</t>
  </si>
  <si>
    <t>NJ-002</t>
  </si>
  <si>
    <t>TJ-010</t>
  </si>
  <si>
    <t>TJ-011</t>
  </si>
  <si>
    <t>TJ-012</t>
  </si>
  <si>
    <t>TJ-013</t>
  </si>
  <si>
    <t>TJ-015</t>
  </si>
  <si>
    <t>XM-001S</t>
  </si>
  <si>
    <t>XM22-2</t>
  </si>
  <si>
    <t>LYAM-875</t>
  </si>
  <si>
    <t>LYAM-X1191S</t>
  </si>
  <si>
    <t>LYAP-X1689-1</t>
  </si>
  <si>
    <t>LYAP-X1689-1L</t>
  </si>
  <si>
    <t>LYAP-X1689-1R</t>
  </si>
  <si>
    <t>LYAP-X1882-GB</t>
  </si>
  <si>
    <t>LYAM-X2256</t>
  </si>
  <si>
    <t>LYAM-X2258</t>
  </si>
  <si>
    <t>LYAM-X2262</t>
  </si>
  <si>
    <t>LYAM-X2264</t>
  </si>
  <si>
    <t>LYCP-121-1-W</t>
  </si>
  <si>
    <t>LYCP-121-2-BK</t>
  </si>
  <si>
    <t>LYCP-121-2-W</t>
  </si>
  <si>
    <t>LYAM-X1169-2</t>
  </si>
  <si>
    <t>LYAM-X1169-4</t>
  </si>
  <si>
    <t>LYAM-X1800S-2-C</t>
  </si>
  <si>
    <t>LYAM-X1169-3</t>
  </si>
  <si>
    <t>LYMIR-82-R-BK</t>
  </si>
  <si>
    <t>LYAM-X1169-1</t>
  </si>
  <si>
    <t>LYMIR-82-L-BK</t>
  </si>
  <si>
    <t>LYMIR-88-G</t>
  </si>
  <si>
    <t>LYAP-X1524</t>
  </si>
  <si>
    <t>LYAP-X1558-2</t>
  </si>
  <si>
    <t>LYAP-X1227-1</t>
  </si>
  <si>
    <t>LYAP-X1565-1R</t>
  </si>
  <si>
    <t>LYAM-X1560T-2</t>
  </si>
  <si>
    <t>LYAP-X1480</t>
  </si>
  <si>
    <t>LYAP-X1673-1</t>
  </si>
  <si>
    <t>LYHS-010SL</t>
  </si>
  <si>
    <t>LYAP-X1280-L</t>
  </si>
  <si>
    <t>LYAP-X1280-R</t>
  </si>
  <si>
    <t>LYAP-X1348</t>
  </si>
  <si>
    <t>LYAP-X1353</t>
  </si>
  <si>
    <t>LYHS-030-L</t>
  </si>
  <si>
    <t>LYAP-X1782-1</t>
  </si>
  <si>
    <t>LYCP-350</t>
  </si>
  <si>
    <t>LYAP-X1355</t>
  </si>
  <si>
    <t>LYAM-612-1</t>
  </si>
  <si>
    <t>LYAM-612-1L</t>
  </si>
  <si>
    <t>LYAP-X1558-2-R</t>
  </si>
  <si>
    <t>LYCP-349</t>
  </si>
  <si>
    <t>LYAP-X1407-5W</t>
  </si>
  <si>
    <t>LYAM-X2271</t>
  </si>
  <si>
    <t>LYAP-X1641-1</t>
  </si>
  <si>
    <t>LYAP-X1641-2</t>
  </si>
  <si>
    <t>LYAP-462-CB</t>
  </si>
  <si>
    <t>LYAP-462-GB</t>
  </si>
  <si>
    <t>LYAP-462-MB</t>
  </si>
  <si>
    <t>LYAM-X2269T-1L</t>
  </si>
  <si>
    <t>LYAM-X2272</t>
  </si>
  <si>
    <t>LYAM-X2261</t>
  </si>
  <si>
    <t>LYAM-X2268</t>
  </si>
  <si>
    <t>LYAM-X2023-1F</t>
  </si>
  <si>
    <t>LYAM-X1144</t>
  </si>
  <si>
    <t>LYMIR-118-L</t>
  </si>
  <si>
    <t>LYAM-X2260</t>
  </si>
  <si>
    <t>LYAP-X1784</t>
  </si>
  <si>
    <t>LYAP-X1785-1</t>
  </si>
  <si>
    <t>LYAP-X1785-2</t>
  </si>
  <si>
    <t>LYAM-X2023-1R</t>
  </si>
  <si>
    <t>LYAP-X1864</t>
  </si>
  <si>
    <t>LYAP-X1342</t>
  </si>
  <si>
    <t>LYHS-030-R</t>
  </si>
  <si>
    <t>LYAP-X1115R-2U-1</t>
  </si>
  <si>
    <t>LYAP-X1356</t>
  </si>
  <si>
    <t>LYMIR-65</t>
  </si>
  <si>
    <t>LYAP-X2067</t>
  </si>
  <si>
    <t>LYAM-X2259</t>
  </si>
  <si>
    <t>LYAM-X2044-L</t>
  </si>
  <si>
    <t>LYAM-X2044-R</t>
  </si>
  <si>
    <t>LYAM-X2257</t>
  </si>
  <si>
    <t>LYAM-X2263</t>
  </si>
  <si>
    <t>LYAM-X2273</t>
  </si>
  <si>
    <t>LYAP-X1765</t>
  </si>
  <si>
    <t>LYMIR-128-R</t>
  </si>
  <si>
    <t>LYMIR-127-L</t>
  </si>
  <si>
    <t>LYMIR-127-R</t>
  </si>
  <si>
    <t>LYAP-X1797</t>
  </si>
  <si>
    <t>LYAP-X1798</t>
  </si>
  <si>
    <t>LYAM-X2049-R</t>
  </si>
  <si>
    <t>LYAP-X1869</t>
  </si>
  <si>
    <t>LYAP-X1874</t>
  </si>
  <si>
    <t>LYAM-X2056-2L</t>
  </si>
  <si>
    <t>LYAP-X1639</t>
  </si>
  <si>
    <t>LYAM-X2056-1L</t>
  </si>
  <si>
    <t>LYAM-X2056-1R</t>
  </si>
  <si>
    <t>LYAM-X2056-2R</t>
  </si>
  <si>
    <t>LYAP-X1657-DP</t>
  </si>
  <si>
    <t>LYAP-X2058-1</t>
  </si>
  <si>
    <t>LYAM-X2049-L</t>
  </si>
  <si>
    <t>LYAP-X1794-1L</t>
  </si>
  <si>
    <t>LYAP-X1824-1</t>
  </si>
  <si>
    <t>LYAP-X1863-1</t>
  </si>
  <si>
    <t>LYAM-X2252</t>
  </si>
  <si>
    <t>LYAP-X1789-1L</t>
  </si>
  <si>
    <t>LYAP-X1789-1R</t>
  </si>
  <si>
    <t>LYAM-X2253</t>
  </si>
  <si>
    <t>LYAM-X2265-1</t>
  </si>
  <si>
    <t>LYAM-X2485</t>
  </si>
  <si>
    <t>LYAM-X2486</t>
  </si>
  <si>
    <t>LYAM-X2571-1</t>
  </si>
  <si>
    <t>LYAM-X2487</t>
  </si>
  <si>
    <t>LYAP-X1859-1</t>
  </si>
  <si>
    <t>LYAP-X1950-1</t>
  </si>
  <si>
    <t>LYAP-X2068-1</t>
  </si>
  <si>
    <t>LYAP-X2068-2</t>
  </si>
  <si>
    <t>LYAP-X1791-2L</t>
  </si>
  <si>
    <t>LYAP-X1791-2R</t>
  </si>
  <si>
    <t>LYAP-X1860-1</t>
  </si>
  <si>
    <t>LYAP-X1876-1</t>
  </si>
  <si>
    <t>LYAM-X2269T-1L+LYAM-X2269T-1R</t>
  </si>
  <si>
    <t>LYAM-634-1</t>
  </si>
  <si>
    <t>LYAM-X2577-1</t>
  </si>
  <si>
    <t>LYAP-X1748-2-BK</t>
  </si>
  <si>
    <t>LYAP-X1748-2-C</t>
  </si>
  <si>
    <t>LYAP-X1870-1</t>
  </si>
  <si>
    <t>LYAP-X1796-1</t>
  </si>
  <si>
    <t>LYAM-X2815-1</t>
  </si>
  <si>
    <t>LYAM-X2576-1</t>
  </si>
  <si>
    <t>LYAM-X2576-1L</t>
  </si>
  <si>
    <t>LYAM-X2576-1R</t>
  </si>
  <si>
    <t>LYAP-X1789-2L</t>
  </si>
  <si>
    <t>LYAP-X1789-2R</t>
  </si>
  <si>
    <t>LYAP-X1865-1</t>
  </si>
  <si>
    <t>LYAP-X1861</t>
  </si>
  <si>
    <t>LYAP-X1791-1L</t>
  </si>
  <si>
    <t>LYAP-X1791-1R</t>
  </si>
  <si>
    <t>LYAP-X2060-1</t>
  </si>
  <si>
    <t>LYAP-X2057</t>
  </si>
  <si>
    <t>LYAP-X1656-1</t>
  </si>
  <si>
    <t>LYAP-X1656-1L</t>
  </si>
  <si>
    <t>LYAP-X1656-1R</t>
  </si>
  <si>
    <t>LYAM-X2416-C</t>
  </si>
  <si>
    <t>LYAM-X2416-BK</t>
  </si>
  <si>
    <t>LYAP-X1789-4R</t>
  </si>
  <si>
    <t>LYAM-X2046-L</t>
  </si>
  <si>
    <t>LYAM-X2046-R</t>
  </si>
  <si>
    <t>LYAP-X1914</t>
  </si>
  <si>
    <t>LYAP-X2040</t>
  </si>
  <si>
    <t>LYAP-X1662-2</t>
  </si>
  <si>
    <t>LYAP-X1908-BK</t>
  </si>
  <si>
    <t>LYAP-X1908-C</t>
  </si>
  <si>
    <t>LYAM-X2756</t>
  </si>
  <si>
    <t>LYAP-X1662-1</t>
  </si>
  <si>
    <t>LYAP-X1640-1R</t>
  </si>
  <si>
    <t>LYAP-X1791-3L</t>
  </si>
  <si>
    <t>LYAP-X1640-1L</t>
  </si>
  <si>
    <t>LYAP-X1791-3R</t>
  </si>
  <si>
    <t>LYAP-X1868</t>
  </si>
  <si>
    <t>LYAP-X1910-BK</t>
  </si>
  <si>
    <t>LYAP-X1910-C</t>
  </si>
  <si>
    <t>LYAP-X2020</t>
  </si>
  <si>
    <t>LYAP-X2021</t>
  </si>
  <si>
    <t>LYAP-X1939-1</t>
  </si>
  <si>
    <t>LYAP-X2032</t>
  </si>
  <si>
    <t>LYAP-X2132</t>
  </si>
  <si>
    <t>LYAP-X1919</t>
  </si>
  <si>
    <t>LYAP-X2131</t>
  </si>
  <si>
    <t>LYAP-838-1L</t>
  </si>
  <si>
    <t>LYAP-838-1R</t>
  </si>
  <si>
    <t>LYAM-X2575-3</t>
  </si>
  <si>
    <t>LYAP-X1659-1</t>
  </si>
  <si>
    <t>LYAP-X2081-1</t>
  </si>
  <si>
    <t>LYAP-X2081-1L</t>
  </si>
  <si>
    <t>LYAP-X2081-1R</t>
  </si>
  <si>
    <t>LYAP-X1994-RL</t>
  </si>
  <si>
    <t>LYAP-X1994-RR</t>
  </si>
  <si>
    <t>LYAM-X2800</t>
  </si>
  <si>
    <t>LYAP-X1659-1L</t>
  </si>
  <si>
    <t>LYAP-X1659-1R</t>
  </si>
  <si>
    <t>LYAM-X2575-4</t>
  </si>
  <si>
    <t>LYAM-X2305-1</t>
  </si>
  <si>
    <t>LYAM-X2575-1</t>
  </si>
  <si>
    <t>LYAP-X1482-2</t>
  </si>
  <si>
    <t>LYAP-X1482-3</t>
  </si>
  <si>
    <t>LYAP-X1482-4</t>
  </si>
  <si>
    <t>LYAP-X1640-1</t>
  </si>
  <si>
    <t>LYAP-X1791-4L</t>
  </si>
  <si>
    <t>LYAP-X1791-4R</t>
  </si>
  <si>
    <t>LYAP-X1799</t>
  </si>
  <si>
    <t>LYAP-X1915</t>
  </si>
  <si>
    <t>LYAP-X1939-1L</t>
  </si>
  <si>
    <t>LYAP-X1939-1R</t>
  </si>
  <si>
    <t>LYAP-X1939-2</t>
  </si>
  <si>
    <t>LYAM-X2267-1</t>
  </si>
  <si>
    <t>LYAP-X1789-4L</t>
  </si>
  <si>
    <t>ZL-023</t>
  </si>
  <si>
    <t>LYAP-941-2</t>
  </si>
  <si>
    <t>LYAP-941-1+LYAP-941-2</t>
  </si>
  <si>
    <t>LYAM-X2266-1</t>
  </si>
  <si>
    <t>LYAP-X2146</t>
  </si>
  <si>
    <t>LYAP-X1642-BK</t>
  </si>
  <si>
    <t>LYAP-X2089</t>
  </si>
  <si>
    <t>LYAM-X2732</t>
  </si>
  <si>
    <t>LYAM-X2753-2</t>
  </si>
  <si>
    <t>LYAM-X2695</t>
  </si>
  <si>
    <t>LYAP-X1913</t>
  </si>
  <si>
    <t>LYAM-X2574-1</t>
  </si>
  <si>
    <t>LYAM-X2706</t>
  </si>
  <si>
    <t>LYAP-X1871</t>
  </si>
  <si>
    <t>LYAP-X1800-1R</t>
  </si>
  <si>
    <t>LYAP-X1254L</t>
  </si>
  <si>
    <t>LYAM-X1341</t>
  </si>
  <si>
    <t>LYCP-155-2</t>
  </si>
  <si>
    <t>LYAM-634-2</t>
  </si>
  <si>
    <t>LYAM-334</t>
  </si>
  <si>
    <t>LYAM-369</t>
  </si>
  <si>
    <t>LYCP-156</t>
  </si>
  <si>
    <t>LYAP-624S</t>
  </si>
  <si>
    <t>LYAP-654</t>
  </si>
  <si>
    <t>LYAP-669S-2</t>
  </si>
  <si>
    <t>LYAP-680-2</t>
  </si>
  <si>
    <t>LYAP-686S-1</t>
  </si>
  <si>
    <t>LYAP-686S-2</t>
  </si>
  <si>
    <t>LYAP-724-1</t>
  </si>
  <si>
    <t>LYAP-X1383</t>
  </si>
  <si>
    <t>LYAP-X1436-GB</t>
  </si>
  <si>
    <t>LYAP-640S-1</t>
  </si>
  <si>
    <t>LYAP-X1620-1F</t>
  </si>
  <si>
    <t>LYAP-X1523</t>
  </si>
  <si>
    <t>LYAP-X1528</t>
  </si>
  <si>
    <t>LYAP-X1569-2R</t>
  </si>
  <si>
    <t>LYAP-187</t>
  </si>
  <si>
    <t>LYAP-X1548-1</t>
  </si>
  <si>
    <t>LYAP-X1605-1-R</t>
  </si>
  <si>
    <t>LYAP-X1599-1R</t>
  </si>
  <si>
    <t>LYCP-218</t>
  </si>
  <si>
    <t>LYAP-230</t>
  </si>
  <si>
    <t>LYCP-131S-1</t>
  </si>
  <si>
    <t>LYAP-271</t>
  </si>
  <si>
    <t>LYAP-306</t>
  </si>
  <si>
    <t>LYAP-278</t>
  </si>
  <si>
    <t>LYAP-498</t>
  </si>
  <si>
    <t>LYAP-507</t>
  </si>
  <si>
    <t>LYAM-254</t>
  </si>
  <si>
    <t>LYAP-389</t>
  </si>
  <si>
    <t>LYAM-717-1</t>
  </si>
  <si>
    <t>LYAM-739</t>
  </si>
  <si>
    <t>LYAM-419</t>
  </si>
  <si>
    <t>LYAM-888-2</t>
  </si>
  <si>
    <t>LYAP-446</t>
  </si>
  <si>
    <t>LYAP-164-MB</t>
  </si>
  <si>
    <t>LYAP-098</t>
  </si>
  <si>
    <t>LYAP-200</t>
  </si>
  <si>
    <t>LYAP-222</t>
  </si>
  <si>
    <t>LYAP-224</t>
  </si>
  <si>
    <t>LYAP-233</t>
  </si>
  <si>
    <t>LYAP-239-2</t>
  </si>
  <si>
    <t>LYAP-304-1</t>
  </si>
  <si>
    <t>LYAP-304-2</t>
  </si>
  <si>
    <t>LYAP-320</t>
  </si>
  <si>
    <t>LYCB-001-2</t>
  </si>
  <si>
    <t>LYAP-395</t>
  </si>
  <si>
    <t>LYAP-482</t>
  </si>
  <si>
    <t>LYAP-531S</t>
  </si>
  <si>
    <t>LYAP-194</t>
  </si>
  <si>
    <t>LYAP-548</t>
  </si>
  <si>
    <t>LYAP-627-2</t>
  </si>
  <si>
    <t>LYAP-630</t>
  </si>
  <si>
    <t>LYAP-631S-2</t>
  </si>
  <si>
    <t>LYAP-652</t>
  </si>
  <si>
    <t>LYAP-699S</t>
  </si>
  <si>
    <t>LYAP-719-2</t>
  </si>
  <si>
    <t>LYAP-732-1</t>
  </si>
  <si>
    <t>LYAM-662</t>
  </si>
  <si>
    <t>LYAP-822</t>
  </si>
  <si>
    <t>LYAP-878-3</t>
  </si>
  <si>
    <t>LYAP-917S-1+LYAP-917S-2</t>
  </si>
  <si>
    <t>LYAP-983-1</t>
  </si>
  <si>
    <t>LYAP-983-1FLR</t>
  </si>
  <si>
    <t>LYAP-983-2FLR</t>
  </si>
  <si>
    <t>LYAP-892</t>
  </si>
  <si>
    <t>LYAP-993-2</t>
  </si>
  <si>
    <t>LYAP-993-2L</t>
  </si>
  <si>
    <t>LYAP-X1142</t>
  </si>
  <si>
    <t>LYAP-X1211</t>
  </si>
  <si>
    <t>LYAP-X1228</t>
  </si>
  <si>
    <t>LYAP-X1268</t>
  </si>
  <si>
    <t>LYAP-X1357-1</t>
  </si>
  <si>
    <t>LYAP-X1481-1</t>
  </si>
  <si>
    <t>LYAP-647-1</t>
  </si>
  <si>
    <t>LYAP-795-2</t>
  </si>
  <si>
    <t>LYAP-842S-2</t>
  </si>
  <si>
    <t>LYAP-139</t>
  </si>
  <si>
    <t>LYAP-X1208</t>
  </si>
  <si>
    <t>LYAP-X1209</t>
  </si>
  <si>
    <t>LYAM-X1370</t>
  </si>
  <si>
    <t>LYAP-X1644-1</t>
  </si>
  <si>
    <t>LYAP-209</t>
  </si>
  <si>
    <t>LYAM-385</t>
  </si>
  <si>
    <t>LYAP-631S-1</t>
  </si>
  <si>
    <t>LYAP-669S-1</t>
  </si>
  <si>
    <t>LYAP-542-2</t>
  </si>
  <si>
    <t>LYAM-440</t>
  </si>
  <si>
    <t>LYAP-X1207</t>
  </si>
  <si>
    <t>LYAP-X1203</t>
  </si>
  <si>
    <t>LYAP-X1196</t>
  </si>
  <si>
    <t>LYAP-X1197</t>
  </si>
  <si>
    <t>LYAP-X1279-CB</t>
  </si>
  <si>
    <t>LYAP-X1253S</t>
  </si>
  <si>
    <t>LYAP-X1475</t>
  </si>
  <si>
    <t>LYMIR-22-L</t>
  </si>
  <si>
    <t>LYAP-X1565-1L</t>
  </si>
  <si>
    <t>LYHS-028-L</t>
  </si>
  <si>
    <t>LYHS-032-R</t>
  </si>
  <si>
    <t>LYAP-X1594-1</t>
  </si>
  <si>
    <t>LYAP-X1586-1</t>
  </si>
  <si>
    <t>LYAP-X1644-1R</t>
  </si>
  <si>
    <t>LYAP-X1483-1</t>
  </si>
  <si>
    <t>LYAM-X1857S</t>
  </si>
  <si>
    <t>LYHS-032-L</t>
  </si>
  <si>
    <t>LYAP-X1547-1</t>
  </si>
  <si>
    <t>LYAP-X1644-1L</t>
  </si>
  <si>
    <t>LYAP-X1618-1</t>
  </si>
  <si>
    <t>LYAP-X1647-1</t>
  </si>
  <si>
    <t>LYAP-X1669-1</t>
  </si>
  <si>
    <t>LYAM-267</t>
  </si>
  <si>
    <t>LYAP-X2474-2</t>
  </si>
  <si>
    <t>求和项:Quantity</t>
  </si>
  <si>
    <t>求和项:实际收款额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</si>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</sst>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$#,##0.00;\$\-#,##0.00"/>
    <numFmt numFmtId="178" formatCode="0_ "/>
    <numFmt numFmtId="179" formatCode="yyyy/m/d;@"/>
    <numFmt numFmtId="180" formatCode="\$#,##0.00;\-\$#,##0.00"/>
    <numFmt numFmtId="181" formatCode="0.00_);[Red]\(0.00\)"/>
    <numFmt numFmtId="182" formatCode="&quot;$&quot;#,##0.00"/>
    <numFmt numFmtId="183" formatCode="0_);[Red]\(0\)"/>
    <numFmt numFmtId="184" formatCode="\$#,##0.00;[Red]\$\-#,##0.00"/>
    <numFmt numFmtId="185" formatCode="0_ ;[Red]\-0\ "/>
  </numFmts>
  <fonts count="3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Microsoft YaHei"/>
      <charset val="134"/>
    </font>
    <font>
      <b/>
      <sz val="10"/>
      <color rgb="FF000000"/>
      <name val="Microsoft YaHei"/>
      <charset val="134"/>
    </font>
    <font>
      <sz val="10"/>
      <color rgb="FFFF0000"/>
      <name val="Microsoft YaHei"/>
      <charset val="134"/>
    </font>
    <font>
      <sz val="10"/>
      <color rgb="FF000000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Calibri"/>
      <charset val="134"/>
    </font>
    <font>
      <sz val="11"/>
      <color rgb="FF000000"/>
      <name val="Microsoft YaHei UI"/>
      <charset val="134"/>
    </font>
    <font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84CCD3"/>
        <bgColor indexed="64"/>
      </patternFill>
    </fill>
    <fill>
      <patternFill patternType="solid">
        <fgColor rgb="FFE5E3BE"/>
        <bgColor indexed="64"/>
      </patternFill>
    </fill>
    <fill>
      <patternFill patternType="solid">
        <fgColor rgb="FFAD81D5"/>
        <bgColor indexed="64"/>
      </patternFill>
    </fill>
    <fill>
      <patternFill patternType="solid">
        <fgColor rgb="FFF618DF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F3460"/>
        <bgColor rgb="FF0F3460"/>
      </patternFill>
    </fill>
    <fill>
      <patternFill patternType="solid">
        <fgColor rgb="FFFFF5F5"/>
        <bgColor rgb="FFFF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22" borderId="22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23">
      <alignment vertical="center"/>
    </xf>
    <xf numFmtId="0" fontId="20" fillId="0" borderId="23">
      <alignment vertical="center"/>
    </xf>
    <xf numFmtId="0" fontId="21" fillId="0" borderId="24">
      <alignment vertical="center"/>
    </xf>
    <xf numFmtId="0" fontId="21" fillId="0" borderId="0">
      <alignment vertical="center"/>
    </xf>
    <xf numFmtId="0" fontId="22" fillId="23" borderId="25">
      <alignment vertical="center"/>
    </xf>
    <xf numFmtId="0" fontId="23" fillId="24" borderId="26">
      <alignment vertical="center"/>
    </xf>
    <xf numFmtId="0" fontId="24" fillId="24" borderId="25">
      <alignment vertical="center"/>
    </xf>
    <xf numFmtId="0" fontId="25" fillId="25" borderId="27">
      <alignment vertical="center"/>
    </xf>
    <xf numFmtId="0" fontId="26" fillId="0" borderId="28">
      <alignment vertical="center"/>
    </xf>
    <xf numFmtId="0" fontId="27" fillId="0" borderId="29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1" fillId="1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1" fillId="35" borderId="0">
      <alignment vertical="center"/>
    </xf>
    <xf numFmtId="0" fontId="31" fillId="36" borderId="0">
      <alignment vertical="center"/>
    </xf>
    <xf numFmtId="0" fontId="32" fillId="37" borderId="0">
      <alignment vertical="center"/>
    </xf>
    <xf numFmtId="0" fontId="32" fillId="38" borderId="0">
      <alignment vertical="center"/>
    </xf>
    <xf numFmtId="0" fontId="31" fillId="39" borderId="0">
      <alignment vertical="center"/>
    </xf>
    <xf numFmtId="0" fontId="31" fillId="40" borderId="0">
      <alignment vertical="center"/>
    </xf>
    <xf numFmtId="0" fontId="32" fillId="41" borderId="0">
      <alignment vertical="center"/>
    </xf>
    <xf numFmtId="0" fontId="32" fillId="42" borderId="0">
      <alignment vertical="center"/>
    </xf>
    <xf numFmtId="0" fontId="31" fillId="43" borderId="0">
      <alignment vertical="center"/>
    </xf>
    <xf numFmtId="0" fontId="31" fillId="44" borderId="0">
      <alignment vertical="center"/>
    </xf>
    <xf numFmtId="0" fontId="32" fillId="45" borderId="0">
      <alignment vertical="center"/>
    </xf>
    <xf numFmtId="0" fontId="32" fillId="46" borderId="0">
      <alignment vertical="center"/>
    </xf>
    <xf numFmtId="0" fontId="31" fillId="47" borderId="0">
      <alignment vertical="center"/>
    </xf>
    <xf numFmtId="0" fontId="31" fillId="6" borderId="0">
      <alignment vertical="center"/>
    </xf>
    <xf numFmtId="0" fontId="32" fillId="48" borderId="0">
      <alignment vertical="center"/>
    </xf>
    <xf numFmtId="0" fontId="32" fillId="49" borderId="0">
      <alignment vertical="center"/>
    </xf>
    <xf numFmtId="0" fontId="31" fillId="50" borderId="0">
      <alignment vertical="center"/>
    </xf>
  </cellStyleXfs>
  <cellXfs count="13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6" fontId="0" fillId="0" borderId="0" xfId="0" applyNumberFormat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7" fontId="5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8" fontId="6" fillId="0" borderId="3" xfId="0" applyNumberFormat="1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8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79" fontId="3" fillId="0" borderId="5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26" fontId="3" fillId="0" borderId="5" xfId="0" applyNumberFormat="1" applyFont="1" applyBorder="1" applyAlignment="1">
      <alignment horizontal="center" vertical="center" wrapText="1"/>
    </xf>
    <xf numFmtId="180" fontId="3" fillId="0" borderId="6" xfId="0" applyNumberFormat="1" applyFont="1" applyBorder="1" applyAlignment="1">
      <alignment horizontal="center" vertical="center" wrapText="1"/>
    </xf>
    <xf numFmtId="180" fontId="3" fillId="0" borderId="8" xfId="0" applyNumberFormat="1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181" fontId="3" fillId="0" borderId="5" xfId="0" applyNumberFormat="1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81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/>
    <xf numFmtId="0" fontId="10" fillId="4" borderId="0" xfId="0" applyFont="1" applyFill="1" applyAlignment="1">
      <alignment horizontal="center" vertical="center" wrapText="1"/>
    </xf>
    <xf numFmtId="182" fontId="10" fillId="4" borderId="0" xfId="0" applyNumberFormat="1" applyFont="1" applyFill="1" applyAlignment="1">
      <alignment horizontal="center" vertical="center" wrapText="1"/>
    </xf>
    <xf numFmtId="181" fontId="10" fillId="4" borderId="0" xfId="0" applyNumberFormat="1" applyFont="1" applyFill="1" applyAlignment="1">
      <alignment horizontal="center" vertical="center" wrapText="1"/>
    </xf>
    <xf numFmtId="10" fontId="10" fillId="4" borderId="0" xfId="0" applyNumberFormat="1" applyFont="1" applyFill="1" applyAlignment="1">
      <alignment horizontal="center" vertical="center" wrapText="1"/>
    </xf>
    <xf numFmtId="10" fontId="10" fillId="4" borderId="1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79" fontId="10" fillId="0" borderId="0" xfId="0" applyNumberFormat="1" applyFont="1" applyAlignment="1">
      <alignment horizontal="center" vertical="center" wrapText="1"/>
    </xf>
    <xf numFmtId="182" fontId="10" fillId="0" borderId="0" xfId="0" applyNumberFormat="1" applyFont="1" applyAlignment="1">
      <alignment horizontal="center" vertical="center" wrapText="1"/>
    </xf>
    <xf numFmtId="181" fontId="10" fillId="0" borderId="0" xfId="0" applyNumberFormat="1" applyFont="1" applyAlignment="1">
      <alignment horizontal="center" vertical="center" wrapText="1"/>
    </xf>
    <xf numFmtId="10" fontId="10" fillId="0" borderId="0" xfId="0" applyNumberFormat="1" applyFont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10" fillId="4" borderId="13" xfId="0" applyFont="1" applyFill="1" applyBorder="1" applyAlignment="1">
      <alignment horizontal="center" vertical="center" wrapText="1"/>
    </xf>
    <xf numFmtId="182" fontId="10" fillId="4" borderId="13" xfId="0" applyNumberFormat="1" applyFont="1" applyFill="1" applyBorder="1" applyAlignment="1">
      <alignment horizontal="center" vertical="center" wrapText="1"/>
    </xf>
    <xf numFmtId="181" fontId="10" fillId="4" borderId="13" xfId="0" applyNumberFormat="1" applyFont="1" applyFill="1" applyBorder="1" applyAlignment="1">
      <alignment horizontal="center" vertical="center" wrapText="1"/>
    </xf>
    <xf numFmtId="10" fontId="10" fillId="4" borderId="13" xfId="0" applyNumberFormat="1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183" fontId="10" fillId="0" borderId="0" xfId="0" applyNumberFormat="1" applyFont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184" fontId="0" fillId="0" borderId="16" xfId="0" applyNumberFormat="1" applyBorder="1" applyAlignment="1">
      <alignment horizontal="right" vertical="center"/>
    </xf>
    <xf numFmtId="184" fontId="0" fillId="0" borderId="0" xfId="0" applyNumberFormat="1" applyAlignment="1">
      <alignment horizontal="right" vertical="center"/>
    </xf>
    <xf numFmtId="24" fontId="0" fillId="0" borderId="0" xfId="0" applyNumberFormat="1" applyAlignment="1">
      <alignment horizontal="right" vertical="center"/>
    </xf>
    <xf numFmtId="0" fontId="0" fillId="0" borderId="16" xfId="0" applyBorder="1" applyAlignment="1">
      <alignment vertical="center"/>
    </xf>
    <xf numFmtId="10" fontId="0" fillId="0" borderId="16" xfId="0" applyNumberFormat="1" applyBorder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0" fillId="0" borderId="17" xfId="0" applyBorder="1" applyAlignment="1">
      <alignment vertical="center"/>
    </xf>
    <xf numFmtId="10" fontId="0" fillId="0" borderId="17" xfId="0" applyNumberFormat="1" applyBorder="1" applyAlignment="1">
      <alignment vertical="center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24" fontId="3" fillId="7" borderId="0" xfId="0" applyNumberFormat="1" applyFont="1" applyFill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10" fontId="3" fillId="9" borderId="16" xfId="0" applyNumberFormat="1" applyFont="1" applyFill="1" applyBorder="1" applyAlignment="1">
      <alignment horizontal="center" vertical="center" wrapText="1"/>
    </xf>
    <xf numFmtId="10" fontId="3" fillId="9" borderId="0" xfId="0" applyNumberFormat="1" applyFont="1" applyFill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11" fillId="13" borderId="16" xfId="0" applyFont="1" applyFill="1" applyBorder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0" fontId="11" fillId="14" borderId="16" xfId="0" applyFont="1" applyFill="1" applyBorder="1" applyAlignment="1">
      <alignment horizontal="center" vertical="center" wrapText="1"/>
    </xf>
    <xf numFmtId="0" fontId="11" fillId="14" borderId="0" xfId="0" applyFont="1" applyFill="1" applyAlignment="1">
      <alignment horizontal="center" vertical="center" wrapText="1"/>
    </xf>
    <xf numFmtId="0" fontId="11" fillId="15" borderId="16" xfId="0" applyFont="1" applyFill="1" applyBorder="1" applyAlignment="1">
      <alignment horizontal="center" vertical="center" wrapText="1"/>
    </xf>
    <xf numFmtId="0" fontId="11" fillId="15" borderId="0" xfId="0" applyFont="1" applyFill="1" applyAlignment="1">
      <alignment horizontal="center" vertical="center" wrapText="1"/>
    </xf>
    <xf numFmtId="0" fontId="11" fillId="15" borderId="17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 vertical="center" wrapText="1"/>
    </xf>
    <xf numFmtId="0" fontId="11" fillId="17" borderId="0" xfId="0" applyFont="1" applyFill="1" applyAlignment="1">
      <alignment horizontal="center" vertical="center" wrapText="1"/>
    </xf>
    <xf numFmtId="10" fontId="11" fillId="18" borderId="0" xfId="0" applyNumberFormat="1" applyFont="1" applyFill="1" applyAlignment="1">
      <alignment horizontal="center" vertical="center" wrapText="1"/>
    </xf>
    <xf numFmtId="10" fontId="11" fillId="18" borderId="17" xfId="0" applyNumberFormat="1" applyFont="1" applyFill="1" applyBorder="1" applyAlignment="1">
      <alignment horizontal="center" vertical="center" wrapText="1"/>
    </xf>
    <xf numFmtId="10" fontId="11" fillId="19" borderId="17" xfId="0" applyNumberFormat="1" applyFont="1" applyFill="1" applyBorder="1" applyAlignment="1">
      <alignment horizontal="center" vertical="center" wrapText="1"/>
    </xf>
    <xf numFmtId="10" fontId="11" fillId="3" borderId="17" xfId="0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 wrapText="1"/>
    </xf>
    <xf numFmtId="179" fontId="6" fillId="0" borderId="20" xfId="0" applyNumberFormat="1" applyFont="1" applyBorder="1" applyAlignment="1">
      <alignment horizontal="center" vertical="center" wrapText="1"/>
    </xf>
    <xf numFmtId="179" fontId="6" fillId="0" borderId="18" xfId="0" applyNumberFormat="1" applyFont="1" applyBorder="1" applyAlignment="1">
      <alignment horizontal="center" vertical="center" wrapText="1"/>
    </xf>
    <xf numFmtId="185" fontId="10" fillId="0" borderId="0" xfId="0" applyNumberFormat="1" applyFont="1" applyAlignment="1">
      <alignment horizontal="center" vertical="center" wrapText="1"/>
    </xf>
    <xf numFmtId="184" fontId="10" fillId="0" borderId="16" xfId="0" applyNumberFormat="1" applyFont="1" applyBorder="1" applyAlignment="1">
      <alignment horizontal="center" vertical="center" wrapText="1"/>
    </xf>
    <xf numFmtId="184" fontId="10" fillId="0" borderId="0" xfId="0" applyNumberFormat="1" applyFont="1" applyAlignment="1">
      <alignment horizontal="center" vertical="center" wrapText="1"/>
    </xf>
    <xf numFmtId="24" fontId="10" fillId="0" borderId="0" xfId="0" applyNumberFormat="1" applyFont="1" applyAlignment="1">
      <alignment horizontal="center" vertical="center" wrapText="1"/>
    </xf>
    <xf numFmtId="26" fontId="10" fillId="0" borderId="0" xfId="0" applyNumberFormat="1" applyFont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10" fontId="10" fillId="0" borderId="16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184" fontId="10" fillId="0" borderId="17" xfId="0" applyNumberFormat="1" applyFont="1" applyBorder="1" applyAlignment="1">
      <alignment horizontal="center" vertical="center" wrapText="1"/>
    </xf>
    <xf numFmtId="10" fontId="10" fillId="0" borderId="17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179" fontId="6" fillId="0" borderId="15" xfId="0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0" fillId="0" borderId="0" xfId="0" applyAlignment="1"/>
    <xf numFmtId="0" fontId="12" fillId="20" borderId="2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21" borderId="21" xfId="0" applyFont="1" applyFill="1" applyBorder="1" applyAlignment="1">
      <alignment horizontal="center" vertical="center" wrapText="1"/>
    </xf>
    <xf numFmtId="0" fontId="13" fillId="21" borderId="21" xfId="0" applyFont="1" applyFill="1" applyBorder="1" applyAlignment="1">
      <alignment horizontal="left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C000"/>
        </patternFill>
      </fill>
    </dxf>
    <dxf>
      <fill>
        <patternFill patternType="solid">
          <bgColor rgb="FFFF9900"/>
        </patternFill>
      </fill>
    </dxf>
    <dxf>
      <font>
        <color rgb="FFD73434"/>
      </font>
      <fill>
        <patternFill patternType="solid">
          <bgColor rgb="FFFEC8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WPSDrive\1657638535\WPS&#20225;&#19994;&#20113;&#30424;\&#24120;&#24030;&#24066;&#20940;&#36234;&#20449;&#24687;&#25216;&#26415;&#26381;&#21153;&#26377;&#38480;&#20844;&#21496;\&#22242;&#38431;&#25991;&#26723;\eBay&#36816;&#33829;&#19977;&#37096;\&#26032;&#21697;\&#26032;&#21697;&#32047;&#35745;&#25968;&#25454;\&#26032;&#21697;&#26816;&#26597;&#35760;&#244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dy\WPSDrive\1657638535_2\WPS&#20225;&#19994;&#20113;&#30424;\&#24120;&#24030;&#24066;&#20940;&#36234;&#20449;&#24687;&#25216;&#26415;&#26381;&#21153;&#26377;&#38480;&#20844;&#21496;\&#22242;&#38431;&#25991;&#26723;\eBay&#36816;&#33829;&#19977;&#37096;\&#26032;&#21697;\&#26032;&#21697;&#32047;&#35745;&#25968;&#25454;\&#26032;&#21697;&#21608;&#25968;&#25454;&#23384;&#26723;4.2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四三数据累计"/>
      <sheetName val="四三透视表"/>
      <sheetName val="月数据累计"/>
      <sheetName val="月度透视表"/>
      <sheetName val="周销售数据"/>
      <sheetName val="月销售数据"/>
      <sheetName val="分配表"/>
    </sheetNames>
    <sheetDataSet>
      <sheetData sheetId="0">
        <row r="1">
          <cell r="A1" t="str">
            <v>销售编号</v>
          </cell>
          <cell r="B1" t="str">
            <v>SKU</v>
          </cell>
        </row>
        <row r="2">
          <cell r="A2">
            <v>12073</v>
          </cell>
          <cell r="B2" t="str">
            <v>LYAP-X1658</v>
          </cell>
        </row>
        <row r="3">
          <cell r="A3">
            <v>12074</v>
          </cell>
          <cell r="B3" t="str">
            <v>LYAP-X1658L</v>
          </cell>
        </row>
        <row r="4">
          <cell r="A4">
            <v>12075</v>
          </cell>
          <cell r="B4" t="str">
            <v>LYAP-X1658R</v>
          </cell>
        </row>
        <row r="5">
          <cell r="A5">
            <v>12252</v>
          </cell>
          <cell r="B5" t="str">
            <v>LYAP-X1800-1</v>
          </cell>
        </row>
        <row r="6">
          <cell r="A6">
            <v>12165</v>
          </cell>
          <cell r="B6" t="str">
            <v>LYAP-X1877</v>
          </cell>
        </row>
        <row r="7">
          <cell r="A7">
            <v>12247</v>
          </cell>
          <cell r="B7" t="str">
            <v>LYAP-X2528</v>
          </cell>
        </row>
        <row r="8">
          <cell r="A8">
            <v>11102</v>
          </cell>
          <cell r="B8" t="str">
            <v>LYAM-X2254-L</v>
          </cell>
        </row>
        <row r="9">
          <cell r="A9">
            <v>12071</v>
          </cell>
          <cell r="B9" t="str">
            <v>LYAM-X2980-BK</v>
          </cell>
        </row>
        <row r="10">
          <cell r="A10">
            <v>12072</v>
          </cell>
          <cell r="B10" t="str">
            <v>LYAM-X2980-GR</v>
          </cell>
        </row>
        <row r="11">
          <cell r="A11">
            <v>12248</v>
          </cell>
          <cell r="B11" t="str">
            <v>LYAP-X2308</v>
          </cell>
        </row>
        <row r="12">
          <cell r="A12">
            <v>12246</v>
          </cell>
          <cell r="B12" t="str">
            <v>LYAP-X2527</v>
          </cell>
        </row>
        <row r="13">
          <cell r="A13">
            <v>12205</v>
          </cell>
          <cell r="B13" t="str">
            <v>LYAP-X1800S-1L</v>
          </cell>
        </row>
        <row r="14">
          <cell r="A14">
            <v>12206</v>
          </cell>
          <cell r="B14" t="str">
            <v>LYAP-X1800S-1R</v>
          </cell>
        </row>
        <row r="15">
          <cell r="A15">
            <v>11997</v>
          </cell>
          <cell r="B15" t="str">
            <v>LYAM-X2896</v>
          </cell>
        </row>
        <row r="16">
          <cell r="A16">
            <v>12262</v>
          </cell>
          <cell r="B16" t="str">
            <v>LYAP-X2170</v>
          </cell>
        </row>
        <row r="17">
          <cell r="A17">
            <v>12244</v>
          </cell>
          <cell r="B17" t="str">
            <v>LYAP-X2190-L</v>
          </cell>
        </row>
        <row r="18">
          <cell r="A18">
            <v>12243</v>
          </cell>
          <cell r="B18" t="str">
            <v>LYAP-X2190-R</v>
          </cell>
        </row>
        <row r="19">
          <cell r="A19">
            <v>12304</v>
          </cell>
          <cell r="B19" t="str">
            <v>LYAP-X1642-GR</v>
          </cell>
        </row>
        <row r="20">
          <cell r="A20">
            <v>12085</v>
          </cell>
          <cell r="B20" t="str">
            <v>LYAP-X1911-BK</v>
          </cell>
        </row>
        <row r="21">
          <cell r="A21">
            <v>12086</v>
          </cell>
          <cell r="B21" t="str">
            <v>LYAP-X1911-C</v>
          </cell>
        </row>
        <row r="22">
          <cell r="A22">
            <v>12258</v>
          </cell>
          <cell r="B22" t="str">
            <v>LYAP-X1927</v>
          </cell>
        </row>
        <row r="23">
          <cell r="A23">
            <v>12210</v>
          </cell>
          <cell r="B23" t="str">
            <v>LYAP-X1934</v>
          </cell>
        </row>
        <row r="24">
          <cell r="A24">
            <v>12250</v>
          </cell>
          <cell r="B24" t="str">
            <v>LYAP-X2148-1L</v>
          </cell>
        </row>
        <row r="25">
          <cell r="A25">
            <v>12251</v>
          </cell>
          <cell r="B25" t="str">
            <v>LYAP-X2148-1R</v>
          </cell>
        </row>
        <row r="26">
          <cell r="A26">
            <v>12332</v>
          </cell>
          <cell r="B26" t="str">
            <v>LYAP-X2289</v>
          </cell>
        </row>
        <row r="27">
          <cell r="A27">
            <v>12227</v>
          </cell>
          <cell r="B27" t="str">
            <v>LYAP-X2418</v>
          </cell>
        </row>
        <row r="28">
          <cell r="A28">
            <v>12309</v>
          </cell>
          <cell r="B28" t="str">
            <v>MD-002-FL</v>
          </cell>
        </row>
        <row r="29">
          <cell r="A29">
            <v>12310</v>
          </cell>
          <cell r="B29" t="str">
            <v>MD-002-FR</v>
          </cell>
        </row>
        <row r="30">
          <cell r="A30">
            <v>12311</v>
          </cell>
          <cell r="B30" t="str">
            <v>MD-002-RL</v>
          </cell>
        </row>
        <row r="31">
          <cell r="A31">
            <v>12312</v>
          </cell>
          <cell r="B31" t="str">
            <v>MD-002-RR</v>
          </cell>
        </row>
        <row r="32">
          <cell r="A32">
            <v>12441</v>
          </cell>
          <cell r="B32" t="str">
            <v>LYAM-X2862</v>
          </cell>
        </row>
        <row r="33">
          <cell r="A33">
            <v>12271</v>
          </cell>
          <cell r="B33" t="str">
            <v>LYAP-X1651-1L</v>
          </cell>
        </row>
        <row r="34">
          <cell r="A34">
            <v>12270</v>
          </cell>
          <cell r="B34" t="str">
            <v>LYAP-X1651-1R</v>
          </cell>
        </row>
        <row r="35">
          <cell r="A35">
            <v>12318</v>
          </cell>
          <cell r="B35" t="str">
            <v>LYAP-X1676</v>
          </cell>
        </row>
        <row r="36">
          <cell r="A36">
            <v>12320</v>
          </cell>
          <cell r="B36" t="str">
            <v>LYAP-X2417</v>
          </cell>
        </row>
        <row r="37">
          <cell r="A37">
            <v>12305</v>
          </cell>
          <cell r="B37" t="str">
            <v>MD-001-FL</v>
          </cell>
        </row>
        <row r="38">
          <cell r="A38">
            <v>12321</v>
          </cell>
          <cell r="B38" t="str">
            <v>LYAP-X1788-GR</v>
          </cell>
        </row>
        <row r="39">
          <cell r="A39">
            <v>12272</v>
          </cell>
          <cell r="B39" t="str">
            <v>LYAP-X1808</v>
          </cell>
        </row>
        <row r="40">
          <cell r="A40">
            <v>12292</v>
          </cell>
          <cell r="B40" t="str">
            <v>LYAP-X1879</v>
          </cell>
        </row>
        <row r="41">
          <cell r="A41">
            <v>12333</v>
          </cell>
          <cell r="B41" t="str">
            <v>LYAP-X2429</v>
          </cell>
        </row>
        <row r="42">
          <cell r="A42">
            <v>12334</v>
          </cell>
          <cell r="B42" t="str">
            <v>LYAP-X2523</v>
          </cell>
        </row>
        <row r="43">
          <cell r="A43">
            <v>12368</v>
          </cell>
          <cell r="B43" t="str">
            <v>LYAP-X2530</v>
          </cell>
        </row>
        <row r="44">
          <cell r="A44">
            <v>12306</v>
          </cell>
          <cell r="B44" t="str">
            <v>MD-001-FR</v>
          </cell>
        </row>
        <row r="45">
          <cell r="A45">
            <v>12307</v>
          </cell>
          <cell r="B45" t="str">
            <v>MD-001-RL</v>
          </cell>
        </row>
        <row r="46">
          <cell r="A46">
            <v>12308</v>
          </cell>
          <cell r="B46" t="str">
            <v>MD-001-RR</v>
          </cell>
        </row>
        <row r="47">
          <cell r="A47">
            <v>12293</v>
          </cell>
          <cell r="B47" t="str">
            <v>LYAP-X2144-1</v>
          </cell>
        </row>
        <row r="48">
          <cell r="A48">
            <v>12298</v>
          </cell>
          <cell r="B48" t="str">
            <v>LYAP-X2144-1L</v>
          </cell>
        </row>
        <row r="49">
          <cell r="A49">
            <v>12299</v>
          </cell>
          <cell r="B49" t="str">
            <v>LYAP-X2144-1R</v>
          </cell>
        </row>
        <row r="50">
          <cell r="A50">
            <v>12396</v>
          </cell>
          <cell r="B50" t="str">
            <v>LYAP-X1665-1</v>
          </cell>
        </row>
        <row r="51">
          <cell r="A51">
            <v>12291</v>
          </cell>
          <cell r="B51" t="str">
            <v>LYAP-X1872</v>
          </cell>
        </row>
        <row r="52">
          <cell r="A52">
            <v>12290</v>
          </cell>
          <cell r="B52" t="str">
            <v>LYAP-X1878</v>
          </cell>
        </row>
        <row r="53">
          <cell r="A53">
            <v>12391</v>
          </cell>
          <cell r="B53" t="str">
            <v>LYAP-X2130-1</v>
          </cell>
        </row>
        <row r="54">
          <cell r="A54">
            <v>12398</v>
          </cell>
          <cell r="B54" t="str">
            <v>LYAP-X2130-2</v>
          </cell>
        </row>
        <row r="55">
          <cell r="A55">
            <v>12357</v>
          </cell>
          <cell r="B55" t="str">
            <v>LYAP-X2309</v>
          </cell>
        </row>
        <row r="56">
          <cell r="A56">
            <v>12423</v>
          </cell>
          <cell r="B56" t="str">
            <v>LYAP-X2313</v>
          </cell>
        </row>
        <row r="57">
          <cell r="A57">
            <v>12387</v>
          </cell>
          <cell r="B57" t="str">
            <v>LYAP-X2077</v>
          </cell>
        </row>
        <row r="58">
          <cell r="A58">
            <v>12388</v>
          </cell>
          <cell r="B58" t="str">
            <v>LYAP-X2085</v>
          </cell>
        </row>
        <row r="59">
          <cell r="A59">
            <v>12474</v>
          </cell>
          <cell r="B59" t="str">
            <v>LYAP-838</v>
          </cell>
        </row>
        <row r="60">
          <cell r="A60">
            <v>12429</v>
          </cell>
          <cell r="B60" t="str">
            <v>LYAP-X1665-2L</v>
          </cell>
        </row>
        <row r="61">
          <cell r="A61">
            <v>12424</v>
          </cell>
          <cell r="B61" t="str">
            <v>LYAP-X1665-2R</v>
          </cell>
        </row>
        <row r="62">
          <cell r="A62">
            <v>12386</v>
          </cell>
          <cell r="B62" t="str">
            <v>LYAP-X1788-BN</v>
          </cell>
        </row>
        <row r="63">
          <cell r="A63">
            <v>12426</v>
          </cell>
          <cell r="B63" t="str">
            <v>LYAP-X2215</v>
          </cell>
        </row>
        <row r="64">
          <cell r="A64">
            <v>12483</v>
          </cell>
          <cell r="B64" t="str">
            <v>LYAP-X2310</v>
          </cell>
        </row>
        <row r="65">
          <cell r="A65">
            <v>12484</v>
          </cell>
          <cell r="B65" t="str">
            <v>LYAP-X2317</v>
          </cell>
        </row>
        <row r="66">
          <cell r="A66">
            <v>12414</v>
          </cell>
          <cell r="B66" t="str">
            <v>LYAP-X1665-1L</v>
          </cell>
        </row>
        <row r="67">
          <cell r="A67">
            <v>12422</v>
          </cell>
          <cell r="B67" t="str">
            <v>LYAP-X1665-1R</v>
          </cell>
        </row>
        <row r="68">
          <cell r="A68">
            <v>12213</v>
          </cell>
          <cell r="B68" t="str">
            <v>LYAP-X1929</v>
          </cell>
        </row>
        <row r="69">
          <cell r="A69">
            <v>12461</v>
          </cell>
          <cell r="B69" t="str">
            <v>LYAM-X2428-BK</v>
          </cell>
        </row>
        <row r="70">
          <cell r="A70">
            <v>12489</v>
          </cell>
          <cell r="B70" t="str">
            <v>LYAP-X2504</v>
          </cell>
        </row>
        <row r="71">
          <cell r="A71">
            <v>12480</v>
          </cell>
          <cell r="B71" t="str">
            <v>LYAM-X2804</v>
          </cell>
        </row>
        <row r="72">
          <cell r="A72">
            <v>12558</v>
          </cell>
          <cell r="B72" t="str">
            <v>LYAP-X1963</v>
          </cell>
        </row>
        <row r="73">
          <cell r="A73">
            <v>12473</v>
          </cell>
          <cell r="B73" t="str">
            <v>LYAM-X2818</v>
          </cell>
        </row>
        <row r="74">
          <cell r="A74">
            <v>12464</v>
          </cell>
          <cell r="B74" t="str">
            <v>LYAM-X2428-C</v>
          </cell>
        </row>
        <row r="75">
          <cell r="A75">
            <v>12540</v>
          </cell>
          <cell r="B75" t="str">
            <v>LYAP-X2307</v>
          </cell>
        </row>
        <row r="76">
          <cell r="A76">
            <v>12541</v>
          </cell>
          <cell r="B76" t="str">
            <v>LYAP-X2314</v>
          </cell>
        </row>
        <row r="77">
          <cell r="A77">
            <v>12542</v>
          </cell>
          <cell r="B77" t="str">
            <v>LYAP-X2319</v>
          </cell>
        </row>
        <row r="78">
          <cell r="A78">
            <v>12543</v>
          </cell>
          <cell r="B78" t="str">
            <v>LYAP-X2320</v>
          </cell>
        </row>
        <row r="79">
          <cell r="A79">
            <v>12544</v>
          </cell>
          <cell r="B79" t="str">
            <v>LYAP-X2324</v>
          </cell>
        </row>
        <row r="80">
          <cell r="A80">
            <v>12612</v>
          </cell>
          <cell r="B80" t="str">
            <v>LYAM-X2895</v>
          </cell>
        </row>
        <row r="81">
          <cell r="A81">
            <v>12651</v>
          </cell>
          <cell r="B81" t="str">
            <v>LYAP-X2210-C</v>
          </cell>
        </row>
        <row r="82">
          <cell r="A82">
            <v>12604</v>
          </cell>
          <cell r="B82" t="str">
            <v>LYAM-X2439</v>
          </cell>
        </row>
        <row r="83">
          <cell r="A83">
            <v>12526</v>
          </cell>
          <cell r="B83" t="str">
            <v>LYAM-X2443</v>
          </cell>
        </row>
        <row r="84">
          <cell r="A84">
            <v>12590</v>
          </cell>
          <cell r="B84" t="str">
            <v>LYAM-X2450-SL</v>
          </cell>
        </row>
        <row r="85">
          <cell r="A85">
            <v>12586</v>
          </cell>
          <cell r="B85" t="str">
            <v>LYAP-X1909</v>
          </cell>
        </row>
        <row r="86">
          <cell r="A86">
            <v>12615</v>
          </cell>
          <cell r="B86" t="str">
            <v>LYAP-X2042-FL</v>
          </cell>
        </row>
        <row r="87">
          <cell r="A87">
            <v>12616</v>
          </cell>
          <cell r="B87" t="str">
            <v>LYAP-X2042-FR</v>
          </cell>
        </row>
        <row r="88">
          <cell r="A88">
            <v>12572</v>
          </cell>
          <cell r="B88" t="str">
            <v>LYAP-X2317-L</v>
          </cell>
        </row>
        <row r="89">
          <cell r="A89">
            <v>12573</v>
          </cell>
          <cell r="B89" t="str">
            <v>LYAP-X2317-R</v>
          </cell>
        </row>
        <row r="90">
          <cell r="A90">
            <v>12650</v>
          </cell>
          <cell r="B90" t="str">
            <v>LYAP-X2318</v>
          </cell>
        </row>
        <row r="91">
          <cell r="A91">
            <v>12649</v>
          </cell>
          <cell r="B91" t="str">
            <v>LYAP-X2385</v>
          </cell>
        </row>
        <row r="92">
          <cell r="A92">
            <v>12632</v>
          </cell>
          <cell r="B92" t="str">
            <v>LYAP-X2428-3</v>
          </cell>
        </row>
        <row r="93">
          <cell r="A93">
            <v>12631</v>
          </cell>
          <cell r="B93" t="str">
            <v>LYAP-X2428-2</v>
          </cell>
        </row>
        <row r="94">
          <cell r="A94">
            <v>12630</v>
          </cell>
          <cell r="B94" t="str">
            <v>LYAP-X2428-1</v>
          </cell>
        </row>
        <row r="95">
          <cell r="A95">
            <v>12587</v>
          </cell>
          <cell r="B95" t="str">
            <v>LYAP-X1360-1L</v>
          </cell>
        </row>
        <row r="96">
          <cell r="A96">
            <v>12569</v>
          </cell>
          <cell r="B96" t="str">
            <v>LYAP-X2316</v>
          </cell>
        </row>
        <row r="97">
          <cell r="A97">
            <v>12575</v>
          </cell>
          <cell r="B97" t="str">
            <v>LYAP-X2310-R</v>
          </cell>
        </row>
        <row r="98">
          <cell r="A98">
            <v>12574</v>
          </cell>
          <cell r="B98" t="str">
            <v>LYAP-X2310-L</v>
          </cell>
        </row>
        <row r="99">
          <cell r="A99">
            <v>12629</v>
          </cell>
          <cell r="B99" t="str">
            <v>LYAP-X2412</v>
          </cell>
        </row>
        <row r="100">
          <cell r="A100">
            <v>12591</v>
          </cell>
          <cell r="B100" t="str">
            <v>LYAM-X2452-SL</v>
          </cell>
        </row>
        <row r="101">
          <cell r="A101">
            <v>12606</v>
          </cell>
          <cell r="B101" t="str">
            <v>LYAM-X2460</v>
          </cell>
        </row>
        <row r="102">
          <cell r="A102">
            <v>12614</v>
          </cell>
          <cell r="B102" t="str">
            <v>LYAP-X1966</v>
          </cell>
        </row>
        <row r="103">
          <cell r="A103">
            <v>12532</v>
          </cell>
          <cell r="B103" t="str">
            <v>LYAM-X3058</v>
          </cell>
        </row>
        <row r="104">
          <cell r="A104">
            <v>12713</v>
          </cell>
          <cell r="B104" t="str">
            <v>LYAP-X1957</v>
          </cell>
        </row>
        <row r="105">
          <cell r="A105">
            <v>12732</v>
          </cell>
          <cell r="B105" t="str">
            <v>LYAP-X2025</v>
          </cell>
        </row>
        <row r="106">
          <cell r="A106">
            <v>12658</v>
          </cell>
          <cell r="B106" t="str">
            <v>LYAP-X2210-BK</v>
          </cell>
        </row>
        <row r="107">
          <cell r="A107">
            <v>12741</v>
          </cell>
          <cell r="B107" t="str">
            <v>LYAP-X2470</v>
          </cell>
        </row>
        <row r="108">
          <cell r="A108">
            <v>12740</v>
          </cell>
          <cell r="B108" t="str">
            <v>LYAP-X2471</v>
          </cell>
        </row>
        <row r="109">
          <cell r="A109">
            <v>12743</v>
          </cell>
          <cell r="B109" t="str">
            <v>LYAP-X2472</v>
          </cell>
        </row>
        <row r="110">
          <cell r="A110">
            <v>12742</v>
          </cell>
          <cell r="B110" t="str">
            <v>LYAP-X2473</v>
          </cell>
        </row>
        <row r="111">
          <cell r="A111">
            <v>12595</v>
          </cell>
          <cell r="B111" t="str">
            <v>LYAM-X2414-BK</v>
          </cell>
        </row>
        <row r="112">
          <cell r="A112">
            <v>12588</v>
          </cell>
          <cell r="B112" t="str">
            <v>LYAM-X2414-SL</v>
          </cell>
        </row>
        <row r="113">
          <cell r="A113">
            <v>12596</v>
          </cell>
          <cell r="B113" t="str">
            <v>LYAM-X2433-BK</v>
          </cell>
        </row>
        <row r="114">
          <cell r="A114">
            <v>12589</v>
          </cell>
          <cell r="B114" t="str">
            <v>LYAM-X2433-SL</v>
          </cell>
        </row>
        <row r="115">
          <cell r="A115">
            <v>12597</v>
          </cell>
          <cell r="B115" t="str">
            <v>LYAM-X2450-BK</v>
          </cell>
        </row>
        <row r="116">
          <cell r="A116">
            <v>12598</v>
          </cell>
          <cell r="B116" t="str">
            <v>LYAM-X2452-BK</v>
          </cell>
        </row>
        <row r="117">
          <cell r="A117">
            <v>12069</v>
          </cell>
          <cell r="B117" t="str">
            <v>LYAM-X2822S</v>
          </cell>
        </row>
        <row r="118">
          <cell r="A118">
            <v>12833</v>
          </cell>
          <cell r="B118" t="str">
            <v>LYAP-X1959</v>
          </cell>
        </row>
        <row r="119">
          <cell r="A119">
            <v>12519</v>
          </cell>
          <cell r="B119" t="str">
            <v>LYAM-X2816S</v>
          </cell>
        </row>
        <row r="120">
          <cell r="A120">
            <v>12686</v>
          </cell>
          <cell r="B120" t="str">
            <v>LYAP-X1852-L</v>
          </cell>
        </row>
        <row r="121">
          <cell r="A121">
            <v>12687</v>
          </cell>
          <cell r="B121" t="str">
            <v>LYAP-X1852-R</v>
          </cell>
        </row>
        <row r="122">
          <cell r="A122">
            <v>12701</v>
          </cell>
          <cell r="B122" t="str">
            <v>LYAP-X1916-L</v>
          </cell>
        </row>
        <row r="123">
          <cell r="A123">
            <v>12700</v>
          </cell>
          <cell r="B123" t="str">
            <v>LYAP-X1916-R</v>
          </cell>
        </row>
        <row r="124">
          <cell r="A124">
            <v>12779</v>
          </cell>
          <cell r="B124" t="str">
            <v>LYAP-X1979</v>
          </cell>
        </row>
        <row r="125">
          <cell r="A125">
            <v>12602</v>
          </cell>
          <cell r="B125" t="str">
            <v>LYAM-X2430-BK</v>
          </cell>
        </row>
        <row r="126">
          <cell r="A126">
            <v>12786</v>
          </cell>
          <cell r="B126" t="str">
            <v>LYAM-X2440</v>
          </cell>
        </row>
        <row r="127">
          <cell r="A127">
            <v>12840</v>
          </cell>
          <cell r="B127" t="str">
            <v>LYAM-X2445</v>
          </cell>
        </row>
        <row r="128">
          <cell r="A128">
            <v>12892</v>
          </cell>
          <cell r="B128" t="str">
            <v>LYAP-385</v>
          </cell>
        </row>
        <row r="129">
          <cell r="A129">
            <v>12781</v>
          </cell>
          <cell r="B129" t="str">
            <v>LYAP-X1660-2L</v>
          </cell>
        </row>
        <row r="130">
          <cell r="A130">
            <v>12778</v>
          </cell>
          <cell r="B130" t="str">
            <v>LYAP-X1660-2R</v>
          </cell>
        </row>
        <row r="131">
          <cell r="A131">
            <v>12714</v>
          </cell>
          <cell r="B131" t="str">
            <v>LYAP-X1891</v>
          </cell>
        </row>
        <row r="132">
          <cell r="A132">
            <v>12761</v>
          </cell>
          <cell r="B132" t="str">
            <v>LYAP-X1960</v>
          </cell>
        </row>
        <row r="133">
          <cell r="A133">
            <v>12771</v>
          </cell>
          <cell r="B133" t="str">
            <v>LYAP-X1961</v>
          </cell>
        </row>
        <row r="134">
          <cell r="A134">
            <v>12715</v>
          </cell>
          <cell r="B134" t="str">
            <v>LYAP-X1968</v>
          </cell>
        </row>
        <row r="135">
          <cell r="A135">
            <v>12762</v>
          </cell>
          <cell r="B135" t="str">
            <v>LYAP-X1970</v>
          </cell>
        </row>
        <row r="136">
          <cell r="A136">
            <v>12726</v>
          </cell>
          <cell r="B136" t="str">
            <v>LYAM-X2438-BK</v>
          </cell>
        </row>
        <row r="137">
          <cell r="A137">
            <v>12605</v>
          </cell>
          <cell r="B137" t="str">
            <v>LYAM-X2442-BK</v>
          </cell>
        </row>
        <row r="138">
          <cell r="A138">
            <v>12708</v>
          </cell>
          <cell r="B138" t="str">
            <v>LYAM-X2444</v>
          </cell>
        </row>
        <row r="139">
          <cell r="A139">
            <v>12527</v>
          </cell>
          <cell r="B139" t="str">
            <v>LYAM-X2449</v>
          </cell>
        </row>
        <row r="140">
          <cell r="A140">
            <v>12839</v>
          </cell>
          <cell r="B140" t="str">
            <v>LYAP-X2479</v>
          </cell>
        </row>
        <row r="141">
          <cell r="A141">
            <v>12795</v>
          </cell>
          <cell r="B141" t="str">
            <v>LYAP-X2657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编码</v>
          </cell>
        </row>
        <row r="1">
          <cell r="C1" t="str">
            <v>26.5月</v>
          </cell>
          <cell r="D1" t="str">
            <v>分类</v>
          </cell>
        </row>
        <row r="1">
          <cell r="I1" t="str">
            <v>产品类型：原开品/拓展品</v>
          </cell>
          <cell r="J1" t="str">
            <v>销售编号-公式</v>
          </cell>
        </row>
        <row r="1">
          <cell r="M1" t="str">
            <v>首出单日期</v>
          </cell>
        </row>
        <row r="2">
          <cell r="A2">
            <v>243</v>
          </cell>
        </row>
        <row r="2">
          <cell r="C2" t="str">
            <v>俞东旭</v>
          </cell>
          <cell r="D2" t="str">
            <v>车身外扩件</v>
          </cell>
        </row>
        <row r="2">
          <cell r="I2">
            <v>45827</v>
          </cell>
          <cell r="J2">
            <v>5818</v>
          </cell>
        </row>
        <row r="2">
          <cell r="M2">
            <v>45340</v>
          </cell>
        </row>
        <row r="3">
          <cell r="A3">
            <v>545</v>
          </cell>
        </row>
        <row r="3">
          <cell r="C3" t="str">
            <v>张潇</v>
          </cell>
          <cell r="D3" t="str">
            <v>挡泥板</v>
          </cell>
        </row>
        <row r="3">
          <cell r="I3">
            <v>0</v>
          </cell>
          <cell r="J3">
            <v>5841</v>
          </cell>
        </row>
        <row r="3">
          <cell r="M3">
            <v>45298</v>
          </cell>
        </row>
        <row r="4">
          <cell r="A4">
            <v>278</v>
          </cell>
        </row>
        <row r="4">
          <cell r="C4" t="str">
            <v>俞东旭</v>
          </cell>
          <cell r="D4" t="str">
            <v>车门系统</v>
          </cell>
        </row>
        <row r="4">
          <cell r="I4">
            <v>0</v>
          </cell>
          <cell r="J4">
            <v>5851</v>
          </cell>
        </row>
        <row r="4">
          <cell r="M4">
            <v>45307</v>
          </cell>
        </row>
        <row r="5">
          <cell r="A5">
            <v>290</v>
          </cell>
        </row>
        <row r="5">
          <cell r="C5" t="str">
            <v>俞东旭</v>
          </cell>
          <cell r="D5" t="str">
            <v>车身外扩件</v>
          </cell>
        </row>
        <row r="5">
          <cell r="I5">
            <v>0</v>
          </cell>
          <cell r="J5">
            <v>5853</v>
          </cell>
        </row>
        <row r="5">
          <cell r="M5">
            <v>45315</v>
          </cell>
        </row>
        <row r="6">
          <cell r="A6">
            <v>3023</v>
          </cell>
        </row>
        <row r="6">
          <cell r="C6" t="str">
            <v>朱培源</v>
          </cell>
          <cell r="D6" t="str">
            <v>软顶</v>
          </cell>
        </row>
        <row r="6">
          <cell r="I6">
            <v>0</v>
          </cell>
          <cell r="J6">
            <v>5869</v>
          </cell>
        </row>
        <row r="6">
          <cell r="M6">
            <v>45295</v>
          </cell>
        </row>
        <row r="7">
          <cell r="A7">
            <v>347</v>
          </cell>
        </row>
        <row r="7">
          <cell r="C7" t="str">
            <v>王偲涵</v>
          </cell>
          <cell r="D7" t="str">
            <v>车身外扩件</v>
          </cell>
        </row>
        <row r="7">
          <cell r="I7">
            <v>0</v>
          </cell>
          <cell r="J7">
            <v>5987</v>
          </cell>
        </row>
        <row r="7">
          <cell r="M7">
            <v>45299</v>
          </cell>
        </row>
        <row r="8">
          <cell r="A8">
            <v>569</v>
          </cell>
        </row>
        <row r="8">
          <cell r="C8" t="str">
            <v>朱培源</v>
          </cell>
          <cell r="D8" t="str">
            <v>挡泥板</v>
          </cell>
        </row>
        <row r="8">
          <cell r="I8">
            <v>0</v>
          </cell>
          <cell r="J8">
            <v>5874</v>
          </cell>
        </row>
        <row r="8">
          <cell r="M8">
            <v>45304</v>
          </cell>
        </row>
        <row r="9">
          <cell r="A9">
            <v>585</v>
          </cell>
        </row>
        <row r="9">
          <cell r="C9" t="str">
            <v>朱培源</v>
          </cell>
          <cell r="D9" t="str">
            <v>挡泥板</v>
          </cell>
        </row>
        <row r="9">
          <cell r="I9">
            <v>0</v>
          </cell>
          <cell r="J9">
            <v>5844</v>
          </cell>
        </row>
        <row r="9">
          <cell r="M9">
            <v>45337</v>
          </cell>
        </row>
        <row r="10">
          <cell r="A10">
            <v>3262</v>
          </cell>
        </row>
        <row r="10">
          <cell r="C10" t="str">
            <v>朱培源</v>
          </cell>
          <cell r="D10" t="str">
            <v>软顶</v>
          </cell>
        </row>
        <row r="10">
          <cell r="I10">
            <v>0</v>
          </cell>
          <cell r="J10">
            <v>5674</v>
          </cell>
        </row>
        <row r="10">
          <cell r="M10">
            <v>45311</v>
          </cell>
        </row>
        <row r="11">
          <cell r="A11">
            <v>586</v>
          </cell>
        </row>
        <row r="11">
          <cell r="C11" t="str">
            <v>朱培源</v>
          </cell>
          <cell r="D11" t="str">
            <v>挡泥板</v>
          </cell>
        </row>
        <row r="11">
          <cell r="I11">
            <v>0</v>
          </cell>
          <cell r="J11">
            <v>5843</v>
          </cell>
        </row>
        <row r="11">
          <cell r="M11">
            <v>45308</v>
          </cell>
        </row>
        <row r="12">
          <cell r="A12">
            <v>1161</v>
          </cell>
        </row>
        <row r="12">
          <cell r="C12" t="str">
            <v>张潇</v>
          </cell>
          <cell r="D12" t="str">
            <v>挡泥板</v>
          </cell>
        </row>
        <row r="12">
          <cell r="I12">
            <v>0</v>
          </cell>
          <cell r="J12">
            <v>5980</v>
          </cell>
        </row>
        <row r="12">
          <cell r="M12">
            <v>45307</v>
          </cell>
        </row>
        <row r="13">
          <cell r="A13">
            <v>4323</v>
          </cell>
        </row>
        <row r="13">
          <cell r="C13" t="str">
            <v>朱培源</v>
          </cell>
          <cell r="D13" t="str">
            <v>软顶</v>
          </cell>
        </row>
        <row r="13">
          <cell r="I13">
            <v>0</v>
          </cell>
          <cell r="J13">
            <v>5981</v>
          </cell>
        </row>
        <row r="13">
          <cell r="M13">
            <v>45298</v>
          </cell>
        </row>
        <row r="14">
          <cell r="A14">
            <v>425</v>
          </cell>
        </row>
        <row r="14">
          <cell r="C14" t="str">
            <v>朱培源</v>
          </cell>
          <cell r="D14" t="str">
            <v>挡泥板</v>
          </cell>
        </row>
        <row r="14">
          <cell r="I14">
            <v>0</v>
          </cell>
          <cell r="J14">
            <v>5789</v>
          </cell>
        </row>
        <row r="14">
          <cell r="M14">
            <v>45305</v>
          </cell>
        </row>
        <row r="15">
          <cell r="A15">
            <v>419</v>
          </cell>
        </row>
        <row r="15">
          <cell r="C15" t="str">
            <v>朱培源</v>
          </cell>
          <cell r="D15" t="str">
            <v>机盖及附件</v>
          </cell>
        </row>
        <row r="15">
          <cell r="I15">
            <v>0</v>
          </cell>
          <cell r="J15">
            <v>5790</v>
          </cell>
        </row>
        <row r="15">
          <cell r="M15">
            <v>45299</v>
          </cell>
        </row>
        <row r="16">
          <cell r="A16">
            <v>656</v>
          </cell>
        </row>
        <row r="16">
          <cell r="C16" t="str">
            <v>胡煜星</v>
          </cell>
          <cell r="D16" t="str">
            <v>车门系统</v>
          </cell>
        </row>
        <row r="16">
          <cell r="I16">
            <v>0</v>
          </cell>
          <cell r="J16">
            <v>5840</v>
          </cell>
        </row>
        <row r="16">
          <cell r="M16">
            <v>45301</v>
          </cell>
        </row>
        <row r="17">
          <cell r="A17">
            <v>488</v>
          </cell>
        </row>
        <row r="17">
          <cell r="C17" t="str">
            <v>张潇</v>
          </cell>
          <cell r="D17" t="str">
            <v>其他</v>
          </cell>
        </row>
        <row r="17">
          <cell r="I17">
            <v>0</v>
          </cell>
          <cell r="J17">
            <v>5852</v>
          </cell>
        </row>
        <row r="17">
          <cell r="M17">
            <v>45306</v>
          </cell>
        </row>
        <row r="18">
          <cell r="A18">
            <v>10089</v>
          </cell>
        </row>
        <row r="18">
          <cell r="C18" t="str">
            <v>朱培源</v>
          </cell>
          <cell r="D18" t="str">
            <v>软顶</v>
          </cell>
        </row>
        <row r="18">
          <cell r="I18">
            <v>0</v>
          </cell>
          <cell r="J18">
            <v>5977</v>
          </cell>
        </row>
        <row r="18">
          <cell r="M18">
            <v>45314</v>
          </cell>
        </row>
        <row r="19">
          <cell r="A19">
            <v>1406</v>
          </cell>
        </row>
        <row r="19">
          <cell r="C19" t="str">
            <v>朱培源</v>
          </cell>
          <cell r="D19" t="str">
            <v>软顶</v>
          </cell>
        </row>
        <row r="19">
          <cell r="I19">
            <v>0</v>
          </cell>
          <cell r="J19">
            <v>5878</v>
          </cell>
        </row>
        <row r="19">
          <cell r="M19">
            <v>45303</v>
          </cell>
        </row>
        <row r="20">
          <cell r="A20">
            <v>5573</v>
          </cell>
        </row>
        <row r="20">
          <cell r="C20" t="str">
            <v>张潇</v>
          </cell>
          <cell r="D20" t="str">
            <v>挡泥板</v>
          </cell>
        </row>
        <row r="20">
          <cell r="I20">
            <v>0</v>
          </cell>
          <cell r="J20">
            <v>4105</v>
          </cell>
        </row>
        <row r="21">
          <cell r="A21">
            <v>4261</v>
          </cell>
        </row>
        <row r="21">
          <cell r="C21" t="str">
            <v>章鹏</v>
          </cell>
          <cell r="D21" t="str">
            <v>其他</v>
          </cell>
        </row>
        <row r="21">
          <cell r="I21">
            <v>0</v>
          </cell>
          <cell r="J21">
            <v>4549</v>
          </cell>
        </row>
        <row r="22">
          <cell r="A22">
            <v>2462</v>
          </cell>
        </row>
        <row r="22">
          <cell r="C22" t="str">
            <v>朱培源</v>
          </cell>
          <cell r="D22" t="str">
            <v>软顶</v>
          </cell>
        </row>
        <row r="22">
          <cell r="I22">
            <v>0</v>
          </cell>
          <cell r="J22">
            <v>5447</v>
          </cell>
        </row>
        <row r="23">
          <cell r="A23">
            <v>3238</v>
          </cell>
        </row>
        <row r="23">
          <cell r="C23" t="str">
            <v>朱培源</v>
          </cell>
          <cell r="D23" t="str">
            <v>软顶</v>
          </cell>
        </row>
        <row r="23">
          <cell r="I23">
            <v>0</v>
          </cell>
          <cell r="J23">
            <v>5879</v>
          </cell>
        </row>
        <row r="23">
          <cell r="M23">
            <v>45335</v>
          </cell>
        </row>
        <row r="24">
          <cell r="A24">
            <v>483</v>
          </cell>
        </row>
        <row r="24">
          <cell r="C24" t="str">
            <v>朱培源</v>
          </cell>
          <cell r="D24" t="str">
            <v>挡泥板</v>
          </cell>
        </row>
        <row r="24">
          <cell r="I24">
            <v>0</v>
          </cell>
          <cell r="J24">
            <v>6041</v>
          </cell>
        </row>
        <row r="24">
          <cell r="M24">
            <v>45311</v>
          </cell>
        </row>
        <row r="25">
          <cell r="A25">
            <v>395</v>
          </cell>
        </row>
        <row r="25">
          <cell r="C25" t="str">
            <v>章鹏</v>
          </cell>
          <cell r="D25" t="str">
            <v>其他</v>
          </cell>
        </row>
        <row r="25">
          <cell r="I25">
            <v>0</v>
          </cell>
          <cell r="J25">
            <v>6050</v>
          </cell>
        </row>
        <row r="25">
          <cell r="M25">
            <v>45310</v>
          </cell>
        </row>
        <row r="26">
          <cell r="A26">
            <v>453</v>
          </cell>
        </row>
        <row r="26">
          <cell r="C26" t="str">
            <v>朱培源</v>
          </cell>
          <cell r="D26" t="str">
            <v>挡泥板</v>
          </cell>
        </row>
        <row r="26">
          <cell r="I26">
            <v>0</v>
          </cell>
          <cell r="J26">
            <v>6040</v>
          </cell>
        </row>
        <row r="26">
          <cell r="M26">
            <v>45308</v>
          </cell>
        </row>
        <row r="27">
          <cell r="A27">
            <v>423</v>
          </cell>
        </row>
        <row r="27">
          <cell r="C27" t="str">
            <v>朱培源</v>
          </cell>
          <cell r="D27" t="str">
            <v>挡泥板</v>
          </cell>
        </row>
        <row r="27">
          <cell r="I27">
            <v>0</v>
          </cell>
          <cell r="J27">
            <v>6058</v>
          </cell>
        </row>
        <row r="27">
          <cell r="M27">
            <v>45311</v>
          </cell>
        </row>
        <row r="28">
          <cell r="A28">
            <v>1140</v>
          </cell>
        </row>
        <row r="28">
          <cell r="C28" t="str">
            <v>王偲涵</v>
          </cell>
          <cell r="D28" t="str">
            <v>雨刮罩</v>
          </cell>
        </row>
        <row r="28">
          <cell r="I28">
            <v>0</v>
          </cell>
          <cell r="J28">
            <v>5510</v>
          </cell>
        </row>
        <row r="29">
          <cell r="A29">
            <v>1144</v>
          </cell>
        </row>
        <row r="29">
          <cell r="C29" t="str">
            <v>王偲涵</v>
          </cell>
          <cell r="D29" t="str">
            <v>车身外扩件</v>
          </cell>
        </row>
        <row r="29">
          <cell r="I29">
            <v>0</v>
          </cell>
          <cell r="J29">
            <v>5620</v>
          </cell>
        </row>
        <row r="30">
          <cell r="A30">
            <v>1145</v>
          </cell>
        </row>
        <row r="30">
          <cell r="C30" t="str">
            <v>转二部</v>
          </cell>
          <cell r="D30" t="str">
            <v>车身外扩件</v>
          </cell>
        </row>
        <row r="30">
          <cell r="I30">
            <v>0</v>
          </cell>
          <cell r="J30">
            <v>5589</v>
          </cell>
        </row>
        <row r="31">
          <cell r="A31">
            <v>972</v>
          </cell>
        </row>
        <row r="31">
          <cell r="C31" t="str">
            <v>张潇</v>
          </cell>
          <cell r="D31" t="str">
            <v>其他</v>
          </cell>
        </row>
        <row r="31">
          <cell r="I31">
            <v>0</v>
          </cell>
          <cell r="J31">
            <v>6014</v>
          </cell>
        </row>
        <row r="31">
          <cell r="M31">
            <v>45320</v>
          </cell>
        </row>
        <row r="32">
          <cell r="A32">
            <v>487</v>
          </cell>
        </row>
        <row r="32">
          <cell r="C32" t="str">
            <v>朱培源</v>
          </cell>
          <cell r="D32" t="str">
            <v>挡泥板</v>
          </cell>
        </row>
        <row r="32">
          <cell r="I32">
            <v>0</v>
          </cell>
          <cell r="J32">
            <v>6015</v>
          </cell>
        </row>
        <row r="32">
          <cell r="M32">
            <v>45343</v>
          </cell>
        </row>
        <row r="33">
          <cell r="A33">
            <v>8532</v>
          </cell>
        </row>
        <row r="33">
          <cell r="C33" t="str">
            <v>张潇</v>
          </cell>
          <cell r="D33" t="str">
            <v>挡泥板</v>
          </cell>
        </row>
        <row r="33">
          <cell r="I33">
            <v>0</v>
          </cell>
          <cell r="J33">
            <v>6016</v>
          </cell>
        </row>
        <row r="33">
          <cell r="M33">
            <v>45314</v>
          </cell>
        </row>
        <row r="34">
          <cell r="A34">
            <v>4692</v>
          </cell>
        </row>
        <row r="34">
          <cell r="C34" t="str">
            <v>朱培源</v>
          </cell>
          <cell r="D34" t="str">
            <v>软顶</v>
          </cell>
        </row>
        <row r="34">
          <cell r="I34">
            <v>0</v>
          </cell>
          <cell r="J34">
            <v>5993</v>
          </cell>
        </row>
        <row r="34">
          <cell r="M34">
            <v>45320</v>
          </cell>
        </row>
        <row r="35">
          <cell r="A35">
            <v>1125</v>
          </cell>
        </row>
        <row r="35">
          <cell r="C35" t="str">
            <v>章鹏</v>
          </cell>
          <cell r="D35" t="str">
            <v>挡泥板</v>
          </cell>
        </row>
        <row r="35">
          <cell r="I35">
            <v>0</v>
          </cell>
          <cell r="J35">
            <v>6033</v>
          </cell>
        </row>
        <row r="35">
          <cell r="M35">
            <v>45339</v>
          </cell>
        </row>
        <row r="36">
          <cell r="A36">
            <v>1030</v>
          </cell>
        </row>
        <row r="36">
          <cell r="C36" t="str">
            <v>张潇</v>
          </cell>
          <cell r="D36" t="str">
            <v>挡泥板</v>
          </cell>
        </row>
        <row r="36">
          <cell r="I36">
            <v>0</v>
          </cell>
          <cell r="J36">
            <v>6027</v>
          </cell>
        </row>
        <row r="36">
          <cell r="M36">
            <v>45318</v>
          </cell>
        </row>
        <row r="37">
          <cell r="A37">
            <v>1545</v>
          </cell>
        </row>
        <row r="37">
          <cell r="C37" t="str">
            <v>转二部</v>
          </cell>
          <cell r="D37" t="str">
            <v>车门系统</v>
          </cell>
        </row>
        <row r="37">
          <cell r="I37">
            <v>0</v>
          </cell>
          <cell r="J37">
            <v>6031</v>
          </cell>
        </row>
        <row r="37">
          <cell r="M37">
            <v>45320</v>
          </cell>
        </row>
        <row r="38">
          <cell r="A38">
            <v>1587</v>
          </cell>
        </row>
        <row r="38">
          <cell r="C38" t="str">
            <v>王偲涵</v>
          </cell>
          <cell r="D38" t="str">
            <v>雨刮罩</v>
          </cell>
        </row>
        <row r="38">
          <cell r="I38">
            <v>0</v>
          </cell>
          <cell r="J38">
            <v>5958</v>
          </cell>
        </row>
        <row r="38">
          <cell r="M38">
            <v>45320</v>
          </cell>
        </row>
        <row r="39">
          <cell r="A39">
            <v>3511</v>
          </cell>
        </row>
        <row r="39">
          <cell r="C39" t="str">
            <v>朱培源</v>
          </cell>
          <cell r="D39" t="str">
            <v>软顶</v>
          </cell>
        </row>
        <row r="39">
          <cell r="I39">
            <v>0</v>
          </cell>
          <cell r="J39">
            <v>6032</v>
          </cell>
        </row>
        <row r="39">
          <cell r="M39">
            <v>45317</v>
          </cell>
        </row>
        <row r="40">
          <cell r="A40">
            <v>1690</v>
          </cell>
        </row>
        <row r="40">
          <cell r="C40" t="str">
            <v>王偲涵</v>
          </cell>
          <cell r="D40" t="str">
            <v>车身外扩件</v>
          </cell>
        </row>
        <row r="40">
          <cell r="I40">
            <v>0</v>
          </cell>
          <cell r="J40">
            <v>6034</v>
          </cell>
        </row>
        <row r="40">
          <cell r="M40">
            <v>45386</v>
          </cell>
        </row>
        <row r="41">
          <cell r="A41">
            <v>1694</v>
          </cell>
        </row>
        <row r="41">
          <cell r="C41" t="str">
            <v>俞东旭</v>
          </cell>
          <cell r="D41" t="str">
            <v>车身外扩件</v>
          </cell>
        </row>
        <row r="41">
          <cell r="I41">
            <v>0</v>
          </cell>
          <cell r="J41">
            <v>6128</v>
          </cell>
        </row>
        <row r="41">
          <cell r="M41">
            <v>45322</v>
          </cell>
        </row>
        <row r="42">
          <cell r="A42">
            <v>1696</v>
          </cell>
        </row>
        <row r="42">
          <cell r="C42" t="str">
            <v>王偲涵</v>
          </cell>
          <cell r="D42" t="str">
            <v>车身外扩件</v>
          </cell>
        </row>
        <row r="42">
          <cell r="I42">
            <v>0</v>
          </cell>
          <cell r="J42">
            <v>6136</v>
          </cell>
        </row>
        <row r="42">
          <cell r="M42">
            <v>45349</v>
          </cell>
        </row>
        <row r="43">
          <cell r="A43">
            <v>1705</v>
          </cell>
        </row>
        <row r="43">
          <cell r="C43" t="str">
            <v>王偲涵</v>
          </cell>
          <cell r="D43" t="str">
            <v>车身外扩件</v>
          </cell>
        </row>
        <row r="43">
          <cell r="I43">
            <v>0</v>
          </cell>
          <cell r="J43">
            <v>6137</v>
          </cell>
        </row>
        <row r="43">
          <cell r="M43">
            <v>45321</v>
          </cell>
        </row>
        <row r="44">
          <cell r="A44">
            <v>1706</v>
          </cell>
        </row>
        <row r="44">
          <cell r="C44" t="str">
            <v>转二部</v>
          </cell>
          <cell r="D44" t="str">
            <v>车身外扩件</v>
          </cell>
        </row>
        <row r="44">
          <cell r="I44">
            <v>0</v>
          </cell>
          <cell r="J44">
            <v>6162</v>
          </cell>
        </row>
        <row r="44">
          <cell r="M44">
            <v>45328</v>
          </cell>
        </row>
        <row r="45">
          <cell r="A45">
            <v>1715</v>
          </cell>
        </row>
        <row r="45">
          <cell r="C45" t="str">
            <v>王偲涵</v>
          </cell>
          <cell r="D45" t="str">
            <v>车身外扩件</v>
          </cell>
        </row>
        <row r="45">
          <cell r="I45">
            <v>0</v>
          </cell>
          <cell r="J45">
            <v>6165</v>
          </cell>
        </row>
        <row r="45">
          <cell r="M45">
            <v>45327</v>
          </cell>
        </row>
        <row r="46">
          <cell r="A46">
            <v>1249</v>
          </cell>
        </row>
        <row r="46">
          <cell r="C46" t="str">
            <v>章鹏</v>
          </cell>
          <cell r="D46" t="str">
            <v>挡泥板</v>
          </cell>
        </row>
        <row r="46">
          <cell r="I46">
            <v>0</v>
          </cell>
          <cell r="J46">
            <v>6168</v>
          </cell>
        </row>
        <row r="46">
          <cell r="M46">
            <v>45338</v>
          </cell>
        </row>
        <row r="47">
          <cell r="A47">
            <v>1748</v>
          </cell>
        </row>
        <row r="47">
          <cell r="C47" t="str">
            <v>王偲涵</v>
          </cell>
          <cell r="D47" t="str">
            <v>车身外扩件</v>
          </cell>
        </row>
        <row r="47">
          <cell r="I47">
            <v>0</v>
          </cell>
          <cell r="J47">
            <v>6169</v>
          </cell>
        </row>
        <row r="47">
          <cell r="M47">
            <v>45399</v>
          </cell>
        </row>
        <row r="48">
          <cell r="A48">
            <v>1045</v>
          </cell>
        </row>
        <row r="48">
          <cell r="C48" t="str">
            <v>朱培源</v>
          </cell>
          <cell r="D48" t="str">
            <v>挡泥板</v>
          </cell>
        </row>
        <row r="48">
          <cell r="I48">
            <v>0</v>
          </cell>
          <cell r="J48">
            <v>6170</v>
          </cell>
        </row>
        <row r="48">
          <cell r="M48">
            <v>45322</v>
          </cell>
        </row>
        <row r="49">
          <cell r="A49">
            <v>108</v>
          </cell>
        </row>
        <row r="49">
          <cell r="C49" t="str">
            <v>胡煜星</v>
          </cell>
          <cell r="D49" t="str">
            <v>车门系统</v>
          </cell>
        </row>
        <row r="49">
          <cell r="I49">
            <v>0</v>
          </cell>
          <cell r="J49">
            <v>6171</v>
          </cell>
        </row>
        <row r="49">
          <cell r="M49">
            <v>45345</v>
          </cell>
        </row>
        <row r="50">
          <cell r="A50">
            <v>109</v>
          </cell>
        </row>
        <row r="50">
          <cell r="C50" t="str">
            <v>胡煜星</v>
          </cell>
          <cell r="D50" t="str">
            <v>车门系统</v>
          </cell>
        </row>
        <row r="50">
          <cell r="I50">
            <v>0</v>
          </cell>
          <cell r="J50">
            <v>6172</v>
          </cell>
        </row>
        <row r="50">
          <cell r="M50">
            <v>45323</v>
          </cell>
        </row>
        <row r="51">
          <cell r="A51">
            <v>2623</v>
          </cell>
        </row>
        <row r="51">
          <cell r="C51" t="str">
            <v>胡煜星</v>
          </cell>
          <cell r="D51" t="str">
            <v>车门系统</v>
          </cell>
        </row>
        <row r="51">
          <cell r="I51">
            <v>0</v>
          </cell>
          <cell r="J51">
            <v>6173</v>
          </cell>
        </row>
        <row r="51">
          <cell r="M51">
            <v>45328</v>
          </cell>
        </row>
        <row r="52">
          <cell r="A52">
            <v>1026</v>
          </cell>
        </row>
        <row r="52">
          <cell r="C52" t="str">
            <v>王偲涵</v>
          </cell>
          <cell r="D52" t="str">
            <v>饰条</v>
          </cell>
        </row>
        <row r="52">
          <cell r="I52">
            <v>0</v>
          </cell>
          <cell r="J52">
            <v>4817</v>
          </cell>
        </row>
        <row r="53">
          <cell r="A53">
            <v>2485</v>
          </cell>
        </row>
        <row r="53">
          <cell r="C53" t="str">
            <v>俞东旭</v>
          </cell>
          <cell r="D53" t="str">
            <v>车门系统</v>
          </cell>
        </row>
        <row r="53">
          <cell r="I53">
            <v>0</v>
          </cell>
          <cell r="J53">
            <v>4679</v>
          </cell>
        </row>
        <row r="54">
          <cell r="A54">
            <v>1025</v>
          </cell>
        </row>
        <row r="54">
          <cell r="C54" t="str">
            <v>王偲涵</v>
          </cell>
          <cell r="D54" t="str">
            <v>饰条</v>
          </cell>
        </row>
        <row r="54">
          <cell r="I54">
            <v>0</v>
          </cell>
          <cell r="J54">
            <v>5119</v>
          </cell>
        </row>
        <row r="55">
          <cell r="A55">
            <v>1024</v>
          </cell>
        </row>
        <row r="55">
          <cell r="C55" t="str">
            <v>王偲涵</v>
          </cell>
          <cell r="D55" t="str">
            <v>饰条</v>
          </cell>
        </row>
        <row r="55">
          <cell r="I55">
            <v>0</v>
          </cell>
          <cell r="J55">
            <v>5834</v>
          </cell>
        </row>
        <row r="55">
          <cell r="M55">
            <v>45341</v>
          </cell>
        </row>
        <row r="56">
          <cell r="A56">
            <v>1027</v>
          </cell>
        </row>
        <row r="56">
          <cell r="C56" t="str">
            <v>章鹏</v>
          </cell>
          <cell r="D56" t="str">
            <v>其他</v>
          </cell>
        </row>
        <row r="56">
          <cell r="I56">
            <v>0</v>
          </cell>
          <cell r="J56">
            <v>6187</v>
          </cell>
        </row>
        <row r="56">
          <cell r="M56">
            <v>45343</v>
          </cell>
        </row>
        <row r="57">
          <cell r="A57">
            <v>547</v>
          </cell>
        </row>
        <row r="57">
          <cell r="C57" t="str">
            <v>胡煜星</v>
          </cell>
          <cell r="D57" t="str">
            <v>车门系统</v>
          </cell>
        </row>
        <row r="57">
          <cell r="I57">
            <v>0</v>
          </cell>
          <cell r="J57">
            <v>6188</v>
          </cell>
        </row>
        <row r="57">
          <cell r="M57">
            <v>45341</v>
          </cell>
        </row>
        <row r="58">
          <cell r="A58">
            <v>1126</v>
          </cell>
        </row>
        <row r="58">
          <cell r="C58" t="str">
            <v>朱培源</v>
          </cell>
          <cell r="D58" t="str">
            <v>机盖及附件</v>
          </cell>
        </row>
        <row r="58">
          <cell r="I58">
            <v>0</v>
          </cell>
          <cell r="J58">
            <v>6189</v>
          </cell>
        </row>
        <row r="58">
          <cell r="M58">
            <v>45338</v>
          </cell>
        </row>
        <row r="59">
          <cell r="A59">
            <v>8089</v>
          </cell>
        </row>
        <row r="59">
          <cell r="C59" t="str">
            <v>章鹏</v>
          </cell>
          <cell r="D59" t="str">
            <v>挡泥板</v>
          </cell>
        </row>
        <row r="59">
          <cell r="I59">
            <v>0</v>
          </cell>
          <cell r="J59">
            <v>6190</v>
          </cell>
        </row>
        <row r="59">
          <cell r="M59">
            <v>45339</v>
          </cell>
        </row>
        <row r="60">
          <cell r="A60">
            <v>1134</v>
          </cell>
        </row>
        <row r="60">
          <cell r="C60" t="str">
            <v>张潇</v>
          </cell>
          <cell r="D60" t="str">
            <v>饰条</v>
          </cell>
        </row>
        <row r="60">
          <cell r="I60">
            <v>0</v>
          </cell>
          <cell r="J60">
            <v>6221</v>
          </cell>
        </row>
        <row r="60">
          <cell r="M60">
            <v>45366</v>
          </cell>
        </row>
        <row r="61">
          <cell r="A61">
            <v>1044</v>
          </cell>
        </row>
        <row r="61">
          <cell r="C61" t="str">
            <v>俞东旭</v>
          </cell>
          <cell r="D61" t="str">
            <v>挡泥板</v>
          </cell>
        </row>
        <row r="61">
          <cell r="I61">
            <v>0</v>
          </cell>
          <cell r="J61">
            <v>6222</v>
          </cell>
        </row>
        <row r="61">
          <cell r="M61">
            <v>45342</v>
          </cell>
        </row>
        <row r="62">
          <cell r="A62">
            <v>1251</v>
          </cell>
        </row>
        <row r="62">
          <cell r="C62" t="str">
            <v>章鹏</v>
          </cell>
          <cell r="D62" t="str">
            <v>挡泥板</v>
          </cell>
        </row>
        <row r="62">
          <cell r="I62">
            <v>0</v>
          </cell>
          <cell r="J62">
            <v>6223</v>
          </cell>
        </row>
        <row r="62">
          <cell r="M62">
            <v>45341</v>
          </cell>
        </row>
        <row r="63">
          <cell r="A63">
            <v>1199</v>
          </cell>
        </row>
        <row r="63">
          <cell r="C63" t="str">
            <v>朱培源</v>
          </cell>
          <cell r="D63" t="str">
            <v>饰条</v>
          </cell>
        </row>
        <row r="63">
          <cell r="I63">
            <v>0</v>
          </cell>
          <cell r="J63">
            <v>6224</v>
          </cell>
        </row>
        <row r="63">
          <cell r="M63">
            <v>45335</v>
          </cell>
        </row>
        <row r="64">
          <cell r="A64">
            <v>1203</v>
          </cell>
        </row>
        <row r="64">
          <cell r="C64" t="str">
            <v>朱培源</v>
          </cell>
          <cell r="D64" t="str">
            <v>饰条</v>
          </cell>
        </row>
        <row r="64">
          <cell r="I64">
            <v>0</v>
          </cell>
          <cell r="J64">
            <v>6246</v>
          </cell>
        </row>
        <row r="64">
          <cell r="M64">
            <v>45338</v>
          </cell>
        </row>
        <row r="65">
          <cell r="A65">
            <v>1135</v>
          </cell>
        </row>
        <row r="65">
          <cell r="C65" t="str">
            <v>张潇</v>
          </cell>
          <cell r="D65" t="str">
            <v>饰条</v>
          </cell>
        </row>
        <row r="65">
          <cell r="I65">
            <v>0</v>
          </cell>
          <cell r="J65">
            <v>6247</v>
          </cell>
        </row>
        <row r="65">
          <cell r="M65">
            <v>45337</v>
          </cell>
        </row>
        <row r="66">
          <cell r="A66">
            <v>10090</v>
          </cell>
        </row>
        <row r="66">
          <cell r="C66" t="str">
            <v>朱培源</v>
          </cell>
          <cell r="D66" t="str">
            <v>软顶</v>
          </cell>
        </row>
        <row r="66">
          <cell r="I66">
            <v>0</v>
          </cell>
          <cell r="J66">
            <v>6249</v>
          </cell>
        </row>
        <row r="66">
          <cell r="M66">
            <v>45341</v>
          </cell>
        </row>
        <row r="67">
          <cell r="A67">
            <v>1178</v>
          </cell>
        </row>
        <row r="67">
          <cell r="C67" t="str">
            <v>胡煜星</v>
          </cell>
          <cell r="D67" t="str">
            <v>车门系统</v>
          </cell>
        </row>
        <row r="67">
          <cell r="I67">
            <v>0</v>
          </cell>
          <cell r="J67">
            <v>5501</v>
          </cell>
        </row>
        <row r="68">
          <cell r="A68">
            <v>1390</v>
          </cell>
        </row>
        <row r="68">
          <cell r="C68" t="str">
            <v>朱培源</v>
          </cell>
          <cell r="D68" t="str">
            <v>饰条</v>
          </cell>
        </row>
        <row r="68">
          <cell r="I68">
            <v>0</v>
          </cell>
          <cell r="J68">
            <v>5641</v>
          </cell>
        </row>
        <row r="69">
          <cell r="A69">
            <v>1188</v>
          </cell>
        </row>
        <row r="69">
          <cell r="C69" t="str">
            <v>章鹏</v>
          </cell>
          <cell r="D69" t="str">
            <v>挡泥板</v>
          </cell>
        </row>
        <row r="69">
          <cell r="I69">
            <v>0</v>
          </cell>
          <cell r="J69">
            <v>6200</v>
          </cell>
        </row>
        <row r="69">
          <cell r="M69">
            <v>45349</v>
          </cell>
        </row>
        <row r="70">
          <cell r="A70">
            <v>1235</v>
          </cell>
        </row>
        <row r="70">
          <cell r="C70" t="str">
            <v>王偲涵</v>
          </cell>
          <cell r="D70" t="str">
            <v>雨刮罩</v>
          </cell>
        </row>
        <row r="70">
          <cell r="I70">
            <v>0</v>
          </cell>
          <cell r="J70">
            <v>6201</v>
          </cell>
        </row>
        <row r="70">
          <cell r="M70">
            <v>45345</v>
          </cell>
        </row>
        <row r="71">
          <cell r="A71">
            <v>1657</v>
          </cell>
        </row>
        <row r="71">
          <cell r="C71" t="str">
            <v>张潇</v>
          </cell>
          <cell r="D71" t="str">
            <v>挡泥板</v>
          </cell>
        </row>
        <row r="71">
          <cell r="I71">
            <v>0</v>
          </cell>
          <cell r="J71">
            <v>6202</v>
          </cell>
        </row>
        <row r="71">
          <cell r="M71">
            <v>45345</v>
          </cell>
        </row>
        <row r="72">
          <cell r="A72">
            <v>1159</v>
          </cell>
        </row>
        <row r="72">
          <cell r="C72" t="str">
            <v>张潇</v>
          </cell>
          <cell r="D72" t="str">
            <v>挡泥板</v>
          </cell>
        </row>
        <row r="72">
          <cell r="I72">
            <v>0</v>
          </cell>
          <cell r="J72">
            <v>6204</v>
          </cell>
        </row>
        <row r="72">
          <cell r="M72">
            <v>45340</v>
          </cell>
        </row>
        <row r="73">
          <cell r="A73">
            <v>5987</v>
          </cell>
        </row>
        <row r="73">
          <cell r="C73" t="str">
            <v>俞东旭</v>
          </cell>
          <cell r="D73" t="str">
            <v>其他</v>
          </cell>
        </row>
        <row r="73">
          <cell r="I73">
            <v>0</v>
          </cell>
          <cell r="J73">
            <v>6203</v>
          </cell>
        </row>
        <row r="73">
          <cell r="M73">
            <v>45338</v>
          </cell>
        </row>
        <row r="74">
          <cell r="A74">
            <v>1494</v>
          </cell>
        </row>
        <row r="74">
          <cell r="C74" t="str">
            <v>俞东旭</v>
          </cell>
          <cell r="D74" t="str">
            <v>车身外扩件</v>
          </cell>
        </row>
        <row r="74">
          <cell r="I74">
            <v>0</v>
          </cell>
          <cell r="J74">
            <v>6226</v>
          </cell>
        </row>
        <row r="74">
          <cell r="M74">
            <v>45346</v>
          </cell>
        </row>
        <row r="75">
          <cell r="A75">
            <v>1544</v>
          </cell>
        </row>
        <row r="75">
          <cell r="C75" t="str">
            <v>胡煜星</v>
          </cell>
          <cell r="D75" t="str">
            <v>车门系统</v>
          </cell>
        </row>
        <row r="75">
          <cell r="I75">
            <v>0</v>
          </cell>
          <cell r="J75">
            <v>6303</v>
          </cell>
        </row>
        <row r="75">
          <cell r="M75">
            <v>45346</v>
          </cell>
        </row>
        <row r="76">
          <cell r="A76">
            <v>1117</v>
          </cell>
        </row>
        <row r="76">
          <cell r="C76" t="str">
            <v>王偲涵</v>
          </cell>
          <cell r="D76" t="str">
            <v>饰条</v>
          </cell>
        </row>
        <row r="76">
          <cell r="I76">
            <v>0</v>
          </cell>
          <cell r="J76">
            <v>6304</v>
          </cell>
        </row>
        <row r="76">
          <cell r="M76">
            <v>45347</v>
          </cell>
        </row>
        <row r="77">
          <cell r="A77">
            <v>2834</v>
          </cell>
        </row>
        <row r="77">
          <cell r="C77" t="str">
            <v>朱培源</v>
          </cell>
          <cell r="D77" t="str">
            <v>软顶</v>
          </cell>
        </row>
        <row r="77">
          <cell r="I77">
            <v>0</v>
          </cell>
          <cell r="J77">
            <v>5502</v>
          </cell>
        </row>
        <row r="78">
          <cell r="A78">
            <v>3731</v>
          </cell>
        </row>
        <row r="78">
          <cell r="C78" t="str">
            <v>张潇</v>
          </cell>
          <cell r="D78" t="str">
            <v>饰条</v>
          </cell>
        </row>
        <row r="78">
          <cell r="I78">
            <v>0</v>
          </cell>
          <cell r="J78">
            <v>5787</v>
          </cell>
        </row>
        <row r="78">
          <cell r="M78">
            <v>45369</v>
          </cell>
        </row>
        <row r="79">
          <cell r="A79">
            <v>5064</v>
          </cell>
        </row>
        <row r="79">
          <cell r="C79" t="str">
            <v>俞东旭</v>
          </cell>
          <cell r="D79" t="str">
            <v>车身外扩件</v>
          </cell>
        </row>
        <row r="79">
          <cell r="I79">
            <v>0</v>
          </cell>
          <cell r="J79">
            <v>5788</v>
          </cell>
        </row>
        <row r="79">
          <cell r="M79">
            <v>45369</v>
          </cell>
        </row>
        <row r="80">
          <cell r="A80">
            <v>4328</v>
          </cell>
        </row>
        <row r="80">
          <cell r="C80" t="str">
            <v>胡煜星</v>
          </cell>
          <cell r="D80" t="str">
            <v>车身外扩件</v>
          </cell>
        </row>
        <row r="80">
          <cell r="I80">
            <v>0</v>
          </cell>
          <cell r="J80">
            <v>5792</v>
          </cell>
        </row>
        <row r="80">
          <cell r="M80">
            <v>45403</v>
          </cell>
        </row>
        <row r="81">
          <cell r="A81">
            <v>1191</v>
          </cell>
        </row>
        <row r="81">
          <cell r="C81" t="str">
            <v>朱培源</v>
          </cell>
          <cell r="D81" t="str">
            <v>机盖及附件</v>
          </cell>
        </row>
        <row r="81">
          <cell r="I81">
            <v>0</v>
          </cell>
          <cell r="J81">
            <v>5889</v>
          </cell>
        </row>
        <row r="81">
          <cell r="M81">
            <v>45364</v>
          </cell>
        </row>
        <row r="82">
          <cell r="A82">
            <v>4658</v>
          </cell>
        </row>
        <row r="82">
          <cell r="C82" t="str">
            <v>俞东旭</v>
          </cell>
          <cell r="D82" t="str">
            <v>挡泥板</v>
          </cell>
        </row>
        <row r="82">
          <cell r="I82">
            <v>0</v>
          </cell>
          <cell r="J82">
            <v>5812</v>
          </cell>
        </row>
        <row r="82">
          <cell r="M82">
            <v>45376</v>
          </cell>
        </row>
        <row r="83">
          <cell r="A83">
            <v>2851</v>
          </cell>
        </row>
        <row r="83">
          <cell r="C83" t="str">
            <v>朱培源</v>
          </cell>
          <cell r="D83" t="str">
            <v>软顶</v>
          </cell>
        </row>
        <row r="83">
          <cell r="I83">
            <v>0</v>
          </cell>
          <cell r="J83">
            <v>5817</v>
          </cell>
        </row>
        <row r="83">
          <cell r="M83">
            <v>45403</v>
          </cell>
        </row>
        <row r="84">
          <cell r="A84">
            <v>4311</v>
          </cell>
        </row>
        <row r="84">
          <cell r="C84" t="str">
            <v>胡煜星</v>
          </cell>
          <cell r="D84" t="str">
            <v>车门系统</v>
          </cell>
        </row>
        <row r="84">
          <cell r="I84">
            <v>0</v>
          </cell>
          <cell r="J84">
            <v>5813</v>
          </cell>
        </row>
        <row r="84">
          <cell r="M84">
            <v>45487</v>
          </cell>
        </row>
        <row r="85">
          <cell r="A85">
            <v>1310</v>
          </cell>
        </row>
        <row r="85">
          <cell r="C85" t="str">
            <v>张潇</v>
          </cell>
          <cell r="D85" t="str">
            <v>牌照板支架</v>
          </cell>
        </row>
        <row r="85">
          <cell r="I85">
            <v>0</v>
          </cell>
          <cell r="J85">
            <v>5835</v>
          </cell>
        </row>
        <row r="85">
          <cell r="M85">
            <v>45366</v>
          </cell>
        </row>
        <row r="86">
          <cell r="A86">
            <v>1031</v>
          </cell>
        </row>
        <row r="86">
          <cell r="C86" t="str">
            <v>朱培源</v>
          </cell>
          <cell r="D86" t="str">
            <v>软顶</v>
          </cell>
        </row>
        <row r="86">
          <cell r="I86">
            <v>0</v>
          </cell>
          <cell r="J86">
            <v>5836</v>
          </cell>
        </row>
        <row r="86">
          <cell r="M86">
            <v>45369</v>
          </cell>
        </row>
        <row r="87">
          <cell r="A87">
            <v>971</v>
          </cell>
        </row>
        <row r="87">
          <cell r="C87" t="str">
            <v>张潇</v>
          </cell>
          <cell r="D87" t="str">
            <v>其他</v>
          </cell>
        </row>
        <row r="87">
          <cell r="I87" t="e">
            <v>#N/A</v>
          </cell>
          <cell r="J87">
            <v>5379</v>
          </cell>
        </row>
        <row r="87">
          <cell r="M87">
            <v>45394</v>
          </cell>
        </row>
        <row r="88">
          <cell r="A88">
            <v>5869</v>
          </cell>
        </row>
        <row r="88">
          <cell r="C88" t="str">
            <v>俞东旭</v>
          </cell>
          <cell r="D88" t="str">
            <v>其他</v>
          </cell>
        </row>
        <row r="88">
          <cell r="I88">
            <v>0</v>
          </cell>
          <cell r="J88">
            <v>6365</v>
          </cell>
        </row>
        <row r="88">
          <cell r="M88">
            <v>45370</v>
          </cell>
        </row>
        <row r="89">
          <cell r="A89">
            <v>5660</v>
          </cell>
        </row>
        <row r="89">
          <cell r="C89" t="str">
            <v>胡煜星</v>
          </cell>
          <cell r="D89" t="str">
            <v>车门系统</v>
          </cell>
        </row>
        <row r="89">
          <cell r="I89">
            <v>0</v>
          </cell>
          <cell r="J89">
            <v>6361</v>
          </cell>
        </row>
        <row r="89">
          <cell r="M89">
            <v>45370</v>
          </cell>
        </row>
        <row r="90">
          <cell r="A90">
            <v>5567</v>
          </cell>
        </row>
        <row r="90">
          <cell r="C90" t="str">
            <v>俞东旭</v>
          </cell>
          <cell r="D90" t="str">
            <v>车门系统</v>
          </cell>
        </row>
        <row r="90">
          <cell r="I90">
            <v>0</v>
          </cell>
          <cell r="J90">
            <v>6352</v>
          </cell>
        </row>
        <row r="91">
          <cell r="A91">
            <v>1372</v>
          </cell>
        </row>
        <row r="91">
          <cell r="C91" t="str">
            <v>朱培源</v>
          </cell>
          <cell r="D91" t="str">
            <v>饰条</v>
          </cell>
        </row>
        <row r="91">
          <cell r="I91">
            <v>0</v>
          </cell>
          <cell r="J91">
            <v>6379</v>
          </cell>
        </row>
        <row r="91">
          <cell r="M91">
            <v>45379</v>
          </cell>
        </row>
        <row r="92">
          <cell r="A92">
            <v>5581</v>
          </cell>
        </row>
        <row r="92">
          <cell r="C92" t="str">
            <v>俞东旭</v>
          </cell>
          <cell r="D92" t="str">
            <v>挡泥板</v>
          </cell>
        </row>
        <row r="92">
          <cell r="I92">
            <v>0</v>
          </cell>
          <cell r="J92">
            <v>6380</v>
          </cell>
        </row>
        <row r="92">
          <cell r="M92">
            <v>45378</v>
          </cell>
        </row>
        <row r="93">
          <cell r="A93">
            <v>1116</v>
          </cell>
        </row>
        <row r="93">
          <cell r="C93" t="str">
            <v>王偲涵</v>
          </cell>
          <cell r="D93" t="str">
            <v>饰条</v>
          </cell>
        </row>
        <row r="93">
          <cell r="I93">
            <v>0</v>
          </cell>
          <cell r="J93">
            <v>6381</v>
          </cell>
        </row>
        <row r="93">
          <cell r="M93">
            <v>45383</v>
          </cell>
        </row>
        <row r="94">
          <cell r="A94">
            <v>1118</v>
          </cell>
        </row>
        <row r="94">
          <cell r="C94" t="str">
            <v>王偲涵</v>
          </cell>
          <cell r="D94" t="str">
            <v>饰条</v>
          </cell>
        </row>
        <row r="94">
          <cell r="I94">
            <v>0</v>
          </cell>
          <cell r="J94">
            <v>6383</v>
          </cell>
        </row>
        <row r="94">
          <cell r="M94">
            <v>45382</v>
          </cell>
        </row>
        <row r="95">
          <cell r="A95">
            <v>7288</v>
          </cell>
        </row>
        <row r="95">
          <cell r="C95" t="str">
            <v>俞东旭</v>
          </cell>
          <cell r="D95" t="str">
            <v>车身外扩件</v>
          </cell>
        </row>
        <row r="95">
          <cell r="I95">
            <v>0</v>
          </cell>
          <cell r="J95">
            <v>6429</v>
          </cell>
        </row>
        <row r="95">
          <cell r="M95">
            <v>45385</v>
          </cell>
        </row>
        <row r="96">
          <cell r="A96">
            <v>8461</v>
          </cell>
        </row>
        <row r="96">
          <cell r="C96" t="str">
            <v>俞东旭</v>
          </cell>
          <cell r="D96" t="str">
            <v>挡泥板</v>
          </cell>
        </row>
        <row r="96">
          <cell r="I96">
            <v>0</v>
          </cell>
          <cell r="J96">
            <v>6430</v>
          </cell>
        </row>
        <row r="96">
          <cell r="M96">
            <v>45383</v>
          </cell>
        </row>
        <row r="97">
          <cell r="A97">
            <v>8462</v>
          </cell>
        </row>
        <row r="97">
          <cell r="C97" t="str">
            <v>俞东旭</v>
          </cell>
          <cell r="D97" t="str">
            <v>挡泥板</v>
          </cell>
        </row>
        <row r="97">
          <cell r="I97">
            <v>0</v>
          </cell>
          <cell r="J97">
            <v>6431</v>
          </cell>
        </row>
        <row r="97">
          <cell r="M97">
            <v>45384</v>
          </cell>
        </row>
        <row r="98">
          <cell r="A98">
            <v>1167</v>
          </cell>
        </row>
        <row r="98">
          <cell r="C98" t="str">
            <v>章鹏</v>
          </cell>
          <cell r="D98" t="str">
            <v>其他</v>
          </cell>
        </row>
        <row r="98">
          <cell r="I98">
            <v>0</v>
          </cell>
          <cell r="J98">
            <v>6432</v>
          </cell>
        </row>
        <row r="98">
          <cell r="M98">
            <v>45379</v>
          </cell>
        </row>
        <row r="99">
          <cell r="A99">
            <v>7609</v>
          </cell>
        </row>
        <row r="99">
          <cell r="C99" t="str">
            <v>俞东旭</v>
          </cell>
          <cell r="D99" t="str">
            <v>挡泥板</v>
          </cell>
        </row>
        <row r="99">
          <cell r="I99">
            <v>0</v>
          </cell>
          <cell r="J99">
            <v>6433</v>
          </cell>
        </row>
        <row r="99">
          <cell r="M99">
            <v>45378</v>
          </cell>
        </row>
        <row r="100">
          <cell r="A100">
            <v>2388</v>
          </cell>
        </row>
        <row r="100">
          <cell r="C100" t="str">
            <v>朱培源</v>
          </cell>
          <cell r="D100" t="str">
            <v>饰条</v>
          </cell>
        </row>
        <row r="100">
          <cell r="I100">
            <v>0</v>
          </cell>
          <cell r="J100">
            <v>6434</v>
          </cell>
        </row>
        <row r="100">
          <cell r="M100">
            <v>45390</v>
          </cell>
        </row>
        <row r="101">
          <cell r="A101">
            <v>3575</v>
          </cell>
        </row>
        <row r="101">
          <cell r="C101" t="str">
            <v>朱培源</v>
          </cell>
          <cell r="D101" t="str">
            <v>软顶</v>
          </cell>
        </row>
        <row r="101">
          <cell r="I101">
            <v>0</v>
          </cell>
          <cell r="J101">
            <v>6446</v>
          </cell>
        </row>
        <row r="101">
          <cell r="M101">
            <v>45380</v>
          </cell>
        </row>
        <row r="102">
          <cell r="A102">
            <v>4691</v>
          </cell>
        </row>
        <row r="102">
          <cell r="C102" t="str">
            <v>朱培源</v>
          </cell>
          <cell r="D102" t="str">
            <v>软顶</v>
          </cell>
        </row>
        <row r="102">
          <cell r="I102">
            <v>0</v>
          </cell>
          <cell r="J102">
            <v>6451</v>
          </cell>
        </row>
        <row r="102">
          <cell r="M102">
            <v>45393</v>
          </cell>
        </row>
        <row r="103">
          <cell r="A103">
            <v>1655</v>
          </cell>
        </row>
        <row r="103">
          <cell r="C103" t="str">
            <v>张潇</v>
          </cell>
          <cell r="D103" t="str">
            <v>挡泥板</v>
          </cell>
        </row>
        <row r="103">
          <cell r="I103">
            <v>0</v>
          </cell>
          <cell r="J103">
            <v>6420</v>
          </cell>
        </row>
        <row r="103">
          <cell r="M103">
            <v>45382</v>
          </cell>
        </row>
        <row r="104">
          <cell r="A104">
            <v>8463</v>
          </cell>
        </row>
        <row r="104">
          <cell r="C104" t="str">
            <v>张潇</v>
          </cell>
          <cell r="D104" t="str">
            <v>挡泥板</v>
          </cell>
        </row>
        <row r="104">
          <cell r="I104">
            <v>0</v>
          </cell>
          <cell r="J104">
            <v>6422</v>
          </cell>
        </row>
        <row r="104">
          <cell r="M104">
            <v>45389</v>
          </cell>
        </row>
        <row r="105">
          <cell r="A105">
            <v>1379</v>
          </cell>
        </row>
        <row r="105">
          <cell r="C105" t="str">
            <v>朱培源</v>
          </cell>
          <cell r="D105" t="str">
            <v>机盖及附件</v>
          </cell>
        </row>
        <row r="105">
          <cell r="I105">
            <v>0</v>
          </cell>
          <cell r="J105">
            <v>6642</v>
          </cell>
        </row>
        <row r="105">
          <cell r="M105">
            <v>45441</v>
          </cell>
        </row>
        <row r="106">
          <cell r="A106">
            <v>1538</v>
          </cell>
        </row>
        <row r="106">
          <cell r="C106" t="str">
            <v>朱培源</v>
          </cell>
          <cell r="D106" t="str">
            <v>饰条</v>
          </cell>
        </row>
        <row r="106">
          <cell r="I106">
            <v>0</v>
          </cell>
          <cell r="J106">
            <v>6382</v>
          </cell>
        </row>
        <row r="106">
          <cell r="M106">
            <v>45390</v>
          </cell>
        </row>
        <row r="107">
          <cell r="A107">
            <v>8541</v>
          </cell>
        </row>
        <row r="107">
          <cell r="C107" t="str">
            <v>章鹏</v>
          </cell>
          <cell r="D107" t="str">
            <v>挡泥板</v>
          </cell>
        </row>
        <row r="107">
          <cell r="I107">
            <v>0</v>
          </cell>
          <cell r="J107">
            <v>6452</v>
          </cell>
        </row>
        <row r="107">
          <cell r="M107">
            <v>45389</v>
          </cell>
        </row>
        <row r="108">
          <cell r="A108">
            <v>1407</v>
          </cell>
        </row>
        <row r="108">
          <cell r="C108" t="str">
            <v>朱培源</v>
          </cell>
          <cell r="D108" t="str">
            <v>软顶</v>
          </cell>
        </row>
        <row r="108">
          <cell r="I108">
            <v>0</v>
          </cell>
          <cell r="J108">
            <v>6453</v>
          </cell>
        </row>
        <row r="108">
          <cell r="M108">
            <v>45397</v>
          </cell>
        </row>
        <row r="109">
          <cell r="A109">
            <v>9777</v>
          </cell>
        </row>
        <row r="109">
          <cell r="C109" t="str">
            <v>胡煜星</v>
          </cell>
          <cell r="D109" t="str">
            <v>玻璃</v>
          </cell>
        </row>
        <row r="109">
          <cell r="I109">
            <v>0</v>
          </cell>
          <cell r="J109">
            <v>6454</v>
          </cell>
        </row>
        <row r="109">
          <cell r="M109">
            <v>45389</v>
          </cell>
        </row>
        <row r="110">
          <cell r="A110">
            <v>9305</v>
          </cell>
        </row>
        <row r="110">
          <cell r="C110" t="str">
            <v>章鹏</v>
          </cell>
          <cell r="D110" t="str">
            <v>挡泥板</v>
          </cell>
        </row>
        <row r="110">
          <cell r="I110">
            <v>0</v>
          </cell>
          <cell r="J110">
            <v>6465</v>
          </cell>
        </row>
        <row r="110">
          <cell r="M110">
            <v>45398</v>
          </cell>
        </row>
        <row r="111">
          <cell r="A111">
            <v>259</v>
          </cell>
        </row>
        <row r="111">
          <cell r="C111" t="str">
            <v>胡煜星</v>
          </cell>
          <cell r="D111" t="str">
            <v>车门系统</v>
          </cell>
        </row>
        <row r="111">
          <cell r="I111">
            <v>0</v>
          </cell>
          <cell r="J111">
            <v>6475</v>
          </cell>
        </row>
        <row r="111">
          <cell r="M111">
            <v>45383</v>
          </cell>
        </row>
        <row r="112">
          <cell r="A112">
            <v>262</v>
          </cell>
        </row>
        <row r="112">
          <cell r="C112" t="str">
            <v>王偲涵</v>
          </cell>
          <cell r="D112" t="str">
            <v>车身外扩件</v>
          </cell>
        </row>
        <row r="112">
          <cell r="I112">
            <v>0</v>
          </cell>
          <cell r="J112">
            <v>6471</v>
          </cell>
        </row>
        <row r="112">
          <cell r="M112">
            <v>45401</v>
          </cell>
        </row>
        <row r="113">
          <cell r="A113">
            <v>2553</v>
          </cell>
        </row>
        <row r="113">
          <cell r="C113" t="str">
            <v>王偲涵</v>
          </cell>
          <cell r="D113" t="str">
            <v>车身外扩件</v>
          </cell>
        </row>
        <row r="113">
          <cell r="I113">
            <v>0</v>
          </cell>
          <cell r="J113">
            <v>6529</v>
          </cell>
        </row>
        <row r="113">
          <cell r="M113">
            <v>45418</v>
          </cell>
        </row>
        <row r="114">
          <cell r="A114">
            <v>263</v>
          </cell>
        </row>
        <row r="114">
          <cell r="C114" t="str">
            <v>王偲涵</v>
          </cell>
          <cell r="D114" t="str">
            <v>车身外扩件</v>
          </cell>
        </row>
        <row r="114">
          <cell r="I114">
            <v>0</v>
          </cell>
          <cell r="J114">
            <v>6530</v>
          </cell>
        </row>
        <row r="114">
          <cell r="M114">
            <v>45416</v>
          </cell>
        </row>
        <row r="115">
          <cell r="A115">
            <v>264</v>
          </cell>
        </row>
        <row r="115">
          <cell r="C115" t="str">
            <v>王偲涵</v>
          </cell>
          <cell r="D115" t="str">
            <v>车身外扩件</v>
          </cell>
        </row>
        <row r="115">
          <cell r="I115">
            <v>0</v>
          </cell>
          <cell r="J115">
            <v>6531</v>
          </cell>
        </row>
        <row r="115">
          <cell r="M115">
            <v>45403</v>
          </cell>
        </row>
        <row r="116">
          <cell r="A116">
            <v>5670</v>
          </cell>
        </row>
        <row r="116">
          <cell r="C116" t="str">
            <v>王偲涵</v>
          </cell>
          <cell r="D116" t="str">
            <v>车身外扩件</v>
          </cell>
        </row>
        <row r="116">
          <cell r="I116">
            <v>0</v>
          </cell>
          <cell r="J116">
            <v>6532</v>
          </cell>
        </row>
        <row r="116">
          <cell r="M116">
            <v>45405</v>
          </cell>
        </row>
        <row r="117">
          <cell r="A117">
            <v>2585</v>
          </cell>
        </row>
        <row r="117">
          <cell r="C117" t="str">
            <v>俞东旭</v>
          </cell>
          <cell r="D117" t="str">
            <v>车门系统</v>
          </cell>
        </row>
        <row r="117">
          <cell r="I117">
            <v>0</v>
          </cell>
          <cell r="J117">
            <v>6748</v>
          </cell>
        </row>
        <row r="117">
          <cell r="M117">
            <v>45415</v>
          </cell>
        </row>
        <row r="118">
          <cell r="A118">
            <v>289</v>
          </cell>
        </row>
        <row r="118">
          <cell r="C118" t="str">
            <v>王偲涵</v>
          </cell>
          <cell r="D118" t="str">
            <v>车身外扩件</v>
          </cell>
        </row>
        <row r="118">
          <cell r="I118">
            <v>0</v>
          </cell>
          <cell r="J118">
            <v>6518</v>
          </cell>
        </row>
        <row r="118">
          <cell r="M118">
            <v>45407</v>
          </cell>
        </row>
        <row r="119">
          <cell r="A119">
            <v>7042</v>
          </cell>
        </row>
        <row r="119">
          <cell r="C119" t="str">
            <v>张潇</v>
          </cell>
          <cell r="D119" t="str">
            <v>饰条</v>
          </cell>
        </row>
        <row r="119">
          <cell r="I119">
            <v>0</v>
          </cell>
          <cell r="J119">
            <v>6527</v>
          </cell>
        </row>
        <row r="119">
          <cell r="M119">
            <v>45407</v>
          </cell>
        </row>
        <row r="120">
          <cell r="A120">
            <v>693</v>
          </cell>
        </row>
        <row r="120">
          <cell r="C120" t="str">
            <v>章鹏</v>
          </cell>
          <cell r="D120" t="str">
            <v>挡泥板</v>
          </cell>
        </row>
        <row r="120">
          <cell r="I120">
            <v>0</v>
          </cell>
          <cell r="J120">
            <v>6525</v>
          </cell>
        </row>
        <row r="120">
          <cell r="M120">
            <v>45404</v>
          </cell>
        </row>
        <row r="121">
          <cell r="A121">
            <v>8606</v>
          </cell>
        </row>
        <row r="121">
          <cell r="C121" t="str">
            <v>章鹏</v>
          </cell>
          <cell r="D121" t="str">
            <v>挡泥板</v>
          </cell>
        </row>
        <row r="121">
          <cell r="I121">
            <v>0</v>
          </cell>
          <cell r="J121">
            <v>6548</v>
          </cell>
        </row>
        <row r="121">
          <cell r="M121">
            <v>45437</v>
          </cell>
        </row>
        <row r="122">
          <cell r="A122">
            <v>1405</v>
          </cell>
        </row>
        <row r="122">
          <cell r="C122" t="str">
            <v>朱培源</v>
          </cell>
          <cell r="D122" t="str">
            <v>软顶</v>
          </cell>
        </row>
        <row r="122">
          <cell r="I122">
            <v>0</v>
          </cell>
          <cell r="J122">
            <v>6537</v>
          </cell>
        </row>
        <row r="122">
          <cell r="M122">
            <v>45412</v>
          </cell>
        </row>
        <row r="123">
          <cell r="A123">
            <v>1768</v>
          </cell>
        </row>
        <row r="123">
          <cell r="C123" t="str">
            <v>朱培源</v>
          </cell>
          <cell r="D123" t="str">
            <v>机盖及附件</v>
          </cell>
        </row>
        <row r="123">
          <cell r="I123">
            <v>0</v>
          </cell>
          <cell r="J123">
            <v>6538</v>
          </cell>
        </row>
        <row r="123">
          <cell r="M123">
            <v>45414</v>
          </cell>
        </row>
        <row r="124">
          <cell r="A124">
            <v>228</v>
          </cell>
        </row>
        <row r="124">
          <cell r="C124" t="str">
            <v>朱培源</v>
          </cell>
          <cell r="D124" t="str">
            <v>机盖及附件</v>
          </cell>
        </row>
        <row r="124">
          <cell r="I124">
            <v>0</v>
          </cell>
          <cell r="J124">
            <v>6539</v>
          </cell>
        </row>
        <row r="124">
          <cell r="M124">
            <v>45432</v>
          </cell>
        </row>
        <row r="125">
          <cell r="A125">
            <v>1487</v>
          </cell>
        </row>
        <row r="125">
          <cell r="C125" t="str">
            <v>俞东旭</v>
          </cell>
          <cell r="D125" t="str">
            <v>挡泥板</v>
          </cell>
        </row>
        <row r="125">
          <cell r="I125">
            <v>0</v>
          </cell>
          <cell r="J125">
            <v>6568</v>
          </cell>
        </row>
        <row r="125">
          <cell r="M125">
            <v>45419</v>
          </cell>
        </row>
        <row r="126">
          <cell r="A126">
            <v>338</v>
          </cell>
        </row>
        <row r="126">
          <cell r="C126" t="str">
            <v>朱培源</v>
          </cell>
          <cell r="D126" t="str">
            <v>饰条</v>
          </cell>
        </row>
        <row r="126">
          <cell r="I126">
            <v>0</v>
          </cell>
          <cell r="J126">
            <v>6515</v>
          </cell>
        </row>
        <row r="126">
          <cell r="M126">
            <v>45434</v>
          </cell>
        </row>
        <row r="127">
          <cell r="A127">
            <v>336</v>
          </cell>
        </row>
        <row r="127">
          <cell r="C127" t="str">
            <v>朱培源</v>
          </cell>
          <cell r="D127" t="str">
            <v>饰条</v>
          </cell>
        </row>
        <row r="127">
          <cell r="I127">
            <v>0</v>
          </cell>
          <cell r="J127">
            <v>6499</v>
          </cell>
        </row>
        <row r="127">
          <cell r="M127">
            <v>45420</v>
          </cell>
        </row>
        <row r="128">
          <cell r="A128">
            <v>327</v>
          </cell>
        </row>
        <row r="128">
          <cell r="C128" t="str">
            <v>朱培源</v>
          </cell>
          <cell r="D128" t="str">
            <v>饰条</v>
          </cell>
        </row>
        <row r="128">
          <cell r="I128">
            <v>0</v>
          </cell>
          <cell r="J128">
            <v>6577</v>
          </cell>
        </row>
        <row r="128">
          <cell r="M128">
            <v>45426</v>
          </cell>
        </row>
        <row r="129">
          <cell r="A129">
            <v>337</v>
          </cell>
        </row>
        <row r="129">
          <cell r="C129" t="str">
            <v>朱培源</v>
          </cell>
          <cell r="D129" t="str">
            <v>饰条</v>
          </cell>
        </row>
        <row r="129">
          <cell r="I129">
            <v>0</v>
          </cell>
          <cell r="J129">
            <v>6556</v>
          </cell>
        </row>
        <row r="129">
          <cell r="M129">
            <v>45422</v>
          </cell>
        </row>
        <row r="130">
          <cell r="A130">
            <v>293</v>
          </cell>
        </row>
        <row r="130">
          <cell r="C130" t="str">
            <v>朱培源</v>
          </cell>
          <cell r="D130" t="str">
            <v>机盖及附件</v>
          </cell>
        </row>
        <row r="130">
          <cell r="I130">
            <v>0</v>
          </cell>
          <cell r="J130">
            <v>6559</v>
          </cell>
        </row>
        <row r="130">
          <cell r="M130">
            <v>45422</v>
          </cell>
        </row>
        <row r="131">
          <cell r="A131">
            <v>5590</v>
          </cell>
        </row>
        <row r="131">
          <cell r="C131" t="str">
            <v>朱培源</v>
          </cell>
          <cell r="D131" t="str">
            <v>挡泥板</v>
          </cell>
        </row>
        <row r="131">
          <cell r="I131">
            <v>0</v>
          </cell>
          <cell r="J131">
            <v>5610</v>
          </cell>
        </row>
        <row r="132">
          <cell r="A132">
            <v>292</v>
          </cell>
        </row>
        <row r="132">
          <cell r="C132" t="str">
            <v>朱培源</v>
          </cell>
          <cell r="D132" t="str">
            <v>机盖及附件</v>
          </cell>
        </row>
        <row r="132">
          <cell r="I132">
            <v>0</v>
          </cell>
          <cell r="J132">
            <v>6554</v>
          </cell>
        </row>
        <row r="132">
          <cell r="M132">
            <v>45421</v>
          </cell>
        </row>
        <row r="133">
          <cell r="A133">
            <v>1734</v>
          </cell>
        </row>
        <row r="133">
          <cell r="C133" t="str">
            <v>朱培源</v>
          </cell>
          <cell r="D133" t="str">
            <v>软顶</v>
          </cell>
        </row>
        <row r="133">
          <cell r="I133">
            <v>0</v>
          </cell>
          <cell r="J133">
            <v>6558</v>
          </cell>
        </row>
        <row r="133">
          <cell r="M133">
            <v>45426</v>
          </cell>
        </row>
        <row r="134">
          <cell r="A134">
            <v>428</v>
          </cell>
        </row>
        <row r="134">
          <cell r="C134" t="str">
            <v>胡煜星</v>
          </cell>
          <cell r="D134" t="str">
            <v>车门系统</v>
          </cell>
        </row>
        <row r="134">
          <cell r="I134">
            <v>0</v>
          </cell>
          <cell r="J134">
            <v>6560</v>
          </cell>
        </row>
        <row r="134">
          <cell r="M134">
            <v>45422</v>
          </cell>
        </row>
        <row r="135">
          <cell r="A135">
            <v>371</v>
          </cell>
        </row>
        <row r="135">
          <cell r="C135" t="str">
            <v>朱培源</v>
          </cell>
          <cell r="D135" t="str">
            <v>机盖及附件</v>
          </cell>
        </row>
        <row r="135">
          <cell r="I135">
            <v>0</v>
          </cell>
          <cell r="J135">
            <v>6616</v>
          </cell>
        </row>
        <row r="135">
          <cell r="M135">
            <v>45434</v>
          </cell>
        </row>
        <row r="136">
          <cell r="A136">
            <v>372</v>
          </cell>
        </row>
        <row r="136">
          <cell r="C136" t="str">
            <v>朱培源</v>
          </cell>
          <cell r="D136" t="str">
            <v>机盖及附件</v>
          </cell>
        </row>
        <row r="136">
          <cell r="I136">
            <v>0</v>
          </cell>
          <cell r="J136">
            <v>6604</v>
          </cell>
        </row>
        <row r="136">
          <cell r="M136">
            <v>45436</v>
          </cell>
        </row>
        <row r="137">
          <cell r="A137">
            <v>623</v>
          </cell>
        </row>
        <row r="137">
          <cell r="C137" t="str">
            <v>俞东旭</v>
          </cell>
          <cell r="D137" t="str">
            <v>车门系统</v>
          </cell>
        </row>
        <row r="137">
          <cell r="I137">
            <v>0</v>
          </cell>
          <cell r="J137">
            <v>6632</v>
          </cell>
        </row>
        <row r="137">
          <cell r="M137">
            <v>45434</v>
          </cell>
        </row>
        <row r="138">
          <cell r="A138">
            <v>624</v>
          </cell>
        </row>
        <row r="138">
          <cell r="C138" t="str">
            <v>俞东旭</v>
          </cell>
          <cell r="D138" t="str">
            <v>车门系统</v>
          </cell>
        </row>
        <row r="138">
          <cell r="I138">
            <v>0</v>
          </cell>
          <cell r="J138">
            <v>6634</v>
          </cell>
        </row>
        <row r="138">
          <cell r="M138">
            <v>45435</v>
          </cell>
        </row>
        <row r="139">
          <cell r="A139">
            <v>625</v>
          </cell>
        </row>
        <row r="139">
          <cell r="C139" t="str">
            <v>俞东旭</v>
          </cell>
          <cell r="D139" t="str">
            <v>车门系统</v>
          </cell>
        </row>
        <row r="139">
          <cell r="I139">
            <v>0</v>
          </cell>
          <cell r="J139">
            <v>6636</v>
          </cell>
        </row>
        <row r="139">
          <cell r="M139">
            <v>45434</v>
          </cell>
        </row>
        <row r="140">
          <cell r="A140">
            <v>482</v>
          </cell>
        </row>
        <row r="140">
          <cell r="C140" t="str">
            <v>王偲涵</v>
          </cell>
          <cell r="D140" t="str">
            <v>车身外扩件</v>
          </cell>
        </row>
        <row r="140">
          <cell r="I140">
            <v>0</v>
          </cell>
          <cell r="J140">
            <v>6633</v>
          </cell>
        </row>
        <row r="140">
          <cell r="M140">
            <v>45433</v>
          </cell>
        </row>
        <row r="141">
          <cell r="A141">
            <v>5919</v>
          </cell>
        </row>
        <row r="141">
          <cell r="C141" t="str">
            <v>朱培源</v>
          </cell>
          <cell r="D141" t="str">
            <v>软顶</v>
          </cell>
        </row>
        <row r="141">
          <cell r="I141">
            <v>0</v>
          </cell>
          <cell r="J141">
            <v>6635</v>
          </cell>
        </row>
        <row r="141">
          <cell r="M141">
            <v>45433</v>
          </cell>
        </row>
        <row r="142">
          <cell r="A142">
            <v>349</v>
          </cell>
        </row>
        <row r="142">
          <cell r="C142" t="str">
            <v>朱培源</v>
          </cell>
          <cell r="D142" t="str">
            <v>机盖及附件</v>
          </cell>
        </row>
        <row r="142">
          <cell r="I142">
            <v>0</v>
          </cell>
          <cell r="J142">
            <v>6615</v>
          </cell>
        </row>
        <row r="142">
          <cell r="M142">
            <v>45430</v>
          </cell>
        </row>
        <row r="143">
          <cell r="A143">
            <v>350</v>
          </cell>
        </row>
        <row r="143">
          <cell r="C143" t="str">
            <v>朱培源</v>
          </cell>
          <cell r="D143" t="str">
            <v>机盖及附件</v>
          </cell>
        </row>
        <row r="143">
          <cell r="I143">
            <v>0</v>
          </cell>
          <cell r="J143">
            <v>6618</v>
          </cell>
        </row>
        <row r="143">
          <cell r="M143">
            <v>45458</v>
          </cell>
        </row>
        <row r="144">
          <cell r="A144">
            <v>111</v>
          </cell>
        </row>
        <row r="144">
          <cell r="C144" t="str">
            <v>朱培源</v>
          </cell>
          <cell r="D144" t="str">
            <v>软顶</v>
          </cell>
        </row>
        <row r="144">
          <cell r="I144">
            <v>0</v>
          </cell>
          <cell r="J144">
            <v>6795</v>
          </cell>
        </row>
        <row r="144">
          <cell r="M144">
            <v>45443</v>
          </cell>
        </row>
        <row r="145">
          <cell r="A145">
            <v>365</v>
          </cell>
        </row>
        <row r="145">
          <cell r="C145" t="str">
            <v>朱培源</v>
          </cell>
          <cell r="D145" t="str">
            <v>机盖及附件</v>
          </cell>
        </row>
        <row r="145">
          <cell r="I145">
            <v>0</v>
          </cell>
          <cell r="J145">
            <v>6561</v>
          </cell>
        </row>
        <row r="145">
          <cell r="M145">
            <v>45439</v>
          </cell>
        </row>
        <row r="146">
          <cell r="A146">
            <v>10133</v>
          </cell>
        </row>
        <row r="146">
          <cell r="C146" t="str">
            <v>朱培源</v>
          </cell>
          <cell r="D146" t="str">
            <v>挡泥板</v>
          </cell>
        </row>
        <row r="146">
          <cell r="I146">
            <v>0</v>
          </cell>
          <cell r="J146">
            <v>6696</v>
          </cell>
        </row>
        <row r="146">
          <cell r="M146">
            <v>45447</v>
          </cell>
        </row>
        <row r="147">
          <cell r="A147">
            <v>3751</v>
          </cell>
        </row>
        <row r="147">
          <cell r="C147" t="str">
            <v>张潇</v>
          </cell>
          <cell r="D147" t="str">
            <v>挡泥板</v>
          </cell>
        </row>
        <row r="147">
          <cell r="I147">
            <v>0</v>
          </cell>
          <cell r="J147">
            <v>6619</v>
          </cell>
        </row>
        <row r="148">
          <cell r="A148">
            <v>2518</v>
          </cell>
        </row>
        <row r="148">
          <cell r="C148" t="str">
            <v>朱培源</v>
          </cell>
          <cell r="D148" t="str">
            <v>饰条</v>
          </cell>
        </row>
        <row r="148">
          <cell r="I148">
            <v>0</v>
          </cell>
          <cell r="J148">
            <v>6600</v>
          </cell>
        </row>
        <row r="148">
          <cell r="M148">
            <v>45447</v>
          </cell>
        </row>
        <row r="149">
          <cell r="A149">
            <v>5362</v>
          </cell>
        </row>
        <row r="149">
          <cell r="C149" t="str">
            <v>俞东旭</v>
          </cell>
          <cell r="D149" t="str">
            <v>其他</v>
          </cell>
        </row>
        <row r="149">
          <cell r="I149">
            <v>0</v>
          </cell>
          <cell r="J149">
            <v>5717</v>
          </cell>
        </row>
        <row r="150">
          <cell r="A150">
            <v>638</v>
          </cell>
        </row>
        <row r="150">
          <cell r="C150" t="str">
            <v>胡煜星</v>
          </cell>
          <cell r="D150" t="str">
            <v>车门系统</v>
          </cell>
        </row>
        <row r="150">
          <cell r="I150">
            <v>0</v>
          </cell>
          <cell r="J150">
            <v>5718</v>
          </cell>
        </row>
        <row r="151">
          <cell r="A151">
            <v>2554</v>
          </cell>
        </row>
        <row r="151">
          <cell r="C151" t="str">
            <v>朱培源</v>
          </cell>
          <cell r="D151" t="str">
            <v>机盖及附件</v>
          </cell>
        </row>
        <row r="151">
          <cell r="I151">
            <v>0</v>
          </cell>
          <cell r="J151">
            <v>4680</v>
          </cell>
        </row>
        <row r="152">
          <cell r="A152">
            <v>652</v>
          </cell>
        </row>
        <row r="152">
          <cell r="C152" t="str">
            <v>胡煜星</v>
          </cell>
          <cell r="D152" t="str">
            <v>车门系统</v>
          </cell>
        </row>
        <row r="152">
          <cell r="I152">
            <v>0</v>
          </cell>
          <cell r="J152">
            <v>4219</v>
          </cell>
        </row>
        <row r="153">
          <cell r="A153">
            <v>653</v>
          </cell>
        </row>
        <row r="153">
          <cell r="C153" t="str">
            <v>胡煜星</v>
          </cell>
          <cell r="D153" t="str">
            <v>车门系统</v>
          </cell>
        </row>
        <row r="153">
          <cell r="I153">
            <v>0</v>
          </cell>
          <cell r="J153">
            <v>6701</v>
          </cell>
        </row>
        <row r="153">
          <cell r="M153">
            <v>45456</v>
          </cell>
        </row>
        <row r="154">
          <cell r="A154">
            <v>654</v>
          </cell>
        </row>
        <row r="154">
          <cell r="C154" t="str">
            <v>胡煜星</v>
          </cell>
          <cell r="D154" t="str">
            <v>车门系统</v>
          </cell>
        </row>
        <row r="154">
          <cell r="I154">
            <v>0</v>
          </cell>
          <cell r="J154">
            <v>6599</v>
          </cell>
        </row>
        <row r="154">
          <cell r="M154">
            <v>45464</v>
          </cell>
        </row>
        <row r="155">
          <cell r="A155">
            <v>655</v>
          </cell>
        </row>
        <row r="155">
          <cell r="C155" t="str">
            <v>胡煜星</v>
          </cell>
          <cell r="D155" t="str">
            <v>车门系统</v>
          </cell>
        </row>
        <row r="155">
          <cell r="I155">
            <v>0</v>
          </cell>
          <cell r="J155">
            <v>6598</v>
          </cell>
        </row>
        <row r="155">
          <cell r="M155">
            <v>45462</v>
          </cell>
        </row>
        <row r="156">
          <cell r="A156">
            <v>565</v>
          </cell>
        </row>
        <row r="156">
          <cell r="C156" t="str">
            <v>胡煜星</v>
          </cell>
          <cell r="D156" t="str">
            <v>车门系统</v>
          </cell>
        </row>
        <row r="156">
          <cell r="I156">
            <v>0</v>
          </cell>
          <cell r="J156">
            <v>6557</v>
          </cell>
        </row>
        <row r="156">
          <cell r="M156">
            <v>45458</v>
          </cell>
        </row>
        <row r="157">
          <cell r="A157">
            <v>566</v>
          </cell>
        </row>
        <row r="157">
          <cell r="C157" t="str">
            <v>胡煜星</v>
          </cell>
          <cell r="D157" t="str">
            <v>车门系统</v>
          </cell>
        </row>
        <row r="157">
          <cell r="I157">
            <v>0</v>
          </cell>
          <cell r="J157">
            <v>6681</v>
          </cell>
        </row>
        <row r="157">
          <cell r="M157">
            <v>45456</v>
          </cell>
        </row>
        <row r="158">
          <cell r="A158">
            <v>2638</v>
          </cell>
        </row>
        <row r="158">
          <cell r="C158" t="str">
            <v>朱培源</v>
          </cell>
          <cell r="D158" t="str">
            <v>机盖及附件</v>
          </cell>
        </row>
        <row r="158">
          <cell r="I158">
            <v>0</v>
          </cell>
          <cell r="J158">
            <v>6685</v>
          </cell>
        </row>
        <row r="158">
          <cell r="M158">
            <v>45479</v>
          </cell>
        </row>
        <row r="159">
          <cell r="A159">
            <v>574</v>
          </cell>
        </row>
        <row r="159">
          <cell r="C159" t="str">
            <v>王偲涵</v>
          </cell>
          <cell r="D159" t="str">
            <v>雨刮罩</v>
          </cell>
        </row>
        <row r="159">
          <cell r="I159">
            <v>0</v>
          </cell>
          <cell r="J159">
            <v>6686</v>
          </cell>
        </row>
        <row r="159">
          <cell r="M159">
            <v>45491</v>
          </cell>
        </row>
        <row r="160">
          <cell r="A160">
            <v>575</v>
          </cell>
        </row>
        <row r="160">
          <cell r="C160" t="str">
            <v>王偲涵</v>
          </cell>
          <cell r="D160" t="str">
            <v>雨刮罩</v>
          </cell>
        </row>
        <row r="160">
          <cell r="I160">
            <v>0</v>
          </cell>
          <cell r="J160">
            <v>6630</v>
          </cell>
        </row>
        <row r="160">
          <cell r="M160">
            <v>45462</v>
          </cell>
        </row>
        <row r="161">
          <cell r="A161">
            <v>576</v>
          </cell>
        </row>
        <row r="161">
          <cell r="C161" t="str">
            <v>王偲涵</v>
          </cell>
          <cell r="D161" t="str">
            <v>雨刮罩</v>
          </cell>
        </row>
        <row r="161">
          <cell r="I161">
            <v>0</v>
          </cell>
          <cell r="J161">
            <v>6670</v>
          </cell>
        </row>
        <row r="161">
          <cell r="M161">
            <v>45458</v>
          </cell>
        </row>
        <row r="162">
          <cell r="A162">
            <v>2637</v>
          </cell>
        </row>
        <row r="162">
          <cell r="C162" t="str">
            <v>朱培源</v>
          </cell>
          <cell r="D162" t="str">
            <v>机盖及附件</v>
          </cell>
        </row>
        <row r="162">
          <cell r="I162">
            <v>0</v>
          </cell>
          <cell r="J162">
            <v>6730</v>
          </cell>
        </row>
        <row r="162">
          <cell r="M162">
            <v>45464</v>
          </cell>
        </row>
        <row r="163">
          <cell r="A163">
            <v>2712</v>
          </cell>
        </row>
        <row r="163">
          <cell r="C163" t="str">
            <v>朱培源</v>
          </cell>
          <cell r="D163" t="str">
            <v>软顶</v>
          </cell>
        </row>
        <row r="163">
          <cell r="I163">
            <v>0</v>
          </cell>
          <cell r="J163">
            <v>6906</v>
          </cell>
        </row>
        <row r="163">
          <cell r="M163">
            <v>45460</v>
          </cell>
        </row>
        <row r="164">
          <cell r="A164">
            <v>4678</v>
          </cell>
        </row>
        <row r="164">
          <cell r="C164" t="str">
            <v>王偲涵</v>
          </cell>
          <cell r="D164" t="str">
            <v>饰条</v>
          </cell>
        </row>
        <row r="164">
          <cell r="I164">
            <v>0</v>
          </cell>
          <cell r="J164">
            <v>6907</v>
          </cell>
        </row>
        <row r="164">
          <cell r="M164">
            <v>45460</v>
          </cell>
        </row>
        <row r="165">
          <cell r="A165">
            <v>596</v>
          </cell>
        </row>
        <row r="165">
          <cell r="C165" t="str">
            <v>胡煜星</v>
          </cell>
          <cell r="D165" t="str">
            <v>车门系统</v>
          </cell>
        </row>
        <row r="165">
          <cell r="I165">
            <v>0</v>
          </cell>
          <cell r="J165">
            <v>6872</v>
          </cell>
        </row>
        <row r="165">
          <cell r="M165">
            <v>45470</v>
          </cell>
        </row>
        <row r="166">
          <cell r="A166">
            <v>2732</v>
          </cell>
        </row>
        <row r="166">
          <cell r="C166" t="str">
            <v>朱培源</v>
          </cell>
          <cell r="D166" t="str">
            <v>软顶</v>
          </cell>
        </row>
        <row r="166">
          <cell r="I166">
            <v>0</v>
          </cell>
          <cell r="J166">
            <v>6873</v>
          </cell>
        </row>
        <row r="166">
          <cell r="M166">
            <v>45458</v>
          </cell>
        </row>
        <row r="167">
          <cell r="A167">
            <v>2752</v>
          </cell>
        </row>
        <row r="167">
          <cell r="C167" t="str">
            <v>朱培源</v>
          </cell>
          <cell r="D167" t="str">
            <v>机盖及附件</v>
          </cell>
        </row>
        <row r="167">
          <cell r="I167">
            <v>0</v>
          </cell>
          <cell r="J167">
            <v>6908</v>
          </cell>
        </row>
        <row r="167">
          <cell r="M167">
            <v>45471</v>
          </cell>
        </row>
        <row r="168">
          <cell r="A168">
            <v>945</v>
          </cell>
        </row>
        <row r="168">
          <cell r="C168" t="str">
            <v>胡煜星</v>
          </cell>
          <cell r="D168" t="str">
            <v>车门系统</v>
          </cell>
        </row>
        <row r="168">
          <cell r="I168">
            <v>0</v>
          </cell>
          <cell r="J168">
            <v>6909</v>
          </cell>
        </row>
        <row r="168">
          <cell r="M168">
            <v>45469</v>
          </cell>
        </row>
        <row r="169">
          <cell r="A169">
            <v>954</v>
          </cell>
        </row>
        <row r="169">
          <cell r="C169" t="str">
            <v>胡煜星</v>
          </cell>
          <cell r="D169" t="str">
            <v>车门系统</v>
          </cell>
        </row>
        <row r="169">
          <cell r="I169">
            <v>0</v>
          </cell>
          <cell r="J169">
            <v>6910</v>
          </cell>
        </row>
        <row r="169">
          <cell r="M169">
            <v>45464</v>
          </cell>
        </row>
        <row r="170">
          <cell r="A170">
            <v>955</v>
          </cell>
        </row>
        <row r="170">
          <cell r="C170" t="str">
            <v>胡煜星</v>
          </cell>
          <cell r="D170" t="str">
            <v>车门系统</v>
          </cell>
        </row>
        <row r="170">
          <cell r="I170">
            <v>0</v>
          </cell>
          <cell r="J170">
            <v>6911</v>
          </cell>
        </row>
        <row r="170">
          <cell r="M170">
            <v>45471</v>
          </cell>
        </row>
        <row r="171">
          <cell r="A171">
            <v>1727</v>
          </cell>
        </row>
        <row r="171">
          <cell r="C171" t="str">
            <v>朱培源</v>
          </cell>
          <cell r="D171" t="str">
            <v>机盖及附件</v>
          </cell>
        </row>
        <row r="171">
          <cell r="I171">
            <v>0</v>
          </cell>
          <cell r="J171">
            <v>6912</v>
          </cell>
        </row>
        <row r="171">
          <cell r="M171">
            <v>45460</v>
          </cell>
        </row>
        <row r="172">
          <cell r="A172">
            <v>8233</v>
          </cell>
        </row>
        <row r="172">
          <cell r="C172" t="str">
            <v>俞东旭</v>
          </cell>
          <cell r="D172" t="str">
            <v>挡泥板</v>
          </cell>
        </row>
        <row r="172">
          <cell r="I172">
            <v>0</v>
          </cell>
          <cell r="J172">
            <v>6913</v>
          </cell>
        </row>
        <row r="172">
          <cell r="M172">
            <v>45461</v>
          </cell>
        </row>
        <row r="173">
          <cell r="A173">
            <v>985</v>
          </cell>
        </row>
        <row r="173">
          <cell r="C173" t="str">
            <v>俞东旭</v>
          </cell>
          <cell r="D173" t="str">
            <v>车身外扩件</v>
          </cell>
        </row>
        <row r="173">
          <cell r="I173">
            <v>0</v>
          </cell>
          <cell r="J173">
            <v>6914</v>
          </cell>
        </row>
        <row r="173">
          <cell r="M173">
            <v>45460</v>
          </cell>
        </row>
        <row r="174">
          <cell r="A174">
            <v>1008</v>
          </cell>
        </row>
        <row r="174">
          <cell r="C174" t="str">
            <v>俞东旭</v>
          </cell>
          <cell r="D174" t="str">
            <v>车身外扩件</v>
          </cell>
        </row>
        <row r="174">
          <cell r="I174">
            <v>0</v>
          </cell>
          <cell r="J174">
            <v>6915</v>
          </cell>
        </row>
        <row r="174">
          <cell r="M174">
            <v>45460</v>
          </cell>
        </row>
        <row r="175">
          <cell r="A175">
            <v>1010</v>
          </cell>
        </row>
        <row r="175">
          <cell r="C175" t="str">
            <v>俞东旭</v>
          </cell>
          <cell r="D175" t="str">
            <v>车身外扩件</v>
          </cell>
        </row>
        <row r="175">
          <cell r="I175">
            <v>0</v>
          </cell>
          <cell r="J175">
            <v>6517</v>
          </cell>
        </row>
        <row r="175">
          <cell r="M175">
            <v>45463</v>
          </cell>
        </row>
        <row r="176">
          <cell r="A176">
            <v>1011</v>
          </cell>
        </row>
        <row r="176">
          <cell r="C176" t="str">
            <v>俞东旭</v>
          </cell>
          <cell r="D176" t="str">
            <v>车身外扩件</v>
          </cell>
        </row>
        <row r="176">
          <cell r="I176">
            <v>0</v>
          </cell>
          <cell r="J176">
            <v>5630</v>
          </cell>
        </row>
        <row r="177">
          <cell r="A177">
            <v>1022</v>
          </cell>
        </row>
        <row r="177">
          <cell r="C177" t="str">
            <v>王偲涵</v>
          </cell>
          <cell r="D177" t="str">
            <v>雨刮罩</v>
          </cell>
        </row>
        <row r="177">
          <cell r="I177">
            <v>0</v>
          </cell>
          <cell r="J177">
            <v>4799</v>
          </cell>
        </row>
        <row r="178">
          <cell r="A178">
            <v>8842</v>
          </cell>
        </row>
        <row r="178">
          <cell r="C178" t="str">
            <v>章鹏</v>
          </cell>
          <cell r="D178" t="str">
            <v>挡泥板</v>
          </cell>
        </row>
        <row r="178">
          <cell r="I178">
            <v>0</v>
          </cell>
          <cell r="J178">
            <v>6729</v>
          </cell>
        </row>
        <row r="178">
          <cell r="M178">
            <v>45477</v>
          </cell>
        </row>
        <row r="179">
          <cell r="A179">
            <v>3013</v>
          </cell>
        </row>
        <row r="179">
          <cell r="C179" t="str">
            <v>朱培源</v>
          </cell>
          <cell r="D179" t="str">
            <v>软顶</v>
          </cell>
        </row>
        <row r="179">
          <cell r="I179">
            <v>0</v>
          </cell>
          <cell r="J179">
            <v>6773</v>
          </cell>
        </row>
        <row r="179">
          <cell r="M179">
            <v>45475</v>
          </cell>
        </row>
        <row r="180">
          <cell r="A180">
            <v>3024</v>
          </cell>
        </row>
        <row r="180">
          <cell r="C180" t="str">
            <v>朱培源</v>
          </cell>
          <cell r="D180" t="str">
            <v>软顶</v>
          </cell>
        </row>
        <row r="180">
          <cell r="I180">
            <v>0</v>
          </cell>
          <cell r="J180">
            <v>6775</v>
          </cell>
        </row>
        <row r="180">
          <cell r="M180">
            <v>45476</v>
          </cell>
        </row>
        <row r="181">
          <cell r="A181">
            <v>1032</v>
          </cell>
        </row>
        <row r="181">
          <cell r="C181" t="str">
            <v>王偲涵</v>
          </cell>
          <cell r="D181" t="str">
            <v>雨刮罩</v>
          </cell>
        </row>
        <row r="181">
          <cell r="I181">
            <v>0</v>
          </cell>
          <cell r="J181">
            <v>6787</v>
          </cell>
        </row>
        <row r="181">
          <cell r="M181">
            <v>45470</v>
          </cell>
        </row>
        <row r="182">
          <cell r="A182">
            <v>1049</v>
          </cell>
        </row>
        <row r="182">
          <cell r="C182" t="str">
            <v>王偲涵</v>
          </cell>
          <cell r="D182" t="str">
            <v>雨刮罩</v>
          </cell>
        </row>
        <row r="182">
          <cell r="I182">
            <v>0</v>
          </cell>
          <cell r="J182">
            <v>6764</v>
          </cell>
        </row>
        <row r="182">
          <cell r="M182">
            <v>45509</v>
          </cell>
        </row>
        <row r="183">
          <cell r="A183">
            <v>1051</v>
          </cell>
        </row>
        <row r="183">
          <cell r="C183" t="str">
            <v>王偲涵</v>
          </cell>
          <cell r="D183" t="str">
            <v>雨刮罩</v>
          </cell>
        </row>
        <row r="183">
          <cell r="I183">
            <v>0</v>
          </cell>
          <cell r="J183">
            <v>5094</v>
          </cell>
        </row>
        <row r="183">
          <cell r="M183">
            <v>45473</v>
          </cell>
        </row>
        <row r="184">
          <cell r="A184">
            <v>5363</v>
          </cell>
        </row>
        <row r="184">
          <cell r="C184" t="str">
            <v>俞东旭</v>
          </cell>
          <cell r="D184" t="str">
            <v>其他</v>
          </cell>
        </row>
        <row r="184">
          <cell r="I184">
            <v>0</v>
          </cell>
          <cell r="J184">
            <v>6823</v>
          </cell>
        </row>
        <row r="184">
          <cell r="M184">
            <v>45580</v>
          </cell>
        </row>
        <row r="185">
          <cell r="A185">
            <v>3043</v>
          </cell>
        </row>
        <row r="185">
          <cell r="C185" t="str">
            <v>朱培源</v>
          </cell>
          <cell r="D185" t="str">
            <v>软顶</v>
          </cell>
        </row>
        <row r="185">
          <cell r="I185">
            <v>0</v>
          </cell>
          <cell r="J185">
            <v>6824</v>
          </cell>
        </row>
        <row r="185">
          <cell r="M185">
            <v>45557</v>
          </cell>
        </row>
        <row r="186">
          <cell r="A186">
            <v>3031</v>
          </cell>
        </row>
        <row r="186">
          <cell r="C186" t="str">
            <v>朱培源</v>
          </cell>
          <cell r="D186" t="str">
            <v>软顶</v>
          </cell>
        </row>
        <row r="186">
          <cell r="I186">
            <v>0</v>
          </cell>
          <cell r="J186">
            <v>6825</v>
          </cell>
        </row>
        <row r="186">
          <cell r="M186">
            <v>45714</v>
          </cell>
        </row>
        <row r="187">
          <cell r="A187">
            <v>1119</v>
          </cell>
        </row>
        <row r="187">
          <cell r="C187" t="str">
            <v>王偲涵</v>
          </cell>
          <cell r="D187" t="str">
            <v>车身外扩件</v>
          </cell>
        </row>
        <row r="187">
          <cell r="I187">
            <v>0</v>
          </cell>
          <cell r="J187">
            <v>6826</v>
          </cell>
        </row>
        <row r="187">
          <cell r="M187">
            <v>45518</v>
          </cell>
        </row>
        <row r="188">
          <cell r="A188">
            <v>1120</v>
          </cell>
        </row>
        <row r="188">
          <cell r="C188" t="str">
            <v>王偲涵</v>
          </cell>
          <cell r="D188" t="str">
            <v>车身外扩件</v>
          </cell>
        </row>
        <row r="188">
          <cell r="I188">
            <v>0</v>
          </cell>
          <cell r="J188">
            <v>6905</v>
          </cell>
        </row>
        <row r="188">
          <cell r="M188">
            <v>45475</v>
          </cell>
        </row>
        <row r="189">
          <cell r="A189">
            <v>1121</v>
          </cell>
        </row>
        <row r="189">
          <cell r="C189" t="str">
            <v>王偲涵</v>
          </cell>
          <cell r="D189" t="str">
            <v>车身外扩件</v>
          </cell>
        </row>
        <row r="189">
          <cell r="I189">
            <v>0</v>
          </cell>
          <cell r="J189">
            <v>6762</v>
          </cell>
        </row>
        <row r="189">
          <cell r="M189">
            <v>45472</v>
          </cell>
        </row>
        <row r="190">
          <cell r="A190">
            <v>1122</v>
          </cell>
        </row>
        <row r="190">
          <cell r="C190" t="str">
            <v>王偲涵</v>
          </cell>
          <cell r="D190" t="str">
            <v>车身外扩件</v>
          </cell>
        </row>
        <row r="190">
          <cell r="I190">
            <v>0</v>
          </cell>
          <cell r="J190">
            <v>6763</v>
          </cell>
        </row>
        <row r="190">
          <cell r="M190">
            <v>45490</v>
          </cell>
        </row>
        <row r="191">
          <cell r="A191">
            <v>1462</v>
          </cell>
        </row>
        <row r="191">
          <cell r="C191" t="str">
            <v>张潇</v>
          </cell>
          <cell r="D191" t="str">
            <v>其他</v>
          </cell>
        </row>
        <row r="191">
          <cell r="I191">
            <v>0</v>
          </cell>
          <cell r="J191">
            <v>6903</v>
          </cell>
        </row>
        <row r="191">
          <cell r="M191">
            <v>45472</v>
          </cell>
        </row>
        <row r="192">
          <cell r="A192">
            <v>7894</v>
          </cell>
        </row>
        <row r="192">
          <cell r="C192" t="str">
            <v>章鹏</v>
          </cell>
          <cell r="D192" t="str">
            <v>其他</v>
          </cell>
        </row>
        <row r="192">
          <cell r="I192">
            <v>0</v>
          </cell>
          <cell r="J192">
            <v>6821</v>
          </cell>
        </row>
        <row r="192">
          <cell r="M192">
            <v>45493</v>
          </cell>
        </row>
        <row r="193">
          <cell r="A193">
            <v>3103</v>
          </cell>
        </row>
        <row r="193">
          <cell r="C193" t="str">
            <v>朱培源</v>
          </cell>
          <cell r="D193" t="str">
            <v>软顶</v>
          </cell>
        </row>
        <row r="193">
          <cell r="I193">
            <v>0</v>
          </cell>
          <cell r="J193">
            <v>6865</v>
          </cell>
        </row>
        <row r="193">
          <cell r="M193">
            <v>45480</v>
          </cell>
        </row>
        <row r="194">
          <cell r="A194">
            <v>3104</v>
          </cell>
        </row>
        <row r="194">
          <cell r="C194" t="str">
            <v>朱培源</v>
          </cell>
          <cell r="D194" t="str">
            <v>软顶</v>
          </cell>
        </row>
        <row r="194">
          <cell r="I194">
            <v>0</v>
          </cell>
          <cell r="J194">
            <v>6629</v>
          </cell>
        </row>
        <row r="195">
          <cell r="A195">
            <v>1141</v>
          </cell>
        </row>
        <row r="195">
          <cell r="C195" t="str">
            <v>王偲涵</v>
          </cell>
          <cell r="D195" t="str">
            <v>车身外扩件</v>
          </cell>
        </row>
        <row r="195">
          <cell r="I195">
            <v>0</v>
          </cell>
          <cell r="J195">
            <v>4692</v>
          </cell>
        </row>
        <row r="196">
          <cell r="A196">
            <v>9135</v>
          </cell>
        </row>
        <row r="196">
          <cell r="C196" t="str">
            <v>朱培源</v>
          </cell>
          <cell r="D196" t="str">
            <v>挡泥板</v>
          </cell>
        </row>
        <row r="196">
          <cell r="I196">
            <v>0</v>
          </cell>
          <cell r="J196">
            <v>6625</v>
          </cell>
        </row>
        <row r="197">
          <cell r="A197">
            <v>1150</v>
          </cell>
        </row>
        <row r="197">
          <cell r="C197" t="str">
            <v>朱培源</v>
          </cell>
          <cell r="D197" t="str">
            <v>车门系统</v>
          </cell>
        </row>
        <row r="197">
          <cell r="I197">
            <v>0</v>
          </cell>
          <cell r="J197">
            <v>3548</v>
          </cell>
        </row>
        <row r="198">
          <cell r="A198">
            <v>1154</v>
          </cell>
        </row>
        <row r="198">
          <cell r="C198" t="str">
            <v>胡煜星</v>
          </cell>
          <cell r="D198" t="str">
            <v>车门系统</v>
          </cell>
        </row>
        <row r="198">
          <cell r="I198">
            <v>0</v>
          </cell>
          <cell r="J198">
            <v>5207</v>
          </cell>
        </row>
        <row r="199">
          <cell r="A199">
            <v>1155</v>
          </cell>
        </row>
        <row r="199">
          <cell r="C199" t="str">
            <v>王偲涵</v>
          </cell>
          <cell r="D199" t="str">
            <v>车身外扩件</v>
          </cell>
        </row>
        <row r="199">
          <cell r="I199">
            <v>0</v>
          </cell>
          <cell r="J199">
            <v>6725</v>
          </cell>
        </row>
        <row r="199">
          <cell r="M199">
            <v>45481</v>
          </cell>
        </row>
        <row r="200">
          <cell r="A200">
            <v>3242</v>
          </cell>
        </row>
        <row r="200">
          <cell r="C200" t="str">
            <v>俞东旭</v>
          </cell>
          <cell r="D200" t="str">
            <v>其他</v>
          </cell>
        </row>
        <row r="200">
          <cell r="I200">
            <v>0</v>
          </cell>
          <cell r="J200">
            <v>6822</v>
          </cell>
        </row>
        <row r="200">
          <cell r="M200">
            <v>45491</v>
          </cell>
        </row>
        <row r="201">
          <cell r="A201">
            <v>5589</v>
          </cell>
        </row>
        <row r="201">
          <cell r="C201" t="str">
            <v>朱培源</v>
          </cell>
          <cell r="D201" t="str">
            <v>挡泥板</v>
          </cell>
        </row>
        <row r="201">
          <cell r="I201">
            <v>0</v>
          </cell>
          <cell r="J201">
            <v>6867</v>
          </cell>
        </row>
        <row r="201">
          <cell r="M201">
            <v>45491</v>
          </cell>
        </row>
        <row r="202">
          <cell r="A202">
            <v>3187</v>
          </cell>
        </row>
        <row r="202">
          <cell r="C202" t="str">
            <v>朱培源</v>
          </cell>
          <cell r="D202" t="str">
            <v>机盖及附件</v>
          </cell>
        </row>
        <row r="202">
          <cell r="I202">
            <v>0</v>
          </cell>
          <cell r="J202">
            <v>6868</v>
          </cell>
        </row>
        <row r="202">
          <cell r="M202">
            <v>45491</v>
          </cell>
        </row>
        <row r="203">
          <cell r="A203">
            <v>1201</v>
          </cell>
        </row>
        <row r="203">
          <cell r="C203" t="str">
            <v>张潇</v>
          </cell>
          <cell r="D203" t="str">
            <v>车身外扩件</v>
          </cell>
        </row>
        <row r="203">
          <cell r="I203">
            <v>0</v>
          </cell>
          <cell r="J203">
            <v>6874</v>
          </cell>
        </row>
        <row r="203">
          <cell r="M203">
            <v>45488</v>
          </cell>
        </row>
        <row r="204">
          <cell r="A204">
            <v>1247</v>
          </cell>
        </row>
        <row r="204">
          <cell r="C204" t="str">
            <v>王偲涵</v>
          </cell>
          <cell r="D204" t="str">
            <v>车身外扩件</v>
          </cell>
        </row>
        <row r="204">
          <cell r="I204">
            <v>0</v>
          </cell>
          <cell r="J204">
            <v>6875</v>
          </cell>
        </row>
        <row r="204">
          <cell r="M204">
            <v>45492</v>
          </cell>
        </row>
        <row r="205">
          <cell r="A205">
            <v>3249</v>
          </cell>
        </row>
        <row r="205">
          <cell r="C205" t="str">
            <v>朱培源</v>
          </cell>
          <cell r="D205" t="str">
            <v>软顶</v>
          </cell>
        </row>
        <row r="205">
          <cell r="I205">
            <v>0</v>
          </cell>
          <cell r="J205">
            <v>7027</v>
          </cell>
        </row>
        <row r="205">
          <cell r="M205">
            <v>45501</v>
          </cell>
        </row>
        <row r="206">
          <cell r="A206">
            <v>10091</v>
          </cell>
        </row>
        <row r="206">
          <cell r="C206" t="str">
            <v>朱培源</v>
          </cell>
          <cell r="D206" t="str">
            <v>软顶</v>
          </cell>
        </row>
        <row r="206">
          <cell r="I206">
            <v>0</v>
          </cell>
          <cell r="J206">
            <v>7028</v>
          </cell>
        </row>
        <row r="206">
          <cell r="M206">
            <v>45524</v>
          </cell>
        </row>
        <row r="207">
          <cell r="A207">
            <v>1292</v>
          </cell>
        </row>
        <row r="207">
          <cell r="C207" t="str">
            <v>王偲涵</v>
          </cell>
          <cell r="D207" t="str">
            <v>车身外扩件</v>
          </cell>
        </row>
        <row r="207">
          <cell r="I207">
            <v>0</v>
          </cell>
          <cell r="J207">
            <v>6976</v>
          </cell>
        </row>
        <row r="207">
          <cell r="M207">
            <v>45507</v>
          </cell>
        </row>
        <row r="208">
          <cell r="A208">
            <v>1302</v>
          </cell>
        </row>
        <row r="208">
          <cell r="C208" t="str">
            <v>俞东旭</v>
          </cell>
          <cell r="D208" t="str">
            <v>车门系统</v>
          </cell>
        </row>
        <row r="208">
          <cell r="I208">
            <v>0</v>
          </cell>
          <cell r="J208">
            <v>4691</v>
          </cell>
        </row>
        <row r="209">
          <cell r="A209">
            <v>635</v>
          </cell>
        </row>
        <row r="209">
          <cell r="C209" t="str">
            <v>章鹏</v>
          </cell>
          <cell r="D209" t="str">
            <v>其他</v>
          </cell>
        </row>
        <row r="209">
          <cell r="I209">
            <v>0</v>
          </cell>
          <cell r="J209">
            <v>6991</v>
          </cell>
        </row>
        <row r="209">
          <cell r="M209">
            <v>45502</v>
          </cell>
        </row>
        <row r="210">
          <cell r="A210">
            <v>1320</v>
          </cell>
        </row>
        <row r="210">
          <cell r="C210" t="str">
            <v>胡煜星</v>
          </cell>
          <cell r="D210" t="str">
            <v>车门系统</v>
          </cell>
        </row>
        <row r="210">
          <cell r="I210">
            <v>0</v>
          </cell>
          <cell r="J210">
            <v>6977</v>
          </cell>
        </row>
        <row r="210">
          <cell r="M210">
            <v>45501</v>
          </cell>
        </row>
        <row r="211">
          <cell r="A211">
            <v>3385</v>
          </cell>
        </row>
        <row r="211">
          <cell r="C211" t="str">
            <v>朱培源</v>
          </cell>
          <cell r="D211" t="str">
            <v>挡泥板</v>
          </cell>
        </row>
        <row r="211">
          <cell r="I211">
            <v>0</v>
          </cell>
          <cell r="J211">
            <v>7026</v>
          </cell>
        </row>
        <row r="211">
          <cell r="M211">
            <v>45511</v>
          </cell>
        </row>
        <row r="212">
          <cell r="A212">
            <v>9482</v>
          </cell>
        </row>
        <row r="212">
          <cell r="C212" t="str">
            <v>张潇</v>
          </cell>
          <cell r="D212" t="str">
            <v>车门系统</v>
          </cell>
        </row>
        <row r="212">
          <cell r="I212">
            <v>0</v>
          </cell>
          <cell r="J212">
            <v>7086</v>
          </cell>
        </row>
        <row r="212">
          <cell r="M212">
            <v>45502</v>
          </cell>
        </row>
        <row r="213">
          <cell r="A213">
            <v>8936</v>
          </cell>
        </row>
        <row r="213">
          <cell r="C213" t="str">
            <v>章鹏</v>
          </cell>
          <cell r="D213" t="str">
            <v>挡泥板</v>
          </cell>
        </row>
        <row r="213">
          <cell r="I213">
            <v>0</v>
          </cell>
          <cell r="J213">
            <v>6975</v>
          </cell>
        </row>
        <row r="213">
          <cell r="M213">
            <v>45501</v>
          </cell>
        </row>
        <row r="214">
          <cell r="A214">
            <v>3512</v>
          </cell>
        </row>
        <row r="214">
          <cell r="C214" t="str">
            <v>朱培源</v>
          </cell>
          <cell r="D214" t="str">
            <v>软顶</v>
          </cell>
        </row>
        <row r="214">
          <cell r="I214">
            <v>0</v>
          </cell>
          <cell r="J214">
            <v>6990</v>
          </cell>
        </row>
        <row r="214">
          <cell r="M214">
            <v>45516</v>
          </cell>
        </row>
        <row r="215">
          <cell r="A215">
            <v>3534</v>
          </cell>
        </row>
        <row r="215">
          <cell r="C215" t="str">
            <v>朱培源</v>
          </cell>
          <cell r="D215" t="str">
            <v>软顶</v>
          </cell>
        </row>
        <row r="215">
          <cell r="I215">
            <v>0</v>
          </cell>
          <cell r="J215">
            <v>7118</v>
          </cell>
        </row>
        <row r="215">
          <cell r="M215">
            <v>45505</v>
          </cell>
        </row>
        <row r="216">
          <cell r="A216">
            <v>3535</v>
          </cell>
        </row>
        <row r="216">
          <cell r="C216" t="str">
            <v>朱培源</v>
          </cell>
          <cell r="D216" t="str">
            <v>软顶</v>
          </cell>
        </row>
        <row r="216">
          <cell r="I216">
            <v>0</v>
          </cell>
          <cell r="J216">
            <v>6869</v>
          </cell>
        </row>
        <row r="216">
          <cell r="M216">
            <v>45505</v>
          </cell>
        </row>
        <row r="217">
          <cell r="A217">
            <v>3536</v>
          </cell>
        </row>
        <row r="217">
          <cell r="C217" t="str">
            <v>朱培源</v>
          </cell>
          <cell r="D217" t="str">
            <v>软顶</v>
          </cell>
        </row>
        <row r="217">
          <cell r="I217">
            <v>0</v>
          </cell>
          <cell r="J217">
            <v>7103</v>
          </cell>
        </row>
        <row r="217">
          <cell r="M217">
            <v>45517</v>
          </cell>
        </row>
        <row r="218">
          <cell r="A218">
            <v>8608</v>
          </cell>
        </row>
        <row r="218">
          <cell r="C218" t="str">
            <v>章鹏</v>
          </cell>
          <cell r="D218" t="str">
            <v>挡泥板</v>
          </cell>
        </row>
        <row r="218">
          <cell r="I218">
            <v>0</v>
          </cell>
          <cell r="J218">
            <v>7104</v>
          </cell>
        </row>
        <row r="218">
          <cell r="M218">
            <v>45521</v>
          </cell>
        </row>
        <row r="219">
          <cell r="A219">
            <v>1152</v>
          </cell>
        </row>
        <row r="219">
          <cell r="C219" t="str">
            <v>朱培源</v>
          </cell>
          <cell r="D219" t="str">
            <v>挡泥板</v>
          </cell>
        </row>
        <row r="219">
          <cell r="I219">
            <v>0</v>
          </cell>
          <cell r="J219">
            <v>6992</v>
          </cell>
        </row>
        <row r="220">
          <cell r="A220">
            <v>1448</v>
          </cell>
        </row>
        <row r="220">
          <cell r="C220" t="str">
            <v>王偲涵</v>
          </cell>
          <cell r="D220" t="str">
            <v>车身外扩件</v>
          </cell>
        </row>
        <row r="220">
          <cell r="I220">
            <v>0</v>
          </cell>
          <cell r="J220">
            <v>5609</v>
          </cell>
        </row>
        <row r="221">
          <cell r="A221">
            <v>1449</v>
          </cell>
        </row>
        <row r="221">
          <cell r="C221" t="str">
            <v>王偲涵</v>
          </cell>
          <cell r="D221" t="str">
            <v>车身外扩件</v>
          </cell>
        </row>
        <row r="221">
          <cell r="I221">
            <v>0</v>
          </cell>
          <cell r="J221">
            <v>4664</v>
          </cell>
        </row>
        <row r="222">
          <cell r="A222">
            <v>1459</v>
          </cell>
        </row>
        <row r="222">
          <cell r="C222" t="str">
            <v>胡煜星</v>
          </cell>
          <cell r="D222" t="str">
            <v>车门系统</v>
          </cell>
        </row>
        <row r="222">
          <cell r="I222">
            <v>0</v>
          </cell>
          <cell r="J222">
            <v>7091</v>
          </cell>
        </row>
        <row r="222">
          <cell r="M222">
            <v>45513</v>
          </cell>
        </row>
        <row r="223">
          <cell r="A223">
            <v>3708</v>
          </cell>
        </row>
        <row r="223">
          <cell r="C223" t="str">
            <v>朱培源</v>
          </cell>
          <cell r="D223" t="str">
            <v>软顶</v>
          </cell>
        </row>
        <row r="223">
          <cell r="I223">
            <v>0</v>
          </cell>
          <cell r="J223">
            <v>7141</v>
          </cell>
        </row>
        <row r="223">
          <cell r="M223">
            <v>45529</v>
          </cell>
        </row>
        <row r="224">
          <cell r="A224">
            <v>1497</v>
          </cell>
        </row>
        <row r="224">
          <cell r="C224" t="str">
            <v>王偲涵</v>
          </cell>
          <cell r="D224" t="str">
            <v>车身外扩件</v>
          </cell>
        </row>
        <row r="224">
          <cell r="I224">
            <v>0</v>
          </cell>
          <cell r="J224">
            <v>7189</v>
          </cell>
        </row>
        <row r="224">
          <cell r="M224">
            <v>45516</v>
          </cell>
        </row>
        <row r="225">
          <cell r="A225">
            <v>1498</v>
          </cell>
        </row>
        <row r="225">
          <cell r="C225" t="str">
            <v>王偲涵</v>
          </cell>
          <cell r="D225" t="str">
            <v>车身外扩件</v>
          </cell>
        </row>
        <row r="225">
          <cell r="I225">
            <v>0</v>
          </cell>
          <cell r="J225">
            <v>7190</v>
          </cell>
        </row>
        <row r="225">
          <cell r="M225">
            <v>45511</v>
          </cell>
        </row>
        <row r="226">
          <cell r="A226">
            <v>1513</v>
          </cell>
        </row>
        <row r="226">
          <cell r="C226" t="str">
            <v>王偲涵</v>
          </cell>
          <cell r="D226" t="str">
            <v>车身外扩件</v>
          </cell>
        </row>
        <row r="226">
          <cell r="I226">
            <v>0</v>
          </cell>
          <cell r="J226">
            <v>7191</v>
          </cell>
        </row>
        <row r="226">
          <cell r="M226">
            <v>45519</v>
          </cell>
        </row>
        <row r="227">
          <cell r="A227">
            <v>1520</v>
          </cell>
        </row>
        <row r="227">
          <cell r="C227" t="str">
            <v>俞东旭</v>
          </cell>
          <cell r="D227" t="str">
            <v>车身外扩件</v>
          </cell>
        </row>
        <row r="227">
          <cell r="I227">
            <v>0</v>
          </cell>
          <cell r="J227">
            <v>7192</v>
          </cell>
        </row>
        <row r="227">
          <cell r="M227">
            <v>45554</v>
          </cell>
        </row>
        <row r="228">
          <cell r="A228">
            <v>1536</v>
          </cell>
        </row>
        <row r="228">
          <cell r="C228" t="str">
            <v>王偲涵</v>
          </cell>
          <cell r="D228" t="str">
            <v>雨刮罩</v>
          </cell>
        </row>
        <row r="228">
          <cell r="I228">
            <v>0</v>
          </cell>
          <cell r="J228">
            <v>7193</v>
          </cell>
        </row>
        <row r="228">
          <cell r="M228">
            <v>45516</v>
          </cell>
        </row>
        <row r="229">
          <cell r="A229">
            <v>840</v>
          </cell>
        </row>
        <row r="229">
          <cell r="C229" t="str">
            <v>朱培源</v>
          </cell>
          <cell r="D229" t="str">
            <v>机盖及附件</v>
          </cell>
        </row>
        <row r="229">
          <cell r="I229">
            <v>0</v>
          </cell>
          <cell r="J229">
            <v>7194</v>
          </cell>
        </row>
        <row r="229">
          <cell r="M229">
            <v>45511</v>
          </cell>
        </row>
        <row r="230">
          <cell r="A230">
            <v>1584</v>
          </cell>
        </row>
        <row r="230">
          <cell r="C230" t="str">
            <v>王偲涵</v>
          </cell>
          <cell r="D230" t="str">
            <v>雨刮罩</v>
          </cell>
        </row>
        <row r="230">
          <cell r="I230">
            <v>0</v>
          </cell>
          <cell r="J230">
            <v>7195</v>
          </cell>
        </row>
        <row r="230">
          <cell r="M230">
            <v>45524</v>
          </cell>
        </row>
        <row r="231">
          <cell r="A231">
            <v>2993</v>
          </cell>
        </row>
        <row r="231">
          <cell r="C231" t="str">
            <v>王偲涵</v>
          </cell>
          <cell r="D231" t="str">
            <v>雨刮罩</v>
          </cell>
        </row>
        <row r="231">
          <cell r="I231">
            <v>0</v>
          </cell>
          <cell r="J231">
            <v>7196</v>
          </cell>
        </row>
        <row r="231">
          <cell r="M231">
            <v>45532</v>
          </cell>
        </row>
        <row r="232">
          <cell r="A232">
            <v>1586</v>
          </cell>
        </row>
        <row r="232">
          <cell r="C232" t="str">
            <v>王偲涵</v>
          </cell>
          <cell r="D232" t="str">
            <v>雨刮罩</v>
          </cell>
        </row>
        <row r="232">
          <cell r="I232">
            <v>0</v>
          </cell>
          <cell r="J232">
            <v>7134</v>
          </cell>
        </row>
        <row r="232">
          <cell r="M232">
            <v>45523</v>
          </cell>
        </row>
        <row r="233">
          <cell r="A233">
            <v>1588</v>
          </cell>
        </row>
        <row r="233">
          <cell r="C233" t="str">
            <v>王偲涵</v>
          </cell>
          <cell r="D233" t="str">
            <v>雨刮罩</v>
          </cell>
        </row>
        <row r="233">
          <cell r="I233">
            <v>0</v>
          </cell>
          <cell r="J233">
            <v>7095</v>
          </cell>
        </row>
        <row r="233">
          <cell r="M233">
            <v>45526</v>
          </cell>
        </row>
        <row r="234">
          <cell r="A234">
            <v>1634</v>
          </cell>
        </row>
        <row r="234">
          <cell r="C234" t="str">
            <v>王偲涵</v>
          </cell>
          <cell r="D234" t="str">
            <v>车身外扩件</v>
          </cell>
        </row>
        <row r="234">
          <cell r="I234">
            <v>0</v>
          </cell>
          <cell r="J234">
            <v>7096</v>
          </cell>
        </row>
        <row r="234">
          <cell r="M234">
            <v>45530</v>
          </cell>
        </row>
        <row r="235">
          <cell r="A235">
            <v>1643</v>
          </cell>
        </row>
        <row r="235">
          <cell r="C235" t="str">
            <v>王偲涵</v>
          </cell>
          <cell r="D235" t="str">
            <v>车身外扩件</v>
          </cell>
        </row>
        <row r="235">
          <cell r="I235">
            <v>0</v>
          </cell>
          <cell r="J235">
            <v>7140</v>
          </cell>
        </row>
        <row r="235">
          <cell r="M235">
            <v>45528</v>
          </cell>
        </row>
        <row r="236">
          <cell r="A236">
            <v>1691</v>
          </cell>
        </row>
        <row r="236">
          <cell r="C236" t="str">
            <v>王偲涵</v>
          </cell>
          <cell r="D236" t="str">
            <v>车身外扩件</v>
          </cell>
        </row>
        <row r="236">
          <cell r="I236">
            <v>0</v>
          </cell>
          <cell r="J236">
            <v>7242</v>
          </cell>
        </row>
        <row r="236">
          <cell r="M236">
            <v>45528</v>
          </cell>
        </row>
        <row r="237">
          <cell r="A237">
            <v>1697</v>
          </cell>
        </row>
        <row r="237">
          <cell r="C237" t="str">
            <v>王偲涵</v>
          </cell>
          <cell r="D237" t="str">
            <v>车身外扩件</v>
          </cell>
        </row>
        <row r="237">
          <cell r="I237">
            <v>0</v>
          </cell>
          <cell r="J237">
            <v>7314</v>
          </cell>
        </row>
        <row r="237">
          <cell r="M237">
            <v>45528</v>
          </cell>
        </row>
        <row r="238">
          <cell r="A238">
            <v>1698</v>
          </cell>
        </row>
        <row r="238">
          <cell r="C238" t="str">
            <v>王偲涵</v>
          </cell>
          <cell r="D238" t="str">
            <v>车身外扩件</v>
          </cell>
        </row>
        <row r="238">
          <cell r="I238">
            <v>0</v>
          </cell>
          <cell r="J238">
            <v>7315</v>
          </cell>
        </row>
        <row r="238">
          <cell r="M238">
            <v>45530</v>
          </cell>
        </row>
        <row r="239">
          <cell r="A239">
            <v>1699</v>
          </cell>
        </row>
        <row r="239">
          <cell r="C239" t="str">
            <v>王偲涵</v>
          </cell>
          <cell r="D239" t="str">
            <v>车身外扩件</v>
          </cell>
        </row>
        <row r="239">
          <cell r="I239">
            <v>0</v>
          </cell>
          <cell r="J239">
            <v>7247</v>
          </cell>
        </row>
        <row r="239">
          <cell r="M239">
            <v>45529</v>
          </cell>
        </row>
        <row r="240">
          <cell r="A240">
            <v>1700</v>
          </cell>
        </row>
        <row r="240">
          <cell r="C240" t="str">
            <v>王偲涵</v>
          </cell>
          <cell r="D240" t="str">
            <v>车身外扩件</v>
          </cell>
        </row>
        <row r="240">
          <cell r="I240">
            <v>0</v>
          </cell>
          <cell r="J240">
            <v>7248</v>
          </cell>
        </row>
        <row r="240">
          <cell r="M240">
            <v>45527</v>
          </cell>
        </row>
        <row r="241">
          <cell r="A241">
            <v>1707</v>
          </cell>
        </row>
        <row r="241">
          <cell r="C241" t="str">
            <v>王偲涵</v>
          </cell>
          <cell r="D241" t="str">
            <v>车身外扩件</v>
          </cell>
        </row>
        <row r="241">
          <cell r="I241">
            <v>0</v>
          </cell>
          <cell r="J241">
            <v>7316</v>
          </cell>
        </row>
        <row r="241">
          <cell r="M241">
            <v>45527</v>
          </cell>
        </row>
        <row r="242">
          <cell r="A242">
            <v>1708</v>
          </cell>
        </row>
        <row r="242">
          <cell r="C242" t="str">
            <v>王偲涵</v>
          </cell>
          <cell r="D242" t="str">
            <v>车身外扩件</v>
          </cell>
        </row>
        <row r="242">
          <cell r="I242">
            <v>0</v>
          </cell>
          <cell r="J242">
            <v>7317</v>
          </cell>
        </row>
        <row r="242">
          <cell r="M242">
            <v>45527</v>
          </cell>
        </row>
        <row r="243">
          <cell r="A243">
            <v>1710</v>
          </cell>
        </row>
        <row r="243">
          <cell r="C243" t="str">
            <v>王偲涵</v>
          </cell>
          <cell r="D243" t="str">
            <v>车身外扩件</v>
          </cell>
        </row>
        <row r="243">
          <cell r="I243">
            <v>0</v>
          </cell>
          <cell r="J243">
            <v>7249</v>
          </cell>
        </row>
        <row r="243">
          <cell r="M243">
            <v>45531</v>
          </cell>
        </row>
        <row r="244">
          <cell r="A244">
            <v>1712</v>
          </cell>
        </row>
        <row r="244">
          <cell r="C244" t="str">
            <v>王偲涵</v>
          </cell>
          <cell r="D244" t="str">
            <v>车身外扩件</v>
          </cell>
        </row>
        <row r="244">
          <cell r="I244">
            <v>0</v>
          </cell>
          <cell r="J244">
            <v>7250</v>
          </cell>
        </row>
        <row r="244">
          <cell r="M244">
            <v>45530</v>
          </cell>
        </row>
        <row r="245">
          <cell r="A245">
            <v>1714</v>
          </cell>
        </row>
        <row r="245">
          <cell r="C245" t="str">
            <v>王偲涵</v>
          </cell>
          <cell r="D245" t="str">
            <v>车身外扩件</v>
          </cell>
        </row>
        <row r="245">
          <cell r="I245">
            <v>0</v>
          </cell>
          <cell r="J245">
            <v>7318</v>
          </cell>
        </row>
        <row r="245">
          <cell r="M245">
            <v>45530</v>
          </cell>
        </row>
        <row r="246">
          <cell r="A246">
            <v>1716</v>
          </cell>
        </row>
        <row r="246">
          <cell r="C246" t="str">
            <v>王偲涵</v>
          </cell>
          <cell r="D246" t="str">
            <v>车身外扩件</v>
          </cell>
        </row>
        <row r="246">
          <cell r="I246">
            <v>0</v>
          </cell>
          <cell r="J246">
            <v>7319</v>
          </cell>
        </row>
        <row r="246">
          <cell r="M246">
            <v>45525</v>
          </cell>
        </row>
        <row r="247">
          <cell r="A247">
            <v>3284</v>
          </cell>
        </row>
        <row r="247">
          <cell r="C247" t="str">
            <v>胡煜星</v>
          </cell>
          <cell r="D247" t="str">
            <v>车门系统</v>
          </cell>
        </row>
        <row r="247">
          <cell r="I247">
            <v>0</v>
          </cell>
          <cell r="J247">
            <v>7348</v>
          </cell>
        </row>
        <row r="247">
          <cell r="M247">
            <v>45527</v>
          </cell>
        </row>
        <row r="248">
          <cell r="A248">
            <v>3341</v>
          </cell>
        </row>
        <row r="248">
          <cell r="C248" t="str">
            <v>胡煜星</v>
          </cell>
          <cell r="D248" t="str">
            <v>车门系统</v>
          </cell>
        </row>
        <row r="248">
          <cell r="I248">
            <v>0</v>
          </cell>
          <cell r="J248">
            <v>7349</v>
          </cell>
        </row>
        <row r="248">
          <cell r="M248">
            <v>45531</v>
          </cell>
        </row>
        <row r="249">
          <cell r="A249">
            <v>2850</v>
          </cell>
        </row>
        <row r="249">
          <cell r="C249" t="str">
            <v>王偲涵</v>
          </cell>
          <cell r="D249" t="str">
            <v>车身外扩件</v>
          </cell>
        </row>
        <row r="249">
          <cell r="I249">
            <v>0</v>
          </cell>
          <cell r="J249">
            <v>7251</v>
          </cell>
        </row>
        <row r="249">
          <cell r="M249">
            <v>45527</v>
          </cell>
        </row>
        <row r="250">
          <cell r="A250">
            <v>8087</v>
          </cell>
        </row>
        <row r="250">
          <cell r="C250" t="str">
            <v>章鹏</v>
          </cell>
          <cell r="D250" t="str">
            <v>挡泥板</v>
          </cell>
        </row>
        <row r="250">
          <cell r="I250">
            <v>0</v>
          </cell>
          <cell r="J250">
            <v>7252</v>
          </cell>
        </row>
        <row r="250">
          <cell r="M250">
            <v>45527</v>
          </cell>
        </row>
        <row r="251">
          <cell r="A251">
            <v>3096</v>
          </cell>
        </row>
        <row r="251">
          <cell r="C251" t="str">
            <v>王偲涵</v>
          </cell>
          <cell r="D251" t="str">
            <v>雨刮罩</v>
          </cell>
        </row>
        <row r="251">
          <cell r="I251">
            <v>0</v>
          </cell>
          <cell r="J251">
            <v>7288</v>
          </cell>
        </row>
        <row r="251">
          <cell r="M251">
            <v>45525</v>
          </cell>
        </row>
        <row r="252">
          <cell r="A252">
            <v>3118</v>
          </cell>
        </row>
        <row r="252">
          <cell r="C252" t="str">
            <v>王偲涵</v>
          </cell>
          <cell r="D252" t="str">
            <v>雨刮罩</v>
          </cell>
        </row>
        <row r="252">
          <cell r="I252">
            <v>0</v>
          </cell>
          <cell r="J252">
            <v>7243</v>
          </cell>
        </row>
        <row r="252">
          <cell r="M252">
            <v>45529</v>
          </cell>
        </row>
        <row r="253">
          <cell r="A253">
            <v>3650</v>
          </cell>
        </row>
        <row r="253">
          <cell r="C253" t="str">
            <v>王偲涵</v>
          </cell>
          <cell r="D253" t="str">
            <v>车身外扩件</v>
          </cell>
        </row>
        <row r="253">
          <cell r="I253">
            <v>0</v>
          </cell>
          <cell r="J253">
            <v>7233</v>
          </cell>
        </row>
        <row r="253">
          <cell r="M253">
            <v>45561</v>
          </cell>
        </row>
        <row r="254">
          <cell r="A254">
            <v>3681</v>
          </cell>
        </row>
        <row r="254">
          <cell r="C254" t="str">
            <v>王偲涵</v>
          </cell>
          <cell r="D254" t="str">
            <v>车身外扩件</v>
          </cell>
        </row>
        <row r="254">
          <cell r="I254">
            <v>0</v>
          </cell>
          <cell r="J254">
            <v>7300</v>
          </cell>
        </row>
        <row r="254">
          <cell r="M254">
            <v>45537</v>
          </cell>
        </row>
        <row r="255">
          <cell r="A255">
            <v>3757</v>
          </cell>
        </row>
        <row r="255">
          <cell r="C255" t="str">
            <v>王偲涵</v>
          </cell>
          <cell r="D255" t="str">
            <v>车身外扩件</v>
          </cell>
        </row>
        <row r="255">
          <cell r="I255">
            <v>0</v>
          </cell>
          <cell r="J255">
            <v>7180</v>
          </cell>
        </row>
        <row r="255">
          <cell r="M255">
            <v>45534</v>
          </cell>
        </row>
        <row r="256">
          <cell r="A256">
            <v>3584</v>
          </cell>
        </row>
        <row r="256">
          <cell r="C256" t="str">
            <v>俞东旭</v>
          </cell>
          <cell r="D256" t="str">
            <v>车身外扩件</v>
          </cell>
        </row>
        <row r="256">
          <cell r="I256">
            <v>0</v>
          </cell>
          <cell r="J256">
            <v>7181</v>
          </cell>
        </row>
        <row r="256">
          <cell r="M256">
            <v>45544</v>
          </cell>
        </row>
        <row r="257">
          <cell r="A257">
            <v>3625</v>
          </cell>
        </row>
        <row r="257">
          <cell r="C257" t="str">
            <v>王偲涵</v>
          </cell>
          <cell r="D257" t="str">
            <v>车身外扩件</v>
          </cell>
        </row>
        <row r="257">
          <cell r="I257">
            <v>0</v>
          </cell>
          <cell r="J257">
            <v>7173</v>
          </cell>
        </row>
        <row r="257">
          <cell r="M257">
            <v>45535</v>
          </cell>
        </row>
        <row r="258">
          <cell r="A258">
            <v>3645</v>
          </cell>
        </row>
        <row r="258">
          <cell r="C258" t="str">
            <v>王偲涵</v>
          </cell>
          <cell r="D258" t="str">
            <v>车身外扩件</v>
          </cell>
        </row>
        <row r="258">
          <cell r="I258">
            <v>0</v>
          </cell>
          <cell r="J258">
            <v>7302</v>
          </cell>
        </row>
        <row r="258">
          <cell r="M258">
            <v>45534</v>
          </cell>
        </row>
        <row r="259">
          <cell r="A259">
            <v>3683</v>
          </cell>
        </row>
        <row r="259">
          <cell r="C259" t="str">
            <v>王偲涵</v>
          </cell>
          <cell r="D259" t="str">
            <v>车身外扩件</v>
          </cell>
        </row>
        <row r="259">
          <cell r="I259">
            <v>0</v>
          </cell>
          <cell r="J259">
            <v>7230</v>
          </cell>
        </row>
        <row r="259">
          <cell r="M259">
            <v>45531</v>
          </cell>
        </row>
        <row r="260">
          <cell r="A260">
            <v>3684</v>
          </cell>
        </row>
        <row r="260">
          <cell r="C260" t="str">
            <v>王偲涵</v>
          </cell>
          <cell r="D260" t="str">
            <v>车身外扩件</v>
          </cell>
        </row>
        <row r="260">
          <cell r="I260">
            <v>0</v>
          </cell>
          <cell r="J260">
            <v>7232</v>
          </cell>
        </row>
        <row r="260">
          <cell r="M260">
            <v>45533</v>
          </cell>
        </row>
        <row r="261">
          <cell r="A261">
            <v>3685</v>
          </cell>
        </row>
        <row r="261">
          <cell r="C261" t="str">
            <v>王偲涵</v>
          </cell>
          <cell r="D261" t="str">
            <v>车身外扩件</v>
          </cell>
        </row>
        <row r="261">
          <cell r="I261">
            <v>0</v>
          </cell>
          <cell r="J261">
            <v>7234</v>
          </cell>
        </row>
        <row r="261">
          <cell r="M261">
            <v>45533</v>
          </cell>
        </row>
        <row r="262">
          <cell r="A262">
            <v>1434</v>
          </cell>
        </row>
        <row r="262">
          <cell r="C262" t="str">
            <v>张潇</v>
          </cell>
          <cell r="D262" t="str">
            <v>挡泥板</v>
          </cell>
        </row>
        <row r="262">
          <cell r="I262">
            <v>0</v>
          </cell>
          <cell r="J262">
            <v>7244</v>
          </cell>
        </row>
        <row r="262">
          <cell r="M262">
            <v>45540</v>
          </cell>
        </row>
        <row r="263">
          <cell r="A263">
            <v>3796</v>
          </cell>
        </row>
        <row r="263">
          <cell r="C263" t="str">
            <v>朱培源</v>
          </cell>
          <cell r="D263" t="str">
            <v>软顶</v>
          </cell>
        </row>
        <row r="263">
          <cell r="I263">
            <v>0</v>
          </cell>
          <cell r="J263">
            <v>7245</v>
          </cell>
        </row>
        <row r="263">
          <cell r="M263">
            <v>45535</v>
          </cell>
        </row>
        <row r="264">
          <cell r="A264">
            <v>4073</v>
          </cell>
        </row>
        <row r="264">
          <cell r="C264" t="str">
            <v>俞东旭</v>
          </cell>
          <cell r="D264" t="str">
            <v>其他</v>
          </cell>
        </row>
        <row r="264">
          <cell r="I264">
            <v>0</v>
          </cell>
          <cell r="J264">
            <v>7301</v>
          </cell>
        </row>
        <row r="264">
          <cell r="M264">
            <v>45531</v>
          </cell>
        </row>
        <row r="265">
          <cell r="A265">
            <v>4120</v>
          </cell>
        </row>
        <row r="265">
          <cell r="C265" t="str">
            <v>朱培源</v>
          </cell>
          <cell r="D265" t="str">
            <v>软顶</v>
          </cell>
        </row>
        <row r="265">
          <cell r="I265">
            <v>0</v>
          </cell>
          <cell r="J265">
            <v>7347</v>
          </cell>
        </row>
        <row r="265">
          <cell r="M265">
            <v>45561</v>
          </cell>
        </row>
        <row r="266">
          <cell r="A266">
            <v>4350</v>
          </cell>
        </row>
        <row r="266">
          <cell r="C266" t="str">
            <v>王偲涵</v>
          </cell>
          <cell r="D266" t="str">
            <v>车身外扩件</v>
          </cell>
        </row>
        <row r="266">
          <cell r="I266">
            <v>0</v>
          </cell>
          <cell r="J266">
            <v>7399</v>
          </cell>
        </row>
        <row r="266">
          <cell r="M266">
            <v>45553</v>
          </cell>
        </row>
        <row r="267">
          <cell r="A267">
            <v>4491</v>
          </cell>
        </row>
        <row r="267">
          <cell r="C267" t="str">
            <v>朱培源</v>
          </cell>
          <cell r="D267" t="str">
            <v>软顶</v>
          </cell>
        </row>
        <row r="267">
          <cell r="I267">
            <v>0</v>
          </cell>
          <cell r="J267">
            <v>7467</v>
          </cell>
        </row>
        <row r="267">
          <cell r="M267">
            <v>45557</v>
          </cell>
        </row>
        <row r="268">
          <cell r="A268">
            <v>4543</v>
          </cell>
        </row>
        <row r="268">
          <cell r="C268" t="str">
            <v>朱培源</v>
          </cell>
          <cell r="D268" t="str">
            <v>软顶</v>
          </cell>
        </row>
        <row r="268">
          <cell r="I268">
            <v>0</v>
          </cell>
          <cell r="J268">
            <v>7345</v>
          </cell>
        </row>
        <row r="268">
          <cell r="M268">
            <v>45541</v>
          </cell>
        </row>
        <row r="269">
          <cell r="A269">
            <v>4537</v>
          </cell>
        </row>
        <row r="269">
          <cell r="C269" t="str">
            <v>朱培源</v>
          </cell>
          <cell r="D269" t="str">
            <v>软顶</v>
          </cell>
        </row>
        <row r="269">
          <cell r="I269">
            <v>0</v>
          </cell>
          <cell r="J269">
            <v>7290</v>
          </cell>
        </row>
        <row r="269">
          <cell r="M269">
            <v>45539</v>
          </cell>
        </row>
        <row r="270">
          <cell r="A270">
            <v>5708</v>
          </cell>
        </row>
        <row r="270">
          <cell r="C270" t="str">
            <v>俞东旭</v>
          </cell>
          <cell r="D270" t="str">
            <v>车门系统</v>
          </cell>
        </row>
        <row r="270">
          <cell r="I270" t="e">
            <v>#N/A</v>
          </cell>
          <cell r="J270">
            <v>3714</v>
          </cell>
        </row>
        <row r="271">
          <cell r="A271">
            <v>4267</v>
          </cell>
        </row>
        <row r="271">
          <cell r="C271" t="str">
            <v>王偲涵</v>
          </cell>
          <cell r="D271" t="str">
            <v>车身外扩件</v>
          </cell>
        </row>
        <row r="271">
          <cell r="I271">
            <v>0</v>
          </cell>
          <cell r="J271">
            <v>7231</v>
          </cell>
        </row>
        <row r="271">
          <cell r="M271">
            <v>45579</v>
          </cell>
        </row>
        <row r="272">
          <cell r="A272">
            <v>4663</v>
          </cell>
        </row>
        <row r="272">
          <cell r="C272" t="str">
            <v>俞东旭</v>
          </cell>
          <cell r="D272" t="str">
            <v>车身外扩件</v>
          </cell>
        </row>
        <row r="272">
          <cell r="I272">
            <v>0</v>
          </cell>
          <cell r="J272">
            <v>7448</v>
          </cell>
        </row>
        <row r="272">
          <cell r="M272">
            <v>45559</v>
          </cell>
        </row>
        <row r="273">
          <cell r="A273">
            <v>4219</v>
          </cell>
        </row>
        <row r="273">
          <cell r="C273" t="str">
            <v>王偲涵</v>
          </cell>
          <cell r="D273" t="str">
            <v>车身外扩件</v>
          </cell>
        </row>
        <row r="273">
          <cell r="I273">
            <v>0</v>
          </cell>
          <cell r="J273">
            <v>7449</v>
          </cell>
        </row>
        <row r="273">
          <cell r="M273">
            <v>45665</v>
          </cell>
        </row>
        <row r="274">
          <cell r="A274">
            <v>4794</v>
          </cell>
        </row>
        <row r="274">
          <cell r="C274" t="str">
            <v>王偲涵</v>
          </cell>
          <cell r="D274" t="str">
            <v>车身外扩件</v>
          </cell>
        </row>
        <row r="274">
          <cell r="I274">
            <v>0</v>
          </cell>
          <cell r="J274">
            <v>7450</v>
          </cell>
        </row>
        <row r="274">
          <cell r="M274">
            <v>45561</v>
          </cell>
        </row>
        <row r="275">
          <cell r="A275">
            <v>4756</v>
          </cell>
        </row>
        <row r="275">
          <cell r="C275" t="str">
            <v>俞东旭</v>
          </cell>
          <cell r="D275" t="str">
            <v>车身外扩件</v>
          </cell>
        </row>
        <row r="275">
          <cell r="I275">
            <v>0</v>
          </cell>
          <cell r="J275">
            <v>7419</v>
          </cell>
        </row>
        <row r="275">
          <cell r="M275">
            <v>45558</v>
          </cell>
        </row>
        <row r="276">
          <cell r="A276">
            <v>3657</v>
          </cell>
        </row>
        <row r="276">
          <cell r="C276" t="str">
            <v>王偲涵</v>
          </cell>
          <cell r="D276" t="str">
            <v>车身外扩件</v>
          </cell>
        </row>
        <row r="276">
          <cell r="I276">
            <v>0</v>
          </cell>
          <cell r="J276">
            <v>7420</v>
          </cell>
        </row>
        <row r="276">
          <cell r="M276">
            <v>45555</v>
          </cell>
        </row>
        <row r="277">
          <cell r="A277">
            <v>3920</v>
          </cell>
        </row>
        <row r="277">
          <cell r="C277" t="str">
            <v>王偲涵</v>
          </cell>
          <cell r="D277" t="str">
            <v>车身外扩件</v>
          </cell>
        </row>
        <row r="277">
          <cell r="I277">
            <v>0</v>
          </cell>
          <cell r="J277">
            <v>7421</v>
          </cell>
        </row>
        <row r="277">
          <cell r="M277">
            <v>45595</v>
          </cell>
        </row>
        <row r="278">
          <cell r="A278">
            <v>3533</v>
          </cell>
        </row>
        <row r="278">
          <cell r="C278" t="str">
            <v>王偲涵</v>
          </cell>
          <cell r="D278" t="str">
            <v>车身外扩件</v>
          </cell>
        </row>
        <row r="278">
          <cell r="I278">
            <v>0</v>
          </cell>
          <cell r="J278">
            <v>7422</v>
          </cell>
        </row>
        <row r="278">
          <cell r="M278">
            <v>45582</v>
          </cell>
        </row>
        <row r="279">
          <cell r="A279">
            <v>3608</v>
          </cell>
        </row>
        <row r="279">
          <cell r="C279" t="str">
            <v>王偲涵</v>
          </cell>
          <cell r="D279" t="str">
            <v>车身外扩件</v>
          </cell>
        </row>
        <row r="279">
          <cell r="I279">
            <v>0</v>
          </cell>
          <cell r="J279">
            <v>7293</v>
          </cell>
        </row>
        <row r="279">
          <cell r="M279">
            <v>45558</v>
          </cell>
        </row>
        <row r="280">
          <cell r="A280">
            <v>3509</v>
          </cell>
        </row>
        <row r="280">
          <cell r="C280" t="str">
            <v>王偲涵</v>
          </cell>
          <cell r="D280" t="str">
            <v>车身外扩件</v>
          </cell>
        </row>
        <row r="280">
          <cell r="I280">
            <v>0</v>
          </cell>
          <cell r="J280">
            <v>7294</v>
          </cell>
        </row>
        <row r="280">
          <cell r="M280">
            <v>45551</v>
          </cell>
        </row>
        <row r="281">
          <cell r="A281">
            <v>3686</v>
          </cell>
        </row>
        <row r="281">
          <cell r="C281" t="str">
            <v>王偲涵</v>
          </cell>
          <cell r="D281" t="str">
            <v>车身外扩件</v>
          </cell>
        </row>
        <row r="281">
          <cell r="I281">
            <v>0</v>
          </cell>
          <cell r="J281">
            <v>7295</v>
          </cell>
        </row>
        <row r="281">
          <cell r="M281">
            <v>45557</v>
          </cell>
        </row>
        <row r="282">
          <cell r="A282">
            <v>3687</v>
          </cell>
        </row>
        <row r="282">
          <cell r="C282" t="str">
            <v>王偲涵</v>
          </cell>
          <cell r="D282" t="str">
            <v>车身外扩件</v>
          </cell>
        </row>
        <row r="282">
          <cell r="I282">
            <v>0</v>
          </cell>
          <cell r="J282">
            <v>7410</v>
          </cell>
        </row>
        <row r="283">
          <cell r="A283">
            <v>3760</v>
          </cell>
        </row>
        <row r="283">
          <cell r="C283" t="str">
            <v>王偲涵</v>
          </cell>
          <cell r="D283" t="str">
            <v>车身外扩件</v>
          </cell>
        </row>
        <row r="283">
          <cell r="I283">
            <v>0</v>
          </cell>
          <cell r="J283">
            <v>7405</v>
          </cell>
        </row>
        <row r="283">
          <cell r="M283">
            <v>45554</v>
          </cell>
        </row>
        <row r="284">
          <cell r="A284">
            <v>3646</v>
          </cell>
        </row>
        <row r="284">
          <cell r="C284" t="str">
            <v>王偲涵</v>
          </cell>
          <cell r="D284" t="str">
            <v>车身外扩件</v>
          </cell>
        </row>
        <row r="284">
          <cell r="I284">
            <v>0</v>
          </cell>
          <cell r="J284">
            <v>7381</v>
          </cell>
        </row>
        <row r="284">
          <cell r="M284">
            <v>45581</v>
          </cell>
        </row>
        <row r="285">
          <cell r="A285">
            <v>3713</v>
          </cell>
        </row>
        <row r="285">
          <cell r="C285" t="str">
            <v>王偲涵</v>
          </cell>
          <cell r="D285" t="str">
            <v>车身外扩件</v>
          </cell>
        </row>
        <row r="285">
          <cell r="I285">
            <v>0</v>
          </cell>
          <cell r="J285">
            <v>7446</v>
          </cell>
        </row>
        <row r="285">
          <cell r="M285">
            <v>45557</v>
          </cell>
        </row>
        <row r="286">
          <cell r="A286">
            <v>3714</v>
          </cell>
        </row>
        <row r="286">
          <cell r="C286" t="str">
            <v>王偲涵</v>
          </cell>
          <cell r="D286" t="str">
            <v>车身外扩件</v>
          </cell>
        </row>
        <row r="286">
          <cell r="I286">
            <v>0</v>
          </cell>
          <cell r="J286">
            <v>7105</v>
          </cell>
        </row>
        <row r="286">
          <cell r="M286">
            <v>45566</v>
          </cell>
        </row>
        <row r="287">
          <cell r="A287">
            <v>4534</v>
          </cell>
        </row>
        <row r="287">
          <cell r="C287" t="str">
            <v>王偲涵</v>
          </cell>
          <cell r="D287" t="str">
            <v>车身外扩件</v>
          </cell>
        </row>
        <row r="287">
          <cell r="I287">
            <v>0</v>
          </cell>
          <cell r="J287">
            <v>7447</v>
          </cell>
        </row>
        <row r="287">
          <cell r="M287">
            <v>45554</v>
          </cell>
        </row>
        <row r="288">
          <cell r="A288">
            <v>3766</v>
          </cell>
        </row>
        <row r="288">
          <cell r="C288" t="str">
            <v>王偲涵</v>
          </cell>
          <cell r="D288" t="str">
            <v>车身外扩件</v>
          </cell>
        </row>
        <row r="288">
          <cell r="I288">
            <v>0</v>
          </cell>
          <cell r="J288">
            <v>7540</v>
          </cell>
        </row>
        <row r="288">
          <cell r="M288">
            <v>45558</v>
          </cell>
        </row>
        <row r="289">
          <cell r="A289">
            <v>4088</v>
          </cell>
        </row>
        <row r="289">
          <cell r="C289" t="str">
            <v>王偲涵</v>
          </cell>
          <cell r="D289" t="str">
            <v>车身外扩件</v>
          </cell>
        </row>
        <row r="289">
          <cell r="I289">
            <v>0</v>
          </cell>
          <cell r="J289">
            <v>7486</v>
          </cell>
        </row>
        <row r="289">
          <cell r="M289">
            <v>45557</v>
          </cell>
        </row>
        <row r="290">
          <cell r="A290">
            <v>3834</v>
          </cell>
        </row>
        <row r="290">
          <cell r="C290" t="str">
            <v>王偲涵</v>
          </cell>
          <cell r="D290" t="str">
            <v>车身外扩件</v>
          </cell>
        </row>
        <row r="290">
          <cell r="I290">
            <v>0</v>
          </cell>
          <cell r="J290">
            <v>7487</v>
          </cell>
        </row>
        <row r="290">
          <cell r="M290">
            <v>45555</v>
          </cell>
        </row>
        <row r="291">
          <cell r="A291">
            <v>3555</v>
          </cell>
        </row>
        <row r="291">
          <cell r="C291" t="str">
            <v>王偲涵</v>
          </cell>
          <cell r="D291" t="str">
            <v>车身外扩件</v>
          </cell>
        </row>
        <row r="291">
          <cell r="I291">
            <v>0</v>
          </cell>
          <cell r="J291">
            <v>7488</v>
          </cell>
        </row>
        <row r="291">
          <cell r="M291">
            <v>45556</v>
          </cell>
        </row>
        <row r="292">
          <cell r="A292">
            <v>3510</v>
          </cell>
        </row>
        <row r="292">
          <cell r="C292" t="str">
            <v>王偲涵</v>
          </cell>
          <cell r="D292" t="str">
            <v>车身外扩件</v>
          </cell>
        </row>
        <row r="292">
          <cell r="I292">
            <v>0</v>
          </cell>
          <cell r="J292">
            <v>7543</v>
          </cell>
        </row>
        <row r="292">
          <cell r="M292">
            <v>45556</v>
          </cell>
        </row>
        <row r="293">
          <cell r="A293">
            <v>3845</v>
          </cell>
        </row>
        <row r="293">
          <cell r="C293" t="str">
            <v>王偲涵</v>
          </cell>
          <cell r="D293" t="str">
            <v>车身外扩件</v>
          </cell>
        </row>
        <row r="293">
          <cell r="I293">
            <v>0</v>
          </cell>
          <cell r="J293">
            <v>7451</v>
          </cell>
        </row>
        <row r="293">
          <cell r="M293">
            <v>45560</v>
          </cell>
        </row>
        <row r="294">
          <cell r="A294">
            <v>4675</v>
          </cell>
        </row>
        <row r="294">
          <cell r="C294" t="str">
            <v>俞东旭</v>
          </cell>
          <cell r="D294" t="str">
            <v>车身外扩件</v>
          </cell>
        </row>
        <row r="294">
          <cell r="I294">
            <v>0</v>
          </cell>
          <cell r="J294">
            <v>7609</v>
          </cell>
        </row>
        <row r="294">
          <cell r="M294">
            <v>45561</v>
          </cell>
        </row>
        <row r="295">
          <cell r="A295">
            <v>3846</v>
          </cell>
        </row>
        <row r="295">
          <cell r="C295" t="str">
            <v>王偲涵</v>
          </cell>
          <cell r="D295" t="str">
            <v>车身外扩件</v>
          </cell>
        </row>
        <row r="295">
          <cell r="I295">
            <v>0</v>
          </cell>
          <cell r="J295">
            <v>7601</v>
          </cell>
        </row>
        <row r="295">
          <cell r="M295">
            <v>45566</v>
          </cell>
        </row>
        <row r="296">
          <cell r="A296">
            <v>4166</v>
          </cell>
        </row>
        <row r="296">
          <cell r="C296" t="str">
            <v>王偲涵</v>
          </cell>
          <cell r="D296" t="str">
            <v>车身外扩件</v>
          </cell>
        </row>
        <row r="296">
          <cell r="I296">
            <v>0</v>
          </cell>
          <cell r="J296">
            <v>7600</v>
          </cell>
        </row>
        <row r="296">
          <cell r="M296">
            <v>45564</v>
          </cell>
        </row>
        <row r="297">
          <cell r="A297">
            <v>3630</v>
          </cell>
        </row>
        <row r="297">
          <cell r="C297" t="str">
            <v>转二部</v>
          </cell>
          <cell r="D297" t="str">
            <v>车身外扩件</v>
          </cell>
        </row>
        <row r="297">
          <cell r="I297" t="str">
            <v>原开品</v>
          </cell>
          <cell r="J297">
            <v>7386</v>
          </cell>
        </row>
        <row r="297">
          <cell r="M297">
            <v>45589</v>
          </cell>
        </row>
        <row r="298">
          <cell r="A298">
            <v>4091</v>
          </cell>
        </row>
        <row r="298">
          <cell r="C298" t="str">
            <v>王偲涵</v>
          </cell>
          <cell r="D298" t="str">
            <v>车身外扩件</v>
          </cell>
        </row>
        <row r="298">
          <cell r="I298" t="str">
            <v>原开品</v>
          </cell>
          <cell r="J298">
            <v>7387</v>
          </cell>
        </row>
        <row r="298">
          <cell r="M298">
            <v>45585</v>
          </cell>
        </row>
        <row r="299">
          <cell r="A299">
            <v>3785</v>
          </cell>
        </row>
        <row r="299">
          <cell r="C299" t="str">
            <v>王偲涵</v>
          </cell>
          <cell r="D299" t="str">
            <v>车身外扩件</v>
          </cell>
        </row>
        <row r="299">
          <cell r="I299" t="str">
            <v>原开品</v>
          </cell>
          <cell r="J299">
            <v>7389</v>
          </cell>
        </row>
        <row r="299">
          <cell r="M299">
            <v>45595</v>
          </cell>
        </row>
        <row r="300">
          <cell r="A300">
            <v>3652</v>
          </cell>
        </row>
        <row r="300">
          <cell r="C300" t="str">
            <v>转二部</v>
          </cell>
          <cell r="D300" t="str">
            <v>车身外扩件</v>
          </cell>
        </row>
        <row r="300">
          <cell r="I300" t="str">
            <v>原开品</v>
          </cell>
          <cell r="J300">
            <v>7539</v>
          </cell>
        </row>
        <row r="300">
          <cell r="M300">
            <v>45591</v>
          </cell>
        </row>
        <row r="301">
          <cell r="A301">
            <v>4094</v>
          </cell>
        </row>
        <row r="301">
          <cell r="C301" t="str">
            <v>王偲涵</v>
          </cell>
          <cell r="D301" t="str">
            <v>车身外扩件</v>
          </cell>
        </row>
        <row r="301">
          <cell r="I301" t="str">
            <v>原开品</v>
          </cell>
          <cell r="J301">
            <v>7482</v>
          </cell>
        </row>
        <row r="301">
          <cell r="M301">
            <v>45574</v>
          </cell>
        </row>
        <row r="302">
          <cell r="A302">
            <v>4148</v>
          </cell>
        </row>
        <row r="302">
          <cell r="C302" t="str">
            <v>王偲涵</v>
          </cell>
          <cell r="D302" t="str">
            <v>车身外扩件</v>
          </cell>
        </row>
        <row r="302">
          <cell r="I302" t="str">
            <v>原开品</v>
          </cell>
          <cell r="J302">
            <v>7541</v>
          </cell>
        </row>
        <row r="302">
          <cell r="M302">
            <v>45631</v>
          </cell>
        </row>
        <row r="303">
          <cell r="A303">
            <v>3715</v>
          </cell>
        </row>
        <row r="303">
          <cell r="C303" t="str">
            <v>俞东旭</v>
          </cell>
          <cell r="D303" t="str">
            <v>车身外扩件</v>
          </cell>
        </row>
        <row r="303">
          <cell r="I303" t="str">
            <v>原开品</v>
          </cell>
          <cell r="J303">
            <v>7484</v>
          </cell>
        </row>
        <row r="303">
          <cell r="M303">
            <v>45587</v>
          </cell>
        </row>
        <row r="304">
          <cell r="A304">
            <v>5598</v>
          </cell>
        </row>
        <row r="304">
          <cell r="C304" t="str">
            <v>俞东旭</v>
          </cell>
          <cell r="D304" t="str">
            <v>车身外扩件</v>
          </cell>
        </row>
        <row r="304">
          <cell r="I304">
            <v>0</v>
          </cell>
          <cell r="J304">
            <v>7042</v>
          </cell>
        </row>
        <row r="305">
          <cell r="A305">
            <v>3876</v>
          </cell>
        </row>
        <row r="305">
          <cell r="C305" t="str">
            <v>王偲涵</v>
          </cell>
          <cell r="D305" t="str">
            <v>车身外扩件</v>
          </cell>
        </row>
        <row r="305">
          <cell r="I305">
            <v>0</v>
          </cell>
          <cell r="J305">
            <v>5619</v>
          </cell>
        </row>
        <row r="306">
          <cell r="A306">
            <v>4351</v>
          </cell>
        </row>
        <row r="306">
          <cell r="C306" t="str">
            <v>转二部</v>
          </cell>
          <cell r="D306" t="str">
            <v>车身外扩件</v>
          </cell>
        </row>
        <row r="306">
          <cell r="I306">
            <v>0</v>
          </cell>
          <cell r="J306">
            <v>3549</v>
          </cell>
        </row>
        <row r="307">
          <cell r="A307">
            <v>4054</v>
          </cell>
        </row>
        <row r="307">
          <cell r="C307" t="str">
            <v>转二部</v>
          </cell>
          <cell r="D307" t="str">
            <v>车身外扩件</v>
          </cell>
        </row>
        <row r="307">
          <cell r="I307">
            <v>0</v>
          </cell>
          <cell r="J307">
            <v>4181</v>
          </cell>
        </row>
        <row r="308">
          <cell r="A308">
            <v>5008</v>
          </cell>
        </row>
        <row r="308">
          <cell r="C308" t="str">
            <v>王偲涵</v>
          </cell>
          <cell r="D308" t="str">
            <v>车身外扩件</v>
          </cell>
        </row>
        <row r="308">
          <cell r="I308">
            <v>0</v>
          </cell>
          <cell r="J308">
            <v>7445</v>
          </cell>
        </row>
        <row r="309">
          <cell r="A309">
            <v>4184</v>
          </cell>
        </row>
        <row r="309">
          <cell r="C309" t="str">
            <v>王偲涵</v>
          </cell>
          <cell r="D309" t="str">
            <v>车身外扩件</v>
          </cell>
        </row>
        <row r="309">
          <cell r="I309" t="str">
            <v>原开品</v>
          </cell>
          <cell r="J309">
            <v>7599</v>
          </cell>
        </row>
        <row r="309">
          <cell r="M309">
            <v>45576</v>
          </cell>
        </row>
        <row r="310">
          <cell r="A310">
            <v>4721</v>
          </cell>
        </row>
        <row r="310">
          <cell r="C310" t="str">
            <v>王偲涵</v>
          </cell>
          <cell r="D310" t="str">
            <v>车身外扩件</v>
          </cell>
        </row>
        <row r="310">
          <cell r="I310" t="str">
            <v>原开品</v>
          </cell>
          <cell r="J310">
            <v>7388</v>
          </cell>
        </row>
        <row r="310">
          <cell r="M310">
            <v>45587</v>
          </cell>
        </row>
        <row r="311">
          <cell r="A311">
            <v>4482</v>
          </cell>
        </row>
        <row r="311">
          <cell r="C311" t="str">
            <v>王偲涵</v>
          </cell>
          <cell r="D311" t="str">
            <v>车身外扩件</v>
          </cell>
        </row>
        <row r="311">
          <cell r="I311" t="str">
            <v>原开品</v>
          </cell>
          <cell r="J311">
            <v>7483</v>
          </cell>
        </row>
        <row r="311">
          <cell r="M311">
            <v>45584</v>
          </cell>
        </row>
        <row r="312">
          <cell r="A312">
            <v>4817</v>
          </cell>
        </row>
        <row r="312">
          <cell r="C312" t="str">
            <v>王偲涵</v>
          </cell>
          <cell r="D312" t="str">
            <v>车身外扩件</v>
          </cell>
        </row>
        <row r="312">
          <cell r="I312" t="str">
            <v>原开品</v>
          </cell>
          <cell r="J312">
            <v>7536</v>
          </cell>
        </row>
        <row r="312">
          <cell r="M312">
            <v>45594</v>
          </cell>
        </row>
        <row r="313">
          <cell r="A313">
            <v>3837</v>
          </cell>
        </row>
        <row r="313">
          <cell r="C313" t="str">
            <v>王偲涵</v>
          </cell>
          <cell r="D313" t="str">
            <v>车身外扩件</v>
          </cell>
        </row>
        <row r="313">
          <cell r="I313" t="str">
            <v>原开品</v>
          </cell>
          <cell r="J313">
            <v>7620</v>
          </cell>
        </row>
        <row r="313">
          <cell r="M313">
            <v>45581</v>
          </cell>
        </row>
        <row r="314">
          <cell r="A314">
            <v>3924</v>
          </cell>
        </row>
        <row r="314">
          <cell r="C314" t="str">
            <v>王偲涵</v>
          </cell>
          <cell r="D314" t="str">
            <v>车身外扩件</v>
          </cell>
        </row>
        <row r="314">
          <cell r="I314" t="str">
            <v>原开品</v>
          </cell>
          <cell r="J314">
            <v>7644</v>
          </cell>
        </row>
        <row r="314">
          <cell r="M314">
            <v>45636</v>
          </cell>
        </row>
        <row r="315">
          <cell r="A315">
            <v>3799</v>
          </cell>
        </row>
        <row r="315">
          <cell r="C315" t="str">
            <v>王偲涵</v>
          </cell>
          <cell r="D315" t="str">
            <v>车身外扩件</v>
          </cell>
        </row>
        <row r="315">
          <cell r="I315" t="str">
            <v>原开品</v>
          </cell>
          <cell r="J315">
            <v>7645</v>
          </cell>
        </row>
        <row r="315">
          <cell r="M315">
            <v>45609</v>
          </cell>
        </row>
        <row r="316">
          <cell r="A316">
            <v>4103</v>
          </cell>
        </row>
        <row r="316">
          <cell r="C316" t="str">
            <v>王偲涵</v>
          </cell>
          <cell r="D316" t="str">
            <v>车身外扩件</v>
          </cell>
        </row>
        <row r="316">
          <cell r="I316" t="str">
            <v>原开品</v>
          </cell>
          <cell r="J316">
            <v>7586</v>
          </cell>
        </row>
        <row r="316">
          <cell r="M316">
            <v>45593</v>
          </cell>
        </row>
        <row r="317">
          <cell r="A317">
            <v>4105</v>
          </cell>
        </row>
        <row r="317">
          <cell r="C317" t="str">
            <v>俞东旭</v>
          </cell>
          <cell r="D317" t="str">
            <v>车身外扩件</v>
          </cell>
        </row>
        <row r="317">
          <cell r="I317" t="str">
            <v>原开品</v>
          </cell>
          <cell r="J317">
            <v>7670</v>
          </cell>
        </row>
        <row r="317">
          <cell r="M317">
            <v>45589</v>
          </cell>
        </row>
        <row r="318">
          <cell r="A318">
            <v>4072</v>
          </cell>
        </row>
        <row r="318">
          <cell r="C318" t="str">
            <v>俞东旭</v>
          </cell>
          <cell r="D318" t="str">
            <v>车身外扩件</v>
          </cell>
        </row>
        <row r="318">
          <cell r="I318" t="str">
            <v>原开品</v>
          </cell>
          <cell r="J318">
            <v>7674</v>
          </cell>
        </row>
        <row r="318">
          <cell r="M318">
            <v>45584</v>
          </cell>
        </row>
        <row r="319">
          <cell r="A319">
            <v>3926</v>
          </cell>
        </row>
        <row r="319">
          <cell r="C319" t="str">
            <v>俞东旭</v>
          </cell>
          <cell r="D319" t="str">
            <v>车身外扩件</v>
          </cell>
        </row>
        <row r="319">
          <cell r="I319" t="str">
            <v>原开品</v>
          </cell>
          <cell r="J319">
            <v>7675</v>
          </cell>
        </row>
        <row r="319">
          <cell r="M319">
            <v>45576</v>
          </cell>
        </row>
        <row r="320">
          <cell r="A320">
            <v>4497</v>
          </cell>
        </row>
        <row r="320">
          <cell r="C320" t="str">
            <v>王偲涵</v>
          </cell>
          <cell r="D320" t="str">
            <v>车身外扩件</v>
          </cell>
        </row>
        <row r="320">
          <cell r="I320" t="str">
            <v>原开品</v>
          </cell>
          <cell r="J320">
            <v>7676</v>
          </cell>
        </row>
        <row r="320">
          <cell r="M320">
            <v>45581</v>
          </cell>
        </row>
        <row r="321">
          <cell r="A321">
            <v>4106</v>
          </cell>
        </row>
        <row r="321">
          <cell r="C321" t="str">
            <v>王偲涵</v>
          </cell>
          <cell r="D321" t="str">
            <v>车身外扩件</v>
          </cell>
        </row>
        <row r="321">
          <cell r="I321" t="str">
            <v>原开品</v>
          </cell>
          <cell r="J321">
            <v>8233</v>
          </cell>
        </row>
        <row r="321">
          <cell r="M321">
            <v>45577</v>
          </cell>
        </row>
        <row r="322">
          <cell r="A322">
            <v>5538</v>
          </cell>
        </row>
        <row r="322">
          <cell r="C322" t="str">
            <v>王偲涵</v>
          </cell>
          <cell r="D322" t="str">
            <v>雨刮罩</v>
          </cell>
        </row>
        <row r="322">
          <cell r="I322" t="str">
            <v>原开品</v>
          </cell>
          <cell r="J322">
            <v>8234</v>
          </cell>
        </row>
        <row r="322">
          <cell r="M322">
            <v>45578</v>
          </cell>
        </row>
        <row r="323">
          <cell r="A323">
            <v>4765</v>
          </cell>
        </row>
        <row r="323">
          <cell r="C323" t="str">
            <v>张潇</v>
          </cell>
          <cell r="D323" t="str">
            <v>车身外扩件</v>
          </cell>
        </row>
        <row r="323">
          <cell r="I323" t="str">
            <v>原开品</v>
          </cell>
          <cell r="J323">
            <v>7666</v>
          </cell>
        </row>
        <row r="323">
          <cell r="M323">
            <v>45584</v>
          </cell>
        </row>
        <row r="324">
          <cell r="A324">
            <v>4671</v>
          </cell>
        </row>
        <row r="324">
          <cell r="C324" t="str">
            <v>朱培源</v>
          </cell>
          <cell r="D324" t="str">
            <v>软顶</v>
          </cell>
        </row>
        <row r="324">
          <cell r="I324" t="str">
            <v>原开品</v>
          </cell>
          <cell r="J324">
            <v>7636</v>
          </cell>
        </row>
        <row r="324">
          <cell r="M324">
            <v>45588</v>
          </cell>
        </row>
        <row r="325">
          <cell r="A325">
            <v>5060</v>
          </cell>
        </row>
        <row r="325">
          <cell r="C325" t="str">
            <v>朱培源</v>
          </cell>
          <cell r="D325" t="str">
            <v>软顶</v>
          </cell>
        </row>
        <row r="325">
          <cell r="I325" t="str">
            <v>原开品</v>
          </cell>
          <cell r="J325">
            <v>7686</v>
          </cell>
        </row>
        <row r="325">
          <cell r="M325">
            <v>45592</v>
          </cell>
        </row>
        <row r="326">
          <cell r="A326">
            <v>4647</v>
          </cell>
        </row>
        <row r="326">
          <cell r="C326" t="str">
            <v>朱培源</v>
          </cell>
          <cell r="D326" t="str">
            <v>软顶</v>
          </cell>
        </row>
        <row r="326">
          <cell r="I326" t="str">
            <v>原开品</v>
          </cell>
          <cell r="J326">
            <v>7643</v>
          </cell>
        </row>
        <row r="326">
          <cell r="M326">
            <v>45583</v>
          </cell>
        </row>
        <row r="327">
          <cell r="A327">
            <v>3750</v>
          </cell>
        </row>
        <row r="327">
          <cell r="C327" t="str">
            <v>张潇</v>
          </cell>
          <cell r="D327" t="str">
            <v>挡泥板</v>
          </cell>
        </row>
        <row r="327">
          <cell r="I327" t="str">
            <v>拓展品</v>
          </cell>
          <cell r="J327">
            <v>7646</v>
          </cell>
        </row>
        <row r="327">
          <cell r="M327">
            <v>45595</v>
          </cell>
        </row>
        <row r="328">
          <cell r="A328">
            <v>359</v>
          </cell>
        </row>
        <row r="328">
          <cell r="C328" t="str">
            <v>朱培源</v>
          </cell>
          <cell r="D328" t="str">
            <v>机盖及附件</v>
          </cell>
        </row>
        <row r="328">
          <cell r="I328" t="str">
            <v>拓展品</v>
          </cell>
          <cell r="J328">
            <v>7647</v>
          </cell>
        </row>
        <row r="328">
          <cell r="M328">
            <v>45588</v>
          </cell>
        </row>
        <row r="329">
          <cell r="A329">
            <v>10138</v>
          </cell>
        </row>
        <row r="329">
          <cell r="C329" t="str">
            <v>朱培源</v>
          </cell>
          <cell r="D329" t="str">
            <v>挡泥板</v>
          </cell>
        </row>
        <row r="329">
          <cell r="I329" t="str">
            <v>原开品</v>
          </cell>
          <cell r="J329">
            <v>7685</v>
          </cell>
        </row>
        <row r="329">
          <cell r="M329">
            <v>45595</v>
          </cell>
        </row>
        <row r="330">
          <cell r="A330">
            <v>4812</v>
          </cell>
        </row>
        <row r="330">
          <cell r="C330" t="str">
            <v>朱培源</v>
          </cell>
          <cell r="D330" t="str">
            <v>软顶</v>
          </cell>
        </row>
        <row r="330">
          <cell r="I330" t="str">
            <v>拓展品</v>
          </cell>
          <cell r="J330">
            <v>7688</v>
          </cell>
        </row>
        <row r="330">
          <cell r="M330">
            <v>45589</v>
          </cell>
        </row>
        <row r="331">
          <cell r="A331">
            <v>4325</v>
          </cell>
        </row>
        <row r="331">
          <cell r="C331" t="str">
            <v>朱培源</v>
          </cell>
          <cell r="D331" t="str">
            <v>软顶</v>
          </cell>
        </row>
        <row r="331">
          <cell r="I331" t="str">
            <v>拓展品</v>
          </cell>
          <cell r="J331">
            <v>7689</v>
          </cell>
        </row>
        <row r="331">
          <cell r="M331">
            <v>45606</v>
          </cell>
        </row>
        <row r="332">
          <cell r="A332">
            <v>5208</v>
          </cell>
        </row>
        <row r="332">
          <cell r="C332" t="str">
            <v>朱培源</v>
          </cell>
          <cell r="D332" t="str">
            <v>软顶</v>
          </cell>
        </row>
        <row r="332">
          <cell r="I332">
            <v>0</v>
          </cell>
          <cell r="J332">
            <v>7588</v>
          </cell>
        </row>
        <row r="333">
          <cell r="A333">
            <v>5051</v>
          </cell>
        </row>
        <row r="333">
          <cell r="C333" t="str">
            <v>朱培源</v>
          </cell>
          <cell r="D333" t="str">
            <v>机盖及附件</v>
          </cell>
        </row>
        <row r="333">
          <cell r="I333" t="str">
            <v>原开品</v>
          </cell>
          <cell r="J333">
            <v>7687</v>
          </cell>
        </row>
        <row r="334">
          <cell r="A334">
            <v>8843</v>
          </cell>
        </row>
        <row r="334">
          <cell r="C334" t="str">
            <v>章鹏</v>
          </cell>
          <cell r="D334" t="str">
            <v>挡泥板</v>
          </cell>
        </row>
        <row r="334">
          <cell r="I334" t="str">
            <v>拓展品</v>
          </cell>
          <cell r="J334">
            <v>7664</v>
          </cell>
        </row>
        <row r="335">
          <cell r="A335">
            <v>4208</v>
          </cell>
        </row>
        <row r="335">
          <cell r="C335" t="str">
            <v>王偲涵</v>
          </cell>
          <cell r="D335" t="str">
            <v>车身外扩件</v>
          </cell>
        </row>
        <row r="335">
          <cell r="I335" t="str">
            <v>原开品</v>
          </cell>
          <cell r="J335">
            <v>7697</v>
          </cell>
        </row>
        <row r="335">
          <cell r="M335">
            <v>45597</v>
          </cell>
        </row>
        <row r="336">
          <cell r="A336">
            <v>4236</v>
          </cell>
        </row>
        <row r="336">
          <cell r="C336" t="str">
            <v>王偲涵</v>
          </cell>
          <cell r="D336" t="str">
            <v>车身外扩件</v>
          </cell>
        </row>
        <row r="336">
          <cell r="I336" t="str">
            <v>原开品</v>
          </cell>
          <cell r="J336">
            <v>7698</v>
          </cell>
        </row>
        <row r="336">
          <cell r="M336">
            <v>45597</v>
          </cell>
        </row>
        <row r="337">
          <cell r="A337">
            <v>4535</v>
          </cell>
        </row>
        <row r="337">
          <cell r="C337" t="str">
            <v>王偲涵</v>
          </cell>
          <cell r="D337" t="str">
            <v>车身外扩件</v>
          </cell>
        </row>
        <row r="337">
          <cell r="I337" t="str">
            <v>拓展品</v>
          </cell>
          <cell r="J337">
            <v>7823</v>
          </cell>
        </row>
        <row r="337">
          <cell r="M337">
            <v>45601</v>
          </cell>
        </row>
        <row r="338">
          <cell r="A338">
            <v>4505</v>
          </cell>
        </row>
        <row r="338">
          <cell r="C338" t="str">
            <v>王偲涵</v>
          </cell>
          <cell r="D338" t="str">
            <v>车身外扩件</v>
          </cell>
        </row>
        <row r="338">
          <cell r="I338" t="str">
            <v>拓展品</v>
          </cell>
          <cell r="J338">
            <v>7824</v>
          </cell>
        </row>
        <row r="338">
          <cell r="M338">
            <v>45608</v>
          </cell>
        </row>
        <row r="339">
          <cell r="A339">
            <v>4646</v>
          </cell>
        </row>
        <row r="339">
          <cell r="C339" t="str">
            <v>王偲涵</v>
          </cell>
          <cell r="D339" t="str">
            <v>车身外扩件</v>
          </cell>
        </row>
        <row r="339">
          <cell r="I339" t="str">
            <v>原开品</v>
          </cell>
          <cell r="J339">
            <v>7822</v>
          </cell>
        </row>
        <row r="339">
          <cell r="M339">
            <v>45603</v>
          </cell>
        </row>
        <row r="340">
          <cell r="A340">
            <v>4411</v>
          </cell>
        </row>
        <row r="340">
          <cell r="C340" t="str">
            <v>俞东旭</v>
          </cell>
          <cell r="D340" t="str">
            <v>车身外扩件</v>
          </cell>
        </row>
        <row r="340">
          <cell r="I340" t="str">
            <v>拓展品</v>
          </cell>
          <cell r="J340">
            <v>7833</v>
          </cell>
        </row>
        <row r="340">
          <cell r="M340">
            <v>45642</v>
          </cell>
        </row>
        <row r="341">
          <cell r="A341">
            <v>4412</v>
          </cell>
        </row>
        <row r="341">
          <cell r="C341" t="str">
            <v>转二部</v>
          </cell>
          <cell r="D341" t="str">
            <v>车身外扩件</v>
          </cell>
        </row>
        <row r="341">
          <cell r="I341" t="str">
            <v>原开品</v>
          </cell>
          <cell r="J341">
            <v>7918</v>
          </cell>
        </row>
        <row r="341">
          <cell r="M341">
            <v>45608</v>
          </cell>
        </row>
        <row r="342">
          <cell r="A342">
            <v>4209</v>
          </cell>
        </row>
        <row r="342">
          <cell r="C342" t="str">
            <v>王偲涵</v>
          </cell>
          <cell r="D342" t="str">
            <v>车身外扩件</v>
          </cell>
        </row>
        <row r="342">
          <cell r="I342" t="str">
            <v>原开品</v>
          </cell>
          <cell r="J342">
            <v>7915</v>
          </cell>
        </row>
        <row r="342">
          <cell r="M342">
            <v>45602</v>
          </cell>
        </row>
        <row r="343">
          <cell r="A343">
            <v>4669</v>
          </cell>
        </row>
        <row r="343">
          <cell r="C343" t="str">
            <v>俞东旭</v>
          </cell>
          <cell r="D343" t="str">
            <v>车身外扩件</v>
          </cell>
        </row>
        <row r="343">
          <cell r="I343">
            <v>0</v>
          </cell>
          <cell r="J343">
            <v>5514</v>
          </cell>
        </row>
        <row r="344">
          <cell r="A344">
            <v>8543</v>
          </cell>
        </row>
        <row r="344">
          <cell r="C344" t="str">
            <v>章鹏</v>
          </cell>
          <cell r="D344" t="str">
            <v>挡泥板</v>
          </cell>
        </row>
        <row r="344">
          <cell r="I344">
            <v>0</v>
          </cell>
          <cell r="J344">
            <v>7443</v>
          </cell>
        </row>
        <row r="345">
          <cell r="A345">
            <v>4280</v>
          </cell>
        </row>
        <row r="345">
          <cell r="C345" t="str">
            <v>转二部</v>
          </cell>
          <cell r="D345" t="str">
            <v>车身外扩件</v>
          </cell>
        </row>
        <row r="345">
          <cell r="I345" t="str">
            <v>原开品</v>
          </cell>
          <cell r="J345">
            <v>7913</v>
          </cell>
        </row>
        <row r="345">
          <cell r="M345">
            <v>45604</v>
          </cell>
        </row>
        <row r="346">
          <cell r="A346">
            <v>4607</v>
          </cell>
        </row>
        <row r="346">
          <cell r="C346" t="str">
            <v>王偲涵</v>
          </cell>
          <cell r="D346" t="str">
            <v>饰条</v>
          </cell>
        </row>
        <row r="346">
          <cell r="I346" t="str">
            <v>原开品</v>
          </cell>
          <cell r="J346">
            <v>7893</v>
          </cell>
        </row>
        <row r="346">
          <cell r="M346">
            <v>45604</v>
          </cell>
        </row>
        <row r="347">
          <cell r="A347">
            <v>4611</v>
          </cell>
        </row>
        <row r="347">
          <cell r="C347" t="str">
            <v>王偲涵</v>
          </cell>
          <cell r="D347" t="str">
            <v>饰条</v>
          </cell>
        </row>
        <row r="347">
          <cell r="I347" t="str">
            <v>原开品</v>
          </cell>
          <cell r="J347">
            <v>7894</v>
          </cell>
        </row>
        <row r="347">
          <cell r="M347">
            <v>45604</v>
          </cell>
        </row>
        <row r="348">
          <cell r="A348">
            <v>4612</v>
          </cell>
        </row>
        <row r="348">
          <cell r="C348" t="str">
            <v>王偲涵</v>
          </cell>
          <cell r="D348" t="str">
            <v>饰条</v>
          </cell>
        </row>
        <row r="348">
          <cell r="I348" t="str">
            <v>原开品</v>
          </cell>
          <cell r="J348">
            <v>7919</v>
          </cell>
        </row>
        <row r="348">
          <cell r="M348">
            <v>45608</v>
          </cell>
        </row>
        <row r="349">
          <cell r="A349">
            <v>5671</v>
          </cell>
        </row>
        <row r="349">
          <cell r="C349" t="str">
            <v>王偲涵</v>
          </cell>
          <cell r="D349" t="str">
            <v>车身外扩件</v>
          </cell>
        </row>
        <row r="349">
          <cell r="I349" t="str">
            <v>原开品</v>
          </cell>
          <cell r="J349">
            <v>7920</v>
          </cell>
        </row>
        <row r="349">
          <cell r="M349">
            <v>45610</v>
          </cell>
        </row>
        <row r="350">
          <cell r="A350">
            <v>5672</v>
          </cell>
        </row>
        <row r="350">
          <cell r="C350" t="str">
            <v>王偲涵</v>
          </cell>
          <cell r="D350" t="str">
            <v>车身外扩件</v>
          </cell>
        </row>
        <row r="350">
          <cell r="I350" t="str">
            <v>原开品</v>
          </cell>
          <cell r="J350">
            <v>7891</v>
          </cell>
        </row>
        <row r="350">
          <cell r="M350">
            <v>45601</v>
          </cell>
        </row>
        <row r="351">
          <cell r="A351">
            <v>5061</v>
          </cell>
        </row>
        <row r="351">
          <cell r="C351" t="str">
            <v>朱培源</v>
          </cell>
          <cell r="D351" t="str">
            <v>软顶</v>
          </cell>
        </row>
        <row r="351">
          <cell r="I351">
            <v>0</v>
          </cell>
          <cell r="J351">
            <v>4106</v>
          </cell>
        </row>
        <row r="352">
          <cell r="A352">
            <v>5834</v>
          </cell>
        </row>
        <row r="352">
          <cell r="C352" t="str">
            <v>王偲涵</v>
          </cell>
          <cell r="D352" t="str">
            <v>饰条</v>
          </cell>
        </row>
        <row r="352">
          <cell r="I352" t="str">
            <v>拓展品</v>
          </cell>
          <cell r="J352">
            <v>7825</v>
          </cell>
        </row>
        <row r="352">
          <cell r="M352">
            <v>45631</v>
          </cell>
        </row>
        <row r="353">
          <cell r="A353">
            <v>5835</v>
          </cell>
        </row>
        <row r="353">
          <cell r="C353" t="str">
            <v>胡煜星</v>
          </cell>
          <cell r="D353" t="str">
            <v>车门系统</v>
          </cell>
        </row>
        <row r="353">
          <cell r="I353" t="str">
            <v>拓展品</v>
          </cell>
          <cell r="J353">
            <v>7826</v>
          </cell>
        </row>
        <row r="353">
          <cell r="M353">
            <v>46036</v>
          </cell>
        </row>
        <row r="354">
          <cell r="A354">
            <v>4610</v>
          </cell>
        </row>
        <row r="354">
          <cell r="C354" t="str">
            <v>王偲涵</v>
          </cell>
          <cell r="D354" t="str">
            <v>饰条</v>
          </cell>
        </row>
        <row r="354">
          <cell r="I354" t="str">
            <v>原开品</v>
          </cell>
          <cell r="J354">
            <v>7922</v>
          </cell>
        </row>
        <row r="354">
          <cell r="M354">
            <v>45608</v>
          </cell>
        </row>
        <row r="355">
          <cell r="A355">
            <v>6031</v>
          </cell>
        </row>
        <row r="355">
          <cell r="C355" t="str">
            <v>胡煜星</v>
          </cell>
          <cell r="D355" t="str">
            <v>车门系统</v>
          </cell>
        </row>
        <row r="355">
          <cell r="I355" t="str">
            <v>拓展品</v>
          </cell>
          <cell r="J355">
            <v>7733</v>
          </cell>
        </row>
        <row r="355">
          <cell r="M355">
            <v>45627</v>
          </cell>
        </row>
        <row r="356">
          <cell r="A356">
            <v>6033</v>
          </cell>
        </row>
        <row r="356">
          <cell r="C356" t="str">
            <v>胡煜星</v>
          </cell>
          <cell r="D356" t="str">
            <v>车门系统</v>
          </cell>
        </row>
        <row r="356">
          <cell r="I356" t="str">
            <v>原开品</v>
          </cell>
          <cell r="J356">
            <v>7731</v>
          </cell>
        </row>
        <row r="356">
          <cell r="M356">
            <v>45606</v>
          </cell>
        </row>
        <row r="357">
          <cell r="A357">
            <v>5627</v>
          </cell>
        </row>
        <row r="357">
          <cell r="C357" t="str">
            <v>俞东旭</v>
          </cell>
          <cell r="D357" t="str">
            <v>车门系统</v>
          </cell>
        </row>
        <row r="357">
          <cell r="I357" t="str">
            <v>拓展品</v>
          </cell>
          <cell r="J357">
            <v>7734</v>
          </cell>
        </row>
        <row r="357">
          <cell r="M357">
            <v>45607</v>
          </cell>
        </row>
        <row r="358">
          <cell r="A358">
            <v>5283</v>
          </cell>
        </row>
        <row r="358">
          <cell r="C358" t="str">
            <v>朱培源</v>
          </cell>
          <cell r="D358" t="str">
            <v>挡泥板</v>
          </cell>
        </row>
        <row r="358">
          <cell r="I358" t="str">
            <v>拓展品</v>
          </cell>
          <cell r="J358">
            <v>7929</v>
          </cell>
        </row>
        <row r="358">
          <cell r="M358">
            <v>45616</v>
          </cell>
        </row>
        <row r="359">
          <cell r="A359">
            <v>5620</v>
          </cell>
        </row>
        <row r="359">
          <cell r="C359" t="str">
            <v>胡煜星</v>
          </cell>
          <cell r="D359" t="str">
            <v>车门系统</v>
          </cell>
        </row>
        <row r="359">
          <cell r="I359" t="str">
            <v>原开品</v>
          </cell>
          <cell r="J359">
            <v>7737</v>
          </cell>
        </row>
        <row r="359">
          <cell r="M359">
            <v>45616</v>
          </cell>
        </row>
        <row r="360">
          <cell r="A360">
            <v>5841</v>
          </cell>
        </row>
        <row r="360">
          <cell r="C360" t="str">
            <v>胡煜星</v>
          </cell>
          <cell r="D360" t="str">
            <v>车门系统</v>
          </cell>
        </row>
        <row r="360">
          <cell r="I360" t="str">
            <v>原开品</v>
          </cell>
          <cell r="J360">
            <v>7959</v>
          </cell>
        </row>
        <row r="360">
          <cell r="M360">
            <v>45613</v>
          </cell>
        </row>
        <row r="361">
          <cell r="A361">
            <v>5630</v>
          </cell>
        </row>
        <row r="361">
          <cell r="C361" t="str">
            <v>胡煜星</v>
          </cell>
          <cell r="D361" t="str">
            <v>车门系统</v>
          </cell>
        </row>
        <row r="361">
          <cell r="I361" t="str">
            <v>原开品</v>
          </cell>
          <cell r="J361">
            <v>7964</v>
          </cell>
        </row>
        <row r="361">
          <cell r="M361">
            <v>45628</v>
          </cell>
        </row>
        <row r="362">
          <cell r="A362">
            <v>5455</v>
          </cell>
        </row>
        <row r="362">
          <cell r="C362" t="str">
            <v>胡煜星</v>
          </cell>
          <cell r="D362" t="str">
            <v>车门系统</v>
          </cell>
        </row>
        <row r="362">
          <cell r="I362" t="str">
            <v>原开品</v>
          </cell>
          <cell r="J362">
            <v>7965</v>
          </cell>
        </row>
        <row r="362">
          <cell r="M362">
            <v>45610</v>
          </cell>
        </row>
        <row r="363">
          <cell r="A363">
            <v>5647</v>
          </cell>
        </row>
        <row r="363">
          <cell r="C363" t="str">
            <v>胡煜星</v>
          </cell>
          <cell r="D363" t="str">
            <v>车门系统</v>
          </cell>
        </row>
        <row r="363">
          <cell r="I363" t="str">
            <v>原开品</v>
          </cell>
          <cell r="J363">
            <v>7739</v>
          </cell>
        </row>
        <row r="364">
          <cell r="A364">
            <v>5092</v>
          </cell>
        </row>
        <row r="364">
          <cell r="C364" t="str">
            <v>俞东旭</v>
          </cell>
          <cell r="D364" t="str">
            <v>车身外扩件</v>
          </cell>
        </row>
        <row r="364">
          <cell r="I364" t="str">
            <v>拓展品</v>
          </cell>
          <cell r="J364">
            <v>7740</v>
          </cell>
        </row>
        <row r="365">
          <cell r="A365">
            <v>4282</v>
          </cell>
        </row>
        <row r="365">
          <cell r="C365" t="str">
            <v>章鹏</v>
          </cell>
          <cell r="D365" t="str">
            <v>其他</v>
          </cell>
        </row>
        <row r="365">
          <cell r="I365" t="str">
            <v>原开品</v>
          </cell>
          <cell r="J365">
            <v>7735</v>
          </cell>
        </row>
        <row r="365">
          <cell r="M365">
            <v>45616</v>
          </cell>
        </row>
        <row r="366">
          <cell r="A366">
            <v>5336</v>
          </cell>
        </row>
        <row r="366">
          <cell r="C366" t="str">
            <v>王偲涵</v>
          </cell>
          <cell r="D366" t="str">
            <v>车身外扩件</v>
          </cell>
        </row>
        <row r="366">
          <cell r="I366" t="str">
            <v>原开品</v>
          </cell>
          <cell r="J366">
            <v>7681</v>
          </cell>
        </row>
        <row r="366">
          <cell r="M366">
            <v>45624</v>
          </cell>
        </row>
        <row r="367">
          <cell r="A367">
            <v>5843</v>
          </cell>
        </row>
        <row r="367">
          <cell r="C367" t="str">
            <v>王偲涵</v>
          </cell>
          <cell r="D367" t="str">
            <v>车身外扩件</v>
          </cell>
        </row>
        <row r="367">
          <cell r="I367" t="str">
            <v>原开品</v>
          </cell>
          <cell r="J367">
            <v>7798</v>
          </cell>
        </row>
        <row r="367">
          <cell r="M367">
            <v>45616</v>
          </cell>
        </row>
        <row r="368">
          <cell r="A368">
            <v>5813</v>
          </cell>
        </row>
        <row r="368">
          <cell r="C368" t="str">
            <v>王偲涵</v>
          </cell>
          <cell r="D368" t="str">
            <v>车身外扩件</v>
          </cell>
        </row>
        <row r="368">
          <cell r="I368">
            <v>0</v>
          </cell>
          <cell r="J368">
            <v>7119</v>
          </cell>
        </row>
        <row r="369">
          <cell r="A369">
            <v>5122</v>
          </cell>
        </row>
        <row r="369">
          <cell r="C369" t="str">
            <v>朱培源</v>
          </cell>
          <cell r="D369" t="str">
            <v>软顶</v>
          </cell>
        </row>
        <row r="369">
          <cell r="I369">
            <v>0</v>
          </cell>
          <cell r="J369">
            <v>7120</v>
          </cell>
        </row>
        <row r="370">
          <cell r="A370">
            <v>3597</v>
          </cell>
        </row>
        <row r="370">
          <cell r="C370" t="str">
            <v>朱培源</v>
          </cell>
          <cell r="D370" t="str">
            <v>软顶</v>
          </cell>
        </row>
        <row r="370">
          <cell r="I370" t="str">
            <v>拓展品</v>
          </cell>
          <cell r="J370">
            <v>7561</v>
          </cell>
        </row>
        <row r="370">
          <cell r="M370">
            <v>45647</v>
          </cell>
        </row>
        <row r="371">
          <cell r="A371">
            <v>9577</v>
          </cell>
        </row>
        <row r="371">
          <cell r="C371" t="str">
            <v>章鹏</v>
          </cell>
          <cell r="D371" t="str">
            <v>其他</v>
          </cell>
        </row>
        <row r="371">
          <cell r="I371" t="str">
            <v>原开品</v>
          </cell>
          <cell r="J371">
            <v>8047</v>
          </cell>
        </row>
        <row r="371">
          <cell r="M371">
            <v>45655</v>
          </cell>
        </row>
        <row r="372">
          <cell r="A372">
            <v>6821</v>
          </cell>
        </row>
        <row r="372">
          <cell r="C372" t="str">
            <v>胡煜星</v>
          </cell>
          <cell r="D372" t="str">
            <v>车门系统</v>
          </cell>
        </row>
        <row r="372">
          <cell r="I372" t="str">
            <v>原开品</v>
          </cell>
          <cell r="J372">
            <v>8062</v>
          </cell>
        </row>
        <row r="372">
          <cell r="M372">
            <v>45672</v>
          </cell>
        </row>
        <row r="373">
          <cell r="A373">
            <v>7636</v>
          </cell>
        </row>
        <row r="373">
          <cell r="C373" t="str">
            <v>王偲涵</v>
          </cell>
          <cell r="D373" t="str">
            <v>雨刮罩</v>
          </cell>
        </row>
        <row r="373">
          <cell r="I373" t="str">
            <v>拓展品</v>
          </cell>
          <cell r="J373">
            <v>7562</v>
          </cell>
        </row>
        <row r="374">
          <cell r="A374">
            <v>6725</v>
          </cell>
        </row>
        <row r="374">
          <cell r="C374" t="str">
            <v>王偲涵</v>
          </cell>
          <cell r="D374" t="str">
            <v>雨刮罩</v>
          </cell>
        </row>
        <row r="374">
          <cell r="I374" t="str">
            <v>拓展品</v>
          </cell>
          <cell r="J374">
            <v>7563</v>
          </cell>
        </row>
        <row r="375">
          <cell r="A375">
            <v>9390</v>
          </cell>
        </row>
        <row r="375">
          <cell r="C375" t="str">
            <v>章鹏</v>
          </cell>
          <cell r="D375" t="str">
            <v>挡泥板</v>
          </cell>
        </row>
        <row r="375">
          <cell r="I375" t="str">
            <v>原开品</v>
          </cell>
          <cell r="J375">
            <v>7993</v>
          </cell>
        </row>
        <row r="375">
          <cell r="M375">
            <v>45644</v>
          </cell>
        </row>
        <row r="376">
          <cell r="A376">
            <v>5310</v>
          </cell>
        </row>
        <row r="376">
          <cell r="C376" t="str">
            <v>章鹏</v>
          </cell>
          <cell r="D376" t="str">
            <v>其他</v>
          </cell>
        </row>
        <row r="376">
          <cell r="I376" t="str">
            <v>拓展品</v>
          </cell>
          <cell r="J376">
            <v>7910</v>
          </cell>
        </row>
        <row r="376">
          <cell r="M376">
            <v>45626</v>
          </cell>
        </row>
        <row r="377">
          <cell r="A377">
            <v>9456</v>
          </cell>
        </row>
        <row r="377">
          <cell r="C377" t="str">
            <v>章鹏</v>
          </cell>
          <cell r="D377" t="str">
            <v>挡泥板</v>
          </cell>
        </row>
        <row r="377">
          <cell r="I377" t="str">
            <v>原开品</v>
          </cell>
          <cell r="J377">
            <v>7996</v>
          </cell>
        </row>
        <row r="377">
          <cell r="M377">
            <v>45641</v>
          </cell>
        </row>
        <row r="378">
          <cell r="A378">
            <v>6058</v>
          </cell>
        </row>
        <row r="378">
          <cell r="C378" t="str">
            <v>俞东旭</v>
          </cell>
          <cell r="D378" t="str">
            <v>车门系统</v>
          </cell>
        </row>
        <row r="378">
          <cell r="I378" t="str">
            <v>原开品</v>
          </cell>
          <cell r="J378">
            <v>7928</v>
          </cell>
        </row>
        <row r="378">
          <cell r="M378">
            <v>45630</v>
          </cell>
        </row>
        <row r="379">
          <cell r="A379">
            <v>5096</v>
          </cell>
        </row>
        <row r="379">
          <cell r="C379" t="str">
            <v>朱培源</v>
          </cell>
          <cell r="D379" t="str">
            <v>软顶</v>
          </cell>
        </row>
        <row r="379">
          <cell r="I379" t="str">
            <v>原开品</v>
          </cell>
          <cell r="J379">
            <v>8053</v>
          </cell>
        </row>
        <row r="379">
          <cell r="M379">
            <v>45628</v>
          </cell>
        </row>
        <row r="380">
          <cell r="A380">
            <v>7104</v>
          </cell>
        </row>
        <row r="380">
          <cell r="C380" t="str">
            <v>王偲涵</v>
          </cell>
          <cell r="D380" t="str">
            <v>车身外扩件</v>
          </cell>
        </row>
        <row r="380">
          <cell r="I380" t="str">
            <v>原开品</v>
          </cell>
          <cell r="J380">
            <v>8054</v>
          </cell>
        </row>
        <row r="380">
          <cell r="M380">
            <v>45630</v>
          </cell>
        </row>
        <row r="381">
          <cell r="A381">
            <v>6681</v>
          </cell>
        </row>
        <row r="381">
          <cell r="C381" t="str">
            <v>王偲涵</v>
          </cell>
          <cell r="D381" t="str">
            <v>雨刮罩</v>
          </cell>
        </row>
        <row r="381">
          <cell r="I381" t="str">
            <v>拓展品</v>
          </cell>
          <cell r="J381">
            <v>7998</v>
          </cell>
        </row>
        <row r="381">
          <cell r="M381">
            <v>45664</v>
          </cell>
        </row>
        <row r="382">
          <cell r="A382">
            <v>9551</v>
          </cell>
        </row>
        <row r="382">
          <cell r="C382" t="str">
            <v>王偲涵</v>
          </cell>
          <cell r="D382" t="str">
            <v>雨刮罩</v>
          </cell>
        </row>
        <row r="382">
          <cell r="I382" t="str">
            <v>原开品</v>
          </cell>
          <cell r="J382">
            <v>7997</v>
          </cell>
        </row>
        <row r="382">
          <cell r="M382">
            <v>45628</v>
          </cell>
        </row>
        <row r="383">
          <cell r="A383">
            <v>9296</v>
          </cell>
        </row>
        <row r="383">
          <cell r="C383" t="str">
            <v>王偲涵</v>
          </cell>
          <cell r="D383" t="str">
            <v>雨刮罩</v>
          </cell>
        </row>
        <row r="383">
          <cell r="I383" t="str">
            <v>拓展品</v>
          </cell>
          <cell r="J383">
            <v>8111</v>
          </cell>
        </row>
        <row r="383">
          <cell r="M383">
            <v>45631</v>
          </cell>
        </row>
        <row r="384">
          <cell r="A384">
            <v>9821</v>
          </cell>
        </row>
        <row r="384">
          <cell r="C384" t="str">
            <v>王偲涵</v>
          </cell>
          <cell r="D384" t="str">
            <v>雨刮罩</v>
          </cell>
        </row>
        <row r="384">
          <cell r="I384" t="str">
            <v>拓展品</v>
          </cell>
          <cell r="J384">
            <v>8105</v>
          </cell>
        </row>
        <row r="384">
          <cell r="M384">
            <v>45639</v>
          </cell>
        </row>
        <row r="385">
          <cell r="A385">
            <v>9174</v>
          </cell>
        </row>
        <row r="385">
          <cell r="C385" t="str">
            <v>王偲涵</v>
          </cell>
          <cell r="D385" t="str">
            <v>雨刮罩</v>
          </cell>
        </row>
        <row r="385">
          <cell r="I385" t="str">
            <v>拓展品</v>
          </cell>
          <cell r="J385">
            <v>8056</v>
          </cell>
        </row>
        <row r="385">
          <cell r="M385">
            <v>45637</v>
          </cell>
        </row>
        <row r="386">
          <cell r="A386">
            <v>8353</v>
          </cell>
        </row>
        <row r="386">
          <cell r="C386" t="str">
            <v>王偲涵</v>
          </cell>
          <cell r="D386" t="str">
            <v>雨刮罩</v>
          </cell>
        </row>
        <row r="386">
          <cell r="I386" t="str">
            <v>原开品</v>
          </cell>
          <cell r="J386">
            <v>8055</v>
          </cell>
        </row>
        <row r="386">
          <cell r="M386">
            <v>45767</v>
          </cell>
        </row>
        <row r="387">
          <cell r="A387">
            <v>8671</v>
          </cell>
        </row>
        <row r="387">
          <cell r="C387" t="str">
            <v>王偲涵</v>
          </cell>
          <cell r="D387" t="str">
            <v>雨刮罩</v>
          </cell>
        </row>
        <row r="387">
          <cell r="I387" t="str">
            <v>拓展品</v>
          </cell>
          <cell r="J387">
            <v>8057</v>
          </cell>
        </row>
        <row r="387">
          <cell r="M387">
            <v>46129</v>
          </cell>
        </row>
        <row r="388">
          <cell r="A388">
            <v>9932</v>
          </cell>
        </row>
        <row r="388">
          <cell r="C388" t="str">
            <v>王偲涵</v>
          </cell>
          <cell r="D388" t="str">
            <v>雨刮罩</v>
          </cell>
        </row>
        <row r="388">
          <cell r="I388" t="str">
            <v>拓展品</v>
          </cell>
          <cell r="J388">
            <v>8102</v>
          </cell>
        </row>
        <row r="388">
          <cell r="M388">
            <v>45654</v>
          </cell>
        </row>
        <row r="389">
          <cell r="A389">
            <v>9806</v>
          </cell>
        </row>
        <row r="389">
          <cell r="C389" t="str">
            <v>王偲涵</v>
          </cell>
          <cell r="D389" t="str">
            <v>雨刮罩</v>
          </cell>
        </row>
        <row r="389">
          <cell r="I389" t="str">
            <v>原开品</v>
          </cell>
          <cell r="J389">
            <v>8108</v>
          </cell>
        </row>
        <row r="389">
          <cell r="M389">
            <v>45625</v>
          </cell>
        </row>
        <row r="390">
          <cell r="A390">
            <v>9817</v>
          </cell>
        </row>
        <row r="390">
          <cell r="C390" t="str">
            <v>王偲涵</v>
          </cell>
          <cell r="D390" t="str">
            <v>雨刮罩</v>
          </cell>
        </row>
        <row r="390">
          <cell r="I390" t="str">
            <v>拓展品</v>
          </cell>
          <cell r="J390">
            <v>7741</v>
          </cell>
        </row>
        <row r="391">
          <cell r="A391">
            <v>9725</v>
          </cell>
        </row>
        <row r="391">
          <cell r="C391" t="str">
            <v>王偲涵</v>
          </cell>
          <cell r="D391" t="str">
            <v>雨刮罩</v>
          </cell>
        </row>
        <row r="391">
          <cell r="I391" t="e">
            <v>#N/A</v>
          </cell>
          <cell r="J391">
            <v>4263</v>
          </cell>
        </row>
        <row r="392">
          <cell r="A392">
            <v>9156</v>
          </cell>
        </row>
        <row r="392">
          <cell r="C392" t="str">
            <v>俞东旭</v>
          </cell>
          <cell r="D392" t="str">
            <v>车身外扩件</v>
          </cell>
        </row>
        <row r="392">
          <cell r="I392">
            <v>0</v>
          </cell>
          <cell r="J392">
            <v>7441</v>
          </cell>
        </row>
        <row r="393">
          <cell r="A393">
            <v>9358</v>
          </cell>
        </row>
        <row r="393">
          <cell r="C393" t="str">
            <v>俞东旭</v>
          </cell>
          <cell r="D393" t="str">
            <v>车身外扩件</v>
          </cell>
        </row>
        <row r="393">
          <cell r="I393">
            <v>0</v>
          </cell>
          <cell r="J393">
            <v>6980</v>
          </cell>
        </row>
        <row r="394">
          <cell r="A394">
            <v>9552</v>
          </cell>
        </row>
        <row r="394">
          <cell r="C394" t="str">
            <v>转二部</v>
          </cell>
          <cell r="D394" t="str">
            <v>车身外扩件</v>
          </cell>
        </row>
        <row r="394">
          <cell r="I394" t="str">
            <v>拓展品</v>
          </cell>
          <cell r="J394">
            <v>8169</v>
          </cell>
        </row>
        <row r="394">
          <cell r="M394">
            <v>45647</v>
          </cell>
        </row>
        <row r="395">
          <cell r="A395">
            <v>9258</v>
          </cell>
        </row>
        <row r="395">
          <cell r="C395" t="str">
            <v>俞东旭</v>
          </cell>
          <cell r="D395" t="str">
            <v>车身外扩件</v>
          </cell>
        </row>
        <row r="395">
          <cell r="I395" t="str">
            <v>拓展品</v>
          </cell>
          <cell r="J395">
            <v>8090</v>
          </cell>
        </row>
        <row r="395">
          <cell r="M395">
            <v>45646</v>
          </cell>
        </row>
        <row r="396">
          <cell r="A396">
            <v>8525</v>
          </cell>
        </row>
        <row r="396">
          <cell r="C396" t="str">
            <v>胡煜星</v>
          </cell>
          <cell r="D396" t="str">
            <v>车门系统</v>
          </cell>
        </row>
        <row r="396">
          <cell r="I396" t="str">
            <v>原开品</v>
          </cell>
          <cell r="J396">
            <v>8084</v>
          </cell>
        </row>
        <row r="396">
          <cell r="M396">
            <v>45640</v>
          </cell>
        </row>
        <row r="397">
          <cell r="A397">
            <v>8526</v>
          </cell>
        </row>
        <row r="397">
          <cell r="C397" t="str">
            <v>胡煜星</v>
          </cell>
          <cell r="D397" t="str">
            <v>车门系统</v>
          </cell>
        </row>
        <row r="397">
          <cell r="I397" t="str">
            <v>原开品</v>
          </cell>
          <cell r="J397">
            <v>8085</v>
          </cell>
        </row>
        <row r="397">
          <cell r="M397">
            <v>45641</v>
          </cell>
        </row>
        <row r="398">
          <cell r="A398">
            <v>9553</v>
          </cell>
        </row>
        <row r="398">
          <cell r="C398" t="str">
            <v>王偲涵</v>
          </cell>
          <cell r="D398" t="str">
            <v>雨刮罩</v>
          </cell>
        </row>
        <row r="398">
          <cell r="I398" t="str">
            <v>原开品</v>
          </cell>
          <cell r="J398">
            <v>8083</v>
          </cell>
        </row>
        <row r="398">
          <cell r="M398">
            <v>45642</v>
          </cell>
        </row>
        <row r="399">
          <cell r="A399">
            <v>9776</v>
          </cell>
        </row>
        <row r="399">
          <cell r="C399" t="str">
            <v>王偲涵</v>
          </cell>
          <cell r="D399" t="str">
            <v>雨刮罩</v>
          </cell>
        </row>
        <row r="399">
          <cell r="I399" t="str">
            <v>拓展品</v>
          </cell>
          <cell r="J399">
            <v>8087</v>
          </cell>
        </row>
        <row r="399">
          <cell r="M399">
            <v>45644</v>
          </cell>
        </row>
        <row r="400">
          <cell r="A400">
            <v>9227</v>
          </cell>
        </row>
        <row r="400">
          <cell r="C400" t="str">
            <v>胡煜星</v>
          </cell>
          <cell r="D400" t="str">
            <v>车门系统</v>
          </cell>
        </row>
        <row r="400">
          <cell r="I400" t="str">
            <v>拓展品</v>
          </cell>
          <cell r="J400">
            <v>8086</v>
          </cell>
        </row>
        <row r="400">
          <cell r="M400">
            <v>45637</v>
          </cell>
        </row>
        <row r="401">
          <cell r="A401">
            <v>9233</v>
          </cell>
        </row>
        <row r="401">
          <cell r="C401" t="str">
            <v>胡煜星</v>
          </cell>
          <cell r="D401" t="str">
            <v>车门系统</v>
          </cell>
        </row>
        <row r="401">
          <cell r="I401" t="str">
            <v>拓展品</v>
          </cell>
          <cell r="J401">
            <v>8089</v>
          </cell>
        </row>
        <row r="401">
          <cell r="M401">
            <v>45642</v>
          </cell>
        </row>
        <row r="402">
          <cell r="A402">
            <v>9234</v>
          </cell>
        </row>
        <row r="402">
          <cell r="C402" t="str">
            <v>胡煜星</v>
          </cell>
          <cell r="D402" t="str">
            <v>车门系统</v>
          </cell>
        </row>
        <row r="402">
          <cell r="I402" t="str">
            <v>原开品</v>
          </cell>
          <cell r="J402">
            <v>8333</v>
          </cell>
        </row>
        <row r="402">
          <cell r="M402">
            <v>45641</v>
          </cell>
        </row>
        <row r="403">
          <cell r="A403">
            <v>9228</v>
          </cell>
        </row>
        <row r="403">
          <cell r="C403" t="str">
            <v>胡煜星</v>
          </cell>
          <cell r="D403" t="str">
            <v>车门系统</v>
          </cell>
        </row>
        <row r="403">
          <cell r="I403" t="str">
            <v>原开品</v>
          </cell>
          <cell r="J403">
            <v>8307</v>
          </cell>
        </row>
        <row r="403">
          <cell r="M403">
            <v>45641</v>
          </cell>
        </row>
        <row r="404">
          <cell r="A404">
            <v>8903</v>
          </cell>
        </row>
        <row r="404">
          <cell r="C404" t="str">
            <v>转二部</v>
          </cell>
          <cell r="D404" t="str">
            <v>车门系统</v>
          </cell>
        </row>
        <row r="404">
          <cell r="I404" t="str">
            <v>拓展品</v>
          </cell>
          <cell r="J404">
            <v>8308</v>
          </cell>
        </row>
        <row r="404">
          <cell r="M404">
            <v>45662</v>
          </cell>
        </row>
        <row r="405">
          <cell r="A405">
            <v>8899</v>
          </cell>
        </row>
        <row r="405">
          <cell r="C405" t="str">
            <v>胡煜星</v>
          </cell>
          <cell r="D405" t="str">
            <v>车门系统</v>
          </cell>
        </row>
        <row r="405">
          <cell r="I405" t="str">
            <v>拓展品</v>
          </cell>
          <cell r="J405">
            <v>8309</v>
          </cell>
        </row>
        <row r="405">
          <cell r="M405">
            <v>45681</v>
          </cell>
        </row>
        <row r="406">
          <cell r="A406">
            <v>8906</v>
          </cell>
        </row>
        <row r="406">
          <cell r="C406" t="str">
            <v>胡煜星</v>
          </cell>
          <cell r="D406" t="str">
            <v>车门系统</v>
          </cell>
        </row>
        <row r="406">
          <cell r="I406" t="str">
            <v>拓展品</v>
          </cell>
          <cell r="J406">
            <v>8212</v>
          </cell>
        </row>
        <row r="406">
          <cell r="M406">
            <v>45649</v>
          </cell>
        </row>
        <row r="407">
          <cell r="A407">
            <v>9723</v>
          </cell>
        </row>
        <row r="407">
          <cell r="C407" t="str">
            <v>胡煜星</v>
          </cell>
          <cell r="D407" t="str">
            <v>车门系统</v>
          </cell>
        </row>
        <row r="407">
          <cell r="I407" t="str">
            <v>拓展品</v>
          </cell>
          <cell r="J407">
            <v>8210</v>
          </cell>
        </row>
        <row r="407">
          <cell r="M407">
            <v>45641</v>
          </cell>
        </row>
        <row r="408">
          <cell r="A408">
            <v>8914</v>
          </cell>
        </row>
        <row r="408">
          <cell r="C408" t="str">
            <v>转二部</v>
          </cell>
          <cell r="D408" t="str">
            <v>车门系统</v>
          </cell>
        </row>
        <row r="408">
          <cell r="I408" t="str">
            <v>拓展品</v>
          </cell>
          <cell r="J408">
            <v>8213</v>
          </cell>
        </row>
        <row r="408">
          <cell r="M408">
            <v>45644</v>
          </cell>
        </row>
        <row r="409">
          <cell r="A409">
            <v>8908</v>
          </cell>
        </row>
        <row r="409">
          <cell r="C409" t="str">
            <v>胡煜星</v>
          </cell>
          <cell r="D409" t="str">
            <v>车门系统</v>
          </cell>
        </row>
        <row r="409">
          <cell r="I409" t="str">
            <v>拓展品</v>
          </cell>
          <cell r="J409">
            <v>8201</v>
          </cell>
        </row>
        <row r="409">
          <cell r="M409">
            <v>45652</v>
          </cell>
        </row>
        <row r="410">
          <cell r="A410">
            <v>8675</v>
          </cell>
        </row>
        <row r="410">
          <cell r="C410" t="str">
            <v>胡煜星</v>
          </cell>
          <cell r="D410" t="str">
            <v>车门系统</v>
          </cell>
        </row>
        <row r="410">
          <cell r="I410" t="str">
            <v>原开品</v>
          </cell>
          <cell r="J410">
            <v>8197</v>
          </cell>
        </row>
        <row r="410">
          <cell r="M410">
            <v>45648</v>
          </cell>
        </row>
        <row r="411">
          <cell r="A411">
            <v>8984</v>
          </cell>
        </row>
        <row r="411">
          <cell r="C411" t="str">
            <v>俞东旭</v>
          </cell>
          <cell r="D411" t="str">
            <v>车身外扩件</v>
          </cell>
        </row>
        <row r="411">
          <cell r="I411" t="str">
            <v>原开品</v>
          </cell>
          <cell r="J411">
            <v>8198</v>
          </cell>
        </row>
        <row r="411">
          <cell r="M411">
            <v>45665</v>
          </cell>
        </row>
        <row r="412">
          <cell r="A412">
            <v>9894</v>
          </cell>
        </row>
        <row r="412">
          <cell r="C412" t="str">
            <v>俞东旭</v>
          </cell>
          <cell r="D412" t="str">
            <v>车身外扩件</v>
          </cell>
        </row>
        <row r="412">
          <cell r="I412" t="str">
            <v>原开品</v>
          </cell>
          <cell r="J412">
            <v>8275</v>
          </cell>
        </row>
        <row r="412">
          <cell r="M412">
            <v>45680</v>
          </cell>
        </row>
        <row r="413">
          <cell r="A413">
            <v>9814</v>
          </cell>
        </row>
        <row r="413">
          <cell r="C413" t="str">
            <v>俞东旭</v>
          </cell>
          <cell r="D413" t="str">
            <v>车身外扩件</v>
          </cell>
        </row>
        <row r="413">
          <cell r="I413" t="str">
            <v>原开品</v>
          </cell>
          <cell r="J413">
            <v>8276</v>
          </cell>
        </row>
        <row r="413">
          <cell r="M413">
            <v>45645</v>
          </cell>
        </row>
        <row r="414">
          <cell r="A414">
            <v>9455</v>
          </cell>
        </row>
        <row r="414">
          <cell r="C414" t="str">
            <v>俞东旭</v>
          </cell>
          <cell r="D414" t="str">
            <v>车身外扩件</v>
          </cell>
        </row>
        <row r="414">
          <cell r="I414" t="str">
            <v>拓展品</v>
          </cell>
          <cell r="J414">
            <v>8278</v>
          </cell>
        </row>
        <row r="414">
          <cell r="M414">
            <v>45640</v>
          </cell>
        </row>
        <row r="415">
          <cell r="A415">
            <v>9581</v>
          </cell>
        </row>
        <row r="415">
          <cell r="C415" t="str">
            <v>转二部</v>
          </cell>
          <cell r="D415" t="str">
            <v>车身外扩件</v>
          </cell>
        </row>
        <row r="415">
          <cell r="I415" t="str">
            <v>拓展品</v>
          </cell>
          <cell r="J415">
            <v>8171</v>
          </cell>
        </row>
        <row r="415">
          <cell r="M415">
            <v>45691</v>
          </cell>
        </row>
        <row r="416">
          <cell r="A416">
            <v>9731</v>
          </cell>
        </row>
        <row r="416">
          <cell r="C416" t="str">
            <v>俞东旭</v>
          </cell>
          <cell r="D416" t="str">
            <v>车身外扩件</v>
          </cell>
        </row>
        <row r="416">
          <cell r="I416" t="str">
            <v>拓展品</v>
          </cell>
          <cell r="J416">
            <v>8341</v>
          </cell>
        </row>
        <row r="417">
          <cell r="A417">
            <v>9732</v>
          </cell>
        </row>
        <row r="417">
          <cell r="C417" t="str">
            <v>俞东旭</v>
          </cell>
          <cell r="D417" t="str">
            <v>车身外扩件</v>
          </cell>
        </row>
        <row r="417">
          <cell r="I417" t="str">
            <v>原开品</v>
          </cell>
          <cell r="J417">
            <v>8340</v>
          </cell>
        </row>
        <row r="417">
          <cell r="M417">
            <v>45805</v>
          </cell>
        </row>
        <row r="418">
          <cell r="A418">
            <v>7964</v>
          </cell>
        </row>
        <row r="418">
          <cell r="C418" t="str">
            <v>俞东旭</v>
          </cell>
          <cell r="D418" t="str">
            <v>车身外扩件</v>
          </cell>
        </row>
        <row r="418">
          <cell r="I418" t="str">
            <v>拓展品</v>
          </cell>
          <cell r="J418">
            <v>8211</v>
          </cell>
        </row>
        <row r="418">
          <cell r="M418">
            <v>45645</v>
          </cell>
        </row>
        <row r="419">
          <cell r="A419">
            <v>8422</v>
          </cell>
        </row>
        <row r="419">
          <cell r="C419" t="str">
            <v>俞东旭</v>
          </cell>
          <cell r="D419" t="str">
            <v>车身外扩件</v>
          </cell>
        </row>
        <row r="419">
          <cell r="I419" t="str">
            <v>原开品</v>
          </cell>
          <cell r="J419">
            <v>8207</v>
          </cell>
        </row>
        <row r="419">
          <cell r="M419">
            <v>45640</v>
          </cell>
        </row>
        <row r="420">
          <cell r="A420">
            <v>9683</v>
          </cell>
        </row>
        <row r="420">
          <cell r="C420" t="str">
            <v>俞东旭</v>
          </cell>
          <cell r="D420" t="str">
            <v>车门系统</v>
          </cell>
        </row>
        <row r="420">
          <cell r="I420" t="str">
            <v>原开品</v>
          </cell>
          <cell r="J420">
            <v>8206</v>
          </cell>
        </row>
        <row r="420">
          <cell r="M420">
            <v>45657</v>
          </cell>
        </row>
        <row r="421">
          <cell r="A421">
            <v>9375</v>
          </cell>
        </row>
        <row r="421">
          <cell r="C421" t="str">
            <v>胡煜星</v>
          </cell>
          <cell r="D421" t="str">
            <v>车门系统</v>
          </cell>
        </row>
        <row r="421">
          <cell r="I421" t="str">
            <v>原开品</v>
          </cell>
          <cell r="J421">
            <v>8209</v>
          </cell>
        </row>
        <row r="421">
          <cell r="M421">
            <v>45642</v>
          </cell>
        </row>
        <row r="422">
          <cell r="A422">
            <v>9685</v>
          </cell>
        </row>
        <row r="422">
          <cell r="C422" t="str">
            <v>俞东旭</v>
          </cell>
          <cell r="D422" t="str">
            <v>车门系统</v>
          </cell>
        </row>
        <row r="422">
          <cell r="I422" t="str">
            <v>原开品</v>
          </cell>
          <cell r="J422">
            <v>8208</v>
          </cell>
        </row>
        <row r="422">
          <cell r="M422">
            <v>45644</v>
          </cell>
        </row>
        <row r="423">
          <cell r="A423">
            <v>9686</v>
          </cell>
        </row>
        <row r="423">
          <cell r="C423" t="str">
            <v>俞东旭</v>
          </cell>
          <cell r="D423" t="str">
            <v>车门系统</v>
          </cell>
        </row>
        <row r="423">
          <cell r="I423" t="str">
            <v>原开品</v>
          </cell>
          <cell r="J423">
            <v>8124</v>
          </cell>
        </row>
        <row r="423">
          <cell r="M423">
            <v>45643</v>
          </cell>
        </row>
        <row r="424">
          <cell r="A424">
            <v>5078</v>
          </cell>
        </row>
        <row r="424">
          <cell r="C424" t="str">
            <v>王偲涵</v>
          </cell>
          <cell r="D424" t="str">
            <v>饰条</v>
          </cell>
        </row>
        <row r="424">
          <cell r="I424" t="str">
            <v>原开品</v>
          </cell>
          <cell r="J424">
            <v>8196</v>
          </cell>
        </row>
        <row r="424">
          <cell r="M424">
            <v>45645</v>
          </cell>
        </row>
        <row r="425">
          <cell r="A425">
            <v>5077</v>
          </cell>
        </row>
        <row r="425">
          <cell r="C425" t="str">
            <v>王偲涵</v>
          </cell>
          <cell r="D425" t="str">
            <v>饰条</v>
          </cell>
        </row>
        <row r="425">
          <cell r="I425" t="str">
            <v>原开品</v>
          </cell>
          <cell r="J425">
            <v>8205</v>
          </cell>
        </row>
        <row r="425">
          <cell r="M425">
            <v>45659</v>
          </cell>
        </row>
        <row r="426">
          <cell r="A426">
            <v>9359</v>
          </cell>
        </row>
        <row r="426">
          <cell r="C426" t="str">
            <v>章鹏</v>
          </cell>
          <cell r="D426" t="str">
            <v>挡泥板</v>
          </cell>
        </row>
        <row r="426">
          <cell r="I426" t="str">
            <v>原开品</v>
          </cell>
          <cell r="J426">
            <v>8294</v>
          </cell>
        </row>
        <row r="426">
          <cell r="M426">
            <v>45651</v>
          </cell>
        </row>
        <row r="427">
          <cell r="A427">
            <v>5121</v>
          </cell>
        </row>
        <row r="427">
          <cell r="C427" t="str">
            <v>王偲涵</v>
          </cell>
          <cell r="D427" t="str">
            <v>饰条</v>
          </cell>
        </row>
        <row r="427">
          <cell r="I427" t="str">
            <v>拓展品</v>
          </cell>
          <cell r="J427">
            <v>8299</v>
          </cell>
        </row>
        <row r="427">
          <cell r="M427">
            <v>45658</v>
          </cell>
        </row>
        <row r="428">
          <cell r="A428">
            <v>5125</v>
          </cell>
        </row>
        <row r="428">
          <cell r="C428" t="str">
            <v>朱培源</v>
          </cell>
          <cell r="D428" t="str">
            <v>软顶</v>
          </cell>
        </row>
        <row r="428">
          <cell r="I428" t="str">
            <v>原开品</v>
          </cell>
          <cell r="J428">
            <v>8126</v>
          </cell>
        </row>
        <row r="428">
          <cell r="M428">
            <v>45666</v>
          </cell>
        </row>
        <row r="429">
          <cell r="A429">
            <v>5447</v>
          </cell>
        </row>
        <row r="429">
          <cell r="C429" t="str">
            <v>章鹏</v>
          </cell>
          <cell r="D429" t="str">
            <v>其他</v>
          </cell>
        </row>
        <row r="429">
          <cell r="I429" t="str">
            <v>原开品</v>
          </cell>
          <cell r="J429">
            <v>8393</v>
          </cell>
        </row>
        <row r="429">
          <cell r="M429">
            <v>45665</v>
          </cell>
        </row>
        <row r="430">
          <cell r="A430">
            <v>4326</v>
          </cell>
        </row>
        <row r="430">
          <cell r="C430" t="str">
            <v>王偲涵</v>
          </cell>
          <cell r="D430" t="str">
            <v>饰条</v>
          </cell>
        </row>
        <row r="430">
          <cell r="I430" t="str">
            <v>原开品</v>
          </cell>
          <cell r="J430">
            <v>8338</v>
          </cell>
        </row>
        <row r="430">
          <cell r="M430">
            <v>45668</v>
          </cell>
        </row>
        <row r="431">
          <cell r="A431">
            <v>5539</v>
          </cell>
        </row>
        <row r="431">
          <cell r="C431" t="str">
            <v>张潇</v>
          </cell>
          <cell r="D431" t="str">
            <v>其他</v>
          </cell>
        </row>
        <row r="431">
          <cell r="I431" t="str">
            <v>原开品</v>
          </cell>
          <cell r="J431">
            <v>8127</v>
          </cell>
        </row>
        <row r="431">
          <cell r="M431">
            <v>45671</v>
          </cell>
        </row>
        <row r="432">
          <cell r="A432">
            <v>9306</v>
          </cell>
        </row>
        <row r="432">
          <cell r="C432" t="str">
            <v>章鹏</v>
          </cell>
          <cell r="D432" t="str">
            <v>挡泥板</v>
          </cell>
        </row>
        <row r="432">
          <cell r="I432" t="str">
            <v>拓展品</v>
          </cell>
          <cell r="J432">
            <v>7560</v>
          </cell>
        </row>
        <row r="432">
          <cell r="M432">
            <v>45644</v>
          </cell>
        </row>
        <row r="433">
          <cell r="A433">
            <v>4324</v>
          </cell>
        </row>
        <row r="433">
          <cell r="C433" t="str">
            <v>朱培源</v>
          </cell>
          <cell r="D433" t="str">
            <v>软顶</v>
          </cell>
        </row>
        <row r="433">
          <cell r="I433" t="str">
            <v>拓展品</v>
          </cell>
          <cell r="J433">
            <v>7559</v>
          </cell>
        </row>
        <row r="433">
          <cell r="M433">
            <v>45654</v>
          </cell>
        </row>
        <row r="434">
          <cell r="A434">
            <v>5571</v>
          </cell>
        </row>
        <row r="434">
          <cell r="C434" t="str">
            <v>章鹏</v>
          </cell>
          <cell r="D434" t="str">
            <v>其他</v>
          </cell>
        </row>
        <row r="434">
          <cell r="I434" t="str">
            <v>原开品</v>
          </cell>
          <cell r="J434">
            <v>8359</v>
          </cell>
        </row>
        <row r="434">
          <cell r="M434">
            <v>45651</v>
          </cell>
        </row>
        <row r="435">
          <cell r="A435">
            <v>1369</v>
          </cell>
        </row>
        <row r="435">
          <cell r="C435" t="str">
            <v>朱培源</v>
          </cell>
          <cell r="D435" t="str">
            <v>饰条</v>
          </cell>
        </row>
        <row r="435">
          <cell r="I435" t="str">
            <v>拓展品</v>
          </cell>
          <cell r="J435">
            <v>8365</v>
          </cell>
        </row>
        <row r="435">
          <cell r="M435">
            <v>45652</v>
          </cell>
        </row>
        <row r="436">
          <cell r="A436">
            <v>3102</v>
          </cell>
        </row>
        <row r="436">
          <cell r="C436" t="str">
            <v>朱培源</v>
          </cell>
          <cell r="D436" t="str">
            <v>机盖及附件</v>
          </cell>
        </row>
        <row r="436">
          <cell r="I436" t="str">
            <v>原开品</v>
          </cell>
          <cell r="J436">
            <v>8361</v>
          </cell>
        </row>
        <row r="436">
          <cell r="M436">
            <v>45654</v>
          </cell>
        </row>
        <row r="437">
          <cell r="A437">
            <v>5012</v>
          </cell>
        </row>
        <row r="437">
          <cell r="C437" t="str">
            <v>朱培源</v>
          </cell>
          <cell r="D437" t="str">
            <v>软顶</v>
          </cell>
        </row>
        <row r="437">
          <cell r="I437" t="str">
            <v>原开品</v>
          </cell>
          <cell r="J437">
            <v>8369</v>
          </cell>
        </row>
        <row r="437">
          <cell r="M437">
            <v>45655</v>
          </cell>
        </row>
        <row r="438">
          <cell r="A438">
            <v>2476</v>
          </cell>
        </row>
        <row r="438">
          <cell r="C438" t="str">
            <v>转二部</v>
          </cell>
          <cell r="D438" t="str">
            <v>软顶</v>
          </cell>
        </row>
        <row r="438">
          <cell r="I438" t="str">
            <v>原开品</v>
          </cell>
          <cell r="J438">
            <v>8350</v>
          </cell>
        </row>
        <row r="438">
          <cell r="M438">
            <v>45652</v>
          </cell>
        </row>
        <row r="439">
          <cell r="A439">
            <v>5728</v>
          </cell>
        </row>
        <row r="439">
          <cell r="C439" t="str">
            <v>张潇</v>
          </cell>
          <cell r="D439" t="str">
            <v>饰条</v>
          </cell>
        </row>
        <row r="439">
          <cell r="I439" t="str">
            <v>拓展品</v>
          </cell>
          <cell r="J439">
            <v>8277</v>
          </cell>
        </row>
        <row r="439">
          <cell r="M439">
            <v>45656</v>
          </cell>
        </row>
        <row r="440">
          <cell r="A440">
            <v>10127</v>
          </cell>
        </row>
        <row r="440">
          <cell r="C440" t="str">
            <v>朱培源</v>
          </cell>
          <cell r="D440" t="str">
            <v>挡泥板</v>
          </cell>
        </row>
        <row r="440">
          <cell r="I440" t="str">
            <v>原开品</v>
          </cell>
          <cell r="J440">
            <v>8429</v>
          </cell>
        </row>
        <row r="440">
          <cell r="M440">
            <v>45655</v>
          </cell>
        </row>
        <row r="441">
          <cell r="A441">
            <v>6162</v>
          </cell>
        </row>
        <row r="441">
          <cell r="C441" t="str">
            <v>章鹏</v>
          </cell>
          <cell r="D441" t="str">
            <v>其他</v>
          </cell>
        </row>
        <row r="441">
          <cell r="I441" t="str">
            <v>拓展品</v>
          </cell>
          <cell r="J441">
            <v>8279</v>
          </cell>
        </row>
        <row r="441">
          <cell r="M441">
            <v>45681</v>
          </cell>
        </row>
        <row r="442">
          <cell r="A442">
            <v>489</v>
          </cell>
        </row>
        <row r="442">
          <cell r="C442" t="str">
            <v>张潇</v>
          </cell>
          <cell r="D442" t="str">
            <v>其他</v>
          </cell>
        </row>
        <row r="442">
          <cell r="I442" t="str">
            <v>拓展品</v>
          </cell>
          <cell r="J442">
            <v>8280</v>
          </cell>
        </row>
        <row r="442">
          <cell r="M442">
            <v>45676</v>
          </cell>
        </row>
        <row r="443">
          <cell r="A443">
            <v>1368</v>
          </cell>
        </row>
        <row r="443">
          <cell r="C443" t="str">
            <v>朱培源</v>
          </cell>
          <cell r="D443" t="str">
            <v>饰条</v>
          </cell>
        </row>
        <row r="443">
          <cell r="I443" t="str">
            <v>原开品</v>
          </cell>
          <cell r="J443">
            <v>8454</v>
          </cell>
        </row>
        <row r="443">
          <cell r="M443">
            <v>45656</v>
          </cell>
        </row>
        <row r="444">
          <cell r="A444">
            <v>6304</v>
          </cell>
        </row>
        <row r="444">
          <cell r="C444" t="str">
            <v>转二部</v>
          </cell>
          <cell r="D444" t="str">
            <v>饰条</v>
          </cell>
        </row>
        <row r="444">
          <cell r="I444" t="str">
            <v>原开品</v>
          </cell>
          <cell r="J444">
            <v>8455</v>
          </cell>
        </row>
        <row r="444">
          <cell r="M444">
            <v>45661</v>
          </cell>
        </row>
        <row r="445">
          <cell r="A445">
            <v>5787</v>
          </cell>
        </row>
        <row r="445">
          <cell r="C445" t="str">
            <v>章鹏</v>
          </cell>
          <cell r="D445" t="str">
            <v>挡泥板</v>
          </cell>
        </row>
        <row r="445">
          <cell r="I445" t="str">
            <v>拓展品</v>
          </cell>
          <cell r="J445">
            <v>8254</v>
          </cell>
        </row>
        <row r="445">
          <cell r="M445">
            <v>45653</v>
          </cell>
        </row>
        <row r="446">
          <cell r="A446">
            <v>5788</v>
          </cell>
        </row>
        <row r="446">
          <cell r="C446" t="str">
            <v>章鹏</v>
          </cell>
          <cell r="D446" t="str">
            <v>挡泥板</v>
          </cell>
        </row>
        <row r="446">
          <cell r="I446" t="str">
            <v>原开品</v>
          </cell>
          <cell r="J446">
            <v>8358</v>
          </cell>
        </row>
        <row r="446">
          <cell r="M446">
            <v>45652</v>
          </cell>
        </row>
        <row r="447">
          <cell r="A447">
            <v>6454</v>
          </cell>
        </row>
        <row r="447">
          <cell r="C447" t="str">
            <v>朱培源</v>
          </cell>
          <cell r="D447" t="str">
            <v>饰条</v>
          </cell>
        </row>
        <row r="447">
          <cell r="I447" t="str">
            <v>原开品</v>
          </cell>
          <cell r="J447">
            <v>8388</v>
          </cell>
        </row>
        <row r="447">
          <cell r="M447">
            <v>45650</v>
          </cell>
        </row>
        <row r="448">
          <cell r="A448">
            <v>8234</v>
          </cell>
        </row>
        <row r="448">
          <cell r="C448" t="str">
            <v>俞东旭</v>
          </cell>
          <cell r="D448" t="str">
            <v>挡泥板</v>
          </cell>
        </row>
        <row r="448">
          <cell r="I448" t="str">
            <v>原开品</v>
          </cell>
          <cell r="J448">
            <v>8125</v>
          </cell>
        </row>
        <row r="448">
          <cell r="M448">
            <v>45664</v>
          </cell>
        </row>
        <row r="449">
          <cell r="A449">
            <v>626</v>
          </cell>
        </row>
        <row r="449">
          <cell r="C449" t="str">
            <v>章鹏</v>
          </cell>
          <cell r="D449" t="str">
            <v>其他</v>
          </cell>
        </row>
        <row r="449">
          <cell r="I449" t="str">
            <v>原开品</v>
          </cell>
          <cell r="J449">
            <v>8392</v>
          </cell>
        </row>
        <row r="449">
          <cell r="M449">
            <v>45653</v>
          </cell>
        </row>
        <row r="450">
          <cell r="A450">
            <v>10298</v>
          </cell>
        </row>
        <row r="450">
          <cell r="C450" t="str">
            <v>章鹏</v>
          </cell>
          <cell r="D450" t="str">
            <v>挡泥板</v>
          </cell>
        </row>
        <row r="450">
          <cell r="I450" t="str">
            <v>拓展品</v>
          </cell>
          <cell r="J450">
            <v>8088</v>
          </cell>
        </row>
        <row r="450">
          <cell r="M450">
            <v>45651</v>
          </cell>
        </row>
        <row r="451">
          <cell r="A451">
            <v>8844</v>
          </cell>
        </row>
        <row r="451">
          <cell r="C451" t="str">
            <v>章鹏</v>
          </cell>
          <cell r="D451" t="str">
            <v>挡泥板</v>
          </cell>
        </row>
        <row r="451">
          <cell r="I451" t="str">
            <v>拓展品</v>
          </cell>
          <cell r="J451">
            <v>8366</v>
          </cell>
        </row>
        <row r="451">
          <cell r="M451">
            <v>45659</v>
          </cell>
        </row>
        <row r="452">
          <cell r="A452">
            <v>4665</v>
          </cell>
        </row>
        <row r="452">
          <cell r="C452" t="str">
            <v>王偲涵</v>
          </cell>
          <cell r="D452" t="str">
            <v>饰条</v>
          </cell>
        </row>
        <row r="452">
          <cell r="I452" t="str">
            <v>拓展品</v>
          </cell>
          <cell r="J452">
            <v>8417</v>
          </cell>
        </row>
        <row r="452">
          <cell r="M452">
            <v>45683</v>
          </cell>
        </row>
        <row r="453">
          <cell r="A453">
            <v>7173</v>
          </cell>
        </row>
        <row r="453">
          <cell r="C453" t="str">
            <v>章鹏</v>
          </cell>
          <cell r="D453" t="str">
            <v>其他</v>
          </cell>
        </row>
        <row r="453">
          <cell r="I453" t="str">
            <v>拓展品</v>
          </cell>
          <cell r="J453">
            <v>8479</v>
          </cell>
        </row>
        <row r="453">
          <cell r="M453">
            <v>45658</v>
          </cell>
        </row>
        <row r="454">
          <cell r="A454">
            <v>589</v>
          </cell>
        </row>
        <row r="454">
          <cell r="C454" t="str">
            <v>朱培源</v>
          </cell>
          <cell r="D454" t="str">
            <v>挡泥板</v>
          </cell>
        </row>
        <row r="454">
          <cell r="I454" t="str">
            <v>原开品</v>
          </cell>
          <cell r="J454">
            <v>8354</v>
          </cell>
        </row>
        <row r="454">
          <cell r="M454">
            <v>45655</v>
          </cell>
        </row>
        <row r="455">
          <cell r="A455">
            <v>10546</v>
          </cell>
        </row>
        <row r="455">
          <cell r="C455" t="str">
            <v>章鹏</v>
          </cell>
          <cell r="D455" t="str">
            <v>挡泥板</v>
          </cell>
        </row>
        <row r="455">
          <cell r="I455" t="str">
            <v>拓展品</v>
          </cell>
          <cell r="J455">
            <v>8355</v>
          </cell>
        </row>
        <row r="455">
          <cell r="M455">
            <v>45662</v>
          </cell>
        </row>
        <row r="456">
          <cell r="A456">
            <v>7643</v>
          </cell>
        </row>
        <row r="456">
          <cell r="C456" t="str">
            <v>王偲涵</v>
          </cell>
          <cell r="D456" t="str">
            <v>饰条</v>
          </cell>
        </row>
        <row r="456">
          <cell r="I456" t="str">
            <v>原开品</v>
          </cell>
          <cell r="J456">
            <v>8360</v>
          </cell>
        </row>
        <row r="456">
          <cell r="M456">
            <v>45657</v>
          </cell>
        </row>
        <row r="457">
          <cell r="A457">
            <v>7688</v>
          </cell>
        </row>
        <row r="457">
          <cell r="C457" t="str">
            <v>王偲涵</v>
          </cell>
          <cell r="D457" t="str">
            <v>饰条</v>
          </cell>
        </row>
        <row r="457">
          <cell r="I457" t="str">
            <v>拓展品</v>
          </cell>
          <cell r="J457">
            <v>8427</v>
          </cell>
        </row>
        <row r="457">
          <cell r="M457">
            <v>45657</v>
          </cell>
        </row>
        <row r="458">
          <cell r="A458">
            <v>7689</v>
          </cell>
        </row>
        <row r="458">
          <cell r="C458" t="str">
            <v>王偲涵</v>
          </cell>
          <cell r="D458" t="str">
            <v>饰条</v>
          </cell>
        </row>
        <row r="458">
          <cell r="I458" t="str">
            <v>拓展品</v>
          </cell>
          <cell r="J458">
            <v>8428</v>
          </cell>
        </row>
        <row r="458">
          <cell r="M458">
            <v>45657</v>
          </cell>
        </row>
        <row r="459">
          <cell r="A459">
            <v>7893</v>
          </cell>
        </row>
        <row r="459">
          <cell r="C459" t="str">
            <v>章鹏</v>
          </cell>
          <cell r="D459" t="str">
            <v>其他</v>
          </cell>
        </row>
        <row r="459">
          <cell r="I459" t="str">
            <v>拓展品</v>
          </cell>
          <cell r="J459">
            <v>8373</v>
          </cell>
        </row>
        <row r="459">
          <cell r="M459">
            <v>45718</v>
          </cell>
        </row>
        <row r="460">
          <cell r="A460">
            <v>9362</v>
          </cell>
        </row>
        <row r="460">
          <cell r="C460" t="str">
            <v>章鹏</v>
          </cell>
          <cell r="D460" t="str">
            <v>挡泥板</v>
          </cell>
        </row>
        <row r="460">
          <cell r="I460" t="str">
            <v>原开品</v>
          </cell>
          <cell r="J460">
            <v>8370</v>
          </cell>
        </row>
        <row r="460">
          <cell r="M460">
            <v>45662</v>
          </cell>
        </row>
        <row r="461">
          <cell r="A461">
            <v>9733</v>
          </cell>
        </row>
        <row r="461">
          <cell r="C461" t="str">
            <v>章鹏</v>
          </cell>
          <cell r="D461" t="str">
            <v>挡泥板</v>
          </cell>
        </row>
        <row r="461">
          <cell r="I461" t="str">
            <v>拓展品</v>
          </cell>
          <cell r="J461">
            <v>8483</v>
          </cell>
        </row>
        <row r="461">
          <cell r="M461">
            <v>45660</v>
          </cell>
        </row>
        <row r="462">
          <cell r="A462">
            <v>10920</v>
          </cell>
        </row>
        <row r="462">
          <cell r="C462" t="str">
            <v>朱培源</v>
          </cell>
          <cell r="D462" t="str">
            <v>挡泥板</v>
          </cell>
        </row>
        <row r="462">
          <cell r="I462" t="str">
            <v>拓展品</v>
          </cell>
          <cell r="J462">
            <v>8374</v>
          </cell>
        </row>
        <row r="462">
          <cell r="M462">
            <v>45668</v>
          </cell>
        </row>
        <row r="463">
          <cell r="A463">
            <v>490</v>
          </cell>
        </row>
        <row r="463">
          <cell r="C463" t="str">
            <v>张潇</v>
          </cell>
          <cell r="D463" t="str">
            <v>其他</v>
          </cell>
        </row>
        <row r="463">
          <cell r="I463" t="str">
            <v>原开品</v>
          </cell>
          <cell r="J463">
            <v>8372</v>
          </cell>
        </row>
        <row r="463">
          <cell r="M463">
            <v>45653</v>
          </cell>
        </row>
        <row r="464">
          <cell r="A464">
            <v>8212</v>
          </cell>
        </row>
        <row r="464">
          <cell r="C464" t="str">
            <v>章鹏</v>
          </cell>
          <cell r="D464" t="str">
            <v>挡泥板</v>
          </cell>
        </row>
        <row r="464">
          <cell r="I464" t="str">
            <v>原开品</v>
          </cell>
          <cell r="J464">
            <v>8371</v>
          </cell>
        </row>
        <row r="464">
          <cell r="M464">
            <v>45652</v>
          </cell>
        </row>
        <row r="465">
          <cell r="A465">
            <v>8254</v>
          </cell>
        </row>
        <row r="465">
          <cell r="C465" t="str">
            <v>张潇</v>
          </cell>
          <cell r="D465" t="str">
            <v>牌照板支架</v>
          </cell>
        </row>
        <row r="465">
          <cell r="I465" t="str">
            <v>拓展品</v>
          </cell>
          <cell r="J465">
            <v>8260</v>
          </cell>
        </row>
        <row r="465">
          <cell r="M465">
            <v>45775</v>
          </cell>
        </row>
        <row r="466">
          <cell r="A466">
            <v>8374</v>
          </cell>
        </row>
        <row r="466">
          <cell r="C466" t="str">
            <v>章鹏</v>
          </cell>
          <cell r="D466" t="str">
            <v>挡泥板</v>
          </cell>
        </row>
        <row r="466">
          <cell r="I466" t="str">
            <v>拓展品</v>
          </cell>
          <cell r="J466">
            <v>8352</v>
          </cell>
        </row>
        <row r="466">
          <cell r="M466">
            <v>45733</v>
          </cell>
        </row>
        <row r="467">
          <cell r="A467">
            <v>8423</v>
          </cell>
        </row>
        <row r="467">
          <cell r="C467" t="str">
            <v>章鹏</v>
          </cell>
          <cell r="D467" t="str">
            <v>挡泥板</v>
          </cell>
        </row>
        <row r="467">
          <cell r="I467" t="str">
            <v>原开品</v>
          </cell>
          <cell r="J467">
            <v>8456</v>
          </cell>
        </row>
        <row r="467">
          <cell r="M467">
            <v>45656</v>
          </cell>
        </row>
        <row r="468">
          <cell r="A468">
            <v>10059</v>
          </cell>
        </row>
        <row r="468">
          <cell r="C468" t="str">
            <v>朱培源</v>
          </cell>
          <cell r="D468" t="str">
            <v>机盖及附件</v>
          </cell>
        </row>
        <row r="468">
          <cell r="I468" t="e">
            <v>#N/A</v>
          </cell>
          <cell r="J468">
            <v>8462</v>
          </cell>
        </row>
        <row r="468">
          <cell r="M468">
            <v>45665</v>
          </cell>
        </row>
        <row r="469">
          <cell r="A469">
            <v>8602</v>
          </cell>
        </row>
        <row r="469">
          <cell r="C469" t="str">
            <v>张潇</v>
          </cell>
          <cell r="D469" t="str">
            <v>牌照板支架</v>
          </cell>
        </row>
        <row r="469">
          <cell r="I469" t="e">
            <v>#N/A</v>
          </cell>
          <cell r="J469">
            <v>8463</v>
          </cell>
        </row>
        <row r="469">
          <cell r="M469">
            <v>45665</v>
          </cell>
        </row>
        <row r="470">
          <cell r="A470">
            <v>8533</v>
          </cell>
        </row>
        <row r="470">
          <cell r="C470" t="str">
            <v>张潇</v>
          </cell>
          <cell r="D470" t="str">
            <v>牌照板支架</v>
          </cell>
        </row>
        <row r="470">
          <cell r="I470" t="e">
            <v>#N/A</v>
          </cell>
          <cell r="J470">
            <v>8464</v>
          </cell>
        </row>
        <row r="470">
          <cell r="M470">
            <v>45665</v>
          </cell>
        </row>
        <row r="471">
          <cell r="A471">
            <v>1146</v>
          </cell>
        </row>
        <row r="471">
          <cell r="C471" t="str">
            <v>朱培源</v>
          </cell>
          <cell r="D471" t="str">
            <v>饰条</v>
          </cell>
        </row>
        <row r="471">
          <cell r="I471" t="e">
            <v>#N/A</v>
          </cell>
          <cell r="J471">
            <v>8525</v>
          </cell>
        </row>
        <row r="471">
          <cell r="M471">
            <v>45676</v>
          </cell>
        </row>
        <row r="472">
          <cell r="A472">
            <v>8363</v>
          </cell>
        </row>
        <row r="472">
          <cell r="C472" t="str">
            <v>章鹏</v>
          </cell>
          <cell r="D472" t="str">
            <v>挡泥板</v>
          </cell>
        </row>
        <row r="472">
          <cell r="I472" t="e">
            <v>#N/A</v>
          </cell>
          <cell r="J472">
            <v>8526</v>
          </cell>
        </row>
        <row r="472">
          <cell r="M472">
            <v>45666</v>
          </cell>
        </row>
        <row r="473">
          <cell r="A473">
            <v>8426</v>
          </cell>
        </row>
        <row r="473">
          <cell r="C473" t="str">
            <v>章鹏</v>
          </cell>
          <cell r="D473" t="str">
            <v>挡泥板</v>
          </cell>
        </row>
        <row r="473">
          <cell r="I473" t="e">
            <v>#N/A</v>
          </cell>
          <cell r="J473">
            <v>8527</v>
          </cell>
        </row>
        <row r="473">
          <cell r="M473">
            <v>45672</v>
          </cell>
        </row>
        <row r="474">
          <cell r="A474">
            <v>8677</v>
          </cell>
        </row>
        <row r="474">
          <cell r="C474" t="str">
            <v>张潇</v>
          </cell>
          <cell r="D474" t="str">
            <v>牌照板支架</v>
          </cell>
        </row>
        <row r="474">
          <cell r="I474" t="e">
            <v>#N/A</v>
          </cell>
          <cell r="J474">
            <v>8420</v>
          </cell>
        </row>
        <row r="474">
          <cell r="M474">
            <v>45666</v>
          </cell>
        </row>
        <row r="475">
          <cell r="A475">
            <v>8752</v>
          </cell>
        </row>
        <row r="475">
          <cell r="C475" t="str">
            <v>章鹏</v>
          </cell>
          <cell r="D475" t="str">
            <v>挡泥板</v>
          </cell>
        </row>
        <row r="475">
          <cell r="I475" t="e">
            <v>#N/A</v>
          </cell>
          <cell r="J475">
            <v>8423</v>
          </cell>
        </row>
        <row r="475">
          <cell r="M475">
            <v>45679</v>
          </cell>
        </row>
        <row r="476">
          <cell r="A476">
            <v>3452</v>
          </cell>
        </row>
        <row r="476">
          <cell r="C476" t="str">
            <v>张潇</v>
          </cell>
          <cell r="D476" t="str">
            <v>饰条</v>
          </cell>
        </row>
        <row r="476">
          <cell r="I476" t="e">
            <v>#N/A</v>
          </cell>
          <cell r="J476">
            <v>8424</v>
          </cell>
        </row>
        <row r="476">
          <cell r="M476">
            <v>45668</v>
          </cell>
        </row>
        <row r="477">
          <cell r="A477">
            <v>3231</v>
          </cell>
        </row>
        <row r="477">
          <cell r="C477" t="str">
            <v>朱培源</v>
          </cell>
          <cell r="D477" t="str">
            <v>软顶</v>
          </cell>
        </row>
        <row r="477">
          <cell r="I477" t="e">
            <v>#N/A</v>
          </cell>
          <cell r="J477">
            <v>8425</v>
          </cell>
        </row>
        <row r="477">
          <cell r="M477">
            <v>45674</v>
          </cell>
        </row>
        <row r="478">
          <cell r="A478">
            <v>8083</v>
          </cell>
        </row>
        <row r="478">
          <cell r="C478" t="str">
            <v>章鹏</v>
          </cell>
          <cell r="D478" t="str">
            <v>挡泥板</v>
          </cell>
        </row>
        <row r="478">
          <cell r="I478" t="e">
            <v>#N/A</v>
          </cell>
          <cell r="J478">
            <v>8052</v>
          </cell>
        </row>
        <row r="478">
          <cell r="M478">
            <v>45670</v>
          </cell>
        </row>
        <row r="479">
          <cell r="A479">
            <v>8542</v>
          </cell>
        </row>
        <row r="479">
          <cell r="C479" t="str">
            <v>章鹏</v>
          </cell>
          <cell r="D479" t="str">
            <v>挡泥板</v>
          </cell>
        </row>
        <row r="479">
          <cell r="I479" t="e">
            <v>#N/A</v>
          </cell>
          <cell r="J479">
            <v>8484</v>
          </cell>
        </row>
        <row r="479">
          <cell r="M479">
            <v>45673</v>
          </cell>
        </row>
        <row r="480">
          <cell r="A480">
            <v>4435</v>
          </cell>
        </row>
        <row r="480">
          <cell r="C480" t="str">
            <v>王偲涵</v>
          </cell>
          <cell r="D480" t="str">
            <v>饰条</v>
          </cell>
        </row>
        <row r="480">
          <cell r="I480" t="e">
            <v>#N/A</v>
          </cell>
          <cell r="J480">
            <v>8485</v>
          </cell>
        </row>
        <row r="480">
          <cell r="M480">
            <v>45671</v>
          </cell>
        </row>
        <row r="481">
          <cell r="A481">
            <v>421</v>
          </cell>
        </row>
        <row r="481">
          <cell r="C481" t="str">
            <v>朱培源</v>
          </cell>
          <cell r="D481" t="str">
            <v>挡泥板</v>
          </cell>
        </row>
        <row r="481">
          <cell r="I481" t="e">
            <v>#N/A</v>
          </cell>
          <cell r="J481">
            <v>8357</v>
          </cell>
        </row>
        <row r="481">
          <cell r="M481">
            <v>45664</v>
          </cell>
        </row>
        <row r="482">
          <cell r="A482">
            <v>10060</v>
          </cell>
        </row>
        <row r="482">
          <cell r="C482" t="str">
            <v>朱培源</v>
          </cell>
          <cell r="D482" t="str">
            <v>机盖及附件</v>
          </cell>
        </row>
        <row r="482">
          <cell r="I482" t="e">
            <v>#N/A</v>
          </cell>
          <cell r="J482">
            <v>8353</v>
          </cell>
        </row>
        <row r="482">
          <cell r="M482">
            <v>45694</v>
          </cell>
        </row>
        <row r="483">
          <cell r="A483">
            <v>8603</v>
          </cell>
        </row>
        <row r="483">
          <cell r="C483" t="str">
            <v>章鹏</v>
          </cell>
          <cell r="D483" t="str">
            <v>挡泥板</v>
          </cell>
        </row>
        <row r="483">
          <cell r="I483" t="e">
            <v>#N/A</v>
          </cell>
          <cell r="J483">
            <v>8356</v>
          </cell>
        </row>
        <row r="483">
          <cell r="M483">
            <v>45689</v>
          </cell>
        </row>
        <row r="484">
          <cell r="A484">
            <v>8611</v>
          </cell>
        </row>
        <row r="484">
          <cell r="C484" t="str">
            <v>章鹏</v>
          </cell>
          <cell r="D484" t="str">
            <v>挡泥板</v>
          </cell>
        </row>
        <row r="484">
          <cell r="I484" t="e">
            <v>#N/A</v>
          </cell>
          <cell r="J484">
            <v>8602</v>
          </cell>
        </row>
        <row r="484">
          <cell r="M484">
            <v>45664</v>
          </cell>
        </row>
        <row r="485">
          <cell r="A485">
            <v>8612</v>
          </cell>
        </row>
        <row r="485">
          <cell r="C485" t="str">
            <v>章鹏</v>
          </cell>
          <cell r="D485" t="str">
            <v>挡泥板</v>
          </cell>
        </row>
        <row r="485">
          <cell r="I485" t="e">
            <v>#N/A</v>
          </cell>
          <cell r="J485">
            <v>8533</v>
          </cell>
        </row>
        <row r="485">
          <cell r="M485">
            <v>45673</v>
          </cell>
        </row>
        <row r="486">
          <cell r="A486">
            <v>9284</v>
          </cell>
        </row>
        <row r="486">
          <cell r="C486" t="str">
            <v>章鹏</v>
          </cell>
          <cell r="D486" t="str">
            <v>挡泥板</v>
          </cell>
        </row>
        <row r="486">
          <cell r="I486" t="e">
            <v>#N/A</v>
          </cell>
          <cell r="J486">
            <v>8516</v>
          </cell>
        </row>
        <row r="486">
          <cell r="M486">
            <v>45668</v>
          </cell>
        </row>
        <row r="487">
          <cell r="A487">
            <v>8678</v>
          </cell>
        </row>
        <row r="487">
          <cell r="C487" t="str">
            <v>章鹏</v>
          </cell>
          <cell r="D487" t="str">
            <v>挡泥板</v>
          </cell>
        </row>
        <row r="487">
          <cell r="I487" t="e">
            <v>#N/A</v>
          </cell>
          <cell r="J487">
            <v>8517</v>
          </cell>
        </row>
        <row r="487">
          <cell r="M487">
            <v>45668</v>
          </cell>
        </row>
        <row r="488">
          <cell r="A488">
            <v>8679</v>
          </cell>
        </row>
        <row r="488">
          <cell r="C488" t="str">
            <v>章鹏</v>
          </cell>
          <cell r="D488" t="str">
            <v>挡泥板</v>
          </cell>
        </row>
        <row r="488">
          <cell r="I488" t="e">
            <v>#N/A</v>
          </cell>
          <cell r="J488">
            <v>8461</v>
          </cell>
        </row>
        <row r="488">
          <cell r="M488">
            <v>45665</v>
          </cell>
        </row>
        <row r="489">
          <cell r="A489">
            <v>8680</v>
          </cell>
        </row>
        <row r="489">
          <cell r="C489" t="str">
            <v>章鹏</v>
          </cell>
          <cell r="D489" t="str">
            <v>挡泥板</v>
          </cell>
        </row>
        <row r="489">
          <cell r="I489" t="e">
            <v>#N/A</v>
          </cell>
          <cell r="J489">
            <v>8170</v>
          </cell>
        </row>
        <row r="489">
          <cell r="M489">
            <v>45675</v>
          </cell>
        </row>
        <row r="490">
          <cell r="A490">
            <v>8681</v>
          </cell>
        </row>
        <row r="490">
          <cell r="C490" t="str">
            <v>章鹏</v>
          </cell>
          <cell r="D490" t="str">
            <v>挡泥板</v>
          </cell>
        </row>
        <row r="490">
          <cell r="I490" t="e">
            <v>#N/A</v>
          </cell>
          <cell r="J490">
            <v>8426</v>
          </cell>
        </row>
        <row r="490">
          <cell r="M490">
            <v>45671</v>
          </cell>
        </row>
        <row r="491">
          <cell r="A491">
            <v>8686</v>
          </cell>
        </row>
        <row r="491">
          <cell r="C491" t="str">
            <v>章鹏</v>
          </cell>
          <cell r="D491" t="str">
            <v>挡泥板</v>
          </cell>
        </row>
        <row r="491">
          <cell r="I491" t="e">
            <v>#N/A</v>
          </cell>
          <cell r="J491">
            <v>8418</v>
          </cell>
        </row>
        <row r="491">
          <cell r="M491">
            <v>45673</v>
          </cell>
        </row>
        <row r="492">
          <cell r="A492">
            <v>8687</v>
          </cell>
        </row>
        <row r="492">
          <cell r="C492" t="str">
            <v>章鹏</v>
          </cell>
          <cell r="D492" t="str">
            <v>挡泥板</v>
          </cell>
        </row>
        <row r="492">
          <cell r="I492" t="e">
            <v>#N/A</v>
          </cell>
          <cell r="J492">
            <v>8437</v>
          </cell>
        </row>
        <row r="492">
          <cell r="M492">
            <v>45672</v>
          </cell>
        </row>
        <row r="493">
          <cell r="A493">
            <v>8605</v>
          </cell>
        </row>
        <row r="493">
          <cell r="C493" t="str">
            <v>章鹏</v>
          </cell>
          <cell r="D493" t="str">
            <v>挡泥板</v>
          </cell>
        </row>
        <row r="493">
          <cell r="I493" t="e">
            <v>#N/A</v>
          </cell>
          <cell r="J493">
            <v>8552</v>
          </cell>
        </row>
        <row r="493">
          <cell r="M493">
            <v>45671</v>
          </cell>
        </row>
        <row r="494">
          <cell r="A494">
            <v>8609</v>
          </cell>
        </row>
        <row r="494">
          <cell r="C494" t="str">
            <v>章鹏</v>
          </cell>
          <cell r="D494" t="str">
            <v>挡泥板</v>
          </cell>
        </row>
        <row r="494">
          <cell r="I494" t="e">
            <v>#N/A</v>
          </cell>
          <cell r="J494">
            <v>8553</v>
          </cell>
        </row>
        <row r="494">
          <cell r="M494">
            <v>45672</v>
          </cell>
        </row>
        <row r="495">
          <cell r="A495">
            <v>8610</v>
          </cell>
        </row>
        <row r="495">
          <cell r="C495" t="str">
            <v>章鹏</v>
          </cell>
          <cell r="D495" t="str">
            <v>挡泥板</v>
          </cell>
        </row>
        <row r="495">
          <cell r="I495" t="e">
            <v>#N/A</v>
          </cell>
          <cell r="J495">
            <v>8550</v>
          </cell>
        </row>
        <row r="495">
          <cell r="M495">
            <v>45674</v>
          </cell>
        </row>
        <row r="496">
          <cell r="A496">
            <v>8684</v>
          </cell>
        </row>
        <row r="496">
          <cell r="C496" t="str">
            <v>章鹏</v>
          </cell>
          <cell r="D496" t="str">
            <v>挡泥板</v>
          </cell>
        </row>
        <row r="496">
          <cell r="I496" t="e">
            <v>#N/A</v>
          </cell>
          <cell r="J496">
            <v>8551</v>
          </cell>
        </row>
        <row r="496">
          <cell r="M496">
            <v>45680</v>
          </cell>
        </row>
        <row r="497">
          <cell r="A497">
            <v>10894</v>
          </cell>
        </row>
        <row r="497">
          <cell r="C497" t="str">
            <v>张潇</v>
          </cell>
          <cell r="D497" t="str">
            <v>牌照板支架</v>
          </cell>
        </row>
        <row r="497">
          <cell r="I497" t="e">
            <v>#N/A</v>
          </cell>
          <cell r="J497">
            <v>8520</v>
          </cell>
        </row>
        <row r="497">
          <cell r="M497">
            <v>45678</v>
          </cell>
        </row>
        <row r="498">
          <cell r="A498">
            <v>9388</v>
          </cell>
        </row>
        <row r="498">
          <cell r="C498" t="str">
            <v>章鹏</v>
          </cell>
          <cell r="D498" t="str">
            <v>挡泥板</v>
          </cell>
        </row>
        <row r="498">
          <cell r="I498" t="e">
            <v>#N/A</v>
          </cell>
          <cell r="J498">
            <v>8521</v>
          </cell>
        </row>
        <row r="498">
          <cell r="M498">
            <v>45684</v>
          </cell>
        </row>
        <row r="499">
          <cell r="A499">
            <v>9439</v>
          </cell>
        </row>
        <row r="499">
          <cell r="C499" t="str">
            <v>章鹏</v>
          </cell>
          <cell r="D499" t="str">
            <v>挡泥板</v>
          </cell>
        </row>
        <row r="499">
          <cell r="I499" t="e">
            <v>#N/A</v>
          </cell>
          <cell r="J499">
            <v>8419</v>
          </cell>
        </row>
        <row r="499">
          <cell r="M499">
            <v>45693</v>
          </cell>
        </row>
        <row r="500">
          <cell r="A500">
            <v>6288</v>
          </cell>
        </row>
        <row r="500">
          <cell r="C500" t="str">
            <v>张潇</v>
          </cell>
          <cell r="D500" t="str">
            <v>挡泥板</v>
          </cell>
        </row>
        <row r="500">
          <cell r="I500" t="e">
            <v>#N/A</v>
          </cell>
          <cell r="J500">
            <v>8422</v>
          </cell>
        </row>
        <row r="500">
          <cell r="M500">
            <v>45677</v>
          </cell>
        </row>
        <row r="501">
          <cell r="A501">
            <v>6762</v>
          </cell>
        </row>
        <row r="501">
          <cell r="C501" t="str">
            <v>朱培源</v>
          </cell>
          <cell r="D501" t="str">
            <v>挡泥板</v>
          </cell>
        </row>
        <row r="501">
          <cell r="I501" t="e">
            <v>#N/A</v>
          </cell>
          <cell r="J501">
            <v>8677</v>
          </cell>
        </row>
        <row r="501">
          <cell r="M501">
            <v>45684</v>
          </cell>
        </row>
        <row r="502">
          <cell r="A502">
            <v>9171</v>
          </cell>
        </row>
        <row r="502">
          <cell r="C502" t="str">
            <v>章鹏</v>
          </cell>
          <cell r="D502" t="str">
            <v>挡泥板</v>
          </cell>
        </row>
        <row r="502">
          <cell r="I502" t="e">
            <v>#N/A</v>
          </cell>
          <cell r="J502">
            <v>8364</v>
          </cell>
        </row>
        <row r="502">
          <cell r="M502">
            <v>45689</v>
          </cell>
        </row>
        <row r="503">
          <cell r="A503">
            <v>9117</v>
          </cell>
        </row>
        <row r="503">
          <cell r="C503" t="str">
            <v>章鹏</v>
          </cell>
          <cell r="D503" t="str">
            <v>挡泥板</v>
          </cell>
        </row>
        <row r="503">
          <cell r="I503" t="e">
            <v>#N/A</v>
          </cell>
          <cell r="J503">
            <v>8606</v>
          </cell>
        </row>
        <row r="503">
          <cell r="M503">
            <v>45677</v>
          </cell>
        </row>
        <row r="504">
          <cell r="A504">
            <v>9084</v>
          </cell>
        </row>
        <row r="504">
          <cell r="C504" t="str">
            <v>张潇</v>
          </cell>
          <cell r="D504" t="str">
            <v>牌照板支架</v>
          </cell>
        </row>
        <row r="504">
          <cell r="I504" t="e">
            <v>#N/A</v>
          </cell>
          <cell r="J504">
            <v>8614</v>
          </cell>
        </row>
        <row r="504">
          <cell r="M504">
            <v>45703</v>
          </cell>
        </row>
        <row r="505">
          <cell r="A505">
            <v>8988</v>
          </cell>
        </row>
        <row r="505">
          <cell r="C505" t="str">
            <v>章鹏</v>
          </cell>
          <cell r="D505" t="str">
            <v>挡泥板</v>
          </cell>
        </row>
        <row r="505">
          <cell r="I505" t="e">
            <v>#N/A</v>
          </cell>
          <cell r="J505">
            <v>8541</v>
          </cell>
        </row>
        <row r="505">
          <cell r="M505">
            <v>45673</v>
          </cell>
        </row>
        <row r="506">
          <cell r="A506">
            <v>8960</v>
          </cell>
        </row>
        <row r="506">
          <cell r="C506" t="str">
            <v>章鹏</v>
          </cell>
          <cell r="D506" t="str">
            <v>挡泥板</v>
          </cell>
        </row>
        <row r="506">
          <cell r="I506" t="e">
            <v>#N/A</v>
          </cell>
          <cell r="J506">
            <v>8542</v>
          </cell>
        </row>
        <row r="506">
          <cell r="M506">
            <v>45673</v>
          </cell>
        </row>
        <row r="507">
          <cell r="A507">
            <v>10464</v>
          </cell>
        </row>
        <row r="507">
          <cell r="C507" t="str">
            <v>章鹏</v>
          </cell>
          <cell r="D507" t="str">
            <v>其他</v>
          </cell>
        </row>
        <row r="507">
          <cell r="I507" t="e">
            <v>#N/A</v>
          </cell>
          <cell r="J507">
            <v>8543</v>
          </cell>
        </row>
        <row r="507">
          <cell r="M507">
            <v>45673</v>
          </cell>
        </row>
        <row r="508">
          <cell r="A508">
            <v>9064</v>
          </cell>
        </row>
        <row r="508">
          <cell r="C508" t="str">
            <v>章鹏</v>
          </cell>
          <cell r="D508" t="str">
            <v>挡泥板</v>
          </cell>
        </row>
        <row r="508">
          <cell r="I508" t="e">
            <v>#N/A</v>
          </cell>
          <cell r="J508">
            <v>8624</v>
          </cell>
        </row>
        <row r="508">
          <cell r="M508">
            <v>45680</v>
          </cell>
        </row>
        <row r="509">
          <cell r="A509">
            <v>9065</v>
          </cell>
        </row>
        <row r="509">
          <cell r="C509" t="str">
            <v>章鹏</v>
          </cell>
          <cell r="D509" t="str">
            <v>挡泥板</v>
          </cell>
        </row>
        <row r="509">
          <cell r="I509" t="e">
            <v>#N/A</v>
          </cell>
          <cell r="J509">
            <v>8625</v>
          </cell>
        </row>
        <row r="509">
          <cell r="M509">
            <v>45675</v>
          </cell>
        </row>
        <row r="510">
          <cell r="A510">
            <v>11064</v>
          </cell>
        </row>
        <row r="510">
          <cell r="C510" t="str">
            <v>章鹏</v>
          </cell>
          <cell r="D510" t="str">
            <v>其他</v>
          </cell>
        </row>
        <row r="510">
          <cell r="I510" t="e">
            <v>#N/A</v>
          </cell>
          <cell r="J510">
            <v>8618</v>
          </cell>
        </row>
        <row r="510">
          <cell r="M510">
            <v>45692</v>
          </cell>
        </row>
        <row r="511">
          <cell r="A511">
            <v>432</v>
          </cell>
        </row>
        <row r="511">
          <cell r="C511" t="str">
            <v>朱培源</v>
          </cell>
          <cell r="D511" t="str">
            <v>挡泥板</v>
          </cell>
        </row>
        <row r="511">
          <cell r="I511" t="e">
            <v>#N/A</v>
          </cell>
          <cell r="J511">
            <v>8674</v>
          </cell>
        </row>
        <row r="511">
          <cell r="M511">
            <v>45681</v>
          </cell>
        </row>
        <row r="512">
          <cell r="A512">
            <v>260</v>
          </cell>
        </row>
        <row r="512">
          <cell r="C512" t="str">
            <v>朱培源</v>
          </cell>
          <cell r="D512" t="str">
            <v>机盖及附件</v>
          </cell>
        </row>
        <row r="512">
          <cell r="I512" t="e">
            <v>#N/A</v>
          </cell>
          <cell r="J512">
            <v>8719</v>
          </cell>
        </row>
        <row r="512">
          <cell r="M512">
            <v>45708</v>
          </cell>
        </row>
        <row r="513">
          <cell r="A513">
            <v>10061</v>
          </cell>
        </row>
        <row r="513">
          <cell r="C513" t="str">
            <v>朱培源</v>
          </cell>
          <cell r="D513" t="str">
            <v>机盖及附件</v>
          </cell>
        </row>
        <row r="513">
          <cell r="I513" t="e">
            <v>#N/A</v>
          </cell>
          <cell r="J513">
            <v>8116</v>
          </cell>
        </row>
        <row r="513">
          <cell r="M513">
            <v>45686</v>
          </cell>
        </row>
        <row r="514">
          <cell r="A514">
            <v>10414</v>
          </cell>
        </row>
        <row r="514">
          <cell r="C514" t="str">
            <v>转二部</v>
          </cell>
          <cell r="D514" t="str">
            <v>其他</v>
          </cell>
        </row>
        <row r="514">
          <cell r="I514" t="e">
            <v>#N/A</v>
          </cell>
          <cell r="J514">
            <v>8696</v>
          </cell>
        </row>
        <row r="514">
          <cell r="M514">
            <v>45755</v>
          </cell>
        </row>
        <row r="515">
          <cell r="A515">
            <v>1370</v>
          </cell>
        </row>
        <row r="515">
          <cell r="C515" t="str">
            <v>章鹏</v>
          </cell>
          <cell r="D515" t="str">
            <v>其他</v>
          </cell>
        </row>
        <row r="515">
          <cell r="I515" t="e">
            <v>#N/A</v>
          </cell>
          <cell r="J515">
            <v>8697</v>
          </cell>
        </row>
        <row r="515">
          <cell r="M515">
            <v>45694</v>
          </cell>
        </row>
        <row r="516">
          <cell r="A516">
            <v>9391</v>
          </cell>
        </row>
        <row r="516">
          <cell r="C516" t="str">
            <v>胡煜星</v>
          </cell>
          <cell r="D516" t="str">
            <v>车门系统</v>
          </cell>
        </row>
        <row r="516">
          <cell r="I516" t="e">
            <v>#N/A</v>
          </cell>
          <cell r="J516">
            <v>8698</v>
          </cell>
        </row>
        <row r="516">
          <cell r="M516">
            <v>45689</v>
          </cell>
        </row>
        <row r="517">
          <cell r="A517">
            <v>9173</v>
          </cell>
        </row>
        <row r="517">
          <cell r="C517" t="str">
            <v>章鹏</v>
          </cell>
          <cell r="D517" t="str">
            <v>挡泥板</v>
          </cell>
        </row>
        <row r="517">
          <cell r="I517" t="e">
            <v>#N/A</v>
          </cell>
          <cell r="J517">
            <v>8699</v>
          </cell>
        </row>
        <row r="517">
          <cell r="M517">
            <v>45705</v>
          </cell>
        </row>
        <row r="518">
          <cell r="A518">
            <v>8900</v>
          </cell>
        </row>
        <row r="518">
          <cell r="C518" t="str">
            <v>胡煜星</v>
          </cell>
          <cell r="D518" t="str">
            <v>车门系统</v>
          </cell>
        </row>
        <row r="518">
          <cell r="I518" t="e">
            <v>#N/A</v>
          </cell>
          <cell r="J518">
            <v>4674</v>
          </cell>
        </row>
        <row r="518">
          <cell r="M518">
            <v>45772</v>
          </cell>
        </row>
        <row r="519">
          <cell r="A519">
            <v>9113</v>
          </cell>
        </row>
        <row r="519">
          <cell r="C519" t="str">
            <v>张潇</v>
          </cell>
          <cell r="D519" t="str">
            <v>牌照板支架</v>
          </cell>
        </row>
        <row r="519">
          <cell r="I519" t="e">
            <v>#N/A</v>
          </cell>
          <cell r="J519">
            <v>7409</v>
          </cell>
        </row>
        <row r="519">
          <cell r="M519">
            <v>46024</v>
          </cell>
        </row>
        <row r="520">
          <cell r="A520">
            <v>9114</v>
          </cell>
        </row>
        <row r="520">
          <cell r="C520" t="str">
            <v>张潇</v>
          </cell>
          <cell r="D520" t="str">
            <v>牌照板支架</v>
          </cell>
        </row>
        <row r="520">
          <cell r="I520" t="e">
            <v>#N/A</v>
          </cell>
          <cell r="J520">
            <v>8595</v>
          </cell>
        </row>
        <row r="520">
          <cell r="M520">
            <v>45694</v>
          </cell>
        </row>
        <row r="521">
          <cell r="A521">
            <v>9115</v>
          </cell>
        </row>
        <row r="521">
          <cell r="C521" t="str">
            <v>张潇</v>
          </cell>
          <cell r="D521" t="str">
            <v>牌照板支架</v>
          </cell>
        </row>
        <row r="521">
          <cell r="I521" t="e">
            <v>#N/A</v>
          </cell>
          <cell r="J521">
            <v>8363</v>
          </cell>
        </row>
        <row r="521">
          <cell r="M521">
            <v>45698</v>
          </cell>
        </row>
        <row r="522">
          <cell r="A522">
            <v>9112</v>
          </cell>
        </row>
        <row r="522">
          <cell r="C522" t="str">
            <v>张潇</v>
          </cell>
          <cell r="D522" t="str">
            <v>牌照板支架</v>
          </cell>
        </row>
        <row r="522">
          <cell r="I522" t="e">
            <v>#N/A</v>
          </cell>
          <cell r="J522">
            <v>8603</v>
          </cell>
        </row>
        <row r="522">
          <cell r="M522">
            <v>45693</v>
          </cell>
        </row>
        <row r="523">
          <cell r="A523">
            <v>9361</v>
          </cell>
        </row>
        <row r="523">
          <cell r="C523" t="str">
            <v>章鹏</v>
          </cell>
          <cell r="D523" t="str">
            <v>挡泥板</v>
          </cell>
        </row>
        <row r="523">
          <cell r="I523" t="e">
            <v>#N/A</v>
          </cell>
          <cell r="J523">
            <v>8607</v>
          </cell>
        </row>
        <row r="523">
          <cell r="M523">
            <v>45692</v>
          </cell>
        </row>
        <row r="524">
          <cell r="A524">
            <v>9116</v>
          </cell>
        </row>
        <row r="524">
          <cell r="C524" t="str">
            <v>章鹏</v>
          </cell>
          <cell r="D524" t="str">
            <v>挡泥板</v>
          </cell>
        </row>
        <row r="524">
          <cell r="I524" t="e">
            <v>#N/A</v>
          </cell>
          <cell r="J524">
            <v>8608</v>
          </cell>
        </row>
        <row r="524">
          <cell r="M524">
            <v>45689</v>
          </cell>
        </row>
        <row r="525">
          <cell r="A525">
            <v>9035</v>
          </cell>
        </row>
        <row r="525">
          <cell r="C525" t="str">
            <v>张潇</v>
          </cell>
          <cell r="D525" t="str">
            <v>牌照板支架</v>
          </cell>
        </row>
        <row r="525">
          <cell r="I525" t="e">
            <v>#N/A</v>
          </cell>
          <cell r="J525">
            <v>8611</v>
          </cell>
        </row>
        <row r="525">
          <cell r="M525">
            <v>45692</v>
          </cell>
        </row>
        <row r="526">
          <cell r="A526">
            <v>8986</v>
          </cell>
        </row>
        <row r="526">
          <cell r="C526" t="str">
            <v>张潇</v>
          </cell>
          <cell r="D526" t="str">
            <v>牌照板支架</v>
          </cell>
        </row>
        <row r="526">
          <cell r="I526" t="e">
            <v>#N/A</v>
          </cell>
          <cell r="J526">
            <v>8082</v>
          </cell>
        </row>
        <row r="526">
          <cell r="M526">
            <v>45688</v>
          </cell>
        </row>
        <row r="527">
          <cell r="A527">
            <v>9008</v>
          </cell>
        </row>
        <row r="527">
          <cell r="C527" t="str">
            <v>章鹏</v>
          </cell>
          <cell r="D527" t="str">
            <v>其他</v>
          </cell>
        </row>
        <row r="527">
          <cell r="I527" t="e">
            <v>#N/A</v>
          </cell>
          <cell r="J527">
            <v>8612</v>
          </cell>
        </row>
        <row r="527">
          <cell r="M527">
            <v>45692</v>
          </cell>
        </row>
        <row r="528">
          <cell r="A528">
            <v>5212</v>
          </cell>
        </row>
        <row r="528">
          <cell r="C528" t="str">
            <v>朱培源</v>
          </cell>
          <cell r="D528" t="str">
            <v>机盖及附件</v>
          </cell>
        </row>
        <row r="528">
          <cell r="I528" t="e">
            <v>#N/A</v>
          </cell>
          <cell r="J528">
            <v>8613</v>
          </cell>
        </row>
        <row r="528">
          <cell r="M528">
            <v>45699</v>
          </cell>
        </row>
        <row r="529">
          <cell r="A529">
            <v>1286</v>
          </cell>
        </row>
        <row r="529">
          <cell r="C529" t="str">
            <v>王偲涵</v>
          </cell>
          <cell r="D529" t="str">
            <v>饰条</v>
          </cell>
        </row>
        <row r="529">
          <cell r="I529" t="e">
            <v>#N/A</v>
          </cell>
          <cell r="J529">
            <v>8598</v>
          </cell>
        </row>
        <row r="529">
          <cell r="M529">
            <v>45892</v>
          </cell>
        </row>
        <row r="530">
          <cell r="A530">
            <v>839</v>
          </cell>
        </row>
        <row r="530">
          <cell r="C530" t="str">
            <v>朱培源</v>
          </cell>
          <cell r="D530" t="str">
            <v>机盖及附件</v>
          </cell>
        </row>
        <row r="530">
          <cell r="I530" t="e">
            <v>#N/A</v>
          </cell>
          <cell r="J530">
            <v>8597</v>
          </cell>
        </row>
        <row r="530">
          <cell r="M530">
            <v>45699</v>
          </cell>
        </row>
        <row r="531">
          <cell r="A531">
            <v>2547</v>
          </cell>
        </row>
        <row r="531">
          <cell r="C531" t="str">
            <v>朱培源</v>
          </cell>
          <cell r="D531" t="str">
            <v>机盖及附件</v>
          </cell>
        </row>
        <row r="531">
          <cell r="I531" t="e">
            <v>#N/A</v>
          </cell>
          <cell r="J531">
            <v>8619</v>
          </cell>
        </row>
        <row r="531">
          <cell r="M531">
            <v>45735</v>
          </cell>
        </row>
        <row r="532">
          <cell r="A532">
            <v>8840</v>
          </cell>
        </row>
        <row r="532">
          <cell r="C532" t="str">
            <v>章鹏</v>
          </cell>
          <cell r="D532" t="str">
            <v>挡泥板</v>
          </cell>
        </row>
        <row r="532">
          <cell r="I532" t="e">
            <v>#N/A</v>
          </cell>
          <cell r="J532">
            <v>8672</v>
          </cell>
        </row>
        <row r="532">
          <cell r="M532">
            <v>45717</v>
          </cell>
        </row>
        <row r="533">
          <cell r="A533">
            <v>9302</v>
          </cell>
        </row>
        <row r="533">
          <cell r="C533" t="str">
            <v>章鹏</v>
          </cell>
          <cell r="D533" t="str">
            <v>挡泥板</v>
          </cell>
        </row>
        <row r="533">
          <cell r="I533" t="e">
            <v>#N/A</v>
          </cell>
          <cell r="J533">
            <v>8532</v>
          </cell>
        </row>
        <row r="533">
          <cell r="M533">
            <v>45700</v>
          </cell>
        </row>
        <row r="534">
          <cell r="A534">
            <v>9304</v>
          </cell>
        </row>
        <row r="534">
          <cell r="C534" t="str">
            <v>章鹏</v>
          </cell>
          <cell r="D534" t="str">
            <v>挡泥板</v>
          </cell>
        </row>
        <row r="534">
          <cell r="I534" t="e">
            <v>#N/A</v>
          </cell>
          <cell r="J534">
            <v>7587</v>
          </cell>
        </row>
        <row r="534">
          <cell r="M534">
            <v>46008</v>
          </cell>
        </row>
        <row r="535">
          <cell r="A535">
            <v>10470</v>
          </cell>
        </row>
        <row r="535">
          <cell r="C535" t="str">
            <v>转二部</v>
          </cell>
          <cell r="D535" t="str">
            <v>机盖及附件</v>
          </cell>
        </row>
        <row r="535">
          <cell r="I535" t="e">
            <v>#N/A</v>
          </cell>
          <cell r="J535">
            <v>7665</v>
          </cell>
        </row>
        <row r="536">
          <cell r="A536">
            <v>9558</v>
          </cell>
        </row>
        <row r="536">
          <cell r="C536" t="str">
            <v>章鹏</v>
          </cell>
          <cell r="D536" t="str">
            <v>挡泥板</v>
          </cell>
        </row>
        <row r="536">
          <cell r="I536" t="e">
            <v>#N/A</v>
          </cell>
          <cell r="J536">
            <v>8833</v>
          </cell>
        </row>
        <row r="536">
          <cell r="M536">
            <v>45715</v>
          </cell>
        </row>
        <row r="537">
          <cell r="A537">
            <v>8993</v>
          </cell>
        </row>
        <row r="537">
          <cell r="C537" t="str">
            <v>章鹏</v>
          </cell>
          <cell r="D537" t="str">
            <v>挡泥板</v>
          </cell>
        </row>
        <row r="537">
          <cell r="I537" t="e">
            <v>#N/A</v>
          </cell>
          <cell r="J537">
            <v>8616</v>
          </cell>
        </row>
        <row r="537">
          <cell r="M537">
            <v>45714</v>
          </cell>
        </row>
        <row r="538">
          <cell r="A538">
            <v>9160</v>
          </cell>
        </row>
        <row r="538">
          <cell r="C538" t="str">
            <v>章鹏</v>
          </cell>
          <cell r="D538" t="str">
            <v>挡泥板</v>
          </cell>
        </row>
        <row r="538">
          <cell r="I538" t="e">
            <v>#N/A</v>
          </cell>
          <cell r="J538">
            <v>8617</v>
          </cell>
        </row>
        <row r="538">
          <cell r="M538">
            <v>45702</v>
          </cell>
        </row>
        <row r="539">
          <cell r="A539">
            <v>9698</v>
          </cell>
        </row>
        <row r="539">
          <cell r="C539" t="str">
            <v>章鹏</v>
          </cell>
          <cell r="D539" t="str">
            <v>挡泥板</v>
          </cell>
        </row>
        <row r="539">
          <cell r="I539" t="e">
            <v>#N/A</v>
          </cell>
          <cell r="J539">
            <v>8770</v>
          </cell>
        </row>
        <row r="539">
          <cell r="M539">
            <v>45714</v>
          </cell>
        </row>
        <row r="540">
          <cell r="A540">
            <v>9389</v>
          </cell>
        </row>
        <row r="540">
          <cell r="C540" t="str">
            <v>章鹏</v>
          </cell>
          <cell r="D540" t="str">
            <v>挡泥板</v>
          </cell>
        </row>
        <row r="540">
          <cell r="I540" t="e">
            <v>#N/A</v>
          </cell>
          <cell r="J540">
            <v>8771</v>
          </cell>
        </row>
        <row r="540">
          <cell r="M540">
            <v>45710</v>
          </cell>
        </row>
        <row r="541">
          <cell r="A541">
            <v>5441</v>
          </cell>
        </row>
        <row r="541">
          <cell r="C541" t="str">
            <v>朱培源</v>
          </cell>
          <cell r="D541" t="str">
            <v>饰条</v>
          </cell>
        </row>
        <row r="541">
          <cell r="I541" t="e">
            <v>#N/A</v>
          </cell>
          <cell r="J541">
            <v>8773</v>
          </cell>
        </row>
        <row r="541">
          <cell r="M541">
            <v>45720</v>
          </cell>
        </row>
        <row r="542">
          <cell r="A542">
            <v>8082</v>
          </cell>
        </row>
        <row r="542">
          <cell r="C542" t="str">
            <v>章鹏</v>
          </cell>
          <cell r="D542" t="str">
            <v>挡泥板</v>
          </cell>
        </row>
        <row r="542">
          <cell r="I542" t="e">
            <v>#N/A</v>
          </cell>
          <cell r="J542">
            <v>8620</v>
          </cell>
        </row>
        <row r="542">
          <cell r="M542">
            <v>45698</v>
          </cell>
        </row>
        <row r="543">
          <cell r="A543">
            <v>9492</v>
          </cell>
        </row>
        <row r="543">
          <cell r="C543" t="str">
            <v>章鹏</v>
          </cell>
          <cell r="D543" t="str">
            <v>挡泥板</v>
          </cell>
        </row>
        <row r="543">
          <cell r="I543" t="e">
            <v>#N/A</v>
          </cell>
          <cell r="J543">
            <v>8621</v>
          </cell>
        </row>
        <row r="543">
          <cell r="M543">
            <v>45698</v>
          </cell>
        </row>
        <row r="544">
          <cell r="A544">
            <v>9316</v>
          </cell>
        </row>
        <row r="544">
          <cell r="C544" t="str">
            <v>章鹏</v>
          </cell>
          <cell r="D544" t="str">
            <v>挡泥板</v>
          </cell>
        </row>
        <row r="544">
          <cell r="I544" t="e">
            <v>#N/A</v>
          </cell>
          <cell r="J544">
            <v>8728</v>
          </cell>
        </row>
        <row r="544">
          <cell r="M544">
            <v>45754</v>
          </cell>
        </row>
        <row r="545">
          <cell r="A545">
            <v>9364</v>
          </cell>
        </row>
        <row r="545">
          <cell r="C545" t="str">
            <v>章鹏</v>
          </cell>
          <cell r="D545" t="str">
            <v>挡泥板</v>
          </cell>
        </row>
        <row r="545">
          <cell r="I545" t="e">
            <v>#N/A</v>
          </cell>
          <cell r="J545">
            <v>8810</v>
          </cell>
        </row>
        <row r="545">
          <cell r="M545">
            <v>45746</v>
          </cell>
        </row>
        <row r="546">
          <cell r="A546">
            <v>8985</v>
          </cell>
        </row>
        <row r="546">
          <cell r="C546" t="str">
            <v>张潇</v>
          </cell>
          <cell r="D546" t="str">
            <v>牌照板支架</v>
          </cell>
        </row>
        <row r="546">
          <cell r="I546" t="e">
            <v>#N/A</v>
          </cell>
          <cell r="J546">
            <v>8604</v>
          </cell>
        </row>
        <row r="546">
          <cell r="M546">
            <v>45707</v>
          </cell>
        </row>
        <row r="547">
          <cell r="A547">
            <v>9386</v>
          </cell>
        </row>
        <row r="547">
          <cell r="C547" t="str">
            <v>张潇</v>
          </cell>
          <cell r="D547" t="str">
            <v>牌照板支架</v>
          </cell>
        </row>
        <row r="547">
          <cell r="I547" t="e">
            <v>#N/A</v>
          </cell>
          <cell r="J547">
            <v>8605</v>
          </cell>
        </row>
        <row r="547">
          <cell r="M547">
            <v>45748</v>
          </cell>
        </row>
        <row r="548">
          <cell r="A548">
            <v>9387</v>
          </cell>
        </row>
        <row r="548">
          <cell r="C548" t="str">
            <v>张潇</v>
          </cell>
          <cell r="D548" t="str">
            <v>牌照板支架</v>
          </cell>
        </row>
        <row r="548">
          <cell r="I548" t="e">
            <v>#N/A</v>
          </cell>
          <cell r="J548">
            <v>8609</v>
          </cell>
        </row>
        <row r="548">
          <cell r="M548">
            <v>45700</v>
          </cell>
        </row>
        <row r="549">
          <cell r="A549">
            <v>8364</v>
          </cell>
        </row>
        <row r="549">
          <cell r="C549" t="str">
            <v>章鹏</v>
          </cell>
          <cell r="D549" t="str">
            <v>挡泥板</v>
          </cell>
        </row>
        <row r="549">
          <cell r="I549" t="e">
            <v>#N/A</v>
          </cell>
          <cell r="J549">
            <v>8610</v>
          </cell>
        </row>
        <row r="549">
          <cell r="M549">
            <v>45700</v>
          </cell>
        </row>
        <row r="550">
          <cell r="A550">
            <v>10906</v>
          </cell>
        </row>
        <row r="550">
          <cell r="C550" t="str">
            <v>转二部</v>
          </cell>
          <cell r="D550" t="str">
            <v>牌照板支架</v>
          </cell>
        </row>
        <row r="550">
          <cell r="I550" t="e">
            <v>#N/A</v>
          </cell>
          <cell r="J550">
            <v>8678</v>
          </cell>
        </row>
        <row r="550">
          <cell r="M550">
            <v>45706</v>
          </cell>
        </row>
        <row r="551">
          <cell r="A551">
            <v>10144</v>
          </cell>
        </row>
        <row r="551">
          <cell r="C551" t="str">
            <v>转二部</v>
          </cell>
          <cell r="D551" t="str">
            <v>牌照板支架</v>
          </cell>
        </row>
        <row r="551">
          <cell r="I551" t="e">
            <v>#N/A</v>
          </cell>
          <cell r="J551">
            <v>8679</v>
          </cell>
        </row>
        <row r="551">
          <cell r="M551">
            <v>45708</v>
          </cell>
        </row>
        <row r="552">
          <cell r="A552">
            <v>9559</v>
          </cell>
        </row>
        <row r="552">
          <cell r="C552" t="str">
            <v>转二部</v>
          </cell>
          <cell r="D552" t="str">
            <v>挡泥板</v>
          </cell>
        </row>
        <row r="552">
          <cell r="I552" t="e">
            <v>#N/A</v>
          </cell>
          <cell r="J552">
            <v>8680</v>
          </cell>
        </row>
        <row r="552">
          <cell r="M552">
            <v>45705</v>
          </cell>
        </row>
        <row r="553">
          <cell r="A553">
            <v>9445</v>
          </cell>
        </row>
        <row r="553">
          <cell r="C553" t="str">
            <v>章鹏</v>
          </cell>
          <cell r="D553" t="str">
            <v>挡泥板</v>
          </cell>
        </row>
        <row r="553">
          <cell r="I553" t="e">
            <v>#N/A</v>
          </cell>
          <cell r="J553">
            <v>8750</v>
          </cell>
        </row>
        <row r="553">
          <cell r="M553">
            <v>45748</v>
          </cell>
        </row>
        <row r="554">
          <cell r="A554">
            <v>8944</v>
          </cell>
        </row>
        <row r="554">
          <cell r="C554" t="str">
            <v>章鹏</v>
          </cell>
          <cell r="D554" t="str">
            <v>挡泥板</v>
          </cell>
        </row>
        <row r="554">
          <cell r="I554" t="e">
            <v>#N/A</v>
          </cell>
          <cell r="J554">
            <v>8751</v>
          </cell>
        </row>
        <row r="554">
          <cell r="M554">
            <v>45707</v>
          </cell>
        </row>
        <row r="555">
          <cell r="A555">
            <v>9481</v>
          </cell>
        </row>
        <row r="555">
          <cell r="C555" t="str">
            <v>张潇</v>
          </cell>
          <cell r="D555" t="str">
            <v>牌照板支架</v>
          </cell>
        </row>
        <row r="555">
          <cell r="I555" t="e">
            <v>#N/A</v>
          </cell>
          <cell r="J555">
            <v>8681</v>
          </cell>
        </row>
        <row r="555">
          <cell r="M555">
            <v>45704</v>
          </cell>
        </row>
        <row r="556">
          <cell r="A556">
            <v>3759</v>
          </cell>
        </row>
        <row r="556">
          <cell r="C556" t="str">
            <v>朱培源</v>
          </cell>
          <cell r="D556" t="str">
            <v>挡泥板</v>
          </cell>
        </row>
        <row r="556">
          <cell r="I556" t="e">
            <v>#N/A</v>
          </cell>
          <cell r="J556">
            <v>8682</v>
          </cell>
        </row>
        <row r="556">
          <cell r="M556">
            <v>45764</v>
          </cell>
        </row>
        <row r="557">
          <cell r="A557">
            <v>9490</v>
          </cell>
        </row>
        <row r="557">
          <cell r="C557" t="str">
            <v>张潇</v>
          </cell>
          <cell r="D557" t="str">
            <v>牌照板支架</v>
          </cell>
        </row>
        <row r="557">
          <cell r="I557" t="e">
            <v>#N/A</v>
          </cell>
          <cell r="J557">
            <v>8683</v>
          </cell>
        </row>
        <row r="557">
          <cell r="M557">
            <v>45706</v>
          </cell>
        </row>
        <row r="558">
          <cell r="A558">
            <v>3776</v>
          </cell>
        </row>
        <row r="558">
          <cell r="C558" t="str">
            <v>胡煜星</v>
          </cell>
          <cell r="D558" t="str">
            <v>车门系统</v>
          </cell>
        </row>
        <row r="558">
          <cell r="I558" t="e">
            <v>#N/A</v>
          </cell>
          <cell r="J558">
            <v>8685</v>
          </cell>
        </row>
        <row r="558">
          <cell r="M558">
            <v>45700</v>
          </cell>
        </row>
        <row r="559">
          <cell r="A559">
            <v>9446</v>
          </cell>
        </row>
        <row r="559">
          <cell r="C559" t="str">
            <v>章鹏</v>
          </cell>
          <cell r="D559" t="str">
            <v>挡泥板</v>
          </cell>
        </row>
        <row r="559">
          <cell r="I559" t="e">
            <v>#N/A</v>
          </cell>
          <cell r="J559">
            <v>8686</v>
          </cell>
        </row>
        <row r="559">
          <cell r="M559">
            <v>45703</v>
          </cell>
        </row>
        <row r="560">
          <cell r="A560">
            <v>9172</v>
          </cell>
        </row>
        <row r="560">
          <cell r="C560" t="str">
            <v>章鹏</v>
          </cell>
          <cell r="D560" t="str">
            <v>挡泥板</v>
          </cell>
        </row>
        <row r="560">
          <cell r="I560" t="e">
            <v>#N/A</v>
          </cell>
          <cell r="J560">
            <v>8687</v>
          </cell>
        </row>
        <row r="560">
          <cell r="M560">
            <v>45700</v>
          </cell>
        </row>
        <row r="561">
          <cell r="A561">
            <v>9068</v>
          </cell>
        </row>
        <row r="561">
          <cell r="C561" t="str">
            <v>章鹏</v>
          </cell>
          <cell r="D561" t="str">
            <v>挡泥板</v>
          </cell>
        </row>
        <row r="561">
          <cell r="I561" t="e">
            <v>#N/A</v>
          </cell>
          <cell r="J561">
            <v>8688</v>
          </cell>
        </row>
        <row r="561">
          <cell r="M561">
            <v>45741</v>
          </cell>
        </row>
        <row r="562">
          <cell r="A562">
            <v>9499</v>
          </cell>
        </row>
        <row r="562">
          <cell r="C562" t="str">
            <v>章鹏</v>
          </cell>
          <cell r="D562" t="str">
            <v>挡泥板</v>
          </cell>
        </row>
        <row r="562">
          <cell r="I562" t="e">
            <v>#N/A</v>
          </cell>
          <cell r="J562">
            <v>8689</v>
          </cell>
        </row>
        <row r="562">
          <cell r="M562">
            <v>45718</v>
          </cell>
        </row>
        <row r="563">
          <cell r="A563">
            <v>9500</v>
          </cell>
        </row>
        <row r="563">
          <cell r="C563" t="str">
            <v>章鹏</v>
          </cell>
          <cell r="D563" t="str">
            <v>挡泥板</v>
          </cell>
        </row>
        <row r="563">
          <cell r="I563" t="e">
            <v>#N/A</v>
          </cell>
          <cell r="J563">
            <v>8690</v>
          </cell>
        </row>
        <row r="563">
          <cell r="M563">
            <v>45701</v>
          </cell>
        </row>
        <row r="564">
          <cell r="A564">
            <v>9501</v>
          </cell>
        </row>
        <row r="564">
          <cell r="C564" t="str">
            <v>章鹏</v>
          </cell>
          <cell r="D564" t="str">
            <v>挡泥板</v>
          </cell>
        </row>
        <row r="564">
          <cell r="I564" t="e">
            <v>#N/A</v>
          </cell>
          <cell r="J564">
            <v>8755</v>
          </cell>
        </row>
        <row r="564">
          <cell r="M564">
            <v>45717</v>
          </cell>
        </row>
        <row r="565">
          <cell r="A565">
            <v>1473</v>
          </cell>
        </row>
        <row r="565">
          <cell r="C565" t="str">
            <v>朱培源</v>
          </cell>
          <cell r="D565" t="str">
            <v>机盖及附件</v>
          </cell>
        </row>
        <row r="565">
          <cell r="I565" t="e">
            <v>#N/A</v>
          </cell>
          <cell r="J565">
            <v>8756</v>
          </cell>
        </row>
        <row r="565">
          <cell r="M565">
            <v>45713</v>
          </cell>
        </row>
        <row r="566">
          <cell r="A566">
            <v>8841</v>
          </cell>
        </row>
        <row r="566">
          <cell r="C566" t="str">
            <v>章鹏</v>
          </cell>
          <cell r="D566" t="str">
            <v>挡泥板</v>
          </cell>
        </row>
        <row r="566">
          <cell r="I566" t="e">
            <v>#N/A</v>
          </cell>
          <cell r="J566">
            <v>8622</v>
          </cell>
        </row>
        <row r="566">
          <cell r="M566">
            <v>45699</v>
          </cell>
        </row>
        <row r="567">
          <cell r="A567">
            <v>9540</v>
          </cell>
        </row>
        <row r="567">
          <cell r="C567" t="str">
            <v>章鹏</v>
          </cell>
          <cell r="D567" t="str">
            <v>挡泥板</v>
          </cell>
        </row>
        <row r="567">
          <cell r="I567" t="e">
            <v>#N/A</v>
          </cell>
          <cell r="J567">
            <v>8623</v>
          </cell>
        </row>
        <row r="567">
          <cell r="M567">
            <v>45709</v>
          </cell>
        </row>
        <row r="568">
          <cell r="A568">
            <v>9495</v>
          </cell>
        </row>
        <row r="568">
          <cell r="C568" t="str">
            <v>章鹏</v>
          </cell>
          <cell r="D568" t="str">
            <v>挡泥板</v>
          </cell>
        </row>
        <row r="568">
          <cell r="I568" t="e">
            <v>#N/A</v>
          </cell>
          <cell r="J568">
            <v>8932</v>
          </cell>
        </row>
        <row r="568">
          <cell r="M568">
            <v>45703</v>
          </cell>
        </row>
        <row r="569">
          <cell r="A569">
            <v>9584</v>
          </cell>
        </row>
        <row r="569">
          <cell r="C569" t="str">
            <v>章鹏</v>
          </cell>
          <cell r="D569" t="str">
            <v>挡泥板</v>
          </cell>
        </row>
        <row r="569">
          <cell r="I569" t="e">
            <v>#N/A</v>
          </cell>
          <cell r="J569">
            <v>8675</v>
          </cell>
        </row>
        <row r="569">
          <cell r="M569">
            <v>45716</v>
          </cell>
        </row>
        <row r="570">
          <cell r="A570">
            <v>9605</v>
          </cell>
        </row>
        <row r="570">
          <cell r="C570" t="str">
            <v>章鹏</v>
          </cell>
          <cell r="D570" t="str">
            <v>挡泥板</v>
          </cell>
        </row>
        <row r="570">
          <cell r="I570" t="e">
            <v>#N/A</v>
          </cell>
          <cell r="J570">
            <v>8749</v>
          </cell>
        </row>
        <row r="570">
          <cell r="M570">
            <v>45702</v>
          </cell>
        </row>
        <row r="571">
          <cell r="A571">
            <v>9606</v>
          </cell>
        </row>
        <row r="571">
          <cell r="C571" t="str">
            <v>章鹏</v>
          </cell>
          <cell r="D571" t="str">
            <v>挡泥板</v>
          </cell>
        </row>
        <row r="571">
          <cell r="I571" t="e">
            <v>#N/A</v>
          </cell>
          <cell r="J571">
            <v>8665</v>
          </cell>
        </row>
        <row r="571">
          <cell r="M571">
            <v>45714</v>
          </cell>
        </row>
        <row r="572">
          <cell r="A572">
            <v>9645</v>
          </cell>
        </row>
        <row r="572">
          <cell r="C572" t="str">
            <v>章鹏</v>
          </cell>
          <cell r="D572" t="str">
            <v>挡泥板</v>
          </cell>
        </row>
        <row r="572">
          <cell r="I572" t="e">
            <v>#N/A</v>
          </cell>
          <cell r="J572">
            <v>8671</v>
          </cell>
        </row>
        <row r="572">
          <cell r="M572">
            <v>45712</v>
          </cell>
        </row>
        <row r="573">
          <cell r="A573">
            <v>9159</v>
          </cell>
        </row>
        <row r="573">
          <cell r="C573" t="str">
            <v>章鹏</v>
          </cell>
          <cell r="D573" t="str">
            <v>挡泥板</v>
          </cell>
        </row>
        <row r="573">
          <cell r="I573" t="e">
            <v>#N/A</v>
          </cell>
          <cell r="J573">
            <v>8684</v>
          </cell>
        </row>
        <row r="573">
          <cell r="M573">
            <v>45705</v>
          </cell>
        </row>
        <row r="574">
          <cell r="A574">
            <v>5611</v>
          </cell>
        </row>
        <row r="574">
          <cell r="C574" t="str">
            <v>俞东旭</v>
          </cell>
          <cell r="D574" t="str">
            <v>车门系统</v>
          </cell>
        </row>
        <row r="574">
          <cell r="I574" t="e">
            <v>#N/A</v>
          </cell>
          <cell r="J574">
            <v>8594</v>
          </cell>
        </row>
        <row r="574">
          <cell r="M574">
            <v>45710</v>
          </cell>
        </row>
        <row r="575">
          <cell r="A575">
            <v>6906</v>
          </cell>
        </row>
        <row r="575">
          <cell r="C575" t="str">
            <v>俞东旭</v>
          </cell>
          <cell r="D575" t="str">
            <v>挡泥板</v>
          </cell>
        </row>
        <row r="575">
          <cell r="I575" t="e">
            <v>#N/A</v>
          </cell>
          <cell r="J575">
            <v>8843</v>
          </cell>
        </row>
        <row r="575">
          <cell r="M575">
            <v>45711</v>
          </cell>
        </row>
        <row r="576">
          <cell r="A576">
            <v>6907</v>
          </cell>
        </row>
        <row r="576">
          <cell r="C576" t="str">
            <v>俞东旭</v>
          </cell>
          <cell r="D576" t="str">
            <v>挡泥板</v>
          </cell>
        </row>
        <row r="576">
          <cell r="I576" t="e">
            <v>#N/A</v>
          </cell>
          <cell r="J576">
            <v>8844</v>
          </cell>
        </row>
        <row r="576">
          <cell r="M576">
            <v>45710</v>
          </cell>
        </row>
        <row r="577">
          <cell r="A577">
            <v>6872</v>
          </cell>
        </row>
        <row r="577">
          <cell r="C577" t="str">
            <v>俞东旭</v>
          </cell>
          <cell r="D577" t="str">
            <v>挡泥板</v>
          </cell>
        </row>
        <row r="577">
          <cell r="I577" t="e">
            <v>#N/A</v>
          </cell>
          <cell r="J577">
            <v>8752</v>
          </cell>
        </row>
        <row r="577">
          <cell r="M577">
            <v>45712</v>
          </cell>
        </row>
        <row r="578">
          <cell r="A578">
            <v>6873</v>
          </cell>
        </row>
        <row r="578">
          <cell r="C578" t="str">
            <v>俞东旭</v>
          </cell>
          <cell r="D578" t="str">
            <v>挡泥板</v>
          </cell>
        </row>
        <row r="578">
          <cell r="I578" t="e">
            <v>#N/A</v>
          </cell>
          <cell r="J578">
            <v>8753</v>
          </cell>
        </row>
        <row r="578">
          <cell r="M578">
            <v>45712</v>
          </cell>
        </row>
        <row r="579">
          <cell r="A579">
            <v>6908</v>
          </cell>
        </row>
        <row r="579">
          <cell r="C579" t="str">
            <v>俞东旭</v>
          </cell>
          <cell r="D579" t="str">
            <v>挡泥板</v>
          </cell>
        </row>
        <row r="579">
          <cell r="I579" t="e">
            <v>#N/A</v>
          </cell>
          <cell r="J579">
            <v>8754</v>
          </cell>
        </row>
        <row r="579">
          <cell r="M579">
            <v>45714</v>
          </cell>
        </row>
        <row r="580">
          <cell r="A580">
            <v>6909</v>
          </cell>
        </row>
        <row r="580">
          <cell r="C580" t="str">
            <v>俞东旭</v>
          </cell>
          <cell r="D580" t="str">
            <v>挡泥板</v>
          </cell>
        </row>
        <row r="580">
          <cell r="I580" t="e">
            <v>#N/A</v>
          </cell>
          <cell r="J580">
            <v>8879</v>
          </cell>
        </row>
        <row r="580">
          <cell r="M580">
            <v>45711</v>
          </cell>
        </row>
        <row r="581">
          <cell r="A581">
            <v>6910</v>
          </cell>
        </row>
        <row r="581">
          <cell r="C581" t="str">
            <v>俞东旭</v>
          </cell>
          <cell r="D581" t="str">
            <v>挡泥板</v>
          </cell>
        </row>
        <row r="581">
          <cell r="I581" t="e">
            <v>#N/A</v>
          </cell>
          <cell r="J581">
            <v>8936</v>
          </cell>
        </row>
        <row r="581">
          <cell r="M581">
            <v>45713</v>
          </cell>
        </row>
        <row r="582">
          <cell r="A582">
            <v>6911</v>
          </cell>
        </row>
        <row r="582">
          <cell r="C582" t="str">
            <v>俞东旭</v>
          </cell>
          <cell r="D582" t="str">
            <v>挡泥板</v>
          </cell>
        </row>
        <row r="582">
          <cell r="I582" t="e">
            <v>#N/A</v>
          </cell>
          <cell r="J582">
            <v>8842</v>
          </cell>
        </row>
        <row r="582">
          <cell r="M582">
            <v>45710</v>
          </cell>
        </row>
        <row r="583">
          <cell r="A583">
            <v>6912</v>
          </cell>
        </row>
        <row r="583">
          <cell r="C583" t="str">
            <v>俞东旭</v>
          </cell>
          <cell r="D583" t="str">
            <v>挡泥板</v>
          </cell>
        </row>
        <row r="583">
          <cell r="I583" t="e">
            <v>#N/A</v>
          </cell>
          <cell r="J583">
            <v>8852</v>
          </cell>
        </row>
        <row r="583">
          <cell r="M583">
            <v>45719</v>
          </cell>
        </row>
        <row r="584">
          <cell r="A584">
            <v>6913</v>
          </cell>
        </row>
        <row r="584">
          <cell r="C584" t="str">
            <v>俞东旭</v>
          </cell>
          <cell r="D584" t="str">
            <v>挡泥板</v>
          </cell>
        </row>
        <row r="584">
          <cell r="I584" t="e">
            <v>#N/A</v>
          </cell>
          <cell r="J584">
            <v>8781</v>
          </cell>
        </row>
        <row r="584">
          <cell r="M584">
            <v>45722</v>
          </cell>
        </row>
        <row r="585">
          <cell r="A585">
            <v>6914</v>
          </cell>
        </row>
        <row r="585">
          <cell r="C585" t="str">
            <v>俞东旭</v>
          </cell>
          <cell r="D585" t="str">
            <v>挡泥板</v>
          </cell>
        </row>
        <row r="585">
          <cell r="I585" t="e">
            <v>#N/A</v>
          </cell>
          <cell r="J585">
            <v>8783</v>
          </cell>
        </row>
        <row r="585">
          <cell r="M585">
            <v>45717</v>
          </cell>
        </row>
        <row r="586">
          <cell r="A586">
            <v>6915</v>
          </cell>
        </row>
        <row r="586">
          <cell r="C586" t="str">
            <v>俞东旭</v>
          </cell>
          <cell r="D586" t="str">
            <v>挡泥板</v>
          </cell>
        </row>
        <row r="586">
          <cell r="I586" t="e">
            <v>#N/A</v>
          </cell>
          <cell r="J586">
            <v>8784</v>
          </cell>
        </row>
        <row r="586">
          <cell r="M586">
            <v>45715</v>
          </cell>
        </row>
        <row r="587">
          <cell r="A587">
            <v>7189</v>
          </cell>
        </row>
        <row r="587">
          <cell r="C587" t="str">
            <v>俞东旭</v>
          </cell>
          <cell r="D587" t="str">
            <v>挡泥板</v>
          </cell>
        </row>
        <row r="587">
          <cell r="I587" t="e">
            <v>#N/A</v>
          </cell>
          <cell r="J587">
            <v>8947</v>
          </cell>
        </row>
        <row r="587">
          <cell r="M587">
            <v>45720</v>
          </cell>
        </row>
        <row r="588">
          <cell r="A588">
            <v>7190</v>
          </cell>
        </row>
        <row r="588">
          <cell r="C588" t="str">
            <v>俞东旭</v>
          </cell>
          <cell r="D588" t="str">
            <v>挡泥板</v>
          </cell>
        </row>
        <row r="588">
          <cell r="I588" t="e">
            <v>#N/A</v>
          </cell>
          <cell r="J588">
            <v>8768</v>
          </cell>
        </row>
        <row r="588">
          <cell r="M588">
            <v>45719</v>
          </cell>
        </row>
        <row r="589">
          <cell r="A589">
            <v>7314</v>
          </cell>
        </row>
        <row r="589">
          <cell r="C589" t="str">
            <v>俞东旭</v>
          </cell>
          <cell r="D589" t="str">
            <v>挡泥板</v>
          </cell>
        </row>
        <row r="589">
          <cell r="I589" t="e">
            <v>#N/A</v>
          </cell>
          <cell r="J589">
            <v>8774</v>
          </cell>
        </row>
        <row r="589">
          <cell r="M589">
            <v>45712</v>
          </cell>
        </row>
        <row r="590">
          <cell r="A590">
            <v>7315</v>
          </cell>
        </row>
        <row r="590">
          <cell r="C590" t="str">
            <v>俞东旭</v>
          </cell>
          <cell r="D590" t="str">
            <v>挡泥板</v>
          </cell>
        </row>
        <row r="590">
          <cell r="I590" t="e">
            <v>#N/A</v>
          </cell>
          <cell r="J590">
            <v>8775</v>
          </cell>
        </row>
        <row r="590">
          <cell r="M590">
            <v>45756</v>
          </cell>
        </row>
        <row r="591">
          <cell r="A591">
            <v>7248</v>
          </cell>
        </row>
        <row r="591">
          <cell r="C591" t="str">
            <v>俞东旭</v>
          </cell>
          <cell r="D591" t="str">
            <v>挡泥板</v>
          </cell>
        </row>
        <row r="591">
          <cell r="I591" t="e">
            <v>#N/A</v>
          </cell>
          <cell r="J591">
            <v>8776</v>
          </cell>
        </row>
        <row r="591">
          <cell r="M591">
            <v>45746</v>
          </cell>
        </row>
        <row r="592">
          <cell r="A592">
            <v>7316</v>
          </cell>
        </row>
        <row r="592">
          <cell r="C592" t="str">
            <v>俞东旭</v>
          </cell>
          <cell r="D592" t="str">
            <v>挡泥板</v>
          </cell>
        </row>
        <row r="592">
          <cell r="I592" t="e">
            <v>#N/A</v>
          </cell>
          <cell r="J592">
            <v>8777</v>
          </cell>
        </row>
        <row r="592">
          <cell r="M592">
            <v>45714</v>
          </cell>
        </row>
        <row r="593">
          <cell r="A593">
            <v>7317</v>
          </cell>
        </row>
        <row r="593">
          <cell r="C593" t="str">
            <v>俞东旭</v>
          </cell>
          <cell r="D593" t="str">
            <v>挡泥板</v>
          </cell>
        </row>
        <row r="593">
          <cell r="I593" t="e">
            <v>#N/A</v>
          </cell>
          <cell r="J593">
            <v>8778</v>
          </cell>
        </row>
        <row r="593">
          <cell r="M593">
            <v>45716</v>
          </cell>
        </row>
        <row r="594">
          <cell r="A594">
            <v>7249</v>
          </cell>
        </row>
        <row r="594">
          <cell r="C594" t="str">
            <v>俞东旭</v>
          </cell>
          <cell r="D594" t="str">
            <v>挡泥板</v>
          </cell>
        </row>
        <row r="594">
          <cell r="I594" t="e">
            <v>#N/A</v>
          </cell>
          <cell r="J594">
            <v>8779</v>
          </cell>
        </row>
        <row r="594">
          <cell r="M594">
            <v>45710</v>
          </cell>
        </row>
        <row r="595">
          <cell r="A595">
            <v>7250</v>
          </cell>
        </row>
        <row r="595">
          <cell r="C595" t="str">
            <v>俞东旭</v>
          </cell>
          <cell r="D595" t="str">
            <v>挡泥板</v>
          </cell>
        </row>
        <row r="595">
          <cell r="I595" t="e">
            <v>#N/A</v>
          </cell>
          <cell r="J595">
            <v>8780</v>
          </cell>
        </row>
        <row r="595">
          <cell r="M595">
            <v>45709</v>
          </cell>
        </row>
        <row r="596">
          <cell r="A596">
            <v>7318</v>
          </cell>
        </row>
        <row r="596">
          <cell r="C596" t="str">
            <v>俞东旭</v>
          </cell>
          <cell r="D596" t="str">
            <v>挡泥板</v>
          </cell>
        </row>
        <row r="596">
          <cell r="I596" t="e">
            <v>#N/A</v>
          </cell>
          <cell r="J596">
            <v>8766</v>
          </cell>
        </row>
        <row r="596">
          <cell r="M596">
            <v>45712</v>
          </cell>
        </row>
        <row r="597">
          <cell r="A597">
            <v>7319</v>
          </cell>
        </row>
        <row r="597">
          <cell r="C597" t="str">
            <v>俞东旭</v>
          </cell>
          <cell r="D597" t="str">
            <v>挡泥板</v>
          </cell>
        </row>
        <row r="597">
          <cell r="I597" t="e">
            <v>#N/A</v>
          </cell>
          <cell r="J597">
            <v>8849</v>
          </cell>
        </row>
        <row r="597">
          <cell r="M597">
            <v>45712</v>
          </cell>
        </row>
        <row r="598">
          <cell r="A598">
            <v>7348</v>
          </cell>
        </row>
        <row r="598">
          <cell r="C598" t="str">
            <v>俞东旭</v>
          </cell>
          <cell r="D598" t="str">
            <v>挡泥板</v>
          </cell>
        </row>
        <row r="598">
          <cell r="I598" t="e">
            <v>#N/A</v>
          </cell>
          <cell r="J598">
            <v>8757</v>
          </cell>
        </row>
        <row r="598">
          <cell r="M598">
            <v>45714</v>
          </cell>
        </row>
        <row r="599">
          <cell r="A599">
            <v>7349</v>
          </cell>
        </row>
        <row r="599">
          <cell r="C599" t="str">
            <v>俞东旭</v>
          </cell>
          <cell r="D599" t="str">
            <v>挡泥板</v>
          </cell>
        </row>
        <row r="599">
          <cell r="I599" t="e">
            <v>#N/A</v>
          </cell>
          <cell r="J599">
            <v>8758</v>
          </cell>
        </row>
        <row r="599">
          <cell r="M599">
            <v>45728</v>
          </cell>
        </row>
        <row r="600">
          <cell r="A600">
            <v>7193</v>
          </cell>
        </row>
        <row r="600">
          <cell r="C600" t="str">
            <v>俞东旭</v>
          </cell>
          <cell r="D600" t="str">
            <v>挡泥板</v>
          </cell>
        </row>
        <row r="600">
          <cell r="I600" t="e">
            <v>#N/A</v>
          </cell>
          <cell r="J600">
            <v>8759</v>
          </cell>
        </row>
        <row r="600">
          <cell r="M600">
            <v>45715</v>
          </cell>
        </row>
        <row r="601">
          <cell r="A601">
            <v>7194</v>
          </cell>
        </row>
        <row r="601">
          <cell r="C601" t="str">
            <v>俞东旭</v>
          </cell>
          <cell r="D601" t="str">
            <v>挡泥板</v>
          </cell>
        </row>
        <row r="601">
          <cell r="I601" t="e">
            <v>#N/A</v>
          </cell>
          <cell r="J601">
            <v>8760</v>
          </cell>
        </row>
        <row r="601">
          <cell r="M601">
            <v>45715</v>
          </cell>
        </row>
        <row r="602">
          <cell r="A602">
            <v>7421</v>
          </cell>
        </row>
        <row r="602">
          <cell r="C602" t="str">
            <v>俞东旭</v>
          </cell>
          <cell r="D602" t="str">
            <v>挡泥板</v>
          </cell>
        </row>
        <row r="602">
          <cell r="I602" t="e">
            <v>#N/A</v>
          </cell>
          <cell r="J602">
            <v>8845</v>
          </cell>
        </row>
        <row r="602">
          <cell r="M602">
            <v>45723</v>
          </cell>
        </row>
        <row r="603">
          <cell r="A603">
            <v>7422</v>
          </cell>
        </row>
        <row r="603">
          <cell r="C603" t="str">
            <v>俞东旭</v>
          </cell>
          <cell r="D603" t="str">
            <v>挡泥板</v>
          </cell>
        </row>
        <row r="603">
          <cell r="I603" t="e">
            <v>#N/A</v>
          </cell>
          <cell r="J603">
            <v>8846</v>
          </cell>
        </row>
        <row r="603">
          <cell r="M603">
            <v>45725</v>
          </cell>
        </row>
        <row r="604">
          <cell r="A604">
            <v>7251</v>
          </cell>
        </row>
        <row r="604">
          <cell r="C604" t="str">
            <v>俞东旭</v>
          </cell>
          <cell r="D604" t="str">
            <v>挡泥板</v>
          </cell>
        </row>
        <row r="604">
          <cell r="I604" t="e">
            <v>#N/A</v>
          </cell>
          <cell r="J604">
            <v>8847</v>
          </cell>
        </row>
        <row r="604">
          <cell r="M604">
            <v>45717</v>
          </cell>
        </row>
        <row r="605">
          <cell r="A605">
            <v>7252</v>
          </cell>
        </row>
        <row r="605">
          <cell r="C605" t="str">
            <v>俞东旭</v>
          </cell>
          <cell r="D605" t="str">
            <v>挡泥板</v>
          </cell>
        </row>
        <row r="605">
          <cell r="I605" t="e">
            <v>#N/A</v>
          </cell>
          <cell r="J605">
            <v>8848</v>
          </cell>
        </row>
        <row r="605">
          <cell r="M605">
            <v>45721</v>
          </cell>
        </row>
        <row r="606">
          <cell r="A606">
            <v>7195</v>
          </cell>
        </row>
        <row r="606">
          <cell r="C606" t="str">
            <v>俞东旭</v>
          </cell>
          <cell r="D606" t="str">
            <v>挡泥板</v>
          </cell>
        </row>
        <row r="606">
          <cell r="I606" t="e">
            <v>#N/A</v>
          </cell>
          <cell r="J606">
            <v>8767</v>
          </cell>
        </row>
        <row r="606">
          <cell r="M606">
            <v>45713</v>
          </cell>
        </row>
        <row r="607">
          <cell r="A607">
            <v>7196</v>
          </cell>
        </row>
        <row r="607">
          <cell r="C607" t="str">
            <v>俞东旭</v>
          </cell>
          <cell r="D607" t="str">
            <v>挡泥板</v>
          </cell>
        </row>
        <row r="607">
          <cell r="I607" t="e">
            <v>#N/A</v>
          </cell>
          <cell r="J607">
            <v>8769</v>
          </cell>
        </row>
        <row r="607">
          <cell r="M607">
            <v>45714</v>
          </cell>
        </row>
        <row r="608">
          <cell r="A608">
            <v>8196</v>
          </cell>
        </row>
        <row r="608">
          <cell r="C608" t="str">
            <v>俞东旭</v>
          </cell>
          <cell r="D608" t="str">
            <v>挡泥板</v>
          </cell>
        </row>
        <row r="608">
          <cell r="I608" t="e">
            <v>#N/A</v>
          </cell>
          <cell r="J608">
            <v>8850</v>
          </cell>
        </row>
        <row r="608">
          <cell r="M608">
            <v>45715</v>
          </cell>
        </row>
        <row r="609">
          <cell r="A609">
            <v>8125</v>
          </cell>
        </row>
        <row r="609">
          <cell r="C609" t="str">
            <v>俞东旭</v>
          </cell>
          <cell r="D609" t="str">
            <v>挡泥板</v>
          </cell>
        </row>
        <row r="609">
          <cell r="I609" t="e">
            <v>#N/A</v>
          </cell>
          <cell r="J609">
            <v>8851</v>
          </cell>
        </row>
        <row r="609">
          <cell r="M609">
            <v>45719</v>
          </cell>
        </row>
        <row r="610">
          <cell r="A610">
            <v>8392</v>
          </cell>
        </row>
        <row r="610">
          <cell r="C610" t="str">
            <v>俞东旭</v>
          </cell>
          <cell r="D610" t="str">
            <v>挡泥板</v>
          </cell>
        </row>
        <row r="610">
          <cell r="I610" t="e">
            <v>#N/A</v>
          </cell>
          <cell r="J610">
            <v>8772</v>
          </cell>
        </row>
        <row r="610">
          <cell r="M610">
            <v>45717</v>
          </cell>
        </row>
        <row r="611">
          <cell r="A611">
            <v>8757</v>
          </cell>
        </row>
        <row r="611">
          <cell r="C611" t="str">
            <v>胡煜星</v>
          </cell>
          <cell r="D611" t="str">
            <v>玻璃</v>
          </cell>
        </row>
        <row r="611">
          <cell r="I611" t="e">
            <v>#N/A</v>
          </cell>
          <cell r="J611">
            <v>8782</v>
          </cell>
        </row>
        <row r="611">
          <cell r="M611">
            <v>45817</v>
          </cell>
        </row>
        <row r="612">
          <cell r="A612">
            <v>8758</v>
          </cell>
        </row>
        <row r="612">
          <cell r="C612" t="str">
            <v>胡煜星</v>
          </cell>
          <cell r="D612" t="str">
            <v>玻璃</v>
          </cell>
        </row>
        <row r="612">
          <cell r="I612" t="e">
            <v>#N/A</v>
          </cell>
          <cell r="J612">
            <v>8669</v>
          </cell>
        </row>
        <row r="612">
          <cell r="M612">
            <v>45720</v>
          </cell>
        </row>
        <row r="613">
          <cell r="A613">
            <v>8759</v>
          </cell>
        </row>
        <row r="613">
          <cell r="C613" t="str">
            <v>胡煜星</v>
          </cell>
          <cell r="D613" t="str">
            <v>玻璃</v>
          </cell>
        </row>
        <row r="613">
          <cell r="I613" t="e">
            <v>#N/A</v>
          </cell>
          <cell r="J613">
            <v>8865</v>
          </cell>
        </row>
        <row r="613">
          <cell r="M613">
            <v>45732</v>
          </cell>
        </row>
        <row r="614">
          <cell r="A614">
            <v>8760</v>
          </cell>
        </row>
        <row r="614">
          <cell r="C614" t="str">
            <v>胡煜星</v>
          </cell>
          <cell r="D614" t="str">
            <v>玻璃</v>
          </cell>
        </row>
        <row r="614">
          <cell r="I614" t="str">
            <v>拓展品</v>
          </cell>
          <cell r="J614">
            <v>8904</v>
          </cell>
        </row>
        <row r="614">
          <cell r="M614">
            <v>45727</v>
          </cell>
        </row>
        <row r="615">
          <cell r="A615">
            <v>9649</v>
          </cell>
        </row>
        <row r="615">
          <cell r="C615" t="str">
            <v>胡煜星</v>
          </cell>
          <cell r="D615" t="str">
            <v>玻璃</v>
          </cell>
        </row>
        <row r="615">
          <cell r="I615" t="str">
            <v>拓展品</v>
          </cell>
          <cell r="J615">
            <v>8905</v>
          </cell>
        </row>
        <row r="615">
          <cell r="M615">
            <v>45770</v>
          </cell>
        </row>
        <row r="616">
          <cell r="A616">
            <v>9885</v>
          </cell>
        </row>
        <row r="616">
          <cell r="C616" t="str">
            <v>转二部</v>
          </cell>
          <cell r="D616" t="str">
            <v>玻璃</v>
          </cell>
        </row>
        <row r="616">
          <cell r="I616" t="str">
            <v>拓展品</v>
          </cell>
          <cell r="J616">
            <v>8901</v>
          </cell>
        </row>
        <row r="616">
          <cell r="M616">
            <v>45724</v>
          </cell>
        </row>
        <row r="617">
          <cell r="A617">
            <v>9650</v>
          </cell>
        </row>
        <row r="617">
          <cell r="C617" t="str">
            <v>胡煜星</v>
          </cell>
          <cell r="D617" t="str">
            <v>玻璃</v>
          </cell>
        </row>
        <row r="617">
          <cell r="I617" t="str">
            <v>拓展品</v>
          </cell>
          <cell r="J617">
            <v>8902</v>
          </cell>
        </row>
        <row r="617">
          <cell r="M617">
            <v>45724</v>
          </cell>
        </row>
        <row r="618">
          <cell r="A618">
            <v>9165</v>
          </cell>
        </row>
        <row r="618">
          <cell r="C618" t="str">
            <v>胡煜星</v>
          </cell>
          <cell r="D618" t="str">
            <v>玻璃</v>
          </cell>
        </row>
        <row r="618">
          <cell r="I618" t="str">
            <v>拓展品</v>
          </cell>
          <cell r="J618">
            <v>8914</v>
          </cell>
        </row>
        <row r="618">
          <cell r="M618">
            <v>45731</v>
          </cell>
        </row>
        <row r="619">
          <cell r="A619">
            <v>9166</v>
          </cell>
        </row>
        <row r="619">
          <cell r="C619" t="str">
            <v>转二部</v>
          </cell>
          <cell r="D619" t="str">
            <v>玻璃</v>
          </cell>
        </row>
        <row r="619">
          <cell r="I619" t="str">
            <v>拓展品</v>
          </cell>
          <cell r="J619">
            <v>8915</v>
          </cell>
        </row>
        <row r="619">
          <cell r="M619">
            <v>45776</v>
          </cell>
        </row>
        <row r="620">
          <cell r="A620">
            <v>9121</v>
          </cell>
        </row>
        <row r="620">
          <cell r="C620" t="str">
            <v>胡煜星</v>
          </cell>
          <cell r="D620" t="str">
            <v>玻璃</v>
          </cell>
        </row>
        <row r="620">
          <cell r="I620" t="str">
            <v>拓展品</v>
          </cell>
          <cell r="J620">
            <v>8916</v>
          </cell>
        </row>
        <row r="620">
          <cell r="M620">
            <v>45722</v>
          </cell>
        </row>
        <row r="621">
          <cell r="A621">
            <v>9901</v>
          </cell>
        </row>
        <row r="621">
          <cell r="C621" t="str">
            <v>胡煜星</v>
          </cell>
          <cell r="D621" t="str">
            <v>玻璃</v>
          </cell>
        </row>
        <row r="621">
          <cell r="I621" t="str">
            <v>拓展品</v>
          </cell>
          <cell r="J621">
            <v>8911</v>
          </cell>
        </row>
        <row r="621">
          <cell r="M621">
            <v>45743</v>
          </cell>
        </row>
        <row r="622">
          <cell r="A622">
            <v>9895</v>
          </cell>
        </row>
        <row r="622">
          <cell r="C622" t="str">
            <v>胡煜星</v>
          </cell>
          <cell r="D622" t="str">
            <v>玻璃</v>
          </cell>
        </row>
        <row r="622">
          <cell r="I622" t="str">
            <v>拓展品</v>
          </cell>
          <cell r="J622">
            <v>8912</v>
          </cell>
        </row>
        <row r="622">
          <cell r="M622">
            <v>45730</v>
          </cell>
        </row>
        <row r="623">
          <cell r="A623">
            <v>8116</v>
          </cell>
        </row>
        <row r="623">
          <cell r="C623" t="str">
            <v>胡煜星</v>
          </cell>
          <cell r="D623" t="str">
            <v>玻璃</v>
          </cell>
        </row>
        <row r="623">
          <cell r="I623" t="str">
            <v>拓展品</v>
          </cell>
          <cell r="J623">
            <v>8913</v>
          </cell>
        </row>
        <row r="623">
          <cell r="M623">
            <v>45727</v>
          </cell>
        </row>
        <row r="624">
          <cell r="A624">
            <v>9623</v>
          </cell>
        </row>
        <row r="624">
          <cell r="C624" t="str">
            <v>转二部</v>
          </cell>
          <cell r="D624" t="str">
            <v>玻璃</v>
          </cell>
        </row>
        <row r="624">
          <cell r="I624" t="str">
            <v>原开品</v>
          </cell>
          <cell r="J624">
            <v>9084</v>
          </cell>
        </row>
        <row r="624">
          <cell r="M624">
            <v>45742</v>
          </cell>
        </row>
        <row r="625">
          <cell r="A625">
            <v>8727</v>
          </cell>
        </row>
        <row r="625">
          <cell r="C625" t="str">
            <v>胡煜星</v>
          </cell>
          <cell r="D625" t="str">
            <v>玻璃</v>
          </cell>
        </row>
        <row r="625">
          <cell r="I625" t="str">
            <v>拓展品</v>
          </cell>
          <cell r="J625">
            <v>8959</v>
          </cell>
        </row>
        <row r="625">
          <cell r="M625">
            <v>45738</v>
          </cell>
        </row>
        <row r="626">
          <cell r="A626">
            <v>8845</v>
          </cell>
        </row>
        <row r="626">
          <cell r="C626" t="str">
            <v>胡煜星</v>
          </cell>
          <cell r="D626" t="str">
            <v>玻璃</v>
          </cell>
        </row>
        <row r="626">
          <cell r="I626" t="str">
            <v>原开品</v>
          </cell>
          <cell r="J626">
            <v>8900</v>
          </cell>
        </row>
        <row r="626">
          <cell r="M626">
            <v>45727</v>
          </cell>
        </row>
        <row r="627">
          <cell r="A627">
            <v>9513</v>
          </cell>
        </row>
        <row r="627">
          <cell r="C627" t="str">
            <v>胡煜星</v>
          </cell>
          <cell r="D627" t="str">
            <v>玻璃</v>
          </cell>
        </row>
        <row r="627">
          <cell r="I627" t="str">
            <v>原开品</v>
          </cell>
          <cell r="J627">
            <v>8840</v>
          </cell>
        </row>
        <row r="627">
          <cell r="M627">
            <v>45730</v>
          </cell>
        </row>
        <row r="628">
          <cell r="A628">
            <v>9625</v>
          </cell>
        </row>
        <row r="628">
          <cell r="C628" t="str">
            <v>胡煜星</v>
          </cell>
          <cell r="D628" t="str">
            <v>玻璃</v>
          </cell>
        </row>
        <row r="628">
          <cell r="I628" t="str">
            <v>原开品</v>
          </cell>
          <cell r="J628">
            <v>8841</v>
          </cell>
        </row>
        <row r="628">
          <cell r="M628">
            <v>45727</v>
          </cell>
        </row>
        <row r="629">
          <cell r="A629">
            <v>8847</v>
          </cell>
        </row>
        <row r="629">
          <cell r="C629" t="str">
            <v>胡煜星</v>
          </cell>
          <cell r="D629" t="str">
            <v>玻璃</v>
          </cell>
        </row>
        <row r="629">
          <cell r="I629" t="str">
            <v>拓展品</v>
          </cell>
          <cell r="J629">
            <v>8988</v>
          </cell>
        </row>
        <row r="629">
          <cell r="M629">
            <v>45731</v>
          </cell>
        </row>
        <row r="630">
          <cell r="A630">
            <v>8848</v>
          </cell>
        </row>
        <row r="630">
          <cell r="C630" t="str">
            <v>胡煜星</v>
          </cell>
          <cell r="D630" t="str">
            <v>玻璃</v>
          </cell>
        </row>
        <row r="630">
          <cell r="I630" t="str">
            <v>拓展品</v>
          </cell>
          <cell r="J630">
            <v>8960</v>
          </cell>
        </row>
        <row r="630">
          <cell r="M630">
            <v>45730</v>
          </cell>
        </row>
        <row r="631">
          <cell r="A631">
            <v>9514</v>
          </cell>
        </row>
        <row r="631">
          <cell r="C631" t="str">
            <v>胡煜星</v>
          </cell>
          <cell r="D631" t="str">
            <v>玻璃</v>
          </cell>
        </row>
        <row r="631">
          <cell r="I631" t="str">
            <v>拓展品</v>
          </cell>
          <cell r="J631">
            <v>8961</v>
          </cell>
        </row>
        <row r="631">
          <cell r="M631">
            <v>45726</v>
          </cell>
        </row>
        <row r="632">
          <cell r="A632">
            <v>8437</v>
          </cell>
        </row>
        <row r="632">
          <cell r="C632" t="str">
            <v>胡煜星</v>
          </cell>
          <cell r="D632" t="str">
            <v>玻璃</v>
          </cell>
        </row>
        <row r="632">
          <cell r="I632" t="str">
            <v>原开品</v>
          </cell>
          <cell r="J632">
            <v>8967</v>
          </cell>
        </row>
        <row r="632">
          <cell r="M632">
            <v>45726</v>
          </cell>
        </row>
        <row r="633">
          <cell r="A633">
            <v>8766</v>
          </cell>
        </row>
        <row r="633">
          <cell r="C633" t="str">
            <v>胡煜星</v>
          </cell>
          <cell r="D633" t="str">
            <v>玻璃</v>
          </cell>
        </row>
        <row r="633">
          <cell r="I633" t="str">
            <v>原开品</v>
          </cell>
          <cell r="J633">
            <v>8968</v>
          </cell>
        </row>
        <row r="633">
          <cell r="M633">
            <v>45754</v>
          </cell>
        </row>
        <row r="634">
          <cell r="A634">
            <v>8767</v>
          </cell>
        </row>
        <row r="634">
          <cell r="C634" t="str">
            <v>胡煜星</v>
          </cell>
          <cell r="D634" t="str">
            <v>玻璃</v>
          </cell>
        </row>
        <row r="634">
          <cell r="I634" t="str">
            <v>拓展品</v>
          </cell>
          <cell r="J634">
            <v>9426</v>
          </cell>
        </row>
        <row r="634">
          <cell r="M634">
            <v>45890</v>
          </cell>
        </row>
        <row r="635">
          <cell r="A635">
            <v>8768</v>
          </cell>
        </row>
        <row r="635">
          <cell r="C635" t="str">
            <v>胡煜星</v>
          </cell>
          <cell r="D635" t="str">
            <v>玻璃</v>
          </cell>
        </row>
        <row r="635">
          <cell r="I635" t="str">
            <v>原开品</v>
          </cell>
          <cell r="J635">
            <v>8984</v>
          </cell>
        </row>
        <row r="635">
          <cell r="M635">
            <v>45728</v>
          </cell>
        </row>
        <row r="636">
          <cell r="A636">
            <v>8769</v>
          </cell>
        </row>
        <row r="636">
          <cell r="C636" t="str">
            <v>胡煜星</v>
          </cell>
          <cell r="D636" t="str">
            <v>玻璃</v>
          </cell>
        </row>
        <row r="636">
          <cell r="I636" t="str">
            <v>原开品</v>
          </cell>
          <cell r="J636">
            <v>9123</v>
          </cell>
        </row>
        <row r="636">
          <cell r="M636">
            <v>45741</v>
          </cell>
        </row>
        <row r="637">
          <cell r="A637">
            <v>8696</v>
          </cell>
        </row>
        <row r="637">
          <cell r="C637" t="str">
            <v>转二部</v>
          </cell>
          <cell r="D637" t="str">
            <v>玻璃</v>
          </cell>
        </row>
        <row r="637">
          <cell r="I637" t="str">
            <v>原开品</v>
          </cell>
          <cell r="J637">
            <v>9124</v>
          </cell>
        </row>
        <row r="637">
          <cell r="M637">
            <v>45738</v>
          </cell>
        </row>
        <row r="638">
          <cell r="A638">
            <v>8697</v>
          </cell>
        </row>
        <row r="638">
          <cell r="C638" t="str">
            <v>胡煜星</v>
          </cell>
          <cell r="D638" t="str">
            <v>玻璃</v>
          </cell>
        </row>
        <row r="638">
          <cell r="I638" t="str">
            <v>拓展品</v>
          </cell>
          <cell r="J638">
            <v>9427</v>
          </cell>
        </row>
        <row r="639">
          <cell r="A639">
            <v>8849</v>
          </cell>
        </row>
        <row r="639">
          <cell r="C639" t="str">
            <v>胡煜星</v>
          </cell>
          <cell r="D639" t="str">
            <v>玻璃</v>
          </cell>
        </row>
        <row r="639">
          <cell r="I639" t="str">
            <v>原开品</v>
          </cell>
          <cell r="J639">
            <v>8999</v>
          </cell>
        </row>
        <row r="639">
          <cell r="M639">
            <v>45729</v>
          </cell>
        </row>
        <row r="640">
          <cell r="A640">
            <v>8850</v>
          </cell>
        </row>
        <row r="640">
          <cell r="C640" t="str">
            <v>胡煜星</v>
          </cell>
          <cell r="D640" t="str">
            <v>玻璃</v>
          </cell>
        </row>
        <row r="640">
          <cell r="I640" t="str">
            <v>原开品</v>
          </cell>
          <cell r="J640">
            <v>9000</v>
          </cell>
        </row>
        <row r="640">
          <cell r="M640">
            <v>45766</v>
          </cell>
        </row>
        <row r="641">
          <cell r="A641">
            <v>8851</v>
          </cell>
        </row>
        <row r="641">
          <cell r="C641" t="str">
            <v>胡煜星</v>
          </cell>
          <cell r="D641" t="str">
            <v>玻璃</v>
          </cell>
        </row>
        <row r="641">
          <cell r="I641" t="str">
            <v>拓展品</v>
          </cell>
          <cell r="J641">
            <v>9428</v>
          </cell>
        </row>
        <row r="641">
          <cell r="M641">
            <v>45728</v>
          </cell>
        </row>
        <row r="642">
          <cell r="A642">
            <v>8852</v>
          </cell>
        </row>
        <row r="642">
          <cell r="C642" t="str">
            <v>胡煜星</v>
          </cell>
          <cell r="D642" t="str">
            <v>玻璃</v>
          </cell>
        </row>
        <row r="642">
          <cell r="I642" t="str">
            <v>原开品</v>
          </cell>
          <cell r="J642">
            <v>9047</v>
          </cell>
        </row>
        <row r="642">
          <cell r="M642">
            <v>45774</v>
          </cell>
        </row>
        <row r="643">
          <cell r="A643">
            <v>9287</v>
          </cell>
        </row>
        <row r="643">
          <cell r="C643" t="str">
            <v>胡煜星</v>
          </cell>
          <cell r="D643" t="str">
            <v>玻璃</v>
          </cell>
        </row>
        <row r="643">
          <cell r="I643">
            <v>0</v>
          </cell>
          <cell r="J643">
            <v>8181</v>
          </cell>
        </row>
        <row r="643">
          <cell r="M643">
            <v>46037</v>
          </cell>
        </row>
        <row r="644">
          <cell r="A644">
            <v>9288</v>
          </cell>
        </row>
        <row r="644">
          <cell r="C644" t="str">
            <v>胡煜星</v>
          </cell>
          <cell r="D644" t="str">
            <v>玻璃</v>
          </cell>
        </row>
        <row r="644">
          <cell r="I644" t="str">
            <v>原开品</v>
          </cell>
          <cell r="J644">
            <v>9083</v>
          </cell>
        </row>
        <row r="644">
          <cell r="M644">
            <v>45737</v>
          </cell>
        </row>
        <row r="645">
          <cell r="A645">
            <v>9123</v>
          </cell>
        </row>
        <row r="645">
          <cell r="C645" t="str">
            <v>胡煜星</v>
          </cell>
          <cell r="D645" t="str">
            <v>玻璃</v>
          </cell>
        </row>
        <row r="645">
          <cell r="I645" t="str">
            <v>原开品</v>
          </cell>
          <cell r="J645">
            <v>9121</v>
          </cell>
        </row>
        <row r="645">
          <cell r="M645">
            <v>45732</v>
          </cell>
        </row>
        <row r="646">
          <cell r="A646">
            <v>9124</v>
          </cell>
        </row>
        <row r="646">
          <cell r="C646" t="str">
            <v>转二部</v>
          </cell>
          <cell r="D646" t="str">
            <v>玻璃</v>
          </cell>
        </row>
        <row r="646">
          <cell r="I646" t="str">
            <v>原开品</v>
          </cell>
          <cell r="J646">
            <v>9122</v>
          </cell>
        </row>
        <row r="646">
          <cell r="M646">
            <v>45740</v>
          </cell>
        </row>
        <row r="647">
          <cell r="A647">
            <v>8616</v>
          </cell>
        </row>
        <row r="647">
          <cell r="C647" t="str">
            <v>胡煜星</v>
          </cell>
          <cell r="D647" t="str">
            <v>玻璃</v>
          </cell>
        </row>
        <row r="647">
          <cell r="I647" t="str">
            <v>原开品</v>
          </cell>
          <cell r="J647">
            <v>9433</v>
          </cell>
        </row>
        <row r="647">
          <cell r="M647">
            <v>46028</v>
          </cell>
        </row>
        <row r="648">
          <cell r="A648">
            <v>8617</v>
          </cell>
        </row>
        <row r="648">
          <cell r="C648" t="str">
            <v>胡煜星</v>
          </cell>
          <cell r="D648" t="str">
            <v>玻璃</v>
          </cell>
        </row>
        <row r="648">
          <cell r="I648" t="str">
            <v>原开品</v>
          </cell>
          <cell r="J648">
            <v>9429</v>
          </cell>
        </row>
        <row r="648">
          <cell r="M648">
            <v>45746</v>
          </cell>
        </row>
        <row r="649">
          <cell r="A649">
            <v>8770</v>
          </cell>
        </row>
        <row r="649">
          <cell r="C649" t="str">
            <v>胡煜星</v>
          </cell>
          <cell r="D649" t="str">
            <v>玻璃</v>
          </cell>
        </row>
        <row r="649">
          <cell r="I649" t="str">
            <v>原开品</v>
          </cell>
          <cell r="J649">
            <v>9430</v>
          </cell>
        </row>
        <row r="649">
          <cell r="M649">
            <v>45755</v>
          </cell>
        </row>
        <row r="650">
          <cell r="A650">
            <v>8771</v>
          </cell>
        </row>
        <row r="650">
          <cell r="C650" t="str">
            <v>胡煜星</v>
          </cell>
          <cell r="D650" t="str">
            <v>玻璃</v>
          </cell>
        </row>
        <row r="650">
          <cell r="I650" t="str">
            <v>原开品</v>
          </cell>
          <cell r="J650">
            <v>8727</v>
          </cell>
        </row>
        <row r="650">
          <cell r="M650">
            <v>45748</v>
          </cell>
        </row>
        <row r="651">
          <cell r="A651">
            <v>9812</v>
          </cell>
        </row>
        <row r="651">
          <cell r="C651" t="str">
            <v>胡煜星</v>
          </cell>
          <cell r="D651" t="str">
            <v>玻璃</v>
          </cell>
        </row>
        <row r="651">
          <cell r="I651" t="str">
            <v>拓展品</v>
          </cell>
          <cell r="J651">
            <v>9431</v>
          </cell>
        </row>
        <row r="651">
          <cell r="M651">
            <v>45758</v>
          </cell>
        </row>
        <row r="652">
          <cell r="A652">
            <v>8772</v>
          </cell>
        </row>
        <row r="652">
          <cell r="C652" t="str">
            <v>胡煜星</v>
          </cell>
          <cell r="D652" t="str">
            <v>玻璃</v>
          </cell>
        </row>
        <row r="652">
          <cell r="I652" t="str">
            <v>拓展品</v>
          </cell>
          <cell r="J652">
            <v>9432</v>
          </cell>
        </row>
        <row r="652">
          <cell r="M652">
            <v>45830</v>
          </cell>
        </row>
        <row r="653">
          <cell r="A653">
            <v>9088</v>
          </cell>
        </row>
        <row r="653">
          <cell r="C653" t="str">
            <v>胡煜星</v>
          </cell>
          <cell r="D653" t="str">
            <v>玻璃</v>
          </cell>
        </row>
        <row r="653">
          <cell r="I653" t="str">
            <v>拓展品</v>
          </cell>
          <cell r="J653">
            <v>8765</v>
          </cell>
        </row>
        <row r="653">
          <cell r="M653">
            <v>45736</v>
          </cell>
        </row>
        <row r="654">
          <cell r="A654">
            <v>9089</v>
          </cell>
        </row>
        <row r="654">
          <cell r="C654" t="str">
            <v>胡煜星</v>
          </cell>
          <cell r="D654" t="str">
            <v>玻璃</v>
          </cell>
        </row>
        <row r="654">
          <cell r="I654" t="str">
            <v>拓展品</v>
          </cell>
          <cell r="J654">
            <v>8917</v>
          </cell>
        </row>
        <row r="654">
          <cell r="M654">
            <v>45788</v>
          </cell>
        </row>
        <row r="655">
          <cell r="A655">
            <v>8773</v>
          </cell>
        </row>
        <row r="655">
          <cell r="C655" t="str">
            <v>转二部</v>
          </cell>
          <cell r="D655" t="str">
            <v>玻璃</v>
          </cell>
        </row>
        <row r="655">
          <cell r="I655" t="str">
            <v>拓展品</v>
          </cell>
          <cell r="J655">
            <v>8918</v>
          </cell>
        </row>
        <row r="655">
          <cell r="M655">
            <v>45738</v>
          </cell>
        </row>
        <row r="656">
          <cell r="A656">
            <v>8774</v>
          </cell>
        </row>
        <row r="656">
          <cell r="C656" t="str">
            <v>转二部</v>
          </cell>
          <cell r="D656" t="str">
            <v>玻璃</v>
          </cell>
        </row>
        <row r="656">
          <cell r="I656" t="str">
            <v>拓展品</v>
          </cell>
          <cell r="J656">
            <v>8919</v>
          </cell>
        </row>
        <row r="656">
          <cell r="M656">
            <v>45749</v>
          </cell>
        </row>
        <row r="657">
          <cell r="A657">
            <v>9045</v>
          </cell>
        </row>
        <row r="657">
          <cell r="C657" t="str">
            <v>胡煜星</v>
          </cell>
          <cell r="D657" t="str">
            <v>玻璃</v>
          </cell>
        </row>
        <row r="657">
          <cell r="I657" t="str">
            <v>拓展品</v>
          </cell>
          <cell r="J657">
            <v>8920</v>
          </cell>
        </row>
        <row r="657">
          <cell r="M657">
            <v>45736</v>
          </cell>
        </row>
        <row r="658">
          <cell r="A658">
            <v>9046</v>
          </cell>
        </row>
        <row r="658">
          <cell r="C658" t="str">
            <v>胡煜星</v>
          </cell>
          <cell r="D658" t="str">
            <v>玻璃</v>
          </cell>
        </row>
        <row r="658">
          <cell r="I658" t="str">
            <v>拓展品</v>
          </cell>
          <cell r="J658">
            <v>8921</v>
          </cell>
        </row>
        <row r="658">
          <cell r="M658">
            <v>45796</v>
          </cell>
        </row>
        <row r="659">
          <cell r="A659">
            <v>9515</v>
          </cell>
        </row>
        <row r="659">
          <cell r="C659" t="str">
            <v>胡煜星</v>
          </cell>
          <cell r="D659" t="str">
            <v>玻璃</v>
          </cell>
        </row>
        <row r="659">
          <cell r="I659" t="str">
            <v>拓展品</v>
          </cell>
          <cell r="J659">
            <v>8922</v>
          </cell>
        </row>
        <row r="659">
          <cell r="M659">
            <v>45782</v>
          </cell>
        </row>
        <row r="660">
          <cell r="A660">
            <v>9516</v>
          </cell>
        </row>
        <row r="660">
          <cell r="C660" t="str">
            <v>胡煜星</v>
          </cell>
          <cell r="D660" t="str">
            <v>玻璃</v>
          </cell>
        </row>
        <row r="660">
          <cell r="I660" t="str">
            <v>拓展品</v>
          </cell>
          <cell r="J660">
            <v>8923</v>
          </cell>
        </row>
        <row r="660">
          <cell r="M660">
            <v>45842</v>
          </cell>
        </row>
        <row r="661">
          <cell r="A661">
            <v>8618</v>
          </cell>
        </row>
        <row r="661">
          <cell r="C661" t="str">
            <v>胡煜星</v>
          </cell>
          <cell r="D661" t="str">
            <v>玻璃</v>
          </cell>
        </row>
        <row r="661">
          <cell r="I661" t="str">
            <v>原开品</v>
          </cell>
          <cell r="J661">
            <v>8898</v>
          </cell>
        </row>
        <row r="661">
          <cell r="M661">
            <v>45746</v>
          </cell>
        </row>
        <row r="662">
          <cell r="A662">
            <v>8619</v>
          </cell>
        </row>
        <row r="662">
          <cell r="C662" t="str">
            <v>转二部</v>
          </cell>
          <cell r="D662" t="str">
            <v>玻璃</v>
          </cell>
        </row>
        <row r="662">
          <cell r="I662" t="str">
            <v>原开品</v>
          </cell>
          <cell r="J662">
            <v>9157</v>
          </cell>
        </row>
        <row r="662">
          <cell r="M662">
            <v>45745</v>
          </cell>
        </row>
        <row r="663">
          <cell r="A663">
            <v>9517</v>
          </cell>
        </row>
        <row r="663">
          <cell r="C663" t="str">
            <v>胡煜星</v>
          </cell>
          <cell r="D663" t="str">
            <v>玻璃</v>
          </cell>
        </row>
        <row r="663">
          <cell r="I663" t="str">
            <v>拓展品</v>
          </cell>
          <cell r="J663">
            <v>9063</v>
          </cell>
        </row>
        <row r="663">
          <cell r="M663">
            <v>45746</v>
          </cell>
        </row>
        <row r="664">
          <cell r="A664">
            <v>9518</v>
          </cell>
        </row>
        <row r="664">
          <cell r="C664" t="str">
            <v>胡煜星</v>
          </cell>
          <cell r="D664" t="str">
            <v>玻璃</v>
          </cell>
        </row>
        <row r="664">
          <cell r="I664" t="str">
            <v>原开品</v>
          </cell>
          <cell r="J664">
            <v>9139</v>
          </cell>
        </row>
        <row r="664">
          <cell r="M664">
            <v>45757</v>
          </cell>
        </row>
        <row r="665">
          <cell r="A665">
            <v>8775</v>
          </cell>
        </row>
        <row r="665">
          <cell r="C665" t="str">
            <v>胡煜星</v>
          </cell>
          <cell r="D665" t="str">
            <v>玻璃</v>
          </cell>
        </row>
        <row r="665">
          <cell r="I665" t="str">
            <v>原开品</v>
          </cell>
          <cell r="J665">
            <v>9140</v>
          </cell>
        </row>
        <row r="665">
          <cell r="M665">
            <v>45738</v>
          </cell>
        </row>
        <row r="666">
          <cell r="A666">
            <v>8776</v>
          </cell>
        </row>
        <row r="666">
          <cell r="C666" t="str">
            <v>转二部</v>
          </cell>
          <cell r="D666" t="str">
            <v>玻璃</v>
          </cell>
        </row>
        <row r="666">
          <cell r="I666" t="str">
            <v>拓展品</v>
          </cell>
          <cell r="J666">
            <v>8991</v>
          </cell>
        </row>
        <row r="666">
          <cell r="M666">
            <v>45754</v>
          </cell>
        </row>
        <row r="667">
          <cell r="A667">
            <v>9282</v>
          </cell>
        </row>
        <row r="667">
          <cell r="C667" t="str">
            <v>胡煜星</v>
          </cell>
          <cell r="D667" t="str">
            <v>玻璃</v>
          </cell>
        </row>
        <row r="667">
          <cell r="I667" t="str">
            <v>原开品</v>
          </cell>
          <cell r="J667">
            <v>8939</v>
          </cell>
        </row>
        <row r="667">
          <cell r="M667">
            <v>45755</v>
          </cell>
        </row>
        <row r="668">
          <cell r="A668">
            <v>9311</v>
          </cell>
        </row>
        <row r="668">
          <cell r="C668" t="str">
            <v>胡煜星</v>
          </cell>
          <cell r="D668" t="str">
            <v>玻璃</v>
          </cell>
        </row>
        <row r="668">
          <cell r="I668" t="str">
            <v>原开品</v>
          </cell>
          <cell r="J668">
            <v>8938</v>
          </cell>
        </row>
        <row r="668">
          <cell r="M668">
            <v>45744</v>
          </cell>
        </row>
        <row r="669">
          <cell r="A669">
            <v>8620</v>
          </cell>
        </row>
        <row r="669">
          <cell r="C669" t="str">
            <v>胡煜星</v>
          </cell>
          <cell r="D669" t="str">
            <v>玻璃</v>
          </cell>
        </row>
        <row r="669">
          <cell r="I669" t="str">
            <v>拓展品</v>
          </cell>
          <cell r="J669">
            <v>9064</v>
          </cell>
        </row>
        <row r="669">
          <cell r="M669">
            <v>45738</v>
          </cell>
        </row>
        <row r="670">
          <cell r="A670">
            <v>8621</v>
          </cell>
        </row>
        <row r="670">
          <cell r="C670" t="str">
            <v>胡煜星</v>
          </cell>
          <cell r="D670" t="str">
            <v>玻璃</v>
          </cell>
        </row>
        <row r="670">
          <cell r="I670" t="str">
            <v>原开品</v>
          </cell>
          <cell r="J670">
            <v>9065</v>
          </cell>
        </row>
        <row r="670">
          <cell r="M670">
            <v>45738</v>
          </cell>
        </row>
        <row r="671">
          <cell r="A671">
            <v>8999</v>
          </cell>
        </row>
        <row r="671">
          <cell r="C671" t="str">
            <v>胡煜星</v>
          </cell>
          <cell r="D671" t="str">
            <v>玻璃</v>
          </cell>
        </row>
        <row r="671">
          <cell r="I671" t="str">
            <v>原开品</v>
          </cell>
          <cell r="J671">
            <v>9066</v>
          </cell>
        </row>
        <row r="671">
          <cell r="M671">
            <v>45738</v>
          </cell>
        </row>
        <row r="672">
          <cell r="A672">
            <v>9000</v>
          </cell>
        </row>
        <row r="672">
          <cell r="C672" t="str">
            <v>转二部</v>
          </cell>
          <cell r="D672" t="str">
            <v>玻璃</v>
          </cell>
        </row>
        <row r="672">
          <cell r="I672" t="str">
            <v>拓展品</v>
          </cell>
          <cell r="J672">
            <v>9117</v>
          </cell>
        </row>
        <row r="672">
          <cell r="M672">
            <v>45738</v>
          </cell>
        </row>
        <row r="673">
          <cell r="A673">
            <v>9771</v>
          </cell>
        </row>
        <row r="673">
          <cell r="C673" t="str">
            <v>胡煜星</v>
          </cell>
          <cell r="D673" t="str">
            <v>玻璃</v>
          </cell>
        </row>
        <row r="673">
          <cell r="I673" t="str">
            <v>拓展品</v>
          </cell>
          <cell r="J673">
            <v>9067</v>
          </cell>
        </row>
        <row r="673">
          <cell r="M673">
            <v>45739</v>
          </cell>
        </row>
        <row r="674">
          <cell r="A674">
            <v>9805</v>
          </cell>
        </row>
        <row r="674">
          <cell r="C674" t="str">
            <v>胡煜星</v>
          </cell>
          <cell r="D674" t="str">
            <v>玻璃</v>
          </cell>
        </row>
        <row r="674">
          <cell r="I674" t="str">
            <v>拓展品</v>
          </cell>
          <cell r="J674">
            <v>9068</v>
          </cell>
        </row>
        <row r="674">
          <cell r="M674">
            <v>45742</v>
          </cell>
        </row>
        <row r="675">
          <cell r="A675">
            <v>9048</v>
          </cell>
        </row>
        <row r="675">
          <cell r="C675" t="str">
            <v>转二部</v>
          </cell>
          <cell r="D675" t="str">
            <v>玻璃</v>
          </cell>
        </row>
        <row r="675">
          <cell r="I675" t="str">
            <v>拓展品</v>
          </cell>
          <cell r="J675">
            <v>9040</v>
          </cell>
        </row>
        <row r="675">
          <cell r="M675">
            <v>45785</v>
          </cell>
        </row>
        <row r="676">
          <cell r="A676">
            <v>8622</v>
          </cell>
        </row>
        <row r="676">
          <cell r="C676" t="str">
            <v>胡煜星</v>
          </cell>
          <cell r="D676" t="str">
            <v>玻璃</v>
          </cell>
        </row>
        <row r="676">
          <cell r="I676" t="str">
            <v>拓展品</v>
          </cell>
          <cell r="J676">
            <v>9200</v>
          </cell>
        </row>
        <row r="676">
          <cell r="M676">
            <v>45782</v>
          </cell>
        </row>
        <row r="677">
          <cell r="A677">
            <v>8623</v>
          </cell>
        </row>
        <row r="677">
          <cell r="C677" t="str">
            <v>转二部</v>
          </cell>
          <cell r="D677" t="str">
            <v>玻璃</v>
          </cell>
        </row>
        <row r="677">
          <cell r="I677" t="str">
            <v>原开品</v>
          </cell>
          <cell r="J677">
            <v>9165</v>
          </cell>
        </row>
        <row r="677">
          <cell r="M677">
            <v>45760</v>
          </cell>
        </row>
        <row r="678">
          <cell r="A678">
            <v>9049</v>
          </cell>
        </row>
        <row r="678">
          <cell r="C678" t="str">
            <v>胡煜星</v>
          </cell>
          <cell r="D678" t="str">
            <v>玻璃</v>
          </cell>
        </row>
        <row r="678">
          <cell r="I678" t="str">
            <v>原开品</v>
          </cell>
          <cell r="J678">
            <v>9166</v>
          </cell>
        </row>
        <row r="678">
          <cell r="M678">
            <v>45754</v>
          </cell>
        </row>
        <row r="679">
          <cell r="A679">
            <v>9289</v>
          </cell>
        </row>
        <row r="679">
          <cell r="C679" t="str">
            <v>胡煜星</v>
          </cell>
          <cell r="D679" t="str">
            <v>玻璃</v>
          </cell>
        </row>
        <row r="679">
          <cell r="I679" t="str">
            <v>原开品</v>
          </cell>
          <cell r="J679">
            <v>9045</v>
          </cell>
        </row>
        <row r="679">
          <cell r="M679">
            <v>45760</v>
          </cell>
        </row>
        <row r="680">
          <cell r="A680">
            <v>9290</v>
          </cell>
        </row>
        <row r="680">
          <cell r="C680" t="str">
            <v>胡煜星</v>
          </cell>
          <cell r="D680" t="str">
            <v>玻璃</v>
          </cell>
        </row>
        <row r="680">
          <cell r="I680" t="str">
            <v>原开品</v>
          </cell>
          <cell r="J680">
            <v>9046</v>
          </cell>
        </row>
        <row r="680">
          <cell r="M680">
            <v>45760</v>
          </cell>
        </row>
        <row r="681">
          <cell r="A681">
            <v>9291</v>
          </cell>
        </row>
        <row r="681">
          <cell r="C681" t="str">
            <v>转二部</v>
          </cell>
          <cell r="D681" t="str">
            <v>玻璃</v>
          </cell>
        </row>
        <row r="681">
          <cell r="I681">
            <v>0</v>
          </cell>
          <cell r="J681">
            <v>5725</v>
          </cell>
        </row>
        <row r="681">
          <cell r="M681">
            <v>46024</v>
          </cell>
        </row>
        <row r="682">
          <cell r="A682">
            <v>8550</v>
          </cell>
        </row>
        <row r="682">
          <cell r="C682" t="str">
            <v>胡煜星</v>
          </cell>
          <cell r="D682" t="str">
            <v>玻璃</v>
          </cell>
        </row>
        <row r="682">
          <cell r="I682" t="str">
            <v>原开品</v>
          </cell>
          <cell r="J682">
            <v>9156</v>
          </cell>
        </row>
        <row r="682">
          <cell r="M682">
            <v>45762</v>
          </cell>
        </row>
        <row r="683">
          <cell r="A683">
            <v>8551</v>
          </cell>
        </row>
        <row r="683">
          <cell r="C683" t="str">
            <v>胡煜星</v>
          </cell>
          <cell r="D683" t="str">
            <v>玻璃</v>
          </cell>
        </row>
        <row r="683">
          <cell r="I683" t="str">
            <v>拓展品</v>
          </cell>
          <cell r="J683">
            <v>8906</v>
          </cell>
        </row>
        <row r="683">
          <cell r="M683">
            <v>45776</v>
          </cell>
        </row>
        <row r="684">
          <cell r="A684">
            <v>9626</v>
          </cell>
        </row>
        <row r="684">
          <cell r="C684" t="str">
            <v>胡煜星</v>
          </cell>
          <cell r="D684" t="str">
            <v>玻璃</v>
          </cell>
        </row>
        <row r="684">
          <cell r="I684" t="str">
            <v>拓展品</v>
          </cell>
          <cell r="J684">
            <v>8909</v>
          </cell>
        </row>
        <row r="684">
          <cell r="M684">
            <v>45796</v>
          </cell>
        </row>
        <row r="685">
          <cell r="A685">
            <v>9816</v>
          </cell>
        </row>
        <row r="685">
          <cell r="C685" t="str">
            <v>转二部</v>
          </cell>
          <cell r="D685" t="str">
            <v>玻璃</v>
          </cell>
        </row>
        <row r="685">
          <cell r="I685" t="str">
            <v>原开品</v>
          </cell>
          <cell r="J685">
            <v>9258</v>
          </cell>
        </row>
        <row r="685">
          <cell r="M685">
            <v>45760</v>
          </cell>
        </row>
        <row r="686">
          <cell r="A686">
            <v>9904</v>
          </cell>
        </row>
        <row r="686">
          <cell r="C686" t="str">
            <v>胡煜星</v>
          </cell>
          <cell r="D686" t="str">
            <v>玻璃</v>
          </cell>
        </row>
        <row r="686">
          <cell r="I686" t="str">
            <v>拓展品</v>
          </cell>
          <cell r="J686">
            <v>9171</v>
          </cell>
        </row>
        <row r="686">
          <cell r="M686">
            <v>45783</v>
          </cell>
        </row>
        <row r="687">
          <cell r="A687">
            <v>8779</v>
          </cell>
        </row>
        <row r="687">
          <cell r="C687" t="str">
            <v>转二部</v>
          </cell>
          <cell r="D687" t="str">
            <v>玻璃</v>
          </cell>
        </row>
        <row r="687">
          <cell r="I687" t="str">
            <v>原开品</v>
          </cell>
          <cell r="J687">
            <v>9159</v>
          </cell>
        </row>
        <row r="687">
          <cell r="M687">
            <v>45763</v>
          </cell>
        </row>
        <row r="688">
          <cell r="A688">
            <v>8780</v>
          </cell>
        </row>
        <row r="688">
          <cell r="C688" t="str">
            <v>胡煜星</v>
          </cell>
          <cell r="D688" t="str">
            <v>玻璃</v>
          </cell>
        </row>
        <row r="688">
          <cell r="I688" t="str">
            <v>原开品</v>
          </cell>
          <cell r="J688">
            <v>9160</v>
          </cell>
        </row>
        <row r="688">
          <cell r="M688">
            <v>45759</v>
          </cell>
        </row>
        <row r="689">
          <cell r="A689">
            <v>8728</v>
          </cell>
        </row>
        <row r="689">
          <cell r="C689" t="str">
            <v>胡煜星</v>
          </cell>
          <cell r="D689" t="str">
            <v>玻璃</v>
          </cell>
        </row>
        <row r="689">
          <cell r="I689" t="str">
            <v>拓展品</v>
          </cell>
          <cell r="J689">
            <v>9116</v>
          </cell>
        </row>
        <row r="689">
          <cell r="M689">
            <v>45763</v>
          </cell>
        </row>
        <row r="690">
          <cell r="A690">
            <v>8810</v>
          </cell>
        </row>
        <row r="690">
          <cell r="C690" t="str">
            <v>胡煜星</v>
          </cell>
          <cell r="D690" t="str">
            <v>玻璃</v>
          </cell>
        </row>
        <row r="690">
          <cell r="I690" t="str">
            <v>拓展品</v>
          </cell>
          <cell r="J690">
            <v>9284</v>
          </cell>
        </row>
        <row r="690">
          <cell r="M690">
            <v>45760</v>
          </cell>
        </row>
        <row r="691">
          <cell r="A691">
            <v>10349</v>
          </cell>
        </row>
        <row r="691">
          <cell r="C691" t="str">
            <v>胡煜星</v>
          </cell>
          <cell r="D691" t="str">
            <v>玻璃</v>
          </cell>
        </row>
        <row r="691">
          <cell r="I691" t="str">
            <v>原开品</v>
          </cell>
          <cell r="J691">
            <v>9285</v>
          </cell>
        </row>
        <row r="691">
          <cell r="M691">
            <v>45760</v>
          </cell>
        </row>
        <row r="692">
          <cell r="A692">
            <v>8552</v>
          </cell>
        </row>
        <row r="692">
          <cell r="C692" t="str">
            <v>胡煜星</v>
          </cell>
          <cell r="D692" t="str">
            <v>玻璃</v>
          </cell>
        </row>
        <row r="692">
          <cell r="I692" t="str">
            <v>原开品</v>
          </cell>
          <cell r="J692">
            <v>9286</v>
          </cell>
        </row>
        <row r="692">
          <cell r="M692">
            <v>45760</v>
          </cell>
        </row>
        <row r="693">
          <cell r="A693">
            <v>8553</v>
          </cell>
        </row>
        <row r="693">
          <cell r="C693" t="str">
            <v>胡煜星</v>
          </cell>
          <cell r="D693" t="str">
            <v>玻璃</v>
          </cell>
        </row>
        <row r="693">
          <cell r="I693" t="str">
            <v>原开品</v>
          </cell>
          <cell r="J693">
            <v>9112</v>
          </cell>
        </row>
        <row r="693">
          <cell r="M693">
            <v>45769</v>
          </cell>
        </row>
        <row r="694">
          <cell r="A694">
            <v>8624</v>
          </cell>
        </row>
        <row r="694">
          <cell r="C694" t="str">
            <v>胡煜星</v>
          </cell>
          <cell r="D694" t="str">
            <v>玻璃</v>
          </cell>
        </row>
        <row r="694">
          <cell r="I694" t="str">
            <v>原开品</v>
          </cell>
          <cell r="J694">
            <v>9113</v>
          </cell>
        </row>
        <row r="694">
          <cell r="M694">
            <v>45763</v>
          </cell>
        </row>
        <row r="695">
          <cell r="A695">
            <v>8625</v>
          </cell>
        </row>
        <row r="695">
          <cell r="C695" t="str">
            <v>胡煜星</v>
          </cell>
          <cell r="D695" t="str">
            <v>玻璃</v>
          </cell>
        </row>
        <row r="695">
          <cell r="I695" t="str">
            <v>原开品</v>
          </cell>
          <cell r="J695">
            <v>9114</v>
          </cell>
        </row>
        <row r="695">
          <cell r="M695">
            <v>45766</v>
          </cell>
        </row>
        <row r="696">
          <cell r="A696">
            <v>9912</v>
          </cell>
        </row>
        <row r="696">
          <cell r="C696" t="str">
            <v>胡煜星</v>
          </cell>
          <cell r="D696" t="str">
            <v>玻璃</v>
          </cell>
        </row>
        <row r="696">
          <cell r="I696" t="str">
            <v>原开品</v>
          </cell>
          <cell r="J696">
            <v>9115</v>
          </cell>
        </row>
        <row r="696">
          <cell r="M696">
            <v>45768</v>
          </cell>
        </row>
        <row r="697">
          <cell r="A697">
            <v>9981</v>
          </cell>
        </row>
        <row r="697">
          <cell r="C697" t="str">
            <v>胡煜星</v>
          </cell>
          <cell r="D697" t="str">
            <v>玻璃</v>
          </cell>
        </row>
        <row r="697">
          <cell r="I697" t="str">
            <v>原开品</v>
          </cell>
          <cell r="J697">
            <v>9172</v>
          </cell>
        </row>
        <row r="697">
          <cell r="M697">
            <v>45775</v>
          </cell>
        </row>
        <row r="698">
          <cell r="A698">
            <v>8781</v>
          </cell>
        </row>
        <row r="698">
          <cell r="C698" t="str">
            <v>胡煜星</v>
          </cell>
          <cell r="D698" t="str">
            <v>玻璃</v>
          </cell>
        </row>
        <row r="698">
          <cell r="I698" t="str">
            <v>原开品</v>
          </cell>
          <cell r="J698">
            <v>9173</v>
          </cell>
        </row>
        <row r="698">
          <cell r="M698">
            <v>45768</v>
          </cell>
        </row>
        <row r="699">
          <cell r="A699">
            <v>8783</v>
          </cell>
        </row>
        <row r="699">
          <cell r="C699" t="str">
            <v>胡煜星</v>
          </cell>
          <cell r="D699" t="str">
            <v>玻璃</v>
          </cell>
        </row>
        <row r="699">
          <cell r="I699" t="str">
            <v>原开品</v>
          </cell>
          <cell r="J699">
            <v>9287</v>
          </cell>
        </row>
        <row r="699">
          <cell r="M699">
            <v>45778</v>
          </cell>
        </row>
        <row r="700">
          <cell r="A700">
            <v>9938</v>
          </cell>
        </row>
        <row r="700">
          <cell r="C700" t="str">
            <v>胡煜星</v>
          </cell>
          <cell r="D700" t="str">
            <v>玻璃</v>
          </cell>
        </row>
        <row r="700">
          <cell r="I700" t="str">
            <v>原开品</v>
          </cell>
          <cell r="J700">
            <v>9288</v>
          </cell>
        </row>
        <row r="700">
          <cell r="M700">
            <v>45776</v>
          </cell>
        </row>
        <row r="701">
          <cell r="A701">
            <v>8699</v>
          </cell>
        </row>
        <row r="701">
          <cell r="C701" t="str">
            <v>胡煜星</v>
          </cell>
          <cell r="D701" t="str">
            <v>玻璃</v>
          </cell>
        </row>
        <row r="701">
          <cell r="I701" t="str">
            <v>原开品</v>
          </cell>
          <cell r="J701">
            <v>9282</v>
          </cell>
        </row>
        <row r="701">
          <cell r="M701">
            <v>45765</v>
          </cell>
        </row>
        <row r="702">
          <cell r="A702">
            <v>9627</v>
          </cell>
        </row>
        <row r="702">
          <cell r="C702" t="str">
            <v>胡煜星</v>
          </cell>
          <cell r="D702" t="str">
            <v>玻璃</v>
          </cell>
        </row>
        <row r="702">
          <cell r="I702" t="str">
            <v>原开品</v>
          </cell>
          <cell r="J702">
            <v>9311</v>
          </cell>
        </row>
        <row r="702">
          <cell r="M702">
            <v>45771</v>
          </cell>
        </row>
        <row r="703">
          <cell r="A703">
            <v>9860</v>
          </cell>
        </row>
        <row r="703">
          <cell r="C703" t="str">
            <v>胡煜星</v>
          </cell>
          <cell r="D703" t="str">
            <v>玻璃</v>
          </cell>
        </row>
        <row r="703">
          <cell r="I703" t="str">
            <v>原开品</v>
          </cell>
          <cell r="J703">
            <v>9291</v>
          </cell>
        </row>
        <row r="703">
          <cell r="M703">
            <v>45772</v>
          </cell>
        </row>
        <row r="704">
          <cell r="A704">
            <v>9939</v>
          </cell>
        </row>
        <row r="704">
          <cell r="C704" t="str">
            <v>转二部</v>
          </cell>
          <cell r="D704" t="str">
            <v>玻璃</v>
          </cell>
        </row>
        <row r="704">
          <cell r="I704" t="str">
            <v>原开品</v>
          </cell>
          <cell r="J704">
            <v>9292</v>
          </cell>
        </row>
        <row r="704">
          <cell r="M704">
            <v>45824</v>
          </cell>
        </row>
        <row r="705">
          <cell r="A705">
            <v>542</v>
          </cell>
        </row>
        <row r="705">
          <cell r="C705" t="str">
            <v>俞东旭</v>
          </cell>
          <cell r="D705" t="str">
            <v>车门系统</v>
          </cell>
        </row>
        <row r="705">
          <cell r="I705" t="str">
            <v>拓展品</v>
          </cell>
          <cell r="J705">
            <v>9235</v>
          </cell>
        </row>
        <row r="705">
          <cell r="M705">
            <v>45789</v>
          </cell>
        </row>
        <row r="706">
          <cell r="A706">
            <v>6763</v>
          </cell>
        </row>
        <row r="706">
          <cell r="C706" t="str">
            <v>朱培源</v>
          </cell>
          <cell r="D706" t="str">
            <v>挡泥板</v>
          </cell>
        </row>
        <row r="706">
          <cell r="I706" t="str">
            <v>原开品</v>
          </cell>
          <cell r="J706">
            <v>9228</v>
          </cell>
        </row>
        <row r="706">
          <cell r="M706">
            <v>45766</v>
          </cell>
        </row>
        <row r="707">
          <cell r="A707">
            <v>8989</v>
          </cell>
        </row>
        <row r="707">
          <cell r="C707" t="str">
            <v>章鹏</v>
          </cell>
          <cell r="D707" t="str">
            <v>挡泥板</v>
          </cell>
        </row>
        <row r="707">
          <cell r="I707" t="str">
            <v>拓展品</v>
          </cell>
          <cell r="J707">
            <v>9237</v>
          </cell>
        </row>
        <row r="707">
          <cell r="M707">
            <v>45813</v>
          </cell>
        </row>
        <row r="708">
          <cell r="A708">
            <v>9493</v>
          </cell>
        </row>
        <row r="708">
          <cell r="C708" t="str">
            <v>转二部</v>
          </cell>
          <cell r="D708" t="str">
            <v>挡泥板</v>
          </cell>
        </row>
        <row r="708">
          <cell r="I708" t="str">
            <v>原开品</v>
          </cell>
          <cell r="J708">
            <v>9008</v>
          </cell>
        </row>
        <row r="708">
          <cell r="M708">
            <v>45766</v>
          </cell>
        </row>
        <row r="709">
          <cell r="A709">
            <v>9646</v>
          </cell>
        </row>
        <row r="709">
          <cell r="C709" t="str">
            <v>章鹏</v>
          </cell>
          <cell r="D709" t="str">
            <v>挡泥板</v>
          </cell>
        </row>
        <row r="709">
          <cell r="I709" t="str">
            <v>原开品</v>
          </cell>
          <cell r="J709">
            <v>9061</v>
          </cell>
        </row>
        <row r="709">
          <cell r="M709">
            <v>45765</v>
          </cell>
        </row>
        <row r="710">
          <cell r="A710">
            <v>9647</v>
          </cell>
        </row>
        <row r="710">
          <cell r="C710" t="str">
            <v>章鹏</v>
          </cell>
          <cell r="D710" t="str">
            <v>挡泥板</v>
          </cell>
        </row>
        <row r="710">
          <cell r="I710" t="str">
            <v>原开品</v>
          </cell>
          <cell r="J710">
            <v>9035</v>
          </cell>
        </row>
        <row r="710">
          <cell r="M710">
            <v>45766</v>
          </cell>
        </row>
        <row r="711">
          <cell r="A711">
            <v>8754</v>
          </cell>
        </row>
        <row r="711">
          <cell r="C711" t="str">
            <v>章鹏</v>
          </cell>
          <cell r="D711" t="str">
            <v>挡泥板</v>
          </cell>
        </row>
        <row r="711">
          <cell r="I711" t="str">
            <v>原开品</v>
          </cell>
          <cell r="J711">
            <v>8986</v>
          </cell>
        </row>
        <row r="711">
          <cell r="M711">
            <v>45784</v>
          </cell>
        </row>
        <row r="712">
          <cell r="A712">
            <v>9040</v>
          </cell>
        </row>
        <row r="712">
          <cell r="C712" t="str">
            <v>章鹏</v>
          </cell>
          <cell r="D712" t="str">
            <v>挡泥板</v>
          </cell>
        </row>
        <row r="712">
          <cell r="I712" t="str">
            <v>原开品</v>
          </cell>
          <cell r="J712">
            <v>9088</v>
          </cell>
        </row>
        <row r="712">
          <cell r="M712">
            <v>45772</v>
          </cell>
        </row>
        <row r="713">
          <cell r="A713">
            <v>2763</v>
          </cell>
        </row>
        <row r="713">
          <cell r="C713" t="str">
            <v>俞东旭</v>
          </cell>
          <cell r="D713" t="str">
            <v>车身外扩件</v>
          </cell>
        </row>
        <row r="713">
          <cell r="I713" t="str">
            <v>原开品</v>
          </cell>
          <cell r="J713">
            <v>9089</v>
          </cell>
        </row>
        <row r="713">
          <cell r="M713">
            <v>45764</v>
          </cell>
        </row>
        <row r="714">
          <cell r="A714">
            <v>2764</v>
          </cell>
        </row>
        <row r="714">
          <cell r="C714" t="str">
            <v>俞东旭</v>
          </cell>
          <cell r="D714" t="str">
            <v>车身外扩件</v>
          </cell>
        </row>
        <row r="714">
          <cell r="I714" t="str">
            <v>拓展品</v>
          </cell>
          <cell r="J714">
            <v>9834</v>
          </cell>
        </row>
        <row r="714">
          <cell r="M714">
            <v>45770</v>
          </cell>
        </row>
        <row r="715">
          <cell r="A715">
            <v>2798</v>
          </cell>
        </row>
        <row r="715">
          <cell r="C715" t="str">
            <v>俞东旭</v>
          </cell>
          <cell r="D715" t="str">
            <v>车身外扩件</v>
          </cell>
        </row>
        <row r="715">
          <cell r="I715" t="str">
            <v>原开品</v>
          </cell>
          <cell r="J715">
            <v>9048</v>
          </cell>
        </row>
        <row r="715">
          <cell r="M715">
            <v>45811</v>
          </cell>
        </row>
        <row r="716">
          <cell r="A716">
            <v>2772</v>
          </cell>
        </row>
        <row r="716">
          <cell r="C716" t="str">
            <v>俞东旭</v>
          </cell>
          <cell r="D716" t="str">
            <v>车身外扩件</v>
          </cell>
        </row>
        <row r="716">
          <cell r="I716" t="str">
            <v>拓展品</v>
          </cell>
          <cell r="J716">
            <v>9833</v>
          </cell>
        </row>
        <row r="717">
          <cell r="A717">
            <v>2893</v>
          </cell>
        </row>
        <row r="717">
          <cell r="C717" t="str">
            <v>俞东旭</v>
          </cell>
          <cell r="D717" t="str">
            <v>车身外扩件</v>
          </cell>
        </row>
        <row r="717">
          <cell r="I717" t="str">
            <v>原开品</v>
          </cell>
          <cell r="J717">
            <v>9049</v>
          </cell>
        </row>
        <row r="717">
          <cell r="M717">
            <v>45771</v>
          </cell>
        </row>
        <row r="718">
          <cell r="A718">
            <v>9803</v>
          </cell>
        </row>
        <row r="718">
          <cell r="C718" t="str">
            <v>章鹏</v>
          </cell>
          <cell r="D718" t="str">
            <v>挡泥板</v>
          </cell>
        </row>
        <row r="718">
          <cell r="I718" t="str">
            <v>原开品</v>
          </cell>
          <cell r="J718">
            <v>9050</v>
          </cell>
        </row>
        <row r="718">
          <cell r="M718">
            <v>45768</v>
          </cell>
        </row>
        <row r="719">
          <cell r="A719">
            <v>9494</v>
          </cell>
        </row>
        <row r="719">
          <cell r="C719" t="str">
            <v>章鹏</v>
          </cell>
          <cell r="D719" t="str">
            <v>挡泥板</v>
          </cell>
        </row>
        <row r="719">
          <cell r="I719" t="str">
            <v>拓展品</v>
          </cell>
          <cell r="J719">
            <v>9834</v>
          </cell>
        </row>
        <row r="719">
          <cell r="M719">
            <v>45825</v>
          </cell>
        </row>
        <row r="720">
          <cell r="A720">
            <v>9561</v>
          </cell>
        </row>
        <row r="720">
          <cell r="C720" t="str">
            <v>章鹏</v>
          </cell>
          <cell r="D720" t="str">
            <v>挡泥板</v>
          </cell>
        </row>
        <row r="720">
          <cell r="I720" t="str">
            <v>拓展品</v>
          </cell>
          <cell r="J720">
            <v>9533</v>
          </cell>
        </row>
        <row r="720">
          <cell r="M720">
            <v>45779</v>
          </cell>
        </row>
        <row r="721">
          <cell r="A721">
            <v>9539</v>
          </cell>
        </row>
        <row r="721">
          <cell r="C721" t="str">
            <v>章鹏</v>
          </cell>
          <cell r="D721" t="str">
            <v>挡泥板</v>
          </cell>
        </row>
        <row r="721">
          <cell r="I721" t="str">
            <v>原开品</v>
          </cell>
          <cell r="J721">
            <v>8899</v>
          </cell>
        </row>
        <row r="721">
          <cell r="M721">
            <v>45784</v>
          </cell>
        </row>
        <row r="722">
          <cell r="A722">
            <v>9694</v>
          </cell>
        </row>
        <row r="722">
          <cell r="C722" t="str">
            <v>章鹏</v>
          </cell>
          <cell r="D722" t="str">
            <v>挡泥板</v>
          </cell>
        </row>
        <row r="722">
          <cell r="I722" t="str">
            <v>拓展品</v>
          </cell>
          <cell r="J722">
            <v>8907</v>
          </cell>
        </row>
        <row r="722">
          <cell r="M722">
            <v>45777</v>
          </cell>
        </row>
        <row r="723">
          <cell r="A723">
            <v>9695</v>
          </cell>
        </row>
        <row r="723">
          <cell r="C723" t="str">
            <v>章鹏</v>
          </cell>
          <cell r="D723" t="str">
            <v>挡泥板</v>
          </cell>
        </row>
        <row r="723">
          <cell r="I723" t="str">
            <v>拓展品</v>
          </cell>
          <cell r="J723">
            <v>8908</v>
          </cell>
        </row>
        <row r="723">
          <cell r="M723">
            <v>45888</v>
          </cell>
        </row>
        <row r="724">
          <cell r="A724">
            <v>10012</v>
          </cell>
        </row>
        <row r="724">
          <cell r="C724" t="str">
            <v>俞东旭</v>
          </cell>
          <cell r="D724" t="str">
            <v>车门系统</v>
          </cell>
        </row>
        <row r="724">
          <cell r="I724" t="str">
            <v>拓展品</v>
          </cell>
          <cell r="J724">
            <v>8910</v>
          </cell>
        </row>
        <row r="724">
          <cell r="M724">
            <v>45789</v>
          </cell>
        </row>
        <row r="725">
          <cell r="A725">
            <v>9696</v>
          </cell>
        </row>
        <row r="725">
          <cell r="C725" t="str">
            <v>章鹏</v>
          </cell>
          <cell r="D725" t="str">
            <v>挡泥板</v>
          </cell>
        </row>
        <row r="725">
          <cell r="I725" t="str">
            <v>原开品</v>
          </cell>
          <cell r="J725">
            <v>9339</v>
          </cell>
        </row>
        <row r="725">
          <cell r="M725">
            <v>45777</v>
          </cell>
        </row>
        <row r="726">
          <cell r="A726">
            <v>9953</v>
          </cell>
        </row>
        <row r="726">
          <cell r="C726" t="str">
            <v>朱培源</v>
          </cell>
          <cell r="D726" t="str">
            <v>机盖及附件</v>
          </cell>
        </row>
        <row r="726">
          <cell r="I726" t="str">
            <v>拓展品</v>
          </cell>
          <cell r="J726">
            <v>9389</v>
          </cell>
        </row>
        <row r="726">
          <cell r="M726">
            <v>45772</v>
          </cell>
        </row>
        <row r="727">
          <cell r="A727">
            <v>10008</v>
          </cell>
        </row>
        <row r="727">
          <cell r="C727" t="str">
            <v>王偲涵</v>
          </cell>
          <cell r="D727" t="str">
            <v>饰条</v>
          </cell>
        </row>
        <row r="727">
          <cell r="I727" t="str">
            <v>原开品</v>
          </cell>
          <cell r="J727">
            <v>9390</v>
          </cell>
        </row>
        <row r="727">
          <cell r="M727">
            <v>45772</v>
          </cell>
        </row>
        <row r="728">
          <cell r="A728">
            <v>10009</v>
          </cell>
        </row>
        <row r="728">
          <cell r="C728" t="str">
            <v>王偲涵</v>
          </cell>
          <cell r="D728" t="str">
            <v>饰条</v>
          </cell>
        </row>
        <row r="728">
          <cell r="I728" t="str">
            <v>拓展品</v>
          </cell>
          <cell r="J728">
            <v>9362</v>
          </cell>
        </row>
        <row r="728">
          <cell r="M728">
            <v>45772</v>
          </cell>
        </row>
        <row r="729">
          <cell r="A729">
            <v>10858</v>
          </cell>
        </row>
        <row r="729">
          <cell r="C729" t="str">
            <v>朱培源</v>
          </cell>
          <cell r="D729" t="str">
            <v>机盖及附件</v>
          </cell>
        </row>
        <row r="729">
          <cell r="I729" t="str">
            <v>原开品</v>
          </cell>
          <cell r="J729">
            <v>9363</v>
          </cell>
        </row>
        <row r="729">
          <cell r="M729">
            <v>45806</v>
          </cell>
        </row>
        <row r="730">
          <cell r="A730">
            <v>10010</v>
          </cell>
        </row>
        <row r="730">
          <cell r="C730" t="str">
            <v>王偲涵</v>
          </cell>
          <cell r="D730" t="str">
            <v>饰条</v>
          </cell>
        </row>
        <row r="730">
          <cell r="I730" t="str">
            <v>原开品</v>
          </cell>
          <cell r="J730">
            <v>9364</v>
          </cell>
        </row>
        <row r="730">
          <cell r="M730">
            <v>45774</v>
          </cell>
        </row>
        <row r="731">
          <cell r="A731">
            <v>10095</v>
          </cell>
        </row>
        <row r="731">
          <cell r="C731" t="str">
            <v>转二部</v>
          </cell>
          <cell r="D731" t="str">
            <v>玻璃</v>
          </cell>
        </row>
        <row r="731">
          <cell r="I731" t="str">
            <v>拓展品</v>
          </cell>
          <cell r="J731">
            <v>9302</v>
          </cell>
        </row>
        <row r="731">
          <cell r="M731">
            <v>45776</v>
          </cell>
        </row>
        <row r="732">
          <cell r="A732">
            <v>10096</v>
          </cell>
        </row>
        <row r="732">
          <cell r="C732" t="str">
            <v>转二部</v>
          </cell>
          <cell r="D732" t="str">
            <v>玻璃</v>
          </cell>
        </row>
        <row r="732">
          <cell r="I732" t="str">
            <v>拓展品</v>
          </cell>
          <cell r="J732">
            <v>9305</v>
          </cell>
        </row>
        <row r="732">
          <cell r="M732">
            <v>45772</v>
          </cell>
        </row>
        <row r="733">
          <cell r="A733">
            <v>9037</v>
          </cell>
        </row>
        <row r="733">
          <cell r="C733" t="str">
            <v>章鹏</v>
          </cell>
          <cell r="D733" t="str">
            <v>挡泥板</v>
          </cell>
        </row>
        <row r="733">
          <cell r="I733" t="str">
            <v>原开品</v>
          </cell>
          <cell r="J733">
            <v>9306</v>
          </cell>
        </row>
        <row r="733">
          <cell r="M733">
            <v>45778</v>
          </cell>
        </row>
        <row r="734">
          <cell r="A734">
            <v>10128</v>
          </cell>
        </row>
        <row r="734">
          <cell r="C734" t="str">
            <v>张潇</v>
          </cell>
          <cell r="D734" t="str">
            <v>牌照板支架</v>
          </cell>
        </row>
        <row r="734">
          <cell r="I734" t="str">
            <v>原开品</v>
          </cell>
          <cell r="J734">
            <v>9290</v>
          </cell>
        </row>
        <row r="734">
          <cell r="M734">
            <v>45772</v>
          </cell>
        </row>
        <row r="735">
          <cell r="A735">
            <v>9491</v>
          </cell>
        </row>
        <row r="735">
          <cell r="C735" t="str">
            <v>章鹏</v>
          </cell>
          <cell r="D735" t="str">
            <v>挡泥板</v>
          </cell>
        </row>
        <row r="735">
          <cell r="I735" t="str">
            <v>拓展品</v>
          </cell>
          <cell r="J735">
            <v>9529</v>
          </cell>
        </row>
        <row r="735">
          <cell r="M735">
            <v>45841</v>
          </cell>
        </row>
        <row r="736">
          <cell r="A736">
            <v>8990</v>
          </cell>
        </row>
        <row r="736">
          <cell r="C736" t="str">
            <v>章鹏</v>
          </cell>
          <cell r="D736" t="str">
            <v>挡泥板</v>
          </cell>
        </row>
        <row r="736">
          <cell r="I736" t="str">
            <v>原开品</v>
          </cell>
          <cell r="J736">
            <v>9227</v>
          </cell>
        </row>
        <row r="736">
          <cell r="M736">
            <v>45882</v>
          </cell>
        </row>
        <row r="737">
          <cell r="A737">
            <v>10135</v>
          </cell>
        </row>
        <row r="737">
          <cell r="C737" t="str">
            <v>胡煜星</v>
          </cell>
          <cell r="D737" t="str">
            <v>玻璃</v>
          </cell>
        </row>
        <row r="737">
          <cell r="I737" t="str">
            <v>拓展品</v>
          </cell>
          <cell r="J737">
            <v>9232</v>
          </cell>
        </row>
        <row r="737">
          <cell r="M737">
            <v>45917</v>
          </cell>
        </row>
        <row r="738">
          <cell r="A738">
            <v>10226</v>
          </cell>
        </row>
        <row r="738">
          <cell r="C738" t="str">
            <v>张潇</v>
          </cell>
          <cell r="D738" t="str">
            <v>牌照板支架</v>
          </cell>
        </row>
        <row r="738">
          <cell r="I738" t="str">
            <v>拓展品</v>
          </cell>
          <cell r="J738">
            <v>9233</v>
          </cell>
        </row>
        <row r="738">
          <cell r="M738">
            <v>45874</v>
          </cell>
        </row>
        <row r="739">
          <cell r="A739">
            <v>2995</v>
          </cell>
        </row>
        <row r="739">
          <cell r="C739" t="str">
            <v>朱培源</v>
          </cell>
          <cell r="D739" t="str">
            <v>机盖及附件</v>
          </cell>
        </row>
        <row r="739">
          <cell r="I739" t="str">
            <v>拓展品</v>
          </cell>
          <cell r="J739">
            <v>9234</v>
          </cell>
        </row>
        <row r="739">
          <cell r="M739">
            <v>45805</v>
          </cell>
        </row>
        <row r="740">
          <cell r="A740">
            <v>10171</v>
          </cell>
        </row>
        <row r="740">
          <cell r="C740" t="str">
            <v>胡煜星</v>
          </cell>
          <cell r="D740" t="str">
            <v>玻璃</v>
          </cell>
        </row>
        <row r="740">
          <cell r="I740" t="str">
            <v>拓展品</v>
          </cell>
          <cell r="J740">
            <v>9236</v>
          </cell>
        </row>
        <row r="740">
          <cell r="M740">
            <v>45820</v>
          </cell>
        </row>
        <row r="741">
          <cell r="A741">
            <v>10172</v>
          </cell>
        </row>
        <row r="741">
          <cell r="C741" t="str">
            <v>胡煜星</v>
          </cell>
          <cell r="D741" t="str">
            <v>玻璃</v>
          </cell>
        </row>
        <row r="741">
          <cell r="I741" t="str">
            <v>拓展品</v>
          </cell>
          <cell r="J741">
            <v>8903</v>
          </cell>
        </row>
        <row r="741">
          <cell r="M741">
            <v>45969</v>
          </cell>
        </row>
        <row r="742">
          <cell r="A742">
            <v>9363</v>
          </cell>
        </row>
        <row r="742">
          <cell r="C742" t="str">
            <v>章鹏</v>
          </cell>
          <cell r="D742" t="str">
            <v>挡泥板</v>
          </cell>
        </row>
        <row r="742">
          <cell r="I742" t="str">
            <v>拓展品</v>
          </cell>
          <cell r="J742">
            <v>8992</v>
          </cell>
        </row>
        <row r="742">
          <cell r="M742">
            <v>45785</v>
          </cell>
        </row>
        <row r="743">
          <cell r="A743">
            <v>9039</v>
          </cell>
        </row>
        <row r="743">
          <cell r="C743" t="str">
            <v>章鹏</v>
          </cell>
          <cell r="D743" t="str">
            <v>挡泥板</v>
          </cell>
        </row>
        <row r="743">
          <cell r="I743" t="str">
            <v>原开品</v>
          </cell>
          <cell r="J743">
            <v>9037</v>
          </cell>
        </row>
        <row r="743">
          <cell r="M743">
            <v>45779</v>
          </cell>
        </row>
        <row r="744">
          <cell r="A744">
            <v>7119</v>
          </cell>
        </row>
        <row r="744">
          <cell r="C744" t="str">
            <v>王偲涵</v>
          </cell>
          <cell r="D744" t="str">
            <v>车身外扩件</v>
          </cell>
        </row>
        <row r="744">
          <cell r="I744" t="str">
            <v>原开品</v>
          </cell>
          <cell r="J744">
            <v>9038</v>
          </cell>
        </row>
        <row r="744">
          <cell r="M744">
            <v>45782</v>
          </cell>
        </row>
        <row r="745">
          <cell r="A745">
            <v>10545</v>
          </cell>
        </row>
        <row r="745">
          <cell r="C745" t="str">
            <v>转二部</v>
          </cell>
          <cell r="D745" t="str">
            <v>挡泥板</v>
          </cell>
        </row>
        <row r="745">
          <cell r="I745" t="str">
            <v>拓展品</v>
          </cell>
          <cell r="J745">
            <v>8993</v>
          </cell>
        </row>
        <row r="745">
          <cell r="M745">
            <v>45777</v>
          </cell>
        </row>
        <row r="746">
          <cell r="A746">
            <v>10988</v>
          </cell>
        </row>
        <row r="746">
          <cell r="C746" t="str">
            <v>朱培源</v>
          </cell>
          <cell r="D746" t="str">
            <v>机盖及附件</v>
          </cell>
        </row>
        <row r="746">
          <cell r="I746" t="str">
            <v>拓展品</v>
          </cell>
          <cell r="J746">
            <v>9039</v>
          </cell>
        </row>
        <row r="746">
          <cell r="M746">
            <v>45777</v>
          </cell>
        </row>
        <row r="747">
          <cell r="A747">
            <v>8484</v>
          </cell>
        </row>
        <row r="747">
          <cell r="C747" t="str">
            <v>转二部</v>
          </cell>
          <cell r="D747" t="str">
            <v>挡泥板</v>
          </cell>
        </row>
        <row r="747">
          <cell r="I747" t="str">
            <v>拓展品</v>
          </cell>
          <cell r="J747">
            <v>9359</v>
          </cell>
        </row>
        <row r="747">
          <cell r="M747">
            <v>45777</v>
          </cell>
        </row>
        <row r="748">
          <cell r="A748">
            <v>8181</v>
          </cell>
        </row>
        <row r="748">
          <cell r="C748" t="str">
            <v>俞东旭</v>
          </cell>
          <cell r="D748" t="str">
            <v>车身外扩件</v>
          </cell>
        </row>
        <row r="748">
          <cell r="I748" t="str">
            <v>拓展品</v>
          </cell>
          <cell r="J748">
            <v>9360</v>
          </cell>
        </row>
        <row r="748">
          <cell r="M748">
            <v>45775</v>
          </cell>
        </row>
        <row r="749">
          <cell r="A749">
            <v>10062</v>
          </cell>
        </row>
        <row r="749">
          <cell r="C749" t="str">
            <v>朱培源</v>
          </cell>
          <cell r="D749" t="str">
            <v>机盖及附件</v>
          </cell>
        </row>
        <row r="749">
          <cell r="I749" t="str">
            <v>原开品</v>
          </cell>
          <cell r="J749">
            <v>9361</v>
          </cell>
        </row>
        <row r="749">
          <cell r="M749">
            <v>45780</v>
          </cell>
        </row>
        <row r="750">
          <cell r="A750">
            <v>136</v>
          </cell>
        </row>
        <row r="750">
          <cell r="C750" t="str">
            <v>转二部</v>
          </cell>
          <cell r="D750" t="str">
            <v>车门系统</v>
          </cell>
        </row>
        <row r="750">
          <cell r="I750" t="str">
            <v>原开品</v>
          </cell>
          <cell r="J750">
            <v>9307</v>
          </cell>
        </row>
        <row r="750">
          <cell r="M750">
            <v>45772</v>
          </cell>
        </row>
        <row r="751">
          <cell r="A751">
            <v>7247</v>
          </cell>
        </row>
        <row r="751">
          <cell r="C751" t="str">
            <v>俞东旭</v>
          </cell>
          <cell r="D751" t="str">
            <v>挡泥板</v>
          </cell>
        </row>
        <row r="751">
          <cell r="I751" t="str">
            <v>拓展品</v>
          </cell>
          <cell r="J751">
            <v>9316</v>
          </cell>
        </row>
        <row r="751">
          <cell r="M751">
            <v>45789</v>
          </cell>
        </row>
        <row r="752">
          <cell r="A752">
            <v>8485</v>
          </cell>
        </row>
        <row r="752">
          <cell r="C752" t="str">
            <v>章鹏</v>
          </cell>
          <cell r="D752" t="str">
            <v>挡泥板</v>
          </cell>
        </row>
        <row r="752">
          <cell r="I752" t="str">
            <v>原开品</v>
          </cell>
          <cell r="J752">
            <v>9358</v>
          </cell>
        </row>
        <row r="752">
          <cell r="M752">
            <v>45780</v>
          </cell>
        </row>
        <row r="753">
          <cell r="A753">
            <v>9697</v>
          </cell>
        </row>
        <row r="753">
          <cell r="C753" t="str">
            <v>章鹏</v>
          </cell>
          <cell r="D753" t="str">
            <v>挡泥板</v>
          </cell>
        </row>
        <row r="753">
          <cell r="I753" t="str">
            <v>原开品</v>
          </cell>
          <cell r="J753">
            <v>9373</v>
          </cell>
        </row>
        <row r="753">
          <cell r="M753">
            <v>45785</v>
          </cell>
        </row>
        <row r="754">
          <cell r="A754">
            <v>10350</v>
          </cell>
        </row>
        <row r="754">
          <cell r="C754" t="str">
            <v>转二部</v>
          </cell>
          <cell r="D754" t="str">
            <v>玻璃</v>
          </cell>
        </row>
        <row r="754">
          <cell r="I754" t="str">
            <v>原开品</v>
          </cell>
          <cell r="J754">
            <v>8985</v>
          </cell>
        </row>
        <row r="754">
          <cell r="M754">
            <v>45782</v>
          </cell>
        </row>
        <row r="755">
          <cell r="A755">
            <v>8753</v>
          </cell>
        </row>
        <row r="755">
          <cell r="C755" t="str">
            <v>章鹏</v>
          </cell>
          <cell r="D755" t="str">
            <v>挡泥板</v>
          </cell>
        </row>
        <row r="755">
          <cell r="I755" t="str">
            <v>原开品</v>
          </cell>
          <cell r="J755">
            <v>9386</v>
          </cell>
        </row>
        <row r="755">
          <cell r="M755">
            <v>45786</v>
          </cell>
        </row>
        <row r="756">
          <cell r="A756">
            <v>10381</v>
          </cell>
        </row>
        <row r="756">
          <cell r="C756" t="str">
            <v>王偲涵</v>
          </cell>
          <cell r="D756" t="str">
            <v>雨刮罩</v>
          </cell>
        </row>
        <row r="756">
          <cell r="I756" t="str">
            <v>原开品</v>
          </cell>
          <cell r="J756">
            <v>9387</v>
          </cell>
        </row>
        <row r="756">
          <cell r="M756">
            <v>45783</v>
          </cell>
        </row>
        <row r="757">
          <cell r="A757">
            <v>10386</v>
          </cell>
        </row>
        <row r="757">
          <cell r="C757" t="str">
            <v>王偲涵</v>
          </cell>
          <cell r="D757" t="str">
            <v>雨刮罩</v>
          </cell>
        </row>
        <row r="757">
          <cell r="I757" t="str">
            <v>拓展品</v>
          </cell>
          <cell r="J757">
            <v>9557</v>
          </cell>
        </row>
        <row r="757">
          <cell r="M757">
            <v>45796</v>
          </cell>
        </row>
        <row r="758">
          <cell r="A758">
            <v>9360</v>
          </cell>
        </row>
        <row r="758">
          <cell r="C758" t="str">
            <v>章鹏</v>
          </cell>
          <cell r="D758" t="str">
            <v>挡泥板</v>
          </cell>
        </row>
        <row r="758">
          <cell r="I758" t="str">
            <v>拓展品</v>
          </cell>
          <cell r="J758">
            <v>9558</v>
          </cell>
        </row>
        <row r="758">
          <cell r="M758">
            <v>45798</v>
          </cell>
        </row>
        <row r="759">
          <cell r="A759">
            <v>9303</v>
          </cell>
        </row>
        <row r="759">
          <cell r="C759" t="str">
            <v>章鹏</v>
          </cell>
          <cell r="D759" t="str">
            <v>挡泥板</v>
          </cell>
        </row>
        <row r="759">
          <cell r="I759" t="str">
            <v>原开品</v>
          </cell>
          <cell r="J759">
            <v>9559</v>
          </cell>
        </row>
        <row r="759">
          <cell r="M759">
            <v>45786</v>
          </cell>
        </row>
        <row r="760">
          <cell r="A760">
            <v>3758</v>
          </cell>
        </row>
        <row r="760">
          <cell r="C760" t="str">
            <v>朱培源</v>
          </cell>
          <cell r="D760" t="str">
            <v>挡泥板</v>
          </cell>
        </row>
        <row r="760">
          <cell r="I760" t="str">
            <v>原开品</v>
          </cell>
          <cell r="J760">
            <v>9560</v>
          </cell>
        </row>
        <row r="760">
          <cell r="M760">
            <v>45789</v>
          </cell>
        </row>
        <row r="761">
          <cell r="A761">
            <v>8607</v>
          </cell>
        </row>
        <row r="761">
          <cell r="C761" t="str">
            <v>章鹏</v>
          </cell>
          <cell r="D761" t="str">
            <v>挡泥板</v>
          </cell>
        </row>
        <row r="761">
          <cell r="I761" t="str">
            <v>拓展品</v>
          </cell>
          <cell r="J761">
            <v>9388</v>
          </cell>
        </row>
        <row r="761">
          <cell r="M761">
            <v>45789</v>
          </cell>
        </row>
        <row r="762">
          <cell r="A762">
            <v>9560</v>
          </cell>
        </row>
        <row r="762">
          <cell r="C762" t="str">
            <v>章鹏</v>
          </cell>
          <cell r="D762" t="str">
            <v>挡泥板</v>
          </cell>
        </row>
        <row r="762">
          <cell r="I762" t="str">
            <v>拓展品</v>
          </cell>
          <cell r="J762">
            <v>9540</v>
          </cell>
        </row>
        <row r="762">
          <cell r="M762">
            <v>45785</v>
          </cell>
        </row>
        <row r="763">
          <cell r="A763">
            <v>10508</v>
          </cell>
        </row>
        <row r="763">
          <cell r="C763" t="str">
            <v>转二部</v>
          </cell>
          <cell r="D763" t="str">
            <v>车身外扩件</v>
          </cell>
        </row>
        <row r="763">
          <cell r="I763" t="str">
            <v>原开品</v>
          </cell>
          <cell r="J763">
            <v>9480</v>
          </cell>
        </row>
        <row r="763">
          <cell r="M763">
            <v>45787</v>
          </cell>
        </row>
        <row r="764">
          <cell r="A764">
            <v>10518</v>
          </cell>
        </row>
        <row r="764">
          <cell r="C764" t="str">
            <v>胡煜星</v>
          </cell>
          <cell r="D764" t="str">
            <v>车门系统</v>
          </cell>
        </row>
        <row r="764">
          <cell r="I764" t="str">
            <v>拓展品</v>
          </cell>
          <cell r="J764">
            <v>9481</v>
          </cell>
        </row>
        <row r="764">
          <cell r="M764">
            <v>45793</v>
          </cell>
        </row>
        <row r="765">
          <cell r="A765">
            <v>10519</v>
          </cell>
        </row>
        <row r="765">
          <cell r="C765" t="str">
            <v>胡煜星</v>
          </cell>
          <cell r="D765" t="str">
            <v>车门系统</v>
          </cell>
        </row>
        <row r="765">
          <cell r="I765" t="str">
            <v>原开品</v>
          </cell>
          <cell r="J765">
            <v>9551</v>
          </cell>
        </row>
        <row r="765">
          <cell r="M765">
            <v>45794</v>
          </cell>
        </row>
        <row r="766">
          <cell r="A766">
            <v>10520</v>
          </cell>
        </row>
        <row r="766">
          <cell r="C766" t="str">
            <v>转二部</v>
          </cell>
          <cell r="D766" t="str">
            <v>车门系统</v>
          </cell>
        </row>
        <row r="766">
          <cell r="I766" t="str">
            <v>原开品</v>
          </cell>
          <cell r="J766">
            <v>9553</v>
          </cell>
        </row>
        <row r="766">
          <cell r="M766">
            <v>45830</v>
          </cell>
        </row>
        <row r="767">
          <cell r="A767">
            <v>10544</v>
          </cell>
        </row>
        <row r="767">
          <cell r="C767" t="str">
            <v>王偲涵</v>
          </cell>
          <cell r="D767" t="str">
            <v>雨刮罩</v>
          </cell>
        </row>
        <row r="767">
          <cell r="I767" t="str">
            <v>原开品</v>
          </cell>
          <cell r="J767">
            <v>9391</v>
          </cell>
        </row>
        <row r="767">
          <cell r="M767">
            <v>45794</v>
          </cell>
        </row>
        <row r="768">
          <cell r="A768">
            <v>9038</v>
          </cell>
        </row>
        <row r="768">
          <cell r="C768" t="str">
            <v>章鹏</v>
          </cell>
          <cell r="D768" t="str">
            <v>挡泥板</v>
          </cell>
        </row>
        <row r="768">
          <cell r="I768" t="str">
            <v>原开品</v>
          </cell>
          <cell r="J768">
            <v>9289</v>
          </cell>
        </row>
        <row r="768">
          <cell r="M768">
            <v>45794</v>
          </cell>
        </row>
        <row r="769">
          <cell r="A769">
            <v>10813</v>
          </cell>
        </row>
        <row r="769">
          <cell r="C769" t="str">
            <v>朱培源</v>
          </cell>
          <cell r="D769" t="str">
            <v>机盖及附件</v>
          </cell>
        </row>
        <row r="769">
          <cell r="I769" t="str">
            <v>拓展品</v>
          </cell>
          <cell r="J769">
            <v>9552</v>
          </cell>
        </row>
        <row r="769">
          <cell r="M769">
            <v>45791</v>
          </cell>
        </row>
        <row r="770">
          <cell r="A770">
            <v>10553</v>
          </cell>
        </row>
        <row r="770">
          <cell r="C770" t="str">
            <v>俞东旭</v>
          </cell>
          <cell r="D770" t="str">
            <v>车门系统</v>
          </cell>
        </row>
        <row r="770">
          <cell r="I770" t="str">
            <v>原开品</v>
          </cell>
          <cell r="J770">
            <v>9580</v>
          </cell>
        </row>
        <row r="770">
          <cell r="M770">
            <v>45795</v>
          </cell>
        </row>
        <row r="771">
          <cell r="A771">
            <v>10554</v>
          </cell>
        </row>
        <row r="771">
          <cell r="C771" t="str">
            <v>胡煜星</v>
          </cell>
          <cell r="D771" t="str">
            <v>车门系统</v>
          </cell>
        </row>
        <row r="771">
          <cell r="I771" t="str">
            <v>拓展品</v>
          </cell>
          <cell r="J771">
            <v>9581</v>
          </cell>
        </row>
        <row r="771">
          <cell r="M771">
            <v>45797</v>
          </cell>
        </row>
        <row r="772">
          <cell r="A772">
            <v>10585</v>
          </cell>
        </row>
        <row r="772">
          <cell r="C772" t="str">
            <v>转二部</v>
          </cell>
          <cell r="D772" t="str">
            <v>车身外扩件</v>
          </cell>
        </row>
        <row r="772">
          <cell r="I772" t="str">
            <v>原开品</v>
          </cell>
          <cell r="J772">
            <v>9490</v>
          </cell>
        </row>
        <row r="772">
          <cell r="M772">
            <v>45818</v>
          </cell>
        </row>
        <row r="773">
          <cell r="A773">
            <v>10592</v>
          </cell>
        </row>
        <row r="773">
          <cell r="C773" t="str">
            <v>转二部</v>
          </cell>
          <cell r="D773" t="str">
            <v>车门系统</v>
          </cell>
        </row>
        <row r="773">
          <cell r="I773" t="str">
            <v>拓展品</v>
          </cell>
          <cell r="J773">
            <v>9884</v>
          </cell>
        </row>
        <row r="773">
          <cell r="M773">
            <v>45815</v>
          </cell>
        </row>
        <row r="774">
          <cell r="A774">
            <v>10593</v>
          </cell>
        </row>
        <row r="774">
          <cell r="C774" t="str">
            <v>胡煜星</v>
          </cell>
          <cell r="D774" t="str">
            <v>车门系统</v>
          </cell>
        </row>
        <row r="774">
          <cell r="I774" t="str">
            <v>拓展品</v>
          </cell>
          <cell r="J774">
            <v>9513</v>
          </cell>
        </row>
        <row r="774">
          <cell r="M774">
            <v>45825</v>
          </cell>
        </row>
        <row r="775">
          <cell r="A775">
            <v>9557</v>
          </cell>
        </row>
        <row r="775">
          <cell r="C775" t="str">
            <v>章鹏</v>
          </cell>
          <cell r="D775" t="str">
            <v>挡泥板</v>
          </cell>
        </row>
        <row r="775">
          <cell r="I775" t="str">
            <v>拓展品</v>
          </cell>
          <cell r="J775">
            <v>9625</v>
          </cell>
        </row>
        <row r="775">
          <cell r="M775">
            <v>45818</v>
          </cell>
        </row>
        <row r="776">
          <cell r="A776">
            <v>10653</v>
          </cell>
        </row>
        <row r="776">
          <cell r="C776" t="str">
            <v>胡煜星</v>
          </cell>
          <cell r="D776" t="str">
            <v>车门系统</v>
          </cell>
        </row>
        <row r="776">
          <cell r="I776" t="str">
            <v>原开品</v>
          </cell>
          <cell r="J776">
            <v>9514</v>
          </cell>
        </row>
        <row r="776">
          <cell r="M776">
            <v>45818</v>
          </cell>
        </row>
        <row r="777">
          <cell r="A777">
            <v>10659</v>
          </cell>
        </row>
        <row r="777">
          <cell r="C777" t="str">
            <v>转二部</v>
          </cell>
          <cell r="D777" t="str">
            <v>车门系统</v>
          </cell>
        </row>
        <row r="777">
          <cell r="I777" t="str">
            <v>原开品</v>
          </cell>
          <cell r="J777">
            <v>9515</v>
          </cell>
        </row>
        <row r="777">
          <cell r="M777">
            <v>45827</v>
          </cell>
        </row>
        <row r="778">
          <cell r="A778">
            <v>10660</v>
          </cell>
        </row>
        <row r="778">
          <cell r="C778" t="str">
            <v>转二部</v>
          </cell>
          <cell r="D778" t="str">
            <v>车门系统</v>
          </cell>
        </row>
        <row r="778">
          <cell r="I778" t="str">
            <v>原开品</v>
          </cell>
          <cell r="J778">
            <v>9516</v>
          </cell>
        </row>
        <row r="778">
          <cell r="M778">
            <v>45826</v>
          </cell>
        </row>
        <row r="779">
          <cell r="A779">
            <v>10774</v>
          </cell>
        </row>
        <row r="779">
          <cell r="C779" t="str">
            <v>胡煜星</v>
          </cell>
          <cell r="D779" t="str">
            <v>车门系统</v>
          </cell>
        </row>
        <row r="779">
          <cell r="I779" t="str">
            <v>拓展品</v>
          </cell>
          <cell r="J779">
            <v>9883</v>
          </cell>
        </row>
        <row r="779">
          <cell r="M779">
            <v>45822</v>
          </cell>
        </row>
        <row r="780">
          <cell r="A780">
            <v>10785</v>
          </cell>
        </row>
        <row r="780">
          <cell r="C780" t="str">
            <v>王偲涵</v>
          </cell>
          <cell r="D780" t="str">
            <v>车身外扩件</v>
          </cell>
        </row>
        <row r="780">
          <cell r="I780" t="str">
            <v>原开品</v>
          </cell>
          <cell r="J780">
            <v>9626</v>
          </cell>
        </row>
        <row r="780">
          <cell r="M780">
            <v>45796</v>
          </cell>
        </row>
        <row r="781">
          <cell r="A781">
            <v>10786</v>
          </cell>
        </row>
        <row r="781">
          <cell r="C781" t="str">
            <v>王偲涵</v>
          </cell>
          <cell r="D781" t="str">
            <v>车身外扩件</v>
          </cell>
        </row>
        <row r="781">
          <cell r="I781" t="str">
            <v>原开品</v>
          </cell>
          <cell r="J781">
            <v>9627</v>
          </cell>
        </row>
        <row r="781">
          <cell r="M781">
            <v>45789</v>
          </cell>
        </row>
        <row r="782">
          <cell r="A782">
            <v>10787</v>
          </cell>
        </row>
        <row r="782">
          <cell r="C782" t="str">
            <v>王偲涵</v>
          </cell>
          <cell r="D782" t="str">
            <v>车身外扩件</v>
          </cell>
        </row>
        <row r="782">
          <cell r="I782" t="str">
            <v>原开品</v>
          </cell>
          <cell r="J782">
            <v>9482</v>
          </cell>
        </row>
        <row r="782">
          <cell r="M782" t="str">
            <v>2025/5/24</v>
          </cell>
        </row>
        <row r="783">
          <cell r="A783">
            <v>10466</v>
          </cell>
        </row>
        <row r="783">
          <cell r="C783" t="str">
            <v>转二部</v>
          </cell>
          <cell r="D783" t="str">
            <v>其他</v>
          </cell>
        </row>
        <row r="783">
          <cell r="I783" t="str">
            <v>拓展品</v>
          </cell>
          <cell r="J783">
            <v>9375</v>
          </cell>
        </row>
        <row r="783">
          <cell r="M783">
            <v>45788</v>
          </cell>
        </row>
        <row r="784">
          <cell r="A784">
            <v>10811</v>
          </cell>
        </row>
        <row r="784">
          <cell r="C784" t="str">
            <v>朱培源</v>
          </cell>
          <cell r="D784" t="str">
            <v>机盖及附件</v>
          </cell>
        </row>
        <row r="784">
          <cell r="I784" t="str">
            <v>原开品</v>
          </cell>
          <cell r="J784">
            <v>9447</v>
          </cell>
        </row>
        <row r="784">
          <cell r="M784">
            <v>45858</v>
          </cell>
        </row>
        <row r="785">
          <cell r="A785">
            <v>1371</v>
          </cell>
        </row>
        <row r="785">
          <cell r="C785" t="str">
            <v>章鹏</v>
          </cell>
          <cell r="D785" t="str">
            <v>其他</v>
          </cell>
        </row>
        <row r="785">
          <cell r="I785" t="str">
            <v>拓展品</v>
          </cell>
          <cell r="J785">
            <v>9448</v>
          </cell>
        </row>
        <row r="785">
          <cell r="M785">
            <v>45798</v>
          </cell>
        </row>
        <row r="786">
          <cell r="A786">
            <v>8126</v>
          </cell>
        </row>
        <row r="786">
          <cell r="C786" t="str">
            <v>俞东旭</v>
          </cell>
          <cell r="D786" t="str">
            <v>挡泥板</v>
          </cell>
        </row>
        <row r="786">
          <cell r="I786" t="str">
            <v>拓展品</v>
          </cell>
          <cell r="J786">
            <v>9449</v>
          </cell>
        </row>
        <row r="786">
          <cell r="M786">
            <v>45861</v>
          </cell>
        </row>
        <row r="787">
          <cell r="A787">
            <v>10857</v>
          </cell>
        </row>
        <row r="787">
          <cell r="C787" t="str">
            <v>转二部</v>
          </cell>
          <cell r="D787" t="str">
            <v>车身外扩件</v>
          </cell>
        </row>
        <row r="787">
          <cell r="I787" t="str">
            <v>拓展品</v>
          </cell>
          <cell r="J787">
            <v>9455</v>
          </cell>
        </row>
        <row r="787">
          <cell r="M787">
            <v>45796</v>
          </cell>
        </row>
        <row r="788">
          <cell r="A788">
            <v>10812</v>
          </cell>
        </row>
        <row r="788">
          <cell r="C788" t="str">
            <v>转二部</v>
          </cell>
          <cell r="D788" t="str">
            <v>机盖及附件</v>
          </cell>
        </row>
        <row r="788">
          <cell r="I788" t="str">
            <v>拓展品</v>
          </cell>
          <cell r="J788">
            <v>9439</v>
          </cell>
        </row>
        <row r="788">
          <cell r="M788">
            <v>45791</v>
          </cell>
        </row>
        <row r="789">
          <cell r="A789">
            <v>10107</v>
          </cell>
        </row>
        <row r="789">
          <cell r="C789" t="str">
            <v>朱培源</v>
          </cell>
          <cell r="D789" t="str">
            <v>挡泥板</v>
          </cell>
        </row>
        <row r="789">
          <cell r="I789" t="str">
            <v>拓展品</v>
          </cell>
          <cell r="J789">
            <v>9456</v>
          </cell>
        </row>
        <row r="789">
          <cell r="M789">
            <v>45792</v>
          </cell>
        </row>
        <row r="790">
          <cell r="A790">
            <v>10639</v>
          </cell>
        </row>
        <row r="790">
          <cell r="C790" t="str">
            <v>朱培源</v>
          </cell>
          <cell r="D790" t="str">
            <v>机盖及附件</v>
          </cell>
        </row>
        <row r="790">
          <cell r="I790" t="str">
            <v>原开品</v>
          </cell>
          <cell r="J790">
            <v>9491</v>
          </cell>
        </row>
        <row r="790">
          <cell r="M790">
            <v>45795</v>
          </cell>
        </row>
        <row r="791">
          <cell r="A791">
            <v>10465</v>
          </cell>
        </row>
        <row r="791">
          <cell r="C791" t="str">
            <v>转二部</v>
          </cell>
          <cell r="D791" t="str">
            <v>其他</v>
          </cell>
        </row>
        <row r="791">
          <cell r="I791" t="str">
            <v>拓展品</v>
          </cell>
          <cell r="J791">
            <v>9492</v>
          </cell>
        </row>
        <row r="791">
          <cell r="M791">
            <v>45803</v>
          </cell>
        </row>
        <row r="792">
          <cell r="A792">
            <v>10937</v>
          </cell>
        </row>
        <row r="792">
          <cell r="C792" t="str">
            <v>胡煜星</v>
          </cell>
          <cell r="D792" t="str">
            <v>玻璃</v>
          </cell>
        </row>
        <row r="792">
          <cell r="I792" t="str">
            <v>拓展品</v>
          </cell>
          <cell r="J792">
            <v>9493</v>
          </cell>
        </row>
        <row r="792">
          <cell r="M792">
            <v>45815</v>
          </cell>
        </row>
        <row r="793">
          <cell r="A793">
            <v>10938</v>
          </cell>
        </row>
        <row r="793">
          <cell r="C793" t="str">
            <v>转二部</v>
          </cell>
          <cell r="D793" t="str">
            <v>玻璃</v>
          </cell>
        </row>
        <row r="793">
          <cell r="I793" t="str">
            <v>原开品</v>
          </cell>
          <cell r="J793">
            <v>9499</v>
          </cell>
        </row>
        <row r="793">
          <cell r="M793">
            <v>45825</v>
          </cell>
        </row>
        <row r="794">
          <cell r="A794">
            <v>10977</v>
          </cell>
        </row>
        <row r="794">
          <cell r="C794" t="str">
            <v>转二部</v>
          </cell>
          <cell r="D794" t="str">
            <v>车身外扩件</v>
          </cell>
        </row>
        <row r="794">
          <cell r="I794" t="str">
            <v>拓展品</v>
          </cell>
          <cell r="J794">
            <v>9500</v>
          </cell>
        </row>
        <row r="794">
          <cell r="M794">
            <v>45818</v>
          </cell>
        </row>
        <row r="795">
          <cell r="A795">
            <v>11033</v>
          </cell>
        </row>
        <row r="795">
          <cell r="C795" t="str">
            <v>朱培源</v>
          </cell>
          <cell r="D795" t="str">
            <v>挡泥板</v>
          </cell>
        </row>
        <row r="795">
          <cell r="I795" t="str">
            <v>拓展品</v>
          </cell>
          <cell r="J795">
            <v>9501</v>
          </cell>
        </row>
        <row r="795">
          <cell r="M795">
            <v>45818</v>
          </cell>
        </row>
        <row r="796">
          <cell r="A796">
            <v>11002</v>
          </cell>
        </row>
        <row r="796">
          <cell r="C796" t="str">
            <v>俞东旭</v>
          </cell>
          <cell r="D796" t="str">
            <v>车门系统</v>
          </cell>
        </row>
        <row r="796">
          <cell r="I796" t="str">
            <v>原开品</v>
          </cell>
          <cell r="J796">
            <v>9445</v>
          </cell>
        </row>
        <row r="796">
          <cell r="M796">
            <v>45827</v>
          </cell>
        </row>
        <row r="797">
          <cell r="A797">
            <v>11003</v>
          </cell>
        </row>
        <row r="797">
          <cell r="C797" t="str">
            <v>俞东旭</v>
          </cell>
          <cell r="D797" t="str">
            <v>车门系统</v>
          </cell>
        </row>
        <row r="797">
          <cell r="I797" t="str">
            <v>原开品</v>
          </cell>
          <cell r="J797">
            <v>9446</v>
          </cell>
        </row>
        <row r="797">
          <cell r="M797">
            <v>45826</v>
          </cell>
        </row>
        <row r="798">
          <cell r="A798">
            <v>11004</v>
          </cell>
        </row>
        <row r="798">
          <cell r="C798" t="str">
            <v>俞东旭</v>
          </cell>
          <cell r="D798" t="str">
            <v>车门系统</v>
          </cell>
        </row>
        <row r="798">
          <cell r="I798" t="str">
            <v>原开品</v>
          </cell>
          <cell r="J798">
            <v>9495</v>
          </cell>
        </row>
        <row r="798">
          <cell r="M798">
            <v>45822</v>
          </cell>
        </row>
        <row r="799">
          <cell r="A799">
            <v>11005</v>
          </cell>
        </row>
        <row r="799">
          <cell r="C799" t="str">
            <v>转二部</v>
          </cell>
          <cell r="D799" t="str">
            <v>车门系统</v>
          </cell>
        </row>
        <row r="799">
          <cell r="I799" t="str">
            <v>原开品</v>
          </cell>
          <cell r="J799">
            <v>9645</v>
          </cell>
        </row>
        <row r="799">
          <cell r="M799">
            <v>45798</v>
          </cell>
        </row>
        <row r="800">
          <cell r="A800">
            <v>10859</v>
          </cell>
        </row>
        <row r="800">
          <cell r="C800" t="str">
            <v>朱培源</v>
          </cell>
          <cell r="D800" t="str">
            <v>机盖及附件</v>
          </cell>
        </row>
        <row r="800">
          <cell r="I800" t="str">
            <v>原开品</v>
          </cell>
          <cell r="J800">
            <v>9584</v>
          </cell>
        </row>
        <row r="800">
          <cell r="M800">
            <v>45796</v>
          </cell>
        </row>
        <row r="801">
          <cell r="A801">
            <v>11030</v>
          </cell>
        </row>
        <row r="801">
          <cell r="C801" t="str">
            <v>张潇</v>
          </cell>
          <cell r="D801" t="str">
            <v>牌照板支架</v>
          </cell>
        </row>
        <row r="801">
          <cell r="I801" t="str">
            <v>拓展品</v>
          </cell>
          <cell r="J801">
            <v>9605</v>
          </cell>
        </row>
        <row r="801">
          <cell r="M801">
            <v>45806</v>
          </cell>
        </row>
        <row r="802">
          <cell r="A802">
            <v>11043</v>
          </cell>
        </row>
        <row r="802">
          <cell r="C802" t="str">
            <v>王偲涵</v>
          </cell>
          <cell r="D802" t="str">
            <v>雨刮罩</v>
          </cell>
        </row>
        <row r="802">
          <cell r="I802" t="str">
            <v>拓展品</v>
          </cell>
          <cell r="J802">
            <v>9606</v>
          </cell>
        </row>
        <row r="802">
          <cell r="M802">
            <v>45806</v>
          </cell>
        </row>
        <row r="803">
          <cell r="A803">
            <v>11053</v>
          </cell>
        </row>
        <row r="803">
          <cell r="C803" t="str">
            <v>转二部</v>
          </cell>
          <cell r="D803" t="str">
            <v>机盖及附件</v>
          </cell>
        </row>
        <row r="803">
          <cell r="I803" t="str">
            <v>原开品</v>
          </cell>
          <cell r="J803">
            <v>9174</v>
          </cell>
        </row>
        <row r="803">
          <cell r="M803">
            <v>45794</v>
          </cell>
        </row>
        <row r="804">
          <cell r="A804">
            <v>8393</v>
          </cell>
        </row>
        <row r="804">
          <cell r="C804" t="str">
            <v>俞东旭</v>
          </cell>
          <cell r="D804" t="str">
            <v>挡泥板</v>
          </cell>
        </row>
        <row r="804">
          <cell r="I804" t="str">
            <v>原开品</v>
          </cell>
          <cell r="J804">
            <v>9296</v>
          </cell>
        </row>
        <row r="804">
          <cell r="M804">
            <v>45793</v>
          </cell>
        </row>
        <row r="805">
          <cell r="A805">
            <v>11078</v>
          </cell>
        </row>
        <row r="805">
          <cell r="C805" t="str">
            <v>转二部</v>
          </cell>
          <cell r="D805" t="str">
            <v>机盖及附件</v>
          </cell>
        </row>
        <row r="805">
          <cell r="I805" t="str">
            <v>原开品</v>
          </cell>
          <cell r="J805">
            <v>9303</v>
          </cell>
        </row>
        <row r="805">
          <cell r="M805">
            <v>45797</v>
          </cell>
        </row>
        <row r="806">
          <cell r="A806">
            <v>1447</v>
          </cell>
        </row>
        <row r="806">
          <cell r="C806" t="str">
            <v>章鹏</v>
          </cell>
          <cell r="D806" t="str">
            <v>其他</v>
          </cell>
        </row>
        <row r="806">
          <cell r="I806" t="str">
            <v>原开品</v>
          </cell>
          <cell r="J806">
            <v>9304</v>
          </cell>
        </row>
        <row r="806">
          <cell r="M806">
            <v>45801</v>
          </cell>
        </row>
        <row r="807">
          <cell r="A807">
            <v>1446</v>
          </cell>
        </row>
        <row r="807">
          <cell r="C807" t="str">
            <v>章鹏</v>
          </cell>
          <cell r="D807" t="str">
            <v>其他</v>
          </cell>
        </row>
        <row r="807">
          <cell r="I807" t="str">
            <v>拓展品</v>
          </cell>
          <cell r="J807">
            <v>8944</v>
          </cell>
        </row>
        <row r="807">
          <cell r="M807">
            <v>45810</v>
          </cell>
        </row>
        <row r="808">
          <cell r="A808">
            <v>11076</v>
          </cell>
        </row>
        <row r="808">
          <cell r="C808" t="str">
            <v>王偲涵</v>
          </cell>
          <cell r="D808" t="str">
            <v>雨刮罩</v>
          </cell>
        </row>
        <row r="808">
          <cell r="I808" t="str">
            <v>原开品</v>
          </cell>
          <cell r="J808">
            <v>8989</v>
          </cell>
        </row>
        <row r="808">
          <cell r="M808">
            <v>45798</v>
          </cell>
        </row>
        <row r="809">
          <cell r="A809">
            <v>11086</v>
          </cell>
        </row>
        <row r="809">
          <cell r="C809" t="str">
            <v>胡煜星</v>
          </cell>
          <cell r="D809" t="str">
            <v>玻璃</v>
          </cell>
        </row>
        <row r="809">
          <cell r="I809" t="str">
            <v>原开品</v>
          </cell>
          <cell r="J809">
            <v>8990</v>
          </cell>
        </row>
        <row r="809">
          <cell r="M809">
            <v>45797</v>
          </cell>
        </row>
        <row r="810">
          <cell r="A810">
            <v>11091</v>
          </cell>
        </row>
        <row r="810">
          <cell r="C810" t="str">
            <v>张潇</v>
          </cell>
          <cell r="D810" t="str">
            <v>挡泥板</v>
          </cell>
        </row>
        <row r="810">
          <cell r="I810" t="str">
            <v>拓展品</v>
          </cell>
          <cell r="J810">
            <v>9672</v>
          </cell>
        </row>
        <row r="810">
          <cell r="M810">
            <v>45881</v>
          </cell>
        </row>
        <row r="811">
          <cell r="A811">
            <v>11093</v>
          </cell>
        </row>
        <row r="811">
          <cell r="C811" t="str">
            <v>朱培源</v>
          </cell>
          <cell r="D811" t="str">
            <v>机盖及附件</v>
          </cell>
        </row>
        <row r="811">
          <cell r="I811" t="str">
            <v>拓展品</v>
          </cell>
          <cell r="J811">
            <v>9673</v>
          </cell>
        </row>
        <row r="811">
          <cell r="M811">
            <v>45926</v>
          </cell>
        </row>
        <row r="812">
          <cell r="A812">
            <v>11096</v>
          </cell>
        </row>
        <row r="812">
          <cell r="C812" t="str">
            <v>转二部</v>
          </cell>
          <cell r="D812" t="str">
            <v>其他</v>
          </cell>
        </row>
        <row r="812">
          <cell r="I812" t="str">
            <v>拓展品</v>
          </cell>
          <cell r="J812">
            <v>9674</v>
          </cell>
        </row>
        <row r="812">
          <cell r="M812">
            <v>45856</v>
          </cell>
        </row>
        <row r="813">
          <cell r="A813">
            <v>11100</v>
          </cell>
        </row>
        <row r="813">
          <cell r="C813" t="str">
            <v>俞东旭</v>
          </cell>
          <cell r="D813" t="str">
            <v>挡泥板</v>
          </cell>
        </row>
        <row r="813">
          <cell r="I813" t="str">
            <v>拓展品</v>
          </cell>
          <cell r="J813">
            <v>9675</v>
          </cell>
        </row>
        <row r="813">
          <cell r="M813">
            <v>45874</v>
          </cell>
        </row>
        <row r="814">
          <cell r="A814">
            <v>11101</v>
          </cell>
        </row>
        <row r="814">
          <cell r="C814" t="str">
            <v>俞东旭</v>
          </cell>
          <cell r="D814" t="str">
            <v>挡泥板</v>
          </cell>
        </row>
        <row r="814">
          <cell r="I814" t="str">
            <v>拓展品</v>
          </cell>
          <cell r="J814">
            <v>9676</v>
          </cell>
        </row>
        <row r="814">
          <cell r="M814">
            <v>45847</v>
          </cell>
        </row>
        <row r="815">
          <cell r="A815">
            <v>11102</v>
          </cell>
        </row>
        <row r="815">
          <cell r="C815" t="str">
            <v>张潇</v>
          </cell>
          <cell r="D815" t="str">
            <v>车门系统</v>
          </cell>
        </row>
        <row r="815">
          <cell r="I815" t="str">
            <v>拓展品</v>
          </cell>
          <cell r="J815">
            <v>9677</v>
          </cell>
        </row>
        <row r="815">
          <cell r="M815">
            <v>45825</v>
          </cell>
        </row>
        <row r="816">
          <cell r="A816">
            <v>11103</v>
          </cell>
        </row>
        <row r="816">
          <cell r="C816" t="str">
            <v>朱培源</v>
          </cell>
          <cell r="D816" t="str">
            <v>机盖及附件</v>
          </cell>
        </row>
        <row r="816">
          <cell r="I816" t="str">
            <v>拓展品</v>
          </cell>
          <cell r="J816">
            <v>9678</v>
          </cell>
        </row>
        <row r="816">
          <cell r="M816">
            <v>45818</v>
          </cell>
        </row>
        <row r="817">
          <cell r="A817">
            <v>11104</v>
          </cell>
        </row>
        <row r="817">
          <cell r="C817" t="str">
            <v>朱培源</v>
          </cell>
          <cell r="D817" t="str">
            <v>机盖及附件</v>
          </cell>
        </row>
        <row r="817">
          <cell r="I817" t="str">
            <v>拓展品</v>
          </cell>
          <cell r="J817">
            <v>9679</v>
          </cell>
        </row>
        <row r="817">
          <cell r="M817">
            <v>45818</v>
          </cell>
        </row>
        <row r="818">
          <cell r="A818">
            <v>11106</v>
          </cell>
        </row>
        <row r="818">
          <cell r="C818" t="str">
            <v>朱培源</v>
          </cell>
          <cell r="D818" t="str">
            <v>机盖及附件</v>
          </cell>
        </row>
        <row r="818">
          <cell r="I818" t="str">
            <v>原开品</v>
          </cell>
          <cell r="J818">
            <v>9683</v>
          </cell>
        </row>
        <row r="818">
          <cell r="M818">
            <v>45800</v>
          </cell>
        </row>
        <row r="819">
          <cell r="A819">
            <v>11137</v>
          </cell>
        </row>
        <row r="819">
          <cell r="C819" t="str">
            <v>俞东旭</v>
          </cell>
          <cell r="D819" t="str">
            <v>车门系统</v>
          </cell>
        </row>
        <row r="819">
          <cell r="I819" t="str">
            <v>原开品</v>
          </cell>
          <cell r="J819">
            <v>9697</v>
          </cell>
        </row>
        <row r="819">
          <cell r="M819">
            <v>45806</v>
          </cell>
        </row>
        <row r="820">
          <cell r="A820">
            <v>11178</v>
          </cell>
        </row>
        <row r="820">
          <cell r="C820" t="str">
            <v>转二部</v>
          </cell>
          <cell r="D820" t="str">
            <v>玻璃</v>
          </cell>
        </row>
        <row r="820">
          <cell r="I820" t="str">
            <v>原开品</v>
          </cell>
          <cell r="J820">
            <v>9698</v>
          </cell>
        </row>
        <row r="820">
          <cell r="M820">
            <v>45810</v>
          </cell>
        </row>
        <row r="821">
          <cell r="A821">
            <v>11179</v>
          </cell>
        </row>
        <row r="821">
          <cell r="C821" t="str">
            <v>胡煜星</v>
          </cell>
          <cell r="D821" t="str">
            <v>玻璃</v>
          </cell>
        </row>
        <row r="821">
          <cell r="I821" t="str">
            <v>拓展品</v>
          </cell>
          <cell r="J821">
            <v>9646</v>
          </cell>
        </row>
        <row r="821">
          <cell r="M821">
            <v>45803</v>
          </cell>
        </row>
        <row r="822">
          <cell r="A822">
            <v>11187</v>
          </cell>
        </row>
        <row r="822">
          <cell r="C822" t="str">
            <v>胡煜星</v>
          </cell>
          <cell r="D822" t="str">
            <v>玻璃</v>
          </cell>
        </row>
        <row r="822">
          <cell r="I822" t="str">
            <v>拓展品</v>
          </cell>
          <cell r="J822">
            <v>9647</v>
          </cell>
        </row>
        <row r="822">
          <cell r="M822">
            <v>45802</v>
          </cell>
        </row>
        <row r="823">
          <cell r="A823">
            <v>11188</v>
          </cell>
        </row>
        <row r="823">
          <cell r="C823" t="str">
            <v>胡煜星</v>
          </cell>
          <cell r="D823" t="str">
            <v>玻璃</v>
          </cell>
        </row>
        <row r="823">
          <cell r="I823" t="str">
            <v>拓展品</v>
          </cell>
          <cell r="J823">
            <v>9684</v>
          </cell>
        </row>
        <row r="823">
          <cell r="M823">
            <v>45803</v>
          </cell>
        </row>
        <row r="824">
          <cell r="A824">
            <v>11192</v>
          </cell>
        </row>
        <row r="824">
          <cell r="C824" t="str">
            <v>俞东旭</v>
          </cell>
          <cell r="D824" t="str">
            <v>车门系统</v>
          </cell>
        </row>
        <row r="824">
          <cell r="I824" t="str">
            <v>拓展品</v>
          </cell>
          <cell r="J824">
            <v>9686</v>
          </cell>
        </row>
        <row r="824">
          <cell r="M824">
            <v>45806</v>
          </cell>
        </row>
        <row r="825">
          <cell r="A825">
            <v>11193</v>
          </cell>
        </row>
        <row r="825">
          <cell r="C825" t="str">
            <v>俞东旭</v>
          </cell>
          <cell r="D825" t="str">
            <v>车门系统</v>
          </cell>
        </row>
        <row r="825">
          <cell r="I825" t="str">
            <v>拓展品</v>
          </cell>
          <cell r="J825">
            <v>9687</v>
          </cell>
        </row>
        <row r="825">
          <cell r="M825">
            <v>45806</v>
          </cell>
        </row>
        <row r="826">
          <cell r="A826">
            <v>11219</v>
          </cell>
        </row>
        <row r="826">
          <cell r="C826" t="str">
            <v>俞东旭</v>
          </cell>
          <cell r="D826" t="str">
            <v>挡泥板</v>
          </cell>
        </row>
        <row r="826">
          <cell r="I826" t="str">
            <v>原开品</v>
          </cell>
          <cell r="J826">
            <v>9649</v>
          </cell>
        </row>
        <row r="826">
          <cell r="M826">
            <v>45807</v>
          </cell>
        </row>
        <row r="827">
          <cell r="A827">
            <v>11223</v>
          </cell>
        </row>
        <row r="827">
          <cell r="C827" t="str">
            <v>朱培源</v>
          </cell>
          <cell r="D827" t="str">
            <v>挡泥板</v>
          </cell>
        </row>
        <row r="827">
          <cell r="I827" t="str">
            <v>原开品</v>
          </cell>
          <cell r="J827">
            <v>9650</v>
          </cell>
        </row>
        <row r="827">
          <cell r="M827">
            <v>45809</v>
          </cell>
        </row>
        <row r="828">
          <cell r="A828">
            <v>11230</v>
          </cell>
        </row>
        <row r="828">
          <cell r="C828" t="str">
            <v>朱培源</v>
          </cell>
          <cell r="D828" t="str">
            <v>挡泥板</v>
          </cell>
        </row>
        <row r="828">
          <cell r="I828" t="str">
            <v>拓展品</v>
          </cell>
          <cell r="J828">
            <v>9885</v>
          </cell>
        </row>
        <row r="828">
          <cell r="M828">
            <v>45815</v>
          </cell>
        </row>
        <row r="829">
          <cell r="A829">
            <v>11233</v>
          </cell>
        </row>
        <row r="829">
          <cell r="C829" t="str">
            <v>俞东旭</v>
          </cell>
          <cell r="D829" t="str">
            <v>挡泥板</v>
          </cell>
        </row>
        <row r="829">
          <cell r="I829" t="str">
            <v>拓展品</v>
          </cell>
          <cell r="J829">
            <v>9623</v>
          </cell>
        </row>
        <row r="829">
          <cell r="M829">
            <v>45827</v>
          </cell>
        </row>
        <row r="830">
          <cell r="A830">
            <v>11240</v>
          </cell>
        </row>
        <row r="830">
          <cell r="C830" t="str">
            <v>胡煜星</v>
          </cell>
          <cell r="D830" t="str">
            <v>车门系统</v>
          </cell>
        </row>
        <row r="830">
          <cell r="I830" t="str">
            <v>原开品</v>
          </cell>
          <cell r="J830">
            <v>9517</v>
          </cell>
        </row>
        <row r="830">
          <cell r="M830">
            <v>45826</v>
          </cell>
        </row>
        <row r="831">
          <cell r="A831">
            <v>11244</v>
          </cell>
        </row>
        <row r="831">
          <cell r="C831" t="str">
            <v>俞东旭</v>
          </cell>
          <cell r="D831" t="str">
            <v>挡泥板</v>
          </cell>
        </row>
        <row r="831">
          <cell r="I831" t="str">
            <v>原开品</v>
          </cell>
          <cell r="J831">
            <v>9518</v>
          </cell>
        </row>
        <row r="831">
          <cell r="M831">
            <v>45812</v>
          </cell>
        </row>
        <row r="832">
          <cell r="A832">
            <v>11245</v>
          </cell>
        </row>
        <row r="832">
          <cell r="C832" t="str">
            <v>俞东旭</v>
          </cell>
          <cell r="D832" t="str">
            <v>挡泥板</v>
          </cell>
        </row>
        <row r="832">
          <cell r="I832" t="str">
            <v>拓展品</v>
          </cell>
          <cell r="J832">
            <v>9886</v>
          </cell>
        </row>
        <row r="833">
          <cell r="A833">
            <v>11246</v>
          </cell>
        </row>
        <row r="833">
          <cell r="C833" t="str">
            <v>俞东旭</v>
          </cell>
          <cell r="D833" t="str">
            <v>挡泥板</v>
          </cell>
        </row>
        <row r="833">
          <cell r="I833" t="str">
            <v>拓展品</v>
          </cell>
          <cell r="J833">
            <v>9723</v>
          </cell>
        </row>
        <row r="833">
          <cell r="M833">
            <v>45812</v>
          </cell>
        </row>
        <row r="834">
          <cell r="A834">
            <v>11257</v>
          </cell>
        </row>
        <row r="834">
          <cell r="C834" t="str">
            <v>转二部</v>
          </cell>
          <cell r="D834" t="str">
            <v>挡泥板</v>
          </cell>
        </row>
        <row r="834">
          <cell r="I834" t="str">
            <v>拓展品</v>
          </cell>
          <cell r="J834">
            <v>9685</v>
          </cell>
        </row>
        <row r="834">
          <cell r="M834">
            <v>45826</v>
          </cell>
        </row>
        <row r="835">
          <cell r="A835">
            <v>11258</v>
          </cell>
        </row>
        <row r="835">
          <cell r="C835" t="str">
            <v>转二部</v>
          </cell>
          <cell r="D835" t="str">
            <v>挡泥板</v>
          </cell>
        </row>
        <row r="835">
          <cell r="I835" t="str">
            <v>原开品</v>
          </cell>
          <cell r="J835">
            <v>9532</v>
          </cell>
        </row>
        <row r="835">
          <cell r="M835">
            <v>45822</v>
          </cell>
        </row>
        <row r="836">
          <cell r="A836">
            <v>11262</v>
          </cell>
        </row>
        <row r="836">
          <cell r="C836" t="str">
            <v>胡煜星</v>
          </cell>
          <cell r="D836" t="str">
            <v>车门系统</v>
          </cell>
        </row>
        <row r="836">
          <cell r="I836" t="str">
            <v>原开品</v>
          </cell>
          <cell r="J836">
            <v>9725</v>
          </cell>
        </row>
        <row r="836">
          <cell r="M836">
            <v>45815</v>
          </cell>
        </row>
        <row r="837">
          <cell r="A837">
            <v>11270</v>
          </cell>
        </row>
        <row r="837">
          <cell r="C837" t="str">
            <v>俞东旭</v>
          </cell>
          <cell r="D837" t="str">
            <v>车门系统</v>
          </cell>
        </row>
        <row r="837">
          <cell r="I837" t="str">
            <v>原开品</v>
          </cell>
          <cell r="J837">
            <v>9776</v>
          </cell>
        </row>
        <row r="837">
          <cell r="M837">
            <v>45814</v>
          </cell>
        </row>
        <row r="838">
          <cell r="A838">
            <v>11284</v>
          </cell>
        </row>
        <row r="838">
          <cell r="C838" t="str">
            <v>俞东旭</v>
          </cell>
          <cell r="D838" t="str">
            <v>挡泥板</v>
          </cell>
        </row>
        <row r="838">
          <cell r="I838" t="str">
            <v>原开品</v>
          </cell>
          <cell r="J838">
            <v>9488</v>
          </cell>
        </row>
        <row r="838">
          <cell r="M838">
            <v>45814</v>
          </cell>
        </row>
        <row r="839">
          <cell r="A839">
            <v>11288</v>
          </cell>
        </row>
        <row r="839">
          <cell r="C839" t="str">
            <v>俞东旭</v>
          </cell>
          <cell r="D839" t="str">
            <v>车门系统</v>
          </cell>
        </row>
        <row r="839">
          <cell r="I839" t="str">
            <v>拓展品</v>
          </cell>
          <cell r="J839">
            <v>9497</v>
          </cell>
        </row>
        <row r="839">
          <cell r="M839">
            <v>45891</v>
          </cell>
        </row>
        <row r="840">
          <cell r="A840">
            <v>11289</v>
          </cell>
        </row>
        <row r="840">
          <cell r="C840" t="str">
            <v>转二部</v>
          </cell>
          <cell r="D840" t="str">
            <v>车门系统</v>
          </cell>
        </row>
        <row r="840">
          <cell r="I840" t="str">
            <v>拓展品</v>
          </cell>
          <cell r="J840">
            <v>9498</v>
          </cell>
        </row>
        <row r="840">
          <cell r="M840">
            <v>46117</v>
          </cell>
        </row>
        <row r="841">
          <cell r="A841">
            <v>11290</v>
          </cell>
        </row>
        <row r="841">
          <cell r="C841" t="str">
            <v>俞东旭</v>
          </cell>
          <cell r="D841" t="str">
            <v>车门系统</v>
          </cell>
        </row>
        <row r="841">
          <cell r="I841" t="str">
            <v>原开品</v>
          </cell>
          <cell r="J841">
            <v>9496</v>
          </cell>
        </row>
        <row r="841">
          <cell r="M841">
            <v>45803</v>
          </cell>
        </row>
        <row r="842">
          <cell r="A842">
            <v>11312</v>
          </cell>
        </row>
        <row r="842">
          <cell r="C842" t="str">
            <v>朱培源</v>
          </cell>
          <cell r="D842" t="str">
            <v>挡泥板</v>
          </cell>
        </row>
        <row r="842">
          <cell r="I842" t="str">
            <v>原开品</v>
          </cell>
          <cell r="J842">
            <v>9731</v>
          </cell>
        </row>
        <row r="842">
          <cell r="M842" t="str">
            <v>2025/6/14</v>
          </cell>
        </row>
        <row r="843">
          <cell r="A843">
            <v>11327</v>
          </cell>
        </row>
        <row r="843">
          <cell r="C843" t="str">
            <v>朱培源</v>
          </cell>
          <cell r="D843" t="str">
            <v>机盖及附件</v>
          </cell>
        </row>
        <row r="843">
          <cell r="I843" t="str">
            <v>拓展品</v>
          </cell>
          <cell r="J843">
            <v>9732</v>
          </cell>
        </row>
        <row r="843">
          <cell r="M843">
            <v>45852</v>
          </cell>
        </row>
        <row r="844">
          <cell r="A844">
            <v>11330</v>
          </cell>
        </row>
        <row r="844">
          <cell r="C844" t="str">
            <v>俞东旭</v>
          </cell>
          <cell r="D844" t="str">
            <v>车门系统</v>
          </cell>
        </row>
        <row r="844">
          <cell r="I844" t="str">
            <v>拓展品</v>
          </cell>
          <cell r="J844">
            <v>9733</v>
          </cell>
        </row>
        <row r="844">
          <cell r="M844">
            <v>45818</v>
          </cell>
        </row>
        <row r="845">
          <cell r="A845">
            <v>11331</v>
          </cell>
        </row>
        <row r="845">
          <cell r="C845" t="str">
            <v>俞东旭</v>
          </cell>
          <cell r="D845" t="str">
            <v>车门系统</v>
          </cell>
        </row>
        <row r="845">
          <cell r="I845" t="str">
            <v>拓展品</v>
          </cell>
          <cell r="J845">
            <v>9803</v>
          </cell>
        </row>
        <row r="845">
          <cell r="M845">
            <v>45817</v>
          </cell>
        </row>
        <row r="846">
          <cell r="A846">
            <v>11345</v>
          </cell>
        </row>
        <row r="846">
          <cell r="C846" t="str">
            <v>胡煜星</v>
          </cell>
          <cell r="D846" t="str">
            <v>车门系统</v>
          </cell>
        </row>
        <row r="846">
          <cell r="I846" t="str">
            <v>原开品</v>
          </cell>
          <cell r="J846">
            <v>9494</v>
          </cell>
        </row>
        <row r="846">
          <cell r="M846">
            <v>45815</v>
          </cell>
        </row>
        <row r="847">
          <cell r="A847">
            <v>11346</v>
          </cell>
        </row>
        <row r="847">
          <cell r="C847" t="str">
            <v>朱培源</v>
          </cell>
          <cell r="D847" t="str">
            <v>机盖及附件</v>
          </cell>
        </row>
        <row r="847">
          <cell r="I847" t="str">
            <v>拓展品</v>
          </cell>
          <cell r="J847">
            <v>9561</v>
          </cell>
        </row>
        <row r="847">
          <cell r="M847">
            <v>45820</v>
          </cell>
        </row>
        <row r="848">
          <cell r="A848">
            <v>11348</v>
          </cell>
        </row>
        <row r="848">
          <cell r="C848" t="str">
            <v>胡煜星</v>
          </cell>
          <cell r="D848" t="str">
            <v>车门系统</v>
          </cell>
        </row>
        <row r="848">
          <cell r="I848" t="str">
            <v>拓展品</v>
          </cell>
          <cell r="J848">
            <v>9694</v>
          </cell>
        </row>
        <row r="848">
          <cell r="M848" t="str">
            <v>2025/6/14</v>
          </cell>
        </row>
        <row r="849">
          <cell r="A849">
            <v>11349</v>
          </cell>
        </row>
        <row r="849">
          <cell r="C849" t="str">
            <v>胡煜星</v>
          </cell>
          <cell r="D849" t="str">
            <v>车门系统</v>
          </cell>
        </row>
        <row r="849">
          <cell r="I849" t="str">
            <v>原开品</v>
          </cell>
          <cell r="J849">
            <v>9695</v>
          </cell>
        </row>
        <row r="849">
          <cell r="M849">
            <v>45843</v>
          </cell>
        </row>
        <row r="850">
          <cell r="A850">
            <v>11350</v>
          </cell>
        </row>
        <row r="850">
          <cell r="C850" t="str">
            <v>胡煜星</v>
          </cell>
          <cell r="D850" t="str">
            <v>车门系统</v>
          </cell>
        </row>
        <row r="850">
          <cell r="I850" t="str">
            <v>原开品</v>
          </cell>
          <cell r="J850">
            <v>9696</v>
          </cell>
        </row>
        <row r="850">
          <cell r="M850">
            <v>45819</v>
          </cell>
        </row>
        <row r="851">
          <cell r="A851">
            <v>11380</v>
          </cell>
        </row>
        <row r="851">
          <cell r="C851" t="str">
            <v>胡煜星</v>
          </cell>
          <cell r="D851" t="str">
            <v>车门系统</v>
          </cell>
        </row>
        <row r="851">
          <cell r="I851" t="str">
            <v>拓展品</v>
          </cell>
          <cell r="J851">
            <v>9539</v>
          </cell>
        </row>
        <row r="851">
          <cell r="M851">
            <v>45832</v>
          </cell>
        </row>
        <row r="852">
          <cell r="A852">
            <v>11394</v>
          </cell>
        </row>
        <row r="852">
          <cell r="C852" t="str">
            <v>转二部</v>
          </cell>
          <cell r="D852" t="str">
            <v>车门系统</v>
          </cell>
        </row>
        <row r="852">
          <cell r="I852" t="str">
            <v>原开品</v>
          </cell>
          <cell r="J852">
            <v>9777</v>
          </cell>
        </row>
        <row r="852">
          <cell r="M852">
            <v>45864</v>
          </cell>
        </row>
        <row r="853">
          <cell r="A853">
            <v>11398</v>
          </cell>
        </row>
        <row r="853">
          <cell r="C853" t="str">
            <v>朱培源</v>
          </cell>
          <cell r="D853" t="str">
            <v>挡泥板</v>
          </cell>
        </row>
        <row r="853">
          <cell r="I853" t="str">
            <v>拓展品</v>
          </cell>
          <cell r="J853">
            <v>9888</v>
          </cell>
        </row>
        <row r="853">
          <cell r="M853">
            <v>45824</v>
          </cell>
        </row>
        <row r="854">
          <cell r="A854">
            <v>11446</v>
          </cell>
        </row>
        <row r="854">
          <cell r="C854" t="str">
            <v>张潇</v>
          </cell>
          <cell r="D854" t="str">
            <v>牌照板支架</v>
          </cell>
        </row>
        <row r="854">
          <cell r="I854" t="str">
            <v>原开品</v>
          </cell>
          <cell r="J854">
            <v>9981</v>
          </cell>
        </row>
        <row r="854">
          <cell r="M854">
            <v>45829</v>
          </cell>
        </row>
        <row r="855">
          <cell r="A855">
            <v>11405</v>
          </cell>
        </row>
        <row r="855">
          <cell r="C855" t="str">
            <v>章鹏</v>
          </cell>
          <cell r="D855" t="str">
            <v>其他</v>
          </cell>
        </row>
        <row r="855">
          <cell r="I855" t="str">
            <v>原开品</v>
          </cell>
          <cell r="J855">
            <v>9938</v>
          </cell>
        </row>
        <row r="855">
          <cell r="M855">
            <v>45833</v>
          </cell>
        </row>
        <row r="856">
          <cell r="A856">
            <v>11406</v>
          </cell>
        </row>
        <row r="856">
          <cell r="C856" t="str">
            <v>章鹏</v>
          </cell>
          <cell r="D856" t="str">
            <v>其他</v>
          </cell>
        </row>
        <row r="856">
          <cell r="I856" t="str">
            <v>原开品</v>
          </cell>
          <cell r="J856">
            <v>9806</v>
          </cell>
        </row>
        <row r="856">
          <cell r="M856">
            <v>45832</v>
          </cell>
        </row>
        <row r="857">
          <cell r="A857">
            <v>11455</v>
          </cell>
        </row>
        <row r="857">
          <cell r="C857" t="str">
            <v>俞东旭</v>
          </cell>
          <cell r="D857" t="str">
            <v>车门系统</v>
          </cell>
        </row>
        <row r="857">
          <cell r="I857" t="str">
            <v>原开品</v>
          </cell>
          <cell r="J857">
            <v>9894</v>
          </cell>
        </row>
        <row r="857">
          <cell r="M857">
            <v>45825</v>
          </cell>
        </row>
        <row r="858">
          <cell r="A858">
            <v>11456</v>
          </cell>
        </row>
        <row r="858">
          <cell r="C858" t="str">
            <v>俞东旭</v>
          </cell>
          <cell r="D858" t="str">
            <v>车门系统</v>
          </cell>
        </row>
        <row r="858">
          <cell r="I858" t="str">
            <v>拓展品</v>
          </cell>
          <cell r="J858">
            <v>9814</v>
          </cell>
        </row>
        <row r="858">
          <cell r="M858">
            <v>45841</v>
          </cell>
        </row>
        <row r="859">
          <cell r="A859">
            <v>11464</v>
          </cell>
        </row>
        <row r="859">
          <cell r="C859" t="str">
            <v>朱培源</v>
          </cell>
          <cell r="D859" t="str">
            <v>挡泥板</v>
          </cell>
        </row>
        <row r="859">
          <cell r="I859" t="str">
            <v>原开品</v>
          </cell>
          <cell r="J859">
            <v>9901</v>
          </cell>
        </row>
        <row r="859">
          <cell r="M859">
            <v>45833</v>
          </cell>
        </row>
        <row r="860">
          <cell r="A860">
            <v>11465</v>
          </cell>
        </row>
        <row r="860">
          <cell r="C860" t="str">
            <v>朱培源</v>
          </cell>
          <cell r="D860" t="str">
            <v>挡泥板</v>
          </cell>
        </row>
        <row r="860">
          <cell r="I860" t="str">
            <v>原开品</v>
          </cell>
          <cell r="J860">
            <v>9895</v>
          </cell>
        </row>
        <row r="860">
          <cell r="M860">
            <v>45859</v>
          </cell>
        </row>
        <row r="861">
          <cell r="A861">
            <v>11490</v>
          </cell>
        </row>
        <row r="861">
          <cell r="C861" t="str">
            <v>朱培源</v>
          </cell>
          <cell r="D861" t="str">
            <v>机盖及附件</v>
          </cell>
        </row>
        <row r="861">
          <cell r="I861" t="str">
            <v>原开品</v>
          </cell>
          <cell r="J861">
            <v>9812</v>
          </cell>
        </row>
        <row r="861">
          <cell r="M861">
            <v>45826</v>
          </cell>
        </row>
        <row r="862">
          <cell r="A862">
            <v>4133</v>
          </cell>
        </row>
        <row r="862">
          <cell r="C862" t="str">
            <v>俞东旭</v>
          </cell>
          <cell r="D862" t="str">
            <v>车身外扩件</v>
          </cell>
        </row>
        <row r="862">
          <cell r="I862" t="str">
            <v>原开品</v>
          </cell>
          <cell r="J862">
            <v>9771</v>
          </cell>
        </row>
        <row r="862">
          <cell r="M862">
            <v>45826</v>
          </cell>
        </row>
        <row r="863">
          <cell r="A863">
            <v>11510</v>
          </cell>
        </row>
        <row r="863">
          <cell r="C863" t="str">
            <v>胡煜星</v>
          </cell>
          <cell r="D863" t="str">
            <v>车门系统</v>
          </cell>
        </row>
        <row r="863">
          <cell r="I863" t="str">
            <v>原开品</v>
          </cell>
          <cell r="J863">
            <v>9805</v>
          </cell>
        </row>
        <row r="863">
          <cell r="M863">
            <v>45829</v>
          </cell>
        </row>
        <row r="864">
          <cell r="A864">
            <v>11512</v>
          </cell>
        </row>
        <row r="864">
          <cell r="C864" t="str">
            <v>朱培源</v>
          </cell>
          <cell r="D864" t="str">
            <v>饰条</v>
          </cell>
        </row>
        <row r="864">
          <cell r="I864" t="str">
            <v>拓展品</v>
          </cell>
          <cell r="J864">
            <v>9816</v>
          </cell>
        </row>
        <row r="864">
          <cell r="M864">
            <v>45960</v>
          </cell>
        </row>
        <row r="865">
          <cell r="A865">
            <v>11513</v>
          </cell>
        </row>
        <row r="865">
          <cell r="C865" t="str">
            <v>朱培源</v>
          </cell>
          <cell r="D865" t="str">
            <v>饰条</v>
          </cell>
        </row>
        <row r="865">
          <cell r="I865" t="str">
            <v>原开品</v>
          </cell>
          <cell r="J865">
            <v>9904</v>
          </cell>
        </row>
        <row r="865">
          <cell r="M865">
            <v>45826</v>
          </cell>
        </row>
        <row r="866">
          <cell r="A866">
            <v>11528</v>
          </cell>
        </row>
        <row r="866">
          <cell r="C866" t="str">
            <v>朱培源</v>
          </cell>
          <cell r="D866" t="str">
            <v>挡泥板</v>
          </cell>
        </row>
        <row r="866">
          <cell r="I866" t="str">
            <v>拓展品</v>
          </cell>
          <cell r="J866">
            <v>10349</v>
          </cell>
        </row>
        <row r="866">
          <cell r="M866">
            <v>45826</v>
          </cell>
        </row>
        <row r="867">
          <cell r="A867">
            <v>11546</v>
          </cell>
        </row>
        <row r="867">
          <cell r="C867" t="str">
            <v>俞东旭</v>
          </cell>
          <cell r="D867" t="str">
            <v>车门系统</v>
          </cell>
        </row>
        <row r="867">
          <cell r="I867" t="str">
            <v>拓展品</v>
          </cell>
          <cell r="J867">
            <v>9912</v>
          </cell>
        </row>
        <row r="867">
          <cell r="M867">
            <v>45838</v>
          </cell>
        </row>
        <row r="868">
          <cell r="A868">
            <v>11547</v>
          </cell>
        </row>
        <row r="868">
          <cell r="C868" t="str">
            <v>朱培源</v>
          </cell>
          <cell r="D868" t="str">
            <v>机盖及附件</v>
          </cell>
        </row>
        <row r="868">
          <cell r="I868" t="str">
            <v>原开品</v>
          </cell>
          <cell r="J868">
            <v>9860</v>
          </cell>
        </row>
        <row r="868">
          <cell r="M868">
            <v>45832</v>
          </cell>
        </row>
        <row r="869">
          <cell r="A869">
            <v>11552</v>
          </cell>
        </row>
        <row r="869">
          <cell r="C869" t="str">
            <v>胡煜星</v>
          </cell>
          <cell r="D869" t="str">
            <v>车门系统</v>
          </cell>
        </row>
        <row r="869">
          <cell r="I869" t="str">
            <v>拓展品</v>
          </cell>
          <cell r="J869">
            <v>9939</v>
          </cell>
        </row>
        <row r="869">
          <cell r="M869">
            <v>45826</v>
          </cell>
        </row>
        <row r="870">
          <cell r="A870">
            <v>11553</v>
          </cell>
        </row>
        <row r="870">
          <cell r="C870" t="str">
            <v>胡煜星</v>
          </cell>
          <cell r="D870" t="str">
            <v>车门系统</v>
          </cell>
        </row>
        <row r="870">
          <cell r="I870" t="str">
            <v>原开品</v>
          </cell>
          <cell r="J870">
            <v>9953</v>
          </cell>
        </row>
        <row r="870">
          <cell r="M870">
            <v>45858</v>
          </cell>
        </row>
        <row r="871">
          <cell r="A871">
            <v>11554</v>
          </cell>
        </row>
        <row r="871">
          <cell r="C871" t="str">
            <v>胡煜星</v>
          </cell>
          <cell r="D871" t="str">
            <v>车门系统</v>
          </cell>
        </row>
        <row r="871">
          <cell r="I871" t="str">
            <v>原开品</v>
          </cell>
          <cell r="J871">
            <v>9821</v>
          </cell>
        </row>
        <row r="871">
          <cell r="M871">
            <v>45842</v>
          </cell>
        </row>
        <row r="872">
          <cell r="A872">
            <v>11600</v>
          </cell>
        </row>
        <row r="872">
          <cell r="C872" t="str">
            <v>俞东旭</v>
          </cell>
          <cell r="D872" t="str">
            <v>车门系统</v>
          </cell>
        </row>
        <row r="872">
          <cell r="I872" t="str">
            <v>原开品</v>
          </cell>
          <cell r="J872">
            <v>9817</v>
          </cell>
        </row>
        <row r="872">
          <cell r="M872">
            <v>45840</v>
          </cell>
        </row>
        <row r="873">
          <cell r="A873">
            <v>11601</v>
          </cell>
        </row>
        <row r="873">
          <cell r="C873" t="str">
            <v>俞东旭</v>
          </cell>
          <cell r="D873" t="str">
            <v>车门系统</v>
          </cell>
        </row>
        <row r="873">
          <cell r="I873" t="str">
            <v>拓展品</v>
          </cell>
          <cell r="J873">
            <v>9853</v>
          </cell>
        </row>
        <row r="873">
          <cell r="M873" t="str">
            <v>2025/7/8</v>
          </cell>
        </row>
        <row r="874">
          <cell r="A874">
            <v>11603</v>
          </cell>
        </row>
        <row r="874">
          <cell r="C874" t="str">
            <v>朱培源</v>
          </cell>
          <cell r="D874" t="str">
            <v>挡泥板</v>
          </cell>
        </row>
        <row r="874">
          <cell r="I874" t="str">
            <v>原开品</v>
          </cell>
          <cell r="J874">
            <v>9670</v>
          </cell>
        </row>
        <row r="874">
          <cell r="M874">
            <v>45853</v>
          </cell>
        </row>
        <row r="875">
          <cell r="A875">
            <v>11650</v>
          </cell>
        </row>
        <row r="875">
          <cell r="C875" t="str">
            <v>朱培源</v>
          </cell>
          <cell r="D875" t="str">
            <v>挡泥板</v>
          </cell>
        </row>
        <row r="875">
          <cell r="I875" t="str">
            <v>原开品</v>
          </cell>
          <cell r="J875">
            <v>9932</v>
          </cell>
        </row>
        <row r="875">
          <cell r="M875">
            <v>45834</v>
          </cell>
        </row>
        <row r="876">
          <cell r="A876">
            <v>11655</v>
          </cell>
        </row>
        <row r="876">
          <cell r="C876" t="str">
            <v>俞东旭</v>
          </cell>
          <cell r="D876" t="str">
            <v>车门系统</v>
          </cell>
        </row>
        <row r="876">
          <cell r="I876" t="str">
            <v>拓展品</v>
          </cell>
          <cell r="J876">
            <v>9933</v>
          </cell>
        </row>
        <row r="876">
          <cell r="M876">
            <v>45835</v>
          </cell>
        </row>
        <row r="877">
          <cell r="A877">
            <v>11656</v>
          </cell>
        </row>
        <row r="877">
          <cell r="C877" t="str">
            <v>俞东旭</v>
          </cell>
          <cell r="D877" t="str">
            <v>车门系统</v>
          </cell>
        </row>
        <row r="877">
          <cell r="I877" t="str">
            <v>原开品</v>
          </cell>
          <cell r="J877">
            <v>10008</v>
          </cell>
        </row>
        <row r="877">
          <cell r="M877">
            <v>45847</v>
          </cell>
        </row>
        <row r="878">
          <cell r="A878">
            <v>11668</v>
          </cell>
        </row>
        <row r="878">
          <cell r="C878" t="str">
            <v>朱培源</v>
          </cell>
          <cell r="D878" t="str">
            <v>机盖及附件</v>
          </cell>
        </row>
        <row r="878">
          <cell r="I878" t="str">
            <v>拓展品</v>
          </cell>
          <cell r="J878">
            <v>10009</v>
          </cell>
        </row>
        <row r="878">
          <cell r="M878">
            <v>45846</v>
          </cell>
        </row>
        <row r="879">
          <cell r="A879">
            <v>11674</v>
          </cell>
        </row>
        <row r="879">
          <cell r="C879" t="str">
            <v>朱培源</v>
          </cell>
          <cell r="D879" t="str">
            <v>机盖及附件</v>
          </cell>
        </row>
        <row r="879">
          <cell r="I879" t="str">
            <v>拓展品</v>
          </cell>
          <cell r="J879">
            <v>9728</v>
          </cell>
        </row>
        <row r="879">
          <cell r="M879">
            <v>45827</v>
          </cell>
        </row>
        <row r="880">
          <cell r="A880">
            <v>11681</v>
          </cell>
        </row>
        <row r="880">
          <cell r="C880" t="str">
            <v>胡煜星</v>
          </cell>
          <cell r="D880" t="str">
            <v>车门系统</v>
          </cell>
        </row>
        <row r="880">
          <cell r="I880" t="str">
            <v>原开品</v>
          </cell>
          <cell r="J880">
            <v>9752</v>
          </cell>
        </row>
        <row r="880">
          <cell r="M880">
            <v>45824</v>
          </cell>
        </row>
        <row r="881">
          <cell r="A881">
            <v>11682</v>
          </cell>
        </row>
        <row r="881">
          <cell r="C881" t="str">
            <v>胡煜星</v>
          </cell>
          <cell r="D881" t="str">
            <v>车门系统</v>
          </cell>
        </row>
        <row r="881">
          <cell r="I881" t="str">
            <v>原开品</v>
          </cell>
          <cell r="J881">
            <v>9701</v>
          </cell>
        </row>
        <row r="881">
          <cell r="M881">
            <v>45827</v>
          </cell>
        </row>
        <row r="882">
          <cell r="A882">
            <v>11683</v>
          </cell>
        </row>
        <row r="882">
          <cell r="C882" t="str">
            <v>胡煜星</v>
          </cell>
          <cell r="D882" t="str">
            <v>车门系统</v>
          </cell>
        </row>
        <row r="882">
          <cell r="I882" t="str">
            <v>原开品</v>
          </cell>
          <cell r="J882">
            <v>10060</v>
          </cell>
        </row>
        <row r="882">
          <cell r="M882">
            <v>45849</v>
          </cell>
        </row>
        <row r="883">
          <cell r="A883">
            <v>11699</v>
          </cell>
        </row>
        <row r="883">
          <cell r="C883" t="str">
            <v>俞东旭</v>
          </cell>
          <cell r="D883" t="str">
            <v>车身外扩件</v>
          </cell>
        </row>
        <row r="883">
          <cell r="I883" t="str">
            <v>原开品</v>
          </cell>
          <cell r="J883">
            <v>10011</v>
          </cell>
        </row>
        <row r="883">
          <cell r="M883">
            <v>45848</v>
          </cell>
        </row>
        <row r="884">
          <cell r="A884">
            <v>11704</v>
          </cell>
        </row>
        <row r="884">
          <cell r="C884" t="str">
            <v>俞东旭</v>
          </cell>
          <cell r="D884" t="str">
            <v>车身外扩件</v>
          </cell>
        </row>
        <row r="884">
          <cell r="I884" t="str">
            <v>拓展品</v>
          </cell>
          <cell r="J884">
            <v>10012</v>
          </cell>
        </row>
        <row r="884">
          <cell r="M884">
            <v>45856</v>
          </cell>
        </row>
        <row r="885">
          <cell r="A885">
            <v>11733</v>
          </cell>
        </row>
        <row r="885">
          <cell r="C885" t="str">
            <v>俞东旭</v>
          </cell>
          <cell r="D885" t="str">
            <v>车门系统</v>
          </cell>
        </row>
        <row r="885">
          <cell r="I885" t="str">
            <v>原开品</v>
          </cell>
          <cell r="J885">
            <v>10107</v>
          </cell>
        </row>
        <row r="885">
          <cell r="M885">
            <v>45875</v>
          </cell>
        </row>
        <row r="886">
          <cell r="A886">
            <v>12303</v>
          </cell>
        </row>
        <row r="886">
          <cell r="C886" t="str">
            <v>俞东旭</v>
          </cell>
          <cell r="D886" t="str">
            <v>车门系统</v>
          </cell>
        </row>
        <row r="886">
          <cell r="I886" t="str">
            <v>拓展品</v>
          </cell>
          <cell r="J886">
            <v>10010</v>
          </cell>
        </row>
        <row r="886">
          <cell r="M886">
            <v>45862</v>
          </cell>
        </row>
        <row r="887">
          <cell r="A887">
            <v>11736</v>
          </cell>
        </row>
        <row r="887">
          <cell r="C887" t="str">
            <v>俞东旭</v>
          </cell>
          <cell r="D887" t="str">
            <v>挡泥板</v>
          </cell>
        </row>
        <row r="887">
          <cell r="I887" t="str">
            <v>拓展品</v>
          </cell>
          <cell r="J887">
            <v>10128</v>
          </cell>
        </row>
        <row r="887">
          <cell r="M887">
            <v>45865</v>
          </cell>
        </row>
        <row r="888">
          <cell r="A888">
            <v>11742</v>
          </cell>
        </row>
        <row r="888">
          <cell r="C888" t="str">
            <v>俞东旭</v>
          </cell>
          <cell r="D888" t="str">
            <v>挡泥板</v>
          </cell>
        </row>
        <row r="888">
          <cell r="I888" t="str">
            <v>原开品</v>
          </cell>
          <cell r="J888">
            <v>10061</v>
          </cell>
        </row>
        <row r="888">
          <cell r="M888">
            <v>45861</v>
          </cell>
        </row>
        <row r="889">
          <cell r="A889">
            <v>11745</v>
          </cell>
        </row>
        <row r="889">
          <cell r="C889" t="str">
            <v>朱培源</v>
          </cell>
          <cell r="D889" t="str">
            <v>机盖及附件</v>
          </cell>
        </row>
        <row r="889">
          <cell r="I889" t="str">
            <v>原开品</v>
          </cell>
          <cell r="J889">
            <v>10062</v>
          </cell>
        </row>
        <row r="889">
          <cell r="M889">
            <v>45863</v>
          </cell>
        </row>
        <row r="890">
          <cell r="A890">
            <v>11751</v>
          </cell>
        </row>
        <row r="890">
          <cell r="C890" t="str">
            <v>王偲涵</v>
          </cell>
          <cell r="D890" t="str">
            <v>饰条</v>
          </cell>
        </row>
        <row r="890">
          <cell r="I890" t="str">
            <v>原开品</v>
          </cell>
          <cell r="J890">
            <v>10226</v>
          </cell>
        </row>
        <row r="890">
          <cell r="M890">
            <v>45864</v>
          </cell>
        </row>
        <row r="891">
          <cell r="A891">
            <v>11756</v>
          </cell>
        </row>
        <row r="891">
          <cell r="C891" t="str">
            <v>胡煜星</v>
          </cell>
          <cell r="D891" t="str">
            <v>车门系统</v>
          </cell>
        </row>
        <row r="891">
          <cell r="I891" t="str">
            <v>原开品</v>
          </cell>
          <cell r="J891">
            <v>10133</v>
          </cell>
        </row>
        <row r="891">
          <cell r="M891">
            <v>45873</v>
          </cell>
        </row>
        <row r="892">
          <cell r="A892">
            <v>11757</v>
          </cell>
        </row>
        <row r="892">
          <cell r="C892" t="str">
            <v>朱培源</v>
          </cell>
          <cell r="D892" t="str">
            <v>饰条</v>
          </cell>
        </row>
        <row r="892">
          <cell r="I892" t="str">
            <v>原开品</v>
          </cell>
          <cell r="J892">
            <v>10127</v>
          </cell>
        </row>
        <row r="892">
          <cell r="M892">
            <v>45871</v>
          </cell>
        </row>
        <row r="893">
          <cell r="A893">
            <v>11758</v>
          </cell>
        </row>
        <row r="893">
          <cell r="C893" t="str">
            <v>朱培源</v>
          </cell>
          <cell r="D893" t="str">
            <v>饰条</v>
          </cell>
        </row>
        <row r="893">
          <cell r="I893" t="str">
            <v>原开品</v>
          </cell>
          <cell r="J893">
            <v>10059</v>
          </cell>
        </row>
        <row r="893">
          <cell r="M893">
            <v>45867</v>
          </cell>
        </row>
        <row r="894">
          <cell r="A894">
            <v>11764</v>
          </cell>
        </row>
        <row r="894">
          <cell r="C894">
            <v>0</v>
          </cell>
          <cell r="D894" t="str">
            <v>挡泥板</v>
          </cell>
        </row>
        <row r="894">
          <cell r="I894" t="str">
            <v>拓展品</v>
          </cell>
          <cell r="J894">
            <v>10089</v>
          </cell>
        </row>
        <row r="894">
          <cell r="M894">
            <v>45869</v>
          </cell>
        </row>
        <row r="895">
          <cell r="A895">
            <v>11765</v>
          </cell>
        </row>
        <row r="895">
          <cell r="C895">
            <v>0</v>
          </cell>
          <cell r="D895" t="str">
            <v>挡泥板</v>
          </cell>
        </row>
        <row r="895">
          <cell r="I895" t="str">
            <v>拓展品</v>
          </cell>
          <cell r="J895">
            <v>10095</v>
          </cell>
        </row>
        <row r="895">
          <cell r="M895">
            <v>45870</v>
          </cell>
        </row>
        <row r="896">
          <cell r="A896">
            <v>11777</v>
          </cell>
        </row>
        <row r="896">
          <cell r="C896" t="str">
            <v>朱培源</v>
          </cell>
          <cell r="D896" t="str">
            <v>机盖及附件</v>
          </cell>
        </row>
        <row r="896">
          <cell r="I896" t="str">
            <v>拓展品</v>
          </cell>
          <cell r="J896">
            <v>10096</v>
          </cell>
        </row>
        <row r="896">
          <cell r="M896">
            <v>45922</v>
          </cell>
        </row>
        <row r="897">
          <cell r="A897">
            <v>11778</v>
          </cell>
        </row>
        <row r="897">
          <cell r="C897" t="str">
            <v>胡煜星</v>
          </cell>
          <cell r="D897" t="str">
            <v>车门系统</v>
          </cell>
        </row>
        <row r="897">
          <cell r="I897" t="str">
            <v>拓展品</v>
          </cell>
          <cell r="J897">
            <v>10350</v>
          </cell>
        </row>
        <row r="897">
          <cell r="M897">
            <v>45873</v>
          </cell>
        </row>
        <row r="898">
          <cell r="A898">
            <v>11780</v>
          </cell>
        </row>
        <row r="898">
          <cell r="C898" t="str">
            <v>胡煜星</v>
          </cell>
          <cell r="D898" t="str">
            <v>车门系统</v>
          </cell>
        </row>
        <row r="898">
          <cell r="I898" t="str">
            <v>原开品</v>
          </cell>
          <cell r="J898">
            <v>10138</v>
          </cell>
        </row>
        <row r="898">
          <cell r="M898">
            <v>45872</v>
          </cell>
        </row>
        <row r="899">
          <cell r="A899">
            <v>11781</v>
          </cell>
        </row>
        <row r="899">
          <cell r="C899" t="str">
            <v>俞东旭</v>
          </cell>
          <cell r="D899" t="str">
            <v>车门系统</v>
          </cell>
        </row>
        <row r="899">
          <cell r="I899" t="str">
            <v>拓展品</v>
          </cell>
          <cell r="J899">
            <v>10144</v>
          </cell>
        </row>
        <row r="899">
          <cell r="M899">
            <v>45888</v>
          </cell>
        </row>
        <row r="900">
          <cell r="A900">
            <v>11792</v>
          </cell>
        </row>
        <row r="900">
          <cell r="C900" t="str">
            <v>胡煜星</v>
          </cell>
          <cell r="D900" t="str">
            <v>车门系统</v>
          </cell>
        </row>
        <row r="900">
          <cell r="I900" t="str">
            <v>原开品</v>
          </cell>
          <cell r="J900">
            <v>10171</v>
          </cell>
        </row>
        <row r="900">
          <cell r="M900">
            <v>45876</v>
          </cell>
        </row>
        <row r="901">
          <cell r="A901">
            <v>11793</v>
          </cell>
        </row>
        <row r="901">
          <cell r="C901" t="str">
            <v>俞东旭</v>
          </cell>
          <cell r="D901" t="str">
            <v>车门系统</v>
          </cell>
        </row>
        <row r="901">
          <cell r="I901" t="str">
            <v>原开品</v>
          </cell>
          <cell r="J901">
            <v>10135</v>
          </cell>
        </row>
        <row r="901">
          <cell r="M901">
            <v>45871</v>
          </cell>
        </row>
        <row r="902">
          <cell r="A902">
            <v>11794</v>
          </cell>
        </row>
        <row r="902">
          <cell r="C902" t="str">
            <v>朱培源</v>
          </cell>
          <cell r="D902" t="str">
            <v>挡泥板</v>
          </cell>
        </row>
        <row r="902">
          <cell r="I902" t="str">
            <v>拓展品</v>
          </cell>
          <cell r="J902">
            <v>10172</v>
          </cell>
        </row>
        <row r="902">
          <cell r="M902">
            <v>45880</v>
          </cell>
        </row>
        <row r="903">
          <cell r="A903">
            <v>11808</v>
          </cell>
        </row>
        <row r="903">
          <cell r="C903" t="str">
            <v>朱培源</v>
          </cell>
          <cell r="D903" t="str">
            <v>饰条</v>
          </cell>
        </row>
        <row r="903">
          <cell r="I903" t="str">
            <v>拓展品</v>
          </cell>
          <cell r="J903">
            <v>10090</v>
          </cell>
        </row>
        <row r="903">
          <cell r="M903">
            <v>45875</v>
          </cell>
        </row>
        <row r="904">
          <cell r="A904">
            <v>11809</v>
          </cell>
        </row>
        <row r="904">
          <cell r="C904" t="str">
            <v>朱培源</v>
          </cell>
          <cell r="D904" t="str">
            <v>饰条</v>
          </cell>
        </row>
        <row r="904">
          <cell r="I904" t="str">
            <v>拓展品</v>
          </cell>
          <cell r="J904">
            <v>10091</v>
          </cell>
        </row>
        <row r="904">
          <cell r="M904">
            <v>45890</v>
          </cell>
        </row>
        <row r="905">
          <cell r="A905">
            <v>11814</v>
          </cell>
        </row>
        <row r="905">
          <cell r="C905" t="str">
            <v>朱培源</v>
          </cell>
          <cell r="D905" t="str">
            <v>饰条</v>
          </cell>
        </row>
        <row r="905">
          <cell r="I905" t="str">
            <v>拓展品</v>
          </cell>
          <cell r="J905">
            <v>10376</v>
          </cell>
        </row>
        <row r="905">
          <cell r="M905">
            <v>45912</v>
          </cell>
        </row>
        <row r="906">
          <cell r="A906">
            <v>11815</v>
          </cell>
        </row>
        <row r="906">
          <cell r="C906" t="str">
            <v>朱培源</v>
          </cell>
          <cell r="D906" t="str">
            <v>饰条</v>
          </cell>
        </row>
        <row r="906">
          <cell r="I906" t="str">
            <v>拓展品</v>
          </cell>
          <cell r="J906">
            <v>10298</v>
          </cell>
        </row>
        <row r="906">
          <cell r="M906">
            <v>45915</v>
          </cell>
        </row>
        <row r="907">
          <cell r="A907">
            <v>11823</v>
          </cell>
        </row>
        <row r="907">
          <cell r="C907" t="str">
            <v>王偲涵</v>
          </cell>
          <cell r="D907" t="str">
            <v>饰条</v>
          </cell>
        </row>
        <row r="907">
          <cell r="I907" t="str">
            <v>原开品</v>
          </cell>
          <cell r="J907">
            <v>10411</v>
          </cell>
        </row>
        <row r="907">
          <cell r="M907">
            <v>45884</v>
          </cell>
        </row>
        <row r="908">
          <cell r="A908">
            <v>11824</v>
          </cell>
        </row>
        <row r="908">
          <cell r="C908" t="str">
            <v>朱培源</v>
          </cell>
          <cell r="D908" t="str">
            <v>机盖及附件</v>
          </cell>
        </row>
        <row r="908">
          <cell r="I908" t="str">
            <v>原开品</v>
          </cell>
          <cell r="J908">
            <v>10386</v>
          </cell>
        </row>
        <row r="908">
          <cell r="M908">
            <v>45880</v>
          </cell>
        </row>
        <row r="909">
          <cell r="A909">
            <v>11826</v>
          </cell>
        </row>
        <row r="909">
          <cell r="C909" t="str">
            <v>俞东旭</v>
          </cell>
          <cell r="D909" t="str">
            <v>挡泥板</v>
          </cell>
        </row>
        <row r="909">
          <cell r="I909" t="str">
            <v>原开品</v>
          </cell>
          <cell r="J909">
            <v>10381</v>
          </cell>
        </row>
        <row r="909">
          <cell r="M909">
            <v>45892</v>
          </cell>
        </row>
        <row r="910">
          <cell r="A910">
            <v>11830</v>
          </cell>
        </row>
        <row r="910">
          <cell r="C910" t="str">
            <v>王偲涵</v>
          </cell>
          <cell r="D910" t="str">
            <v>饰条</v>
          </cell>
        </row>
        <row r="910">
          <cell r="I910" t="str">
            <v>原开品</v>
          </cell>
          <cell r="J910">
            <v>10383</v>
          </cell>
        </row>
        <row r="910">
          <cell r="M910">
            <v>45882</v>
          </cell>
        </row>
        <row r="911">
          <cell r="A911">
            <v>11833</v>
          </cell>
        </row>
        <row r="911">
          <cell r="C911" t="str">
            <v>俞东旭</v>
          </cell>
          <cell r="D911" t="str">
            <v>其他</v>
          </cell>
        </row>
        <row r="911">
          <cell r="I911" t="str">
            <v>拓展品</v>
          </cell>
          <cell r="J911">
            <v>10414</v>
          </cell>
        </row>
        <row r="911">
          <cell r="M911">
            <v>45901</v>
          </cell>
        </row>
        <row r="912">
          <cell r="A912">
            <v>11839</v>
          </cell>
        </row>
        <row r="912">
          <cell r="C912" t="str">
            <v>王偲涵</v>
          </cell>
          <cell r="D912" t="str">
            <v>饰条</v>
          </cell>
        </row>
        <row r="912">
          <cell r="I912" t="str">
            <v>原开品</v>
          </cell>
          <cell r="J912">
            <v>10291</v>
          </cell>
        </row>
        <row r="912">
          <cell r="M912">
            <v>45976</v>
          </cell>
        </row>
        <row r="913">
          <cell r="A913">
            <v>11840</v>
          </cell>
        </row>
        <row r="913">
          <cell r="C913" t="str">
            <v>王偲涵</v>
          </cell>
          <cell r="D913" t="str">
            <v>饰条</v>
          </cell>
        </row>
        <row r="913">
          <cell r="I913" t="str">
            <v>原开品</v>
          </cell>
          <cell r="J913">
            <v>10470</v>
          </cell>
        </row>
        <row r="913">
          <cell r="M913">
            <v>45896</v>
          </cell>
        </row>
        <row r="914">
          <cell r="A914">
            <v>11848</v>
          </cell>
        </row>
        <row r="914">
          <cell r="C914" t="str">
            <v>胡煜星</v>
          </cell>
          <cell r="D914" t="str">
            <v>车门系统</v>
          </cell>
        </row>
        <row r="914">
          <cell r="I914" t="str">
            <v>原开品</v>
          </cell>
          <cell r="J914">
            <v>10464</v>
          </cell>
        </row>
        <row r="914">
          <cell r="M914">
            <v>45894</v>
          </cell>
        </row>
        <row r="915">
          <cell r="A915">
            <v>11852</v>
          </cell>
        </row>
        <row r="915">
          <cell r="C915" t="str">
            <v>俞东旭</v>
          </cell>
          <cell r="D915" t="str">
            <v>车门系统</v>
          </cell>
        </row>
        <row r="915">
          <cell r="I915" t="str">
            <v>拓展品</v>
          </cell>
          <cell r="J915">
            <v>10465</v>
          </cell>
        </row>
        <row r="915">
          <cell r="M915">
            <v>45915</v>
          </cell>
        </row>
        <row r="916">
          <cell r="A916">
            <v>11855</v>
          </cell>
        </row>
        <row r="916">
          <cell r="C916" t="str">
            <v>俞东旭</v>
          </cell>
          <cell r="D916" t="str">
            <v>挡泥板</v>
          </cell>
        </row>
        <row r="916">
          <cell r="I916" t="str">
            <v>拓展品</v>
          </cell>
          <cell r="J916">
            <v>10466</v>
          </cell>
        </row>
        <row r="916">
          <cell r="M916">
            <v>45956</v>
          </cell>
        </row>
        <row r="917">
          <cell r="A917">
            <v>11856</v>
          </cell>
        </row>
        <row r="917">
          <cell r="C917" t="str">
            <v>俞东旭</v>
          </cell>
          <cell r="D917" t="str">
            <v>挡泥板</v>
          </cell>
        </row>
        <row r="917">
          <cell r="I917" t="str">
            <v>原开品</v>
          </cell>
          <cell r="J917">
            <v>10554</v>
          </cell>
        </row>
        <row r="917">
          <cell r="M917">
            <v>45905</v>
          </cell>
        </row>
        <row r="918">
          <cell r="A918">
            <v>11857</v>
          </cell>
        </row>
        <row r="918">
          <cell r="C918" t="str">
            <v>俞东旭</v>
          </cell>
          <cell r="D918" t="str">
            <v>挡泥板</v>
          </cell>
        </row>
        <row r="918">
          <cell r="I918" t="str">
            <v>原开品</v>
          </cell>
          <cell r="J918">
            <v>10544</v>
          </cell>
        </row>
        <row r="918">
          <cell r="M918">
            <v>45905</v>
          </cell>
        </row>
        <row r="919">
          <cell r="A919">
            <v>11866</v>
          </cell>
        </row>
        <row r="919">
          <cell r="C919" t="str">
            <v>张潇</v>
          </cell>
          <cell r="D919" t="str">
            <v>车门系统</v>
          </cell>
        </row>
        <row r="919">
          <cell r="I919" t="str">
            <v>原开品</v>
          </cell>
          <cell r="J919">
            <v>10518</v>
          </cell>
        </row>
        <row r="919">
          <cell r="M919">
            <v>45906</v>
          </cell>
        </row>
        <row r="920">
          <cell r="A920">
            <v>11867</v>
          </cell>
        </row>
        <row r="920">
          <cell r="C920" t="str">
            <v>张潇</v>
          </cell>
          <cell r="D920" t="str">
            <v>车门系统</v>
          </cell>
        </row>
        <row r="920">
          <cell r="I920" t="str">
            <v>拓展品</v>
          </cell>
          <cell r="J920">
            <v>10519</v>
          </cell>
        </row>
        <row r="920">
          <cell r="M920">
            <v>45903</v>
          </cell>
        </row>
        <row r="921">
          <cell r="A921">
            <v>11874</v>
          </cell>
        </row>
        <row r="921">
          <cell r="C921" t="str">
            <v>俞东旭</v>
          </cell>
          <cell r="D921" t="str">
            <v>车门系统</v>
          </cell>
        </row>
        <row r="921">
          <cell r="I921" t="str">
            <v>拓展品</v>
          </cell>
          <cell r="J921">
            <v>10520</v>
          </cell>
        </row>
        <row r="921">
          <cell r="M921">
            <v>45929</v>
          </cell>
        </row>
        <row r="922">
          <cell r="A922">
            <v>11875</v>
          </cell>
        </row>
        <row r="922">
          <cell r="C922" t="str">
            <v>胡煜星</v>
          </cell>
          <cell r="D922" t="str">
            <v>车门系统</v>
          </cell>
        </row>
        <row r="922">
          <cell r="I922" t="str">
            <v>拓展品</v>
          </cell>
          <cell r="J922">
            <v>10545</v>
          </cell>
        </row>
        <row r="922">
          <cell r="M922">
            <v>45905</v>
          </cell>
        </row>
        <row r="923">
          <cell r="A923">
            <v>11876</v>
          </cell>
        </row>
        <row r="923">
          <cell r="C923" t="str">
            <v>俞东旭</v>
          </cell>
          <cell r="D923" t="str">
            <v>车门系统</v>
          </cell>
        </row>
        <row r="923">
          <cell r="I923" t="str">
            <v>拓展品</v>
          </cell>
          <cell r="J923">
            <v>10546</v>
          </cell>
        </row>
        <row r="923">
          <cell r="M923">
            <v>45905</v>
          </cell>
        </row>
        <row r="924">
          <cell r="A924">
            <v>11890</v>
          </cell>
        </row>
        <row r="924">
          <cell r="C924" t="str">
            <v>俞东旭</v>
          </cell>
          <cell r="D924" t="str">
            <v>车门系统</v>
          </cell>
        </row>
        <row r="924">
          <cell r="I924" t="str">
            <v>原开品</v>
          </cell>
          <cell r="J924">
            <v>10553</v>
          </cell>
        </row>
        <row r="924">
          <cell r="M924">
            <v>45910</v>
          </cell>
        </row>
        <row r="925">
          <cell r="A925">
            <v>11904</v>
          </cell>
        </row>
        <row r="925">
          <cell r="C925" t="str">
            <v>胡煜星</v>
          </cell>
          <cell r="D925" t="str">
            <v>车身外扩件</v>
          </cell>
        </row>
        <row r="925">
          <cell r="I925" t="str">
            <v>原开品</v>
          </cell>
          <cell r="J925">
            <v>10508</v>
          </cell>
        </row>
        <row r="925">
          <cell r="M925">
            <v>46015</v>
          </cell>
        </row>
        <row r="926">
          <cell r="A926">
            <v>11911</v>
          </cell>
        </row>
        <row r="926">
          <cell r="C926" t="str">
            <v>胡煜星</v>
          </cell>
          <cell r="D926" t="str">
            <v>车门系统</v>
          </cell>
        </row>
        <row r="926">
          <cell r="I926" t="str">
            <v>拓展品</v>
          </cell>
          <cell r="J926">
            <v>10592</v>
          </cell>
        </row>
        <row r="926">
          <cell r="M926">
            <v>45957</v>
          </cell>
        </row>
        <row r="927">
          <cell r="A927">
            <v>11921</v>
          </cell>
        </row>
        <row r="927">
          <cell r="C927" t="str">
            <v>俞东旭</v>
          </cell>
          <cell r="D927" t="str">
            <v>车身外扩件</v>
          </cell>
        </row>
        <row r="927">
          <cell r="I927" t="str">
            <v>拓展品</v>
          </cell>
          <cell r="J927">
            <v>10593</v>
          </cell>
        </row>
        <row r="927">
          <cell r="M927">
            <v>46014</v>
          </cell>
        </row>
        <row r="928">
          <cell r="A928">
            <v>11922</v>
          </cell>
        </row>
        <row r="928">
          <cell r="C928" t="str">
            <v>俞东旭</v>
          </cell>
          <cell r="D928" t="str">
            <v>车身外扩件</v>
          </cell>
        </row>
        <row r="928">
          <cell r="I928" t="str">
            <v>拓展品</v>
          </cell>
          <cell r="J928">
            <v>10785</v>
          </cell>
        </row>
        <row r="928">
          <cell r="M928">
            <v>45943</v>
          </cell>
        </row>
        <row r="929">
          <cell r="A929">
            <v>11923</v>
          </cell>
        </row>
        <row r="929">
          <cell r="C929" t="str">
            <v>俞东旭</v>
          </cell>
          <cell r="D929" t="str">
            <v>车身外扩件</v>
          </cell>
        </row>
        <row r="929">
          <cell r="I929" t="str">
            <v>拓展品</v>
          </cell>
          <cell r="J929">
            <v>10786</v>
          </cell>
        </row>
        <row r="929">
          <cell r="M929">
            <v>45937</v>
          </cell>
        </row>
        <row r="930">
          <cell r="A930">
            <v>11925</v>
          </cell>
        </row>
        <row r="930">
          <cell r="C930" t="str">
            <v>胡煜星</v>
          </cell>
          <cell r="D930" t="str">
            <v>车门系统</v>
          </cell>
        </row>
        <row r="930">
          <cell r="I930" t="str">
            <v>拓展品</v>
          </cell>
          <cell r="J930">
            <v>10787</v>
          </cell>
        </row>
        <row r="930">
          <cell r="M930">
            <v>45947</v>
          </cell>
        </row>
        <row r="931">
          <cell r="A931">
            <v>11926</v>
          </cell>
        </row>
        <row r="931">
          <cell r="C931" t="str">
            <v>俞东旭</v>
          </cell>
          <cell r="D931" t="str">
            <v>车门系统</v>
          </cell>
        </row>
        <row r="931">
          <cell r="I931" t="str">
            <v>原开品</v>
          </cell>
          <cell r="J931">
            <v>10653</v>
          </cell>
        </row>
        <row r="931">
          <cell r="M931">
            <v>45929</v>
          </cell>
        </row>
        <row r="932">
          <cell r="A932">
            <v>11927</v>
          </cell>
        </row>
        <row r="932">
          <cell r="C932" t="str">
            <v>俞东旭</v>
          </cell>
          <cell r="D932" t="str">
            <v>车门系统</v>
          </cell>
        </row>
        <row r="932">
          <cell r="I932" t="str">
            <v>拓展品</v>
          </cell>
          <cell r="J932">
            <v>11064</v>
          </cell>
        </row>
        <row r="932">
          <cell r="M932">
            <v>45931</v>
          </cell>
        </row>
        <row r="933">
          <cell r="A933">
            <v>11928</v>
          </cell>
        </row>
        <row r="933">
          <cell r="C933" t="str">
            <v>俞东旭</v>
          </cell>
          <cell r="D933" t="str">
            <v>车门系统</v>
          </cell>
        </row>
        <row r="933">
          <cell r="I933" t="str">
            <v>原开品</v>
          </cell>
          <cell r="J933">
            <v>10813</v>
          </cell>
        </row>
        <row r="933">
          <cell r="M933">
            <v>45922</v>
          </cell>
        </row>
        <row r="934">
          <cell r="A934">
            <v>11929</v>
          </cell>
        </row>
        <row r="934">
          <cell r="C934" t="str">
            <v>俞东旭</v>
          </cell>
          <cell r="D934" t="str">
            <v>车门系统</v>
          </cell>
        </row>
        <row r="934">
          <cell r="I934" t="str">
            <v>拓展品</v>
          </cell>
          <cell r="J934">
            <v>10774</v>
          </cell>
        </row>
        <row r="934">
          <cell r="M934">
            <v>45923</v>
          </cell>
        </row>
        <row r="935">
          <cell r="A935">
            <v>11933</v>
          </cell>
        </row>
        <row r="935">
          <cell r="C935" t="str">
            <v>张潇</v>
          </cell>
          <cell r="D935" t="str">
            <v>饰条</v>
          </cell>
        </row>
        <row r="935">
          <cell r="I935" t="str">
            <v>拓展品</v>
          </cell>
          <cell r="J935">
            <v>10894</v>
          </cell>
        </row>
        <row r="935">
          <cell r="M935">
            <v>45935</v>
          </cell>
        </row>
        <row r="936">
          <cell r="A936">
            <v>11936</v>
          </cell>
        </row>
        <row r="936">
          <cell r="C936" t="str">
            <v>王偲涵</v>
          </cell>
          <cell r="D936" t="str">
            <v>饰条</v>
          </cell>
        </row>
        <row r="936">
          <cell r="I936" t="str">
            <v>原开品</v>
          </cell>
          <cell r="J936">
            <v>10585</v>
          </cell>
        </row>
        <row r="936">
          <cell r="M936">
            <v>46048</v>
          </cell>
        </row>
        <row r="937">
          <cell r="A937">
            <v>11937</v>
          </cell>
        </row>
        <row r="937">
          <cell r="C937" t="str">
            <v>王偲涵</v>
          </cell>
          <cell r="D937" t="str">
            <v>饰条</v>
          </cell>
        </row>
        <row r="937">
          <cell r="I937" t="str">
            <v>原开品</v>
          </cell>
          <cell r="J937">
            <v>10858</v>
          </cell>
        </row>
        <row r="937">
          <cell r="M937">
            <v>45941</v>
          </cell>
        </row>
        <row r="938">
          <cell r="A938">
            <v>11938</v>
          </cell>
        </row>
        <row r="938">
          <cell r="C938" t="str">
            <v>王偲涵</v>
          </cell>
          <cell r="D938" t="str">
            <v>饰条</v>
          </cell>
        </row>
        <row r="938">
          <cell r="I938" t="str">
            <v>拓展品</v>
          </cell>
          <cell r="J938">
            <v>10811</v>
          </cell>
        </row>
        <row r="938">
          <cell r="M938">
            <v>45932</v>
          </cell>
        </row>
        <row r="939">
          <cell r="A939">
            <v>11982</v>
          </cell>
        </row>
        <row r="939">
          <cell r="C939" t="str">
            <v>朱培源</v>
          </cell>
          <cell r="D939" t="str">
            <v>机盖及附件</v>
          </cell>
        </row>
        <row r="939">
          <cell r="I939" t="str">
            <v>拓展品</v>
          </cell>
          <cell r="J939">
            <v>10812</v>
          </cell>
        </row>
        <row r="939">
          <cell r="M939">
            <v>45932</v>
          </cell>
        </row>
        <row r="940">
          <cell r="A940">
            <v>11981</v>
          </cell>
        </row>
        <row r="940">
          <cell r="C940" t="str">
            <v>张潇</v>
          </cell>
          <cell r="D940" t="str">
            <v>机盖及附件</v>
          </cell>
        </row>
        <row r="940">
          <cell r="I940" t="str">
            <v>原开品</v>
          </cell>
          <cell r="J940">
            <v>10906</v>
          </cell>
        </row>
        <row r="940">
          <cell r="M940">
            <v>45941</v>
          </cell>
        </row>
        <row r="941">
          <cell r="A941">
            <v>12002</v>
          </cell>
        </row>
        <row r="941">
          <cell r="C941" t="str">
            <v>朱培源</v>
          </cell>
          <cell r="D941" t="str">
            <v>饰条</v>
          </cell>
        </row>
        <row r="941">
          <cell r="I941" t="str">
            <v>原开品</v>
          </cell>
          <cell r="J941">
            <v>10920</v>
          </cell>
        </row>
        <row r="941">
          <cell r="M941">
            <v>45950</v>
          </cell>
        </row>
        <row r="942">
          <cell r="A942">
            <v>12005</v>
          </cell>
        </row>
        <row r="942">
          <cell r="C942" t="str">
            <v>张潇</v>
          </cell>
          <cell r="D942" t="str">
            <v>饰条</v>
          </cell>
        </row>
        <row r="942">
          <cell r="I942" t="str">
            <v>原开品</v>
          </cell>
          <cell r="J942">
            <v>10977</v>
          </cell>
        </row>
        <row r="942">
          <cell r="M942">
            <v>46058</v>
          </cell>
        </row>
        <row r="943">
          <cell r="A943">
            <v>12006</v>
          </cell>
        </row>
        <row r="943">
          <cell r="C943" t="str">
            <v>张潇</v>
          </cell>
          <cell r="D943" t="str">
            <v>饰条</v>
          </cell>
        </row>
        <row r="943">
          <cell r="I943" t="str">
            <v>原开品</v>
          </cell>
          <cell r="J943">
            <v>10639</v>
          </cell>
        </row>
        <row r="943">
          <cell r="M943">
            <v>45952</v>
          </cell>
        </row>
        <row r="944">
          <cell r="A944">
            <v>12021</v>
          </cell>
        </row>
        <row r="944">
          <cell r="C944" t="str">
            <v>俞东旭</v>
          </cell>
          <cell r="D944" t="str">
            <v>其他</v>
          </cell>
        </row>
        <row r="944">
          <cell r="I944" t="str">
            <v>原开品</v>
          </cell>
          <cell r="J944">
            <v>10659</v>
          </cell>
        </row>
        <row r="944">
          <cell r="M944">
            <v>45950</v>
          </cell>
        </row>
        <row r="945">
          <cell r="A945">
            <v>12023</v>
          </cell>
        </row>
        <row r="945">
          <cell r="C945" t="str">
            <v>朱培源</v>
          </cell>
          <cell r="D945" t="str">
            <v>挡泥板</v>
          </cell>
        </row>
        <row r="945">
          <cell r="I945" t="str">
            <v>原开品</v>
          </cell>
          <cell r="J945">
            <v>10660</v>
          </cell>
        </row>
        <row r="945">
          <cell r="M945">
            <v>45951</v>
          </cell>
        </row>
        <row r="946">
          <cell r="A946">
            <v>11998</v>
          </cell>
        </row>
        <row r="946">
          <cell r="C946" t="str">
            <v>俞东旭</v>
          </cell>
          <cell r="D946" t="str">
            <v>车门系统</v>
          </cell>
        </row>
        <row r="946">
          <cell r="I946" t="str">
            <v>原开品</v>
          </cell>
          <cell r="J946">
            <v>11033</v>
          </cell>
        </row>
        <row r="946">
          <cell r="M946">
            <v>45973</v>
          </cell>
        </row>
        <row r="947">
          <cell r="A947">
            <v>12088</v>
          </cell>
        </row>
        <row r="947">
          <cell r="C947" t="str">
            <v>朱培源</v>
          </cell>
          <cell r="D947" t="str">
            <v>饰条</v>
          </cell>
        </row>
        <row r="947">
          <cell r="I947" t="str">
            <v>原开品</v>
          </cell>
          <cell r="J947">
            <v>11002</v>
          </cell>
        </row>
        <row r="947">
          <cell r="M947">
            <v>45955</v>
          </cell>
        </row>
        <row r="948">
          <cell r="A948">
            <v>12089</v>
          </cell>
        </row>
        <row r="948">
          <cell r="C948" t="str">
            <v>朱培源</v>
          </cell>
          <cell r="D948" t="str">
            <v>饰条</v>
          </cell>
        </row>
        <row r="948">
          <cell r="I948" t="str">
            <v>原开品</v>
          </cell>
          <cell r="J948">
            <v>11003</v>
          </cell>
        </row>
        <row r="948">
          <cell r="M948">
            <v>45950</v>
          </cell>
        </row>
        <row r="949">
          <cell r="A949">
            <v>12011</v>
          </cell>
        </row>
        <row r="949">
          <cell r="C949" t="str">
            <v>张潇</v>
          </cell>
          <cell r="D949" t="str">
            <v>机盖及附件</v>
          </cell>
        </row>
        <row r="949">
          <cell r="I949" t="str">
            <v>拓展品</v>
          </cell>
          <cell r="J949">
            <v>11004</v>
          </cell>
        </row>
        <row r="949">
          <cell r="M949">
            <v>45959</v>
          </cell>
        </row>
        <row r="950">
          <cell r="A950">
            <v>12061</v>
          </cell>
        </row>
        <row r="950">
          <cell r="C950" t="str">
            <v>张潇</v>
          </cell>
          <cell r="D950" t="str">
            <v>车门系统</v>
          </cell>
        </row>
        <row r="950">
          <cell r="I950" t="str">
            <v>拓展品</v>
          </cell>
          <cell r="J950">
            <v>11005</v>
          </cell>
        </row>
        <row r="950">
          <cell r="M950">
            <v>45950</v>
          </cell>
        </row>
        <row r="951">
          <cell r="A951">
            <v>11989</v>
          </cell>
        </row>
        <row r="951">
          <cell r="C951" t="str">
            <v>张潇</v>
          </cell>
          <cell r="D951" t="str">
            <v>挡泥板</v>
          </cell>
        </row>
        <row r="951">
          <cell r="I951" t="str">
            <v>原开品</v>
          </cell>
          <cell r="J951">
            <v>10937</v>
          </cell>
        </row>
        <row r="951">
          <cell r="M951">
            <v>45986</v>
          </cell>
        </row>
        <row r="952">
          <cell r="A952">
            <v>11990</v>
          </cell>
        </row>
        <row r="952">
          <cell r="C952" t="str">
            <v>胡煜星</v>
          </cell>
          <cell r="D952" t="str">
            <v>车身外扩件</v>
          </cell>
        </row>
        <row r="952">
          <cell r="I952" t="str">
            <v>原开品</v>
          </cell>
          <cell r="J952">
            <v>10938</v>
          </cell>
        </row>
        <row r="952">
          <cell r="M952">
            <v>45954</v>
          </cell>
        </row>
        <row r="953">
          <cell r="A953">
            <v>11991</v>
          </cell>
        </row>
        <row r="953">
          <cell r="C953" t="str">
            <v>胡煜星</v>
          </cell>
          <cell r="D953" t="str">
            <v>车身外扩件</v>
          </cell>
        </row>
        <row r="953">
          <cell r="I953" t="str">
            <v>原开品</v>
          </cell>
          <cell r="J953">
            <v>10859</v>
          </cell>
        </row>
        <row r="953">
          <cell r="M953">
            <v>45959</v>
          </cell>
        </row>
        <row r="954">
          <cell r="A954">
            <v>12139</v>
          </cell>
        </row>
        <row r="954">
          <cell r="C954" t="str">
            <v>张潇</v>
          </cell>
          <cell r="D954" t="str">
            <v>机盖及附件</v>
          </cell>
        </row>
        <row r="954">
          <cell r="I954" t="str">
            <v>拓展品</v>
          </cell>
          <cell r="J954">
            <v>11030</v>
          </cell>
        </row>
        <row r="954">
          <cell r="M954">
            <v>45959</v>
          </cell>
        </row>
        <row r="955">
          <cell r="A955">
            <v>12087</v>
          </cell>
        </row>
        <row r="955">
          <cell r="C955" t="str">
            <v>王偲涵</v>
          </cell>
          <cell r="D955" t="str">
            <v>饰条</v>
          </cell>
        </row>
        <row r="955">
          <cell r="I955" t="str">
            <v>原开品</v>
          </cell>
          <cell r="J955">
            <v>10988</v>
          </cell>
        </row>
        <row r="955">
          <cell r="M955">
            <v>45953</v>
          </cell>
        </row>
        <row r="956">
          <cell r="A956">
            <v>12105</v>
          </cell>
        </row>
        <row r="956">
          <cell r="C956" t="str">
            <v>朱培源</v>
          </cell>
          <cell r="D956" t="str">
            <v>挡泥板</v>
          </cell>
        </row>
        <row r="956">
          <cell r="I956" t="str">
            <v>原开品</v>
          </cell>
          <cell r="J956">
            <v>11053</v>
          </cell>
        </row>
        <row r="956">
          <cell r="M956">
            <v>46006</v>
          </cell>
        </row>
        <row r="957">
          <cell r="A957">
            <v>12106</v>
          </cell>
        </row>
        <row r="957">
          <cell r="C957" t="str">
            <v>朱培源</v>
          </cell>
          <cell r="D957" t="str">
            <v>挡泥板</v>
          </cell>
        </row>
        <row r="957">
          <cell r="I957" t="str">
            <v>原开品</v>
          </cell>
          <cell r="J957">
            <v>11043</v>
          </cell>
        </row>
        <row r="957">
          <cell r="M957">
            <v>45954</v>
          </cell>
        </row>
        <row r="958">
          <cell r="A958">
            <v>12058</v>
          </cell>
        </row>
        <row r="958">
          <cell r="C958" t="str">
            <v>章鹏</v>
          </cell>
          <cell r="D958" t="str">
            <v>其他</v>
          </cell>
        </row>
        <row r="958">
          <cell r="I958" t="str">
            <v>原开品</v>
          </cell>
          <cell r="J958">
            <v>11076</v>
          </cell>
        </row>
        <row r="958">
          <cell r="M958">
            <v>45956</v>
          </cell>
        </row>
        <row r="959">
          <cell r="A959">
            <v>12059</v>
          </cell>
        </row>
        <row r="959">
          <cell r="C959" t="str">
            <v>章鹏</v>
          </cell>
          <cell r="D959" t="str">
            <v>其他</v>
          </cell>
        </row>
        <row r="959">
          <cell r="I959" t="str">
            <v>原开品</v>
          </cell>
          <cell r="J959">
            <v>11086</v>
          </cell>
        </row>
        <row r="959">
          <cell r="M959">
            <v>45963</v>
          </cell>
        </row>
        <row r="960">
          <cell r="A960">
            <v>12060</v>
          </cell>
        </row>
        <row r="960">
          <cell r="C960" t="str">
            <v>张潇</v>
          </cell>
          <cell r="D960" t="str">
            <v>饰条</v>
          </cell>
        </row>
        <row r="960">
          <cell r="J960">
            <v>7444</v>
          </cell>
        </row>
        <row r="960">
          <cell r="M960">
            <v>46023</v>
          </cell>
        </row>
        <row r="961">
          <cell r="A961">
            <v>12143</v>
          </cell>
        </row>
        <row r="961">
          <cell r="C961" t="str">
            <v>俞东旭</v>
          </cell>
          <cell r="D961" t="str">
            <v>车门系统</v>
          </cell>
        </row>
        <row r="961">
          <cell r="J961">
            <v>5459</v>
          </cell>
        </row>
        <row r="961">
          <cell r="M961">
            <v>46019</v>
          </cell>
        </row>
        <row r="962">
          <cell r="A962">
            <v>12079</v>
          </cell>
        </row>
        <row r="962">
          <cell r="C962" t="str">
            <v>朱培源</v>
          </cell>
          <cell r="D962" t="str">
            <v>挡泥板</v>
          </cell>
        </row>
        <row r="962">
          <cell r="I962" t="str">
            <v>拓展品</v>
          </cell>
          <cell r="J962">
            <v>10857</v>
          </cell>
        </row>
        <row r="962">
          <cell r="M962">
            <v>45960</v>
          </cell>
        </row>
        <row r="963">
          <cell r="A963">
            <v>12104</v>
          </cell>
        </row>
        <row r="963">
          <cell r="C963" t="str">
            <v>朱培源</v>
          </cell>
          <cell r="D963" t="str">
            <v>挡泥板</v>
          </cell>
        </row>
        <row r="963">
          <cell r="I963" t="str">
            <v>原开品</v>
          </cell>
          <cell r="J963">
            <v>11078</v>
          </cell>
        </row>
        <row r="963">
          <cell r="M963">
            <v>45970</v>
          </cell>
        </row>
        <row r="964">
          <cell r="A964">
            <v>12072</v>
          </cell>
        </row>
        <row r="964">
          <cell r="C964" t="str">
            <v>胡煜星</v>
          </cell>
          <cell r="D964" t="str">
            <v>车身外扩件</v>
          </cell>
        </row>
        <row r="964">
          <cell r="I964" t="str">
            <v>原开品</v>
          </cell>
          <cell r="J964">
            <v>11100</v>
          </cell>
        </row>
        <row r="965">
          <cell r="A965">
            <v>12073</v>
          </cell>
        </row>
        <row r="965">
          <cell r="C965" t="str">
            <v>朱培源</v>
          </cell>
          <cell r="D965" t="str">
            <v>车门系统</v>
          </cell>
        </row>
        <row r="965">
          <cell r="I965" t="str">
            <v>原开品</v>
          </cell>
          <cell r="J965">
            <v>11270</v>
          </cell>
        </row>
        <row r="965">
          <cell r="M965">
            <v>45975</v>
          </cell>
        </row>
        <row r="966">
          <cell r="A966">
            <v>12074</v>
          </cell>
        </row>
        <row r="966">
          <cell r="C966" t="str">
            <v>朱培源</v>
          </cell>
          <cell r="D966" t="str">
            <v>车门系统</v>
          </cell>
        </row>
        <row r="966">
          <cell r="I966" t="str">
            <v>原开品</v>
          </cell>
          <cell r="J966">
            <v>11091</v>
          </cell>
        </row>
        <row r="966">
          <cell r="M966">
            <v>45970</v>
          </cell>
        </row>
        <row r="967">
          <cell r="A967">
            <v>12075</v>
          </cell>
        </row>
        <row r="967">
          <cell r="C967" t="str">
            <v>朱培源</v>
          </cell>
          <cell r="D967" t="str">
            <v>车门系统</v>
          </cell>
        </row>
        <row r="967">
          <cell r="I967" t="str">
            <v>原开品</v>
          </cell>
          <cell r="J967">
            <v>9577</v>
          </cell>
        </row>
        <row r="967">
          <cell r="M967">
            <v>45973</v>
          </cell>
        </row>
        <row r="968">
          <cell r="A968">
            <v>12252</v>
          </cell>
        </row>
        <row r="968">
          <cell r="C968" t="str">
            <v>胡煜星</v>
          </cell>
          <cell r="D968" t="str">
            <v>车门系统</v>
          </cell>
        </row>
        <row r="968">
          <cell r="I968" t="str">
            <v>原开品</v>
          </cell>
          <cell r="J968">
            <v>11137</v>
          </cell>
        </row>
        <row r="968">
          <cell r="M968">
            <v>45973</v>
          </cell>
        </row>
        <row r="969">
          <cell r="A969">
            <v>12205</v>
          </cell>
        </row>
        <row r="969">
          <cell r="C969" t="str">
            <v>胡煜星</v>
          </cell>
          <cell r="D969" t="str">
            <v>车门系统</v>
          </cell>
        </row>
        <row r="969">
          <cell r="I969" t="str">
            <v>原开品</v>
          </cell>
          <cell r="J969">
            <v>11096</v>
          </cell>
        </row>
        <row r="969">
          <cell r="M969">
            <v>45977</v>
          </cell>
        </row>
        <row r="970">
          <cell r="A970">
            <v>12206</v>
          </cell>
        </row>
        <row r="970">
          <cell r="C970" t="str">
            <v>胡煜星</v>
          </cell>
          <cell r="D970" t="str">
            <v>车门系统</v>
          </cell>
        </row>
        <row r="970">
          <cell r="I970" t="str">
            <v>原开品</v>
          </cell>
          <cell r="J970">
            <v>11101</v>
          </cell>
        </row>
        <row r="970">
          <cell r="M970">
            <v>46064</v>
          </cell>
        </row>
        <row r="971">
          <cell r="A971">
            <v>12165</v>
          </cell>
        </row>
        <row r="971">
          <cell r="C971" t="str">
            <v>朱培源</v>
          </cell>
          <cell r="D971" t="str">
            <v>挡泥板</v>
          </cell>
        </row>
        <row r="971">
          <cell r="I971" t="str">
            <v>原开品</v>
          </cell>
          <cell r="J971">
            <v>11093</v>
          </cell>
        </row>
        <row r="971">
          <cell r="M971">
            <v>45969</v>
          </cell>
        </row>
        <row r="972">
          <cell r="A972">
            <v>12240</v>
          </cell>
        </row>
        <row r="972">
          <cell r="C972" t="str">
            <v>王偲涵</v>
          </cell>
          <cell r="D972" t="str">
            <v>饰条</v>
          </cell>
        </row>
        <row r="972">
          <cell r="I972" t="str">
            <v>原开品</v>
          </cell>
          <cell r="J972">
            <v>11187</v>
          </cell>
        </row>
        <row r="972">
          <cell r="M972">
            <v>45969</v>
          </cell>
        </row>
        <row r="973">
          <cell r="A973">
            <v>12225</v>
          </cell>
        </row>
        <row r="973">
          <cell r="C973" t="str">
            <v>章鹏</v>
          </cell>
          <cell r="D973" t="str">
            <v>其他</v>
          </cell>
        </row>
        <row r="973">
          <cell r="I973" t="str">
            <v>原开品</v>
          </cell>
          <cell r="J973">
            <v>11188</v>
          </cell>
        </row>
        <row r="973">
          <cell r="M973">
            <v>45969</v>
          </cell>
        </row>
        <row r="974">
          <cell r="A974">
            <v>12248</v>
          </cell>
        </row>
        <row r="974">
          <cell r="C974" t="str">
            <v>胡煜星</v>
          </cell>
          <cell r="D974" t="str">
            <v>其他</v>
          </cell>
        </row>
        <row r="974">
          <cell r="I974" t="str">
            <v>原开品</v>
          </cell>
          <cell r="J974">
            <v>11178</v>
          </cell>
        </row>
        <row r="974">
          <cell r="M974">
            <v>45971</v>
          </cell>
        </row>
        <row r="975">
          <cell r="A975">
            <v>12246</v>
          </cell>
        </row>
        <row r="975">
          <cell r="C975" t="str">
            <v>胡煜星</v>
          </cell>
          <cell r="D975" t="str">
            <v>其他</v>
          </cell>
        </row>
        <row r="975">
          <cell r="I975" t="str">
            <v>原开品</v>
          </cell>
          <cell r="J975">
            <v>11179</v>
          </cell>
        </row>
        <row r="975">
          <cell r="M975">
            <v>45972</v>
          </cell>
        </row>
        <row r="976">
          <cell r="A976">
            <v>12247</v>
          </cell>
        </row>
        <row r="976">
          <cell r="C976" t="str">
            <v>胡煜星</v>
          </cell>
          <cell r="D976" t="str">
            <v>其他</v>
          </cell>
        </row>
        <row r="976">
          <cell r="I976" t="str">
            <v>原开品</v>
          </cell>
          <cell r="J976">
            <v>11219</v>
          </cell>
        </row>
        <row r="976">
          <cell r="M976">
            <v>45983</v>
          </cell>
        </row>
        <row r="977">
          <cell r="A977">
            <v>11997</v>
          </cell>
        </row>
        <row r="977">
          <cell r="C977" t="str">
            <v>张潇</v>
          </cell>
          <cell r="D977" t="str">
            <v>饰条</v>
          </cell>
        </row>
        <row r="977">
          <cell r="I977" t="str">
            <v>原开品</v>
          </cell>
          <cell r="J977">
            <v>11103</v>
          </cell>
        </row>
        <row r="977">
          <cell r="M977">
            <v>46002</v>
          </cell>
        </row>
        <row r="978">
          <cell r="A978">
            <v>12071</v>
          </cell>
        </row>
        <row r="978">
          <cell r="C978" t="str">
            <v>胡煜星</v>
          </cell>
          <cell r="D978" t="str">
            <v>车身外扩件</v>
          </cell>
        </row>
        <row r="978">
          <cell r="I978" t="str">
            <v>原开品</v>
          </cell>
          <cell r="J978">
            <v>11258</v>
          </cell>
        </row>
        <row r="979">
          <cell r="A979">
            <v>12304</v>
          </cell>
        </row>
        <row r="979">
          <cell r="C979" t="str">
            <v>俞东旭</v>
          </cell>
          <cell r="D979" t="str">
            <v>车门系统</v>
          </cell>
        </row>
        <row r="979">
          <cell r="I979" t="str">
            <v>原开品</v>
          </cell>
          <cell r="J979">
            <v>11284</v>
          </cell>
        </row>
        <row r="979">
          <cell r="M979">
            <v>45995</v>
          </cell>
        </row>
        <row r="980">
          <cell r="A980">
            <v>12086</v>
          </cell>
        </row>
        <row r="980">
          <cell r="C980" t="str">
            <v>张潇</v>
          </cell>
          <cell r="D980" t="str">
            <v>机盖及附件</v>
          </cell>
        </row>
        <row r="980">
          <cell r="I980" t="str">
            <v>组合件</v>
          </cell>
          <cell r="J980">
            <v>11490</v>
          </cell>
        </row>
        <row r="980">
          <cell r="M980">
            <v>45982</v>
          </cell>
        </row>
        <row r="981">
          <cell r="A981">
            <v>12258</v>
          </cell>
        </row>
        <row r="981">
          <cell r="C981" t="str">
            <v>张潇</v>
          </cell>
          <cell r="D981" t="str">
            <v>机盖及附件</v>
          </cell>
        </row>
        <row r="981">
          <cell r="I981" t="str">
            <v>原开品</v>
          </cell>
          <cell r="J981">
            <v>11240</v>
          </cell>
        </row>
        <row r="981">
          <cell r="M981">
            <v>45991</v>
          </cell>
        </row>
        <row r="982">
          <cell r="A982">
            <v>12210</v>
          </cell>
        </row>
        <row r="982">
          <cell r="C982" t="str">
            <v>张潇</v>
          </cell>
          <cell r="D982" t="str">
            <v>饰条</v>
          </cell>
        </row>
        <row r="982">
          <cell r="I982" t="str">
            <v>原开品</v>
          </cell>
          <cell r="J982">
            <v>11290</v>
          </cell>
        </row>
        <row r="982">
          <cell r="M982">
            <v>45997</v>
          </cell>
        </row>
        <row r="983">
          <cell r="A983">
            <v>12250</v>
          </cell>
        </row>
        <row r="983">
          <cell r="C983" t="str">
            <v>王偲涵</v>
          </cell>
          <cell r="D983" t="str">
            <v>饰条</v>
          </cell>
        </row>
        <row r="983">
          <cell r="I983" t="str">
            <v>拓展品</v>
          </cell>
          <cell r="J983">
            <v>11244</v>
          </cell>
        </row>
        <row r="984">
          <cell r="A984">
            <v>12251</v>
          </cell>
        </row>
        <row r="984">
          <cell r="C984" t="str">
            <v>王偲涵</v>
          </cell>
          <cell r="D984" t="str">
            <v>饰条</v>
          </cell>
        </row>
        <row r="984">
          <cell r="I984" t="str">
            <v>原开品</v>
          </cell>
          <cell r="J984">
            <v>11230</v>
          </cell>
        </row>
        <row r="984">
          <cell r="M984">
            <v>45997</v>
          </cell>
        </row>
        <row r="985">
          <cell r="A985">
            <v>12262</v>
          </cell>
        </row>
        <row r="985">
          <cell r="C985" t="str">
            <v>张潇</v>
          </cell>
          <cell r="D985" t="str">
            <v>机盖及附件</v>
          </cell>
        </row>
        <row r="985">
          <cell r="I985" t="str">
            <v>原开品</v>
          </cell>
          <cell r="J985">
            <v>11327</v>
          </cell>
        </row>
        <row r="985">
          <cell r="M985">
            <v>45997</v>
          </cell>
        </row>
        <row r="986">
          <cell r="A986">
            <v>12244</v>
          </cell>
        </row>
        <row r="986">
          <cell r="C986" t="str">
            <v>张潇</v>
          </cell>
          <cell r="D986" t="str">
            <v>饰条</v>
          </cell>
        </row>
        <row r="986">
          <cell r="I986" t="str">
            <v>原开品</v>
          </cell>
          <cell r="J986">
            <v>11104</v>
          </cell>
        </row>
        <row r="986">
          <cell r="M986">
            <v>45989</v>
          </cell>
        </row>
        <row r="987">
          <cell r="A987">
            <v>12243</v>
          </cell>
        </row>
        <row r="987">
          <cell r="C987" t="str">
            <v>张潇</v>
          </cell>
          <cell r="D987" t="str">
            <v>饰条</v>
          </cell>
        </row>
        <row r="987">
          <cell r="I987" t="str">
            <v>原开品</v>
          </cell>
          <cell r="J987">
            <v>11106</v>
          </cell>
        </row>
        <row r="987">
          <cell r="M987">
            <v>46027</v>
          </cell>
        </row>
        <row r="988">
          <cell r="A988">
            <v>12332</v>
          </cell>
        </row>
        <row r="988">
          <cell r="C988" t="str">
            <v>张潇</v>
          </cell>
          <cell r="D988" t="str">
            <v>饰条</v>
          </cell>
        </row>
        <row r="988">
          <cell r="I988" t="str">
            <v>原开品</v>
          </cell>
          <cell r="J988">
            <v>11288</v>
          </cell>
        </row>
        <row r="988">
          <cell r="M988">
            <v>45999</v>
          </cell>
        </row>
        <row r="989">
          <cell r="A989">
            <v>12368</v>
          </cell>
        </row>
        <row r="989">
          <cell r="C989" t="str">
            <v>胡煜星</v>
          </cell>
          <cell r="D989" t="str">
            <v>其他</v>
          </cell>
        </row>
        <row r="989">
          <cell r="I989" t="str">
            <v>原开品</v>
          </cell>
          <cell r="J989">
            <v>11289</v>
          </cell>
        </row>
        <row r="989">
          <cell r="M989">
            <v>46017</v>
          </cell>
        </row>
        <row r="990">
          <cell r="A990">
            <v>12085</v>
          </cell>
        </row>
        <row r="990">
          <cell r="C990" t="str">
            <v>张潇</v>
          </cell>
          <cell r="D990" t="str">
            <v>机盖及附件</v>
          </cell>
        </row>
        <row r="990">
          <cell r="I990" t="str">
            <v>原开品</v>
          </cell>
          <cell r="J990">
            <v>11192</v>
          </cell>
        </row>
        <row r="990">
          <cell r="M990">
            <v>46045</v>
          </cell>
        </row>
        <row r="991">
          <cell r="A991">
            <v>12227</v>
          </cell>
        </row>
        <row r="991">
          <cell r="C991" t="str">
            <v>章鹏</v>
          </cell>
          <cell r="D991" t="str">
            <v>其他</v>
          </cell>
        </row>
        <row r="991">
          <cell r="I991" t="str">
            <v>原开品</v>
          </cell>
          <cell r="J991">
            <v>11193</v>
          </cell>
        </row>
        <row r="991">
          <cell r="M991">
            <v>46020</v>
          </cell>
        </row>
        <row r="992">
          <cell r="A992">
            <v>12271</v>
          </cell>
        </row>
        <row r="992">
          <cell r="C992" t="str">
            <v>俞东旭</v>
          </cell>
          <cell r="D992" t="str">
            <v>车门系统</v>
          </cell>
        </row>
        <row r="992">
          <cell r="I992" t="str">
            <v>原开品</v>
          </cell>
          <cell r="J992">
            <v>11257</v>
          </cell>
        </row>
        <row r="993">
          <cell r="A993">
            <v>12270</v>
          </cell>
        </row>
        <row r="993">
          <cell r="C993" t="str">
            <v>俞东旭</v>
          </cell>
          <cell r="D993" t="str">
            <v>车门系统</v>
          </cell>
        </row>
        <row r="993">
          <cell r="I993" t="str">
            <v>原开品</v>
          </cell>
          <cell r="J993">
            <v>11312</v>
          </cell>
        </row>
        <row r="993">
          <cell r="M993">
            <v>46001</v>
          </cell>
        </row>
        <row r="994">
          <cell r="A994">
            <v>12292</v>
          </cell>
        </row>
        <row r="994">
          <cell r="C994" t="str">
            <v>朱培源</v>
          </cell>
          <cell r="D994" t="str">
            <v>挡泥板</v>
          </cell>
        </row>
        <row r="994">
          <cell r="I994" t="str">
            <v>拓展品</v>
          </cell>
          <cell r="J994">
            <v>11245</v>
          </cell>
        </row>
        <row r="995">
          <cell r="A995">
            <v>12213</v>
          </cell>
        </row>
        <row r="995">
          <cell r="C995" t="str">
            <v>张潇</v>
          </cell>
          <cell r="D995" t="str">
            <v>机盖及附件</v>
          </cell>
        </row>
        <row r="995">
          <cell r="I995" t="str">
            <v>拓展品</v>
          </cell>
          <cell r="J995">
            <v>11246</v>
          </cell>
        </row>
        <row r="996">
          <cell r="A996">
            <v>12293</v>
          </cell>
        </row>
        <row r="996">
          <cell r="C996" t="str">
            <v>朱培源</v>
          </cell>
          <cell r="D996" t="str">
            <v>车门系统</v>
          </cell>
        </row>
        <row r="996">
          <cell r="I996" t="str">
            <v>原开品</v>
          </cell>
          <cell r="J996">
            <v>11223</v>
          </cell>
        </row>
        <row r="996">
          <cell r="M996">
            <v>46005</v>
          </cell>
        </row>
        <row r="997">
          <cell r="A997">
            <v>12298</v>
          </cell>
        </row>
        <row r="997">
          <cell r="C997" t="str">
            <v>朱培源</v>
          </cell>
          <cell r="D997" t="str">
            <v>车门系统</v>
          </cell>
        </row>
        <row r="997">
          <cell r="I997" t="str">
            <v>原开品</v>
          </cell>
          <cell r="J997">
            <v>11330</v>
          </cell>
        </row>
        <row r="997">
          <cell r="M997">
            <v>46000</v>
          </cell>
        </row>
        <row r="998">
          <cell r="A998">
            <v>12299</v>
          </cell>
        </row>
        <row r="998">
          <cell r="C998" t="str">
            <v>朱培源</v>
          </cell>
          <cell r="D998" t="str">
            <v>车门系统</v>
          </cell>
        </row>
        <row r="998">
          <cell r="I998" t="str">
            <v>原开品</v>
          </cell>
          <cell r="J998">
            <v>11331</v>
          </cell>
        </row>
        <row r="998">
          <cell r="M998">
            <v>46001</v>
          </cell>
        </row>
        <row r="999">
          <cell r="A999">
            <v>12356</v>
          </cell>
        </row>
        <row r="999">
          <cell r="C999" t="str">
            <v>七部</v>
          </cell>
          <cell r="D999" t="str">
            <v>其他</v>
          </cell>
        </row>
        <row r="999">
          <cell r="I999" t="str">
            <v>原开品</v>
          </cell>
          <cell r="J999">
            <v>11394</v>
          </cell>
        </row>
        <row r="999">
          <cell r="M999">
            <v>46000</v>
          </cell>
        </row>
        <row r="1000">
          <cell r="A1000">
            <v>12320</v>
          </cell>
        </row>
        <row r="1000">
          <cell r="C1000" t="str">
            <v>朱培源</v>
          </cell>
          <cell r="D1000" t="str">
            <v>挡泥板</v>
          </cell>
        </row>
        <row r="1000">
          <cell r="I1000" t="str">
            <v>拓展品</v>
          </cell>
          <cell r="J1000">
            <v>11233</v>
          </cell>
        </row>
        <row r="1001">
          <cell r="A1001">
            <v>12333</v>
          </cell>
        </row>
        <row r="1001">
          <cell r="C1001" t="str">
            <v>朱培源</v>
          </cell>
          <cell r="D1001" t="str">
            <v>车门系统</v>
          </cell>
        </row>
        <row r="1001">
          <cell r="I1001" t="str">
            <v>原开品</v>
          </cell>
          <cell r="J1001">
            <v>11398</v>
          </cell>
        </row>
        <row r="1001">
          <cell r="M1001">
            <v>46001</v>
          </cell>
        </row>
        <row r="1002">
          <cell r="A1002">
            <v>12334</v>
          </cell>
        </row>
        <row r="1002">
          <cell r="C1002" t="str">
            <v>朱培源</v>
          </cell>
          <cell r="D1002" t="str">
            <v>车门系统</v>
          </cell>
        </row>
        <row r="1002">
          <cell r="I1002" t="str">
            <v>原开品</v>
          </cell>
          <cell r="J1002">
            <v>9135</v>
          </cell>
        </row>
        <row r="1002">
          <cell r="M1002">
            <v>46020</v>
          </cell>
        </row>
        <row r="1003">
          <cell r="A1003">
            <v>12305</v>
          </cell>
        </row>
        <row r="1003">
          <cell r="C1003" t="str">
            <v>俞东旭</v>
          </cell>
          <cell r="D1003" t="str">
            <v>车门系统</v>
          </cell>
        </row>
        <row r="1003">
          <cell r="I1003" t="str">
            <v>原开品</v>
          </cell>
          <cell r="J1003">
            <v>11464</v>
          </cell>
        </row>
        <row r="1003">
          <cell r="M1003">
            <v>46006</v>
          </cell>
        </row>
        <row r="1004">
          <cell r="A1004">
            <v>12306</v>
          </cell>
        </row>
        <row r="1004">
          <cell r="C1004" t="str">
            <v>俞东旭</v>
          </cell>
          <cell r="D1004" t="str">
            <v>车门系统</v>
          </cell>
        </row>
        <row r="1004">
          <cell r="I1004" t="str">
            <v>原开品</v>
          </cell>
          <cell r="J1004">
            <v>11262</v>
          </cell>
        </row>
        <row r="1004">
          <cell r="M1004">
            <v>46004</v>
          </cell>
        </row>
        <row r="1005">
          <cell r="A1005">
            <v>12307</v>
          </cell>
        </row>
        <row r="1005">
          <cell r="C1005" t="str">
            <v>俞东旭</v>
          </cell>
          <cell r="D1005" t="str">
            <v>车门系统</v>
          </cell>
        </row>
        <row r="1005">
          <cell r="I1005" t="str">
            <v>原开品</v>
          </cell>
          <cell r="J1005">
            <v>11546</v>
          </cell>
        </row>
        <row r="1005">
          <cell r="M1005">
            <v>46018</v>
          </cell>
        </row>
        <row r="1006">
          <cell r="A1006">
            <v>12308</v>
          </cell>
        </row>
        <row r="1006">
          <cell r="C1006" t="str">
            <v>俞东旭</v>
          </cell>
          <cell r="D1006" t="str">
            <v>车门系统</v>
          </cell>
        </row>
        <row r="1006">
          <cell r="I1006" t="str">
            <v>原开品</v>
          </cell>
          <cell r="J1006">
            <v>11446</v>
          </cell>
        </row>
        <row r="1006">
          <cell r="M1006">
            <v>46022</v>
          </cell>
        </row>
        <row r="1007">
          <cell r="A1007">
            <v>12309</v>
          </cell>
        </row>
        <row r="1007">
          <cell r="C1007" t="str">
            <v>俞东旭</v>
          </cell>
          <cell r="D1007" t="str">
            <v>车门系统</v>
          </cell>
        </row>
        <row r="1007">
          <cell r="I1007" t="str">
            <v>拓展品</v>
          </cell>
          <cell r="J1007">
            <v>11406</v>
          </cell>
        </row>
        <row r="1007">
          <cell r="M1007">
            <v>46003</v>
          </cell>
        </row>
        <row r="1008">
          <cell r="A1008">
            <v>12310</v>
          </cell>
        </row>
        <row r="1008">
          <cell r="C1008" t="str">
            <v>俞东旭</v>
          </cell>
          <cell r="D1008" t="str">
            <v>车门系统</v>
          </cell>
        </row>
        <row r="1008">
          <cell r="I1008" t="str">
            <v>拓展品</v>
          </cell>
          <cell r="J1008">
            <v>11455</v>
          </cell>
        </row>
        <row r="1008">
          <cell r="M1008">
            <v>46015</v>
          </cell>
        </row>
        <row r="1009">
          <cell r="A1009">
            <v>12321</v>
          </cell>
        </row>
        <row r="1009">
          <cell r="C1009" t="str">
            <v>俞东旭</v>
          </cell>
          <cell r="D1009" t="str">
            <v>车门系统</v>
          </cell>
        </row>
        <row r="1009">
          <cell r="I1009" t="str">
            <v>拓展品</v>
          </cell>
          <cell r="J1009">
            <v>11456</v>
          </cell>
        </row>
        <row r="1009">
          <cell r="M1009">
            <v>46024</v>
          </cell>
        </row>
        <row r="1010">
          <cell r="A1010">
            <v>12272</v>
          </cell>
        </row>
        <row r="1010">
          <cell r="C1010" t="str">
            <v>胡煜星</v>
          </cell>
          <cell r="D1010" t="str">
            <v>车门系统</v>
          </cell>
        </row>
        <row r="1010">
          <cell r="I1010" t="str">
            <v>原开品</v>
          </cell>
          <cell r="J1010">
            <v>11465</v>
          </cell>
        </row>
        <row r="1010">
          <cell r="M1010">
            <v>46017</v>
          </cell>
        </row>
        <row r="1011">
          <cell r="A1011">
            <v>12392</v>
          </cell>
        </row>
        <row r="1011">
          <cell r="C1011" t="str">
            <v>七部</v>
          </cell>
          <cell r="D1011" t="str">
            <v>饰条</v>
          </cell>
        </row>
        <row r="1011">
          <cell r="I1011" t="str">
            <v>原开品</v>
          </cell>
          <cell r="J1011">
            <v>11345</v>
          </cell>
        </row>
        <row r="1011">
          <cell r="M1011">
            <v>46009</v>
          </cell>
        </row>
        <row r="1012">
          <cell r="A1012">
            <v>12311</v>
          </cell>
        </row>
        <row r="1012">
          <cell r="C1012" t="str">
            <v>俞东旭</v>
          </cell>
          <cell r="D1012" t="str">
            <v>车门系统</v>
          </cell>
        </row>
        <row r="1012">
          <cell r="I1012" t="str">
            <v>原开品</v>
          </cell>
          <cell r="J1012">
            <v>11349</v>
          </cell>
        </row>
        <row r="1012">
          <cell r="M1012">
            <v>46015</v>
          </cell>
        </row>
        <row r="1013">
          <cell r="A1013">
            <v>12312</v>
          </cell>
        </row>
        <row r="1013">
          <cell r="C1013" t="str">
            <v>俞东旭</v>
          </cell>
          <cell r="D1013" t="str">
            <v>车门系统</v>
          </cell>
        </row>
        <row r="1013">
          <cell r="I1013" t="str">
            <v>原开品</v>
          </cell>
          <cell r="J1013">
            <v>11348</v>
          </cell>
        </row>
        <row r="1013">
          <cell r="M1013">
            <v>46019</v>
          </cell>
        </row>
        <row r="1014">
          <cell r="A1014">
            <v>5836</v>
          </cell>
        </row>
        <row r="1014">
          <cell r="C1014" t="str">
            <v>胡煜星</v>
          </cell>
          <cell r="D1014" t="str">
            <v>车门系统</v>
          </cell>
        </row>
        <row r="1014">
          <cell r="I1014" t="str">
            <v>原开品</v>
          </cell>
          <cell r="J1014">
            <v>11380</v>
          </cell>
        </row>
        <row r="1014">
          <cell r="M1014">
            <v>46022</v>
          </cell>
        </row>
        <row r="1015">
          <cell r="A1015">
            <v>12359</v>
          </cell>
        </row>
        <row r="1015">
          <cell r="C1015" t="str">
            <v>胡煜星</v>
          </cell>
          <cell r="D1015" t="str">
            <v>车门系统</v>
          </cell>
        </row>
        <row r="1015">
          <cell r="I1015" t="str">
            <v>原开品</v>
          </cell>
          <cell r="J1015">
            <v>11346</v>
          </cell>
        </row>
        <row r="1015">
          <cell r="M1015">
            <v>46017</v>
          </cell>
        </row>
        <row r="1016">
          <cell r="A1016">
            <v>12441</v>
          </cell>
        </row>
        <row r="1016">
          <cell r="C1016" t="str">
            <v>张潇</v>
          </cell>
          <cell r="D1016" t="str">
            <v>机盖及附件</v>
          </cell>
        </row>
        <row r="1016">
          <cell r="I1016" t="str">
            <v>原开品</v>
          </cell>
          <cell r="J1016">
            <v>11552</v>
          </cell>
        </row>
        <row r="1016">
          <cell r="M1016">
            <v>46025</v>
          </cell>
        </row>
        <row r="1017">
          <cell r="A1017">
            <v>12318</v>
          </cell>
        </row>
        <row r="1017">
          <cell r="C1017" t="str">
            <v>胡煜星</v>
          </cell>
          <cell r="D1017" t="str">
            <v>车门系统</v>
          </cell>
        </row>
        <row r="1017">
          <cell r="I1017" t="str">
            <v>拓展品</v>
          </cell>
          <cell r="J1017">
            <v>11553</v>
          </cell>
        </row>
        <row r="1017">
          <cell r="M1017">
            <v>46034</v>
          </cell>
        </row>
        <row r="1018">
          <cell r="A1018">
            <v>7440</v>
          </cell>
        </row>
        <row r="1018">
          <cell r="C1018" t="str">
            <v>张潇</v>
          </cell>
          <cell r="D1018" t="str">
            <v>雨刮罩</v>
          </cell>
        </row>
        <row r="1018">
          <cell r="I1018" t="str">
            <v>拓展品</v>
          </cell>
          <cell r="J1018">
            <v>11554</v>
          </cell>
        </row>
        <row r="1018">
          <cell r="M1018">
            <v>46021</v>
          </cell>
        </row>
        <row r="1019">
          <cell r="A1019">
            <v>12396</v>
          </cell>
        </row>
        <row r="1019">
          <cell r="C1019" t="str">
            <v>胡煜星</v>
          </cell>
          <cell r="D1019" t="str">
            <v>车门系统</v>
          </cell>
        </row>
        <row r="1019">
          <cell r="I1019" t="str">
            <v>原开品</v>
          </cell>
          <cell r="J1019">
            <v>11510</v>
          </cell>
        </row>
        <row r="1019">
          <cell r="M1019">
            <v>46014</v>
          </cell>
        </row>
        <row r="1020">
          <cell r="A1020">
            <v>12291</v>
          </cell>
        </row>
        <row r="1020">
          <cell r="C1020" t="str">
            <v>张潇</v>
          </cell>
          <cell r="D1020" t="str">
            <v>挡泥板</v>
          </cell>
        </row>
        <row r="1020">
          <cell r="I1020" t="str">
            <v>原开品</v>
          </cell>
          <cell r="J1020">
            <v>11528</v>
          </cell>
        </row>
        <row r="1020">
          <cell r="M1020">
            <v>46017</v>
          </cell>
        </row>
        <row r="1021">
          <cell r="A1021">
            <v>12290</v>
          </cell>
        </row>
        <row r="1021">
          <cell r="C1021" t="str">
            <v>张潇</v>
          </cell>
          <cell r="D1021" t="str">
            <v>挡泥板</v>
          </cell>
        </row>
        <row r="1021">
          <cell r="I1021" t="str">
            <v>原开品</v>
          </cell>
          <cell r="J1021">
            <v>11405</v>
          </cell>
        </row>
        <row r="1021">
          <cell r="M1021">
            <v>46052</v>
          </cell>
        </row>
        <row r="1022">
          <cell r="A1022">
            <v>12391</v>
          </cell>
        </row>
        <row r="1022">
          <cell r="C1022" t="str">
            <v>张潇</v>
          </cell>
          <cell r="D1022" t="str">
            <v>其他</v>
          </cell>
        </row>
        <row r="1022">
          <cell r="I1022" t="str">
            <v>原开品</v>
          </cell>
          <cell r="J1022">
            <v>11350</v>
          </cell>
        </row>
        <row r="1022">
          <cell r="M1022">
            <v>46026</v>
          </cell>
        </row>
        <row r="1023">
          <cell r="A1023">
            <v>12398</v>
          </cell>
        </row>
        <row r="1023">
          <cell r="C1023" t="str">
            <v>张潇</v>
          </cell>
          <cell r="D1023" t="str">
            <v>其他</v>
          </cell>
        </row>
        <row r="1023">
          <cell r="I1023" t="str">
            <v>原开品</v>
          </cell>
          <cell r="J1023">
            <v>11512</v>
          </cell>
        </row>
        <row r="1023">
          <cell r="M1023">
            <v>46023</v>
          </cell>
        </row>
        <row r="1024">
          <cell r="A1024">
            <v>12357</v>
          </cell>
        </row>
        <row r="1024">
          <cell r="C1024" t="str">
            <v>张潇</v>
          </cell>
          <cell r="D1024" t="str">
            <v>其他</v>
          </cell>
        </row>
        <row r="1024">
          <cell r="I1024" t="str">
            <v>原开品</v>
          </cell>
          <cell r="J1024">
            <v>11513</v>
          </cell>
        </row>
        <row r="1024">
          <cell r="M1024">
            <v>46063</v>
          </cell>
        </row>
        <row r="1025">
          <cell r="A1025">
            <v>12423</v>
          </cell>
        </row>
        <row r="1025">
          <cell r="C1025" t="str">
            <v>张潇</v>
          </cell>
          <cell r="D1025" t="str">
            <v>其他</v>
          </cell>
        </row>
        <row r="1025">
          <cell r="I1025" t="str">
            <v>拓展品</v>
          </cell>
          <cell r="J1025">
            <v>11600</v>
          </cell>
        </row>
        <row r="1025">
          <cell r="M1025">
            <v>46028</v>
          </cell>
        </row>
        <row r="1026">
          <cell r="A1026">
            <v>12387</v>
          </cell>
        </row>
        <row r="1026">
          <cell r="C1026" t="str">
            <v>俞东旭</v>
          </cell>
          <cell r="D1026" t="str">
            <v>车身外扩件</v>
          </cell>
        </row>
        <row r="1026">
          <cell r="I1026" t="str">
            <v>拓展品</v>
          </cell>
          <cell r="J1026">
            <v>11601</v>
          </cell>
        </row>
        <row r="1026">
          <cell r="M1026">
            <v>46043</v>
          </cell>
        </row>
        <row r="1027">
          <cell r="A1027">
            <v>12388</v>
          </cell>
        </row>
        <row r="1027">
          <cell r="C1027" t="str">
            <v>俞东旭</v>
          </cell>
          <cell r="D1027" t="str">
            <v>车身外扩件</v>
          </cell>
        </row>
        <row r="1027">
          <cell r="I1027" t="str">
            <v>拓展品</v>
          </cell>
          <cell r="J1027">
            <v>11655</v>
          </cell>
        </row>
        <row r="1027">
          <cell r="M1027">
            <v>46046</v>
          </cell>
        </row>
        <row r="1028">
          <cell r="A1028">
            <v>12474</v>
          </cell>
        </row>
        <row r="1028">
          <cell r="C1028" t="str">
            <v>张潇</v>
          </cell>
          <cell r="D1028" t="str">
            <v>饰条</v>
          </cell>
        </row>
        <row r="1028">
          <cell r="I1028" t="str">
            <v>原开品</v>
          </cell>
          <cell r="J1028">
            <v>11656</v>
          </cell>
        </row>
        <row r="1028">
          <cell r="M1028">
            <v>46084</v>
          </cell>
        </row>
        <row r="1029">
          <cell r="A1029">
            <v>12429</v>
          </cell>
        </row>
        <row r="1029">
          <cell r="C1029" t="str">
            <v>俞东旭</v>
          </cell>
          <cell r="D1029" t="str">
            <v>车门系统</v>
          </cell>
        </row>
        <row r="1029">
          <cell r="I1029" t="str">
            <v>原开品</v>
          </cell>
          <cell r="J1029">
            <v>11547</v>
          </cell>
        </row>
        <row r="1029">
          <cell r="M1029">
            <v>46075</v>
          </cell>
        </row>
        <row r="1030">
          <cell r="A1030">
            <v>12424</v>
          </cell>
        </row>
        <row r="1030">
          <cell r="C1030" t="str">
            <v>俞东旭</v>
          </cell>
          <cell r="D1030" t="str">
            <v>车门系统</v>
          </cell>
        </row>
        <row r="1030">
          <cell r="I1030" t="str">
            <v>原开品</v>
          </cell>
          <cell r="J1030">
            <v>11650</v>
          </cell>
        </row>
        <row r="1030">
          <cell r="M1030">
            <v>46029</v>
          </cell>
        </row>
        <row r="1031">
          <cell r="A1031">
            <v>12386</v>
          </cell>
        </row>
        <row r="1031">
          <cell r="C1031" t="str">
            <v>俞东旭</v>
          </cell>
          <cell r="D1031" t="str">
            <v>车门系统</v>
          </cell>
        </row>
        <row r="1031">
          <cell r="I1031" t="str">
            <v>原开品</v>
          </cell>
          <cell r="J1031">
            <v>11674</v>
          </cell>
        </row>
        <row r="1031">
          <cell r="M1031">
            <v>46028</v>
          </cell>
        </row>
        <row r="1032">
          <cell r="A1032">
            <v>12426</v>
          </cell>
        </row>
        <row r="1032">
          <cell r="C1032" t="str">
            <v>胡煜星</v>
          </cell>
          <cell r="D1032" t="str">
            <v>车门系统</v>
          </cell>
        </row>
        <row r="1032">
          <cell r="I1032" t="str">
            <v>原开品</v>
          </cell>
          <cell r="J1032">
            <v>11668</v>
          </cell>
        </row>
        <row r="1032">
          <cell r="M1032">
            <v>46030</v>
          </cell>
        </row>
        <row r="1033">
          <cell r="A1033">
            <v>12483</v>
          </cell>
        </row>
        <row r="1033">
          <cell r="C1033" t="str">
            <v>胡煜星</v>
          </cell>
          <cell r="D1033" t="str">
            <v>其他</v>
          </cell>
        </row>
        <row r="1033">
          <cell r="I1033" t="str">
            <v>拓展品</v>
          </cell>
          <cell r="J1033">
            <v>11681</v>
          </cell>
        </row>
        <row r="1033">
          <cell r="M1033">
            <v>46031</v>
          </cell>
        </row>
        <row r="1034">
          <cell r="A1034">
            <v>12484</v>
          </cell>
        </row>
        <row r="1034">
          <cell r="C1034" t="str">
            <v>胡煜星</v>
          </cell>
          <cell r="D1034" t="str">
            <v>其他</v>
          </cell>
        </row>
        <row r="1034">
          <cell r="I1034" t="str">
            <v>原开品</v>
          </cell>
          <cell r="J1034">
            <v>11742</v>
          </cell>
        </row>
        <row r="1034">
          <cell r="M1034">
            <v>46033</v>
          </cell>
        </row>
        <row r="1035">
          <cell r="A1035">
            <v>12414</v>
          </cell>
        </row>
        <row r="1035">
          <cell r="C1035" t="str">
            <v>俞东旭</v>
          </cell>
          <cell r="D1035" t="str">
            <v>车门系统</v>
          </cell>
        </row>
        <row r="1035">
          <cell r="I1035" t="str">
            <v>原开品</v>
          </cell>
          <cell r="J1035">
            <v>11603</v>
          </cell>
        </row>
        <row r="1035">
          <cell r="M1035">
            <v>46041</v>
          </cell>
        </row>
        <row r="1036">
          <cell r="A1036">
            <v>12422</v>
          </cell>
        </row>
        <row r="1036">
          <cell r="C1036" t="str">
            <v>俞东旭</v>
          </cell>
          <cell r="D1036" t="str">
            <v>车门系统</v>
          </cell>
        </row>
        <row r="1036">
          <cell r="I1036" t="str">
            <v>拓展品</v>
          </cell>
          <cell r="J1036">
            <v>11704</v>
          </cell>
        </row>
        <row r="1036">
          <cell r="M1036">
            <v>46070</v>
          </cell>
        </row>
        <row r="1037">
          <cell r="A1037">
            <v>6903</v>
          </cell>
        </row>
        <row r="1037">
          <cell r="C1037" t="str">
            <v>张潇</v>
          </cell>
          <cell r="D1037" t="str">
            <v>挡泥板</v>
          </cell>
        </row>
        <row r="1037">
          <cell r="I1037" t="str">
            <v>原开品</v>
          </cell>
          <cell r="J1037">
            <v>11699</v>
          </cell>
        </row>
        <row r="1037">
          <cell r="M1037">
            <v>46044</v>
          </cell>
        </row>
        <row r="1038">
          <cell r="A1038">
            <v>2713</v>
          </cell>
        </row>
        <row r="1038">
          <cell r="C1038" t="str">
            <v>朱培源</v>
          </cell>
          <cell r="D1038" t="str">
            <v>软顶</v>
          </cell>
        </row>
        <row r="1038">
          <cell r="I1038" t="str">
            <v>原开品</v>
          </cell>
          <cell r="J1038">
            <v>11982</v>
          </cell>
        </row>
        <row r="1038">
          <cell r="M1038">
            <v>46036</v>
          </cell>
        </row>
        <row r="1039">
          <cell r="A1039">
            <v>4134</v>
          </cell>
        </row>
        <row r="1039">
          <cell r="C1039" t="str">
            <v>胡煜星</v>
          </cell>
          <cell r="D1039" t="str">
            <v>车身外扩件</v>
          </cell>
        </row>
        <row r="1039">
          <cell r="I1039" t="str">
            <v>原开品</v>
          </cell>
          <cell r="J1039">
            <v>11911</v>
          </cell>
        </row>
        <row r="1039">
          <cell r="M1039">
            <v>46043</v>
          </cell>
        </row>
        <row r="1040">
          <cell r="A1040">
            <v>994</v>
          </cell>
        </row>
        <row r="1040">
          <cell r="C1040" t="str">
            <v>张潇</v>
          </cell>
          <cell r="D1040" t="str">
            <v>机盖及附件</v>
          </cell>
        </row>
        <row r="1040">
          <cell r="I1040" t="str">
            <v>拓展品</v>
          </cell>
          <cell r="J1040">
            <v>11848</v>
          </cell>
        </row>
        <row r="1040">
          <cell r="M1040">
            <v>46054</v>
          </cell>
        </row>
        <row r="1041">
          <cell r="A1041">
            <v>1160</v>
          </cell>
        </row>
        <row r="1041">
          <cell r="C1041" t="str">
            <v>张潇</v>
          </cell>
          <cell r="D1041" t="str">
            <v>挡泥板</v>
          </cell>
        </row>
        <row r="1041">
          <cell r="I1041" t="str">
            <v>拓展品</v>
          </cell>
          <cell r="J1041">
            <v>11875</v>
          </cell>
        </row>
        <row r="1041">
          <cell r="M1041">
            <v>46041</v>
          </cell>
        </row>
        <row r="1042">
          <cell r="A1042">
            <v>3183</v>
          </cell>
        </row>
        <row r="1042">
          <cell r="C1042" t="str">
            <v>朱培源</v>
          </cell>
          <cell r="D1042" t="str">
            <v>软顶</v>
          </cell>
        </row>
        <row r="1042">
          <cell r="I1042" t="str">
            <v>原开品</v>
          </cell>
          <cell r="J1042">
            <v>11833</v>
          </cell>
        </row>
        <row r="1042">
          <cell r="M1042">
            <v>46040</v>
          </cell>
        </row>
        <row r="1043">
          <cell r="A1043">
            <v>3855</v>
          </cell>
        </row>
        <row r="1043">
          <cell r="C1043" t="str">
            <v>张潇</v>
          </cell>
          <cell r="D1043" t="str">
            <v>车身外扩件</v>
          </cell>
        </row>
        <row r="1043">
          <cell r="I1043" t="str">
            <v>拓展品</v>
          </cell>
          <cell r="J1043">
            <v>11683</v>
          </cell>
        </row>
        <row r="1044">
          <cell r="A1044">
            <v>4181</v>
          </cell>
        </row>
        <row r="1044">
          <cell r="C1044" t="str">
            <v>张潇</v>
          </cell>
          <cell r="D1044" t="str">
            <v>车身外扩件</v>
          </cell>
        </row>
        <row r="1044">
          <cell r="I1044" t="str">
            <v>拓展品</v>
          </cell>
          <cell r="J1044">
            <v>12303</v>
          </cell>
        </row>
        <row r="1044">
          <cell r="M1044">
            <v>46046</v>
          </cell>
        </row>
        <row r="1045">
          <cell r="A1045">
            <v>3517</v>
          </cell>
        </row>
        <row r="1045">
          <cell r="C1045" t="str">
            <v>张潇</v>
          </cell>
          <cell r="D1045" t="str">
            <v>车身外扩件</v>
          </cell>
        </row>
        <row r="1045">
          <cell r="I1045" t="str">
            <v>原开品</v>
          </cell>
          <cell r="J1045">
            <v>11733</v>
          </cell>
        </row>
        <row r="1045">
          <cell r="M1045">
            <v>46066</v>
          </cell>
        </row>
        <row r="1046">
          <cell r="A1046">
            <v>3833</v>
          </cell>
        </row>
        <row r="1046">
          <cell r="C1046" t="str">
            <v>张潇</v>
          </cell>
          <cell r="D1046" t="str">
            <v>车身外扩件</v>
          </cell>
        </row>
        <row r="1046">
          <cell r="I1046" t="str">
            <v>原开品</v>
          </cell>
          <cell r="J1046">
            <v>11830</v>
          </cell>
        </row>
        <row r="1046">
          <cell r="M1046">
            <v>46054</v>
          </cell>
        </row>
        <row r="1047">
          <cell r="A1047">
            <v>3598</v>
          </cell>
        </row>
        <row r="1047">
          <cell r="C1047" t="str">
            <v>张潇</v>
          </cell>
          <cell r="D1047" t="str">
            <v>车身外扩件</v>
          </cell>
        </row>
        <row r="1047">
          <cell r="I1047" t="str">
            <v>原开品</v>
          </cell>
          <cell r="J1047">
            <v>11751</v>
          </cell>
        </row>
        <row r="1047">
          <cell r="M1047">
            <v>46043</v>
          </cell>
        </row>
        <row r="1048">
          <cell r="A1048">
            <v>3599</v>
          </cell>
        </row>
        <row r="1048">
          <cell r="C1048" t="str">
            <v>张潇</v>
          </cell>
          <cell r="D1048" t="str">
            <v>车身外扩件</v>
          </cell>
        </row>
        <row r="1048">
          <cell r="I1048" t="str">
            <v>原开品</v>
          </cell>
          <cell r="J1048">
            <v>11736</v>
          </cell>
        </row>
        <row r="1048">
          <cell r="M1048">
            <v>46065</v>
          </cell>
        </row>
        <row r="1049">
          <cell r="A1049">
            <v>4547</v>
          </cell>
        </row>
        <row r="1049">
          <cell r="C1049" t="str">
            <v>张潇</v>
          </cell>
          <cell r="D1049" t="str">
            <v>车身外扩件</v>
          </cell>
        </row>
        <row r="1049">
          <cell r="I1049" t="str">
            <v>原开品</v>
          </cell>
          <cell r="J1049">
            <v>11904</v>
          </cell>
        </row>
        <row r="1049">
          <cell r="M1049">
            <v>46050</v>
          </cell>
        </row>
        <row r="1050">
          <cell r="A1050">
            <v>9061</v>
          </cell>
        </row>
        <row r="1050">
          <cell r="C1050" t="str">
            <v>张潇</v>
          </cell>
          <cell r="D1050" t="str">
            <v>车身外扩件</v>
          </cell>
        </row>
        <row r="1050">
          <cell r="I1050" t="str">
            <v>拓展品</v>
          </cell>
          <cell r="J1050">
            <v>11781</v>
          </cell>
        </row>
        <row r="1050">
          <cell r="M1050">
            <v>46062</v>
          </cell>
        </row>
        <row r="1051">
          <cell r="A1051">
            <v>9580</v>
          </cell>
        </row>
        <row r="1051">
          <cell r="C1051" t="str">
            <v>张潇</v>
          </cell>
          <cell r="D1051" t="str">
            <v>车身外扩件</v>
          </cell>
        </row>
        <row r="1051">
          <cell r="I1051" t="str">
            <v>拓展品</v>
          </cell>
          <cell r="J1051">
            <v>11793</v>
          </cell>
        </row>
        <row r="1051">
          <cell r="M1051">
            <v>46062</v>
          </cell>
        </row>
        <row r="1052">
          <cell r="A1052">
            <v>5493</v>
          </cell>
        </row>
        <row r="1052">
          <cell r="C1052" t="str">
            <v>张潇</v>
          </cell>
          <cell r="D1052" t="str">
            <v>饰条</v>
          </cell>
        </row>
        <row r="1052">
          <cell r="I1052" t="str">
            <v>原开品</v>
          </cell>
          <cell r="J1052">
            <v>11745</v>
          </cell>
        </row>
        <row r="1052">
          <cell r="M1052">
            <v>46047</v>
          </cell>
        </row>
        <row r="1053">
          <cell r="A1053">
            <v>8685</v>
          </cell>
        </row>
        <row r="1053">
          <cell r="C1053" t="str">
            <v>张潇</v>
          </cell>
          <cell r="D1053" t="str">
            <v>挡泥板</v>
          </cell>
        </row>
        <row r="1053">
          <cell r="I1053" t="str">
            <v>原开品</v>
          </cell>
          <cell r="J1053">
            <v>4310</v>
          </cell>
        </row>
        <row r="1053">
          <cell r="M1053">
            <v>46047</v>
          </cell>
        </row>
        <row r="1054">
          <cell r="A1054">
            <v>8749</v>
          </cell>
        </row>
        <row r="1054">
          <cell r="C1054" t="str">
            <v>张潇</v>
          </cell>
          <cell r="D1054" t="str">
            <v>牌照板支架</v>
          </cell>
        </row>
        <row r="1054">
          <cell r="I1054" t="str">
            <v>原开品</v>
          </cell>
          <cell r="J1054">
            <v>11777</v>
          </cell>
        </row>
        <row r="1054">
          <cell r="M1054">
            <v>46065</v>
          </cell>
        </row>
        <row r="1055">
          <cell r="A1055">
            <v>8879</v>
          </cell>
        </row>
        <row r="1055">
          <cell r="C1055" t="str">
            <v>张潇</v>
          </cell>
          <cell r="D1055" t="str">
            <v>牌照板支架</v>
          </cell>
        </row>
        <row r="1055">
          <cell r="I1055" t="str">
            <v>拓展品</v>
          </cell>
          <cell r="J1055">
            <v>11792</v>
          </cell>
        </row>
        <row r="1055">
          <cell r="M1055">
            <v>46051</v>
          </cell>
        </row>
        <row r="1056">
          <cell r="A1056">
            <v>8961</v>
          </cell>
        </row>
        <row r="1056">
          <cell r="C1056" t="str">
            <v>张潇</v>
          </cell>
          <cell r="D1056" t="str">
            <v>挡泥板</v>
          </cell>
        </row>
        <row r="1056">
          <cell r="I1056" t="str">
            <v>拓展品</v>
          </cell>
          <cell r="J1056">
            <v>11780</v>
          </cell>
        </row>
        <row r="1056">
          <cell r="M1056">
            <v>46044</v>
          </cell>
        </row>
        <row r="1057">
          <cell r="A1057">
            <v>424</v>
          </cell>
        </row>
        <row r="1057">
          <cell r="C1057" t="str">
            <v>张潇</v>
          </cell>
          <cell r="D1057" t="str">
            <v>挡泥板</v>
          </cell>
        </row>
        <row r="1057">
          <cell r="I1057" t="str">
            <v>拓展品</v>
          </cell>
          <cell r="J1057">
            <v>11682</v>
          </cell>
        </row>
        <row r="1057">
          <cell r="M1057">
            <v>46052</v>
          </cell>
        </row>
        <row r="1058">
          <cell r="A1058">
            <v>9063</v>
          </cell>
        </row>
        <row r="1058">
          <cell r="C1058" t="str">
            <v>张潇</v>
          </cell>
          <cell r="D1058" t="str">
            <v>挡泥板</v>
          </cell>
        </row>
        <row r="1058">
          <cell r="I1058" t="str">
            <v>原开品</v>
          </cell>
          <cell r="J1058">
            <v>11778</v>
          </cell>
        </row>
        <row r="1058">
          <cell r="M1058">
            <v>46095</v>
          </cell>
        </row>
        <row r="1059">
          <cell r="A1059">
            <v>9066</v>
          </cell>
        </row>
        <row r="1059">
          <cell r="C1059" t="str">
            <v>张潇</v>
          </cell>
          <cell r="D1059" t="str">
            <v>挡泥板</v>
          </cell>
        </row>
        <row r="1059">
          <cell r="I1059" t="str">
            <v>拓展品</v>
          </cell>
          <cell r="J1059">
            <v>11756</v>
          </cell>
        </row>
        <row r="1059">
          <cell r="M1059">
            <v>46059</v>
          </cell>
        </row>
        <row r="1060">
          <cell r="A1060">
            <v>9307</v>
          </cell>
        </row>
        <row r="1060">
          <cell r="C1060" t="str">
            <v>张潇</v>
          </cell>
          <cell r="D1060" t="str">
            <v>挡泥板</v>
          </cell>
        </row>
        <row r="1060">
          <cell r="I1060" t="str">
            <v>拓展品</v>
          </cell>
          <cell r="J1060">
            <v>11757</v>
          </cell>
        </row>
        <row r="1060">
          <cell r="M1060">
            <v>46045</v>
          </cell>
        </row>
        <row r="1061">
          <cell r="A1061">
            <v>5542</v>
          </cell>
        </row>
        <row r="1061">
          <cell r="C1061" t="str">
            <v>张潇</v>
          </cell>
          <cell r="D1061" t="str">
            <v>车门系统</v>
          </cell>
        </row>
        <row r="1061">
          <cell r="I1061" t="str">
            <v>原开品</v>
          </cell>
          <cell r="J1061">
            <v>11758</v>
          </cell>
        </row>
        <row r="1061">
          <cell r="M1061">
            <v>46044</v>
          </cell>
        </row>
        <row r="1062">
          <cell r="A1062">
            <v>651</v>
          </cell>
        </row>
        <row r="1062">
          <cell r="C1062" t="str">
            <v>张潇</v>
          </cell>
          <cell r="D1062" t="str">
            <v>牌照板支架</v>
          </cell>
        </row>
        <row r="1062">
          <cell r="I1062" t="str">
            <v>拓展品</v>
          </cell>
          <cell r="J1062">
            <v>11808</v>
          </cell>
        </row>
        <row r="1062">
          <cell r="M1062">
            <v>46069</v>
          </cell>
        </row>
        <row r="1063">
          <cell r="A1063">
            <v>3379</v>
          </cell>
        </row>
        <row r="1063">
          <cell r="C1063" t="str">
            <v>朱培源</v>
          </cell>
          <cell r="D1063" t="str">
            <v>软顶</v>
          </cell>
        </row>
        <row r="1063">
          <cell r="I1063" t="str">
            <v>原开品</v>
          </cell>
          <cell r="J1063">
            <v>11809</v>
          </cell>
        </row>
        <row r="1063">
          <cell r="M1063">
            <v>46043</v>
          </cell>
        </row>
        <row r="1064">
          <cell r="A1064">
            <v>922</v>
          </cell>
        </row>
        <row r="1064">
          <cell r="C1064" t="str">
            <v>张潇</v>
          </cell>
          <cell r="D1064" t="str">
            <v>牌照板支架</v>
          </cell>
        </row>
        <row r="1064">
          <cell r="I1064" t="str">
            <v>原开品</v>
          </cell>
          <cell r="J1064">
            <v>11823</v>
          </cell>
        </row>
        <row r="1064">
          <cell r="M1064">
            <v>46045</v>
          </cell>
        </row>
        <row r="1065">
          <cell r="A1065">
            <v>1014</v>
          </cell>
        </row>
        <row r="1065">
          <cell r="C1065" t="str">
            <v>张潇</v>
          </cell>
          <cell r="D1065" t="str">
            <v>车身外扩件</v>
          </cell>
        </row>
        <row r="1065">
          <cell r="I1065" t="str">
            <v>原开品</v>
          </cell>
          <cell r="J1065">
            <v>11814</v>
          </cell>
        </row>
        <row r="1065">
          <cell r="M1065">
            <v>46066</v>
          </cell>
        </row>
        <row r="1066">
          <cell r="A1066">
            <v>944</v>
          </cell>
        </row>
        <row r="1066">
          <cell r="C1066" t="str">
            <v>张潇</v>
          </cell>
          <cell r="D1066" t="str">
            <v>机盖及附件</v>
          </cell>
        </row>
        <row r="1066">
          <cell r="I1066" t="str">
            <v>原开品</v>
          </cell>
          <cell r="J1066">
            <v>11815</v>
          </cell>
        </row>
        <row r="1066">
          <cell r="M1066">
            <v>46083</v>
          </cell>
        </row>
        <row r="1067">
          <cell r="A1067">
            <v>1642</v>
          </cell>
        </row>
        <row r="1067">
          <cell r="C1067" t="str">
            <v>张潇</v>
          </cell>
          <cell r="D1067" t="str">
            <v>车身外扩件</v>
          </cell>
        </row>
        <row r="1067">
          <cell r="I1067" t="str">
            <v>原开品</v>
          </cell>
          <cell r="J1067">
            <v>11824</v>
          </cell>
        </row>
        <row r="1067">
          <cell r="M1067">
            <v>46046</v>
          </cell>
        </row>
        <row r="1068">
          <cell r="A1068">
            <v>1689</v>
          </cell>
        </row>
        <row r="1068">
          <cell r="C1068" t="str">
            <v>张潇</v>
          </cell>
          <cell r="D1068" t="str">
            <v>车身外扩件</v>
          </cell>
        </row>
        <row r="1068">
          <cell r="I1068" t="str">
            <v>原开品</v>
          </cell>
          <cell r="J1068">
            <v>11855</v>
          </cell>
        </row>
        <row r="1068">
          <cell r="M1068">
            <v>46072</v>
          </cell>
        </row>
        <row r="1069">
          <cell r="A1069">
            <v>409</v>
          </cell>
        </row>
        <row r="1069">
          <cell r="C1069" t="str">
            <v>张潇</v>
          </cell>
          <cell r="D1069" t="str">
            <v>车门系统</v>
          </cell>
        </row>
        <row r="1069">
          <cell r="I1069" t="str">
            <v>拓展品</v>
          </cell>
          <cell r="J1069">
            <v>11856</v>
          </cell>
        </row>
        <row r="1069">
          <cell r="M1069">
            <v>46076</v>
          </cell>
        </row>
        <row r="1070">
          <cell r="A1070">
            <v>1290</v>
          </cell>
        </row>
        <row r="1070">
          <cell r="C1070" t="str">
            <v>张潇</v>
          </cell>
          <cell r="D1070" t="str">
            <v>挡泥板</v>
          </cell>
        </row>
        <row r="1070">
          <cell r="I1070" t="str">
            <v>拓展品</v>
          </cell>
          <cell r="J1070">
            <v>11857</v>
          </cell>
        </row>
        <row r="1070">
          <cell r="M1070">
            <v>46087</v>
          </cell>
        </row>
        <row r="1071">
          <cell r="A1071">
            <v>4657</v>
          </cell>
        </row>
        <row r="1071">
          <cell r="C1071" t="str">
            <v>张潇</v>
          </cell>
          <cell r="D1071" t="str">
            <v>挡泥板</v>
          </cell>
        </row>
        <row r="1071">
          <cell r="I1071" t="str">
            <v>原开品</v>
          </cell>
          <cell r="J1071">
            <v>11933</v>
          </cell>
        </row>
        <row r="1071">
          <cell r="M1071">
            <v>46085</v>
          </cell>
        </row>
        <row r="1072">
          <cell r="A1072">
            <v>3871</v>
          </cell>
        </row>
        <row r="1072">
          <cell r="C1072" t="str">
            <v>张潇</v>
          </cell>
          <cell r="D1072" t="str">
            <v>车门系统</v>
          </cell>
        </row>
        <row r="1072">
          <cell r="I1072" t="str">
            <v>原开品</v>
          </cell>
          <cell r="J1072">
            <v>11884</v>
          </cell>
        </row>
        <row r="1073">
          <cell r="A1073">
            <v>1296</v>
          </cell>
        </row>
        <row r="1073">
          <cell r="C1073" t="str">
            <v>张潇</v>
          </cell>
          <cell r="D1073" t="str">
            <v>牌照板支架</v>
          </cell>
        </row>
        <row r="1073">
          <cell r="I1073" t="str">
            <v>拓展品</v>
          </cell>
          <cell r="J1073">
            <v>11885</v>
          </cell>
        </row>
        <row r="1074">
          <cell r="A1074">
            <v>5690</v>
          </cell>
        </row>
        <row r="1074">
          <cell r="C1074" t="str">
            <v>张潇</v>
          </cell>
          <cell r="D1074" t="str">
            <v>车门系统</v>
          </cell>
        </row>
        <row r="1074">
          <cell r="I1074" t="str">
            <v>原开品</v>
          </cell>
          <cell r="J1074">
            <v>11839</v>
          </cell>
        </row>
        <row r="1074">
          <cell r="M1074">
            <v>46056</v>
          </cell>
        </row>
        <row r="1075">
          <cell r="A1075">
            <v>1424</v>
          </cell>
        </row>
        <row r="1075">
          <cell r="C1075" t="str">
            <v>张潇</v>
          </cell>
          <cell r="D1075" t="str">
            <v>其他</v>
          </cell>
        </row>
        <row r="1075">
          <cell r="I1075" t="str">
            <v>原开品</v>
          </cell>
          <cell r="J1075">
            <v>11840</v>
          </cell>
        </row>
        <row r="1075">
          <cell r="M1075">
            <v>46058</v>
          </cell>
        </row>
        <row r="1076">
          <cell r="A1076">
            <v>2481</v>
          </cell>
        </row>
        <row r="1076">
          <cell r="C1076" t="str">
            <v>张潇</v>
          </cell>
          <cell r="D1076" t="str">
            <v>车门系统</v>
          </cell>
        </row>
        <row r="1076">
          <cell r="I1076" t="str">
            <v>原开品</v>
          </cell>
          <cell r="J1076">
            <v>11794</v>
          </cell>
        </row>
        <row r="1076">
          <cell r="M1076">
            <v>46052</v>
          </cell>
        </row>
        <row r="1077">
          <cell r="A1077">
            <v>322</v>
          </cell>
        </row>
        <row r="1077">
          <cell r="C1077" t="str">
            <v>张潇</v>
          </cell>
          <cell r="D1077" t="str">
            <v>机盖及附件</v>
          </cell>
        </row>
        <row r="1077">
          <cell r="I1077" t="str">
            <v>原开品</v>
          </cell>
          <cell r="J1077">
            <v>11866</v>
          </cell>
        </row>
        <row r="1077">
          <cell r="M1077">
            <v>46070</v>
          </cell>
        </row>
        <row r="1078">
          <cell r="A1078">
            <v>481</v>
          </cell>
        </row>
        <row r="1078">
          <cell r="C1078" t="str">
            <v>张潇</v>
          </cell>
          <cell r="D1078" t="str">
            <v>车身外扩件</v>
          </cell>
        </row>
        <row r="1078">
          <cell r="I1078" t="str">
            <v>原开品</v>
          </cell>
          <cell r="J1078">
            <v>11867</v>
          </cell>
        </row>
        <row r="1078">
          <cell r="M1078">
            <v>46068</v>
          </cell>
        </row>
        <row r="1079">
          <cell r="A1079">
            <v>634</v>
          </cell>
        </row>
        <row r="1079">
          <cell r="C1079" t="str">
            <v>张潇</v>
          </cell>
          <cell r="D1079" t="str">
            <v>车门系统</v>
          </cell>
        </row>
        <row r="1079">
          <cell r="I1079" t="str">
            <v>原开品</v>
          </cell>
          <cell r="J1079">
            <v>11826</v>
          </cell>
        </row>
        <row r="1079">
          <cell r="M1079">
            <v>46065</v>
          </cell>
        </row>
        <row r="1080">
          <cell r="A1080">
            <v>636</v>
          </cell>
        </row>
        <row r="1080">
          <cell r="C1080" t="str">
            <v>张潇</v>
          </cell>
          <cell r="D1080" t="str">
            <v>车门系统</v>
          </cell>
        </row>
        <row r="1080">
          <cell r="I1080" t="str">
            <v>拓展品</v>
          </cell>
          <cell r="J1080">
            <v>11876</v>
          </cell>
        </row>
        <row r="1080">
          <cell r="M1080">
            <v>46087</v>
          </cell>
        </row>
        <row r="1081">
          <cell r="A1081">
            <v>657</v>
          </cell>
        </row>
        <row r="1081">
          <cell r="C1081" t="str">
            <v>张潇</v>
          </cell>
          <cell r="D1081" t="str">
            <v>车门系统</v>
          </cell>
        </row>
        <row r="1081">
          <cell r="I1081" t="str">
            <v>拓展品</v>
          </cell>
          <cell r="J1081">
            <v>11936</v>
          </cell>
        </row>
        <row r="1081">
          <cell r="M1081">
            <v>46056</v>
          </cell>
        </row>
        <row r="1082">
          <cell r="A1082">
            <v>567</v>
          </cell>
        </row>
        <row r="1082">
          <cell r="C1082" t="str">
            <v>张潇</v>
          </cell>
          <cell r="D1082" t="str">
            <v>车门系统</v>
          </cell>
        </row>
        <row r="1082">
          <cell r="I1082" t="str">
            <v>拓展品</v>
          </cell>
          <cell r="J1082">
            <v>11937</v>
          </cell>
        </row>
        <row r="1082">
          <cell r="M1082">
            <v>46064</v>
          </cell>
        </row>
        <row r="1083">
          <cell r="A1083">
            <v>1007</v>
          </cell>
        </row>
        <row r="1083">
          <cell r="C1083" t="str">
            <v>张潇</v>
          </cell>
          <cell r="D1083" t="str">
            <v>车身外扩件</v>
          </cell>
        </row>
        <row r="1083">
          <cell r="I1083" t="str">
            <v>原开品</v>
          </cell>
          <cell r="J1083">
            <v>11874</v>
          </cell>
        </row>
        <row r="1083">
          <cell r="M1083">
            <v>46054</v>
          </cell>
        </row>
        <row r="1084">
          <cell r="A1084">
            <v>1009</v>
          </cell>
        </row>
        <row r="1084">
          <cell r="C1084" t="str">
            <v>张潇</v>
          </cell>
          <cell r="D1084" t="str">
            <v>车身外扩件</v>
          </cell>
        </row>
        <row r="1084">
          <cell r="I1084" t="str">
            <v>原开品</v>
          </cell>
          <cell r="J1084">
            <v>11925</v>
          </cell>
        </row>
        <row r="1084">
          <cell r="M1084">
            <v>46052</v>
          </cell>
        </row>
        <row r="1085">
          <cell r="A1085">
            <v>1050</v>
          </cell>
        </row>
        <row r="1085">
          <cell r="C1085" t="str">
            <v>张潇</v>
          </cell>
          <cell r="D1085" t="str">
            <v>雨刮罩</v>
          </cell>
        </row>
        <row r="1085">
          <cell r="I1085" t="str">
            <v>原开品</v>
          </cell>
          <cell r="J1085">
            <v>11852</v>
          </cell>
        </row>
        <row r="1085">
          <cell r="M1085">
            <v>46064</v>
          </cell>
        </row>
        <row r="1086">
          <cell r="A1086">
            <v>3376</v>
          </cell>
        </row>
        <row r="1086">
          <cell r="C1086" t="str">
            <v>张潇</v>
          </cell>
          <cell r="D1086" t="str">
            <v>牌照板支架</v>
          </cell>
        </row>
        <row r="1086">
          <cell r="I1086" t="str">
            <v>组合件</v>
          </cell>
          <cell r="J1086">
            <v>12359</v>
          </cell>
        </row>
        <row r="1086">
          <cell r="M1086">
            <v>46062</v>
          </cell>
        </row>
        <row r="1087">
          <cell r="A1087">
            <v>1307</v>
          </cell>
        </row>
        <row r="1087">
          <cell r="C1087" t="str">
            <v>张潇</v>
          </cell>
          <cell r="D1087" t="str">
            <v>车门系统</v>
          </cell>
        </row>
        <row r="1087">
          <cell r="I1087" t="str">
            <v>拓展品</v>
          </cell>
          <cell r="J1087">
            <v>11921</v>
          </cell>
        </row>
        <row r="1087">
          <cell r="M1087">
            <v>46057</v>
          </cell>
        </row>
        <row r="1088">
          <cell r="A1088">
            <v>1585</v>
          </cell>
        </row>
        <row r="1088">
          <cell r="C1088" t="str">
            <v>张潇</v>
          </cell>
          <cell r="D1088" t="str">
            <v>雨刮罩</v>
          </cell>
        </row>
        <row r="1088">
          <cell r="I1088" t="str">
            <v>拓展品</v>
          </cell>
          <cell r="J1088">
            <v>11922</v>
          </cell>
        </row>
        <row r="1088">
          <cell r="M1088">
            <v>46058</v>
          </cell>
        </row>
        <row r="1089">
          <cell r="A1089">
            <v>1717</v>
          </cell>
        </row>
        <row r="1089">
          <cell r="C1089" t="str">
            <v>张潇</v>
          </cell>
          <cell r="D1089" t="str">
            <v>车身外扩件</v>
          </cell>
        </row>
        <row r="1089">
          <cell r="I1089" t="str">
            <v>拓展品</v>
          </cell>
          <cell r="J1089">
            <v>11923</v>
          </cell>
        </row>
        <row r="1089">
          <cell r="M1089">
            <v>46058</v>
          </cell>
        </row>
        <row r="1090">
          <cell r="A1090">
            <v>434</v>
          </cell>
        </row>
        <row r="1090">
          <cell r="C1090" t="str">
            <v>张潇</v>
          </cell>
          <cell r="D1090" t="str">
            <v>车身外扩件</v>
          </cell>
        </row>
        <row r="1090">
          <cell r="I1090" t="str">
            <v>原开品</v>
          </cell>
          <cell r="J1090">
            <v>11927</v>
          </cell>
        </row>
        <row r="1090">
          <cell r="M1090">
            <v>46067</v>
          </cell>
        </row>
        <row r="1091">
          <cell r="A1091">
            <v>1775</v>
          </cell>
        </row>
        <row r="1091">
          <cell r="C1091" t="str">
            <v>张潇</v>
          </cell>
          <cell r="D1091" t="str">
            <v>车身外扩件</v>
          </cell>
        </row>
        <row r="1091">
          <cell r="I1091" t="str">
            <v>拓展品</v>
          </cell>
          <cell r="J1091">
            <v>11928</v>
          </cell>
        </row>
        <row r="1091">
          <cell r="M1091">
            <v>46095</v>
          </cell>
        </row>
        <row r="1092">
          <cell r="A1092">
            <v>3651</v>
          </cell>
        </row>
        <row r="1092">
          <cell r="C1092" t="str">
            <v>张潇</v>
          </cell>
          <cell r="D1092" t="str">
            <v>车身外扩件</v>
          </cell>
        </row>
        <row r="1092">
          <cell r="I1092" t="str">
            <v>原开品</v>
          </cell>
          <cell r="J1092">
            <v>11926</v>
          </cell>
        </row>
        <row r="1092">
          <cell r="M1092">
            <v>46063</v>
          </cell>
        </row>
        <row r="1093">
          <cell r="A1093">
            <v>3626</v>
          </cell>
        </row>
        <row r="1093">
          <cell r="C1093" t="str">
            <v>张潇</v>
          </cell>
          <cell r="D1093" t="str">
            <v>车身外扩件</v>
          </cell>
        </row>
        <row r="1093">
          <cell r="I1093" t="str">
            <v>拓展品</v>
          </cell>
          <cell r="J1093">
            <v>11998</v>
          </cell>
        </row>
        <row r="1093">
          <cell r="M1093">
            <v>46068</v>
          </cell>
        </row>
        <row r="1094">
          <cell r="A1094">
            <v>3901</v>
          </cell>
        </row>
        <row r="1094">
          <cell r="C1094" t="str">
            <v>张潇</v>
          </cell>
          <cell r="D1094" t="str">
            <v>车身外扩件</v>
          </cell>
        </row>
        <row r="1094">
          <cell r="I1094" t="str">
            <v>原开品</v>
          </cell>
          <cell r="J1094">
            <v>11929</v>
          </cell>
        </row>
        <row r="1094">
          <cell r="M1094">
            <v>46066</v>
          </cell>
        </row>
        <row r="1095">
          <cell r="A1095">
            <v>5007</v>
          </cell>
        </row>
        <row r="1095">
          <cell r="C1095" t="str">
            <v>张潇</v>
          </cell>
          <cell r="D1095" t="str">
            <v>车身外扩件</v>
          </cell>
        </row>
        <row r="1095">
          <cell r="I1095" t="str">
            <v>原开品</v>
          </cell>
          <cell r="J1095">
            <v>12000</v>
          </cell>
        </row>
        <row r="1095">
          <cell r="M1095">
            <v>46064</v>
          </cell>
        </row>
        <row r="1096">
          <cell r="A1096">
            <v>3794</v>
          </cell>
        </row>
        <row r="1096">
          <cell r="C1096" t="str">
            <v>张潇</v>
          </cell>
          <cell r="D1096" t="str">
            <v>车身外扩件</v>
          </cell>
        </row>
        <row r="1096">
          <cell r="I1096" t="str">
            <v>拓展品</v>
          </cell>
          <cell r="J1096">
            <v>12061</v>
          </cell>
        </row>
        <row r="1096">
          <cell r="M1096">
            <v>46068</v>
          </cell>
        </row>
        <row r="1097">
          <cell r="A1097">
            <v>4056</v>
          </cell>
        </row>
        <row r="1097">
          <cell r="C1097" t="str">
            <v>张潇</v>
          </cell>
          <cell r="D1097" t="str">
            <v>车身外扩件</v>
          </cell>
        </row>
        <row r="1097">
          <cell r="I1097" t="str">
            <v>原开品</v>
          </cell>
          <cell r="J1097">
            <v>11990</v>
          </cell>
        </row>
        <row r="1097">
          <cell r="M1097">
            <v>46117</v>
          </cell>
        </row>
        <row r="1098">
          <cell r="A1098">
            <v>4483</v>
          </cell>
        </row>
        <row r="1098">
          <cell r="C1098" t="str">
            <v>张潇</v>
          </cell>
          <cell r="D1098" t="str">
            <v>车身外扩件</v>
          </cell>
        </row>
        <row r="1098">
          <cell r="I1098" t="str">
            <v>拓展品</v>
          </cell>
          <cell r="J1098">
            <v>11991</v>
          </cell>
        </row>
        <row r="1098">
          <cell r="M1098">
            <v>46093</v>
          </cell>
        </row>
        <row r="1099">
          <cell r="A1099">
            <v>4802</v>
          </cell>
        </row>
        <row r="1099">
          <cell r="C1099" t="str">
            <v>张潇</v>
          </cell>
          <cell r="D1099" t="str">
            <v>车门系统</v>
          </cell>
        </row>
        <row r="1099">
          <cell r="I1099" t="str">
            <v>原开品</v>
          </cell>
          <cell r="J1099">
            <v>11981</v>
          </cell>
        </row>
        <row r="1099">
          <cell r="M1099">
            <v>46071</v>
          </cell>
        </row>
        <row r="1100">
          <cell r="A1100">
            <v>4613</v>
          </cell>
        </row>
        <row r="1100">
          <cell r="C1100" t="str">
            <v>张潇</v>
          </cell>
          <cell r="D1100" t="str">
            <v>雨刮罩</v>
          </cell>
        </row>
        <row r="1100">
          <cell r="I1100" t="str">
            <v>拓展品</v>
          </cell>
          <cell r="J1100">
            <v>11890</v>
          </cell>
        </row>
        <row r="1100">
          <cell r="M1100">
            <v>46079</v>
          </cell>
        </row>
        <row r="1101">
          <cell r="A1101">
            <v>4536</v>
          </cell>
        </row>
        <row r="1101">
          <cell r="C1101" t="str">
            <v>张潇</v>
          </cell>
          <cell r="D1101" t="str">
            <v>车身外扩件</v>
          </cell>
        </row>
        <row r="1101">
          <cell r="I1101" t="str">
            <v>原开品</v>
          </cell>
          <cell r="J1101">
            <v>11989</v>
          </cell>
        </row>
        <row r="1101">
          <cell r="M1101">
            <v>46072</v>
          </cell>
        </row>
        <row r="1102">
          <cell r="A1102">
            <v>6267</v>
          </cell>
        </row>
        <row r="1102">
          <cell r="C1102" t="str">
            <v>张潇</v>
          </cell>
          <cell r="D1102" t="str">
            <v>车身外扩件</v>
          </cell>
        </row>
        <row r="1102">
          <cell r="I1102" t="str">
            <v>拓展品</v>
          </cell>
          <cell r="J1102">
            <v>12088</v>
          </cell>
        </row>
        <row r="1102">
          <cell r="M1102">
            <v>46068</v>
          </cell>
        </row>
        <row r="1103">
          <cell r="A1103">
            <v>6027</v>
          </cell>
        </row>
        <row r="1103">
          <cell r="C1103" t="str">
            <v>张潇</v>
          </cell>
          <cell r="D1103" t="str">
            <v>车门系统</v>
          </cell>
        </row>
        <row r="1103">
          <cell r="I1103" t="str">
            <v>拓展品</v>
          </cell>
          <cell r="J1103">
            <v>12089</v>
          </cell>
        </row>
        <row r="1103">
          <cell r="M1103">
            <v>46070</v>
          </cell>
        </row>
        <row r="1104">
          <cell r="A1104">
            <v>5958</v>
          </cell>
        </row>
        <row r="1104">
          <cell r="C1104" t="str">
            <v>张潇</v>
          </cell>
          <cell r="D1104" t="str">
            <v>车门系统</v>
          </cell>
        </row>
        <row r="1104">
          <cell r="I1104" t="str">
            <v>原开品</v>
          </cell>
          <cell r="J1104">
            <v>12002</v>
          </cell>
        </row>
        <row r="1104">
          <cell r="M1104">
            <v>46084</v>
          </cell>
        </row>
        <row r="1105">
          <cell r="A1105">
            <v>5993</v>
          </cell>
        </row>
        <row r="1105">
          <cell r="C1105" t="str">
            <v>张潇</v>
          </cell>
          <cell r="D1105" t="str">
            <v>车门系统</v>
          </cell>
        </row>
        <row r="1105">
          <cell r="I1105" t="str">
            <v>拓展品</v>
          </cell>
          <cell r="J1105">
            <v>11938</v>
          </cell>
        </row>
        <row r="1105">
          <cell r="M1105">
            <v>46114</v>
          </cell>
        </row>
        <row r="1106">
          <cell r="A1106">
            <v>4272</v>
          </cell>
        </row>
        <row r="1106">
          <cell r="C1106" t="str">
            <v>张潇</v>
          </cell>
          <cell r="D1106" t="str">
            <v>其他</v>
          </cell>
        </row>
        <row r="1106">
          <cell r="I1106" t="str">
            <v>原开品</v>
          </cell>
          <cell r="J1106">
            <v>12005</v>
          </cell>
        </row>
        <row r="1106">
          <cell r="M1106">
            <v>46077</v>
          </cell>
        </row>
        <row r="1107">
          <cell r="A1107">
            <v>5618</v>
          </cell>
        </row>
        <row r="1107">
          <cell r="C1107" t="str">
            <v>张潇</v>
          </cell>
          <cell r="D1107" t="str">
            <v>车门系统</v>
          </cell>
        </row>
        <row r="1107">
          <cell r="I1107" t="str">
            <v>原开品</v>
          </cell>
          <cell r="J1107">
            <v>12006</v>
          </cell>
        </row>
        <row r="1107">
          <cell r="M1107">
            <v>46070</v>
          </cell>
        </row>
        <row r="1108">
          <cell r="A1108">
            <v>5619</v>
          </cell>
        </row>
        <row r="1108">
          <cell r="C1108" t="str">
            <v>张潇</v>
          </cell>
          <cell r="D1108" t="str">
            <v>车门系统</v>
          </cell>
        </row>
        <row r="1108">
          <cell r="I1108" t="str">
            <v>原开品</v>
          </cell>
          <cell r="J1108">
            <v>12011</v>
          </cell>
        </row>
        <row r="1108">
          <cell r="M1108">
            <v>46071</v>
          </cell>
        </row>
        <row r="1109">
          <cell r="A1109">
            <v>7242</v>
          </cell>
        </row>
        <row r="1109">
          <cell r="C1109" t="str">
            <v>张潇</v>
          </cell>
          <cell r="D1109" t="str">
            <v>雨刮罩</v>
          </cell>
        </row>
        <row r="1109">
          <cell r="I1109" t="str">
            <v>原开品</v>
          </cell>
          <cell r="J1109">
            <v>12021</v>
          </cell>
        </row>
        <row r="1109">
          <cell r="M1109">
            <v>46069</v>
          </cell>
        </row>
        <row r="1110">
          <cell r="A1110">
            <v>6787</v>
          </cell>
        </row>
        <row r="1110">
          <cell r="C1110" t="str">
            <v>胡煜星</v>
          </cell>
          <cell r="D1110" t="str">
            <v>车门系统</v>
          </cell>
        </row>
        <row r="1110">
          <cell r="I1110" t="str">
            <v>原开品</v>
          </cell>
          <cell r="J1110">
            <v>12023</v>
          </cell>
        </row>
        <row r="1110">
          <cell r="M1110">
            <v>46113</v>
          </cell>
        </row>
        <row r="1111">
          <cell r="A1111">
            <v>7686</v>
          </cell>
        </row>
        <row r="1111">
          <cell r="C1111" t="str">
            <v>张潇</v>
          </cell>
          <cell r="D1111" t="str">
            <v>机盖及附件</v>
          </cell>
        </row>
        <row r="1111">
          <cell r="I1111" t="str">
            <v>原开品</v>
          </cell>
          <cell r="J1111">
            <v>12058</v>
          </cell>
        </row>
        <row r="1111">
          <cell r="M1111">
            <v>46086</v>
          </cell>
        </row>
        <row r="1112">
          <cell r="A1112">
            <v>7443</v>
          </cell>
        </row>
        <row r="1112">
          <cell r="C1112" t="str">
            <v>张潇</v>
          </cell>
          <cell r="D1112" t="str">
            <v>雨刮罩</v>
          </cell>
        </row>
        <row r="1112">
          <cell r="I1112" t="str">
            <v>原开品</v>
          </cell>
          <cell r="J1112">
            <v>12059</v>
          </cell>
        </row>
        <row r="1112">
          <cell r="M1112">
            <v>46073</v>
          </cell>
        </row>
        <row r="1113">
          <cell r="A1113">
            <v>8354</v>
          </cell>
        </row>
        <row r="1113">
          <cell r="C1113" t="str">
            <v>张潇</v>
          </cell>
          <cell r="D1113" t="str">
            <v>雨刮罩</v>
          </cell>
        </row>
        <row r="1113">
          <cell r="I1113" t="str">
            <v>原开品</v>
          </cell>
          <cell r="J1113">
            <v>12060</v>
          </cell>
        </row>
        <row r="1113">
          <cell r="M1113">
            <v>46090</v>
          </cell>
        </row>
        <row r="1114">
          <cell r="A1114">
            <v>7965</v>
          </cell>
        </row>
        <row r="1114">
          <cell r="C1114" t="str">
            <v>张潇</v>
          </cell>
          <cell r="D1114" t="str">
            <v>车身外扩件</v>
          </cell>
        </row>
        <row r="1114">
          <cell r="I1114" t="str">
            <v>原开品</v>
          </cell>
          <cell r="J1114">
            <v>12139</v>
          </cell>
        </row>
        <row r="1114">
          <cell r="M1114">
            <v>46080</v>
          </cell>
        </row>
        <row r="1115">
          <cell r="A1115">
            <v>5079</v>
          </cell>
        </row>
        <row r="1115">
          <cell r="C1115" t="str">
            <v>张潇</v>
          </cell>
          <cell r="D1115" t="str">
            <v>饰条</v>
          </cell>
        </row>
        <row r="1115">
          <cell r="I1115" t="str">
            <v>原开品</v>
          </cell>
          <cell r="J1115">
            <v>12087</v>
          </cell>
        </row>
        <row r="1115">
          <cell r="M1115">
            <v>46092</v>
          </cell>
        </row>
        <row r="1116">
          <cell r="A1116">
            <v>5439</v>
          </cell>
        </row>
        <row r="1116">
          <cell r="C1116" t="str">
            <v>张潇</v>
          </cell>
          <cell r="D1116" t="str">
            <v>饰条</v>
          </cell>
        </row>
        <row r="1116">
          <cell r="I1116" t="str">
            <v>原开品</v>
          </cell>
          <cell r="J1116">
            <v>12143</v>
          </cell>
        </row>
        <row r="1116">
          <cell r="M1116">
            <v>46109</v>
          </cell>
        </row>
        <row r="1117">
          <cell r="A1117">
            <v>5509</v>
          </cell>
        </row>
        <row r="1117">
          <cell r="C1117" t="str">
            <v>张潇</v>
          </cell>
          <cell r="D1117" t="str">
            <v>其他</v>
          </cell>
        </row>
        <row r="1117">
          <cell r="I1117" t="str">
            <v>原开品</v>
          </cell>
          <cell r="J1117">
            <v>12079</v>
          </cell>
        </row>
        <row r="1117">
          <cell r="M1117">
            <v>46085</v>
          </cell>
        </row>
        <row r="1118">
          <cell r="A1118">
            <v>357</v>
          </cell>
        </row>
        <row r="1118">
          <cell r="C1118" t="str">
            <v>张潇</v>
          </cell>
          <cell r="D1118" t="str">
            <v>挡泥板</v>
          </cell>
        </row>
        <row r="1118">
          <cell r="I1118" t="str">
            <v>原开品</v>
          </cell>
          <cell r="J1118">
            <v>12104</v>
          </cell>
        </row>
        <row r="1118">
          <cell r="M1118">
            <v>46082</v>
          </cell>
        </row>
        <row r="1119">
          <cell r="A1119">
            <v>6531</v>
          </cell>
        </row>
        <row r="1119">
          <cell r="C1119" t="str">
            <v>张潇</v>
          </cell>
          <cell r="D1119" t="str">
            <v>饰条</v>
          </cell>
        </row>
        <row r="1119">
          <cell r="I1119" t="str">
            <v>拓展品</v>
          </cell>
          <cell r="J1119">
            <v>12105</v>
          </cell>
        </row>
        <row r="1119">
          <cell r="M1119">
            <v>46084</v>
          </cell>
        </row>
        <row r="1120">
          <cell r="A1120">
            <v>6532</v>
          </cell>
        </row>
        <row r="1120">
          <cell r="C1120" t="str">
            <v>张潇</v>
          </cell>
          <cell r="D1120" t="str">
            <v>饰条</v>
          </cell>
        </row>
        <row r="1120">
          <cell r="I1120" t="str">
            <v>拓展品</v>
          </cell>
          <cell r="J1120">
            <v>12106</v>
          </cell>
        </row>
        <row r="1120">
          <cell r="M1120">
            <v>46096</v>
          </cell>
        </row>
        <row r="1121">
          <cell r="A1121">
            <v>6977</v>
          </cell>
        </row>
        <row r="1121">
          <cell r="C1121" t="str">
            <v>张潇</v>
          </cell>
          <cell r="D1121" t="str">
            <v>饰条</v>
          </cell>
        </row>
        <row r="1121">
          <cell r="I1121" t="str">
            <v>原开品</v>
          </cell>
          <cell r="J1121">
            <v>12240</v>
          </cell>
        </row>
        <row r="1121">
          <cell r="M1121">
            <v>46082</v>
          </cell>
        </row>
        <row r="1122">
          <cell r="A1122">
            <v>8350</v>
          </cell>
        </row>
        <row r="1122">
          <cell r="C1122" t="str">
            <v>张潇</v>
          </cell>
          <cell r="D1122" t="str">
            <v>挡泥板</v>
          </cell>
        </row>
        <row r="1122">
          <cell r="I1122" t="str">
            <v>原开品</v>
          </cell>
          <cell r="J1122">
            <v>12225</v>
          </cell>
        </row>
        <row r="1122">
          <cell r="M1122">
            <v>46101</v>
          </cell>
        </row>
        <row r="1123">
          <cell r="A1123">
            <v>491</v>
          </cell>
        </row>
        <row r="1123">
          <cell r="C1123" t="str">
            <v>张潇</v>
          </cell>
          <cell r="D1123" t="str">
            <v>其他</v>
          </cell>
        </row>
        <row r="1123">
          <cell r="I1123" t="str">
            <v>原开品</v>
          </cell>
          <cell r="J1123">
            <v>12073</v>
          </cell>
        </row>
        <row r="1123">
          <cell r="M1123">
            <v>46093</v>
          </cell>
        </row>
        <row r="1124">
          <cell r="A1124">
            <v>1212</v>
          </cell>
        </row>
        <row r="1124">
          <cell r="C1124" t="str">
            <v>张潇</v>
          </cell>
          <cell r="D1124" t="str">
            <v>机盖及附件</v>
          </cell>
        </row>
        <row r="1124">
          <cell r="I1124" t="str">
            <v>拓展品</v>
          </cell>
          <cell r="J1124">
            <v>12074</v>
          </cell>
        </row>
        <row r="1124">
          <cell r="M1124">
            <v>46085</v>
          </cell>
        </row>
        <row r="1125">
          <cell r="A1125">
            <v>3900</v>
          </cell>
        </row>
        <row r="1125">
          <cell r="C1125" t="str">
            <v>张潇</v>
          </cell>
          <cell r="D1125" t="str">
            <v>车身外扩件</v>
          </cell>
        </row>
        <row r="1125">
          <cell r="I1125" t="str">
            <v>拓展品</v>
          </cell>
          <cell r="J1125">
            <v>12075</v>
          </cell>
        </row>
        <row r="1125">
          <cell r="M1125">
            <v>46085</v>
          </cell>
        </row>
        <row r="1126">
          <cell r="A1126">
            <v>3516</v>
          </cell>
        </row>
        <row r="1126">
          <cell r="C1126" t="str">
            <v>张潇</v>
          </cell>
          <cell r="D1126" t="str">
            <v>车身外扩件</v>
          </cell>
        </row>
        <row r="1126">
          <cell r="I1126" t="str">
            <v>原开品</v>
          </cell>
          <cell r="J1126">
            <v>12252</v>
          </cell>
        </row>
        <row r="1126">
          <cell r="M1126">
            <v>46089</v>
          </cell>
        </row>
        <row r="1127">
          <cell r="A1127">
            <v>1753</v>
          </cell>
        </row>
        <row r="1127">
          <cell r="C1127" t="str">
            <v>张潇</v>
          </cell>
          <cell r="D1127" t="str">
            <v>车身外扩件</v>
          </cell>
        </row>
        <row r="1127">
          <cell r="I1127" t="str">
            <v>原开品</v>
          </cell>
          <cell r="J1127">
            <v>12165</v>
          </cell>
        </row>
        <row r="1127">
          <cell r="M1127">
            <v>46093</v>
          </cell>
        </row>
        <row r="1128">
          <cell r="A1128">
            <v>1437</v>
          </cell>
        </row>
        <row r="1128">
          <cell r="C1128" t="str">
            <v>胡煜星</v>
          </cell>
          <cell r="D1128" t="str">
            <v>车身外扩件</v>
          </cell>
        </row>
        <row r="1128">
          <cell r="I1128" t="str">
            <v>原开品</v>
          </cell>
          <cell r="J1128">
            <v>12247</v>
          </cell>
        </row>
        <row r="1128">
          <cell r="M1128">
            <v>46089</v>
          </cell>
        </row>
        <row r="1129">
          <cell r="A1129">
            <v>6465</v>
          </cell>
        </row>
        <row r="1129">
          <cell r="C1129" t="str">
            <v>张潇</v>
          </cell>
          <cell r="D1129" t="str">
            <v>饰条</v>
          </cell>
        </row>
        <row r="1129">
          <cell r="I1129" t="str">
            <v>原开品</v>
          </cell>
          <cell r="J1129">
            <v>11102</v>
          </cell>
        </row>
        <row r="1129">
          <cell r="M1129">
            <v>46100</v>
          </cell>
        </row>
        <row r="1130">
          <cell r="A1130">
            <v>6559</v>
          </cell>
        </row>
        <row r="1130">
          <cell r="C1130" t="str">
            <v>张潇</v>
          </cell>
          <cell r="D1130" t="str">
            <v>挡泥板</v>
          </cell>
        </row>
        <row r="1130">
          <cell r="I1130" t="str">
            <v>拓展品</v>
          </cell>
          <cell r="J1130">
            <v>12071</v>
          </cell>
        </row>
        <row r="1130">
          <cell r="M1130">
            <v>46092</v>
          </cell>
        </row>
        <row r="1131">
          <cell r="A1131">
            <v>6990</v>
          </cell>
        </row>
        <row r="1131">
          <cell r="C1131" t="str">
            <v>张潇</v>
          </cell>
          <cell r="D1131" t="str">
            <v>挡泥板</v>
          </cell>
        </row>
        <row r="1131">
          <cell r="I1131" t="str">
            <v>原开品</v>
          </cell>
          <cell r="J1131">
            <v>12072</v>
          </cell>
        </row>
        <row r="1131">
          <cell r="M1131">
            <v>46112</v>
          </cell>
        </row>
        <row r="1132">
          <cell r="A1132">
            <v>6991</v>
          </cell>
        </row>
        <row r="1132">
          <cell r="C1132" t="str">
            <v>张潇</v>
          </cell>
          <cell r="D1132" t="str">
            <v>挡泥板</v>
          </cell>
        </row>
        <row r="1132">
          <cell r="I1132" t="str">
            <v>原开品</v>
          </cell>
          <cell r="J1132">
            <v>12248</v>
          </cell>
        </row>
        <row r="1132">
          <cell r="M1132">
            <v>46091</v>
          </cell>
        </row>
        <row r="1133">
          <cell r="A1133">
            <v>7103</v>
          </cell>
        </row>
        <row r="1133">
          <cell r="C1133" t="str">
            <v>张潇</v>
          </cell>
          <cell r="D1133" t="str">
            <v>车身外扩件</v>
          </cell>
        </row>
        <row r="1133">
          <cell r="I1133" t="str">
            <v>原开品</v>
          </cell>
          <cell r="J1133">
            <v>12246</v>
          </cell>
        </row>
        <row r="1133">
          <cell r="M1133">
            <v>46086</v>
          </cell>
        </row>
        <row r="1134">
          <cell r="A1134">
            <v>7486</v>
          </cell>
        </row>
        <row r="1134">
          <cell r="C1134" t="str">
            <v>张潇</v>
          </cell>
          <cell r="D1134" t="str">
            <v>雨刮罩</v>
          </cell>
        </row>
        <row r="1134">
          <cell r="I1134" t="str">
            <v>原开品</v>
          </cell>
          <cell r="J1134">
            <v>12205</v>
          </cell>
        </row>
        <row r="1134">
          <cell r="M1134">
            <v>46089</v>
          </cell>
        </row>
        <row r="1135">
          <cell r="A1135">
            <v>7918</v>
          </cell>
        </row>
        <row r="1135">
          <cell r="C1135" t="str">
            <v>张潇</v>
          </cell>
          <cell r="D1135" t="str">
            <v>车身外扩件</v>
          </cell>
        </row>
        <row r="1135">
          <cell r="I1135" t="str">
            <v>原开品</v>
          </cell>
          <cell r="J1135">
            <v>12206</v>
          </cell>
        </row>
        <row r="1135">
          <cell r="M1135">
            <v>46094</v>
          </cell>
        </row>
        <row r="1136">
          <cell r="A1136">
            <v>8053</v>
          </cell>
        </row>
        <row r="1136">
          <cell r="C1136" t="str">
            <v>胡煜星</v>
          </cell>
          <cell r="D1136" t="str">
            <v>玻璃</v>
          </cell>
        </row>
        <row r="1136">
          <cell r="I1136" t="str">
            <v>原开品</v>
          </cell>
          <cell r="J1136">
            <v>11997</v>
          </cell>
        </row>
        <row r="1136">
          <cell r="M1136">
            <v>46105</v>
          </cell>
        </row>
        <row r="1137">
          <cell r="A1137">
            <v>8088</v>
          </cell>
        </row>
        <row r="1137">
          <cell r="C1137" t="str">
            <v>张潇</v>
          </cell>
          <cell r="D1137" t="str">
            <v>挡泥板</v>
          </cell>
        </row>
        <row r="1137">
          <cell r="I1137" t="str">
            <v>原开品</v>
          </cell>
          <cell r="J1137">
            <v>12262</v>
          </cell>
        </row>
        <row r="1137">
          <cell r="M1137">
            <v>46094</v>
          </cell>
        </row>
        <row r="1138">
          <cell r="A1138">
            <v>8124</v>
          </cell>
        </row>
        <row r="1138">
          <cell r="C1138" t="str">
            <v>张潇</v>
          </cell>
          <cell r="D1138" t="str">
            <v>挡泥板</v>
          </cell>
        </row>
        <row r="1138">
          <cell r="I1138" t="str">
            <v>原开品</v>
          </cell>
          <cell r="J1138">
            <v>12244</v>
          </cell>
        </row>
        <row r="1138">
          <cell r="M1138">
            <v>46101</v>
          </cell>
        </row>
        <row r="1139">
          <cell r="A1139">
            <v>8127</v>
          </cell>
        </row>
        <row r="1139">
          <cell r="C1139" t="str">
            <v>张潇</v>
          </cell>
          <cell r="D1139" t="str">
            <v>挡泥板</v>
          </cell>
        </row>
        <row r="1139">
          <cell r="I1139" t="str">
            <v>原开品</v>
          </cell>
          <cell r="J1139">
            <v>12243</v>
          </cell>
        </row>
        <row r="1139">
          <cell r="M1139">
            <v>46106</v>
          </cell>
        </row>
        <row r="1140">
          <cell r="A1140">
            <v>8201</v>
          </cell>
        </row>
        <row r="1140">
          <cell r="C1140" t="str">
            <v>张潇</v>
          </cell>
          <cell r="D1140" t="str">
            <v>挡泥板</v>
          </cell>
        </row>
        <row r="1140">
          <cell r="I1140" t="str">
            <v>原开品</v>
          </cell>
          <cell r="J1140">
            <v>12304</v>
          </cell>
        </row>
        <row r="1140">
          <cell r="M1140">
            <v>46095</v>
          </cell>
        </row>
        <row r="1141">
          <cell r="A1141">
            <v>8213</v>
          </cell>
        </row>
        <row r="1141">
          <cell r="C1141" t="str">
            <v>张潇</v>
          </cell>
          <cell r="D1141" t="str">
            <v>挡泥板</v>
          </cell>
        </row>
        <row r="1141">
          <cell r="I1141" t="str">
            <v>拓展品</v>
          </cell>
          <cell r="J1141">
            <v>12085</v>
          </cell>
        </row>
        <row r="1141">
          <cell r="M1141">
            <v>46099</v>
          </cell>
        </row>
        <row r="1142">
          <cell r="A1142">
            <v>8277</v>
          </cell>
        </row>
        <row r="1142">
          <cell r="C1142" t="str">
            <v>张潇</v>
          </cell>
          <cell r="D1142" t="str">
            <v>挡泥板</v>
          </cell>
        </row>
        <row r="1142">
          <cell r="I1142" t="str">
            <v>原开品</v>
          </cell>
          <cell r="J1142">
            <v>12086</v>
          </cell>
        </row>
        <row r="1142">
          <cell r="M1142">
            <v>46100</v>
          </cell>
        </row>
        <row r="1143">
          <cell r="A1143">
            <v>8307</v>
          </cell>
        </row>
        <row r="1143">
          <cell r="C1143" t="str">
            <v>张潇</v>
          </cell>
          <cell r="D1143" t="str">
            <v>车身外扩件</v>
          </cell>
        </row>
        <row r="1143">
          <cell r="I1143" t="str">
            <v>原开品</v>
          </cell>
          <cell r="J1143">
            <v>12258</v>
          </cell>
        </row>
        <row r="1143">
          <cell r="M1143">
            <v>46099</v>
          </cell>
        </row>
        <row r="1144">
          <cell r="A1144">
            <v>8333</v>
          </cell>
        </row>
        <row r="1144">
          <cell r="C1144" t="str">
            <v>张潇</v>
          </cell>
          <cell r="D1144" t="str">
            <v>车身外扩件</v>
          </cell>
        </row>
        <row r="1144">
          <cell r="I1144" t="str">
            <v>原开品</v>
          </cell>
          <cell r="J1144">
            <v>12210</v>
          </cell>
        </row>
        <row r="1144">
          <cell r="M1144">
            <v>46104</v>
          </cell>
        </row>
        <row r="1145">
          <cell r="A1145">
            <v>8338</v>
          </cell>
        </row>
        <row r="1145">
          <cell r="C1145" t="str">
            <v>张潇</v>
          </cell>
          <cell r="D1145" t="str">
            <v>挡泥板</v>
          </cell>
        </row>
        <row r="1145">
          <cell r="I1145" t="str">
            <v>拓展品</v>
          </cell>
          <cell r="J1145">
            <v>12250</v>
          </cell>
        </row>
        <row r="1145">
          <cell r="M1145">
            <v>46096</v>
          </cell>
        </row>
        <row r="1146">
          <cell r="A1146">
            <v>8359</v>
          </cell>
        </row>
        <row r="1146">
          <cell r="C1146" t="str">
            <v>张潇</v>
          </cell>
          <cell r="D1146" t="str">
            <v>挡泥板</v>
          </cell>
        </row>
        <row r="1146">
          <cell r="I1146" t="str">
            <v>拓展品</v>
          </cell>
          <cell r="J1146">
            <v>12251</v>
          </cell>
        </row>
        <row r="1146">
          <cell r="M1146">
            <v>46112</v>
          </cell>
        </row>
        <row r="1147">
          <cell r="A1147">
            <v>8366</v>
          </cell>
        </row>
        <row r="1147">
          <cell r="C1147" t="str">
            <v>张潇</v>
          </cell>
          <cell r="D1147" t="str">
            <v>挡泥板</v>
          </cell>
        </row>
        <row r="1147">
          <cell r="I1147" t="str">
            <v>原开品</v>
          </cell>
          <cell r="J1147">
            <v>12332</v>
          </cell>
        </row>
        <row r="1147">
          <cell r="M1147">
            <v>46095</v>
          </cell>
        </row>
        <row r="1148">
          <cell r="A1148">
            <v>8373</v>
          </cell>
        </row>
        <row r="1148">
          <cell r="C1148" t="str">
            <v>张潇</v>
          </cell>
          <cell r="D1148" t="str">
            <v>挡泥板</v>
          </cell>
        </row>
        <row r="1148">
          <cell r="I1148" t="str">
            <v>原开品</v>
          </cell>
          <cell r="J1148">
            <v>12227</v>
          </cell>
        </row>
        <row r="1148">
          <cell r="M1148">
            <v>46097</v>
          </cell>
        </row>
        <row r="1149">
          <cell r="A1149">
            <v>8429</v>
          </cell>
        </row>
        <row r="1149">
          <cell r="C1149" t="str">
            <v>张潇</v>
          </cell>
          <cell r="D1149" t="str">
            <v>挡泥板</v>
          </cell>
        </row>
        <row r="1149">
          <cell r="I1149" t="str">
            <v>原开品</v>
          </cell>
          <cell r="J1149">
            <v>12309</v>
          </cell>
        </row>
        <row r="1149">
          <cell r="M1149">
            <v>46101</v>
          </cell>
        </row>
        <row r="1150">
          <cell r="A1150">
            <v>8483</v>
          </cell>
        </row>
        <row r="1150">
          <cell r="C1150" t="str">
            <v>张潇</v>
          </cell>
          <cell r="D1150" t="str">
            <v>挡泥板</v>
          </cell>
        </row>
        <row r="1150">
          <cell r="I1150" t="str">
            <v>原开品</v>
          </cell>
          <cell r="J1150">
            <v>12310</v>
          </cell>
        </row>
        <row r="1150">
          <cell r="M1150">
            <v>46096</v>
          </cell>
        </row>
        <row r="1151">
          <cell r="A1151">
            <v>467</v>
          </cell>
        </row>
        <row r="1151">
          <cell r="C1151" t="str">
            <v>张潇</v>
          </cell>
          <cell r="D1151" t="str">
            <v>车门系统</v>
          </cell>
        </row>
        <row r="1151">
          <cell r="I1151" t="str">
            <v>原开品</v>
          </cell>
          <cell r="J1151">
            <v>12311</v>
          </cell>
        </row>
        <row r="1151">
          <cell r="M1151">
            <v>46102</v>
          </cell>
        </row>
        <row r="1152">
          <cell r="A1152">
            <v>12461</v>
          </cell>
        </row>
        <row r="1152">
          <cell r="C1152" t="str">
            <v>俞东旭</v>
          </cell>
          <cell r="D1152" t="str">
            <v>车身外扩件</v>
          </cell>
        </row>
        <row r="1152">
          <cell r="I1152" t="str">
            <v>原开品</v>
          </cell>
          <cell r="J1152">
            <v>12312</v>
          </cell>
        </row>
        <row r="1152">
          <cell r="M1152">
            <v>46096</v>
          </cell>
        </row>
        <row r="1153">
          <cell r="A1153">
            <v>12489</v>
          </cell>
        </row>
        <row r="1153">
          <cell r="C1153" t="str">
            <v>俞东旭</v>
          </cell>
          <cell r="D1153" t="str">
            <v>挡泥板</v>
          </cell>
        </row>
        <row r="1153">
          <cell r="I1153" t="str">
            <v>原开品</v>
          </cell>
          <cell r="J1153">
            <v>12441</v>
          </cell>
        </row>
        <row r="1153">
          <cell r="M1153">
            <v>46100</v>
          </cell>
        </row>
        <row r="1154">
          <cell r="A1154">
            <v>12480</v>
          </cell>
        </row>
        <row r="1154">
          <cell r="C1154" t="str">
            <v>张潇</v>
          </cell>
          <cell r="D1154" t="str">
            <v>牌照板支架</v>
          </cell>
        </row>
        <row r="1154">
          <cell r="I1154" t="str">
            <v>原开品</v>
          </cell>
          <cell r="J1154">
            <v>12271</v>
          </cell>
        </row>
        <row r="1154">
          <cell r="M1154">
            <v>46098</v>
          </cell>
        </row>
        <row r="1155">
          <cell r="A1155">
            <v>12558</v>
          </cell>
        </row>
        <row r="1155">
          <cell r="C1155" t="str">
            <v>朱培源</v>
          </cell>
          <cell r="D1155" t="str">
            <v>挡泥板</v>
          </cell>
        </row>
        <row r="1155">
          <cell r="I1155" t="str">
            <v>原开品</v>
          </cell>
          <cell r="J1155">
            <v>12270</v>
          </cell>
        </row>
        <row r="1155">
          <cell r="M1155">
            <v>46100</v>
          </cell>
        </row>
        <row r="1156">
          <cell r="A1156">
            <v>12473</v>
          </cell>
        </row>
        <row r="1156">
          <cell r="C1156" t="str">
            <v>张潇</v>
          </cell>
          <cell r="D1156" t="str">
            <v>机盖及附件</v>
          </cell>
        </row>
        <row r="1156">
          <cell r="I1156" t="str">
            <v>原开品</v>
          </cell>
          <cell r="J1156">
            <v>12318</v>
          </cell>
        </row>
        <row r="1156">
          <cell r="M1156">
            <v>46103</v>
          </cell>
        </row>
        <row r="1157">
          <cell r="A1157">
            <v>12464</v>
          </cell>
        </row>
        <row r="1157">
          <cell r="C1157" t="str">
            <v>俞东旭</v>
          </cell>
          <cell r="D1157" t="str">
            <v>车身外扩件</v>
          </cell>
        </row>
        <row r="1157">
          <cell r="I1157" t="str">
            <v>原开品</v>
          </cell>
          <cell r="J1157">
            <v>12320</v>
          </cell>
        </row>
        <row r="1157">
          <cell r="M1157">
            <v>46131</v>
          </cell>
        </row>
        <row r="1158">
          <cell r="A1158">
            <v>12540</v>
          </cell>
        </row>
        <row r="1158">
          <cell r="C1158" t="str">
            <v>胡煜星</v>
          </cell>
          <cell r="D1158" t="str">
            <v>其他</v>
          </cell>
        </row>
        <row r="1158">
          <cell r="I1158" t="str">
            <v>原开品</v>
          </cell>
          <cell r="J1158">
            <v>12305</v>
          </cell>
        </row>
        <row r="1158">
          <cell r="M1158">
            <v>46100</v>
          </cell>
        </row>
        <row r="1159">
          <cell r="A1159">
            <v>12541</v>
          </cell>
        </row>
        <row r="1159">
          <cell r="C1159" t="str">
            <v>胡煜星</v>
          </cell>
          <cell r="D1159" t="str">
            <v>其他</v>
          </cell>
        </row>
        <row r="1159">
          <cell r="I1159" t="str">
            <v>原开品</v>
          </cell>
          <cell r="J1159">
            <v>12321</v>
          </cell>
        </row>
        <row r="1159">
          <cell r="M1159">
            <v>46120</v>
          </cell>
        </row>
        <row r="1160">
          <cell r="A1160">
            <v>12542</v>
          </cell>
        </row>
        <row r="1160">
          <cell r="C1160" t="str">
            <v>胡煜星</v>
          </cell>
          <cell r="D1160" t="str">
            <v>其他</v>
          </cell>
        </row>
        <row r="1160">
          <cell r="I1160" t="str">
            <v>原开品</v>
          </cell>
          <cell r="J1160">
            <v>12272</v>
          </cell>
        </row>
        <row r="1160">
          <cell r="M1160">
            <v>46099</v>
          </cell>
        </row>
        <row r="1161">
          <cell r="A1161">
            <v>12543</v>
          </cell>
        </row>
        <row r="1161">
          <cell r="C1161" t="str">
            <v>胡煜星</v>
          </cell>
          <cell r="D1161" t="str">
            <v>其他</v>
          </cell>
        </row>
        <row r="1161">
          <cell r="I1161" t="str">
            <v>原开品</v>
          </cell>
          <cell r="J1161">
            <v>12292</v>
          </cell>
        </row>
        <row r="1161">
          <cell r="M1161">
            <v>46100</v>
          </cell>
        </row>
        <row r="1162">
          <cell r="A1162">
            <v>12544</v>
          </cell>
        </row>
        <row r="1162">
          <cell r="C1162" t="str">
            <v>张潇</v>
          </cell>
          <cell r="D1162" t="str">
            <v>其他</v>
          </cell>
        </row>
        <row r="1162">
          <cell r="I1162" t="str">
            <v>原开品</v>
          </cell>
          <cell r="J1162">
            <v>12333</v>
          </cell>
        </row>
        <row r="1162">
          <cell r="M1162">
            <v>46116</v>
          </cell>
        </row>
        <row r="1163">
          <cell r="A1163">
            <v>12612</v>
          </cell>
        </row>
        <row r="1163">
          <cell r="C1163" t="str">
            <v>章鹏</v>
          </cell>
          <cell r="D1163" t="str">
            <v>其他</v>
          </cell>
        </row>
        <row r="1163">
          <cell r="I1163" t="str">
            <v>原开品</v>
          </cell>
          <cell r="J1163">
            <v>12334</v>
          </cell>
        </row>
        <row r="1163">
          <cell r="M1163">
            <v>46105</v>
          </cell>
        </row>
        <row r="1164">
          <cell r="A1164">
            <v>12651</v>
          </cell>
        </row>
        <row r="1164">
          <cell r="C1164" t="str">
            <v>张潇</v>
          </cell>
          <cell r="D1164" t="str">
            <v>机盖及附件</v>
          </cell>
        </row>
        <row r="1164">
          <cell r="I1164" t="str">
            <v>原开品</v>
          </cell>
          <cell r="J1164">
            <v>12368</v>
          </cell>
        </row>
        <row r="1164">
          <cell r="M1164">
            <v>46104</v>
          </cell>
        </row>
        <row r="1165">
          <cell r="A1165">
            <v>12604</v>
          </cell>
        </row>
        <row r="1165">
          <cell r="C1165" t="str">
            <v>王偲涵</v>
          </cell>
          <cell r="D1165" t="str">
            <v>车身外扩件</v>
          </cell>
        </row>
        <row r="1165">
          <cell r="I1165" t="str">
            <v>原开品</v>
          </cell>
          <cell r="J1165">
            <v>12306</v>
          </cell>
        </row>
        <row r="1165">
          <cell r="M1165">
            <v>46099</v>
          </cell>
        </row>
        <row r="1166">
          <cell r="A1166">
            <v>12526</v>
          </cell>
        </row>
        <row r="1166">
          <cell r="C1166" t="str">
            <v>王偲涵</v>
          </cell>
          <cell r="D1166" t="str">
            <v>车身外扩件</v>
          </cell>
        </row>
        <row r="1166">
          <cell r="I1166" t="str">
            <v>原开品</v>
          </cell>
          <cell r="J1166">
            <v>12307</v>
          </cell>
        </row>
        <row r="1166">
          <cell r="M1166">
            <v>46103</v>
          </cell>
        </row>
        <row r="1167">
          <cell r="A1167">
            <v>12590</v>
          </cell>
        </row>
        <row r="1167">
          <cell r="C1167" t="str">
            <v>王偲涵</v>
          </cell>
          <cell r="D1167" t="str">
            <v>车身外扩件</v>
          </cell>
        </row>
        <row r="1167">
          <cell r="I1167" t="str">
            <v>原开品</v>
          </cell>
          <cell r="J1167">
            <v>12308</v>
          </cell>
        </row>
        <row r="1167">
          <cell r="M1167">
            <v>46099</v>
          </cell>
        </row>
        <row r="1168">
          <cell r="A1168">
            <v>12586</v>
          </cell>
        </row>
        <row r="1168">
          <cell r="C1168" t="str">
            <v>朱培源</v>
          </cell>
          <cell r="D1168" t="str">
            <v>机盖及附件</v>
          </cell>
        </row>
        <row r="1168">
          <cell r="I1168" t="str">
            <v>原开品</v>
          </cell>
          <cell r="J1168">
            <v>12293</v>
          </cell>
        </row>
        <row r="1168">
          <cell r="M1168">
            <v>46104</v>
          </cell>
        </row>
        <row r="1169">
          <cell r="A1169">
            <v>12615</v>
          </cell>
        </row>
        <row r="1169">
          <cell r="C1169" t="str">
            <v>王偲涵</v>
          </cell>
          <cell r="D1169" t="str">
            <v>其他</v>
          </cell>
        </row>
        <row r="1169">
          <cell r="I1169" t="str">
            <v>拓展品</v>
          </cell>
          <cell r="J1169">
            <v>12298</v>
          </cell>
        </row>
        <row r="1169">
          <cell r="M1169">
            <v>46157</v>
          </cell>
        </row>
        <row r="1170">
          <cell r="A1170">
            <v>12616</v>
          </cell>
        </row>
        <row r="1170">
          <cell r="C1170" t="str">
            <v>王偲涵</v>
          </cell>
          <cell r="D1170" t="str">
            <v>其他</v>
          </cell>
        </row>
        <row r="1170">
          <cell r="I1170" t="str">
            <v>拓展品</v>
          </cell>
          <cell r="J1170">
            <v>12299</v>
          </cell>
        </row>
        <row r="1170">
          <cell r="M1170">
            <v>46119</v>
          </cell>
        </row>
        <row r="1171">
          <cell r="A1171">
            <v>12572</v>
          </cell>
        </row>
        <row r="1171">
          <cell r="C1171" t="str">
            <v>胡煜星</v>
          </cell>
          <cell r="D1171" t="str">
            <v>其他</v>
          </cell>
        </row>
        <row r="1171">
          <cell r="I1171" t="str">
            <v>原开品</v>
          </cell>
          <cell r="J1171">
            <v>12396</v>
          </cell>
        </row>
        <row r="1172">
          <cell r="A1172">
            <v>12573</v>
          </cell>
        </row>
        <row r="1172">
          <cell r="C1172" t="str">
            <v>胡煜星</v>
          </cell>
          <cell r="D1172" t="str">
            <v>其他</v>
          </cell>
        </row>
        <row r="1172">
          <cell r="I1172" t="str">
            <v>原开品</v>
          </cell>
          <cell r="J1172">
            <v>12291</v>
          </cell>
        </row>
        <row r="1172">
          <cell r="M1172">
            <v>46134</v>
          </cell>
        </row>
        <row r="1173">
          <cell r="A1173">
            <v>12650</v>
          </cell>
        </row>
        <row r="1173">
          <cell r="C1173" t="str">
            <v>张潇</v>
          </cell>
          <cell r="D1173" t="str">
            <v>其他</v>
          </cell>
        </row>
        <row r="1173">
          <cell r="I1173" t="str">
            <v>原开品</v>
          </cell>
          <cell r="J1173">
            <v>12290</v>
          </cell>
        </row>
        <row r="1173">
          <cell r="M1173">
            <v>46119</v>
          </cell>
        </row>
        <row r="1174">
          <cell r="A1174">
            <v>12649</v>
          </cell>
        </row>
        <row r="1174">
          <cell r="C1174" t="str">
            <v>张潇</v>
          </cell>
          <cell r="D1174" t="str">
            <v>其他</v>
          </cell>
        </row>
        <row r="1174">
          <cell r="I1174" t="str">
            <v>原开品</v>
          </cell>
          <cell r="J1174">
            <v>12391</v>
          </cell>
        </row>
        <row r="1174">
          <cell r="M1174">
            <v>46118</v>
          </cell>
        </row>
        <row r="1175">
          <cell r="A1175">
            <v>12629</v>
          </cell>
        </row>
        <row r="1175">
          <cell r="C1175" t="str">
            <v>王偲涵</v>
          </cell>
          <cell r="D1175" t="str">
            <v>挡泥板</v>
          </cell>
        </row>
        <row r="1175">
          <cell r="I1175" t="str">
            <v>拓展品</v>
          </cell>
          <cell r="J1175">
            <v>12398</v>
          </cell>
        </row>
        <row r="1175">
          <cell r="M1175">
            <v>46114</v>
          </cell>
        </row>
        <row r="1176">
          <cell r="A1176">
            <v>12591</v>
          </cell>
        </row>
        <row r="1176">
          <cell r="C1176" t="str">
            <v>王偲涵</v>
          </cell>
          <cell r="D1176" t="str">
            <v>车身外扩件</v>
          </cell>
        </row>
        <row r="1176">
          <cell r="I1176" t="str">
            <v>原开品</v>
          </cell>
          <cell r="J1176">
            <v>12357</v>
          </cell>
        </row>
        <row r="1176">
          <cell r="M1176">
            <v>46104</v>
          </cell>
        </row>
        <row r="1177">
          <cell r="A1177">
            <v>12606</v>
          </cell>
        </row>
        <row r="1177">
          <cell r="C1177" t="str">
            <v>王偲涵</v>
          </cell>
          <cell r="D1177" t="str">
            <v>车身外扩件</v>
          </cell>
        </row>
        <row r="1177">
          <cell r="I1177" t="str">
            <v>原开品</v>
          </cell>
          <cell r="J1177">
            <v>12423</v>
          </cell>
        </row>
        <row r="1177">
          <cell r="M1177">
            <v>46108</v>
          </cell>
        </row>
        <row r="1178">
          <cell r="A1178">
            <v>12614</v>
          </cell>
        </row>
        <row r="1178">
          <cell r="C1178" t="str">
            <v>朱培源</v>
          </cell>
          <cell r="D1178" t="str">
            <v>挡泥板</v>
          </cell>
        </row>
        <row r="1178">
          <cell r="I1178" t="str">
            <v>原开品</v>
          </cell>
          <cell r="J1178">
            <v>12387</v>
          </cell>
        </row>
        <row r="1178">
          <cell r="M1178">
            <v>46125</v>
          </cell>
        </row>
        <row r="1179">
          <cell r="A1179">
            <v>12632</v>
          </cell>
        </row>
        <row r="1179">
          <cell r="C1179" t="str">
            <v>俞东旭</v>
          </cell>
          <cell r="D1179" t="str">
            <v>车门系统</v>
          </cell>
        </row>
        <row r="1179">
          <cell r="I1179" t="str">
            <v>原开品</v>
          </cell>
          <cell r="J1179">
            <v>12388</v>
          </cell>
        </row>
        <row r="1179">
          <cell r="M1179">
            <v>46125</v>
          </cell>
        </row>
        <row r="1180">
          <cell r="A1180">
            <v>12631</v>
          </cell>
        </row>
        <row r="1180">
          <cell r="C1180" t="str">
            <v>俞东旭</v>
          </cell>
          <cell r="D1180" t="str">
            <v>车门系统</v>
          </cell>
        </row>
        <row r="1180">
          <cell r="I1180" t="str">
            <v>拓展品</v>
          </cell>
          <cell r="J1180">
            <v>12474</v>
          </cell>
        </row>
        <row r="1180">
          <cell r="M1180">
            <v>46116</v>
          </cell>
        </row>
        <row r="1181">
          <cell r="A1181">
            <v>12630</v>
          </cell>
        </row>
        <row r="1181">
          <cell r="C1181" t="str">
            <v>俞东旭</v>
          </cell>
          <cell r="D1181" t="str">
            <v>车门系统</v>
          </cell>
        </row>
        <row r="1181">
          <cell r="I1181" t="str">
            <v>拓展品</v>
          </cell>
          <cell r="J1181">
            <v>12429</v>
          </cell>
        </row>
        <row r="1181">
          <cell r="M1181">
            <v>46111</v>
          </cell>
        </row>
        <row r="1182">
          <cell r="A1182">
            <v>12587</v>
          </cell>
        </row>
        <row r="1182">
          <cell r="C1182" t="str">
            <v>章鹏</v>
          </cell>
          <cell r="D1182" t="str">
            <v>饰条</v>
          </cell>
        </row>
        <row r="1182">
          <cell r="I1182" t="str">
            <v>拓展品</v>
          </cell>
          <cell r="J1182">
            <v>12424</v>
          </cell>
        </row>
        <row r="1183">
          <cell r="A1183">
            <v>12569</v>
          </cell>
        </row>
        <row r="1183">
          <cell r="C1183" t="str">
            <v>张潇</v>
          </cell>
          <cell r="D1183" t="str">
            <v>其他</v>
          </cell>
        </row>
        <row r="1183">
          <cell r="I1183" t="str">
            <v>拓展品</v>
          </cell>
          <cell r="J1183">
            <v>12386</v>
          </cell>
        </row>
        <row r="1183">
          <cell r="M1183">
            <v>46123</v>
          </cell>
        </row>
        <row r="1184">
          <cell r="A1184">
            <v>12575</v>
          </cell>
        </row>
        <row r="1184">
          <cell r="C1184" t="str">
            <v>胡煜星</v>
          </cell>
          <cell r="D1184" t="str">
            <v>其他</v>
          </cell>
        </row>
        <row r="1184">
          <cell r="I1184" t="str">
            <v>原开品</v>
          </cell>
          <cell r="J1184">
            <v>12426</v>
          </cell>
        </row>
        <row r="1184">
          <cell r="M1184">
            <v>46115</v>
          </cell>
        </row>
        <row r="1185">
          <cell r="A1185">
            <v>12574</v>
          </cell>
        </row>
        <row r="1185">
          <cell r="C1185" t="str">
            <v>胡煜星</v>
          </cell>
          <cell r="D1185" t="str">
            <v>其他</v>
          </cell>
        </row>
        <row r="1185">
          <cell r="I1185" t="str">
            <v>原开品</v>
          </cell>
          <cell r="J1185">
            <v>12483</v>
          </cell>
        </row>
        <row r="1185">
          <cell r="M1185">
            <v>46111</v>
          </cell>
        </row>
        <row r="1186">
          <cell r="A1186">
            <v>12532</v>
          </cell>
        </row>
        <row r="1186">
          <cell r="C1186" t="str">
            <v>朱培源</v>
          </cell>
          <cell r="D1186" t="str">
            <v>挡泥板</v>
          </cell>
        </row>
        <row r="1186">
          <cell r="I1186" t="str">
            <v>原开品</v>
          </cell>
          <cell r="J1186">
            <v>12484</v>
          </cell>
        </row>
        <row r="1186">
          <cell r="M1186">
            <v>46111</v>
          </cell>
        </row>
        <row r="1187">
          <cell r="A1187">
            <v>12713</v>
          </cell>
        </row>
        <row r="1187">
          <cell r="C1187" t="str">
            <v>朱培源</v>
          </cell>
          <cell r="D1187" t="str">
            <v>机盖及附件</v>
          </cell>
        </row>
        <row r="1187">
          <cell r="I1187" t="str">
            <v>拓展品</v>
          </cell>
          <cell r="J1187">
            <v>12414</v>
          </cell>
        </row>
        <row r="1187">
          <cell r="M1187">
            <v>46156</v>
          </cell>
        </row>
        <row r="1188">
          <cell r="A1188">
            <v>12732</v>
          </cell>
        </row>
        <row r="1188">
          <cell r="C1188" t="str">
            <v>章鹏</v>
          </cell>
          <cell r="D1188" t="str">
            <v>其他</v>
          </cell>
        </row>
        <row r="1188">
          <cell r="I1188" t="str">
            <v>拓展品</v>
          </cell>
          <cell r="J1188">
            <v>12422</v>
          </cell>
        </row>
        <row r="1188">
          <cell r="M1188">
            <v>46141</v>
          </cell>
        </row>
        <row r="1189">
          <cell r="A1189">
            <v>12658</v>
          </cell>
        </row>
        <row r="1189">
          <cell r="C1189" t="str">
            <v>张潇</v>
          </cell>
          <cell r="D1189" t="str">
            <v>机盖及附件</v>
          </cell>
        </row>
        <row r="1189">
          <cell r="I1189" t="str">
            <v>原开品</v>
          </cell>
          <cell r="J1189">
            <v>12213</v>
          </cell>
        </row>
        <row r="1189">
          <cell r="M1189">
            <v>46114</v>
          </cell>
        </row>
        <row r="1190">
          <cell r="A1190">
            <v>12741</v>
          </cell>
        </row>
        <row r="1190">
          <cell r="C1190" t="str">
            <v>胡煜星</v>
          </cell>
          <cell r="D1190" t="str">
            <v>其他</v>
          </cell>
        </row>
        <row r="1190">
          <cell r="I1190" t="str">
            <v>拓展品</v>
          </cell>
          <cell r="J1190">
            <v>12461</v>
          </cell>
        </row>
        <row r="1190">
          <cell r="M1190">
            <v>46124</v>
          </cell>
        </row>
        <row r="1191">
          <cell r="A1191">
            <v>12740</v>
          </cell>
        </row>
        <row r="1191">
          <cell r="C1191" t="str">
            <v>胡煜星</v>
          </cell>
          <cell r="D1191" t="str">
            <v>其他</v>
          </cell>
        </row>
        <row r="1191">
          <cell r="I1191" t="str">
            <v>原开品</v>
          </cell>
          <cell r="J1191">
            <v>12489</v>
          </cell>
        </row>
        <row r="1191">
          <cell r="M1191">
            <v>46126</v>
          </cell>
        </row>
        <row r="1192">
          <cell r="A1192">
            <v>12743</v>
          </cell>
        </row>
        <row r="1192">
          <cell r="C1192" t="str">
            <v>张潇</v>
          </cell>
          <cell r="D1192" t="str">
            <v>其他</v>
          </cell>
        </row>
        <row r="1192">
          <cell r="I1192" t="str">
            <v>原开品</v>
          </cell>
          <cell r="J1192">
            <v>12480</v>
          </cell>
        </row>
        <row r="1192">
          <cell r="M1192">
            <v>46139</v>
          </cell>
        </row>
        <row r="1193">
          <cell r="A1193">
            <v>12742</v>
          </cell>
        </row>
        <row r="1193">
          <cell r="C1193" t="str">
            <v>张潇</v>
          </cell>
          <cell r="D1193" t="str">
            <v>其他</v>
          </cell>
        </row>
        <row r="1193">
          <cell r="I1193" t="str">
            <v>原开品</v>
          </cell>
          <cell r="J1193">
            <v>12558</v>
          </cell>
        </row>
        <row r="1193">
          <cell r="M1193">
            <v>46155</v>
          </cell>
        </row>
        <row r="1194">
          <cell r="A1194">
            <v>12595</v>
          </cell>
        </row>
        <row r="1194">
          <cell r="C1194" t="str">
            <v>王偲涵</v>
          </cell>
          <cell r="D1194" t="str">
            <v>车身外扩件</v>
          </cell>
        </row>
        <row r="1194">
          <cell r="I1194" t="str">
            <v>原开品</v>
          </cell>
          <cell r="J1194">
            <v>12473</v>
          </cell>
        </row>
        <row r="1194">
          <cell r="M1194">
            <v>46154</v>
          </cell>
        </row>
        <row r="1195">
          <cell r="A1195">
            <v>12588</v>
          </cell>
        </row>
        <row r="1195">
          <cell r="C1195" t="str">
            <v>王偲涵</v>
          </cell>
          <cell r="D1195" t="str">
            <v>车身外扩件</v>
          </cell>
        </row>
        <row r="1195">
          <cell r="I1195" t="str">
            <v>原开品</v>
          </cell>
          <cell r="J1195">
            <v>12464</v>
          </cell>
        </row>
        <row r="1195">
          <cell r="M1195">
            <v>46135</v>
          </cell>
        </row>
        <row r="1196">
          <cell r="A1196">
            <v>12596</v>
          </cell>
        </row>
        <row r="1196">
          <cell r="C1196" t="str">
            <v>俞东旭</v>
          </cell>
          <cell r="D1196" t="str">
            <v>车身外扩件</v>
          </cell>
        </row>
        <row r="1196">
          <cell r="I1196" t="str">
            <v>原开品</v>
          </cell>
          <cell r="J1196">
            <v>12540</v>
          </cell>
        </row>
        <row r="1196">
          <cell r="M1196">
            <v>46157</v>
          </cell>
        </row>
        <row r="1197">
          <cell r="A1197">
            <v>12589</v>
          </cell>
        </row>
        <row r="1197">
          <cell r="C1197" t="str">
            <v>俞东旭</v>
          </cell>
          <cell r="D1197" t="str">
            <v>车身外扩件</v>
          </cell>
        </row>
        <row r="1197">
          <cell r="I1197" t="str">
            <v>原开品</v>
          </cell>
          <cell r="J1197">
            <v>12541</v>
          </cell>
        </row>
        <row r="1197">
          <cell r="M1197">
            <v>46140</v>
          </cell>
        </row>
        <row r="1198">
          <cell r="A1198">
            <v>12597</v>
          </cell>
        </row>
        <row r="1198">
          <cell r="C1198" t="str">
            <v>王偲涵</v>
          </cell>
          <cell r="D1198" t="str">
            <v>车身外扩件</v>
          </cell>
        </row>
        <row r="1198">
          <cell r="I1198" t="str">
            <v>原开品</v>
          </cell>
          <cell r="J1198">
            <v>12542</v>
          </cell>
        </row>
        <row r="1199">
          <cell r="A1199">
            <v>12598</v>
          </cell>
        </row>
        <row r="1199">
          <cell r="C1199" t="str">
            <v>王偲涵</v>
          </cell>
          <cell r="D1199" t="str">
            <v>车身外扩件</v>
          </cell>
        </row>
        <row r="1199">
          <cell r="I1199" t="str">
            <v>原开品</v>
          </cell>
          <cell r="J1199">
            <v>12543</v>
          </cell>
        </row>
        <row r="1199">
          <cell r="M1199">
            <v>46144</v>
          </cell>
        </row>
        <row r="1200">
          <cell r="A1200">
            <v>12069</v>
          </cell>
        </row>
        <row r="1200">
          <cell r="C1200" t="str">
            <v>朱培源</v>
          </cell>
          <cell r="D1200" t="str">
            <v>其他</v>
          </cell>
        </row>
        <row r="1200">
          <cell r="I1200" t="str">
            <v>原开品</v>
          </cell>
          <cell r="J1200">
            <v>12544</v>
          </cell>
        </row>
        <row r="1200">
          <cell r="M1200">
            <v>46142</v>
          </cell>
        </row>
        <row r="1201">
          <cell r="A1201">
            <v>12833</v>
          </cell>
        </row>
        <row r="1201">
          <cell r="C1201" t="str">
            <v>朱培源</v>
          </cell>
          <cell r="D1201" t="str">
            <v>挡泥板</v>
          </cell>
        </row>
        <row r="1201">
          <cell r="I1201" t="str">
            <v>原开品</v>
          </cell>
          <cell r="J1201">
            <v>12612</v>
          </cell>
        </row>
        <row r="1201">
          <cell r="M1201">
            <v>46160</v>
          </cell>
        </row>
        <row r="1202">
          <cell r="A1202">
            <v>12519</v>
          </cell>
        </row>
        <row r="1202">
          <cell r="C1202" t="str">
            <v>王偲涵</v>
          </cell>
          <cell r="D1202" t="str">
            <v>机盖及附件</v>
          </cell>
        </row>
        <row r="1202">
          <cell r="I1202" t="str">
            <v>原开品</v>
          </cell>
          <cell r="J1202">
            <v>12651</v>
          </cell>
        </row>
        <row r="1202">
          <cell r="M1202">
            <v>46142</v>
          </cell>
        </row>
        <row r="1203">
          <cell r="A1203">
            <v>12686</v>
          </cell>
        </row>
        <row r="1203">
          <cell r="C1203" t="str">
            <v>王偲涵</v>
          </cell>
          <cell r="D1203" t="str">
            <v>车门系统</v>
          </cell>
        </row>
        <row r="1203">
          <cell r="I1203" t="str">
            <v>原开品</v>
          </cell>
          <cell r="J1203">
            <v>12604</v>
          </cell>
        </row>
        <row r="1203">
          <cell r="M1203">
            <v>46152</v>
          </cell>
        </row>
        <row r="1204">
          <cell r="A1204">
            <v>12687</v>
          </cell>
        </row>
        <row r="1204">
          <cell r="C1204" t="str">
            <v>王偲涵</v>
          </cell>
          <cell r="D1204" t="str">
            <v>车门系统</v>
          </cell>
        </row>
        <row r="1204">
          <cell r="I1204" t="str">
            <v>原开品</v>
          </cell>
          <cell r="J1204">
            <v>12526</v>
          </cell>
        </row>
        <row r="1204">
          <cell r="M1204">
            <v>46154</v>
          </cell>
        </row>
        <row r="1205">
          <cell r="A1205">
            <v>12701</v>
          </cell>
        </row>
        <row r="1205">
          <cell r="C1205" t="str">
            <v>章鹏</v>
          </cell>
          <cell r="D1205" t="str">
            <v>饰条</v>
          </cell>
        </row>
        <row r="1205">
          <cell r="I1205" t="str">
            <v>原开品</v>
          </cell>
          <cell r="J1205">
            <v>12590</v>
          </cell>
        </row>
        <row r="1205">
          <cell r="M1205">
            <v>46143</v>
          </cell>
        </row>
        <row r="1206">
          <cell r="A1206">
            <v>12700</v>
          </cell>
        </row>
        <row r="1206">
          <cell r="C1206" t="str">
            <v>章鹏</v>
          </cell>
          <cell r="D1206" t="str">
            <v>饰条</v>
          </cell>
        </row>
        <row r="1206">
          <cell r="I1206" t="str">
            <v>原开品</v>
          </cell>
          <cell r="J1206">
            <v>12586</v>
          </cell>
        </row>
        <row r="1206">
          <cell r="M1206">
            <v>46142</v>
          </cell>
        </row>
        <row r="1207">
          <cell r="A1207">
            <v>12779</v>
          </cell>
        </row>
        <row r="1207">
          <cell r="C1207" t="str">
            <v>朱培源</v>
          </cell>
          <cell r="D1207" t="str">
            <v>挡泥板</v>
          </cell>
        </row>
        <row r="1207">
          <cell r="I1207" t="str">
            <v>原开品</v>
          </cell>
          <cell r="J1207">
            <v>12615</v>
          </cell>
        </row>
        <row r="1207">
          <cell r="M1207">
            <v>46150</v>
          </cell>
        </row>
        <row r="1208">
          <cell r="A1208">
            <v>12602</v>
          </cell>
        </row>
        <row r="1208">
          <cell r="C1208" t="str">
            <v>王偲涵</v>
          </cell>
          <cell r="D1208" t="str">
            <v>车身外扩件</v>
          </cell>
        </row>
        <row r="1208">
          <cell r="I1208" t="str">
            <v>原开品</v>
          </cell>
          <cell r="J1208">
            <v>12616</v>
          </cell>
        </row>
        <row r="1208">
          <cell r="M1208">
            <v>46145</v>
          </cell>
        </row>
        <row r="1209">
          <cell r="A1209">
            <v>12786</v>
          </cell>
        </row>
        <row r="1209">
          <cell r="C1209" t="str">
            <v>胡煜星</v>
          </cell>
          <cell r="D1209" t="str">
            <v>车身外扩件</v>
          </cell>
        </row>
        <row r="1209">
          <cell r="I1209" t="str">
            <v>拓展品</v>
          </cell>
          <cell r="J1209">
            <v>12572</v>
          </cell>
        </row>
        <row r="1209">
          <cell r="M1209">
            <v>46147</v>
          </cell>
        </row>
        <row r="1210">
          <cell r="A1210">
            <v>12840</v>
          </cell>
        </row>
        <row r="1210">
          <cell r="C1210" t="str">
            <v>胡煜星</v>
          </cell>
          <cell r="D1210" t="str">
            <v>车身外扩件</v>
          </cell>
        </row>
        <row r="1210">
          <cell r="I1210" t="str">
            <v>拓展品</v>
          </cell>
          <cell r="J1210">
            <v>12573</v>
          </cell>
        </row>
        <row r="1210">
          <cell r="M1210">
            <v>46152</v>
          </cell>
        </row>
        <row r="1211">
          <cell r="A1211">
            <v>12892</v>
          </cell>
        </row>
        <row r="1211">
          <cell r="C1211" t="str">
            <v>章鹏</v>
          </cell>
          <cell r="D1211" t="str">
            <v>挡泥板</v>
          </cell>
        </row>
        <row r="1211">
          <cell r="I1211" t="str">
            <v>原开品</v>
          </cell>
          <cell r="J1211">
            <v>12650</v>
          </cell>
        </row>
        <row r="1211">
          <cell r="M1211">
            <v>46158</v>
          </cell>
        </row>
        <row r="1212">
          <cell r="A1212">
            <v>12781</v>
          </cell>
        </row>
        <row r="1212">
          <cell r="C1212" t="str">
            <v>王偲涵</v>
          </cell>
          <cell r="D1212" t="str">
            <v>车门系统</v>
          </cell>
        </row>
        <row r="1212">
          <cell r="I1212" t="str">
            <v>原开品</v>
          </cell>
          <cell r="J1212">
            <v>12649</v>
          </cell>
        </row>
        <row r="1212">
          <cell r="M1212">
            <v>46153</v>
          </cell>
        </row>
        <row r="1213">
          <cell r="A1213">
            <v>12778</v>
          </cell>
        </row>
        <row r="1213">
          <cell r="C1213" t="str">
            <v>王偲涵</v>
          </cell>
          <cell r="D1213" t="str">
            <v>车门系统</v>
          </cell>
        </row>
        <row r="1213">
          <cell r="I1213" t="str">
            <v>拓展品</v>
          </cell>
          <cell r="J1213">
            <v>12632</v>
          </cell>
        </row>
        <row r="1214">
          <cell r="A1214">
            <v>12714</v>
          </cell>
        </row>
        <row r="1214">
          <cell r="C1214" t="str">
            <v>章鹏</v>
          </cell>
          <cell r="D1214" t="str">
            <v>挡泥板</v>
          </cell>
        </row>
        <row r="1214">
          <cell r="I1214" t="str">
            <v>拓展品</v>
          </cell>
          <cell r="J1214">
            <v>12631</v>
          </cell>
        </row>
        <row r="1214">
          <cell r="M1214">
            <v>46142</v>
          </cell>
        </row>
        <row r="1215">
          <cell r="A1215">
            <v>12761</v>
          </cell>
        </row>
        <row r="1215">
          <cell r="C1215" t="str">
            <v>朱培源</v>
          </cell>
          <cell r="D1215" t="str">
            <v>挡泥板</v>
          </cell>
        </row>
        <row r="1215">
          <cell r="I1215" t="str">
            <v>原开品</v>
          </cell>
          <cell r="J1215">
            <v>12630</v>
          </cell>
        </row>
        <row r="1215">
          <cell r="M1215">
            <v>46144</v>
          </cell>
        </row>
        <row r="1216">
          <cell r="A1216">
            <v>12771</v>
          </cell>
        </row>
        <row r="1216">
          <cell r="C1216" t="str">
            <v>朱培源</v>
          </cell>
          <cell r="D1216" t="str">
            <v>挡泥板</v>
          </cell>
        </row>
        <row r="1216">
          <cell r="I1216" t="str">
            <v>拓展品</v>
          </cell>
          <cell r="J1216">
            <v>12587</v>
          </cell>
        </row>
        <row r="1216">
          <cell r="M1216">
            <v>46144</v>
          </cell>
        </row>
        <row r="1217">
          <cell r="A1217">
            <v>12715</v>
          </cell>
        </row>
        <row r="1217">
          <cell r="C1217" t="str">
            <v>张潇</v>
          </cell>
          <cell r="D1217" t="str">
            <v>挡泥板</v>
          </cell>
        </row>
        <row r="1217">
          <cell r="I1217" t="str">
            <v>原开品</v>
          </cell>
          <cell r="J1217">
            <v>12569</v>
          </cell>
        </row>
        <row r="1218">
          <cell r="A1218">
            <v>12762</v>
          </cell>
        </row>
        <row r="1218">
          <cell r="C1218" t="str">
            <v>张潇</v>
          </cell>
          <cell r="D1218" t="str">
            <v>挡泥板</v>
          </cell>
        </row>
        <row r="1218">
          <cell r="I1218" t="str">
            <v>拓展品</v>
          </cell>
          <cell r="J1218">
            <v>12575</v>
          </cell>
        </row>
        <row r="1218">
          <cell r="M1218">
            <v>46147</v>
          </cell>
        </row>
        <row r="1219">
          <cell r="A1219">
            <v>12726</v>
          </cell>
        </row>
        <row r="1219">
          <cell r="C1219" t="str">
            <v>朱培源</v>
          </cell>
          <cell r="D1219" t="str">
            <v>车身外扩件</v>
          </cell>
        </row>
        <row r="1219">
          <cell r="I1219" t="str">
            <v>拓展品</v>
          </cell>
          <cell r="J1219">
            <v>12574</v>
          </cell>
        </row>
        <row r="1219">
          <cell r="M1219">
            <v>46157</v>
          </cell>
        </row>
        <row r="1220">
          <cell r="A1220">
            <v>12605</v>
          </cell>
        </row>
        <row r="1220">
          <cell r="C1220" t="str">
            <v>王偲涵</v>
          </cell>
          <cell r="D1220" t="str">
            <v>车身外扩件</v>
          </cell>
        </row>
        <row r="1220">
          <cell r="I1220" t="str">
            <v>原开品</v>
          </cell>
          <cell r="J1220">
            <v>12629</v>
          </cell>
        </row>
        <row r="1220">
          <cell r="M1220">
            <v>46146</v>
          </cell>
        </row>
        <row r="1221">
          <cell r="A1221">
            <v>12708</v>
          </cell>
        </row>
        <row r="1221">
          <cell r="C1221" t="str">
            <v>章鹏</v>
          </cell>
          <cell r="D1221" t="str">
            <v>车身外扩件</v>
          </cell>
        </row>
        <row r="1221">
          <cell r="I1221" t="str">
            <v>原开品</v>
          </cell>
          <cell r="J1221">
            <v>12591</v>
          </cell>
        </row>
        <row r="1221">
          <cell r="M1221">
            <v>46152</v>
          </cell>
        </row>
        <row r="1222">
          <cell r="A1222">
            <v>12527</v>
          </cell>
        </row>
        <row r="1222">
          <cell r="C1222" t="str">
            <v>章鹏</v>
          </cell>
          <cell r="D1222" t="str">
            <v>车身外扩件</v>
          </cell>
        </row>
        <row r="1222">
          <cell r="I1222" t="str">
            <v>原开品</v>
          </cell>
          <cell r="J1222">
            <v>12606</v>
          </cell>
        </row>
        <row r="1223">
          <cell r="A1223">
            <v>12838</v>
          </cell>
        </row>
        <row r="1223">
          <cell r="C1223" t="str">
            <v>七部</v>
          </cell>
          <cell r="D1223" t="str">
            <v>其他</v>
          </cell>
        </row>
        <row r="1223">
          <cell r="I1223" t="str">
            <v>原开品</v>
          </cell>
          <cell r="J1223">
            <v>12614</v>
          </cell>
        </row>
        <row r="1223">
          <cell r="M1223">
            <v>46153</v>
          </cell>
        </row>
        <row r="1224">
          <cell r="A1224">
            <v>12839</v>
          </cell>
        </row>
        <row r="1224">
          <cell r="C1224" t="str">
            <v>张潇</v>
          </cell>
          <cell r="D1224" t="str">
            <v>车门系统</v>
          </cell>
        </row>
        <row r="1224">
          <cell r="I1224" t="str">
            <v>原开品</v>
          </cell>
          <cell r="J1224">
            <v>12532</v>
          </cell>
        </row>
        <row r="1225">
          <cell r="A1225">
            <v>12795</v>
          </cell>
        </row>
        <row r="1225">
          <cell r="C1225" t="str">
            <v>朱培源</v>
          </cell>
          <cell r="D1225" t="str">
            <v>牌照板支架</v>
          </cell>
        </row>
        <row r="1225">
          <cell r="I1225" t="str">
            <v>原开品</v>
          </cell>
          <cell r="J1225">
            <v>12713</v>
          </cell>
        </row>
        <row r="1225">
          <cell r="M1225">
            <v>46153</v>
          </cell>
        </row>
        <row r="1226">
          <cell r="A1226">
            <v>12835</v>
          </cell>
        </row>
        <row r="1226">
          <cell r="C1226" t="str">
            <v>胡煜星</v>
          </cell>
          <cell r="D1226" t="str">
            <v>车身外扩件</v>
          </cell>
        </row>
        <row r="1226">
          <cell r="I1226" t="str">
            <v>原开品</v>
          </cell>
          <cell r="J1226">
            <v>12732</v>
          </cell>
        </row>
        <row r="1226">
          <cell r="M1226">
            <v>46160</v>
          </cell>
        </row>
        <row r="1227">
          <cell r="A1227">
            <v>12725</v>
          </cell>
        </row>
        <row r="1227">
          <cell r="C1227" t="str">
            <v>王偲涵</v>
          </cell>
          <cell r="D1227" t="str">
            <v>车身外扩件</v>
          </cell>
        </row>
        <row r="1227">
          <cell r="I1227" t="str">
            <v>拓展品</v>
          </cell>
          <cell r="J1227">
            <v>12658</v>
          </cell>
        </row>
        <row r="1227">
          <cell r="M1227">
            <v>46153</v>
          </cell>
        </row>
        <row r="1228">
          <cell r="A1228">
            <v>12813</v>
          </cell>
        </row>
        <row r="1228">
          <cell r="C1228" t="str">
            <v>王偲涵</v>
          </cell>
          <cell r="D1228" t="str">
            <v>车身外扩件</v>
          </cell>
        </row>
        <row r="1228">
          <cell r="I1228" t="str">
            <v>原开品</v>
          </cell>
          <cell r="J1228">
            <v>12741</v>
          </cell>
        </row>
        <row r="1228">
          <cell r="M1228">
            <v>46163</v>
          </cell>
        </row>
        <row r="1229">
          <cell r="I1229" t="str">
            <v>原开品</v>
          </cell>
          <cell r="J1229">
            <v>12740</v>
          </cell>
        </row>
        <row r="1229">
          <cell r="M1229">
            <v>46162</v>
          </cell>
        </row>
        <row r="1230">
          <cell r="I1230" t="str">
            <v>原开品</v>
          </cell>
          <cell r="J1230">
            <v>12743</v>
          </cell>
        </row>
        <row r="1230">
          <cell r="M1230">
            <v>46151</v>
          </cell>
        </row>
        <row r="1231">
          <cell r="I1231" t="str">
            <v>原开品</v>
          </cell>
          <cell r="J1231">
            <v>12742</v>
          </cell>
        </row>
        <row r="1232">
          <cell r="I1232" t="str">
            <v>拓展品</v>
          </cell>
          <cell r="J1232">
            <v>12595</v>
          </cell>
        </row>
        <row r="1232">
          <cell r="M1232">
            <v>46156</v>
          </cell>
        </row>
        <row r="1233">
          <cell r="I1233" t="str">
            <v>原开品</v>
          </cell>
          <cell r="J1233">
            <v>12588</v>
          </cell>
        </row>
        <row r="1233">
          <cell r="M1233">
            <v>46168</v>
          </cell>
        </row>
        <row r="1234">
          <cell r="I1234" t="str">
            <v>拓展品</v>
          </cell>
          <cell r="J1234">
            <v>12596</v>
          </cell>
        </row>
        <row r="1234">
          <cell r="M1234">
            <v>46157</v>
          </cell>
        </row>
        <row r="1235">
          <cell r="I1235" t="str">
            <v>原开品</v>
          </cell>
          <cell r="J1235">
            <v>12589</v>
          </cell>
        </row>
        <row r="1235">
          <cell r="M1235">
            <v>46167</v>
          </cell>
        </row>
        <row r="1236">
          <cell r="I1236" t="str">
            <v>拓展品</v>
          </cell>
          <cell r="J1236">
            <v>12597</v>
          </cell>
        </row>
        <row r="1236">
          <cell r="M1236">
            <v>46164</v>
          </cell>
        </row>
        <row r="1237">
          <cell r="I1237" t="str">
            <v>拓展品</v>
          </cell>
          <cell r="J1237">
            <v>12598</v>
          </cell>
        </row>
        <row r="1237">
          <cell r="M1237">
            <v>46168</v>
          </cell>
        </row>
        <row r="1238">
          <cell r="I1238" t="str">
            <v>原开品</v>
          </cell>
          <cell r="J1238">
            <v>12069</v>
          </cell>
        </row>
        <row r="1239">
          <cell r="I1239" t="str">
            <v>原开品</v>
          </cell>
          <cell r="J1239">
            <v>12833</v>
          </cell>
        </row>
        <row r="1239">
          <cell r="M1239">
            <v>46158</v>
          </cell>
        </row>
        <row r="1240">
          <cell r="I1240" t="str">
            <v>原开品</v>
          </cell>
          <cell r="J1240">
            <v>12519</v>
          </cell>
        </row>
        <row r="1240">
          <cell r="M1240">
            <v>46162</v>
          </cell>
        </row>
        <row r="1241">
          <cell r="I1241" t="str">
            <v>原开品</v>
          </cell>
          <cell r="J1241">
            <v>12686</v>
          </cell>
        </row>
        <row r="1241">
          <cell r="M1241">
            <v>46161</v>
          </cell>
        </row>
        <row r="1242">
          <cell r="I1242" t="str">
            <v>原开品</v>
          </cell>
          <cell r="J1242">
            <v>12687</v>
          </cell>
        </row>
        <row r="1242">
          <cell r="M1242">
            <v>46161</v>
          </cell>
        </row>
        <row r="1243">
          <cell r="I1243" t="str">
            <v>原开品</v>
          </cell>
          <cell r="J1243">
            <v>12701</v>
          </cell>
        </row>
        <row r="1243">
          <cell r="M1243">
            <v>46161</v>
          </cell>
        </row>
        <row r="1244">
          <cell r="I1244" t="str">
            <v>原开品</v>
          </cell>
          <cell r="J1244">
            <v>12700</v>
          </cell>
        </row>
        <row r="1244">
          <cell r="M1244">
            <v>46161</v>
          </cell>
        </row>
        <row r="1245">
          <cell r="I1245" t="str">
            <v>原开品</v>
          </cell>
          <cell r="J1245">
            <v>12779</v>
          </cell>
        </row>
        <row r="1246">
          <cell r="I1246" t="str">
            <v>原开品</v>
          </cell>
          <cell r="J1246">
            <v>12602</v>
          </cell>
        </row>
        <row r="1246">
          <cell r="M1246">
            <v>46167</v>
          </cell>
        </row>
        <row r="1247">
          <cell r="I1247" t="str">
            <v>原开品</v>
          </cell>
          <cell r="J1247">
            <v>12786</v>
          </cell>
        </row>
        <row r="1247">
          <cell r="M1247">
            <v>46164</v>
          </cell>
        </row>
        <row r="1248">
          <cell r="I1248" t="str">
            <v>原开品</v>
          </cell>
          <cell r="J1248">
            <v>12840</v>
          </cell>
        </row>
        <row r="1249">
          <cell r="I1249" t="str">
            <v>拓展品</v>
          </cell>
          <cell r="J1249">
            <v>12892</v>
          </cell>
        </row>
        <row r="1249">
          <cell r="M1249">
            <v>46168</v>
          </cell>
        </row>
        <row r="1250">
          <cell r="I1250" t="str">
            <v>拓展品</v>
          </cell>
          <cell r="J1250">
            <v>12781</v>
          </cell>
        </row>
        <row r="1251">
          <cell r="I1251" t="str">
            <v>拓展品</v>
          </cell>
          <cell r="J1251">
            <v>12778</v>
          </cell>
        </row>
        <row r="1252">
          <cell r="I1252" t="str">
            <v>原开品</v>
          </cell>
          <cell r="J1252">
            <v>12714</v>
          </cell>
        </row>
        <row r="1252">
          <cell r="M1252">
            <v>46164</v>
          </cell>
        </row>
        <row r="1253">
          <cell r="I1253" t="str">
            <v>原开品</v>
          </cell>
          <cell r="J1253">
            <v>12761</v>
          </cell>
        </row>
        <row r="1253">
          <cell r="M1253">
            <v>46167</v>
          </cell>
        </row>
        <row r="1254">
          <cell r="I1254" t="str">
            <v>原开品</v>
          </cell>
          <cell r="J1254">
            <v>12771</v>
          </cell>
        </row>
        <row r="1254">
          <cell r="M1254">
            <v>46169</v>
          </cell>
        </row>
        <row r="1255">
          <cell r="I1255" t="str">
            <v>原开品</v>
          </cell>
          <cell r="J1255">
            <v>12715</v>
          </cell>
        </row>
        <row r="1255">
          <cell r="M1255">
            <v>46162</v>
          </cell>
        </row>
        <row r="1256">
          <cell r="I1256" t="str">
            <v>原开品</v>
          </cell>
          <cell r="J1256">
            <v>12762</v>
          </cell>
        </row>
        <row r="1257">
          <cell r="I1257" t="str">
            <v>拓展品</v>
          </cell>
          <cell r="J1257">
            <v>12726</v>
          </cell>
        </row>
        <row r="1258">
          <cell r="I1258" t="str">
            <v>拓展品</v>
          </cell>
          <cell r="J1258">
            <v>12605</v>
          </cell>
        </row>
        <row r="1258">
          <cell r="M1258">
            <v>46166</v>
          </cell>
        </row>
        <row r="1259">
          <cell r="I1259" t="str">
            <v>原开品</v>
          </cell>
          <cell r="J1259">
            <v>12708</v>
          </cell>
        </row>
        <row r="1260">
          <cell r="I1260" t="str">
            <v>原开品</v>
          </cell>
          <cell r="J1260">
            <v>12527</v>
          </cell>
        </row>
        <row r="1261">
          <cell r="I1261" t="str">
            <v>拓展品</v>
          </cell>
          <cell r="J1261">
            <v>12838</v>
          </cell>
        </row>
        <row r="1262">
          <cell r="I1262" t="str">
            <v>原开品</v>
          </cell>
          <cell r="J1262">
            <v>12839</v>
          </cell>
        </row>
        <row r="1263">
          <cell r="I1263" t="str">
            <v>原开品</v>
          </cell>
          <cell r="J1263">
            <v>12795</v>
          </cell>
        </row>
        <row r="1264">
          <cell r="I1264" t="str">
            <v>原开品</v>
          </cell>
          <cell r="J1264">
            <v>12835</v>
          </cell>
        </row>
        <row r="1265">
          <cell r="I1265" t="str">
            <v>拓展品</v>
          </cell>
          <cell r="J1265">
            <v>12725</v>
          </cell>
        </row>
        <row r="1266">
          <cell r="I1266" t="str">
            <v>原开品</v>
          </cell>
          <cell r="J1266">
            <v>12813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SKU</v>
          </cell>
        </row>
        <row r="1">
          <cell r="AH1" t="str">
            <v>4.23-4.29销售额</v>
          </cell>
        </row>
        <row r="2">
          <cell r="B2" t="str">
            <v>LYAP-941-1+LYAP-941-2</v>
          </cell>
        </row>
        <row r="2">
          <cell r="AH2">
            <v>0</v>
          </cell>
        </row>
        <row r="3">
          <cell r="B3" t="str">
            <v>LYAP-X1482-2</v>
          </cell>
        </row>
        <row r="3">
          <cell r="AH3">
            <v>2173.78</v>
          </cell>
        </row>
        <row r="4">
          <cell r="B4" t="str">
            <v>LYAP-X1482-3</v>
          </cell>
        </row>
        <row r="4">
          <cell r="AH4">
            <v>913.73</v>
          </cell>
        </row>
        <row r="5">
          <cell r="B5" t="str">
            <v>LYAP-X1482-4</v>
          </cell>
        </row>
        <row r="5">
          <cell r="AH5">
            <v>954</v>
          </cell>
        </row>
        <row r="6">
          <cell r="B6" t="str">
            <v>LYAP-X1791-4L</v>
          </cell>
        </row>
        <row r="6">
          <cell r="AH6">
            <v>0</v>
          </cell>
        </row>
        <row r="7">
          <cell r="B7" t="str">
            <v>LYAP-X1791-4R</v>
          </cell>
        </row>
        <row r="7">
          <cell r="AH7">
            <v>0</v>
          </cell>
        </row>
        <row r="8">
          <cell r="B8" t="str">
            <v>LYAP-X1787-BK</v>
          </cell>
        </row>
        <row r="8">
          <cell r="AH8">
            <v>158</v>
          </cell>
        </row>
        <row r="9">
          <cell r="B9" t="str">
            <v>LYAP-X1642-BK</v>
          </cell>
        </row>
        <row r="9">
          <cell r="AH9">
            <v>0</v>
          </cell>
        </row>
        <row r="10">
          <cell r="B10" t="str">
            <v>LYAP-X1799</v>
          </cell>
        </row>
        <row r="10">
          <cell r="AH10">
            <v>118</v>
          </cell>
        </row>
        <row r="11">
          <cell r="B11" t="str">
            <v>LYAM-X2575-2</v>
          </cell>
        </row>
        <row r="11">
          <cell r="AH11">
            <v>248.09</v>
          </cell>
        </row>
        <row r="12">
          <cell r="B12" t="str">
            <v>LYAM-X2753-1</v>
          </cell>
        </row>
        <row r="12">
          <cell r="AH12">
            <v>0</v>
          </cell>
        </row>
        <row r="13">
          <cell r="B13" t="str">
            <v>LYAM-X2753-2</v>
          </cell>
        </row>
        <row r="13">
          <cell r="AH13">
            <v>40</v>
          </cell>
        </row>
        <row r="14">
          <cell r="B14" t="str">
            <v>LYAM-X2266-1</v>
          </cell>
        </row>
        <row r="14">
          <cell r="AH14">
            <v>159</v>
          </cell>
        </row>
        <row r="15">
          <cell r="B15" t="str">
            <v>LYAM-X2575-4</v>
          </cell>
        </row>
        <row r="15">
          <cell r="AH15">
            <v>0</v>
          </cell>
        </row>
        <row r="16">
          <cell r="B16" t="str">
            <v>LYAM-X2732</v>
          </cell>
        </row>
        <row r="16">
          <cell r="AH16">
            <v>105</v>
          </cell>
        </row>
        <row r="17">
          <cell r="B17" t="str">
            <v>LYAP-X1920-BK</v>
          </cell>
        </row>
        <row r="17">
          <cell r="AH17">
            <v>75.59</v>
          </cell>
        </row>
        <row r="18">
          <cell r="B18" t="str">
            <v>LYAP-X1920-C</v>
          </cell>
        </row>
        <row r="18">
          <cell r="AH18">
            <v>692.61</v>
          </cell>
        </row>
        <row r="19">
          <cell r="B19" t="str">
            <v>LYAP-X1920-W</v>
          </cell>
        </row>
        <row r="19">
          <cell r="AH19">
            <v>80</v>
          </cell>
        </row>
        <row r="20">
          <cell r="B20" t="str">
            <v>LYAP-X1939-2</v>
          </cell>
        </row>
        <row r="20">
          <cell r="AH20">
            <v>38.99</v>
          </cell>
        </row>
        <row r="21">
          <cell r="B21" t="str">
            <v>LYAP-X1992</v>
          </cell>
        </row>
        <row r="21">
          <cell r="AH21">
            <v>340</v>
          </cell>
        </row>
        <row r="22">
          <cell r="B22" t="str">
            <v>LYAP-X1993</v>
          </cell>
        </row>
        <row r="22">
          <cell r="AH22">
            <v>828.95</v>
          </cell>
        </row>
        <row r="23">
          <cell r="B23" t="str">
            <v>LYAP-X2089</v>
          </cell>
        </row>
        <row r="23">
          <cell r="AH23">
            <v>270</v>
          </cell>
        </row>
        <row r="24">
          <cell r="B24" t="str">
            <v>LYAP-X2135</v>
          </cell>
        </row>
        <row r="24">
          <cell r="AH24">
            <v>52</v>
          </cell>
        </row>
        <row r="25">
          <cell r="B25" t="str">
            <v>LYAP-X2146</v>
          </cell>
        </row>
        <row r="25">
          <cell r="AH25">
            <v>0</v>
          </cell>
        </row>
        <row r="26">
          <cell r="B26" t="str">
            <v>LYAM-X2569-1</v>
          </cell>
        </row>
        <row r="26">
          <cell r="AH26">
            <v>204</v>
          </cell>
        </row>
        <row r="27">
          <cell r="B27" t="str">
            <v>LYAM-X2570-1</v>
          </cell>
        </row>
        <row r="27">
          <cell r="AH27">
            <v>0</v>
          </cell>
        </row>
        <row r="28">
          <cell r="B28" t="str">
            <v>LYAM-X2574-1</v>
          </cell>
        </row>
        <row r="28">
          <cell r="AH28">
            <v>20</v>
          </cell>
        </row>
        <row r="29">
          <cell r="B29" t="str">
            <v>LYAM-X2695</v>
          </cell>
        </row>
        <row r="29">
          <cell r="AH29">
            <v>0</v>
          </cell>
        </row>
        <row r="30">
          <cell r="B30" t="str">
            <v>LYAP-X1913</v>
          </cell>
        </row>
        <row r="30">
          <cell r="AH30">
            <v>141</v>
          </cell>
        </row>
        <row r="31">
          <cell r="B31" t="str">
            <v>LYAM-X2706</v>
          </cell>
        </row>
        <row r="31">
          <cell r="AH31">
            <v>0</v>
          </cell>
        </row>
        <row r="32">
          <cell r="B32" t="str">
            <v>LYAP-X1871</v>
          </cell>
        </row>
        <row r="32">
          <cell r="AH32">
            <v>274</v>
          </cell>
        </row>
        <row r="33">
          <cell r="B33" t="str">
            <v>LYAP-X2545-F</v>
          </cell>
        </row>
        <row r="33">
          <cell r="AH33">
            <v>86.5</v>
          </cell>
        </row>
        <row r="34">
          <cell r="B34" t="str">
            <v>LYAP-X2545-FL</v>
          </cell>
        </row>
        <row r="34">
          <cell r="AH34">
            <v>0</v>
          </cell>
        </row>
        <row r="35">
          <cell r="B35" t="str">
            <v>LYAP-X2545-FR</v>
          </cell>
        </row>
        <row r="35">
          <cell r="AH35">
            <v>0</v>
          </cell>
        </row>
        <row r="36">
          <cell r="B36" t="str">
            <v>LYAP-X2148-1</v>
          </cell>
        </row>
        <row r="36">
          <cell r="AH36">
            <v>119</v>
          </cell>
        </row>
        <row r="37">
          <cell r="B37" t="str">
            <v>LYAP-X2216</v>
          </cell>
        </row>
        <row r="37">
          <cell r="AH37">
            <v>59</v>
          </cell>
        </row>
        <row r="38">
          <cell r="B38" t="str">
            <v>LYAP-X1658</v>
          </cell>
        </row>
        <row r="38">
          <cell r="AH38">
            <v>0</v>
          </cell>
        </row>
        <row r="39">
          <cell r="B39" t="str">
            <v>LYAP-X1658L</v>
          </cell>
        </row>
        <row r="39">
          <cell r="AH39">
            <v>2196.8</v>
          </cell>
        </row>
        <row r="40">
          <cell r="B40" t="str">
            <v>LYAP-X1658R</v>
          </cell>
        </row>
        <row r="40">
          <cell r="AH40">
            <v>0</v>
          </cell>
        </row>
        <row r="41">
          <cell r="B41" t="str">
            <v>LYAP-X1800-1</v>
          </cell>
        </row>
        <row r="41">
          <cell r="AH41">
            <v>0</v>
          </cell>
        </row>
        <row r="42">
          <cell r="B42" t="str">
            <v>LYAP-X1877</v>
          </cell>
        </row>
        <row r="42">
          <cell r="AH42">
            <v>0</v>
          </cell>
        </row>
        <row r="43">
          <cell r="B43" t="str">
            <v>LYAP-X2528</v>
          </cell>
        </row>
        <row r="43">
          <cell r="AH43">
            <v>111.25</v>
          </cell>
        </row>
        <row r="44">
          <cell r="B44" t="str">
            <v>LYAM-X2254-L</v>
          </cell>
        </row>
        <row r="44">
          <cell r="AH44">
            <v>112.76</v>
          </cell>
        </row>
        <row r="45">
          <cell r="B45" t="str">
            <v>LYAM-X2980-BK</v>
          </cell>
        </row>
        <row r="45">
          <cell r="AH45">
            <v>0</v>
          </cell>
        </row>
        <row r="46">
          <cell r="B46" t="str">
            <v>LYAM-X2980-GR</v>
          </cell>
        </row>
        <row r="46">
          <cell r="AH46">
            <v>299</v>
          </cell>
        </row>
        <row r="47">
          <cell r="B47" t="str">
            <v>LYAP-X2308</v>
          </cell>
        </row>
        <row r="47">
          <cell r="AH47">
            <v>258</v>
          </cell>
        </row>
        <row r="48">
          <cell r="B48" t="str">
            <v>LYAP-X2527</v>
          </cell>
        </row>
        <row r="48">
          <cell r="AH48">
            <v>879</v>
          </cell>
        </row>
        <row r="49">
          <cell r="B49" t="str">
            <v>LYAP-X1800S-1L</v>
          </cell>
        </row>
        <row r="49">
          <cell r="AH49">
            <v>330</v>
          </cell>
        </row>
        <row r="50">
          <cell r="B50" t="str">
            <v>LYAP-X1800S-1R</v>
          </cell>
        </row>
        <row r="50">
          <cell r="AH50">
            <v>44</v>
          </cell>
        </row>
        <row r="51">
          <cell r="B51" t="str">
            <v>LYAM-X2896</v>
          </cell>
        </row>
        <row r="51">
          <cell r="AH51">
            <v>0</v>
          </cell>
        </row>
        <row r="52">
          <cell r="B52" t="str">
            <v>LYAP-X2170</v>
          </cell>
        </row>
        <row r="52">
          <cell r="AH52">
            <v>0</v>
          </cell>
        </row>
        <row r="53">
          <cell r="B53" t="str">
            <v>LYAP-X2190-L</v>
          </cell>
        </row>
        <row r="53">
          <cell r="AH53">
            <v>0</v>
          </cell>
        </row>
        <row r="54">
          <cell r="B54" t="str">
            <v>LYAP-X2190-R</v>
          </cell>
        </row>
        <row r="54">
          <cell r="AH54">
            <v>38</v>
          </cell>
        </row>
        <row r="55">
          <cell r="B55" t="str">
            <v>LYAP-X1642-GR</v>
          </cell>
        </row>
        <row r="55">
          <cell r="AH55">
            <v>499</v>
          </cell>
        </row>
        <row r="56">
          <cell r="B56" t="str">
            <v>LYAP-X1911-BK</v>
          </cell>
        </row>
        <row r="56">
          <cell r="AH56">
            <v>85</v>
          </cell>
        </row>
        <row r="57">
          <cell r="B57" t="str">
            <v>LYAP-X1911-C</v>
          </cell>
        </row>
        <row r="57">
          <cell r="AH57">
            <v>600</v>
          </cell>
        </row>
        <row r="58">
          <cell r="B58" t="str">
            <v>LYAP-X1927</v>
          </cell>
        </row>
        <row r="58">
          <cell r="AH58">
            <v>196</v>
          </cell>
        </row>
        <row r="59">
          <cell r="B59" t="str">
            <v>LYAP-X1934</v>
          </cell>
        </row>
        <row r="59">
          <cell r="AH59">
            <v>23.08</v>
          </cell>
        </row>
        <row r="60">
          <cell r="B60" t="str">
            <v>LYAP-X2148-1L</v>
          </cell>
        </row>
        <row r="60">
          <cell r="AH60">
            <v>0</v>
          </cell>
        </row>
        <row r="61">
          <cell r="B61" t="str">
            <v>LYAP-X2148-1R</v>
          </cell>
        </row>
        <row r="61">
          <cell r="AH61">
            <v>0</v>
          </cell>
        </row>
        <row r="62">
          <cell r="B62" t="str">
            <v>LYAP-X2289</v>
          </cell>
        </row>
        <row r="62">
          <cell r="AH62">
            <v>342</v>
          </cell>
        </row>
        <row r="63">
          <cell r="B63" t="str">
            <v>LYAP-X2418</v>
          </cell>
        </row>
        <row r="63">
          <cell r="AH63">
            <v>197</v>
          </cell>
        </row>
        <row r="64">
          <cell r="B64" t="str">
            <v>MD-002-FL</v>
          </cell>
        </row>
        <row r="64">
          <cell r="AH64">
            <v>480</v>
          </cell>
        </row>
        <row r="65">
          <cell r="B65" t="str">
            <v>MD-002-FR</v>
          </cell>
        </row>
        <row r="65">
          <cell r="AH65">
            <v>969</v>
          </cell>
        </row>
        <row r="66">
          <cell r="B66" t="str">
            <v>MD-002-RL</v>
          </cell>
        </row>
        <row r="66">
          <cell r="AH66">
            <v>0</v>
          </cell>
        </row>
        <row r="67">
          <cell r="B67" t="str">
            <v>MD-002-RR</v>
          </cell>
        </row>
        <row r="67">
          <cell r="AH67">
            <v>956</v>
          </cell>
        </row>
        <row r="68">
          <cell r="B68" t="str">
            <v>LYAM-X2862</v>
          </cell>
        </row>
        <row r="68">
          <cell r="AH68">
            <v>139</v>
          </cell>
        </row>
        <row r="69">
          <cell r="B69" t="str">
            <v>LYAP-X1651-1L</v>
          </cell>
        </row>
        <row r="69">
          <cell r="AH69">
            <v>0</v>
          </cell>
        </row>
        <row r="70">
          <cell r="B70" t="str">
            <v>LYAP-X1651-1R</v>
          </cell>
        </row>
        <row r="70">
          <cell r="AH70">
            <v>0</v>
          </cell>
        </row>
        <row r="71">
          <cell r="B71" t="str">
            <v>LYAP-X1676</v>
          </cell>
        </row>
        <row r="71">
          <cell r="AH71">
            <v>0</v>
          </cell>
        </row>
        <row r="72">
          <cell r="B72" t="str">
            <v>LYAP-X2417</v>
          </cell>
        </row>
        <row r="72">
          <cell r="AH72">
            <v>0</v>
          </cell>
        </row>
        <row r="73">
          <cell r="B73" t="str">
            <v>MD-001-FL</v>
          </cell>
        </row>
        <row r="73">
          <cell r="AH73">
            <v>590</v>
          </cell>
        </row>
        <row r="74">
          <cell r="B74" t="str">
            <v>LYAP-X1788-GR</v>
          </cell>
        </row>
        <row r="74">
          <cell r="AH74">
            <v>107.7</v>
          </cell>
        </row>
        <row r="75">
          <cell r="B75" t="str">
            <v>LYAP-X1808</v>
          </cell>
        </row>
        <row r="75">
          <cell r="AH75">
            <v>608.6</v>
          </cell>
        </row>
        <row r="76">
          <cell r="B76" t="str">
            <v>LYAP-X1879</v>
          </cell>
        </row>
        <row r="76">
          <cell r="AH76">
            <v>0</v>
          </cell>
        </row>
        <row r="77">
          <cell r="B77" t="str">
            <v>LYAP-X2429</v>
          </cell>
        </row>
        <row r="77">
          <cell r="AH77">
            <v>50</v>
          </cell>
        </row>
        <row r="78">
          <cell r="B78" t="str">
            <v>LYAP-X2523</v>
          </cell>
        </row>
        <row r="78">
          <cell r="AH78">
            <v>196</v>
          </cell>
        </row>
        <row r="79">
          <cell r="B79" t="str">
            <v>LYAP-X2530</v>
          </cell>
        </row>
        <row r="79">
          <cell r="AH79">
            <v>190</v>
          </cell>
        </row>
        <row r="80">
          <cell r="B80" t="str">
            <v>MD-001-FR</v>
          </cell>
        </row>
        <row r="80">
          <cell r="AH80">
            <v>598</v>
          </cell>
        </row>
        <row r="81">
          <cell r="B81" t="str">
            <v>MD-001-RL</v>
          </cell>
        </row>
        <row r="81">
          <cell r="AH81">
            <v>1740</v>
          </cell>
        </row>
        <row r="82">
          <cell r="B82" t="str">
            <v>MD-001-RR</v>
          </cell>
        </row>
        <row r="82">
          <cell r="AH82">
            <v>588</v>
          </cell>
        </row>
        <row r="83">
          <cell r="B83" t="str">
            <v>LYAP-X2144-1</v>
          </cell>
        </row>
        <row r="83">
          <cell r="AH83">
            <v>110</v>
          </cell>
        </row>
        <row r="84">
          <cell r="B84" t="str">
            <v>LYAP-X2144-1L</v>
          </cell>
        </row>
        <row r="84">
          <cell r="AH84">
            <v>0</v>
          </cell>
        </row>
        <row r="85">
          <cell r="B85" t="str">
            <v>LYAP-X2144-1R</v>
          </cell>
        </row>
        <row r="85">
          <cell r="AH85">
            <v>0</v>
          </cell>
        </row>
        <row r="86">
          <cell r="B86" t="str">
            <v>LYAP-X1665-1</v>
          </cell>
        </row>
        <row r="86">
          <cell r="AH86">
            <v>0</v>
          </cell>
        </row>
        <row r="87">
          <cell r="B87" t="str">
            <v>LYAP-X1872</v>
          </cell>
        </row>
        <row r="87">
          <cell r="AH87">
            <v>0</v>
          </cell>
        </row>
        <row r="88">
          <cell r="B88" t="str">
            <v>LYAP-X1878</v>
          </cell>
        </row>
        <row r="88">
          <cell r="AH88">
            <v>236</v>
          </cell>
        </row>
        <row r="89">
          <cell r="B89" t="str">
            <v>LYAP-X2130-1</v>
          </cell>
        </row>
        <row r="89">
          <cell r="AH89">
            <v>278</v>
          </cell>
        </row>
        <row r="90">
          <cell r="B90" t="str">
            <v>LYAP-X2130-2</v>
          </cell>
        </row>
        <row r="90">
          <cell r="AH90">
            <v>49</v>
          </cell>
        </row>
        <row r="91">
          <cell r="B91" t="str">
            <v>LYAP-X2309</v>
          </cell>
        </row>
        <row r="91">
          <cell r="AH91">
            <v>99</v>
          </cell>
        </row>
        <row r="92">
          <cell r="B92" t="str">
            <v>LYAP-X2313</v>
          </cell>
        </row>
        <row r="92">
          <cell r="AH92">
            <v>0</v>
          </cell>
        </row>
        <row r="93">
          <cell r="B93" t="str">
            <v>LYAP-X2077</v>
          </cell>
        </row>
        <row r="93">
          <cell r="AH93">
            <v>0</v>
          </cell>
        </row>
        <row r="94">
          <cell r="B94" t="str">
            <v>LYAP-X2085</v>
          </cell>
        </row>
        <row r="94">
          <cell r="AH94">
            <v>0</v>
          </cell>
        </row>
        <row r="95">
          <cell r="B95" t="str">
            <v>LYAP-838</v>
          </cell>
        </row>
        <row r="95">
          <cell r="AH95">
            <v>513</v>
          </cell>
        </row>
        <row r="96">
          <cell r="B96" t="str">
            <v>LYAP-X1665-2L</v>
          </cell>
        </row>
        <row r="96">
          <cell r="AH96">
            <v>0</v>
          </cell>
        </row>
        <row r="97">
          <cell r="B97" t="str">
            <v>LYAP-X1665-2R</v>
          </cell>
        </row>
        <row r="97">
          <cell r="AH97">
            <v>0</v>
          </cell>
        </row>
        <row r="98">
          <cell r="B98" t="str">
            <v>LYAP-X1788-BN</v>
          </cell>
        </row>
        <row r="98">
          <cell r="AH98">
            <v>0</v>
          </cell>
        </row>
        <row r="99">
          <cell r="B99" t="str">
            <v>LYAP-X2215</v>
          </cell>
        </row>
        <row r="99">
          <cell r="AH99">
            <v>383.5</v>
          </cell>
        </row>
        <row r="100">
          <cell r="B100" t="str">
            <v>LYAP-X2310</v>
          </cell>
        </row>
        <row r="100">
          <cell r="AH100">
            <v>362.7</v>
          </cell>
        </row>
        <row r="101">
          <cell r="B101" t="str">
            <v>LYAP-X2317</v>
          </cell>
        </row>
        <row r="101">
          <cell r="AH101">
            <v>222</v>
          </cell>
        </row>
        <row r="102">
          <cell r="B102" t="str">
            <v>LYAP-X1665-1L</v>
          </cell>
        </row>
        <row r="102">
          <cell r="AH102">
            <v>0</v>
          </cell>
        </row>
        <row r="103">
          <cell r="B103" t="str">
            <v>LYAP-X1665-1R</v>
          </cell>
        </row>
        <row r="103">
          <cell r="AH103">
            <v>250</v>
          </cell>
        </row>
        <row r="104">
          <cell r="B104" t="str">
            <v>LYAP-X1929</v>
          </cell>
        </row>
        <row r="104">
          <cell r="AH104">
            <v>315</v>
          </cell>
        </row>
        <row r="105">
          <cell r="B105" t="str">
            <v>LYAM-X2428-BK</v>
          </cell>
        </row>
        <row r="105">
          <cell r="AH105">
            <v>357</v>
          </cell>
        </row>
        <row r="106">
          <cell r="B106" t="str">
            <v>LYAP-X2504</v>
          </cell>
        </row>
        <row r="106">
          <cell r="AH106">
            <v>270</v>
          </cell>
        </row>
        <row r="107">
          <cell r="B107" t="str">
            <v>LYAM-X2804</v>
          </cell>
        </row>
        <row r="107">
          <cell r="AH107">
            <v>45</v>
          </cell>
        </row>
        <row r="108">
          <cell r="B108" t="str">
            <v>LYAP-X1963</v>
          </cell>
        </row>
        <row r="108">
          <cell r="AH108">
            <v>0</v>
          </cell>
        </row>
        <row r="109">
          <cell r="B109" t="str">
            <v>LYAM-X2818</v>
          </cell>
        </row>
        <row r="109">
          <cell r="AH109">
            <v>0</v>
          </cell>
        </row>
        <row r="110">
          <cell r="B110" t="str">
            <v>LYAM-X2428-C</v>
          </cell>
        </row>
        <row r="110">
          <cell r="AH110">
            <v>625</v>
          </cell>
        </row>
        <row r="111">
          <cell r="B111" t="str">
            <v>LYAP-X2307</v>
          </cell>
        </row>
        <row r="111">
          <cell r="AH111">
            <v>0</v>
          </cell>
        </row>
        <row r="112">
          <cell r="B112" t="str">
            <v>LYAP-X2314</v>
          </cell>
        </row>
        <row r="112">
          <cell r="AH112">
            <v>150</v>
          </cell>
        </row>
        <row r="113">
          <cell r="B113" t="str">
            <v>LYAP-X2319</v>
          </cell>
        </row>
        <row r="113">
          <cell r="AH113">
            <v>0</v>
          </cell>
        </row>
        <row r="114">
          <cell r="B114" t="str">
            <v>LYAP-X2320</v>
          </cell>
        </row>
        <row r="114">
          <cell r="AH114">
            <v>0</v>
          </cell>
        </row>
        <row r="115">
          <cell r="B115" t="str">
            <v>LYAP-X2324</v>
          </cell>
        </row>
        <row r="115">
          <cell r="AH115">
            <v>0</v>
          </cell>
        </row>
        <row r="116">
          <cell r="B116" t="str">
            <v>LYAM-X2895</v>
          </cell>
        </row>
        <row r="116">
          <cell r="AH116">
            <v>0</v>
          </cell>
        </row>
        <row r="117">
          <cell r="B117" t="str">
            <v>LYAP-X2210-C</v>
          </cell>
        </row>
        <row r="117">
          <cell r="AH117">
            <v>0</v>
          </cell>
        </row>
        <row r="118">
          <cell r="B118" t="str">
            <v>LYAM-X2439</v>
          </cell>
        </row>
        <row r="118">
          <cell r="AH118">
            <v>0</v>
          </cell>
        </row>
        <row r="119">
          <cell r="B119" t="str">
            <v>LYAM-X2443</v>
          </cell>
        </row>
        <row r="119">
          <cell r="AH119">
            <v>0</v>
          </cell>
        </row>
        <row r="120">
          <cell r="B120" t="str">
            <v>LYAM-X2450-SL</v>
          </cell>
        </row>
        <row r="120">
          <cell r="AH120">
            <v>0</v>
          </cell>
        </row>
        <row r="121">
          <cell r="B121" t="str">
            <v>LYAP-X1909</v>
          </cell>
        </row>
        <row r="121">
          <cell r="AH121">
            <v>0</v>
          </cell>
        </row>
        <row r="122">
          <cell r="B122" t="str">
            <v>LYAP-X2042-FL</v>
          </cell>
        </row>
        <row r="122">
          <cell r="AH122">
            <v>0</v>
          </cell>
        </row>
        <row r="123">
          <cell r="B123" t="str">
            <v>LYAP-X2042-FR</v>
          </cell>
        </row>
        <row r="123">
          <cell r="AH123">
            <v>0</v>
          </cell>
        </row>
        <row r="124">
          <cell r="B124" t="str">
            <v>LYAP-X2317-L</v>
          </cell>
        </row>
        <row r="124">
          <cell r="AH124">
            <v>0</v>
          </cell>
        </row>
        <row r="125">
          <cell r="B125" t="str">
            <v>LYAP-X2317-R</v>
          </cell>
        </row>
        <row r="125">
          <cell r="AH125">
            <v>0</v>
          </cell>
        </row>
        <row r="126">
          <cell r="B126" t="str">
            <v>LYAP-X2318</v>
          </cell>
        </row>
        <row r="126">
          <cell r="AH126">
            <v>0</v>
          </cell>
        </row>
        <row r="127">
          <cell r="B127" t="str">
            <v>LYAP-X2385</v>
          </cell>
        </row>
        <row r="127">
          <cell r="AH127">
            <v>0</v>
          </cell>
        </row>
        <row r="128">
          <cell r="B128" t="str">
            <v>LYAP-X2428-3</v>
          </cell>
        </row>
        <row r="128">
          <cell r="AH128" t="str">
            <v>未上架</v>
          </cell>
        </row>
        <row r="129">
          <cell r="B129" t="str">
            <v>LYAP-X2428-2</v>
          </cell>
        </row>
        <row r="129">
          <cell r="AH129" t="str">
            <v>未上架</v>
          </cell>
        </row>
        <row r="130">
          <cell r="B130" t="str">
            <v>LYAP-X2428-1</v>
          </cell>
        </row>
        <row r="130">
          <cell r="AH130" t="str">
            <v>未上架</v>
          </cell>
        </row>
        <row r="131">
          <cell r="B131" t="str">
            <v>LYAP-X1360-1L</v>
          </cell>
        </row>
        <row r="131">
          <cell r="AH131" t="str">
            <v>未上架</v>
          </cell>
        </row>
        <row r="132">
          <cell r="B132" t="str">
            <v>LYAP-X2316</v>
          </cell>
        </row>
        <row r="132">
          <cell r="AH132" t="str">
            <v>未上架</v>
          </cell>
        </row>
        <row r="133">
          <cell r="B133" t="str">
            <v>LYAP-X2310-R</v>
          </cell>
        </row>
        <row r="133">
          <cell r="AH133" t="str">
            <v>未上架</v>
          </cell>
        </row>
        <row r="134">
          <cell r="B134" t="str">
            <v>LYAP-X2310-L</v>
          </cell>
        </row>
        <row r="134">
          <cell r="AH134" t="str">
            <v>未上架</v>
          </cell>
        </row>
        <row r="135">
          <cell r="B135" t="str">
            <v>LYAP-X2412</v>
          </cell>
        </row>
        <row r="135">
          <cell r="AH135" t="str">
            <v>未上架</v>
          </cell>
        </row>
        <row r="136">
          <cell r="B136" t="str">
            <v>LYAM-X2452-SL</v>
          </cell>
        </row>
        <row r="136">
          <cell r="AH136" t="str">
            <v>未上架</v>
          </cell>
        </row>
        <row r="137">
          <cell r="B137" t="str">
            <v>LYAM-X2460</v>
          </cell>
        </row>
        <row r="137">
          <cell r="AH137" t="str">
            <v>未上架</v>
          </cell>
        </row>
        <row r="138">
          <cell r="B138" t="str">
            <v>LYAP-X1966</v>
          </cell>
        </row>
        <row r="138">
          <cell r="AH138" t="str">
            <v>未上架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pane ySplit="1" topLeftCell="A23" activePane="bottomLeft" state="frozen"/>
      <selection/>
      <selection pane="bottomLeft" activeCell="D48" sqref="D48"/>
    </sheetView>
  </sheetViews>
  <sheetFormatPr defaultColWidth="9" defaultRowHeight="13.5" outlineLevelCol="5"/>
  <cols>
    <col min="1" max="1" width="16" style="127" customWidth="1"/>
    <col min="2" max="2" width="22" style="127" customWidth="1"/>
    <col min="3" max="3" width="10" style="127" customWidth="1"/>
    <col min="4" max="4" width="48" style="127" customWidth="1"/>
    <col min="5" max="5" width="22" style="127" customWidth="1"/>
    <col min="6" max="6" width="24" style="127" customWidth="1"/>
  </cols>
  <sheetData>
    <row r="1" ht="15" spans="1:6">
      <c r="A1" s="128" t="s">
        <v>0</v>
      </c>
      <c r="B1" s="128" t="s">
        <v>1</v>
      </c>
      <c r="C1" s="128" t="s">
        <v>2</v>
      </c>
      <c r="D1" s="128" t="s">
        <v>3</v>
      </c>
      <c r="E1" s="128" t="s">
        <v>4</v>
      </c>
      <c r="F1" s="128" t="s">
        <v>5</v>
      </c>
    </row>
    <row r="2" ht="16.5" spans="1:6">
      <c r="A2" s="129" t="s">
        <v>6</v>
      </c>
      <c r="B2" s="129" t="s">
        <v>7</v>
      </c>
      <c r="C2" s="129" t="s">
        <v>8</v>
      </c>
      <c r="D2" s="130" t="s">
        <v>9</v>
      </c>
      <c r="E2" s="130" t="s">
        <v>10</v>
      </c>
      <c r="F2" s="130" t="s">
        <v>11</v>
      </c>
    </row>
    <row r="3" ht="16.5" spans="1:6">
      <c r="A3" s="129" t="s">
        <v>6</v>
      </c>
      <c r="B3" s="129" t="s">
        <v>12</v>
      </c>
      <c r="C3" s="129" t="s">
        <v>8</v>
      </c>
      <c r="D3" s="130" t="s">
        <v>13</v>
      </c>
      <c r="E3" s="130" t="s">
        <v>14</v>
      </c>
      <c r="F3" s="130" t="s">
        <v>15</v>
      </c>
    </row>
    <row r="4" ht="16.5" spans="1:6">
      <c r="A4" s="129" t="s">
        <v>6</v>
      </c>
      <c r="B4" s="129" t="s">
        <v>16</v>
      </c>
      <c r="C4" s="129" t="s">
        <v>8</v>
      </c>
      <c r="D4" s="130" t="s">
        <v>17</v>
      </c>
      <c r="E4" s="130" t="s">
        <v>18</v>
      </c>
      <c r="F4" s="130" t="s">
        <v>19</v>
      </c>
    </row>
    <row r="5" ht="16.5" spans="1:6">
      <c r="A5" s="129" t="s">
        <v>6</v>
      </c>
      <c r="B5" s="129" t="s">
        <v>20</v>
      </c>
      <c r="C5" s="129" t="s">
        <v>8</v>
      </c>
      <c r="D5" s="130" t="s">
        <v>21</v>
      </c>
      <c r="E5" s="130" t="s">
        <v>22</v>
      </c>
      <c r="F5" s="130" t="s">
        <v>23</v>
      </c>
    </row>
    <row r="6" ht="16.5" spans="1:6">
      <c r="A6" s="129" t="s">
        <v>6</v>
      </c>
      <c r="B6" s="129" t="s">
        <v>24</v>
      </c>
      <c r="C6" s="129" t="s">
        <v>8</v>
      </c>
      <c r="D6" s="130" t="s">
        <v>25</v>
      </c>
      <c r="E6" s="130" t="s">
        <v>26</v>
      </c>
      <c r="F6" s="130" t="s">
        <v>27</v>
      </c>
    </row>
    <row r="7" ht="33" spans="1:6">
      <c r="A7" s="129" t="s">
        <v>6</v>
      </c>
      <c r="B7" s="129" t="s">
        <v>28</v>
      </c>
      <c r="C7" s="129" t="s">
        <v>8</v>
      </c>
      <c r="D7" s="130" t="s">
        <v>29</v>
      </c>
      <c r="E7" s="130" t="s">
        <v>30</v>
      </c>
      <c r="F7" s="130" t="s">
        <v>31</v>
      </c>
    </row>
    <row r="8" ht="16.5" spans="1:6">
      <c r="A8" s="129" t="s">
        <v>6</v>
      </c>
      <c r="B8" s="129" t="s">
        <v>32</v>
      </c>
      <c r="C8" s="129" t="s">
        <v>8</v>
      </c>
      <c r="D8" s="130" t="s">
        <v>33</v>
      </c>
      <c r="E8" s="130" t="s">
        <v>34</v>
      </c>
      <c r="F8" s="130" t="s">
        <v>35</v>
      </c>
    </row>
    <row r="9" ht="16.5" spans="1:6">
      <c r="A9" s="129" t="s">
        <v>6</v>
      </c>
      <c r="B9" s="129" t="s">
        <v>36</v>
      </c>
      <c r="C9" s="129" t="s">
        <v>8</v>
      </c>
      <c r="D9" s="130" t="s">
        <v>37</v>
      </c>
      <c r="E9" s="130" t="s">
        <v>38</v>
      </c>
      <c r="F9" s="130" t="s">
        <v>39</v>
      </c>
    </row>
    <row r="10" ht="16.5" spans="1:6">
      <c r="A10" s="129" t="s">
        <v>6</v>
      </c>
      <c r="B10" s="129" t="s">
        <v>40</v>
      </c>
      <c r="C10" s="129" t="s">
        <v>8</v>
      </c>
      <c r="D10" s="130" t="s">
        <v>41</v>
      </c>
      <c r="E10" s="130" t="s">
        <v>42</v>
      </c>
      <c r="F10" s="130" t="s">
        <v>43</v>
      </c>
    </row>
    <row r="11" ht="16.5" spans="1:6">
      <c r="A11" s="129" t="s">
        <v>6</v>
      </c>
      <c r="B11" s="129" t="s">
        <v>44</v>
      </c>
      <c r="C11" s="129" t="s">
        <v>8</v>
      </c>
      <c r="D11" s="130"/>
      <c r="E11" s="130" t="s">
        <v>45</v>
      </c>
      <c r="F11" s="130" t="s">
        <v>46</v>
      </c>
    </row>
    <row r="12" ht="16.5" spans="1:6">
      <c r="A12" s="129" t="s">
        <v>6</v>
      </c>
      <c r="B12" s="129" t="s">
        <v>47</v>
      </c>
      <c r="C12" s="129" t="s">
        <v>8</v>
      </c>
      <c r="D12" s="130" t="s">
        <v>48</v>
      </c>
      <c r="E12" s="130" t="s">
        <v>49</v>
      </c>
      <c r="F12" s="130" t="s">
        <v>50</v>
      </c>
    </row>
    <row r="13" ht="16.5" spans="1:6">
      <c r="A13" s="129" t="s">
        <v>6</v>
      </c>
      <c r="B13" s="129" t="s">
        <v>51</v>
      </c>
      <c r="C13" s="129" t="s">
        <v>8</v>
      </c>
      <c r="D13" s="130" t="s">
        <v>52</v>
      </c>
      <c r="E13" s="130" t="s">
        <v>53</v>
      </c>
      <c r="F13" s="130" t="s">
        <v>54</v>
      </c>
    </row>
    <row r="14" ht="16.5" spans="1:6">
      <c r="A14" s="129" t="s">
        <v>6</v>
      </c>
      <c r="B14" s="129" t="s">
        <v>55</v>
      </c>
      <c r="C14" s="129" t="s">
        <v>56</v>
      </c>
      <c r="D14" s="130" t="s">
        <v>57</v>
      </c>
      <c r="E14" s="130" t="s">
        <v>58</v>
      </c>
      <c r="F14" s="130" t="s">
        <v>59</v>
      </c>
    </row>
    <row r="15" ht="16.5" spans="1:6">
      <c r="A15" s="129" t="s">
        <v>6</v>
      </c>
      <c r="B15" s="129" t="s">
        <v>60</v>
      </c>
      <c r="C15" s="129" t="s">
        <v>56</v>
      </c>
      <c r="D15" s="130" t="s">
        <v>61</v>
      </c>
      <c r="E15" s="130" t="s">
        <v>62</v>
      </c>
      <c r="F15" s="130" t="s">
        <v>63</v>
      </c>
    </row>
    <row r="16" ht="16.5" spans="1:6">
      <c r="A16" s="129" t="s">
        <v>6</v>
      </c>
      <c r="B16" s="129" t="s">
        <v>64</v>
      </c>
      <c r="C16" s="129" t="s">
        <v>56</v>
      </c>
      <c r="D16" s="130" t="s">
        <v>65</v>
      </c>
      <c r="E16" s="130" t="s">
        <v>66</v>
      </c>
      <c r="F16" s="130" t="s">
        <v>67</v>
      </c>
    </row>
    <row r="17" ht="16.5" spans="1:6">
      <c r="A17" s="129" t="s">
        <v>68</v>
      </c>
      <c r="B17" s="129" t="s">
        <v>69</v>
      </c>
      <c r="C17" s="129" t="s">
        <v>8</v>
      </c>
      <c r="D17" s="130" t="s">
        <v>70</v>
      </c>
      <c r="E17" s="130" t="s">
        <v>71</v>
      </c>
      <c r="F17" s="130" t="s">
        <v>72</v>
      </c>
    </row>
    <row r="18" ht="16.5" spans="1:6">
      <c r="A18" s="129" t="s">
        <v>68</v>
      </c>
      <c r="B18" s="129" t="s">
        <v>73</v>
      </c>
      <c r="C18" s="129" t="s">
        <v>8</v>
      </c>
      <c r="D18" s="130" t="s">
        <v>74</v>
      </c>
      <c r="E18" s="130" t="s">
        <v>75</v>
      </c>
      <c r="F18" s="130" t="s">
        <v>76</v>
      </c>
    </row>
    <row r="19" ht="16.5" spans="1:6">
      <c r="A19" s="129" t="s">
        <v>68</v>
      </c>
      <c r="B19" s="129" t="s">
        <v>77</v>
      </c>
      <c r="C19" s="129" t="s">
        <v>8</v>
      </c>
      <c r="D19" s="130" t="s">
        <v>13</v>
      </c>
      <c r="E19" s="130" t="s">
        <v>78</v>
      </c>
      <c r="F19" s="130" t="s">
        <v>79</v>
      </c>
    </row>
    <row r="20" ht="16.5" spans="1:6">
      <c r="A20" s="129" t="s">
        <v>68</v>
      </c>
      <c r="B20" s="129" t="s">
        <v>80</v>
      </c>
      <c r="C20" s="129" t="s">
        <v>8</v>
      </c>
      <c r="D20" s="130" t="s">
        <v>81</v>
      </c>
      <c r="E20" s="130" t="s">
        <v>82</v>
      </c>
      <c r="F20" s="130" t="s">
        <v>83</v>
      </c>
    </row>
    <row r="21" ht="16.5" spans="1:6">
      <c r="A21" s="129" t="s">
        <v>68</v>
      </c>
      <c r="B21" s="129" t="s">
        <v>84</v>
      </c>
      <c r="C21" s="129" t="s">
        <v>8</v>
      </c>
      <c r="D21" s="130" t="s">
        <v>85</v>
      </c>
      <c r="E21" s="130" t="s">
        <v>86</v>
      </c>
      <c r="F21" s="130" t="s">
        <v>87</v>
      </c>
    </row>
    <row r="22" ht="16.5" spans="1:6">
      <c r="A22" s="129" t="s">
        <v>68</v>
      </c>
      <c r="B22" s="129" t="s">
        <v>88</v>
      </c>
      <c r="C22" s="129" t="s">
        <v>8</v>
      </c>
      <c r="D22" s="130" t="s">
        <v>89</v>
      </c>
      <c r="E22" s="130" t="s">
        <v>90</v>
      </c>
      <c r="F22" s="130" t="s">
        <v>91</v>
      </c>
    </row>
    <row r="23" ht="16.5" spans="1:6">
      <c r="A23" s="129" t="s">
        <v>68</v>
      </c>
      <c r="B23" s="129" t="s">
        <v>92</v>
      </c>
      <c r="C23" s="129" t="s">
        <v>8</v>
      </c>
      <c r="D23" s="130" t="s">
        <v>93</v>
      </c>
      <c r="E23" s="130" t="s">
        <v>94</v>
      </c>
      <c r="F23" s="130" t="s">
        <v>95</v>
      </c>
    </row>
    <row r="24" ht="16.5" spans="1:6">
      <c r="A24" s="129" t="s">
        <v>68</v>
      </c>
      <c r="B24" s="129" t="s">
        <v>96</v>
      </c>
      <c r="C24" s="129" t="s">
        <v>8</v>
      </c>
      <c r="D24" s="130" t="s">
        <v>97</v>
      </c>
      <c r="E24" s="130" t="s">
        <v>98</v>
      </c>
      <c r="F24" s="130" t="s">
        <v>99</v>
      </c>
    </row>
    <row r="25" ht="16.5" spans="1:6">
      <c r="A25" s="129" t="s">
        <v>68</v>
      </c>
      <c r="B25" s="129" t="s">
        <v>100</v>
      </c>
      <c r="C25" s="129" t="s">
        <v>8</v>
      </c>
      <c r="D25" s="130" t="s">
        <v>101</v>
      </c>
      <c r="E25" s="130" t="s">
        <v>102</v>
      </c>
      <c r="F25" s="130" t="s">
        <v>103</v>
      </c>
    </row>
    <row r="26" ht="16.5" spans="1:6">
      <c r="A26" s="129" t="s">
        <v>68</v>
      </c>
      <c r="B26" s="129" t="s">
        <v>104</v>
      </c>
      <c r="C26" s="129" t="s">
        <v>8</v>
      </c>
      <c r="D26" s="130" t="s">
        <v>105</v>
      </c>
      <c r="E26" s="130" t="s">
        <v>106</v>
      </c>
      <c r="F26" s="130" t="s">
        <v>107</v>
      </c>
    </row>
    <row r="27" ht="16.5" spans="1:6">
      <c r="A27" s="129" t="s">
        <v>68</v>
      </c>
      <c r="B27" s="129" t="s">
        <v>108</v>
      </c>
      <c r="C27" s="129" t="s">
        <v>8</v>
      </c>
      <c r="D27" s="130" t="s">
        <v>109</v>
      </c>
      <c r="E27" s="130" t="s">
        <v>110</v>
      </c>
      <c r="F27" s="130" t="s">
        <v>111</v>
      </c>
    </row>
    <row r="28" ht="16.5" spans="1:6">
      <c r="A28" s="131" t="s">
        <v>68</v>
      </c>
      <c r="B28" s="131" t="s">
        <v>112</v>
      </c>
      <c r="C28" s="131" t="s">
        <v>8</v>
      </c>
      <c r="D28" s="132" t="s">
        <v>113</v>
      </c>
      <c r="E28" s="132" t="s">
        <v>114</v>
      </c>
      <c r="F28" s="132" t="s">
        <v>115</v>
      </c>
    </row>
    <row r="29" ht="33" spans="1:6">
      <c r="A29" s="131" t="s">
        <v>116</v>
      </c>
      <c r="B29" s="131" t="s">
        <v>117</v>
      </c>
      <c r="C29" s="131" t="s">
        <v>118</v>
      </c>
      <c r="D29" s="132" t="s">
        <v>119</v>
      </c>
      <c r="E29" s="132" t="s">
        <v>120</v>
      </c>
      <c r="F29" s="132" t="s">
        <v>121</v>
      </c>
    </row>
    <row r="30" ht="33" spans="1:6">
      <c r="A30" s="131" t="s">
        <v>116</v>
      </c>
      <c r="B30" s="131" t="s">
        <v>122</v>
      </c>
      <c r="C30" s="131" t="s">
        <v>118</v>
      </c>
      <c r="D30" s="132" t="s">
        <v>123</v>
      </c>
      <c r="E30" s="132" t="s">
        <v>124</v>
      </c>
      <c r="F30" s="132" t="s">
        <v>125</v>
      </c>
    </row>
    <row r="31" ht="33" spans="1:6">
      <c r="A31" s="131" t="s">
        <v>116</v>
      </c>
      <c r="B31" s="131" t="s">
        <v>126</v>
      </c>
      <c r="C31" s="131" t="s">
        <v>118</v>
      </c>
      <c r="D31" s="132" t="s">
        <v>127</v>
      </c>
      <c r="E31" s="132" t="s">
        <v>128</v>
      </c>
      <c r="F31" s="132" t="s">
        <v>129</v>
      </c>
    </row>
    <row r="32" ht="16.5" spans="1:6">
      <c r="A32" s="129" t="s">
        <v>116</v>
      </c>
      <c r="B32" s="129" t="s">
        <v>130</v>
      </c>
      <c r="C32" s="129" t="s">
        <v>118</v>
      </c>
      <c r="D32" s="130"/>
      <c r="E32" s="130" t="s">
        <v>131</v>
      </c>
      <c r="F32" s="130" t="s">
        <v>132</v>
      </c>
    </row>
    <row r="33" ht="16.5" spans="1:6">
      <c r="A33" s="129" t="s">
        <v>133</v>
      </c>
      <c r="B33" s="129" t="s">
        <v>134</v>
      </c>
      <c r="C33" s="129" t="s">
        <v>118</v>
      </c>
      <c r="D33" s="130" t="s">
        <v>135</v>
      </c>
      <c r="E33" s="130" t="s">
        <v>136</v>
      </c>
      <c r="F33" s="130" t="s">
        <v>136</v>
      </c>
    </row>
    <row r="34" ht="16.5" spans="1:6">
      <c r="A34" s="129" t="s">
        <v>133</v>
      </c>
      <c r="B34" s="129" t="s">
        <v>137</v>
      </c>
      <c r="C34" s="129" t="s">
        <v>118</v>
      </c>
      <c r="D34" s="130" t="s">
        <v>138</v>
      </c>
      <c r="E34" s="130" t="s">
        <v>136</v>
      </c>
      <c r="F34" s="130" t="s">
        <v>136</v>
      </c>
    </row>
    <row r="35" ht="16.5" spans="1:6">
      <c r="A35" s="129" t="s">
        <v>133</v>
      </c>
      <c r="B35" s="129" t="s">
        <v>139</v>
      </c>
      <c r="C35" s="129" t="s">
        <v>118</v>
      </c>
      <c r="D35" s="130" t="s">
        <v>140</v>
      </c>
      <c r="E35" s="130" t="s">
        <v>136</v>
      </c>
      <c r="F35" s="130" t="s">
        <v>136</v>
      </c>
    </row>
    <row r="36" ht="16.5" spans="1:6">
      <c r="A36" s="129" t="s">
        <v>133</v>
      </c>
      <c r="B36" s="129" t="s">
        <v>141</v>
      </c>
      <c r="C36" s="129" t="s">
        <v>118</v>
      </c>
      <c r="D36" s="130" t="s">
        <v>142</v>
      </c>
      <c r="E36" s="130" t="s">
        <v>136</v>
      </c>
      <c r="F36" s="130" t="s">
        <v>136</v>
      </c>
    </row>
    <row r="37" ht="16.5" spans="1:6">
      <c r="A37" s="129" t="s">
        <v>133</v>
      </c>
      <c r="B37" s="129" t="s">
        <v>143</v>
      </c>
      <c r="C37" s="129" t="s">
        <v>118</v>
      </c>
      <c r="D37" s="130" t="s">
        <v>144</v>
      </c>
      <c r="E37" s="130" t="s">
        <v>136</v>
      </c>
      <c r="F37" s="130" t="s">
        <v>136</v>
      </c>
    </row>
    <row r="38" ht="16.5" spans="1:6">
      <c r="A38" s="133" t="s">
        <v>145</v>
      </c>
      <c r="B38" s="133" t="s">
        <v>146</v>
      </c>
      <c r="C38" s="133"/>
      <c r="D38" s="134"/>
      <c r="E38" s="134">
        <v>3</v>
      </c>
      <c r="F38" s="134"/>
    </row>
    <row r="39" ht="16.5" spans="1:6">
      <c r="A39" s="133" t="s">
        <v>145</v>
      </c>
      <c r="B39" s="133" t="s">
        <v>147</v>
      </c>
      <c r="C39" s="133"/>
      <c r="D39" s="134" t="s">
        <v>148</v>
      </c>
      <c r="E39" s="134" t="s">
        <v>149</v>
      </c>
      <c r="F39" s="134"/>
    </row>
    <row r="40" ht="16.5" spans="1:6">
      <c r="A40" s="133" t="s">
        <v>145</v>
      </c>
      <c r="B40" s="133" t="s">
        <v>150</v>
      </c>
      <c r="C40" s="133"/>
      <c r="D40" s="134" t="s">
        <v>151</v>
      </c>
      <c r="E40" s="134" t="s">
        <v>152</v>
      </c>
      <c r="F40" s="134"/>
    </row>
    <row r="41" ht="16.5" spans="1:6">
      <c r="A41" s="133" t="s">
        <v>145</v>
      </c>
      <c r="B41" s="133" t="s">
        <v>153</v>
      </c>
      <c r="C41" s="133"/>
      <c r="D41" s="134" t="s">
        <v>151</v>
      </c>
      <c r="E41" s="134" t="s">
        <v>53</v>
      </c>
      <c r="F41" s="134"/>
    </row>
    <row r="42" ht="16.5" spans="1:6">
      <c r="A42" s="133" t="s">
        <v>145</v>
      </c>
      <c r="B42" s="133" t="s">
        <v>154</v>
      </c>
      <c r="C42" s="133"/>
      <c r="D42" s="134" t="s">
        <v>155</v>
      </c>
      <c r="E42" s="134" t="s">
        <v>156</v>
      </c>
      <c r="F42" s="134"/>
    </row>
    <row r="43" ht="33" spans="1:6">
      <c r="A43" s="133" t="s">
        <v>145</v>
      </c>
      <c r="B43" s="133" t="s">
        <v>157</v>
      </c>
      <c r="C43" s="133"/>
      <c r="D43" s="134" t="s">
        <v>158</v>
      </c>
      <c r="E43" s="134" t="s">
        <v>159</v>
      </c>
      <c r="F43" s="13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EU142"/>
  <sheetViews>
    <sheetView workbookViewId="0">
      <pane xSplit="7" ySplit="1" topLeftCell="DC16" activePane="bottomRight" state="frozen"/>
      <selection/>
      <selection pane="topRight"/>
      <selection pane="bottomLeft"/>
      <selection pane="bottomRight" activeCell="DG1" sqref="DG1"/>
    </sheetView>
  </sheetViews>
  <sheetFormatPr defaultColWidth="9" defaultRowHeight="13.5"/>
  <cols>
    <col min="1" max="1" width="11.375" style="65" customWidth="1"/>
    <col min="2" max="2" width="25.625" style="66" customWidth="1"/>
    <col min="3" max="6" width="11.875" style="66" customWidth="1"/>
    <col min="7" max="7" width="11.875" customWidth="1"/>
    <col min="8" max="13" width="13.625" customWidth="1"/>
    <col min="14" max="19" width="16.4583333333333" customWidth="1"/>
    <col min="20" max="20" width="8.675" customWidth="1"/>
    <col min="21" max="21" width="15.375" style="67" customWidth="1"/>
    <col min="22" max="26" width="15.375" style="68" customWidth="1"/>
    <col min="27" max="27" width="17" style="68" customWidth="1"/>
    <col min="28" max="32" width="17" style="69" customWidth="1"/>
    <col min="33" max="33" width="12.675" customWidth="1"/>
    <col min="34" max="34" width="15.8416666666667" style="70" customWidth="1"/>
    <col min="35" max="45" width="15.8416666666667" customWidth="1"/>
    <col min="46" max="46" width="13.875" style="71" customWidth="1"/>
    <col min="47" max="57" width="14.0083333333333" style="72" customWidth="1"/>
    <col min="58" max="58" width="15.8416666666667" style="70" customWidth="1"/>
    <col min="59" max="68" width="15.8416666666667" customWidth="1"/>
    <col min="69" max="69" width="15.8416666666667" style="73" customWidth="1"/>
    <col min="70" max="81" width="21.175" customWidth="1"/>
    <col min="82" max="82" width="21.175" style="70" customWidth="1"/>
    <col min="83" max="92" width="21.175" customWidth="1"/>
    <col min="93" max="93" width="21.175" style="73" customWidth="1"/>
    <col min="94" max="105" width="24.8416666666667" customWidth="1"/>
    <col min="106" max="106" width="16.675" style="70" customWidth="1"/>
    <col min="107" max="118" width="16.675" customWidth="1"/>
    <col min="119" max="119" width="22.675" style="70" customWidth="1"/>
    <col min="120" max="130" width="22.175" customWidth="1"/>
    <col min="131" max="131" width="22.175" style="70" customWidth="1"/>
    <col min="132" max="136" width="22.175" customWidth="1"/>
    <col min="137" max="137" width="22.175" style="73" customWidth="1"/>
    <col min="138" max="138" width="22.175" customWidth="1"/>
    <col min="139" max="139" width="24.6333333333333" customWidth="1"/>
    <col min="140" max="144" width="22.175" style="25" customWidth="1"/>
    <col min="145" max="145" width="22.175" style="74" customWidth="1"/>
    <col min="146" max="147" width="26.4583333333333" customWidth="1"/>
    <col min="148" max="16384" width="9" customWidth="1"/>
  </cols>
  <sheetData>
    <row r="1" customFormat="1" ht="22.5" customHeight="1" spans="1:147">
      <c r="A1" s="75" t="s">
        <v>160</v>
      </c>
      <c r="B1" s="76" t="s">
        <v>161</v>
      </c>
      <c r="C1" s="77" t="s">
        <v>162</v>
      </c>
      <c r="D1" s="76" t="s">
        <v>163</v>
      </c>
      <c r="E1" s="76" t="s">
        <v>164</v>
      </c>
      <c r="F1" s="76" t="s">
        <v>165</v>
      </c>
      <c r="G1" s="78" t="s">
        <v>166</v>
      </c>
      <c r="H1" s="79" t="s">
        <v>167</v>
      </c>
      <c r="I1" s="79" t="s">
        <v>168</v>
      </c>
      <c r="J1" s="79" t="s">
        <v>169</v>
      </c>
      <c r="K1" s="79" t="s">
        <v>170</v>
      </c>
      <c r="L1" s="79" t="s">
        <v>171</v>
      </c>
      <c r="M1" s="79" t="s">
        <v>172</v>
      </c>
      <c r="N1" s="79" t="s">
        <v>173</v>
      </c>
      <c r="O1" s="79" t="s">
        <v>174</v>
      </c>
      <c r="P1" s="79" t="s">
        <v>175</v>
      </c>
      <c r="Q1" s="79" t="s">
        <v>176</v>
      </c>
      <c r="R1" s="79" t="s">
        <v>177</v>
      </c>
      <c r="S1" s="79" t="s">
        <v>178</v>
      </c>
      <c r="T1" s="79" t="s">
        <v>179</v>
      </c>
      <c r="U1" s="80" t="s">
        <v>180</v>
      </c>
      <c r="V1" s="81" t="s">
        <v>181</v>
      </c>
      <c r="W1" s="81" t="s">
        <v>182</v>
      </c>
      <c r="X1" s="81" t="s">
        <v>183</v>
      </c>
      <c r="Y1" s="81" t="s">
        <v>184</v>
      </c>
      <c r="Z1" s="81" t="s">
        <v>185</v>
      </c>
      <c r="AA1" s="81" t="s">
        <v>186</v>
      </c>
      <c r="AB1" s="82" t="s">
        <v>187</v>
      </c>
      <c r="AC1" s="82" t="s">
        <v>188</v>
      </c>
      <c r="AD1" s="82" t="s">
        <v>189</v>
      </c>
      <c r="AE1" s="82" t="s">
        <v>190</v>
      </c>
      <c r="AF1" s="82" t="s">
        <v>191</v>
      </c>
      <c r="AG1" s="81" t="s">
        <v>179</v>
      </c>
      <c r="AH1" s="83" t="s">
        <v>192</v>
      </c>
      <c r="AI1" s="84" t="s">
        <v>193</v>
      </c>
      <c r="AJ1" s="84" t="s">
        <v>194</v>
      </c>
      <c r="AK1" s="84" t="s">
        <v>195</v>
      </c>
      <c r="AL1" s="84" t="s">
        <v>196</v>
      </c>
      <c r="AM1" s="84" t="s">
        <v>197</v>
      </c>
      <c r="AN1" s="84" t="s">
        <v>198</v>
      </c>
      <c r="AO1" s="84" t="s">
        <v>199</v>
      </c>
      <c r="AP1" s="84" t="s">
        <v>200</v>
      </c>
      <c r="AQ1" s="84" t="s">
        <v>201</v>
      </c>
      <c r="AR1" s="84" t="s">
        <v>202</v>
      </c>
      <c r="AS1" s="84" t="s">
        <v>203</v>
      </c>
      <c r="AT1" s="85" t="s">
        <v>204</v>
      </c>
      <c r="AU1" s="86" t="s">
        <v>205</v>
      </c>
      <c r="AV1" s="86" t="s">
        <v>206</v>
      </c>
      <c r="AW1" s="86" t="s">
        <v>207</v>
      </c>
      <c r="AX1" s="86" t="s">
        <v>208</v>
      </c>
      <c r="AY1" s="86" t="s">
        <v>209</v>
      </c>
      <c r="AZ1" s="86" t="s">
        <v>210</v>
      </c>
      <c r="BA1" s="86" t="s">
        <v>211</v>
      </c>
      <c r="BB1" s="86" t="s">
        <v>212</v>
      </c>
      <c r="BC1" s="86" t="s">
        <v>213</v>
      </c>
      <c r="BD1" s="86" t="s">
        <v>214</v>
      </c>
      <c r="BE1" s="86" t="s">
        <v>215</v>
      </c>
      <c r="BF1" s="87" t="s">
        <v>216</v>
      </c>
      <c r="BG1" s="88" t="s">
        <v>217</v>
      </c>
      <c r="BH1" s="88" t="s">
        <v>218</v>
      </c>
      <c r="BI1" s="88" t="s">
        <v>219</v>
      </c>
      <c r="BJ1" s="88" t="s">
        <v>220</v>
      </c>
      <c r="BK1" s="88" t="s">
        <v>221</v>
      </c>
      <c r="BL1" s="88" t="s">
        <v>222</v>
      </c>
      <c r="BM1" s="88" t="s">
        <v>223</v>
      </c>
      <c r="BN1" s="88" t="s">
        <v>224</v>
      </c>
      <c r="BO1" s="88" t="s">
        <v>225</v>
      </c>
      <c r="BP1" s="88" t="s">
        <v>226</v>
      </c>
      <c r="BQ1" s="89" t="s">
        <v>227</v>
      </c>
      <c r="BR1" s="90" t="s">
        <v>228</v>
      </c>
      <c r="BS1" s="90" t="s">
        <v>229</v>
      </c>
      <c r="BT1" s="90" t="s">
        <v>230</v>
      </c>
      <c r="BU1" s="90" t="s">
        <v>231</v>
      </c>
      <c r="BV1" s="90" t="s">
        <v>232</v>
      </c>
      <c r="BW1" s="90" t="s">
        <v>233</v>
      </c>
      <c r="BX1" s="90" t="s">
        <v>234</v>
      </c>
      <c r="BY1" s="90" t="s">
        <v>235</v>
      </c>
      <c r="BZ1" s="90" t="s">
        <v>236</v>
      </c>
      <c r="CA1" s="90" t="s">
        <v>237</v>
      </c>
      <c r="CB1" s="90" t="s">
        <v>238</v>
      </c>
      <c r="CC1" s="90" t="s">
        <v>239</v>
      </c>
      <c r="CD1" s="91" t="s">
        <v>240</v>
      </c>
      <c r="CE1" s="92" t="s">
        <v>241</v>
      </c>
      <c r="CF1" s="92" t="s">
        <v>242</v>
      </c>
      <c r="CG1" s="92" t="s">
        <v>243</v>
      </c>
      <c r="CH1" s="92" t="s">
        <v>244</v>
      </c>
      <c r="CI1" s="92" t="s">
        <v>245</v>
      </c>
      <c r="CJ1" s="92" t="s">
        <v>246</v>
      </c>
      <c r="CK1" s="92" t="s">
        <v>247</v>
      </c>
      <c r="CL1" s="92" t="s">
        <v>248</v>
      </c>
      <c r="CM1" s="92" t="s">
        <v>249</v>
      </c>
      <c r="CN1" s="92" t="s">
        <v>250</v>
      </c>
      <c r="CO1" s="93" t="s">
        <v>251</v>
      </c>
      <c r="CP1" s="94" t="s">
        <v>252</v>
      </c>
      <c r="CQ1" s="94" t="s">
        <v>253</v>
      </c>
      <c r="CR1" s="94" t="s">
        <v>254</v>
      </c>
      <c r="CS1" s="94" t="s">
        <v>255</v>
      </c>
      <c r="CT1" s="94" t="s">
        <v>256</v>
      </c>
      <c r="CU1" s="94" t="s">
        <v>257</v>
      </c>
      <c r="CV1" s="94" t="s">
        <v>258</v>
      </c>
      <c r="CW1" s="94" t="s">
        <v>259</v>
      </c>
      <c r="CX1" s="94" t="s">
        <v>260</v>
      </c>
      <c r="CY1" s="94" t="s">
        <v>261</v>
      </c>
      <c r="CZ1" s="94" t="s">
        <v>262</v>
      </c>
      <c r="DA1" s="94" t="s">
        <v>263</v>
      </c>
      <c r="DB1" s="95" t="s">
        <v>264</v>
      </c>
      <c r="DC1" s="96" t="s">
        <v>265</v>
      </c>
      <c r="DD1" s="96" t="s">
        <v>266</v>
      </c>
      <c r="DE1" s="96" t="s">
        <v>267</v>
      </c>
      <c r="DF1" s="96" t="s">
        <v>268</v>
      </c>
      <c r="DG1" s="96" t="s">
        <v>269</v>
      </c>
      <c r="DH1" s="96" t="s">
        <v>270</v>
      </c>
      <c r="DI1" s="96" t="s">
        <v>271</v>
      </c>
      <c r="DJ1" s="96" t="s">
        <v>272</v>
      </c>
      <c r="DK1" s="96" t="s">
        <v>273</v>
      </c>
      <c r="DL1" s="96" t="s">
        <v>274</v>
      </c>
      <c r="DM1" s="96" t="s">
        <v>275</v>
      </c>
      <c r="DN1" s="96" t="s">
        <v>276</v>
      </c>
      <c r="DO1" s="97" t="s">
        <v>277</v>
      </c>
      <c r="DP1" s="98" t="s">
        <v>278</v>
      </c>
      <c r="DQ1" s="98" t="s">
        <v>279</v>
      </c>
      <c r="DR1" s="98" t="s">
        <v>280</v>
      </c>
      <c r="DS1" s="98" t="s">
        <v>281</v>
      </c>
      <c r="DT1" s="98" t="s">
        <v>282</v>
      </c>
      <c r="DU1" s="98" t="s">
        <v>283</v>
      </c>
      <c r="DV1" s="98" t="s">
        <v>284</v>
      </c>
      <c r="DW1" s="98" t="s">
        <v>285</v>
      </c>
      <c r="DX1" s="98" t="s">
        <v>286</v>
      </c>
      <c r="DY1" s="98" t="s">
        <v>287</v>
      </c>
      <c r="DZ1" s="98" t="s">
        <v>288</v>
      </c>
      <c r="EA1" s="99" t="s">
        <v>289</v>
      </c>
      <c r="EB1" s="100" t="s">
        <v>290</v>
      </c>
      <c r="EC1" s="100" t="s">
        <v>291</v>
      </c>
      <c r="ED1" s="100" t="s">
        <v>292</v>
      </c>
      <c r="EE1" s="100" t="s">
        <v>293</v>
      </c>
      <c r="EF1" s="100" t="s">
        <v>294</v>
      </c>
      <c r="EG1" s="101" t="s">
        <v>295</v>
      </c>
      <c r="EH1" s="102" t="s">
        <v>296</v>
      </c>
      <c r="EI1" s="103" t="s">
        <v>297</v>
      </c>
      <c r="EJ1" s="104" t="s">
        <v>298</v>
      </c>
      <c r="EK1" s="104" t="s">
        <v>299</v>
      </c>
      <c r="EL1" s="104" t="s">
        <v>300</v>
      </c>
      <c r="EM1" s="104" t="s">
        <v>301</v>
      </c>
      <c r="EN1" s="104" t="s">
        <v>302</v>
      </c>
      <c r="EO1" s="105" t="s">
        <v>303</v>
      </c>
      <c r="EP1" s="106" t="s">
        <v>304</v>
      </c>
      <c r="EQ1" s="107" t="s">
        <v>305</v>
      </c>
    </row>
    <row r="2" customFormat="1" ht="22.5" customHeight="1" spans="1:147">
      <c r="A2" s="108">
        <v>12073</v>
      </c>
      <c r="B2" s="109" t="s">
        <v>14</v>
      </c>
      <c r="C2" s="110">
        <v>46085</v>
      </c>
      <c r="D2" s="111">
        <f>IF(_xlfn.XLOOKUP(A2,[1]分配表!J:J,[1]分配表!M:M)=0,"未出单",_xlfn.XLOOKUP(A2,[1]分配表!J:J,[1]分配表!M:M))</f>
        <v>46093</v>
      </c>
      <c r="E2" s="112" t="str">
        <f>_xlfn.XLOOKUP(A2,[1]分配表!A:A,[1]分配表!C:C)</f>
        <v>朱培源</v>
      </c>
      <c r="F2" s="112" t="str">
        <f>IF(_xlfn.XLOOKUP($A2,[1]分配表!$A:$A,[1]分配表!D:D)=0,"未分类",_xlfn.XLOOKUP($A2,[1]分配表!$A:$A,[1]分配表!D:D))</f>
        <v>车门系统</v>
      </c>
      <c r="G2" s="112" t="str">
        <f>_xlfn.XLOOKUP(A2,[1]分配表!J:J,[1]分配表!I:I)</f>
        <v>原开品</v>
      </c>
      <c r="H2" s="49">
        <v>0</v>
      </c>
      <c r="I2" s="49">
        <v>3</v>
      </c>
      <c r="J2" s="49">
        <v>3</v>
      </c>
      <c r="K2" s="49">
        <v>4</v>
      </c>
      <c r="L2" s="49">
        <v>0</v>
      </c>
      <c r="M2" s="49">
        <v>0</v>
      </c>
      <c r="N2" s="49">
        <v>1</v>
      </c>
      <c r="O2" s="49">
        <v>0</v>
      </c>
      <c r="P2" s="49">
        <v>1</v>
      </c>
      <c r="Q2" s="49">
        <v>4</v>
      </c>
      <c r="R2" s="49">
        <v>0</v>
      </c>
      <c r="S2" s="49">
        <v>1</v>
      </c>
      <c r="T2" s="113">
        <f t="shared" ref="T2:T65" si="0">IFERROR(S2-R2,S2)</f>
        <v>1</v>
      </c>
      <c r="U2" s="114">
        <v>0</v>
      </c>
      <c r="V2" s="115">
        <v>1260</v>
      </c>
      <c r="W2" s="115">
        <v>1260</v>
      </c>
      <c r="X2" s="115">
        <v>1680</v>
      </c>
      <c r="Y2" s="115">
        <v>0</v>
      </c>
      <c r="Z2" s="115">
        <v>0</v>
      </c>
      <c r="AA2" s="115">
        <v>420</v>
      </c>
      <c r="AB2" s="116">
        <v>0</v>
      </c>
      <c r="AC2" s="117">
        <v>420</v>
      </c>
      <c r="AD2" s="117">
        <v>1680</v>
      </c>
      <c r="AE2" s="117">
        <v>0</v>
      </c>
      <c r="AF2" s="117">
        <v>420</v>
      </c>
      <c r="AG2" s="115">
        <f t="shared" ref="AG2:AG65" si="1">IFERROR(AF2-AE2,AF2)</f>
        <v>420</v>
      </c>
      <c r="AH2" s="118">
        <v>0</v>
      </c>
      <c r="AI2" s="49">
        <v>0</v>
      </c>
      <c r="AJ2" s="49">
        <v>0</v>
      </c>
      <c r="AK2" s="49">
        <v>0</v>
      </c>
      <c r="AL2" s="49">
        <v>0</v>
      </c>
      <c r="AM2" s="49">
        <v>0</v>
      </c>
      <c r="AN2" s="49">
        <v>0</v>
      </c>
      <c r="AO2" s="49">
        <v>0</v>
      </c>
      <c r="AP2" s="49">
        <v>0</v>
      </c>
      <c r="AQ2" s="49">
        <v>0</v>
      </c>
      <c r="AR2" s="49">
        <v>0</v>
      </c>
      <c r="AS2" s="49">
        <v>0</v>
      </c>
      <c r="AT2" s="119" t="s">
        <v>306</v>
      </c>
      <c r="AU2" s="55">
        <v>1</v>
      </c>
      <c r="AV2" s="55">
        <v>1</v>
      </c>
      <c r="AW2" s="55">
        <v>1</v>
      </c>
      <c r="AX2" s="55">
        <v>0</v>
      </c>
      <c r="AY2" s="55">
        <v>0</v>
      </c>
      <c r="AZ2" s="55">
        <v>1</v>
      </c>
      <c r="BA2" s="55" t="s">
        <v>306</v>
      </c>
      <c r="BB2" s="55">
        <v>1</v>
      </c>
      <c r="BC2" s="55">
        <v>1</v>
      </c>
      <c r="BD2" s="55">
        <v>1</v>
      </c>
      <c r="BE2" s="55">
        <v>1</v>
      </c>
      <c r="BF2" s="118">
        <v>1</v>
      </c>
      <c r="BG2" s="49">
        <v>8</v>
      </c>
      <c r="BH2" s="49">
        <v>2</v>
      </c>
      <c r="BI2" s="49">
        <v>1</v>
      </c>
      <c r="BJ2" s="49">
        <v>1</v>
      </c>
      <c r="BK2" s="49">
        <v>9</v>
      </c>
      <c r="BL2" s="49">
        <v>9</v>
      </c>
      <c r="BM2" s="49">
        <v>16</v>
      </c>
      <c r="BN2" s="49">
        <v>23</v>
      </c>
      <c r="BO2" s="49">
        <v>30</v>
      </c>
      <c r="BP2" s="49">
        <v>37</v>
      </c>
      <c r="BQ2" s="120">
        <v>4</v>
      </c>
      <c r="BR2" s="115" t="s">
        <v>149</v>
      </c>
      <c r="BS2" s="115" t="s">
        <v>49</v>
      </c>
      <c r="BT2" s="115" t="s">
        <v>49</v>
      </c>
      <c r="BU2" s="115" t="s">
        <v>49</v>
      </c>
      <c r="BV2" s="115" t="s">
        <v>49</v>
      </c>
      <c r="BW2" s="115" t="s">
        <v>49</v>
      </c>
      <c r="BX2" s="115" t="s">
        <v>49</v>
      </c>
      <c r="BY2" s="115" t="s">
        <v>49</v>
      </c>
      <c r="BZ2" s="115" t="s">
        <v>49</v>
      </c>
      <c r="CA2" s="115" t="s">
        <v>49</v>
      </c>
      <c r="CB2" s="115" t="s">
        <v>49</v>
      </c>
      <c r="CC2" s="115" t="s">
        <v>49</v>
      </c>
      <c r="CD2" s="114" t="s">
        <v>53</v>
      </c>
      <c r="CE2" s="115" t="s">
        <v>152</v>
      </c>
      <c r="CF2" s="115" t="s">
        <v>53</v>
      </c>
      <c r="CG2" s="115" t="s">
        <v>53</v>
      </c>
      <c r="CH2" s="115" t="s">
        <v>53</v>
      </c>
      <c r="CI2" s="115" t="s">
        <v>53</v>
      </c>
      <c r="CJ2" s="115" t="s">
        <v>53</v>
      </c>
      <c r="CK2" s="115" t="s">
        <v>53</v>
      </c>
      <c r="CL2" s="115" t="s">
        <v>53</v>
      </c>
      <c r="CM2" s="115" t="s">
        <v>53</v>
      </c>
      <c r="CN2" s="115" t="s">
        <v>53</v>
      </c>
      <c r="CO2" s="121" t="s">
        <v>53</v>
      </c>
      <c r="CP2" s="115" t="s">
        <v>53</v>
      </c>
      <c r="CQ2" s="115" t="s">
        <v>53</v>
      </c>
      <c r="CR2" s="115" t="s">
        <v>53</v>
      </c>
      <c r="CS2" s="115" t="s">
        <v>53</v>
      </c>
      <c r="CT2" s="115" t="s">
        <v>53</v>
      </c>
      <c r="CU2" s="115" t="s">
        <v>53</v>
      </c>
      <c r="CV2" s="115" t="s">
        <v>53</v>
      </c>
      <c r="CW2" s="115" t="s">
        <v>53</v>
      </c>
      <c r="CX2" s="115" t="s">
        <v>53</v>
      </c>
      <c r="CY2" s="115" t="s">
        <v>53</v>
      </c>
      <c r="CZ2" s="115" t="s">
        <v>53</v>
      </c>
      <c r="DA2" s="115" t="s">
        <v>53</v>
      </c>
      <c r="DB2" s="118" t="s">
        <v>307</v>
      </c>
      <c r="DC2" s="49" t="s">
        <v>307</v>
      </c>
      <c r="DD2" s="49" t="s">
        <v>53</v>
      </c>
      <c r="DE2" s="49" t="s">
        <v>53</v>
      </c>
      <c r="DF2" s="49" t="s">
        <v>53</v>
      </c>
      <c r="DG2" s="49" t="s">
        <v>53</v>
      </c>
      <c r="DH2" s="49" t="s">
        <v>307</v>
      </c>
      <c r="DI2" s="49" t="s">
        <v>53</v>
      </c>
      <c r="DJ2" s="49" t="s">
        <v>307</v>
      </c>
      <c r="DK2" s="49" t="s">
        <v>53</v>
      </c>
      <c r="DL2" s="49" t="s">
        <v>53</v>
      </c>
      <c r="DM2" s="49" t="s">
        <v>53</v>
      </c>
      <c r="DN2" s="49" t="s">
        <v>53</v>
      </c>
      <c r="DO2" s="118" t="s">
        <v>159</v>
      </c>
      <c r="DP2" s="49" t="s">
        <v>58</v>
      </c>
      <c r="DQ2" s="49" t="s">
        <v>308</v>
      </c>
      <c r="DR2" s="49" t="s">
        <v>58</v>
      </c>
      <c r="DS2" s="49" t="s">
        <v>58</v>
      </c>
      <c r="DT2" s="49" t="s">
        <v>58</v>
      </c>
      <c r="DU2" s="49" t="s">
        <v>58</v>
      </c>
      <c r="DV2" s="49" t="s">
        <v>58</v>
      </c>
      <c r="DW2" s="49" t="s">
        <v>58</v>
      </c>
      <c r="DX2" s="49" t="s">
        <v>58</v>
      </c>
      <c r="DY2" s="49" t="s">
        <v>58</v>
      </c>
      <c r="DZ2" s="49" t="s">
        <v>58</v>
      </c>
      <c r="EA2" s="118" t="s">
        <v>62</v>
      </c>
      <c r="EB2" s="49" t="s">
        <v>62</v>
      </c>
      <c r="EC2" s="49" t="s">
        <v>62</v>
      </c>
      <c r="ED2" s="49" t="s">
        <v>62</v>
      </c>
      <c r="EE2" s="49" t="s">
        <v>62</v>
      </c>
      <c r="EF2" s="49" t="s">
        <v>62</v>
      </c>
      <c r="EG2" s="120" t="s">
        <v>62</v>
      </c>
      <c r="EH2" s="117">
        <v>0</v>
      </c>
      <c r="EI2" s="117">
        <v>0</v>
      </c>
      <c r="EJ2" s="55">
        <v>0.045</v>
      </c>
      <c r="EK2" s="55">
        <v>0.02</v>
      </c>
      <c r="EL2" s="55">
        <v>0.02</v>
      </c>
      <c r="EM2" s="55">
        <v>0.02</v>
      </c>
      <c r="EN2" s="55">
        <v>0.02</v>
      </c>
      <c r="EO2" s="122">
        <v>0.02</v>
      </c>
      <c r="EP2" s="117">
        <v>20.41</v>
      </c>
      <c r="EQ2" s="117">
        <v>453.6</v>
      </c>
    </row>
    <row r="3" customFormat="1" ht="22.5" customHeight="1" spans="1:147">
      <c r="A3" s="108">
        <v>12074</v>
      </c>
      <c r="B3" s="109" t="s">
        <v>309</v>
      </c>
      <c r="C3" s="110">
        <v>46085</v>
      </c>
      <c r="D3" s="111">
        <f>IF(_xlfn.XLOOKUP(A3,[1]分配表!J:J,[1]分配表!M:M)=0,"未出单",_xlfn.XLOOKUP(A3,[1]分配表!J:J,[1]分配表!M:M))</f>
        <v>46085</v>
      </c>
      <c r="E3" s="112" t="str">
        <f>_xlfn.XLOOKUP(A3,[1]分配表!A:A,[1]分配表!C:C)</f>
        <v>朱培源</v>
      </c>
      <c r="F3" s="112" t="str">
        <f>IF(_xlfn.XLOOKUP($A3,[1]分配表!$A:$A,[1]分配表!D:D)=0,"未分类",_xlfn.XLOOKUP($A3,[1]分配表!$A:$A,[1]分配表!D:D))</f>
        <v>车门系统</v>
      </c>
      <c r="G3" s="112" t="str">
        <f>_xlfn.XLOOKUP(A3,[1]分配表!J:J,[1]分配表!I:I)</f>
        <v>拓展品</v>
      </c>
      <c r="H3" s="49">
        <v>8</v>
      </c>
      <c r="I3" s="49">
        <v>12</v>
      </c>
      <c r="J3" s="49">
        <v>5</v>
      </c>
      <c r="K3" s="49">
        <v>6</v>
      </c>
      <c r="L3" s="49">
        <v>3</v>
      </c>
      <c r="M3" s="49">
        <v>3</v>
      </c>
      <c r="N3" s="49">
        <v>9</v>
      </c>
      <c r="O3" s="49">
        <v>9</v>
      </c>
      <c r="P3" s="49">
        <v>8</v>
      </c>
      <c r="Q3" s="49">
        <v>8</v>
      </c>
      <c r="R3" s="49">
        <v>5</v>
      </c>
      <c r="S3" s="49">
        <v>0</v>
      </c>
      <c r="T3" s="113">
        <f t="shared" si="0"/>
        <v>-5</v>
      </c>
      <c r="U3" s="114">
        <v>1760</v>
      </c>
      <c r="V3" s="115">
        <v>2640</v>
      </c>
      <c r="W3" s="115">
        <v>1080</v>
      </c>
      <c r="X3" s="115">
        <v>1320</v>
      </c>
      <c r="Y3" s="115">
        <v>675</v>
      </c>
      <c r="Z3" s="115">
        <v>679.1</v>
      </c>
      <c r="AA3" s="115">
        <v>2147.72</v>
      </c>
      <c r="AB3" s="116">
        <v>2196.8</v>
      </c>
      <c r="AC3" s="117">
        <v>2010.88</v>
      </c>
      <c r="AD3" s="117">
        <v>1983.16</v>
      </c>
      <c r="AE3" s="117">
        <v>1239.08</v>
      </c>
      <c r="AF3" s="117">
        <v>0</v>
      </c>
      <c r="AG3" s="115">
        <f t="shared" si="1"/>
        <v>-1239.08</v>
      </c>
      <c r="AH3" s="118">
        <v>0</v>
      </c>
      <c r="AI3" s="49">
        <v>1</v>
      </c>
      <c r="AJ3" s="49">
        <v>0</v>
      </c>
      <c r="AK3" s="49">
        <v>0</v>
      </c>
      <c r="AL3" s="49">
        <v>0</v>
      </c>
      <c r="AM3" s="49">
        <v>0</v>
      </c>
      <c r="AN3" s="49">
        <v>0</v>
      </c>
      <c r="AO3" s="49">
        <v>0</v>
      </c>
      <c r="AP3" s="49">
        <v>0</v>
      </c>
      <c r="AQ3" s="49">
        <v>0</v>
      </c>
      <c r="AR3" s="49">
        <v>0</v>
      </c>
      <c r="AS3" s="49">
        <v>0</v>
      </c>
      <c r="AT3" s="119">
        <v>1</v>
      </c>
      <c r="AU3" s="55">
        <v>0.9</v>
      </c>
      <c r="AV3" s="55">
        <v>1</v>
      </c>
      <c r="AW3" s="55">
        <v>1</v>
      </c>
      <c r="AX3" s="55">
        <v>1</v>
      </c>
      <c r="AY3" s="55">
        <v>1</v>
      </c>
      <c r="AZ3" s="55">
        <v>1</v>
      </c>
      <c r="BA3" s="55">
        <v>1</v>
      </c>
      <c r="BB3" s="55">
        <v>1</v>
      </c>
      <c r="BC3" s="55">
        <v>1</v>
      </c>
      <c r="BD3" s="55">
        <v>1</v>
      </c>
      <c r="BE3" s="55">
        <v>1</v>
      </c>
      <c r="BF3" s="118">
        <v>5</v>
      </c>
      <c r="BG3" s="49">
        <v>12</v>
      </c>
      <c r="BH3" s="49">
        <v>2</v>
      </c>
      <c r="BI3" s="49">
        <v>1</v>
      </c>
      <c r="BJ3" s="49">
        <v>7</v>
      </c>
      <c r="BK3" s="49">
        <v>6</v>
      </c>
      <c r="BL3" s="49">
        <v>12</v>
      </c>
      <c r="BM3" s="49">
        <v>19</v>
      </c>
      <c r="BN3" s="49">
        <v>26</v>
      </c>
      <c r="BO3" s="49">
        <v>33</v>
      </c>
      <c r="BP3" s="49">
        <v>40</v>
      </c>
      <c r="BQ3" s="120">
        <v>47</v>
      </c>
      <c r="BR3" s="115" t="s">
        <v>49</v>
      </c>
      <c r="BS3" s="115" t="s">
        <v>49</v>
      </c>
      <c r="BT3" s="115" t="s">
        <v>49</v>
      </c>
      <c r="BU3" s="115" t="s">
        <v>49</v>
      </c>
      <c r="BV3" s="115" t="s">
        <v>49</v>
      </c>
      <c r="BW3" s="115" t="s">
        <v>49</v>
      </c>
      <c r="BX3" s="115" t="s">
        <v>49</v>
      </c>
      <c r="BY3" s="115" t="s">
        <v>49</v>
      </c>
      <c r="BZ3" s="115" t="s">
        <v>49</v>
      </c>
      <c r="CA3" s="115" t="s">
        <v>49</v>
      </c>
      <c r="CB3" s="115" t="s">
        <v>49</v>
      </c>
      <c r="CC3" s="115" t="s">
        <v>49</v>
      </c>
      <c r="CD3" s="114" t="s">
        <v>53</v>
      </c>
      <c r="CE3" s="115" t="s">
        <v>152</v>
      </c>
      <c r="CF3" s="115" t="s">
        <v>53</v>
      </c>
      <c r="CG3" s="115" t="s">
        <v>53</v>
      </c>
      <c r="CH3" s="115" t="s">
        <v>53</v>
      </c>
      <c r="CI3" s="115" t="s">
        <v>53</v>
      </c>
      <c r="CJ3" s="115" t="s">
        <v>53</v>
      </c>
      <c r="CK3" s="115" t="s">
        <v>53</v>
      </c>
      <c r="CL3" s="115" t="s">
        <v>53</v>
      </c>
      <c r="CM3" s="115" t="s">
        <v>53</v>
      </c>
      <c r="CN3" s="115" t="s">
        <v>53</v>
      </c>
      <c r="CO3" s="121" t="s">
        <v>53</v>
      </c>
      <c r="CP3" s="115" t="s">
        <v>152</v>
      </c>
      <c r="CQ3" s="115" t="s">
        <v>53</v>
      </c>
      <c r="CR3" s="115" t="s">
        <v>53</v>
      </c>
      <c r="CS3" s="115" t="s">
        <v>53</v>
      </c>
      <c r="CT3" s="115" t="s">
        <v>53</v>
      </c>
      <c r="CU3" s="115" t="s">
        <v>53</v>
      </c>
      <c r="CV3" s="115" t="s">
        <v>53</v>
      </c>
      <c r="CW3" s="115" t="s">
        <v>53</v>
      </c>
      <c r="CX3" s="115" t="s">
        <v>53</v>
      </c>
      <c r="CY3" s="115" t="s">
        <v>53</v>
      </c>
      <c r="CZ3" s="115" t="s">
        <v>53</v>
      </c>
      <c r="DA3" s="115" t="s">
        <v>53</v>
      </c>
      <c r="DB3" s="118" t="s">
        <v>307</v>
      </c>
      <c r="DC3" s="49" t="s">
        <v>53</v>
      </c>
      <c r="DD3" s="49" t="s">
        <v>53</v>
      </c>
      <c r="DE3" s="49" t="s">
        <v>53</v>
      </c>
      <c r="DF3" s="49" t="s">
        <v>53</v>
      </c>
      <c r="DG3" s="49" t="s">
        <v>53</v>
      </c>
      <c r="DH3" s="49" t="s">
        <v>53</v>
      </c>
      <c r="DI3" s="49" t="s">
        <v>53</v>
      </c>
      <c r="DJ3" s="49" t="s">
        <v>53</v>
      </c>
      <c r="DK3" s="49" t="s">
        <v>53</v>
      </c>
      <c r="DL3" s="49" t="s">
        <v>53</v>
      </c>
      <c r="DM3" s="49" t="s">
        <v>53</v>
      </c>
      <c r="DN3" s="49" t="s">
        <v>53</v>
      </c>
      <c r="DO3" s="118" t="s">
        <v>310</v>
      </c>
      <c r="DP3" s="49" t="s">
        <v>310</v>
      </c>
      <c r="DQ3" s="49" t="s">
        <v>308</v>
      </c>
      <c r="DR3" s="49" t="s">
        <v>58</v>
      </c>
      <c r="DS3" s="49" t="s">
        <v>58</v>
      </c>
      <c r="DT3" s="49" t="s">
        <v>58</v>
      </c>
      <c r="DU3" s="49" t="s">
        <v>58</v>
      </c>
      <c r="DV3" s="49" t="s">
        <v>58</v>
      </c>
      <c r="DW3" s="49" t="s">
        <v>58</v>
      </c>
      <c r="DX3" s="49" t="s">
        <v>58</v>
      </c>
      <c r="DY3" s="49" t="s">
        <v>58</v>
      </c>
      <c r="DZ3" s="49" t="s">
        <v>58</v>
      </c>
      <c r="EA3" s="118" t="s">
        <v>62</v>
      </c>
      <c r="EB3" s="49" t="s">
        <v>62</v>
      </c>
      <c r="EC3" s="49" t="s">
        <v>62</v>
      </c>
      <c r="ED3" s="49" t="s">
        <v>62</v>
      </c>
      <c r="EE3" s="49" t="s">
        <v>62</v>
      </c>
      <c r="EF3" s="49" t="s">
        <v>62</v>
      </c>
      <c r="EG3" s="120" t="s">
        <v>62</v>
      </c>
      <c r="EH3" s="117">
        <v>0</v>
      </c>
      <c r="EI3" s="117">
        <v>0</v>
      </c>
      <c r="EJ3" s="55">
        <v>0.05</v>
      </c>
      <c r="EK3" s="55">
        <v>0.02</v>
      </c>
      <c r="EL3" s="55">
        <v>0.02</v>
      </c>
      <c r="EM3" s="55">
        <v>0.02</v>
      </c>
      <c r="EN3" s="55">
        <v>0</v>
      </c>
      <c r="EO3" s="122">
        <v>0</v>
      </c>
      <c r="EP3" s="117">
        <v>10.45</v>
      </c>
      <c r="EQ3" s="117">
        <v>298.55</v>
      </c>
    </row>
    <row r="4" customFormat="1" ht="22.5" customHeight="1" spans="1:147">
      <c r="A4" s="108">
        <v>12075</v>
      </c>
      <c r="B4" s="109" t="s">
        <v>311</v>
      </c>
      <c r="C4" s="110">
        <v>46085</v>
      </c>
      <c r="D4" s="111">
        <f>IF(_xlfn.XLOOKUP(A4,[1]分配表!J:J,[1]分配表!M:M)=0,"未出单",_xlfn.XLOOKUP(A4,[1]分配表!J:J,[1]分配表!M:M))</f>
        <v>46085</v>
      </c>
      <c r="E4" s="112" t="str">
        <f>_xlfn.XLOOKUP(A4,[1]分配表!A:A,[1]分配表!C:C)</f>
        <v>朱培源</v>
      </c>
      <c r="F4" s="112" t="str">
        <f>IF(_xlfn.XLOOKUP($A4,[1]分配表!$A:$A,[1]分配表!D:D)=0,"未分类",_xlfn.XLOOKUP($A4,[1]分配表!$A:$A,[1]分配表!D:D))</f>
        <v>车门系统</v>
      </c>
      <c r="G4" s="112" t="str">
        <f>_xlfn.XLOOKUP(A4,[1]分配表!J:J,[1]分配表!I:I)</f>
        <v>拓展品</v>
      </c>
      <c r="H4" s="49">
        <v>1</v>
      </c>
      <c r="I4" s="49">
        <v>2</v>
      </c>
      <c r="J4" s="49">
        <v>0</v>
      </c>
      <c r="K4" s="49">
        <v>0</v>
      </c>
      <c r="L4" s="49">
        <v>0</v>
      </c>
      <c r="M4" s="49">
        <v>1</v>
      </c>
      <c r="N4" s="49">
        <v>0</v>
      </c>
      <c r="O4" s="49">
        <v>0</v>
      </c>
      <c r="P4" s="49">
        <v>1</v>
      </c>
      <c r="Q4" s="49">
        <v>1</v>
      </c>
      <c r="R4" s="49">
        <v>1</v>
      </c>
      <c r="S4" s="49">
        <v>0</v>
      </c>
      <c r="T4" s="113">
        <f t="shared" si="0"/>
        <v>-1</v>
      </c>
      <c r="U4" s="114">
        <v>220</v>
      </c>
      <c r="V4" s="115">
        <v>440</v>
      </c>
      <c r="W4" s="115">
        <v>0</v>
      </c>
      <c r="X4" s="115">
        <v>0</v>
      </c>
      <c r="Y4" s="115">
        <v>0</v>
      </c>
      <c r="Z4" s="115">
        <v>220</v>
      </c>
      <c r="AA4" s="115">
        <v>0</v>
      </c>
      <c r="AB4" s="116">
        <v>0</v>
      </c>
      <c r="AC4" s="117">
        <v>220</v>
      </c>
      <c r="AD4" s="117">
        <v>220</v>
      </c>
      <c r="AE4" s="117">
        <v>220</v>
      </c>
      <c r="AF4" s="117">
        <v>0</v>
      </c>
      <c r="AG4" s="115">
        <f t="shared" si="1"/>
        <v>-220</v>
      </c>
      <c r="AH4" s="118">
        <v>0</v>
      </c>
      <c r="AI4" s="49">
        <v>0</v>
      </c>
      <c r="AJ4" s="49">
        <v>0</v>
      </c>
      <c r="AK4" s="49">
        <v>0</v>
      </c>
      <c r="AL4" s="49">
        <v>0</v>
      </c>
      <c r="AM4" s="49">
        <v>0</v>
      </c>
      <c r="AN4" s="49">
        <v>0</v>
      </c>
      <c r="AO4" s="49">
        <v>0</v>
      </c>
      <c r="AP4" s="49">
        <v>0</v>
      </c>
      <c r="AQ4" s="49">
        <v>0</v>
      </c>
      <c r="AR4" s="49">
        <v>0</v>
      </c>
      <c r="AS4" s="49">
        <v>0</v>
      </c>
      <c r="AT4" s="119">
        <v>1</v>
      </c>
      <c r="AU4" s="55">
        <v>1</v>
      </c>
      <c r="AV4" s="55" t="s">
        <v>306</v>
      </c>
      <c r="AW4" s="55">
        <v>0</v>
      </c>
      <c r="AX4" s="55">
        <v>0</v>
      </c>
      <c r="AY4" s="55">
        <v>1</v>
      </c>
      <c r="AZ4" s="55" t="s">
        <v>306</v>
      </c>
      <c r="BA4" s="55" t="s">
        <v>306</v>
      </c>
      <c r="BB4" s="55">
        <v>1</v>
      </c>
      <c r="BC4" s="55">
        <v>1</v>
      </c>
      <c r="BD4" s="55">
        <v>1</v>
      </c>
      <c r="BE4" s="55" t="s">
        <v>306</v>
      </c>
      <c r="BF4" s="118">
        <v>5</v>
      </c>
      <c r="BG4" s="49">
        <v>12</v>
      </c>
      <c r="BH4" s="49">
        <v>2</v>
      </c>
      <c r="BI4" s="49">
        <v>1</v>
      </c>
      <c r="BJ4" s="49">
        <v>1</v>
      </c>
      <c r="BK4" s="49">
        <v>9</v>
      </c>
      <c r="BL4" s="49">
        <v>15</v>
      </c>
      <c r="BM4" s="49">
        <v>22</v>
      </c>
      <c r="BN4" s="49">
        <v>29</v>
      </c>
      <c r="BO4" s="49">
        <v>36</v>
      </c>
      <c r="BP4" s="49">
        <v>43</v>
      </c>
      <c r="BQ4" s="120">
        <v>50</v>
      </c>
      <c r="BR4" s="115" t="s">
        <v>49</v>
      </c>
      <c r="BS4" s="115" t="s">
        <v>49</v>
      </c>
      <c r="BT4" s="115" t="s">
        <v>49</v>
      </c>
      <c r="BU4" s="115" t="s">
        <v>49</v>
      </c>
      <c r="BV4" s="115" t="s">
        <v>49</v>
      </c>
      <c r="BW4" s="115" t="s">
        <v>49</v>
      </c>
      <c r="BX4" s="115" t="s">
        <v>49</v>
      </c>
      <c r="BY4" s="115" t="s">
        <v>49</v>
      </c>
      <c r="BZ4" s="115" t="s">
        <v>49</v>
      </c>
      <c r="CA4" s="115" t="s">
        <v>49</v>
      </c>
      <c r="CB4" s="115" t="s">
        <v>49</v>
      </c>
      <c r="CC4" s="115" t="s">
        <v>49</v>
      </c>
      <c r="CD4" s="114" t="s">
        <v>53</v>
      </c>
      <c r="CE4" s="115" t="s">
        <v>152</v>
      </c>
      <c r="CF4" s="115" t="s">
        <v>53</v>
      </c>
      <c r="CG4" s="115" t="s">
        <v>53</v>
      </c>
      <c r="CH4" s="115" t="s">
        <v>53</v>
      </c>
      <c r="CI4" s="115" t="s">
        <v>53</v>
      </c>
      <c r="CJ4" s="115" t="s">
        <v>53</v>
      </c>
      <c r="CK4" s="115" t="s">
        <v>53</v>
      </c>
      <c r="CL4" s="115" t="s">
        <v>53</v>
      </c>
      <c r="CM4" s="115" t="s">
        <v>53</v>
      </c>
      <c r="CN4" s="115" t="s">
        <v>53</v>
      </c>
      <c r="CO4" s="121" t="s">
        <v>53</v>
      </c>
      <c r="CP4" s="115" t="s">
        <v>152</v>
      </c>
      <c r="CQ4" s="115" t="s">
        <v>53</v>
      </c>
      <c r="CR4" s="115" t="s">
        <v>53</v>
      </c>
      <c r="CS4" s="115" t="s">
        <v>53</v>
      </c>
      <c r="CT4" s="115" t="s">
        <v>53</v>
      </c>
      <c r="CU4" s="115" t="s">
        <v>53</v>
      </c>
      <c r="CV4" s="115" t="s">
        <v>53</v>
      </c>
      <c r="CW4" s="115" t="s">
        <v>53</v>
      </c>
      <c r="CX4" s="115" t="s">
        <v>53</v>
      </c>
      <c r="CY4" s="115" t="s">
        <v>53</v>
      </c>
      <c r="CZ4" s="115" t="s">
        <v>53</v>
      </c>
      <c r="DA4" s="115" t="s">
        <v>53</v>
      </c>
      <c r="DB4" s="118" t="s">
        <v>307</v>
      </c>
      <c r="DC4" s="49" t="s">
        <v>53</v>
      </c>
      <c r="DD4" s="49" t="s">
        <v>53</v>
      </c>
      <c r="DE4" s="49" t="s">
        <v>53</v>
      </c>
      <c r="DF4" s="49" t="s">
        <v>307</v>
      </c>
      <c r="DG4" s="49" t="s">
        <v>307</v>
      </c>
      <c r="DH4" s="49" t="s">
        <v>53</v>
      </c>
      <c r="DI4" s="49" t="s">
        <v>307</v>
      </c>
      <c r="DJ4" s="49" t="s">
        <v>307</v>
      </c>
      <c r="DK4" s="49" t="s">
        <v>53</v>
      </c>
      <c r="DL4" s="49" t="s">
        <v>53</v>
      </c>
      <c r="DM4" s="49" t="s">
        <v>53</v>
      </c>
      <c r="DN4" s="49" t="s">
        <v>307</v>
      </c>
      <c r="DO4" s="118" t="s">
        <v>310</v>
      </c>
      <c r="DP4" s="49" t="s">
        <v>310</v>
      </c>
      <c r="DQ4" s="49" t="s">
        <v>308</v>
      </c>
      <c r="DR4" s="49" t="s">
        <v>58</v>
      </c>
      <c r="DS4" s="49" t="s">
        <v>58</v>
      </c>
      <c r="DT4" s="49" t="s">
        <v>58</v>
      </c>
      <c r="DU4" s="49" t="s">
        <v>58</v>
      </c>
      <c r="DV4" s="49" t="s">
        <v>58</v>
      </c>
      <c r="DW4" s="49" t="s">
        <v>58</v>
      </c>
      <c r="DX4" s="49" t="s">
        <v>58</v>
      </c>
      <c r="DY4" s="49" t="s">
        <v>58</v>
      </c>
      <c r="DZ4" s="49" t="s">
        <v>58</v>
      </c>
      <c r="EA4" s="118" t="s">
        <v>62</v>
      </c>
      <c r="EB4" s="49" t="s">
        <v>62</v>
      </c>
      <c r="EC4" s="49" t="s">
        <v>62</v>
      </c>
      <c r="ED4" s="49" t="s">
        <v>62</v>
      </c>
      <c r="EE4" s="49" t="s">
        <v>62</v>
      </c>
      <c r="EF4" s="49" t="s">
        <v>62</v>
      </c>
      <c r="EG4" s="120" t="s">
        <v>62</v>
      </c>
      <c r="EH4" s="117">
        <v>0</v>
      </c>
      <c r="EI4" s="117">
        <v>0</v>
      </c>
      <c r="EJ4" s="55">
        <v>0.045</v>
      </c>
      <c r="EK4" s="55">
        <v>0.02</v>
      </c>
      <c r="EL4" s="55">
        <v>0.02</v>
      </c>
      <c r="EM4" s="55">
        <v>0.02</v>
      </c>
      <c r="EN4" s="55">
        <v>0.02</v>
      </c>
      <c r="EO4" s="122">
        <v>0.02</v>
      </c>
      <c r="EP4" s="117">
        <v>0</v>
      </c>
      <c r="EQ4" s="117">
        <v>0</v>
      </c>
    </row>
    <row r="5" customFormat="1" ht="22.5" customHeight="1" spans="1:147">
      <c r="A5" s="123">
        <v>12252</v>
      </c>
      <c r="B5" s="124" t="s">
        <v>312</v>
      </c>
      <c r="C5" s="125">
        <v>46085</v>
      </c>
      <c r="D5" s="111">
        <f>IF(_xlfn.XLOOKUP(A5,[1]分配表!J:J,[1]分配表!M:M)=0,"未出单",_xlfn.XLOOKUP(A5,[1]分配表!J:J,[1]分配表!M:M))</f>
        <v>46089</v>
      </c>
      <c r="E5" s="112" t="str">
        <f>_xlfn.XLOOKUP(A5,[1]分配表!A:A,[1]分配表!C:C)</f>
        <v>胡煜星</v>
      </c>
      <c r="F5" s="112" t="str">
        <f>IF(_xlfn.XLOOKUP($A5,[1]分配表!$A:$A,[1]分配表!D:D)=0,"未分类",_xlfn.XLOOKUP($A5,[1]分配表!$A:$A,[1]分配表!D:D))</f>
        <v>车门系统</v>
      </c>
      <c r="G5" s="112" t="str">
        <f>_xlfn.XLOOKUP(A5,[1]分配表!J:J,[1]分配表!I:I)</f>
        <v>原开品</v>
      </c>
      <c r="H5" s="49">
        <v>3</v>
      </c>
      <c r="I5" s="49">
        <v>4</v>
      </c>
      <c r="J5" s="49">
        <v>2</v>
      </c>
      <c r="K5" s="49">
        <v>1</v>
      </c>
      <c r="L5" s="49">
        <v>0</v>
      </c>
      <c r="M5" s="49">
        <v>0</v>
      </c>
      <c r="N5" s="49">
        <v>1</v>
      </c>
      <c r="O5" s="49">
        <v>0</v>
      </c>
      <c r="P5" s="49">
        <v>1</v>
      </c>
      <c r="Q5" s="49">
        <v>1</v>
      </c>
      <c r="R5" s="49">
        <v>1</v>
      </c>
      <c r="S5" s="49">
        <v>1</v>
      </c>
      <c r="T5" s="113">
        <f t="shared" si="0"/>
        <v>0</v>
      </c>
      <c r="U5" s="114">
        <v>122</v>
      </c>
      <c r="V5" s="115">
        <v>160</v>
      </c>
      <c r="W5" s="115">
        <v>80</v>
      </c>
      <c r="X5" s="115">
        <v>40</v>
      </c>
      <c r="Y5" s="115">
        <v>0</v>
      </c>
      <c r="Z5" s="115">
        <v>0</v>
      </c>
      <c r="AA5" s="115">
        <v>40</v>
      </c>
      <c r="AB5" s="116">
        <v>0</v>
      </c>
      <c r="AC5" s="117">
        <v>40</v>
      </c>
      <c r="AD5" s="117">
        <v>40</v>
      </c>
      <c r="AE5" s="117">
        <v>40</v>
      </c>
      <c r="AF5" s="117">
        <v>40</v>
      </c>
      <c r="AG5" s="115">
        <f t="shared" si="1"/>
        <v>0</v>
      </c>
      <c r="AH5" s="118">
        <v>11</v>
      </c>
      <c r="AI5" s="49">
        <v>1</v>
      </c>
      <c r="AJ5" s="49">
        <v>4</v>
      </c>
      <c r="AK5" s="49">
        <v>10</v>
      </c>
      <c r="AL5" s="49">
        <v>1</v>
      </c>
      <c r="AM5" s="49">
        <v>12</v>
      </c>
      <c r="AN5" s="49">
        <v>12</v>
      </c>
      <c r="AO5" s="49">
        <v>9</v>
      </c>
      <c r="AP5" s="49">
        <v>7</v>
      </c>
      <c r="AQ5" s="49">
        <v>2</v>
      </c>
      <c r="AR5" s="49">
        <v>0</v>
      </c>
      <c r="AS5" s="49">
        <v>3</v>
      </c>
      <c r="AT5" s="119">
        <v>0.214285714285714</v>
      </c>
      <c r="AU5" s="55">
        <v>0.8571</v>
      </c>
      <c r="AV5" s="55">
        <v>0.333333333333333</v>
      </c>
      <c r="AW5" s="55">
        <v>0.0909090909090909</v>
      </c>
      <c r="AX5" s="55">
        <v>0</v>
      </c>
      <c r="AY5" s="55">
        <v>0</v>
      </c>
      <c r="AZ5" s="55">
        <v>0.0769</v>
      </c>
      <c r="BA5" s="55">
        <v>0</v>
      </c>
      <c r="BB5" s="55">
        <v>0.125</v>
      </c>
      <c r="BC5" s="55">
        <v>0.3333</v>
      </c>
      <c r="BD5" s="55">
        <v>1</v>
      </c>
      <c r="BE5" s="55">
        <v>0</v>
      </c>
      <c r="BF5" s="118">
        <v>1</v>
      </c>
      <c r="BG5" s="49">
        <v>1</v>
      </c>
      <c r="BH5" s="49">
        <v>0</v>
      </c>
      <c r="BI5" s="49">
        <v>8</v>
      </c>
      <c r="BJ5" s="49">
        <v>0</v>
      </c>
      <c r="BK5" s="49">
        <v>5</v>
      </c>
      <c r="BL5" s="49">
        <v>6</v>
      </c>
      <c r="BM5" s="49">
        <v>13</v>
      </c>
      <c r="BN5" s="49">
        <v>0</v>
      </c>
      <c r="BO5" s="49">
        <v>7</v>
      </c>
      <c r="BP5" s="49">
        <v>1</v>
      </c>
      <c r="BQ5" s="120">
        <v>8</v>
      </c>
      <c r="BR5" s="115" t="s">
        <v>49</v>
      </c>
      <c r="BS5" s="115" t="s">
        <v>49</v>
      </c>
      <c r="BT5" s="115" t="s">
        <v>49</v>
      </c>
      <c r="BU5" s="115" t="s">
        <v>49</v>
      </c>
      <c r="BV5" s="115" t="s">
        <v>49</v>
      </c>
      <c r="BW5" s="115" t="s">
        <v>49</v>
      </c>
      <c r="BX5" s="115" t="s">
        <v>49</v>
      </c>
      <c r="BY5" s="115" t="s">
        <v>49</v>
      </c>
      <c r="BZ5" s="115" t="s">
        <v>49</v>
      </c>
      <c r="CA5" s="115" t="s">
        <v>49</v>
      </c>
      <c r="CB5" s="115" t="s">
        <v>49</v>
      </c>
      <c r="CC5" s="115" t="s">
        <v>49</v>
      </c>
      <c r="CD5" s="114" t="s">
        <v>53</v>
      </c>
      <c r="CE5" s="115" t="s">
        <v>53</v>
      </c>
      <c r="CF5" s="115" t="s">
        <v>53</v>
      </c>
      <c r="CG5" s="115" t="s">
        <v>152</v>
      </c>
      <c r="CH5" s="115" t="s">
        <v>53</v>
      </c>
      <c r="CI5" s="115" t="s">
        <v>53</v>
      </c>
      <c r="CJ5" s="115" t="s">
        <v>53</v>
      </c>
      <c r="CK5" s="115" t="s">
        <v>152</v>
      </c>
      <c r="CL5" s="115" t="s">
        <v>53</v>
      </c>
      <c r="CM5" s="115" t="s">
        <v>152</v>
      </c>
      <c r="CN5" s="115" t="s">
        <v>53</v>
      </c>
      <c r="CO5" s="121" t="s">
        <v>152</v>
      </c>
      <c r="CP5" s="115" t="s">
        <v>53</v>
      </c>
      <c r="CQ5" s="115" t="s">
        <v>53</v>
      </c>
      <c r="CR5" s="115" t="s">
        <v>53</v>
      </c>
      <c r="CS5" s="115" t="s">
        <v>53</v>
      </c>
      <c r="CT5" s="115" t="s">
        <v>53</v>
      </c>
      <c r="CU5" s="115" t="s">
        <v>53</v>
      </c>
      <c r="CV5" s="115" t="s">
        <v>53</v>
      </c>
      <c r="CW5" s="115" t="s">
        <v>53</v>
      </c>
      <c r="CX5" s="115" t="s">
        <v>53</v>
      </c>
      <c r="CY5" s="115" t="s">
        <v>53</v>
      </c>
      <c r="CZ5" s="115" t="s">
        <v>53</v>
      </c>
      <c r="DA5" s="115" t="s">
        <v>53</v>
      </c>
      <c r="DB5" s="118" t="s">
        <v>307</v>
      </c>
      <c r="DC5" s="49" t="s">
        <v>313</v>
      </c>
      <c r="DD5" s="49" t="s">
        <v>53</v>
      </c>
      <c r="DE5" s="49" t="s">
        <v>313</v>
      </c>
      <c r="DF5" s="49" t="s">
        <v>313</v>
      </c>
      <c r="DG5" s="49" t="s">
        <v>313</v>
      </c>
      <c r="DH5" s="49" t="s">
        <v>313</v>
      </c>
      <c r="DI5" s="49" t="s">
        <v>313</v>
      </c>
      <c r="DJ5" s="49" t="s">
        <v>313</v>
      </c>
      <c r="DK5" s="49" t="s">
        <v>313</v>
      </c>
      <c r="DL5" s="49" t="s">
        <v>313</v>
      </c>
      <c r="DM5" s="49" t="s">
        <v>53</v>
      </c>
      <c r="DN5" s="49" t="s">
        <v>313</v>
      </c>
      <c r="DO5" s="118" t="s">
        <v>159</v>
      </c>
      <c r="DP5" s="49" t="s">
        <v>58</v>
      </c>
      <c r="DQ5" s="49" t="s">
        <v>58</v>
      </c>
      <c r="DR5" s="49" t="s">
        <v>314</v>
      </c>
      <c r="DS5" s="49" t="s">
        <v>58</v>
      </c>
      <c r="DT5" s="49" t="s">
        <v>58</v>
      </c>
      <c r="DU5" s="49" t="s">
        <v>58</v>
      </c>
      <c r="DV5" s="49" t="s">
        <v>58</v>
      </c>
      <c r="DW5" s="49" t="s">
        <v>315</v>
      </c>
      <c r="DX5" s="49" t="s">
        <v>58</v>
      </c>
      <c r="DY5" s="49" t="s">
        <v>316</v>
      </c>
      <c r="DZ5" s="49" t="s">
        <v>58</v>
      </c>
      <c r="EA5" s="118" t="s">
        <v>49</v>
      </c>
      <c r="EB5" s="49" t="s">
        <v>49</v>
      </c>
      <c r="EC5" s="49" t="s">
        <v>49</v>
      </c>
      <c r="ED5" s="49" t="s">
        <v>62</v>
      </c>
      <c r="EE5" s="49" t="s">
        <v>49</v>
      </c>
      <c r="EF5" s="49" t="s">
        <v>49</v>
      </c>
      <c r="EG5" s="120" t="s">
        <v>49</v>
      </c>
      <c r="EH5" s="117">
        <v>3.01</v>
      </c>
      <c r="EI5" s="117">
        <v>0</v>
      </c>
      <c r="EJ5" s="55">
        <v>0.08</v>
      </c>
      <c r="EK5" s="55">
        <v>0.07</v>
      </c>
      <c r="EL5" s="55">
        <v>0.05</v>
      </c>
      <c r="EM5" s="55">
        <v>0.07</v>
      </c>
      <c r="EN5" s="55">
        <v>0.07</v>
      </c>
      <c r="EO5" s="122">
        <v>0.05</v>
      </c>
      <c r="EP5" s="117">
        <v>0</v>
      </c>
      <c r="EQ5" s="117">
        <v>0</v>
      </c>
    </row>
    <row r="6" customFormat="1" ht="22.5" customHeight="1" spans="1:147">
      <c r="A6" s="108">
        <v>12165</v>
      </c>
      <c r="B6" s="109" t="s">
        <v>317</v>
      </c>
      <c r="C6" s="110">
        <v>46085</v>
      </c>
      <c r="D6" s="111">
        <f>IF(_xlfn.XLOOKUP(A6,[1]分配表!J:J,[1]分配表!M:M)=0,"未出单",_xlfn.XLOOKUP(A6,[1]分配表!J:J,[1]分配表!M:M))</f>
        <v>46093</v>
      </c>
      <c r="E6" s="112" t="str">
        <f>_xlfn.XLOOKUP(A6,[1]分配表!A:A,[1]分配表!C:C)</f>
        <v>朱培源</v>
      </c>
      <c r="F6" s="112" t="str">
        <f>IF(_xlfn.XLOOKUP($A6,[1]分配表!$A:$A,[1]分配表!D:D)=0,"未分类",_xlfn.XLOOKUP($A6,[1]分配表!$A:$A,[1]分配表!D:D))</f>
        <v>挡泥板</v>
      </c>
      <c r="G6" s="112" t="str">
        <f>_xlfn.XLOOKUP(A6,[1]分配表!J:J,[1]分配表!I:I)</f>
        <v>原开品</v>
      </c>
      <c r="H6" s="49">
        <v>0</v>
      </c>
      <c r="I6" s="49">
        <v>2</v>
      </c>
      <c r="J6" s="49">
        <v>0</v>
      </c>
      <c r="K6" s="49">
        <v>0</v>
      </c>
      <c r="L6" s="49">
        <v>0</v>
      </c>
      <c r="M6" s="49">
        <v>1</v>
      </c>
      <c r="N6" s="49">
        <v>2</v>
      </c>
      <c r="O6" s="49">
        <v>0</v>
      </c>
      <c r="P6" s="49">
        <v>1</v>
      </c>
      <c r="Q6" s="49">
        <v>1</v>
      </c>
      <c r="R6" s="49">
        <v>0</v>
      </c>
      <c r="S6" s="49">
        <v>1</v>
      </c>
      <c r="T6" s="113">
        <f t="shared" si="0"/>
        <v>1</v>
      </c>
      <c r="U6" s="114">
        <v>0</v>
      </c>
      <c r="V6" s="115">
        <v>338</v>
      </c>
      <c r="W6" s="115">
        <v>0</v>
      </c>
      <c r="X6" s="115">
        <v>0</v>
      </c>
      <c r="Y6" s="115">
        <v>0</v>
      </c>
      <c r="Z6" s="115">
        <v>169</v>
      </c>
      <c r="AA6" s="115">
        <v>338</v>
      </c>
      <c r="AB6" s="116">
        <v>0</v>
      </c>
      <c r="AC6" s="117">
        <v>169</v>
      </c>
      <c r="AD6" s="117">
        <v>169</v>
      </c>
      <c r="AE6" s="117">
        <v>0</v>
      </c>
      <c r="AF6" s="117">
        <v>172</v>
      </c>
      <c r="AG6" s="115">
        <f t="shared" si="1"/>
        <v>172</v>
      </c>
      <c r="AH6" s="118">
        <v>0</v>
      </c>
      <c r="AI6" s="49">
        <v>0</v>
      </c>
      <c r="AJ6" s="49">
        <v>1</v>
      </c>
      <c r="AK6" s="49">
        <v>0</v>
      </c>
      <c r="AL6" s="49">
        <v>3</v>
      </c>
      <c r="AM6" s="49">
        <v>6</v>
      </c>
      <c r="AN6" s="49">
        <v>3</v>
      </c>
      <c r="AO6" s="49">
        <v>3</v>
      </c>
      <c r="AP6" s="49">
        <v>1</v>
      </c>
      <c r="AQ6" s="49">
        <v>2</v>
      </c>
      <c r="AR6" s="49">
        <v>1</v>
      </c>
      <c r="AS6" s="49">
        <v>1</v>
      </c>
      <c r="AT6" s="119" t="s">
        <v>306</v>
      </c>
      <c r="AU6" s="55">
        <v>1</v>
      </c>
      <c r="AV6" s="55">
        <v>0</v>
      </c>
      <c r="AW6" s="55">
        <v>0</v>
      </c>
      <c r="AX6" s="55">
        <v>0</v>
      </c>
      <c r="AY6" s="55">
        <v>0.142857142857143</v>
      </c>
      <c r="AZ6" s="55">
        <v>0.4</v>
      </c>
      <c r="BA6" s="55">
        <v>0</v>
      </c>
      <c r="BB6" s="55">
        <v>0</v>
      </c>
      <c r="BC6" s="55">
        <v>0.3333</v>
      </c>
      <c r="BD6" s="55">
        <v>0.5</v>
      </c>
      <c r="BE6" s="55">
        <v>0.5</v>
      </c>
      <c r="BF6" s="118">
        <v>5</v>
      </c>
      <c r="BG6" s="49">
        <v>1</v>
      </c>
      <c r="BH6" s="49">
        <v>2</v>
      </c>
      <c r="BI6" s="49">
        <v>1</v>
      </c>
      <c r="BJ6" s="49">
        <v>7</v>
      </c>
      <c r="BK6" s="49">
        <v>6</v>
      </c>
      <c r="BL6" s="49">
        <v>5</v>
      </c>
      <c r="BM6" s="49">
        <v>12</v>
      </c>
      <c r="BN6" s="49">
        <v>19</v>
      </c>
      <c r="BO6" s="49">
        <v>6</v>
      </c>
      <c r="BP6" s="49">
        <v>13</v>
      </c>
      <c r="BQ6" s="120">
        <v>0</v>
      </c>
      <c r="BR6" s="115" t="s">
        <v>149</v>
      </c>
      <c r="BS6" s="115" t="s">
        <v>49</v>
      </c>
      <c r="BT6" s="115" t="s">
        <v>49</v>
      </c>
      <c r="BU6" s="115" t="s">
        <v>49</v>
      </c>
      <c r="BV6" s="115" t="s">
        <v>49</v>
      </c>
      <c r="BW6" s="115" t="s">
        <v>49</v>
      </c>
      <c r="BX6" s="115" t="s">
        <v>49</v>
      </c>
      <c r="BY6" s="115" t="s">
        <v>49</v>
      </c>
      <c r="BZ6" s="115" t="s">
        <v>49</v>
      </c>
      <c r="CA6" s="115" t="s">
        <v>49</v>
      </c>
      <c r="CB6" s="115" t="s">
        <v>49</v>
      </c>
      <c r="CC6" s="115" t="s">
        <v>49</v>
      </c>
      <c r="CD6" s="114" t="s">
        <v>53</v>
      </c>
      <c r="CE6" s="115" t="s">
        <v>53</v>
      </c>
      <c r="CF6" s="115" t="s">
        <v>53</v>
      </c>
      <c r="CG6" s="115" t="s">
        <v>53</v>
      </c>
      <c r="CH6" s="115" t="s">
        <v>152</v>
      </c>
      <c r="CI6" s="115" t="s">
        <v>53</v>
      </c>
      <c r="CJ6" s="115" t="s">
        <v>53</v>
      </c>
      <c r="CK6" s="115" t="s">
        <v>152</v>
      </c>
      <c r="CL6" s="115" t="s">
        <v>152</v>
      </c>
      <c r="CM6" s="115" t="s">
        <v>53</v>
      </c>
      <c r="CN6" s="115" t="s">
        <v>152</v>
      </c>
      <c r="CO6" s="121" t="s">
        <v>53</v>
      </c>
      <c r="CP6" s="115" t="s">
        <v>152</v>
      </c>
      <c r="CQ6" s="115" t="s">
        <v>53</v>
      </c>
      <c r="CR6" s="115" t="s">
        <v>53</v>
      </c>
      <c r="CS6" s="115" t="s">
        <v>53</v>
      </c>
      <c r="CT6" s="115" t="s">
        <v>53</v>
      </c>
      <c r="CU6" s="115" t="s">
        <v>53</v>
      </c>
      <c r="CV6" s="115" t="s">
        <v>53</v>
      </c>
      <c r="CW6" s="115" t="s">
        <v>53</v>
      </c>
      <c r="CX6" s="115" t="s">
        <v>53</v>
      </c>
      <c r="CY6" s="115" t="s">
        <v>53</v>
      </c>
      <c r="CZ6" s="115" t="s">
        <v>53</v>
      </c>
      <c r="DA6" s="115" t="s">
        <v>53</v>
      </c>
      <c r="DB6" s="118" t="s">
        <v>307</v>
      </c>
      <c r="DC6" s="49" t="s">
        <v>307</v>
      </c>
      <c r="DD6" s="49" t="s">
        <v>53</v>
      </c>
      <c r="DE6" s="49" t="s">
        <v>313</v>
      </c>
      <c r="DF6" s="49" t="s">
        <v>156</v>
      </c>
      <c r="DG6" s="49" t="s">
        <v>313</v>
      </c>
      <c r="DH6" s="49" t="s">
        <v>313</v>
      </c>
      <c r="DI6" s="49" t="s">
        <v>313</v>
      </c>
      <c r="DJ6" s="49" t="s">
        <v>313</v>
      </c>
      <c r="DK6" s="49" t="s">
        <v>313</v>
      </c>
      <c r="DL6" s="49" t="s">
        <v>313</v>
      </c>
      <c r="DM6" s="49" t="s">
        <v>313</v>
      </c>
      <c r="DN6" s="49" t="s">
        <v>313</v>
      </c>
      <c r="DO6" s="118" t="s">
        <v>310</v>
      </c>
      <c r="DP6" s="49" t="s">
        <v>314</v>
      </c>
      <c r="DQ6" s="49" t="s">
        <v>58</v>
      </c>
      <c r="DR6" s="49" t="s">
        <v>58</v>
      </c>
      <c r="DS6" s="49" t="s">
        <v>314</v>
      </c>
      <c r="DT6" s="49" t="s">
        <v>314</v>
      </c>
      <c r="DU6" s="49" t="s">
        <v>58</v>
      </c>
      <c r="DV6" s="49" t="s">
        <v>58</v>
      </c>
      <c r="DW6" s="49" t="s">
        <v>314</v>
      </c>
      <c r="DX6" s="49" t="s">
        <v>314</v>
      </c>
      <c r="DY6" s="49" t="s">
        <v>58</v>
      </c>
      <c r="DZ6" s="49" t="s">
        <v>310</v>
      </c>
      <c r="EA6" s="118" t="s">
        <v>62</v>
      </c>
      <c r="EB6" s="49" t="s">
        <v>62</v>
      </c>
      <c r="EC6" s="49" t="s">
        <v>62</v>
      </c>
      <c r="ED6" s="49" t="s">
        <v>62</v>
      </c>
      <c r="EE6" s="49" t="s">
        <v>62</v>
      </c>
      <c r="EF6" s="49" t="s">
        <v>62</v>
      </c>
      <c r="EG6" s="120" t="s">
        <v>62</v>
      </c>
      <c r="EH6" s="117">
        <v>0</v>
      </c>
      <c r="EI6" s="117">
        <v>0</v>
      </c>
      <c r="EJ6" s="55">
        <v>0.05</v>
      </c>
      <c r="EK6" s="55">
        <v>0.05</v>
      </c>
      <c r="EL6" s="55">
        <v>0.02</v>
      </c>
      <c r="EM6" s="55">
        <v>0.045</v>
      </c>
      <c r="EN6" s="55">
        <v>0.02</v>
      </c>
      <c r="EO6" s="122">
        <v>0.02</v>
      </c>
      <c r="EP6" s="117">
        <v>11.88</v>
      </c>
      <c r="EQ6" s="117">
        <v>365.26</v>
      </c>
    </row>
    <row r="7" customFormat="1" ht="22.5" customHeight="1" spans="1:147">
      <c r="A7" s="108">
        <v>12247</v>
      </c>
      <c r="B7" s="109" t="s">
        <v>318</v>
      </c>
      <c r="C7" s="110">
        <v>46085</v>
      </c>
      <c r="D7" s="111">
        <f>IF(_xlfn.XLOOKUP(A7,[1]分配表!J:J,[1]分配表!M:M)=0,"未出单",_xlfn.XLOOKUP(A7,[1]分配表!J:J,[1]分配表!M:M))</f>
        <v>46089</v>
      </c>
      <c r="E7" s="112" t="str">
        <f>_xlfn.XLOOKUP(A7,[1]分配表!A:A,[1]分配表!C:C)</f>
        <v>胡煜星</v>
      </c>
      <c r="F7" s="112" t="str">
        <f>IF(_xlfn.XLOOKUP($A7,[1]分配表!$A:$A,[1]分配表!D:D)=0,"未分类",_xlfn.XLOOKUP($A7,[1]分配表!$A:$A,[1]分配表!D:D))</f>
        <v>其他</v>
      </c>
      <c r="G7" s="112" t="str">
        <f>_xlfn.XLOOKUP(A7,[1]分配表!J:J,[1]分配表!I:I)</f>
        <v>原开品</v>
      </c>
      <c r="H7" s="49">
        <v>5</v>
      </c>
      <c r="I7" s="49">
        <v>8</v>
      </c>
      <c r="J7" s="49">
        <v>3</v>
      </c>
      <c r="K7" s="49">
        <v>6</v>
      </c>
      <c r="L7" s="49">
        <v>6</v>
      </c>
      <c r="M7" s="49">
        <v>2</v>
      </c>
      <c r="N7" s="49">
        <v>7</v>
      </c>
      <c r="O7" s="49">
        <v>1</v>
      </c>
      <c r="P7" s="49">
        <v>5</v>
      </c>
      <c r="Q7" s="49">
        <v>4</v>
      </c>
      <c r="R7" s="49">
        <v>4</v>
      </c>
      <c r="S7" s="49">
        <v>5</v>
      </c>
      <c r="T7" s="113">
        <f t="shared" si="0"/>
        <v>1</v>
      </c>
      <c r="U7" s="114">
        <v>475</v>
      </c>
      <c r="V7" s="115">
        <v>632</v>
      </c>
      <c r="W7" s="115">
        <v>237</v>
      </c>
      <c r="X7" s="115">
        <v>481</v>
      </c>
      <c r="Y7" s="115">
        <v>534</v>
      </c>
      <c r="Z7" s="115">
        <v>178</v>
      </c>
      <c r="AA7" s="115">
        <v>647.28</v>
      </c>
      <c r="AB7" s="116">
        <v>111.25</v>
      </c>
      <c r="AC7" s="117">
        <v>490</v>
      </c>
      <c r="AD7" s="117">
        <v>392</v>
      </c>
      <c r="AE7" s="117">
        <v>410.25</v>
      </c>
      <c r="AF7" s="117">
        <v>503.25</v>
      </c>
      <c r="AG7" s="115">
        <f t="shared" si="1"/>
        <v>93</v>
      </c>
      <c r="AH7" s="118">
        <v>0</v>
      </c>
      <c r="AI7" s="49">
        <v>0</v>
      </c>
      <c r="AJ7" s="49">
        <v>0</v>
      </c>
      <c r="AK7" s="49">
        <v>0</v>
      </c>
      <c r="AL7" s="49">
        <v>0</v>
      </c>
      <c r="AM7" s="49">
        <v>0</v>
      </c>
      <c r="AN7" s="49">
        <v>0</v>
      </c>
      <c r="AO7" s="49">
        <v>0</v>
      </c>
      <c r="AP7" s="49">
        <v>0</v>
      </c>
      <c r="AQ7" s="49">
        <v>0</v>
      </c>
      <c r="AR7" s="49">
        <v>0</v>
      </c>
      <c r="AS7" s="49">
        <v>0</v>
      </c>
      <c r="AT7" s="119">
        <v>1</v>
      </c>
      <c r="AU7" s="55">
        <v>1</v>
      </c>
      <c r="AV7" s="55">
        <v>1</v>
      </c>
      <c r="AW7" s="55">
        <v>1</v>
      </c>
      <c r="AX7" s="55">
        <v>1</v>
      </c>
      <c r="AY7" s="55">
        <v>1</v>
      </c>
      <c r="AZ7" s="55">
        <v>1</v>
      </c>
      <c r="BA7" s="55">
        <v>1</v>
      </c>
      <c r="BB7" s="55">
        <v>1</v>
      </c>
      <c r="BC7" s="55">
        <v>1</v>
      </c>
      <c r="BD7" s="55">
        <v>1</v>
      </c>
      <c r="BE7" s="55">
        <v>1</v>
      </c>
      <c r="BF7" s="118">
        <v>1</v>
      </c>
      <c r="BG7" s="49">
        <v>1</v>
      </c>
      <c r="BH7" s="49">
        <v>1</v>
      </c>
      <c r="BI7" s="49">
        <v>3</v>
      </c>
      <c r="BJ7" s="49">
        <v>9</v>
      </c>
      <c r="BK7" s="49">
        <v>6</v>
      </c>
      <c r="BL7" s="49">
        <v>12</v>
      </c>
      <c r="BM7" s="49">
        <v>4</v>
      </c>
      <c r="BN7" s="49">
        <v>11</v>
      </c>
      <c r="BO7" s="49">
        <v>18</v>
      </c>
      <c r="BP7" s="49">
        <v>25</v>
      </c>
      <c r="BQ7" s="120">
        <v>32</v>
      </c>
      <c r="BR7" s="115" t="s">
        <v>49</v>
      </c>
      <c r="BS7" s="115" t="s">
        <v>49</v>
      </c>
      <c r="BT7" s="115" t="s">
        <v>49</v>
      </c>
      <c r="BU7" s="115" t="s">
        <v>49</v>
      </c>
      <c r="BV7" s="115" t="s">
        <v>49</v>
      </c>
      <c r="BW7" s="115" t="s">
        <v>49</v>
      </c>
      <c r="BX7" s="115" t="s">
        <v>49</v>
      </c>
      <c r="BY7" s="115" t="s">
        <v>49</v>
      </c>
      <c r="BZ7" s="115" t="s">
        <v>49</v>
      </c>
      <c r="CA7" s="115" t="s">
        <v>49</v>
      </c>
      <c r="CB7" s="115" t="s">
        <v>49</v>
      </c>
      <c r="CC7" s="115" t="s">
        <v>49</v>
      </c>
      <c r="CD7" s="114" t="s">
        <v>53</v>
      </c>
      <c r="CE7" s="115" t="s">
        <v>53</v>
      </c>
      <c r="CF7" s="115" t="s">
        <v>53</v>
      </c>
      <c r="CG7" s="115" t="s">
        <v>53</v>
      </c>
      <c r="CH7" s="115" t="s">
        <v>53</v>
      </c>
      <c r="CI7" s="115" t="s">
        <v>53</v>
      </c>
      <c r="CJ7" s="115" t="s">
        <v>53</v>
      </c>
      <c r="CK7" s="115" t="s">
        <v>53</v>
      </c>
      <c r="CL7" s="115" t="s">
        <v>53</v>
      </c>
      <c r="CM7" s="115" t="s">
        <v>53</v>
      </c>
      <c r="CN7" s="115" t="s">
        <v>53</v>
      </c>
      <c r="CO7" s="121" t="s">
        <v>53</v>
      </c>
      <c r="CP7" s="115" t="s">
        <v>53</v>
      </c>
      <c r="CQ7" s="115" t="s">
        <v>53</v>
      </c>
      <c r="CR7" s="115" t="s">
        <v>53</v>
      </c>
      <c r="CS7" s="115" t="s">
        <v>53</v>
      </c>
      <c r="CT7" s="115" t="s">
        <v>53</v>
      </c>
      <c r="CU7" s="115" t="s">
        <v>53</v>
      </c>
      <c r="CV7" s="115" t="s">
        <v>53</v>
      </c>
      <c r="CW7" s="115" t="s">
        <v>53</v>
      </c>
      <c r="CX7" s="115" t="s">
        <v>53</v>
      </c>
      <c r="CY7" s="115" t="s">
        <v>53</v>
      </c>
      <c r="CZ7" s="115" t="s">
        <v>53</v>
      </c>
      <c r="DA7" s="115" t="s">
        <v>53</v>
      </c>
      <c r="DB7" s="118" t="s">
        <v>307</v>
      </c>
      <c r="DC7" s="49" t="s">
        <v>53</v>
      </c>
      <c r="DD7" s="49" t="s">
        <v>53</v>
      </c>
      <c r="DE7" s="49" t="s">
        <v>53</v>
      </c>
      <c r="DF7" s="49" t="s">
        <v>53</v>
      </c>
      <c r="DG7" s="49" t="s">
        <v>53</v>
      </c>
      <c r="DH7" s="49" t="s">
        <v>53</v>
      </c>
      <c r="DI7" s="49" t="s">
        <v>53</v>
      </c>
      <c r="DJ7" s="49" t="s">
        <v>53</v>
      </c>
      <c r="DK7" s="49" t="s">
        <v>53</v>
      </c>
      <c r="DL7" s="49" t="s">
        <v>53</v>
      </c>
      <c r="DM7" s="49" t="s">
        <v>53</v>
      </c>
      <c r="DN7" s="49" t="s">
        <v>53</v>
      </c>
      <c r="DO7" s="118" t="s">
        <v>159</v>
      </c>
      <c r="DP7" s="49" t="s">
        <v>58</v>
      </c>
      <c r="DQ7" s="49" t="s">
        <v>58</v>
      </c>
      <c r="DR7" s="49" t="s">
        <v>58</v>
      </c>
      <c r="DS7" s="49" t="s">
        <v>58</v>
      </c>
      <c r="DT7" s="49" t="s">
        <v>58</v>
      </c>
      <c r="DU7" s="49" t="s">
        <v>58</v>
      </c>
      <c r="DV7" s="49" t="s">
        <v>58</v>
      </c>
      <c r="DW7" s="49" t="s">
        <v>58</v>
      </c>
      <c r="DX7" s="49" t="s">
        <v>58</v>
      </c>
      <c r="DY7" s="49" t="s">
        <v>58</v>
      </c>
      <c r="DZ7" s="49" t="s">
        <v>58</v>
      </c>
      <c r="EA7" s="118" t="s">
        <v>49</v>
      </c>
      <c r="EB7" s="49" t="s">
        <v>49</v>
      </c>
      <c r="EC7" s="49" t="s">
        <v>49</v>
      </c>
      <c r="ED7" s="49" t="s">
        <v>62</v>
      </c>
      <c r="EE7" s="49" t="s">
        <v>62</v>
      </c>
      <c r="EF7" s="49" t="s">
        <v>62</v>
      </c>
      <c r="EG7" s="120" t="s">
        <v>49</v>
      </c>
      <c r="EH7" s="117">
        <v>0</v>
      </c>
      <c r="EI7" s="117">
        <v>0</v>
      </c>
      <c r="EJ7" s="55">
        <v>0.04</v>
      </c>
      <c r="EK7" s="55">
        <v>0.03</v>
      </c>
      <c r="EL7" s="55">
        <v>0</v>
      </c>
      <c r="EM7" s="55">
        <v>0.03</v>
      </c>
      <c r="EN7" s="55">
        <v>0</v>
      </c>
      <c r="EO7" s="122">
        <v>0</v>
      </c>
      <c r="EP7" s="117">
        <v>9.53</v>
      </c>
      <c r="EQ7" s="117">
        <v>317.67</v>
      </c>
    </row>
    <row r="8" customFormat="1" ht="22.5" customHeight="1" spans="1:147">
      <c r="A8" s="123">
        <v>11102</v>
      </c>
      <c r="B8" s="124" t="s">
        <v>319</v>
      </c>
      <c r="C8" s="125">
        <v>46085</v>
      </c>
      <c r="D8" s="111">
        <f>IF(_xlfn.XLOOKUP(A8,[1]分配表!J:J,[1]分配表!M:M)=0,"未出单",_xlfn.XLOOKUP(A8,[1]分配表!J:J,[1]分配表!M:M))</f>
        <v>46100</v>
      </c>
      <c r="E8" s="112" t="str">
        <f>_xlfn.XLOOKUP(A8,[1]分配表!A:A,[1]分配表!C:C)</f>
        <v>张潇</v>
      </c>
      <c r="F8" s="112" t="str">
        <f>IF(_xlfn.XLOOKUP($A8,[1]分配表!$A:$A,[1]分配表!D:D)=0,"未分类",_xlfn.XLOOKUP($A8,[1]分配表!$A:$A,[1]分配表!D:D))</f>
        <v>车门系统</v>
      </c>
      <c r="G8" s="112" t="str">
        <f>_xlfn.XLOOKUP(A8,[1]分配表!J:J,[1]分配表!I:I)</f>
        <v>原开品</v>
      </c>
      <c r="H8" s="49">
        <v>0</v>
      </c>
      <c r="I8" s="49">
        <v>0</v>
      </c>
      <c r="J8" s="49">
        <v>2</v>
      </c>
      <c r="K8" s="49">
        <v>1</v>
      </c>
      <c r="L8" s="49">
        <v>3</v>
      </c>
      <c r="M8" s="49">
        <v>0</v>
      </c>
      <c r="N8" s="49">
        <v>3</v>
      </c>
      <c r="O8" s="49">
        <v>4</v>
      </c>
      <c r="P8" s="49">
        <v>5</v>
      </c>
      <c r="Q8" s="49">
        <v>5</v>
      </c>
      <c r="R8" s="49">
        <v>2</v>
      </c>
      <c r="S8" s="49">
        <v>3</v>
      </c>
      <c r="T8" s="113">
        <f t="shared" si="0"/>
        <v>1</v>
      </c>
      <c r="U8" s="114">
        <v>0</v>
      </c>
      <c r="V8" s="115">
        <v>0</v>
      </c>
      <c r="W8" s="115">
        <v>64</v>
      </c>
      <c r="X8" s="115">
        <v>32</v>
      </c>
      <c r="Y8" s="115">
        <v>96</v>
      </c>
      <c r="Z8" s="115">
        <v>0</v>
      </c>
      <c r="AA8" s="115">
        <v>92.19</v>
      </c>
      <c r="AB8" s="116">
        <v>112.76</v>
      </c>
      <c r="AC8" s="117">
        <v>140.95</v>
      </c>
      <c r="AD8" s="117">
        <v>140.95</v>
      </c>
      <c r="AE8" s="117">
        <v>56.38</v>
      </c>
      <c r="AF8" s="117">
        <v>83.53</v>
      </c>
      <c r="AG8" s="115">
        <f t="shared" si="1"/>
        <v>27.15</v>
      </c>
      <c r="AH8" s="118">
        <v>2</v>
      </c>
      <c r="AI8" s="49">
        <v>5</v>
      </c>
      <c r="AJ8" s="49">
        <v>3</v>
      </c>
      <c r="AK8" s="49">
        <v>2</v>
      </c>
      <c r="AL8" s="49">
        <v>0</v>
      </c>
      <c r="AM8" s="49">
        <v>6</v>
      </c>
      <c r="AN8" s="49">
        <v>5</v>
      </c>
      <c r="AO8" s="49">
        <v>2</v>
      </c>
      <c r="AP8" s="49">
        <v>5</v>
      </c>
      <c r="AQ8" s="49">
        <v>6</v>
      </c>
      <c r="AR8" s="49">
        <v>5</v>
      </c>
      <c r="AS8" s="49">
        <v>8</v>
      </c>
      <c r="AT8" s="119">
        <v>0</v>
      </c>
      <c r="AU8" s="55">
        <v>0</v>
      </c>
      <c r="AV8" s="55">
        <v>0.4</v>
      </c>
      <c r="AW8" s="55">
        <v>0.333333333333333</v>
      </c>
      <c r="AX8" s="55">
        <v>1</v>
      </c>
      <c r="AY8" s="55">
        <v>0</v>
      </c>
      <c r="AZ8" s="55">
        <v>0.2857</v>
      </c>
      <c r="BA8" s="55">
        <v>0.5</v>
      </c>
      <c r="BB8" s="55">
        <v>0.5833</v>
      </c>
      <c r="BC8" s="55">
        <v>0.3333</v>
      </c>
      <c r="BD8" s="55">
        <v>0.5</v>
      </c>
      <c r="BE8" s="55">
        <v>0.2</v>
      </c>
      <c r="BF8" s="118">
        <v>7</v>
      </c>
      <c r="BG8" s="49">
        <v>2</v>
      </c>
      <c r="BH8" s="49">
        <v>2</v>
      </c>
      <c r="BI8" s="49">
        <v>3</v>
      </c>
      <c r="BJ8" s="49">
        <v>9</v>
      </c>
      <c r="BK8" s="49">
        <v>3</v>
      </c>
      <c r="BL8" s="49">
        <v>5</v>
      </c>
      <c r="BM8" s="49">
        <v>6</v>
      </c>
      <c r="BN8" s="49">
        <v>13</v>
      </c>
      <c r="BO8" s="49">
        <v>4</v>
      </c>
      <c r="BP8" s="49">
        <v>0</v>
      </c>
      <c r="BQ8" s="120">
        <v>7</v>
      </c>
      <c r="BR8" s="115" t="s">
        <v>149</v>
      </c>
      <c r="BS8" s="115" t="s">
        <v>149</v>
      </c>
      <c r="BT8" s="115" t="s">
        <v>62</v>
      </c>
      <c r="BU8" s="115" t="s">
        <v>62</v>
      </c>
      <c r="BV8" s="115" t="s">
        <v>62</v>
      </c>
      <c r="BW8" s="115" t="s">
        <v>62</v>
      </c>
      <c r="BX8" s="115" t="s">
        <v>62</v>
      </c>
      <c r="BY8" s="115" t="s">
        <v>62</v>
      </c>
      <c r="BZ8" s="115" t="s">
        <v>62</v>
      </c>
      <c r="CA8" s="115" t="s">
        <v>62</v>
      </c>
      <c r="CB8" s="115" t="s">
        <v>62</v>
      </c>
      <c r="CC8" s="115" t="s">
        <v>62</v>
      </c>
      <c r="CD8" s="114" t="s">
        <v>53</v>
      </c>
      <c r="CE8" s="115" t="s">
        <v>53</v>
      </c>
      <c r="CF8" s="115" t="s">
        <v>53</v>
      </c>
      <c r="CG8" s="115" t="s">
        <v>53</v>
      </c>
      <c r="CH8" s="115" t="s">
        <v>53</v>
      </c>
      <c r="CI8" s="115" t="s">
        <v>53</v>
      </c>
      <c r="CJ8" s="115" t="s">
        <v>53</v>
      </c>
      <c r="CK8" s="115" t="s">
        <v>53</v>
      </c>
      <c r="CL8" s="115" t="s">
        <v>152</v>
      </c>
      <c r="CM8" s="115" t="s">
        <v>53</v>
      </c>
      <c r="CN8" s="115" t="s">
        <v>53</v>
      </c>
      <c r="CO8" s="121" t="s">
        <v>152</v>
      </c>
      <c r="CP8" s="115" t="s">
        <v>152</v>
      </c>
      <c r="CQ8" s="115" t="s">
        <v>53</v>
      </c>
      <c r="CR8" s="115" t="s">
        <v>53</v>
      </c>
      <c r="CS8" s="115" t="s">
        <v>53</v>
      </c>
      <c r="CT8" s="115" t="s">
        <v>53</v>
      </c>
      <c r="CU8" s="115" t="s">
        <v>53</v>
      </c>
      <c r="CV8" s="115" t="s">
        <v>53</v>
      </c>
      <c r="CW8" s="115" t="s">
        <v>53</v>
      </c>
      <c r="CX8" s="115" t="s">
        <v>53</v>
      </c>
      <c r="CY8" s="115" t="s">
        <v>53</v>
      </c>
      <c r="CZ8" s="115" t="s">
        <v>53</v>
      </c>
      <c r="DA8" s="115" t="s">
        <v>53</v>
      </c>
      <c r="DB8" s="118" t="s">
        <v>307</v>
      </c>
      <c r="DC8" s="49" t="s">
        <v>320</v>
      </c>
      <c r="DD8" s="49" t="s">
        <v>320</v>
      </c>
      <c r="DE8" s="49" t="s">
        <v>313</v>
      </c>
      <c r="DF8" s="49" t="s">
        <v>313</v>
      </c>
      <c r="DG8" s="49" t="s">
        <v>53</v>
      </c>
      <c r="DH8" s="49" t="s">
        <v>313</v>
      </c>
      <c r="DI8" s="49" t="s">
        <v>313</v>
      </c>
      <c r="DJ8" s="49" t="s">
        <v>313</v>
      </c>
      <c r="DK8" s="49" t="s">
        <v>313</v>
      </c>
      <c r="DL8" s="49" t="s">
        <v>313</v>
      </c>
      <c r="DM8" s="49" t="s">
        <v>313</v>
      </c>
      <c r="DN8" s="49" t="s">
        <v>313</v>
      </c>
      <c r="DO8" s="118" t="s">
        <v>315</v>
      </c>
      <c r="DP8" s="49" t="s">
        <v>159</v>
      </c>
      <c r="DQ8" s="49" t="s">
        <v>314</v>
      </c>
      <c r="DR8" s="49" t="s">
        <v>58</v>
      </c>
      <c r="DS8" s="49" t="s">
        <v>58</v>
      </c>
      <c r="DT8" s="49" t="s">
        <v>58</v>
      </c>
      <c r="DU8" s="49" t="s">
        <v>58</v>
      </c>
      <c r="DV8" s="49" t="s">
        <v>58</v>
      </c>
      <c r="DW8" s="49" t="s">
        <v>58</v>
      </c>
      <c r="DX8" s="49" t="s">
        <v>310</v>
      </c>
      <c r="DY8" s="49" t="s">
        <v>58</v>
      </c>
      <c r="DZ8" s="49" t="s">
        <v>58</v>
      </c>
      <c r="EA8" s="118" t="s">
        <v>49</v>
      </c>
      <c r="EB8" s="49" t="s">
        <v>49</v>
      </c>
      <c r="EC8" s="49" t="s">
        <v>49</v>
      </c>
      <c r="ED8" s="49" t="s">
        <v>49</v>
      </c>
      <c r="EE8" s="49" t="s">
        <v>49</v>
      </c>
      <c r="EF8" s="49" t="s">
        <v>49</v>
      </c>
      <c r="EG8" s="120" t="s">
        <v>49</v>
      </c>
      <c r="EH8" s="117">
        <v>5.55</v>
      </c>
      <c r="EI8" s="117">
        <v>30.73</v>
      </c>
      <c r="EJ8" s="55">
        <v>0.03</v>
      </c>
      <c r="EK8" s="55">
        <v>0.03</v>
      </c>
      <c r="EL8" s="55">
        <v>0</v>
      </c>
      <c r="EM8" s="55">
        <v>0.03</v>
      </c>
      <c r="EN8" s="55">
        <v>0</v>
      </c>
      <c r="EO8" s="122">
        <v>0</v>
      </c>
      <c r="EP8" s="117">
        <v>0</v>
      </c>
      <c r="EQ8" s="117">
        <v>0</v>
      </c>
    </row>
    <row r="9" customFormat="1" ht="22.5" customHeight="1" spans="1:147">
      <c r="A9" s="123">
        <v>12071</v>
      </c>
      <c r="B9" s="124" t="s">
        <v>321</v>
      </c>
      <c r="C9" s="125">
        <v>46085</v>
      </c>
      <c r="D9" s="111">
        <f>IF(_xlfn.XLOOKUP(A9,[1]分配表!J:J,[1]分配表!M:M)=0,"未出单",_xlfn.XLOOKUP(A9,[1]分配表!J:J,[1]分配表!M:M))</f>
        <v>46092</v>
      </c>
      <c r="E9" s="112" t="str">
        <f>_xlfn.XLOOKUP(A9,[1]分配表!A:A,[1]分配表!C:C)</f>
        <v>胡煜星</v>
      </c>
      <c r="F9" s="112" t="str">
        <f>IF(_xlfn.XLOOKUP($A9,[1]分配表!$A:$A,[1]分配表!D:D)=0,"未分类",_xlfn.XLOOKUP($A9,[1]分配表!$A:$A,[1]分配表!D:D))</f>
        <v>车身外扩件</v>
      </c>
      <c r="G9" s="112" t="str">
        <f>_xlfn.XLOOKUP(A9,[1]分配表!J:J,[1]分配表!I:I)</f>
        <v>拓展品</v>
      </c>
      <c r="H9" s="49">
        <v>1</v>
      </c>
      <c r="I9" s="49">
        <v>0</v>
      </c>
      <c r="J9" s="49">
        <v>0</v>
      </c>
      <c r="K9" s="49">
        <v>1</v>
      </c>
      <c r="L9" s="49">
        <v>0</v>
      </c>
      <c r="M9" s="49">
        <v>3</v>
      </c>
      <c r="N9" s="49">
        <v>1</v>
      </c>
      <c r="O9" s="49">
        <v>0</v>
      </c>
      <c r="P9" s="49">
        <v>0</v>
      </c>
      <c r="Q9" s="49">
        <v>1</v>
      </c>
      <c r="R9" s="49">
        <v>1</v>
      </c>
      <c r="S9" s="49">
        <v>2</v>
      </c>
      <c r="T9" s="113">
        <f t="shared" si="0"/>
        <v>1</v>
      </c>
      <c r="U9" s="114">
        <v>299</v>
      </c>
      <c r="V9" s="115">
        <v>0</v>
      </c>
      <c r="W9" s="115">
        <v>0</v>
      </c>
      <c r="X9" s="115">
        <v>299</v>
      </c>
      <c r="Y9" s="115">
        <v>0</v>
      </c>
      <c r="Z9" s="115">
        <v>897</v>
      </c>
      <c r="AA9" s="115">
        <v>299</v>
      </c>
      <c r="AB9" s="116">
        <v>0</v>
      </c>
      <c r="AC9" s="117">
        <v>0</v>
      </c>
      <c r="AD9" s="117">
        <v>284.05</v>
      </c>
      <c r="AE9" s="117">
        <v>299</v>
      </c>
      <c r="AF9" s="117">
        <v>598</v>
      </c>
      <c r="AG9" s="115">
        <f t="shared" si="1"/>
        <v>299</v>
      </c>
      <c r="AH9" s="118">
        <v>1</v>
      </c>
      <c r="AI9" s="49">
        <v>0</v>
      </c>
      <c r="AJ9" s="49">
        <v>0</v>
      </c>
      <c r="AK9" s="49">
        <v>0</v>
      </c>
      <c r="AL9" s="49">
        <v>0</v>
      </c>
      <c r="AM9" s="49">
        <v>0</v>
      </c>
      <c r="AN9" s="49">
        <v>0</v>
      </c>
      <c r="AO9" s="49">
        <v>1</v>
      </c>
      <c r="AP9" s="49">
        <v>0</v>
      </c>
      <c r="AQ9" s="49">
        <v>1</v>
      </c>
      <c r="AR9" s="49">
        <v>0</v>
      </c>
      <c r="AS9" s="49">
        <v>0</v>
      </c>
      <c r="AT9" s="119">
        <v>0.5</v>
      </c>
      <c r="AU9" s="55">
        <v>1</v>
      </c>
      <c r="AV9" s="55" t="s">
        <v>306</v>
      </c>
      <c r="AW9" s="55">
        <v>1</v>
      </c>
      <c r="AX9" s="55">
        <v>0</v>
      </c>
      <c r="AY9" s="55">
        <v>1</v>
      </c>
      <c r="AZ9" s="55" t="s">
        <v>306</v>
      </c>
      <c r="BA9" s="55">
        <v>0.5</v>
      </c>
      <c r="BB9" s="55" t="s">
        <v>306</v>
      </c>
      <c r="BC9" s="55">
        <v>0.5</v>
      </c>
      <c r="BD9" s="55">
        <v>1</v>
      </c>
      <c r="BE9" s="55" t="s">
        <v>306</v>
      </c>
      <c r="BF9" s="118">
        <v>1</v>
      </c>
      <c r="BG9" s="49">
        <v>8</v>
      </c>
      <c r="BH9" s="49">
        <v>1</v>
      </c>
      <c r="BI9" s="49">
        <v>9</v>
      </c>
      <c r="BJ9" s="49">
        <v>0</v>
      </c>
      <c r="BK9" s="49">
        <v>8</v>
      </c>
      <c r="BL9" s="49">
        <v>14</v>
      </c>
      <c r="BM9" s="49">
        <v>21</v>
      </c>
      <c r="BN9" s="49">
        <v>0</v>
      </c>
      <c r="BO9" s="49">
        <v>7</v>
      </c>
      <c r="BP9" s="49">
        <v>14</v>
      </c>
      <c r="BQ9" s="120">
        <v>21</v>
      </c>
      <c r="BR9" s="115" t="s">
        <v>49</v>
      </c>
      <c r="BS9" s="115" t="s">
        <v>49</v>
      </c>
      <c r="BT9" s="115" t="s">
        <v>49</v>
      </c>
      <c r="BU9" s="115" t="s">
        <v>49</v>
      </c>
      <c r="BV9" s="115" t="s">
        <v>49</v>
      </c>
      <c r="BW9" s="115" t="s">
        <v>49</v>
      </c>
      <c r="BX9" s="115" t="s">
        <v>49</v>
      </c>
      <c r="BY9" s="115" t="s">
        <v>49</v>
      </c>
      <c r="BZ9" s="115" t="s">
        <v>49</v>
      </c>
      <c r="CA9" s="115" t="s">
        <v>49</v>
      </c>
      <c r="CB9" s="115" t="s">
        <v>49</v>
      </c>
      <c r="CC9" s="115" t="s">
        <v>49</v>
      </c>
      <c r="CD9" s="114" t="s">
        <v>53</v>
      </c>
      <c r="CE9" s="115" t="s">
        <v>152</v>
      </c>
      <c r="CF9" s="115" t="s">
        <v>53</v>
      </c>
      <c r="CG9" s="115" t="s">
        <v>152</v>
      </c>
      <c r="CH9" s="115" t="s">
        <v>53</v>
      </c>
      <c r="CI9" s="115" t="s">
        <v>53</v>
      </c>
      <c r="CJ9" s="115" t="s">
        <v>53</v>
      </c>
      <c r="CK9" s="115" t="s">
        <v>152</v>
      </c>
      <c r="CL9" s="115" t="s">
        <v>53</v>
      </c>
      <c r="CM9" s="115" t="s">
        <v>152</v>
      </c>
      <c r="CN9" s="115" t="s">
        <v>53</v>
      </c>
      <c r="CO9" s="121" t="s">
        <v>53</v>
      </c>
      <c r="CP9" s="115" t="s">
        <v>53</v>
      </c>
      <c r="CQ9" s="115" t="s">
        <v>53</v>
      </c>
      <c r="CR9" s="115" t="s">
        <v>53</v>
      </c>
      <c r="CS9" s="115" t="s">
        <v>53</v>
      </c>
      <c r="CT9" s="115" t="s">
        <v>53</v>
      </c>
      <c r="CU9" s="115" t="s">
        <v>53</v>
      </c>
      <c r="CV9" s="115" t="s">
        <v>53</v>
      </c>
      <c r="CW9" s="115" t="s">
        <v>53</v>
      </c>
      <c r="CX9" s="115" t="s">
        <v>53</v>
      </c>
      <c r="CY9" s="115" t="s">
        <v>53</v>
      </c>
      <c r="CZ9" s="115" t="s">
        <v>53</v>
      </c>
      <c r="DA9" s="115" t="s">
        <v>53</v>
      </c>
      <c r="DB9" s="118" t="s">
        <v>307</v>
      </c>
      <c r="DC9" s="49" t="s">
        <v>313</v>
      </c>
      <c r="DD9" s="49" t="s">
        <v>53</v>
      </c>
      <c r="DE9" s="49" t="s">
        <v>307</v>
      </c>
      <c r="DF9" s="49" t="s">
        <v>53</v>
      </c>
      <c r="DG9" s="49" t="s">
        <v>307</v>
      </c>
      <c r="DH9" s="49" t="s">
        <v>53</v>
      </c>
      <c r="DI9" s="49" t="s">
        <v>307</v>
      </c>
      <c r="DJ9" s="49" t="s">
        <v>313</v>
      </c>
      <c r="DK9" s="49" t="s">
        <v>307</v>
      </c>
      <c r="DL9" s="49" t="s">
        <v>313</v>
      </c>
      <c r="DM9" s="49" t="s">
        <v>53</v>
      </c>
      <c r="DN9" s="49" t="s">
        <v>307</v>
      </c>
      <c r="DO9" s="118" t="s">
        <v>322</v>
      </c>
      <c r="DP9" s="49" t="s">
        <v>58</v>
      </c>
      <c r="DQ9" s="49" t="s">
        <v>310</v>
      </c>
      <c r="DR9" s="49" t="s">
        <v>310</v>
      </c>
      <c r="DS9" s="49" t="s">
        <v>58</v>
      </c>
      <c r="DT9" s="49" t="s">
        <v>58</v>
      </c>
      <c r="DU9" s="49" t="s">
        <v>58</v>
      </c>
      <c r="DV9" s="49" t="s">
        <v>58</v>
      </c>
      <c r="DW9" s="49" t="s">
        <v>314</v>
      </c>
      <c r="DX9" s="49" t="s">
        <v>58</v>
      </c>
      <c r="DY9" s="49" t="s">
        <v>316</v>
      </c>
      <c r="DZ9" s="49" t="s">
        <v>58</v>
      </c>
      <c r="EA9" s="118" t="s">
        <v>62</v>
      </c>
      <c r="EB9" s="49" t="s">
        <v>62</v>
      </c>
      <c r="EC9" s="49" t="s">
        <v>62</v>
      </c>
      <c r="ED9" s="49" t="s">
        <v>62</v>
      </c>
      <c r="EE9" s="49" t="s">
        <v>62</v>
      </c>
      <c r="EF9" s="49" t="s">
        <v>62</v>
      </c>
      <c r="EG9" s="120" t="s">
        <v>62</v>
      </c>
      <c r="EH9" s="117">
        <v>0</v>
      </c>
      <c r="EI9" s="117">
        <v>0</v>
      </c>
      <c r="EJ9" s="55">
        <v>0</v>
      </c>
      <c r="EK9" s="55">
        <v>0</v>
      </c>
      <c r="EL9" s="55">
        <v>0</v>
      </c>
      <c r="EM9" s="55">
        <v>0.02</v>
      </c>
      <c r="EN9" s="55">
        <v>0</v>
      </c>
      <c r="EO9" s="122">
        <v>0</v>
      </c>
      <c r="EP9" s="117">
        <v>0</v>
      </c>
      <c r="EQ9" s="117">
        <v>0</v>
      </c>
    </row>
    <row r="10" customFormat="1" ht="22.5" customHeight="1" spans="1:147">
      <c r="A10" s="108">
        <v>12072</v>
      </c>
      <c r="B10" s="109" t="s">
        <v>323</v>
      </c>
      <c r="C10" s="110">
        <v>46085</v>
      </c>
      <c r="D10" s="111">
        <f>IF(_xlfn.XLOOKUP(A10,[1]分配表!J:J,[1]分配表!M:M)=0,"未出单",_xlfn.XLOOKUP(A10,[1]分配表!J:J,[1]分配表!M:M))</f>
        <v>46112</v>
      </c>
      <c r="E10" s="112" t="str">
        <f>_xlfn.XLOOKUP(A10,[1]分配表!A:A,[1]分配表!C:C)</f>
        <v>胡煜星</v>
      </c>
      <c r="F10" s="112" t="str">
        <f>IF(_xlfn.XLOOKUP($A10,[1]分配表!$A:$A,[1]分配表!D:D)=0,"未分类",_xlfn.XLOOKUP($A10,[1]分配表!$A:$A,[1]分配表!D:D))</f>
        <v>车身外扩件</v>
      </c>
      <c r="G10" s="112" t="str">
        <f>_xlfn.XLOOKUP(A10,[1]分配表!J:J,[1]分配表!I:I)</f>
        <v>原开品</v>
      </c>
      <c r="H10" s="49">
        <v>0</v>
      </c>
      <c r="I10" s="49">
        <v>0</v>
      </c>
      <c r="J10" s="49">
        <v>0</v>
      </c>
      <c r="K10" s="49">
        <v>1</v>
      </c>
      <c r="L10" s="49">
        <v>0</v>
      </c>
      <c r="M10" s="49">
        <v>1</v>
      </c>
      <c r="N10" s="49">
        <v>1</v>
      </c>
      <c r="O10" s="49">
        <v>1</v>
      </c>
      <c r="P10" s="49">
        <v>0</v>
      </c>
      <c r="Q10" s="49">
        <v>2</v>
      </c>
      <c r="R10" s="49">
        <v>0</v>
      </c>
      <c r="S10" s="49">
        <v>0</v>
      </c>
      <c r="T10" s="113">
        <f t="shared" si="0"/>
        <v>0</v>
      </c>
      <c r="U10" s="114">
        <v>0</v>
      </c>
      <c r="V10" s="115">
        <v>0</v>
      </c>
      <c r="W10" s="115">
        <v>0</v>
      </c>
      <c r="X10" s="115">
        <v>299</v>
      </c>
      <c r="Y10" s="115">
        <v>0</v>
      </c>
      <c r="Z10" s="115">
        <v>299</v>
      </c>
      <c r="AA10" s="115">
        <v>299</v>
      </c>
      <c r="AB10" s="116">
        <v>299</v>
      </c>
      <c r="AC10" s="117">
        <v>0</v>
      </c>
      <c r="AD10" s="117">
        <v>598</v>
      </c>
      <c r="AE10" s="117">
        <v>0</v>
      </c>
      <c r="AF10" s="117">
        <v>0</v>
      </c>
      <c r="AG10" s="115">
        <f t="shared" si="1"/>
        <v>0</v>
      </c>
      <c r="AH10" s="118">
        <v>0</v>
      </c>
      <c r="AI10" s="49">
        <v>0</v>
      </c>
      <c r="AJ10" s="49">
        <v>0</v>
      </c>
      <c r="AK10" s="49">
        <v>0</v>
      </c>
      <c r="AL10" s="49">
        <v>0</v>
      </c>
      <c r="AM10" s="49">
        <v>0</v>
      </c>
      <c r="AN10" s="49">
        <v>0</v>
      </c>
      <c r="AO10" s="49">
        <v>0</v>
      </c>
      <c r="AP10" s="49">
        <v>0</v>
      </c>
      <c r="AQ10" s="49">
        <v>0</v>
      </c>
      <c r="AR10" s="49">
        <v>0</v>
      </c>
      <c r="AS10" s="49">
        <v>0</v>
      </c>
      <c r="AT10" s="119" t="s">
        <v>306</v>
      </c>
      <c r="AU10" s="55" t="s">
        <v>306</v>
      </c>
      <c r="AV10" s="55" t="s">
        <v>306</v>
      </c>
      <c r="AW10" s="55">
        <v>1</v>
      </c>
      <c r="AX10" s="55">
        <v>0</v>
      </c>
      <c r="AY10" s="55">
        <v>1</v>
      </c>
      <c r="AZ10" s="55">
        <v>1</v>
      </c>
      <c r="BA10" s="55">
        <v>1</v>
      </c>
      <c r="BB10" s="55" t="s">
        <v>306</v>
      </c>
      <c r="BC10" s="55">
        <v>1</v>
      </c>
      <c r="BD10" s="55" t="s">
        <v>306</v>
      </c>
      <c r="BE10" s="55" t="s">
        <v>306</v>
      </c>
      <c r="BF10" s="118">
        <v>1</v>
      </c>
      <c r="BG10" s="49">
        <v>8</v>
      </c>
      <c r="BH10" s="49" t="s">
        <v>324</v>
      </c>
      <c r="BI10" s="49">
        <v>9</v>
      </c>
      <c r="BJ10" s="49">
        <v>0</v>
      </c>
      <c r="BK10" s="49">
        <v>8</v>
      </c>
      <c r="BL10" s="49">
        <v>14</v>
      </c>
      <c r="BM10" s="49">
        <v>21</v>
      </c>
      <c r="BN10" s="49">
        <v>28</v>
      </c>
      <c r="BO10" s="49">
        <v>35</v>
      </c>
      <c r="BP10" s="49">
        <v>42</v>
      </c>
      <c r="BQ10" s="120">
        <v>49</v>
      </c>
      <c r="BR10" s="115" t="s">
        <v>149</v>
      </c>
      <c r="BS10" s="115" t="s">
        <v>149</v>
      </c>
      <c r="BT10" s="115" t="s">
        <v>149</v>
      </c>
      <c r="BU10" s="115" t="s">
        <v>62</v>
      </c>
      <c r="BV10" s="115" t="s">
        <v>62</v>
      </c>
      <c r="BW10" s="115" t="s">
        <v>62</v>
      </c>
      <c r="BX10" s="115" t="s">
        <v>62</v>
      </c>
      <c r="BY10" s="115" t="s">
        <v>62</v>
      </c>
      <c r="BZ10" s="115" t="s">
        <v>62</v>
      </c>
      <c r="CA10" s="115" t="s">
        <v>62</v>
      </c>
      <c r="CB10" s="115" t="s">
        <v>62</v>
      </c>
      <c r="CC10" s="115" t="s">
        <v>62</v>
      </c>
      <c r="CD10" s="114" t="s">
        <v>53</v>
      </c>
      <c r="CE10" s="115" t="s">
        <v>152</v>
      </c>
      <c r="CF10" s="115" t="s">
        <v>324</v>
      </c>
      <c r="CG10" s="115" t="s">
        <v>152</v>
      </c>
      <c r="CH10" s="115" t="s">
        <v>53</v>
      </c>
      <c r="CI10" s="115" t="s">
        <v>53</v>
      </c>
      <c r="CJ10" s="115" t="s">
        <v>53</v>
      </c>
      <c r="CK10" s="115" t="s">
        <v>53</v>
      </c>
      <c r="CL10" s="115" t="s">
        <v>53</v>
      </c>
      <c r="CM10" s="115" t="s">
        <v>53</v>
      </c>
      <c r="CN10" s="115" t="s">
        <v>53</v>
      </c>
      <c r="CO10" s="121" t="s">
        <v>53</v>
      </c>
      <c r="CP10" s="115" t="s">
        <v>53</v>
      </c>
      <c r="CQ10" s="115" t="s">
        <v>53</v>
      </c>
      <c r="CR10" s="115" t="s">
        <v>324</v>
      </c>
      <c r="CS10" s="115" t="s">
        <v>53</v>
      </c>
      <c r="CT10" s="115" t="s">
        <v>53</v>
      </c>
      <c r="CU10" s="115" t="s">
        <v>53</v>
      </c>
      <c r="CV10" s="115" t="s">
        <v>53</v>
      </c>
      <c r="CW10" s="115" t="s">
        <v>53</v>
      </c>
      <c r="CX10" s="115" t="s">
        <v>53</v>
      </c>
      <c r="CY10" s="115" t="s">
        <v>53</v>
      </c>
      <c r="CZ10" s="115" t="s">
        <v>53</v>
      </c>
      <c r="DA10" s="115" t="s">
        <v>53</v>
      </c>
      <c r="DB10" s="118" t="s">
        <v>307</v>
      </c>
      <c r="DC10" s="49" t="s">
        <v>307</v>
      </c>
      <c r="DD10" s="49" t="s">
        <v>307</v>
      </c>
      <c r="DE10" s="49" t="s">
        <v>307</v>
      </c>
      <c r="DF10" s="49" t="s">
        <v>307</v>
      </c>
      <c r="DG10" s="49" t="s">
        <v>307</v>
      </c>
      <c r="DH10" s="49" t="s">
        <v>307</v>
      </c>
      <c r="DI10" s="49" t="s">
        <v>53</v>
      </c>
      <c r="DJ10" s="49" t="s">
        <v>53</v>
      </c>
      <c r="DK10" s="49" t="s">
        <v>307</v>
      </c>
      <c r="DL10" s="49" t="s">
        <v>53</v>
      </c>
      <c r="DM10" s="49" t="s">
        <v>307</v>
      </c>
      <c r="DN10" s="49" t="s">
        <v>307</v>
      </c>
      <c r="DO10" s="118" t="s">
        <v>322</v>
      </c>
      <c r="DP10" s="49" t="s">
        <v>58</v>
      </c>
      <c r="DQ10" s="49" t="s">
        <v>310</v>
      </c>
      <c r="DR10" s="49" t="s">
        <v>310</v>
      </c>
      <c r="DS10" s="49" t="s">
        <v>58</v>
      </c>
      <c r="DT10" s="49" t="s">
        <v>58</v>
      </c>
      <c r="DU10" s="49" t="s">
        <v>58</v>
      </c>
      <c r="DV10" s="49" t="s">
        <v>58</v>
      </c>
      <c r="DW10" s="49" t="s">
        <v>58</v>
      </c>
      <c r="DX10" s="49" t="s">
        <v>58</v>
      </c>
      <c r="DY10" s="49" t="s">
        <v>58</v>
      </c>
      <c r="DZ10" s="49" t="s">
        <v>58</v>
      </c>
      <c r="EA10" s="118" t="s">
        <v>62</v>
      </c>
      <c r="EB10" s="49" t="s">
        <v>62</v>
      </c>
      <c r="EC10" s="49" t="s">
        <v>62</v>
      </c>
      <c r="ED10" s="49" t="s">
        <v>62</v>
      </c>
      <c r="EE10" s="49" t="s">
        <v>62</v>
      </c>
      <c r="EF10" s="49" t="s">
        <v>62</v>
      </c>
      <c r="EG10" s="120" t="s">
        <v>62</v>
      </c>
      <c r="EH10" s="117">
        <v>0</v>
      </c>
      <c r="EI10" s="117">
        <v>0</v>
      </c>
      <c r="EJ10" s="55">
        <v>0.02</v>
      </c>
      <c r="EK10" s="55">
        <v>0</v>
      </c>
      <c r="EL10" s="55">
        <v>0</v>
      </c>
      <c r="EM10" s="55">
        <v>0</v>
      </c>
      <c r="EN10" s="55">
        <v>0</v>
      </c>
      <c r="EO10" s="122">
        <v>0</v>
      </c>
      <c r="EP10" s="117">
        <v>0</v>
      </c>
      <c r="EQ10" s="117">
        <v>0</v>
      </c>
    </row>
    <row r="11" customFormat="1" ht="22.5" customHeight="1" spans="1:147">
      <c r="A11" s="108">
        <v>12248</v>
      </c>
      <c r="B11" s="109" t="s">
        <v>325</v>
      </c>
      <c r="C11" s="110">
        <v>46085</v>
      </c>
      <c r="D11" s="111">
        <f>IF(_xlfn.XLOOKUP(A11,[1]分配表!J:J,[1]分配表!M:M)=0,"未出单",_xlfn.XLOOKUP(A11,[1]分配表!J:J,[1]分配表!M:M))</f>
        <v>46091</v>
      </c>
      <c r="E11" s="112" t="str">
        <f>_xlfn.XLOOKUP(A11,[1]分配表!A:A,[1]分配表!C:C)</f>
        <v>胡煜星</v>
      </c>
      <c r="F11" s="112" t="str">
        <f>IF(_xlfn.XLOOKUP($A11,[1]分配表!$A:$A,[1]分配表!D:D)=0,"未分类",_xlfn.XLOOKUP($A11,[1]分配表!$A:$A,[1]分配表!D:D))</f>
        <v>其他</v>
      </c>
      <c r="G11" s="112" t="str">
        <f>_xlfn.XLOOKUP(A11,[1]分配表!J:J,[1]分配表!I:I)</f>
        <v>原开品</v>
      </c>
      <c r="H11" s="49">
        <v>3</v>
      </c>
      <c r="I11" s="49">
        <v>1</v>
      </c>
      <c r="J11" s="49">
        <v>3</v>
      </c>
      <c r="K11" s="49">
        <v>3</v>
      </c>
      <c r="L11" s="49">
        <v>5</v>
      </c>
      <c r="M11" s="49">
        <v>5</v>
      </c>
      <c r="N11" s="49">
        <v>5</v>
      </c>
      <c r="O11" s="49">
        <v>3</v>
      </c>
      <c r="P11" s="49">
        <v>3</v>
      </c>
      <c r="Q11" s="49">
        <v>2</v>
      </c>
      <c r="R11" s="49">
        <v>4</v>
      </c>
      <c r="S11" s="49">
        <v>7</v>
      </c>
      <c r="T11" s="113">
        <f t="shared" si="0"/>
        <v>3</v>
      </c>
      <c r="U11" s="114">
        <v>255</v>
      </c>
      <c r="V11" s="115">
        <v>85</v>
      </c>
      <c r="W11" s="115">
        <v>255</v>
      </c>
      <c r="X11" s="115">
        <v>255</v>
      </c>
      <c r="Y11" s="115">
        <v>425</v>
      </c>
      <c r="Z11" s="115">
        <v>425</v>
      </c>
      <c r="AA11" s="115">
        <v>429</v>
      </c>
      <c r="AB11" s="116">
        <v>258</v>
      </c>
      <c r="AC11" s="117">
        <v>257</v>
      </c>
      <c r="AD11" s="117">
        <v>170</v>
      </c>
      <c r="AE11" s="117">
        <v>341</v>
      </c>
      <c r="AF11" s="117">
        <v>601</v>
      </c>
      <c r="AG11" s="115">
        <f t="shared" si="1"/>
        <v>260</v>
      </c>
      <c r="AH11" s="118">
        <v>1</v>
      </c>
      <c r="AI11" s="49">
        <v>1</v>
      </c>
      <c r="AJ11" s="49">
        <v>0</v>
      </c>
      <c r="AK11" s="49">
        <v>4</v>
      </c>
      <c r="AL11" s="49">
        <v>1</v>
      </c>
      <c r="AM11" s="49">
        <v>3</v>
      </c>
      <c r="AN11" s="49">
        <v>1</v>
      </c>
      <c r="AO11" s="49">
        <v>4</v>
      </c>
      <c r="AP11" s="49">
        <v>1</v>
      </c>
      <c r="AQ11" s="49">
        <v>3</v>
      </c>
      <c r="AR11" s="49">
        <v>2</v>
      </c>
      <c r="AS11" s="49">
        <v>5</v>
      </c>
      <c r="AT11" s="119">
        <v>0.75</v>
      </c>
      <c r="AU11" s="55">
        <v>0.8</v>
      </c>
      <c r="AV11" s="55">
        <v>1</v>
      </c>
      <c r="AW11" s="55">
        <v>0.428571428571429</v>
      </c>
      <c r="AX11" s="55">
        <v>0.833333333333333</v>
      </c>
      <c r="AY11" s="55">
        <v>0.625</v>
      </c>
      <c r="AZ11" s="55">
        <v>0.8333</v>
      </c>
      <c r="BA11" s="55">
        <v>0.5</v>
      </c>
      <c r="BB11" s="55">
        <v>0.75</v>
      </c>
      <c r="BC11" s="55">
        <v>0.25</v>
      </c>
      <c r="BD11" s="55">
        <v>0.6</v>
      </c>
      <c r="BE11" s="55">
        <v>0.5833</v>
      </c>
      <c r="BF11" s="118">
        <v>1</v>
      </c>
      <c r="BG11" s="49">
        <v>7</v>
      </c>
      <c r="BH11" s="49">
        <v>7</v>
      </c>
      <c r="BI11" s="49">
        <v>15</v>
      </c>
      <c r="BJ11" s="49">
        <v>0</v>
      </c>
      <c r="BK11" s="49">
        <v>8</v>
      </c>
      <c r="BL11" s="49">
        <v>5</v>
      </c>
      <c r="BM11" s="49">
        <v>12</v>
      </c>
      <c r="BN11" s="49">
        <v>0</v>
      </c>
      <c r="BO11" s="49">
        <v>7</v>
      </c>
      <c r="BP11" s="49">
        <v>1</v>
      </c>
      <c r="BQ11" s="120">
        <v>8</v>
      </c>
      <c r="BR11" s="115" t="s">
        <v>49</v>
      </c>
      <c r="BS11" s="115" t="s">
        <v>49</v>
      </c>
      <c r="BT11" s="115" t="s">
        <v>49</v>
      </c>
      <c r="BU11" s="115" t="s">
        <v>49</v>
      </c>
      <c r="BV11" s="115" t="s">
        <v>49</v>
      </c>
      <c r="BW11" s="115" t="s">
        <v>49</v>
      </c>
      <c r="BX11" s="115" t="s">
        <v>49</v>
      </c>
      <c r="BY11" s="115" t="s">
        <v>49</v>
      </c>
      <c r="BZ11" s="115" t="s">
        <v>49</v>
      </c>
      <c r="CA11" s="115" t="s">
        <v>49</v>
      </c>
      <c r="CB11" s="115" t="s">
        <v>49</v>
      </c>
      <c r="CC11" s="115" t="s">
        <v>49</v>
      </c>
      <c r="CD11" s="114" t="s">
        <v>53</v>
      </c>
      <c r="CE11" s="115" t="s">
        <v>53</v>
      </c>
      <c r="CF11" s="115" t="s">
        <v>53</v>
      </c>
      <c r="CG11" s="115" t="s">
        <v>152</v>
      </c>
      <c r="CH11" s="115" t="s">
        <v>53</v>
      </c>
      <c r="CI11" s="115" t="s">
        <v>152</v>
      </c>
      <c r="CJ11" s="115" t="s">
        <v>53</v>
      </c>
      <c r="CK11" s="115" t="s">
        <v>152</v>
      </c>
      <c r="CL11" s="115" t="s">
        <v>53</v>
      </c>
      <c r="CM11" s="115" t="s">
        <v>152</v>
      </c>
      <c r="CN11" s="115" t="s">
        <v>53</v>
      </c>
      <c r="CO11" s="121" t="s">
        <v>152</v>
      </c>
      <c r="CP11" s="115" t="s">
        <v>53</v>
      </c>
      <c r="CQ11" s="115" t="s">
        <v>53</v>
      </c>
      <c r="CR11" s="115" t="s">
        <v>53</v>
      </c>
      <c r="CS11" s="115" t="s">
        <v>53</v>
      </c>
      <c r="CT11" s="115" t="s">
        <v>53</v>
      </c>
      <c r="CU11" s="115" t="s">
        <v>53</v>
      </c>
      <c r="CV11" s="115" t="s">
        <v>53</v>
      </c>
      <c r="CW11" s="115" t="s">
        <v>53</v>
      </c>
      <c r="CX11" s="115" t="s">
        <v>53</v>
      </c>
      <c r="CY11" s="115" t="s">
        <v>53</v>
      </c>
      <c r="CZ11" s="115" t="s">
        <v>53</v>
      </c>
      <c r="DA11" s="115" t="s">
        <v>53</v>
      </c>
      <c r="DB11" s="118" t="s">
        <v>307</v>
      </c>
      <c r="DC11" s="49" t="s">
        <v>313</v>
      </c>
      <c r="DD11" s="49" t="s">
        <v>53</v>
      </c>
      <c r="DE11" s="49" t="s">
        <v>53</v>
      </c>
      <c r="DF11" s="49" t="s">
        <v>313</v>
      </c>
      <c r="DG11" s="49" t="s">
        <v>53</v>
      </c>
      <c r="DH11" s="49" t="s">
        <v>313</v>
      </c>
      <c r="DI11" s="49" t="s">
        <v>53</v>
      </c>
      <c r="DJ11" s="49" t="s">
        <v>313</v>
      </c>
      <c r="DK11" s="49" t="s">
        <v>53</v>
      </c>
      <c r="DL11" s="49" t="s">
        <v>313</v>
      </c>
      <c r="DM11" s="49" t="s">
        <v>313</v>
      </c>
      <c r="DN11" s="49" t="s">
        <v>313</v>
      </c>
      <c r="DO11" s="118" t="s">
        <v>159</v>
      </c>
      <c r="DP11" s="49" t="s">
        <v>58</v>
      </c>
      <c r="DQ11" s="49" t="s">
        <v>58</v>
      </c>
      <c r="DR11" s="49" t="s">
        <v>159</v>
      </c>
      <c r="DS11" s="49" t="s">
        <v>58</v>
      </c>
      <c r="DT11" s="49" t="s">
        <v>58</v>
      </c>
      <c r="DU11" s="49" t="s">
        <v>314</v>
      </c>
      <c r="DV11" s="49" t="s">
        <v>58</v>
      </c>
      <c r="DW11" s="49" t="s">
        <v>315</v>
      </c>
      <c r="DX11" s="49" t="s">
        <v>58</v>
      </c>
      <c r="DY11" s="49" t="s">
        <v>316</v>
      </c>
      <c r="DZ11" s="49" t="s">
        <v>58</v>
      </c>
      <c r="EA11" s="118" t="s">
        <v>49</v>
      </c>
      <c r="EB11" s="49" t="s">
        <v>49</v>
      </c>
      <c r="EC11" s="49" t="s">
        <v>49</v>
      </c>
      <c r="ED11" s="49" t="s">
        <v>62</v>
      </c>
      <c r="EE11" s="49" t="s">
        <v>62</v>
      </c>
      <c r="EF11" s="49" t="s">
        <v>49</v>
      </c>
      <c r="EG11" s="120" t="s">
        <v>49</v>
      </c>
      <c r="EH11" s="117">
        <v>0</v>
      </c>
      <c r="EI11" s="117">
        <v>0</v>
      </c>
      <c r="EJ11" s="55">
        <v>0.04</v>
      </c>
      <c r="EK11" s="55">
        <v>0.04</v>
      </c>
      <c r="EL11" s="55">
        <v>0.02</v>
      </c>
      <c r="EM11" s="55">
        <v>0.04</v>
      </c>
      <c r="EN11" s="55">
        <v>0.02</v>
      </c>
      <c r="EO11" s="122">
        <v>0.02</v>
      </c>
      <c r="EP11" s="117">
        <v>14.43</v>
      </c>
      <c r="EQ11" s="117">
        <v>450.52</v>
      </c>
    </row>
    <row r="12" customFormat="1" ht="22.5" customHeight="1" spans="1:147">
      <c r="A12" s="108">
        <v>12246</v>
      </c>
      <c r="B12" s="109" t="s">
        <v>326</v>
      </c>
      <c r="C12" s="110">
        <v>46085</v>
      </c>
      <c r="D12" s="111">
        <f>IF(_xlfn.XLOOKUP(A12,[1]分配表!J:J,[1]分配表!M:M)=0,"未出单",_xlfn.XLOOKUP(A12,[1]分配表!J:J,[1]分配表!M:M))</f>
        <v>46086</v>
      </c>
      <c r="E12" s="112" t="str">
        <f>_xlfn.XLOOKUP(A12,[1]分配表!A:A,[1]分配表!C:C)</f>
        <v>胡煜星</v>
      </c>
      <c r="F12" s="112" t="str">
        <f>IF(_xlfn.XLOOKUP($A12,[1]分配表!$A:$A,[1]分配表!D:D)=0,"未分类",_xlfn.XLOOKUP($A12,[1]分配表!$A:$A,[1]分配表!D:D))</f>
        <v>其他</v>
      </c>
      <c r="G12" s="112" t="str">
        <f>_xlfn.XLOOKUP(A12,[1]分配表!J:J,[1]分配表!I:I)</f>
        <v>原开品</v>
      </c>
      <c r="H12" s="49">
        <v>11</v>
      </c>
      <c r="I12" s="49">
        <v>8</v>
      </c>
      <c r="J12" s="49">
        <v>8</v>
      </c>
      <c r="K12" s="49">
        <v>9</v>
      </c>
      <c r="L12" s="49">
        <v>15</v>
      </c>
      <c r="M12" s="49">
        <v>8</v>
      </c>
      <c r="N12" s="49">
        <v>12</v>
      </c>
      <c r="O12" s="49">
        <v>10</v>
      </c>
      <c r="P12" s="49">
        <v>9</v>
      </c>
      <c r="Q12" s="49">
        <v>9</v>
      </c>
      <c r="R12" s="49">
        <v>7</v>
      </c>
      <c r="S12" s="49">
        <v>7</v>
      </c>
      <c r="T12" s="113">
        <f t="shared" si="0"/>
        <v>0</v>
      </c>
      <c r="U12" s="114">
        <v>1185</v>
      </c>
      <c r="V12" s="115">
        <v>686</v>
      </c>
      <c r="W12" s="115">
        <v>690</v>
      </c>
      <c r="X12" s="115">
        <v>772</v>
      </c>
      <c r="Y12" s="115">
        <v>1296</v>
      </c>
      <c r="Z12" s="115">
        <v>685.75</v>
      </c>
      <c r="AA12" s="115">
        <v>1033</v>
      </c>
      <c r="AB12" s="116">
        <v>879</v>
      </c>
      <c r="AC12" s="117">
        <v>833.5</v>
      </c>
      <c r="AD12" s="117">
        <v>846</v>
      </c>
      <c r="AE12" s="117">
        <v>663</v>
      </c>
      <c r="AF12" s="117">
        <v>627.1</v>
      </c>
      <c r="AG12" s="115">
        <f t="shared" si="1"/>
        <v>-35.9</v>
      </c>
      <c r="AH12" s="118">
        <v>2</v>
      </c>
      <c r="AI12" s="49">
        <v>0</v>
      </c>
      <c r="AJ12" s="49">
        <v>0</v>
      </c>
      <c r="AK12" s="49">
        <v>0</v>
      </c>
      <c r="AL12" s="49">
        <v>0</v>
      </c>
      <c r="AM12" s="49">
        <v>0</v>
      </c>
      <c r="AN12" s="49">
        <v>0</v>
      </c>
      <c r="AO12" s="49">
        <v>0</v>
      </c>
      <c r="AP12" s="49">
        <v>0</v>
      </c>
      <c r="AQ12" s="49">
        <v>1</v>
      </c>
      <c r="AR12" s="49">
        <v>1</v>
      </c>
      <c r="AS12" s="49">
        <v>0</v>
      </c>
      <c r="AT12" s="119">
        <v>0.846153846153846</v>
      </c>
      <c r="AU12" s="55">
        <v>1</v>
      </c>
      <c r="AV12" s="55">
        <v>1</v>
      </c>
      <c r="AW12" s="55">
        <v>1</v>
      </c>
      <c r="AX12" s="55">
        <v>1</v>
      </c>
      <c r="AY12" s="55">
        <v>1</v>
      </c>
      <c r="AZ12" s="55">
        <v>1</v>
      </c>
      <c r="BA12" s="55">
        <v>1</v>
      </c>
      <c r="BB12" s="55">
        <v>1</v>
      </c>
      <c r="BC12" s="55">
        <v>0.9231</v>
      </c>
      <c r="BD12" s="55">
        <v>0.8333</v>
      </c>
      <c r="BE12" s="55">
        <v>1</v>
      </c>
      <c r="BF12" s="118">
        <v>1</v>
      </c>
      <c r="BG12" s="49">
        <v>4</v>
      </c>
      <c r="BH12" s="49">
        <v>11</v>
      </c>
      <c r="BI12" s="49">
        <v>1</v>
      </c>
      <c r="BJ12" s="49">
        <v>7</v>
      </c>
      <c r="BK12" s="49">
        <v>5</v>
      </c>
      <c r="BL12" s="49">
        <v>11</v>
      </c>
      <c r="BM12" s="49">
        <v>4</v>
      </c>
      <c r="BN12" s="49">
        <v>1</v>
      </c>
      <c r="BO12" s="49">
        <v>1</v>
      </c>
      <c r="BP12" s="49">
        <v>8</v>
      </c>
      <c r="BQ12" s="120">
        <v>0</v>
      </c>
      <c r="BR12" s="115" t="s">
        <v>49</v>
      </c>
      <c r="BS12" s="115" t="s">
        <v>49</v>
      </c>
      <c r="BT12" s="115" t="s">
        <v>49</v>
      </c>
      <c r="BU12" s="115" t="s">
        <v>49</v>
      </c>
      <c r="BV12" s="115" t="s">
        <v>49</v>
      </c>
      <c r="BW12" s="115" t="s">
        <v>49</v>
      </c>
      <c r="BX12" s="115" t="s">
        <v>49</v>
      </c>
      <c r="BY12" s="115" t="s">
        <v>49</v>
      </c>
      <c r="BZ12" s="115" t="s">
        <v>49</v>
      </c>
      <c r="CA12" s="115" t="s">
        <v>49</v>
      </c>
      <c r="CB12" s="115" t="s">
        <v>49</v>
      </c>
      <c r="CC12" s="115" t="s">
        <v>49</v>
      </c>
      <c r="CD12" s="114" t="s">
        <v>53</v>
      </c>
      <c r="CE12" s="115" t="s">
        <v>53</v>
      </c>
      <c r="CF12" s="115" t="s">
        <v>152</v>
      </c>
      <c r="CG12" s="115" t="s">
        <v>53</v>
      </c>
      <c r="CH12" s="115" t="s">
        <v>53</v>
      </c>
      <c r="CI12" s="115" t="s">
        <v>53</v>
      </c>
      <c r="CJ12" s="115" t="s">
        <v>53</v>
      </c>
      <c r="CK12" s="115" t="s">
        <v>53</v>
      </c>
      <c r="CL12" s="115" t="s">
        <v>53</v>
      </c>
      <c r="CM12" s="115" t="s">
        <v>53</v>
      </c>
      <c r="CN12" s="115" t="s">
        <v>53</v>
      </c>
      <c r="CO12" s="121" t="s">
        <v>53</v>
      </c>
      <c r="CP12" s="115" t="s">
        <v>53</v>
      </c>
      <c r="CQ12" s="115" t="s">
        <v>53</v>
      </c>
      <c r="CR12" s="115" t="s">
        <v>53</v>
      </c>
      <c r="CS12" s="115" t="s">
        <v>53</v>
      </c>
      <c r="CT12" s="115" t="s">
        <v>53</v>
      </c>
      <c r="CU12" s="115" t="s">
        <v>53</v>
      </c>
      <c r="CV12" s="115" t="s">
        <v>53</v>
      </c>
      <c r="CW12" s="115" t="s">
        <v>53</v>
      </c>
      <c r="CX12" s="115" t="s">
        <v>53</v>
      </c>
      <c r="CY12" s="115" t="s">
        <v>53</v>
      </c>
      <c r="CZ12" s="115" t="s">
        <v>53</v>
      </c>
      <c r="DA12" s="115" t="s">
        <v>53</v>
      </c>
      <c r="DB12" s="118" t="s">
        <v>307</v>
      </c>
      <c r="DC12" s="49" t="s">
        <v>53</v>
      </c>
      <c r="DD12" s="49" t="s">
        <v>53</v>
      </c>
      <c r="DE12" s="49" t="s">
        <v>53</v>
      </c>
      <c r="DF12" s="49" t="s">
        <v>53</v>
      </c>
      <c r="DG12" s="49" t="s">
        <v>53</v>
      </c>
      <c r="DH12" s="49" t="s">
        <v>53</v>
      </c>
      <c r="DI12" s="49" t="s">
        <v>53</v>
      </c>
      <c r="DJ12" s="49" t="s">
        <v>53</v>
      </c>
      <c r="DK12" s="49" t="s">
        <v>53</v>
      </c>
      <c r="DL12" s="49" t="s">
        <v>53</v>
      </c>
      <c r="DM12" s="49" t="s">
        <v>53</v>
      </c>
      <c r="DN12" s="49" t="s">
        <v>53</v>
      </c>
      <c r="DO12" s="118" t="s">
        <v>159</v>
      </c>
      <c r="DP12" s="49" t="s">
        <v>58</v>
      </c>
      <c r="DQ12" s="49" t="s">
        <v>58</v>
      </c>
      <c r="DR12" s="49" t="s">
        <v>58</v>
      </c>
      <c r="DS12" s="49" t="s">
        <v>58</v>
      </c>
      <c r="DT12" s="49" t="s">
        <v>58</v>
      </c>
      <c r="DU12" s="49" t="s">
        <v>58</v>
      </c>
      <c r="DV12" s="49" t="s">
        <v>58</v>
      </c>
      <c r="DW12" s="49" t="s">
        <v>58</v>
      </c>
      <c r="DX12" s="49" t="s">
        <v>58</v>
      </c>
      <c r="DY12" s="49" t="s">
        <v>58</v>
      </c>
      <c r="DZ12" s="49" t="s">
        <v>58</v>
      </c>
      <c r="EA12" s="118" t="s">
        <v>49</v>
      </c>
      <c r="EB12" s="49" t="s">
        <v>49</v>
      </c>
      <c r="EC12" s="49" t="s">
        <v>49</v>
      </c>
      <c r="ED12" s="49" t="s">
        <v>49</v>
      </c>
      <c r="EE12" s="49" t="s">
        <v>49</v>
      </c>
      <c r="EF12" s="49" t="s">
        <v>49</v>
      </c>
      <c r="EG12" s="120" t="s">
        <v>49</v>
      </c>
      <c r="EH12" s="117">
        <v>3.93</v>
      </c>
      <c r="EI12" s="117">
        <v>199.66</v>
      </c>
      <c r="EJ12" s="55">
        <v>0.02</v>
      </c>
      <c r="EK12" s="55">
        <v>0</v>
      </c>
      <c r="EL12" s="55">
        <v>0</v>
      </c>
      <c r="EM12" s="55">
        <v>0</v>
      </c>
      <c r="EN12" s="55">
        <v>0</v>
      </c>
      <c r="EO12" s="122">
        <v>0.02</v>
      </c>
      <c r="EP12" s="117">
        <v>0</v>
      </c>
      <c r="EQ12" s="117">
        <v>0</v>
      </c>
    </row>
    <row r="13" customFormat="1" ht="22.5" customHeight="1" spans="1:147">
      <c r="A13" s="123">
        <v>12205</v>
      </c>
      <c r="B13" s="124" t="s">
        <v>327</v>
      </c>
      <c r="C13" s="125">
        <v>46086</v>
      </c>
      <c r="D13" s="111">
        <f>IF(_xlfn.XLOOKUP(A13,[1]分配表!J:J,[1]分配表!M:M)=0,"未出单",_xlfn.XLOOKUP(A13,[1]分配表!J:J,[1]分配表!M:M))</f>
        <v>46089</v>
      </c>
      <c r="E13" s="112" t="str">
        <f>_xlfn.XLOOKUP(A13,[1]分配表!A:A,[1]分配表!C:C)</f>
        <v>胡煜星</v>
      </c>
      <c r="F13" s="112" t="str">
        <f>IF(_xlfn.XLOOKUP($A13,[1]分配表!$A:$A,[1]分配表!D:D)=0,"未分类",_xlfn.XLOOKUP($A13,[1]分配表!$A:$A,[1]分配表!D:D))</f>
        <v>车门系统</v>
      </c>
      <c r="G13" s="112" t="str">
        <f>_xlfn.XLOOKUP(A13,[1]分配表!J:J,[1]分配表!I:I)</f>
        <v>原开品</v>
      </c>
      <c r="H13" s="49">
        <v>2</v>
      </c>
      <c r="I13" s="49">
        <v>9</v>
      </c>
      <c r="J13" s="49">
        <v>0</v>
      </c>
      <c r="K13" s="49">
        <v>7</v>
      </c>
      <c r="L13" s="49">
        <v>6</v>
      </c>
      <c r="M13" s="49">
        <v>1</v>
      </c>
      <c r="N13" s="49">
        <v>8</v>
      </c>
      <c r="O13" s="49">
        <v>15</v>
      </c>
      <c r="P13" s="49">
        <v>10</v>
      </c>
      <c r="Q13" s="49">
        <v>3</v>
      </c>
      <c r="R13" s="49">
        <v>3</v>
      </c>
      <c r="S13" s="49">
        <v>2</v>
      </c>
      <c r="T13" s="113">
        <f t="shared" si="0"/>
        <v>-1</v>
      </c>
      <c r="U13" s="114">
        <v>44</v>
      </c>
      <c r="V13" s="115">
        <v>196</v>
      </c>
      <c r="W13" s="115">
        <v>0</v>
      </c>
      <c r="X13" s="115">
        <v>152</v>
      </c>
      <c r="Y13" s="115">
        <v>132</v>
      </c>
      <c r="Z13" s="115">
        <v>22</v>
      </c>
      <c r="AA13" s="115">
        <v>176</v>
      </c>
      <c r="AB13" s="116">
        <v>330</v>
      </c>
      <c r="AC13" s="117">
        <v>220</v>
      </c>
      <c r="AD13" s="117">
        <v>66</v>
      </c>
      <c r="AE13" s="117">
        <v>68</v>
      </c>
      <c r="AF13" s="117">
        <v>42.68</v>
      </c>
      <c r="AG13" s="115">
        <f t="shared" si="1"/>
        <v>-25.32</v>
      </c>
      <c r="AH13" s="118">
        <v>29</v>
      </c>
      <c r="AI13" s="49">
        <v>34</v>
      </c>
      <c r="AJ13" s="49">
        <v>32</v>
      </c>
      <c r="AK13" s="49">
        <v>34</v>
      </c>
      <c r="AL13" s="49">
        <v>23</v>
      </c>
      <c r="AM13" s="49">
        <v>30</v>
      </c>
      <c r="AN13" s="49">
        <v>23</v>
      </c>
      <c r="AO13" s="49">
        <v>21</v>
      </c>
      <c r="AP13" s="49">
        <v>20</v>
      </c>
      <c r="AQ13" s="49">
        <v>11</v>
      </c>
      <c r="AR13" s="49">
        <v>17</v>
      </c>
      <c r="AS13" s="49">
        <v>9</v>
      </c>
      <c r="AT13" s="119">
        <v>0.0645161290322581</v>
      </c>
      <c r="AU13" s="55">
        <v>0.2093</v>
      </c>
      <c r="AV13" s="55">
        <v>0</v>
      </c>
      <c r="AW13" s="55">
        <v>0.170731707317073</v>
      </c>
      <c r="AX13" s="55">
        <v>0.206896551724138</v>
      </c>
      <c r="AY13" s="55">
        <v>0.032258064516129</v>
      </c>
      <c r="AZ13" s="55">
        <v>0.2333</v>
      </c>
      <c r="BA13" s="55">
        <v>0.3824</v>
      </c>
      <c r="BB13" s="55">
        <v>0.3548</v>
      </c>
      <c r="BC13" s="55">
        <v>0.3125</v>
      </c>
      <c r="BD13" s="55">
        <v>0.1053</v>
      </c>
      <c r="BE13" s="55">
        <v>0.1818</v>
      </c>
      <c r="BF13" s="118">
        <v>1</v>
      </c>
      <c r="BG13" s="49">
        <v>1</v>
      </c>
      <c r="BH13" s="49">
        <v>0</v>
      </c>
      <c r="BI13" s="49">
        <v>5</v>
      </c>
      <c r="BJ13" s="49">
        <v>1</v>
      </c>
      <c r="BK13" s="49">
        <v>5</v>
      </c>
      <c r="BL13" s="49">
        <v>1</v>
      </c>
      <c r="BM13" s="49">
        <v>8</v>
      </c>
      <c r="BN13" s="49">
        <v>0</v>
      </c>
      <c r="BO13" s="49">
        <v>1</v>
      </c>
      <c r="BP13" s="49">
        <v>1</v>
      </c>
      <c r="BQ13" s="120">
        <v>8</v>
      </c>
      <c r="BR13" s="115" t="s">
        <v>49</v>
      </c>
      <c r="BS13" s="115" t="s">
        <v>49</v>
      </c>
      <c r="BT13" s="115" t="s">
        <v>49</v>
      </c>
      <c r="BU13" s="115" t="s">
        <v>49</v>
      </c>
      <c r="BV13" s="115" t="s">
        <v>49</v>
      </c>
      <c r="BW13" s="115" t="s">
        <v>49</v>
      </c>
      <c r="BX13" s="115" t="s">
        <v>49</v>
      </c>
      <c r="BY13" s="115" t="s">
        <v>49</v>
      </c>
      <c r="BZ13" s="115" t="s">
        <v>49</v>
      </c>
      <c r="CA13" s="115" t="s">
        <v>49</v>
      </c>
      <c r="CB13" s="115" t="s">
        <v>49</v>
      </c>
      <c r="CC13" s="115" t="s">
        <v>49</v>
      </c>
      <c r="CD13" s="114" t="s">
        <v>53</v>
      </c>
      <c r="CE13" s="115" t="s">
        <v>53</v>
      </c>
      <c r="CF13" s="115" t="s">
        <v>53</v>
      </c>
      <c r="CG13" s="115" t="s">
        <v>53</v>
      </c>
      <c r="CH13" s="115" t="s">
        <v>53</v>
      </c>
      <c r="CI13" s="115" t="s">
        <v>53</v>
      </c>
      <c r="CJ13" s="115" t="s">
        <v>53</v>
      </c>
      <c r="CK13" s="115" t="s">
        <v>152</v>
      </c>
      <c r="CL13" s="115" t="s">
        <v>53</v>
      </c>
      <c r="CM13" s="115" t="s">
        <v>53</v>
      </c>
      <c r="CN13" s="115" t="s">
        <v>53</v>
      </c>
      <c r="CO13" s="121" t="s">
        <v>152</v>
      </c>
      <c r="CP13" s="115" t="s">
        <v>53</v>
      </c>
      <c r="CQ13" s="115" t="s">
        <v>53</v>
      </c>
      <c r="CR13" s="115" t="s">
        <v>53</v>
      </c>
      <c r="CS13" s="115" t="s">
        <v>53</v>
      </c>
      <c r="CT13" s="115" t="s">
        <v>53</v>
      </c>
      <c r="CU13" s="115" t="s">
        <v>53</v>
      </c>
      <c r="CV13" s="115" t="s">
        <v>53</v>
      </c>
      <c r="CW13" s="115" t="s">
        <v>53</v>
      </c>
      <c r="CX13" s="115" t="s">
        <v>53</v>
      </c>
      <c r="CY13" s="115" t="s">
        <v>53</v>
      </c>
      <c r="CZ13" s="115" t="s">
        <v>53</v>
      </c>
      <c r="DA13" s="115" t="s">
        <v>53</v>
      </c>
      <c r="DB13" s="118" t="s">
        <v>328</v>
      </c>
      <c r="DC13" s="49" t="s">
        <v>313</v>
      </c>
      <c r="DD13" s="49" t="s">
        <v>313</v>
      </c>
      <c r="DE13" s="49" t="s">
        <v>313</v>
      </c>
      <c r="DF13" s="49" t="s">
        <v>313</v>
      </c>
      <c r="DG13" s="49" t="s">
        <v>313</v>
      </c>
      <c r="DH13" s="49" t="s">
        <v>313</v>
      </c>
      <c r="DI13" s="49" t="s">
        <v>313</v>
      </c>
      <c r="DJ13" s="49" t="s">
        <v>313</v>
      </c>
      <c r="DK13" s="49" t="s">
        <v>313</v>
      </c>
      <c r="DL13" s="49" t="s">
        <v>313</v>
      </c>
      <c r="DM13" s="49" t="s">
        <v>313</v>
      </c>
      <c r="DN13" s="49" t="s">
        <v>313</v>
      </c>
      <c r="DO13" s="118" t="s">
        <v>328</v>
      </c>
      <c r="DP13" s="49" t="s">
        <v>58</v>
      </c>
      <c r="DQ13" s="49" t="s">
        <v>58</v>
      </c>
      <c r="DR13" s="49" t="s">
        <v>58</v>
      </c>
      <c r="DS13" s="49" t="s">
        <v>58</v>
      </c>
      <c r="DT13" s="49" t="s">
        <v>58</v>
      </c>
      <c r="DU13" s="49" t="s">
        <v>58</v>
      </c>
      <c r="DV13" s="49" t="s">
        <v>58</v>
      </c>
      <c r="DW13" s="49" t="s">
        <v>315</v>
      </c>
      <c r="DX13" s="49" t="s">
        <v>58</v>
      </c>
      <c r="DY13" s="49" t="s">
        <v>58</v>
      </c>
      <c r="DZ13" s="49" t="s">
        <v>58</v>
      </c>
      <c r="EA13" s="118" t="s">
        <v>49</v>
      </c>
      <c r="EB13" s="49" t="s">
        <v>49</v>
      </c>
      <c r="EC13" s="49" t="s">
        <v>49</v>
      </c>
      <c r="ED13" s="49" t="s">
        <v>62</v>
      </c>
      <c r="EE13" s="49" t="s">
        <v>49</v>
      </c>
      <c r="EF13" s="49" t="s">
        <v>49</v>
      </c>
      <c r="EG13" s="120" t="s">
        <v>49</v>
      </c>
      <c r="EH13" s="117">
        <v>1.66</v>
      </c>
      <c r="EI13" s="117">
        <v>26.15</v>
      </c>
      <c r="EJ13" s="55">
        <v>0.07</v>
      </c>
      <c r="EK13" s="55">
        <v>0.07</v>
      </c>
      <c r="EL13" s="55">
        <v>0.05</v>
      </c>
      <c r="EM13" s="55">
        <v>0.07</v>
      </c>
      <c r="EN13" s="55">
        <v>0.07</v>
      </c>
      <c r="EO13" s="122">
        <v>0.07</v>
      </c>
      <c r="EP13" s="117">
        <v>2.54</v>
      </c>
      <c r="EQ13" s="117">
        <v>49.33</v>
      </c>
    </row>
    <row r="14" customFormat="1" ht="22.5" customHeight="1" spans="1:147">
      <c r="A14" s="123">
        <v>12206</v>
      </c>
      <c r="B14" s="124" t="s">
        <v>329</v>
      </c>
      <c r="C14" s="125">
        <v>46086</v>
      </c>
      <c r="D14" s="111">
        <f>IF(_xlfn.XLOOKUP(A14,[1]分配表!J:J,[1]分配表!M:M)=0,"未出单",_xlfn.XLOOKUP(A14,[1]分配表!J:J,[1]分配表!M:M))</f>
        <v>46094</v>
      </c>
      <c r="E14" s="112" t="str">
        <f>_xlfn.XLOOKUP(A14,[1]分配表!A:A,[1]分配表!C:C)</f>
        <v>胡煜星</v>
      </c>
      <c r="F14" s="112" t="str">
        <f>IF(_xlfn.XLOOKUP($A14,[1]分配表!$A:$A,[1]分配表!D:D)=0,"未分类",_xlfn.XLOOKUP($A14,[1]分配表!$A:$A,[1]分配表!D:D))</f>
        <v>车门系统</v>
      </c>
      <c r="G14" s="112" t="str">
        <f>_xlfn.XLOOKUP(A14,[1]分配表!J:J,[1]分配表!I:I)</f>
        <v>原开品</v>
      </c>
      <c r="H14" s="49">
        <v>0</v>
      </c>
      <c r="I14" s="49">
        <v>2</v>
      </c>
      <c r="J14" s="49">
        <v>0</v>
      </c>
      <c r="K14" s="49">
        <v>0</v>
      </c>
      <c r="L14" s="49">
        <v>1</v>
      </c>
      <c r="M14" s="49">
        <v>1</v>
      </c>
      <c r="N14" s="49">
        <v>0</v>
      </c>
      <c r="O14" s="49">
        <v>2</v>
      </c>
      <c r="P14" s="49">
        <v>2</v>
      </c>
      <c r="Q14" s="49">
        <v>1</v>
      </c>
      <c r="R14" s="49">
        <v>1</v>
      </c>
      <c r="S14" s="49">
        <v>4</v>
      </c>
      <c r="T14" s="113">
        <f t="shared" si="0"/>
        <v>3</v>
      </c>
      <c r="U14" s="114">
        <v>0</v>
      </c>
      <c r="V14" s="115">
        <v>44</v>
      </c>
      <c r="W14" s="115">
        <v>0</v>
      </c>
      <c r="X14" s="115">
        <v>0</v>
      </c>
      <c r="Y14" s="115">
        <v>22</v>
      </c>
      <c r="Z14" s="115">
        <v>22</v>
      </c>
      <c r="AA14" s="115">
        <v>0</v>
      </c>
      <c r="AB14" s="116">
        <v>44</v>
      </c>
      <c r="AC14" s="117">
        <v>44</v>
      </c>
      <c r="AD14" s="117">
        <v>22</v>
      </c>
      <c r="AE14" s="117">
        <v>22</v>
      </c>
      <c r="AF14" s="117">
        <v>88</v>
      </c>
      <c r="AG14" s="115">
        <f t="shared" si="1"/>
        <v>66</v>
      </c>
      <c r="AH14" s="118">
        <v>7</v>
      </c>
      <c r="AI14" s="49">
        <v>6</v>
      </c>
      <c r="AJ14" s="49">
        <v>8</v>
      </c>
      <c r="AK14" s="49">
        <v>11</v>
      </c>
      <c r="AL14" s="49">
        <v>3</v>
      </c>
      <c r="AM14" s="49">
        <v>5</v>
      </c>
      <c r="AN14" s="49">
        <v>10</v>
      </c>
      <c r="AO14" s="49">
        <v>9</v>
      </c>
      <c r="AP14" s="49">
        <v>6</v>
      </c>
      <c r="AQ14" s="49">
        <v>4</v>
      </c>
      <c r="AR14" s="49">
        <v>3</v>
      </c>
      <c r="AS14" s="49">
        <v>4</v>
      </c>
      <c r="AT14" s="119">
        <v>0</v>
      </c>
      <c r="AU14" s="55">
        <v>0.25</v>
      </c>
      <c r="AV14" s="55">
        <v>0</v>
      </c>
      <c r="AW14" s="55">
        <v>0</v>
      </c>
      <c r="AX14" s="55">
        <v>0.25</v>
      </c>
      <c r="AY14" s="55">
        <v>0.166666666666667</v>
      </c>
      <c r="AZ14" s="55">
        <v>0</v>
      </c>
      <c r="BA14" s="55">
        <v>0.1818</v>
      </c>
      <c r="BB14" s="55">
        <v>0.25</v>
      </c>
      <c r="BC14" s="55">
        <v>0.2</v>
      </c>
      <c r="BD14" s="55">
        <v>0.25</v>
      </c>
      <c r="BE14" s="55">
        <v>0.4286</v>
      </c>
      <c r="BF14" s="118">
        <v>1</v>
      </c>
      <c r="BG14" s="49">
        <v>1</v>
      </c>
      <c r="BH14" s="49">
        <v>0</v>
      </c>
      <c r="BI14" s="49">
        <v>8</v>
      </c>
      <c r="BJ14" s="49">
        <v>0</v>
      </c>
      <c r="BK14" s="49">
        <v>6</v>
      </c>
      <c r="BL14" s="49">
        <v>1</v>
      </c>
      <c r="BM14" s="49">
        <v>8</v>
      </c>
      <c r="BN14" s="49">
        <v>0</v>
      </c>
      <c r="BO14" s="49">
        <v>7</v>
      </c>
      <c r="BP14" s="49">
        <v>1</v>
      </c>
      <c r="BQ14" s="120">
        <v>8</v>
      </c>
      <c r="BR14" s="115" t="s">
        <v>149</v>
      </c>
      <c r="BS14" s="115" t="s">
        <v>49</v>
      </c>
      <c r="BT14" s="115" t="s">
        <v>49</v>
      </c>
      <c r="BU14" s="115" t="s">
        <v>49</v>
      </c>
      <c r="BV14" s="115" t="s">
        <v>49</v>
      </c>
      <c r="BW14" s="115" t="s">
        <v>49</v>
      </c>
      <c r="BX14" s="115" t="s">
        <v>49</v>
      </c>
      <c r="BY14" s="115" t="s">
        <v>49</v>
      </c>
      <c r="BZ14" s="115" t="s">
        <v>49</v>
      </c>
      <c r="CA14" s="115" t="s">
        <v>49</v>
      </c>
      <c r="CB14" s="115" t="s">
        <v>49</v>
      </c>
      <c r="CC14" s="115" t="s">
        <v>49</v>
      </c>
      <c r="CD14" s="114" t="s">
        <v>53</v>
      </c>
      <c r="CE14" s="115" t="s">
        <v>53</v>
      </c>
      <c r="CF14" s="115" t="s">
        <v>53</v>
      </c>
      <c r="CG14" s="115" t="s">
        <v>152</v>
      </c>
      <c r="CH14" s="115" t="s">
        <v>53</v>
      </c>
      <c r="CI14" s="115" t="s">
        <v>53</v>
      </c>
      <c r="CJ14" s="115" t="s">
        <v>53</v>
      </c>
      <c r="CK14" s="115" t="s">
        <v>152</v>
      </c>
      <c r="CL14" s="115" t="s">
        <v>53</v>
      </c>
      <c r="CM14" s="115" t="s">
        <v>152</v>
      </c>
      <c r="CN14" s="115" t="s">
        <v>53</v>
      </c>
      <c r="CO14" s="121" t="s">
        <v>152</v>
      </c>
      <c r="CP14" s="115" t="s">
        <v>53</v>
      </c>
      <c r="CQ14" s="115" t="s">
        <v>53</v>
      </c>
      <c r="CR14" s="115" t="s">
        <v>53</v>
      </c>
      <c r="CS14" s="115" t="s">
        <v>53</v>
      </c>
      <c r="CT14" s="115" t="s">
        <v>53</v>
      </c>
      <c r="CU14" s="115" t="s">
        <v>53</v>
      </c>
      <c r="CV14" s="115" t="s">
        <v>53</v>
      </c>
      <c r="CW14" s="115" t="s">
        <v>53</v>
      </c>
      <c r="CX14" s="115" t="s">
        <v>53</v>
      </c>
      <c r="CY14" s="115" t="s">
        <v>53</v>
      </c>
      <c r="CZ14" s="115" t="s">
        <v>53</v>
      </c>
      <c r="DA14" s="115" t="s">
        <v>53</v>
      </c>
      <c r="DB14" s="118" t="s">
        <v>328</v>
      </c>
      <c r="DC14" s="49" t="s">
        <v>313</v>
      </c>
      <c r="DD14" s="49" t="s">
        <v>313</v>
      </c>
      <c r="DE14" s="49" t="s">
        <v>313</v>
      </c>
      <c r="DF14" s="49" t="s">
        <v>313</v>
      </c>
      <c r="DG14" s="49" t="s">
        <v>313</v>
      </c>
      <c r="DH14" s="49" t="s">
        <v>313</v>
      </c>
      <c r="DI14" s="49" t="s">
        <v>313</v>
      </c>
      <c r="DJ14" s="49" t="s">
        <v>313</v>
      </c>
      <c r="DK14" s="49" t="s">
        <v>313</v>
      </c>
      <c r="DL14" s="49" t="s">
        <v>313</v>
      </c>
      <c r="DM14" s="49" t="s">
        <v>313</v>
      </c>
      <c r="DN14" s="49" t="s">
        <v>313</v>
      </c>
      <c r="DO14" s="118" t="s">
        <v>328</v>
      </c>
      <c r="DP14" s="49" t="s">
        <v>58</v>
      </c>
      <c r="DQ14" s="49" t="s">
        <v>58</v>
      </c>
      <c r="DR14" s="49" t="s">
        <v>314</v>
      </c>
      <c r="DS14" s="49" t="s">
        <v>58</v>
      </c>
      <c r="DT14" s="49" t="s">
        <v>58</v>
      </c>
      <c r="DU14" s="49" t="s">
        <v>58</v>
      </c>
      <c r="DV14" s="49" t="s">
        <v>58</v>
      </c>
      <c r="DW14" s="49" t="s">
        <v>315</v>
      </c>
      <c r="DX14" s="49" t="s">
        <v>58</v>
      </c>
      <c r="DY14" s="49" t="s">
        <v>316</v>
      </c>
      <c r="DZ14" s="49" t="s">
        <v>58</v>
      </c>
      <c r="EA14" s="118" t="s">
        <v>49</v>
      </c>
      <c r="EB14" s="49" t="s">
        <v>49</v>
      </c>
      <c r="EC14" s="49" t="s">
        <v>49</v>
      </c>
      <c r="ED14" s="49" t="s">
        <v>62</v>
      </c>
      <c r="EE14" s="49" t="s">
        <v>49</v>
      </c>
      <c r="EF14" s="49" t="s">
        <v>49</v>
      </c>
      <c r="EG14" s="120" t="s">
        <v>49</v>
      </c>
      <c r="EH14" s="117">
        <v>0</v>
      </c>
      <c r="EI14" s="117">
        <v>0</v>
      </c>
      <c r="EJ14" s="55">
        <v>0.07</v>
      </c>
      <c r="EK14" s="55">
        <v>0.05</v>
      </c>
      <c r="EL14" s="55">
        <v>0.04</v>
      </c>
      <c r="EM14" s="55">
        <v>0.05</v>
      </c>
      <c r="EN14" s="55">
        <v>0.05</v>
      </c>
      <c r="EO14" s="122">
        <v>0.06</v>
      </c>
      <c r="EP14" s="117">
        <v>3.33</v>
      </c>
      <c r="EQ14" s="117">
        <v>71.46</v>
      </c>
    </row>
    <row r="15" customFormat="1" ht="22.5" customHeight="1" spans="1:147">
      <c r="A15" s="108">
        <v>11997</v>
      </c>
      <c r="B15" s="109" t="s">
        <v>330</v>
      </c>
      <c r="C15" s="110">
        <v>46091</v>
      </c>
      <c r="D15" s="111">
        <f>IF(_xlfn.XLOOKUP(A15,[1]分配表!J:J,[1]分配表!M:M)=0,"未出单",_xlfn.XLOOKUP(A15,[1]分配表!J:J,[1]分配表!M:M))</f>
        <v>46105</v>
      </c>
      <c r="E15" s="112" t="str">
        <f>_xlfn.XLOOKUP(A15,[1]分配表!A:A,[1]分配表!C:C)</f>
        <v>张潇</v>
      </c>
      <c r="F15" s="112" t="str">
        <f>IF(_xlfn.XLOOKUP($A15,[1]分配表!$A:$A,[1]分配表!D:D)=0,"未分类",_xlfn.XLOOKUP($A15,[1]分配表!$A:$A,[1]分配表!D:D))</f>
        <v>饰条</v>
      </c>
      <c r="G15" s="112" t="str">
        <f>_xlfn.XLOOKUP(A15,[1]分配表!J:J,[1]分配表!I:I)</f>
        <v>原开品</v>
      </c>
      <c r="H15" s="49">
        <v>0</v>
      </c>
      <c r="I15" s="49">
        <v>0</v>
      </c>
      <c r="J15" s="49">
        <v>1</v>
      </c>
      <c r="K15" s="49">
        <v>0</v>
      </c>
      <c r="L15" s="49">
        <v>2</v>
      </c>
      <c r="M15" s="49">
        <v>2</v>
      </c>
      <c r="N15" s="49">
        <v>3</v>
      </c>
      <c r="O15" s="49">
        <v>0</v>
      </c>
      <c r="P15" s="49">
        <v>1</v>
      </c>
      <c r="Q15" s="49">
        <v>1</v>
      </c>
      <c r="R15" s="49">
        <v>3</v>
      </c>
      <c r="S15" s="49">
        <v>1</v>
      </c>
      <c r="T15" s="113">
        <f t="shared" si="0"/>
        <v>-2</v>
      </c>
      <c r="U15" s="114">
        <v>0</v>
      </c>
      <c r="V15" s="115">
        <v>0</v>
      </c>
      <c r="W15" s="115">
        <v>139</v>
      </c>
      <c r="X15" s="115">
        <v>0</v>
      </c>
      <c r="Y15" s="115">
        <v>278</v>
      </c>
      <c r="Z15" s="115">
        <v>278</v>
      </c>
      <c r="AA15" s="115">
        <v>410.05</v>
      </c>
      <c r="AB15" s="116">
        <v>0</v>
      </c>
      <c r="AC15" s="117">
        <v>139</v>
      </c>
      <c r="AD15" s="117">
        <v>132.05</v>
      </c>
      <c r="AE15" s="117">
        <v>417</v>
      </c>
      <c r="AF15" s="117">
        <v>139</v>
      </c>
      <c r="AG15" s="115">
        <f t="shared" si="1"/>
        <v>-278</v>
      </c>
      <c r="AH15" s="118">
        <v>0</v>
      </c>
      <c r="AI15" s="49">
        <v>1</v>
      </c>
      <c r="AJ15" s="49">
        <v>0</v>
      </c>
      <c r="AK15" s="49">
        <v>2</v>
      </c>
      <c r="AL15" s="49">
        <v>0</v>
      </c>
      <c r="AM15" s="49">
        <v>1</v>
      </c>
      <c r="AN15" s="49">
        <v>0</v>
      </c>
      <c r="AO15" s="49">
        <v>0</v>
      </c>
      <c r="AP15" s="49">
        <v>0</v>
      </c>
      <c r="AQ15" s="49">
        <v>0</v>
      </c>
      <c r="AR15" s="49">
        <v>0</v>
      </c>
      <c r="AS15" s="49">
        <v>0</v>
      </c>
      <c r="AT15" s="119" t="s">
        <v>306</v>
      </c>
      <c r="AU15" s="55">
        <v>0</v>
      </c>
      <c r="AV15" s="55">
        <v>1</v>
      </c>
      <c r="AW15" s="55">
        <v>0</v>
      </c>
      <c r="AX15" s="55">
        <v>1</v>
      </c>
      <c r="AY15" s="55">
        <v>0.666666666666667</v>
      </c>
      <c r="AZ15" s="55">
        <v>1</v>
      </c>
      <c r="BA15" s="55">
        <v>1</v>
      </c>
      <c r="BB15" s="55">
        <v>1</v>
      </c>
      <c r="BC15" s="55" t="s">
        <v>306</v>
      </c>
      <c r="BD15" s="55">
        <v>1</v>
      </c>
      <c r="BE15" s="55">
        <v>1</v>
      </c>
      <c r="BF15" s="118" t="s">
        <v>308</v>
      </c>
      <c r="BG15" s="49">
        <v>7</v>
      </c>
      <c r="BH15" s="49">
        <v>7</v>
      </c>
      <c r="BI15" s="49">
        <v>15</v>
      </c>
      <c r="BJ15" s="49">
        <v>1</v>
      </c>
      <c r="BK15" s="49">
        <v>9</v>
      </c>
      <c r="BL15" s="49">
        <v>2</v>
      </c>
      <c r="BM15" s="49">
        <v>9</v>
      </c>
      <c r="BN15" s="49">
        <v>16</v>
      </c>
      <c r="BO15" s="49">
        <v>23</v>
      </c>
      <c r="BP15" s="49">
        <v>30</v>
      </c>
      <c r="BQ15" s="120">
        <v>37</v>
      </c>
      <c r="BR15" s="115" t="s">
        <v>149</v>
      </c>
      <c r="BS15" s="115" t="s">
        <v>149</v>
      </c>
      <c r="BT15" s="115" t="s">
        <v>62</v>
      </c>
      <c r="BU15" s="115" t="s">
        <v>62</v>
      </c>
      <c r="BV15" s="115" t="s">
        <v>62</v>
      </c>
      <c r="BW15" s="115" t="s">
        <v>62</v>
      </c>
      <c r="BX15" s="115" t="s">
        <v>62</v>
      </c>
      <c r="BY15" s="115" t="s">
        <v>62</v>
      </c>
      <c r="BZ15" s="115" t="s">
        <v>62</v>
      </c>
      <c r="CA15" s="115" t="s">
        <v>62</v>
      </c>
      <c r="CB15" s="115" t="s">
        <v>62</v>
      </c>
      <c r="CC15" s="115" t="s">
        <v>62</v>
      </c>
      <c r="CD15" s="114" t="s">
        <v>152</v>
      </c>
      <c r="CE15" s="115" t="s">
        <v>53</v>
      </c>
      <c r="CF15" s="115" t="s">
        <v>53</v>
      </c>
      <c r="CG15" s="115" t="s">
        <v>152</v>
      </c>
      <c r="CH15" s="115" t="s">
        <v>53</v>
      </c>
      <c r="CI15" s="115" t="s">
        <v>152</v>
      </c>
      <c r="CJ15" s="115" t="s">
        <v>53</v>
      </c>
      <c r="CK15" s="115" t="s">
        <v>53</v>
      </c>
      <c r="CL15" s="115" t="s">
        <v>53</v>
      </c>
      <c r="CM15" s="115" t="s">
        <v>53</v>
      </c>
      <c r="CN15" s="115" t="s">
        <v>53</v>
      </c>
      <c r="CO15" s="121" t="s">
        <v>53</v>
      </c>
      <c r="CP15" s="115" t="s">
        <v>152</v>
      </c>
      <c r="CQ15" s="115" t="s">
        <v>53</v>
      </c>
      <c r="CR15" s="115" t="s">
        <v>53</v>
      </c>
      <c r="CS15" s="115" t="s">
        <v>53</v>
      </c>
      <c r="CT15" s="115" t="s">
        <v>53</v>
      </c>
      <c r="CU15" s="115" t="s">
        <v>53</v>
      </c>
      <c r="CV15" s="115" t="s">
        <v>53</v>
      </c>
      <c r="CW15" s="115" t="s">
        <v>53</v>
      </c>
      <c r="CX15" s="115" t="s">
        <v>53</v>
      </c>
      <c r="CY15" s="115" t="s">
        <v>53</v>
      </c>
      <c r="CZ15" s="115" t="s">
        <v>53</v>
      </c>
      <c r="DA15" s="115" t="s">
        <v>53</v>
      </c>
      <c r="DB15" s="118" t="s">
        <v>328</v>
      </c>
      <c r="DC15" s="49" t="s">
        <v>307</v>
      </c>
      <c r="DD15" s="49" t="s">
        <v>313</v>
      </c>
      <c r="DE15" s="49" t="s">
        <v>307</v>
      </c>
      <c r="DF15" s="49" t="s">
        <v>53</v>
      </c>
      <c r="DG15" s="49" t="s">
        <v>53</v>
      </c>
      <c r="DH15" s="49" t="s">
        <v>313</v>
      </c>
      <c r="DI15" s="49" t="s">
        <v>53</v>
      </c>
      <c r="DJ15" s="49" t="s">
        <v>53</v>
      </c>
      <c r="DK15" s="49" t="s">
        <v>53</v>
      </c>
      <c r="DL15" s="49" t="s">
        <v>307</v>
      </c>
      <c r="DM15" s="49" t="s">
        <v>53</v>
      </c>
      <c r="DN15" s="49" t="s">
        <v>53</v>
      </c>
      <c r="DO15" s="118" t="s">
        <v>328</v>
      </c>
      <c r="DP15" s="49" t="s">
        <v>331</v>
      </c>
      <c r="DQ15" s="49" t="s">
        <v>308</v>
      </c>
      <c r="DR15" s="49" t="s">
        <v>310</v>
      </c>
      <c r="DS15" s="49" t="s">
        <v>58</v>
      </c>
      <c r="DT15" s="49" t="s">
        <v>58</v>
      </c>
      <c r="DU15" s="49" t="s">
        <v>310</v>
      </c>
      <c r="DV15" s="49" t="s">
        <v>58</v>
      </c>
      <c r="DW15" s="49" t="s">
        <v>58</v>
      </c>
      <c r="DX15" s="49" t="s">
        <v>58</v>
      </c>
      <c r="DY15" s="49" t="s">
        <v>58</v>
      </c>
      <c r="DZ15" s="49" t="s">
        <v>58</v>
      </c>
      <c r="EA15" s="118" t="s">
        <v>62</v>
      </c>
      <c r="EB15" s="49" t="s">
        <v>62</v>
      </c>
      <c r="EC15" s="49" t="s">
        <v>62</v>
      </c>
      <c r="ED15" s="49" t="s">
        <v>62</v>
      </c>
      <c r="EE15" s="49" t="s">
        <v>62</v>
      </c>
      <c r="EF15" s="49" t="s">
        <v>62</v>
      </c>
      <c r="EG15" s="120" t="s">
        <v>62</v>
      </c>
      <c r="EH15" s="117">
        <v>0</v>
      </c>
      <c r="EI15" s="117">
        <v>0</v>
      </c>
      <c r="EJ15" s="55">
        <v>0.02</v>
      </c>
      <c r="EK15" s="55">
        <v>0.02</v>
      </c>
      <c r="EL15" s="55">
        <v>0.02</v>
      </c>
      <c r="EM15" s="55">
        <v>0.02</v>
      </c>
      <c r="EN15" s="55">
        <v>0.02</v>
      </c>
      <c r="EO15" s="122">
        <v>0.02</v>
      </c>
      <c r="EP15" s="117">
        <v>8.79</v>
      </c>
      <c r="EQ15" s="117">
        <v>439.94</v>
      </c>
    </row>
    <row r="16" customFormat="1" ht="22.5" customHeight="1" spans="1:147">
      <c r="A16" s="108">
        <v>12262</v>
      </c>
      <c r="B16" s="109" t="s">
        <v>332</v>
      </c>
      <c r="C16" s="110">
        <v>46091</v>
      </c>
      <c r="D16" s="111">
        <f>IF(_xlfn.XLOOKUP(A16,[1]分配表!J:J,[1]分配表!M:M)=0,"未出单",_xlfn.XLOOKUP(A16,[1]分配表!J:J,[1]分配表!M:M))</f>
        <v>46094</v>
      </c>
      <c r="E16" s="112" t="str">
        <f>_xlfn.XLOOKUP(A16,[1]分配表!A:A,[1]分配表!C:C)</f>
        <v>张潇</v>
      </c>
      <c r="F16" s="112" t="str">
        <f>IF(_xlfn.XLOOKUP($A16,[1]分配表!$A:$A,[1]分配表!D:D)=0,"未分类",_xlfn.XLOOKUP($A16,[1]分配表!$A:$A,[1]分配表!D:D))</f>
        <v>机盖及附件</v>
      </c>
      <c r="G16" s="112" t="str">
        <f>_xlfn.XLOOKUP(A16,[1]分配表!J:J,[1]分配表!I:I)</f>
        <v>原开品</v>
      </c>
      <c r="H16" s="49">
        <v>0</v>
      </c>
      <c r="I16" s="49">
        <v>1</v>
      </c>
      <c r="J16" s="49">
        <v>1</v>
      </c>
      <c r="K16" s="49">
        <v>1</v>
      </c>
      <c r="L16" s="49">
        <v>2</v>
      </c>
      <c r="M16" s="49">
        <v>2</v>
      </c>
      <c r="N16" s="49">
        <v>0</v>
      </c>
      <c r="O16" s="49">
        <v>0</v>
      </c>
      <c r="P16" s="49">
        <v>1</v>
      </c>
      <c r="Q16" s="49">
        <v>0</v>
      </c>
      <c r="R16" s="49">
        <v>1</v>
      </c>
      <c r="S16" s="49">
        <v>1</v>
      </c>
      <c r="T16" s="113">
        <f t="shared" si="0"/>
        <v>0</v>
      </c>
      <c r="U16" s="114">
        <v>0</v>
      </c>
      <c r="V16" s="115">
        <v>142</v>
      </c>
      <c r="W16" s="115">
        <v>142</v>
      </c>
      <c r="X16" s="115">
        <v>142</v>
      </c>
      <c r="Y16" s="115">
        <v>284</v>
      </c>
      <c r="Z16" s="115">
        <v>284</v>
      </c>
      <c r="AA16" s="115">
        <v>0</v>
      </c>
      <c r="AB16" s="116">
        <v>0</v>
      </c>
      <c r="AC16" s="117">
        <v>142</v>
      </c>
      <c r="AD16" s="117">
        <v>0</v>
      </c>
      <c r="AE16" s="117">
        <v>142</v>
      </c>
      <c r="AF16" s="117">
        <v>142</v>
      </c>
      <c r="AG16" s="115">
        <f t="shared" si="1"/>
        <v>0</v>
      </c>
      <c r="AH16" s="118">
        <v>0</v>
      </c>
      <c r="AI16" s="49">
        <v>1</v>
      </c>
      <c r="AJ16" s="49">
        <v>0</v>
      </c>
      <c r="AK16" s="49">
        <v>0</v>
      </c>
      <c r="AL16" s="49">
        <v>1</v>
      </c>
      <c r="AM16" s="49">
        <v>0</v>
      </c>
      <c r="AN16" s="49">
        <v>0</v>
      </c>
      <c r="AO16" s="49">
        <v>0</v>
      </c>
      <c r="AP16" s="49">
        <v>0</v>
      </c>
      <c r="AQ16" s="49">
        <v>1</v>
      </c>
      <c r="AR16" s="49">
        <v>0</v>
      </c>
      <c r="AS16" s="49">
        <v>1</v>
      </c>
      <c r="AT16" s="119" t="s">
        <v>306</v>
      </c>
      <c r="AU16" s="55">
        <v>0.5</v>
      </c>
      <c r="AV16" s="55">
        <v>1</v>
      </c>
      <c r="AW16" s="55">
        <v>1</v>
      </c>
      <c r="AX16" s="55">
        <v>0.666666666666667</v>
      </c>
      <c r="AY16" s="55">
        <v>1</v>
      </c>
      <c r="AZ16" s="55">
        <v>1</v>
      </c>
      <c r="BA16" s="55" t="s">
        <v>306</v>
      </c>
      <c r="BB16" s="55" t="s">
        <v>306</v>
      </c>
      <c r="BC16" s="55">
        <v>0.5</v>
      </c>
      <c r="BD16" s="55">
        <v>1</v>
      </c>
      <c r="BE16" s="55">
        <v>0.5</v>
      </c>
      <c r="BF16" s="118" t="s">
        <v>308</v>
      </c>
      <c r="BG16" s="49">
        <v>7</v>
      </c>
      <c r="BH16" s="49">
        <v>14</v>
      </c>
      <c r="BI16" s="49">
        <v>3</v>
      </c>
      <c r="BJ16" s="49">
        <v>9</v>
      </c>
      <c r="BK16" s="49">
        <v>5</v>
      </c>
      <c r="BL16" s="49">
        <v>11</v>
      </c>
      <c r="BM16" s="49">
        <v>18</v>
      </c>
      <c r="BN16" s="49">
        <v>25</v>
      </c>
      <c r="BO16" s="49">
        <v>32</v>
      </c>
      <c r="BP16" s="49">
        <v>39</v>
      </c>
      <c r="BQ16" s="120">
        <v>46</v>
      </c>
      <c r="BR16" s="115" t="s">
        <v>149</v>
      </c>
      <c r="BS16" s="115" t="s">
        <v>49</v>
      </c>
      <c r="BT16" s="115" t="s">
        <v>49</v>
      </c>
      <c r="BU16" s="115" t="s">
        <v>49</v>
      </c>
      <c r="BV16" s="115" t="s">
        <v>49</v>
      </c>
      <c r="BW16" s="115" t="s">
        <v>49</v>
      </c>
      <c r="BX16" s="115" t="s">
        <v>49</v>
      </c>
      <c r="BY16" s="115" t="s">
        <v>49</v>
      </c>
      <c r="BZ16" s="115" t="s">
        <v>49</v>
      </c>
      <c r="CA16" s="115" t="s">
        <v>49</v>
      </c>
      <c r="CB16" s="115" t="s">
        <v>49</v>
      </c>
      <c r="CC16" s="115" t="s">
        <v>49</v>
      </c>
      <c r="CD16" s="114" t="s">
        <v>152</v>
      </c>
      <c r="CE16" s="115" t="s">
        <v>53</v>
      </c>
      <c r="CF16" s="115" t="s">
        <v>152</v>
      </c>
      <c r="CG16" s="115" t="s">
        <v>53</v>
      </c>
      <c r="CH16" s="115" t="s">
        <v>152</v>
      </c>
      <c r="CI16" s="115" t="s">
        <v>53</v>
      </c>
      <c r="CJ16" s="115" t="s">
        <v>53</v>
      </c>
      <c r="CK16" s="115" t="s">
        <v>53</v>
      </c>
      <c r="CL16" s="115" t="s">
        <v>53</v>
      </c>
      <c r="CM16" s="115" t="s">
        <v>152</v>
      </c>
      <c r="CN16" s="115" t="s">
        <v>53</v>
      </c>
      <c r="CO16" s="121" t="s">
        <v>152</v>
      </c>
      <c r="CP16" s="115" t="s">
        <v>152</v>
      </c>
      <c r="CQ16" s="115" t="s">
        <v>53</v>
      </c>
      <c r="CR16" s="115" t="s">
        <v>53</v>
      </c>
      <c r="CS16" s="115" t="s">
        <v>53</v>
      </c>
      <c r="CT16" s="115" t="s">
        <v>53</v>
      </c>
      <c r="CU16" s="115" t="s">
        <v>53</v>
      </c>
      <c r="CV16" s="115" t="s">
        <v>53</v>
      </c>
      <c r="CW16" s="115" t="s">
        <v>53</v>
      </c>
      <c r="CX16" s="115" t="s">
        <v>53</v>
      </c>
      <c r="CY16" s="115" t="s">
        <v>53</v>
      </c>
      <c r="CZ16" s="115" t="s">
        <v>53</v>
      </c>
      <c r="DA16" s="115" t="s">
        <v>53</v>
      </c>
      <c r="DB16" s="118" t="s">
        <v>328</v>
      </c>
      <c r="DC16" s="49" t="s">
        <v>307</v>
      </c>
      <c r="DD16" s="49" t="s">
        <v>313</v>
      </c>
      <c r="DE16" s="49" t="s">
        <v>53</v>
      </c>
      <c r="DF16" s="49" t="s">
        <v>53</v>
      </c>
      <c r="DG16" s="49" t="s">
        <v>313</v>
      </c>
      <c r="DH16" s="49" t="s">
        <v>53</v>
      </c>
      <c r="DI16" s="49" t="s">
        <v>53</v>
      </c>
      <c r="DJ16" s="49" t="s">
        <v>307</v>
      </c>
      <c r="DK16" s="49" t="s">
        <v>156</v>
      </c>
      <c r="DL16" s="49" t="s">
        <v>313</v>
      </c>
      <c r="DM16" s="49" t="s">
        <v>53</v>
      </c>
      <c r="DN16" s="49" t="s">
        <v>313</v>
      </c>
      <c r="DO16" s="118" t="s">
        <v>328</v>
      </c>
      <c r="DP16" s="49" t="s">
        <v>310</v>
      </c>
      <c r="DQ16" s="49" t="s">
        <v>58</v>
      </c>
      <c r="DR16" s="49" t="s">
        <v>58</v>
      </c>
      <c r="DS16" s="49" t="s">
        <v>58</v>
      </c>
      <c r="DT16" s="49" t="s">
        <v>310</v>
      </c>
      <c r="DU16" s="49" t="s">
        <v>58</v>
      </c>
      <c r="DV16" s="49" t="s">
        <v>58</v>
      </c>
      <c r="DW16" s="49" t="s">
        <v>58</v>
      </c>
      <c r="DX16" s="49" t="s">
        <v>58</v>
      </c>
      <c r="DY16" s="49" t="s">
        <v>316</v>
      </c>
      <c r="DZ16" s="49" t="s">
        <v>58</v>
      </c>
      <c r="EA16" s="118" t="s">
        <v>62</v>
      </c>
      <c r="EB16" s="49" t="s">
        <v>62</v>
      </c>
      <c r="EC16" s="49" t="s">
        <v>62</v>
      </c>
      <c r="ED16" s="49" t="s">
        <v>62</v>
      </c>
      <c r="EE16" s="49" t="s">
        <v>62</v>
      </c>
      <c r="EF16" s="49" t="s">
        <v>62</v>
      </c>
      <c r="EG16" s="120" t="s">
        <v>62</v>
      </c>
      <c r="EH16" s="117">
        <v>0</v>
      </c>
      <c r="EI16" s="117">
        <v>0</v>
      </c>
      <c r="EJ16" s="55">
        <v>0.02</v>
      </c>
      <c r="EK16" s="55">
        <v>0.02</v>
      </c>
      <c r="EL16" s="55">
        <v>0.02</v>
      </c>
      <c r="EM16" s="55">
        <v>0.02</v>
      </c>
      <c r="EN16" s="55">
        <v>0.02</v>
      </c>
      <c r="EO16" s="122">
        <v>0.02</v>
      </c>
      <c r="EP16" s="117">
        <v>0</v>
      </c>
      <c r="EQ16" s="117">
        <v>0</v>
      </c>
    </row>
    <row r="17" customFormat="1" ht="22.5" customHeight="1" spans="1:147">
      <c r="A17" s="108">
        <v>12244</v>
      </c>
      <c r="B17" s="109" t="s">
        <v>333</v>
      </c>
      <c r="C17" s="110">
        <v>46091</v>
      </c>
      <c r="D17" s="111">
        <f>IF(_xlfn.XLOOKUP(A17,[1]分配表!J:J,[1]分配表!M:M)=0,"未出单",_xlfn.XLOOKUP(A17,[1]分配表!J:J,[1]分配表!M:M))</f>
        <v>46101</v>
      </c>
      <c r="E17" s="112" t="str">
        <f>_xlfn.XLOOKUP(A17,[1]分配表!A:A,[1]分配表!C:C)</f>
        <v>张潇</v>
      </c>
      <c r="F17" s="112" t="str">
        <f>IF(_xlfn.XLOOKUP($A17,[1]分配表!$A:$A,[1]分配表!D:D)=0,"未分类",_xlfn.XLOOKUP($A17,[1]分配表!$A:$A,[1]分配表!D:D))</f>
        <v>饰条</v>
      </c>
      <c r="G17" s="112" t="str">
        <f>_xlfn.XLOOKUP(A17,[1]分配表!J:J,[1]分配表!I:I)</f>
        <v>原开品</v>
      </c>
      <c r="H17" s="49">
        <v>0</v>
      </c>
      <c r="I17" s="49">
        <v>0</v>
      </c>
      <c r="J17" s="49">
        <v>1</v>
      </c>
      <c r="K17" s="49">
        <v>3</v>
      </c>
      <c r="L17" s="49">
        <v>2</v>
      </c>
      <c r="M17" s="49">
        <v>0</v>
      </c>
      <c r="N17" s="49">
        <v>1</v>
      </c>
      <c r="O17" s="49">
        <v>0</v>
      </c>
      <c r="P17" s="49">
        <v>0</v>
      </c>
      <c r="Q17" s="49">
        <v>1</v>
      </c>
      <c r="R17" s="49">
        <v>0</v>
      </c>
      <c r="S17" s="49">
        <v>0</v>
      </c>
      <c r="T17" s="113">
        <f t="shared" si="0"/>
        <v>0</v>
      </c>
      <c r="U17" s="114">
        <v>0</v>
      </c>
      <c r="V17" s="115">
        <v>0</v>
      </c>
      <c r="W17" s="115">
        <v>38</v>
      </c>
      <c r="X17" s="115">
        <v>114</v>
      </c>
      <c r="Y17" s="115">
        <v>76</v>
      </c>
      <c r="Z17" s="115">
        <v>0</v>
      </c>
      <c r="AA17" s="115">
        <v>38</v>
      </c>
      <c r="AB17" s="116">
        <v>0</v>
      </c>
      <c r="AC17" s="117">
        <v>0</v>
      </c>
      <c r="AD17" s="117">
        <v>38</v>
      </c>
      <c r="AE17" s="117">
        <v>0</v>
      </c>
      <c r="AF17" s="117">
        <v>0</v>
      </c>
      <c r="AG17" s="115">
        <f t="shared" si="1"/>
        <v>0</v>
      </c>
      <c r="AH17" s="118">
        <v>0</v>
      </c>
      <c r="AI17" s="49">
        <v>0</v>
      </c>
      <c r="AJ17" s="49">
        <v>1</v>
      </c>
      <c r="AK17" s="49">
        <v>0</v>
      </c>
      <c r="AL17" s="49">
        <v>0</v>
      </c>
      <c r="AM17" s="49">
        <v>0</v>
      </c>
      <c r="AN17" s="49">
        <v>1</v>
      </c>
      <c r="AO17" s="49">
        <v>0</v>
      </c>
      <c r="AP17" s="49">
        <v>1</v>
      </c>
      <c r="AQ17" s="49">
        <v>0</v>
      </c>
      <c r="AR17" s="49">
        <v>1</v>
      </c>
      <c r="AS17" s="49">
        <v>3</v>
      </c>
      <c r="AT17" s="119" t="s">
        <v>306</v>
      </c>
      <c r="AU17" s="55" t="s">
        <v>306</v>
      </c>
      <c r="AV17" s="55">
        <v>0.5</v>
      </c>
      <c r="AW17" s="55">
        <v>1</v>
      </c>
      <c r="AX17" s="55">
        <v>1</v>
      </c>
      <c r="AY17" s="55">
        <v>0</v>
      </c>
      <c r="AZ17" s="55">
        <v>0.5</v>
      </c>
      <c r="BA17" s="55" t="s">
        <v>306</v>
      </c>
      <c r="BB17" s="55">
        <v>0</v>
      </c>
      <c r="BC17" s="55" t="s">
        <v>306</v>
      </c>
      <c r="BD17" s="55">
        <v>0.5</v>
      </c>
      <c r="BE17" s="55">
        <v>0</v>
      </c>
      <c r="BF17" s="118" t="s">
        <v>308</v>
      </c>
      <c r="BG17" s="49">
        <v>7</v>
      </c>
      <c r="BH17" s="49">
        <v>7</v>
      </c>
      <c r="BI17" s="49">
        <v>15</v>
      </c>
      <c r="BJ17" s="49">
        <v>0</v>
      </c>
      <c r="BK17" s="49">
        <v>8</v>
      </c>
      <c r="BL17" s="49">
        <v>0</v>
      </c>
      <c r="BM17" s="49">
        <v>0</v>
      </c>
      <c r="BN17" s="49">
        <v>7</v>
      </c>
      <c r="BO17" s="49">
        <v>2</v>
      </c>
      <c r="BP17" s="49">
        <v>5</v>
      </c>
      <c r="BQ17" s="120">
        <v>12</v>
      </c>
      <c r="BR17" s="115" t="s">
        <v>149</v>
      </c>
      <c r="BS17" s="115" t="s">
        <v>149</v>
      </c>
      <c r="BT17" s="115" t="s">
        <v>62</v>
      </c>
      <c r="BU17" s="115" t="s">
        <v>62</v>
      </c>
      <c r="BV17" s="115" t="s">
        <v>62</v>
      </c>
      <c r="BW17" s="115" t="s">
        <v>62</v>
      </c>
      <c r="BX17" s="115" t="s">
        <v>62</v>
      </c>
      <c r="BY17" s="115" t="s">
        <v>62</v>
      </c>
      <c r="BZ17" s="115" t="s">
        <v>62</v>
      </c>
      <c r="CA17" s="115" t="s">
        <v>62</v>
      </c>
      <c r="CB17" s="115" t="s">
        <v>62</v>
      </c>
      <c r="CC17" s="115" t="s">
        <v>62</v>
      </c>
      <c r="CD17" s="114" t="s">
        <v>152</v>
      </c>
      <c r="CE17" s="115" t="s">
        <v>53</v>
      </c>
      <c r="CF17" s="115" t="s">
        <v>53</v>
      </c>
      <c r="CG17" s="115" t="s">
        <v>152</v>
      </c>
      <c r="CH17" s="115" t="s">
        <v>53</v>
      </c>
      <c r="CI17" s="115" t="s">
        <v>53</v>
      </c>
      <c r="CJ17" s="115" t="s">
        <v>53</v>
      </c>
      <c r="CK17" s="115" t="s">
        <v>53</v>
      </c>
      <c r="CL17" s="115" t="s">
        <v>152</v>
      </c>
      <c r="CM17" s="115" t="s">
        <v>53</v>
      </c>
      <c r="CN17" s="115" t="s">
        <v>53</v>
      </c>
      <c r="CO17" s="121" t="s">
        <v>152</v>
      </c>
      <c r="CP17" s="115" t="s">
        <v>152</v>
      </c>
      <c r="CQ17" s="115" t="s">
        <v>53</v>
      </c>
      <c r="CR17" s="115" t="s">
        <v>53</v>
      </c>
      <c r="CS17" s="115" t="s">
        <v>53</v>
      </c>
      <c r="CT17" s="115" t="s">
        <v>53</v>
      </c>
      <c r="CU17" s="115" t="s">
        <v>53</v>
      </c>
      <c r="CV17" s="115" t="s">
        <v>53</v>
      </c>
      <c r="CW17" s="115" t="s">
        <v>53</v>
      </c>
      <c r="CX17" s="115" t="s">
        <v>53</v>
      </c>
      <c r="CY17" s="115" t="s">
        <v>53</v>
      </c>
      <c r="CZ17" s="115" t="s">
        <v>53</v>
      </c>
      <c r="DA17" s="115" t="s">
        <v>53</v>
      </c>
      <c r="DB17" s="118" t="s">
        <v>328</v>
      </c>
      <c r="DC17" s="49" t="s">
        <v>307</v>
      </c>
      <c r="DD17" s="49" t="s">
        <v>307</v>
      </c>
      <c r="DE17" s="49" t="s">
        <v>313</v>
      </c>
      <c r="DF17" s="49" t="s">
        <v>53</v>
      </c>
      <c r="DG17" s="49" t="s">
        <v>53</v>
      </c>
      <c r="DH17" s="49" t="s">
        <v>53</v>
      </c>
      <c r="DI17" s="49" t="s">
        <v>313</v>
      </c>
      <c r="DJ17" s="49" t="s">
        <v>307</v>
      </c>
      <c r="DK17" s="49" t="s">
        <v>313</v>
      </c>
      <c r="DL17" s="49" t="s">
        <v>307</v>
      </c>
      <c r="DM17" s="49" t="s">
        <v>313</v>
      </c>
      <c r="DN17" s="49" t="s">
        <v>313</v>
      </c>
      <c r="DO17" s="118" t="s">
        <v>328</v>
      </c>
      <c r="DP17" s="49" t="s">
        <v>322</v>
      </c>
      <c r="DQ17" s="49" t="s">
        <v>308</v>
      </c>
      <c r="DR17" s="49" t="s">
        <v>310</v>
      </c>
      <c r="DS17" s="49" t="s">
        <v>58</v>
      </c>
      <c r="DT17" s="49" t="s">
        <v>58</v>
      </c>
      <c r="DU17" s="49" t="s">
        <v>58</v>
      </c>
      <c r="DV17" s="49" t="s">
        <v>58</v>
      </c>
      <c r="DW17" s="49" t="s">
        <v>58</v>
      </c>
      <c r="DX17" s="49" t="s">
        <v>310</v>
      </c>
      <c r="DY17" s="49" t="s">
        <v>58</v>
      </c>
      <c r="DZ17" s="49" t="s">
        <v>58</v>
      </c>
      <c r="EA17" s="118" t="s">
        <v>49</v>
      </c>
      <c r="EB17" s="49" t="s">
        <v>49</v>
      </c>
      <c r="EC17" s="49" t="s">
        <v>49</v>
      </c>
      <c r="ED17" s="49" t="s">
        <v>49</v>
      </c>
      <c r="EE17" s="49" t="s">
        <v>49</v>
      </c>
      <c r="EF17" s="49" t="s">
        <v>49</v>
      </c>
      <c r="EG17" s="120" t="s">
        <v>49</v>
      </c>
      <c r="EH17" s="117">
        <v>0.36</v>
      </c>
      <c r="EI17" s="117">
        <v>0</v>
      </c>
      <c r="EJ17" s="55">
        <v>0.02</v>
      </c>
      <c r="EK17" s="55">
        <v>0</v>
      </c>
      <c r="EL17" s="55">
        <v>0</v>
      </c>
      <c r="EM17" s="55">
        <v>0</v>
      </c>
      <c r="EN17" s="55">
        <v>0.02</v>
      </c>
      <c r="EO17" s="122">
        <v>0.02</v>
      </c>
      <c r="EP17" s="117">
        <v>0</v>
      </c>
      <c r="EQ17" s="117">
        <v>0</v>
      </c>
    </row>
    <row r="18" customFormat="1" ht="22.5" customHeight="1" spans="1:147">
      <c r="A18" s="108">
        <v>12243</v>
      </c>
      <c r="B18" s="109" t="s">
        <v>334</v>
      </c>
      <c r="C18" s="110">
        <v>46091</v>
      </c>
      <c r="D18" s="111">
        <f>IF(_xlfn.XLOOKUP(A18,[1]分配表!J:J,[1]分配表!M:M)=0,"未出单",_xlfn.XLOOKUP(A18,[1]分配表!J:J,[1]分配表!M:M))</f>
        <v>46106</v>
      </c>
      <c r="E18" s="112" t="str">
        <f>_xlfn.XLOOKUP(A18,[1]分配表!A:A,[1]分配表!C:C)</f>
        <v>张潇</v>
      </c>
      <c r="F18" s="112" t="str">
        <f>IF(_xlfn.XLOOKUP($A18,[1]分配表!$A:$A,[1]分配表!D:D)=0,"未分类",_xlfn.XLOOKUP($A18,[1]分配表!$A:$A,[1]分配表!D:D))</f>
        <v>饰条</v>
      </c>
      <c r="G18" s="112" t="str">
        <f>_xlfn.XLOOKUP(A18,[1]分配表!J:J,[1]分配表!I:I)</f>
        <v>原开品</v>
      </c>
      <c r="H18" s="49">
        <v>0</v>
      </c>
      <c r="I18" s="49">
        <v>0</v>
      </c>
      <c r="J18" s="49">
        <v>1</v>
      </c>
      <c r="K18" s="49">
        <v>5</v>
      </c>
      <c r="L18" s="49">
        <v>0</v>
      </c>
      <c r="M18" s="49">
        <v>0</v>
      </c>
      <c r="N18" s="49">
        <v>1</v>
      </c>
      <c r="O18" s="49">
        <v>1</v>
      </c>
      <c r="P18" s="49">
        <v>1</v>
      </c>
      <c r="Q18" s="49">
        <v>2</v>
      </c>
      <c r="R18" s="49">
        <v>1</v>
      </c>
      <c r="S18" s="49">
        <v>2</v>
      </c>
      <c r="T18" s="113">
        <f t="shared" si="0"/>
        <v>1</v>
      </c>
      <c r="U18" s="114">
        <v>0</v>
      </c>
      <c r="V18" s="115">
        <v>0</v>
      </c>
      <c r="W18" s="115">
        <v>38</v>
      </c>
      <c r="X18" s="115">
        <v>190</v>
      </c>
      <c r="Y18" s="115">
        <v>0</v>
      </c>
      <c r="Z18" s="115">
        <v>0</v>
      </c>
      <c r="AA18" s="115">
        <v>38</v>
      </c>
      <c r="AB18" s="116">
        <v>38</v>
      </c>
      <c r="AC18" s="117">
        <v>38</v>
      </c>
      <c r="AD18" s="117">
        <v>76</v>
      </c>
      <c r="AE18" s="117">
        <v>36.1</v>
      </c>
      <c r="AF18" s="117">
        <v>74.86</v>
      </c>
      <c r="AG18" s="115">
        <f t="shared" si="1"/>
        <v>38.76</v>
      </c>
      <c r="AH18" s="118">
        <v>0</v>
      </c>
      <c r="AI18" s="49">
        <v>3</v>
      </c>
      <c r="AJ18" s="49">
        <v>1</v>
      </c>
      <c r="AK18" s="49">
        <v>0</v>
      </c>
      <c r="AL18" s="49">
        <v>2</v>
      </c>
      <c r="AM18" s="49">
        <v>2</v>
      </c>
      <c r="AN18" s="49">
        <v>1</v>
      </c>
      <c r="AO18" s="49">
        <v>2</v>
      </c>
      <c r="AP18" s="49">
        <v>1</v>
      </c>
      <c r="AQ18" s="49">
        <v>2</v>
      </c>
      <c r="AR18" s="49">
        <v>1</v>
      </c>
      <c r="AS18" s="49">
        <v>1</v>
      </c>
      <c r="AT18" s="119" t="s">
        <v>306</v>
      </c>
      <c r="AU18" s="55">
        <v>0</v>
      </c>
      <c r="AV18" s="55">
        <v>0.5</v>
      </c>
      <c r="AW18" s="55">
        <v>1</v>
      </c>
      <c r="AX18" s="55">
        <v>0</v>
      </c>
      <c r="AY18" s="55">
        <v>0</v>
      </c>
      <c r="AZ18" s="55">
        <v>0.5</v>
      </c>
      <c r="BA18" s="55">
        <v>0.3333</v>
      </c>
      <c r="BB18" s="55">
        <v>0.5</v>
      </c>
      <c r="BC18" s="55">
        <v>0.5</v>
      </c>
      <c r="BD18" s="55">
        <v>0.5</v>
      </c>
      <c r="BE18" s="55">
        <v>0.6667</v>
      </c>
      <c r="BF18" s="118" t="s">
        <v>308</v>
      </c>
      <c r="BG18" s="49">
        <v>7</v>
      </c>
      <c r="BH18" s="49">
        <v>7</v>
      </c>
      <c r="BI18" s="49">
        <v>15</v>
      </c>
      <c r="BJ18" s="49">
        <v>0</v>
      </c>
      <c r="BK18" s="49">
        <v>8</v>
      </c>
      <c r="BL18" s="49">
        <v>14</v>
      </c>
      <c r="BM18" s="49">
        <v>0</v>
      </c>
      <c r="BN18" s="49">
        <v>7</v>
      </c>
      <c r="BO18" s="49">
        <v>2</v>
      </c>
      <c r="BP18" s="49">
        <v>0</v>
      </c>
      <c r="BQ18" s="120">
        <v>7</v>
      </c>
      <c r="BR18" s="115" t="s">
        <v>149</v>
      </c>
      <c r="BS18" s="115" t="s">
        <v>149</v>
      </c>
      <c r="BT18" s="115" t="s">
        <v>62</v>
      </c>
      <c r="BU18" s="115" t="s">
        <v>62</v>
      </c>
      <c r="BV18" s="115" t="s">
        <v>62</v>
      </c>
      <c r="BW18" s="115" t="s">
        <v>62</v>
      </c>
      <c r="BX18" s="115" t="s">
        <v>62</v>
      </c>
      <c r="BY18" s="115" t="s">
        <v>62</v>
      </c>
      <c r="BZ18" s="115" t="s">
        <v>62</v>
      </c>
      <c r="CA18" s="115" t="s">
        <v>62</v>
      </c>
      <c r="CB18" s="115" t="s">
        <v>62</v>
      </c>
      <c r="CC18" s="115" t="s">
        <v>62</v>
      </c>
      <c r="CD18" s="114" t="s">
        <v>152</v>
      </c>
      <c r="CE18" s="115" t="s">
        <v>53</v>
      </c>
      <c r="CF18" s="115" t="s">
        <v>53</v>
      </c>
      <c r="CG18" s="115" t="s">
        <v>152</v>
      </c>
      <c r="CH18" s="115" t="s">
        <v>53</v>
      </c>
      <c r="CI18" s="115" t="s">
        <v>53</v>
      </c>
      <c r="CJ18" s="115" t="s">
        <v>152</v>
      </c>
      <c r="CK18" s="115" t="s">
        <v>53</v>
      </c>
      <c r="CL18" s="115" t="s">
        <v>152</v>
      </c>
      <c r="CM18" s="115" t="s">
        <v>53</v>
      </c>
      <c r="CN18" s="115" t="s">
        <v>53</v>
      </c>
      <c r="CO18" s="121" t="s">
        <v>152</v>
      </c>
      <c r="CP18" s="115" t="s">
        <v>152</v>
      </c>
      <c r="CQ18" s="115" t="s">
        <v>53</v>
      </c>
      <c r="CR18" s="115" t="s">
        <v>53</v>
      </c>
      <c r="CS18" s="115" t="s">
        <v>53</v>
      </c>
      <c r="CT18" s="115" t="s">
        <v>53</v>
      </c>
      <c r="CU18" s="115" t="s">
        <v>53</v>
      </c>
      <c r="CV18" s="115" t="s">
        <v>53</v>
      </c>
      <c r="CW18" s="115" t="s">
        <v>53</v>
      </c>
      <c r="CX18" s="115" t="s">
        <v>53</v>
      </c>
      <c r="CY18" s="115" t="s">
        <v>53</v>
      </c>
      <c r="CZ18" s="115" t="s">
        <v>53</v>
      </c>
      <c r="DA18" s="115" t="s">
        <v>53</v>
      </c>
      <c r="DB18" s="118" t="s">
        <v>328</v>
      </c>
      <c r="DC18" s="49" t="s">
        <v>307</v>
      </c>
      <c r="DD18" s="49" t="s">
        <v>313</v>
      </c>
      <c r="DE18" s="49" t="s">
        <v>313</v>
      </c>
      <c r="DF18" s="49" t="s">
        <v>53</v>
      </c>
      <c r="DG18" s="49" t="s">
        <v>313</v>
      </c>
      <c r="DH18" s="49" t="s">
        <v>307</v>
      </c>
      <c r="DI18" s="49" t="s">
        <v>313</v>
      </c>
      <c r="DJ18" s="49" t="s">
        <v>313</v>
      </c>
      <c r="DK18" s="49" t="s">
        <v>313</v>
      </c>
      <c r="DL18" s="49" t="s">
        <v>313</v>
      </c>
      <c r="DM18" s="49" t="s">
        <v>313</v>
      </c>
      <c r="DN18" s="49" t="s">
        <v>313</v>
      </c>
      <c r="DO18" s="118" t="s">
        <v>328</v>
      </c>
      <c r="DP18" s="49" t="s">
        <v>322</v>
      </c>
      <c r="DQ18" s="49" t="s">
        <v>308</v>
      </c>
      <c r="DR18" s="49" t="s">
        <v>310</v>
      </c>
      <c r="DS18" s="49" t="s">
        <v>58</v>
      </c>
      <c r="DT18" s="49" t="s">
        <v>58</v>
      </c>
      <c r="DU18" s="49" t="s">
        <v>58</v>
      </c>
      <c r="DV18" s="49" t="s">
        <v>310</v>
      </c>
      <c r="DW18" s="49" t="s">
        <v>58</v>
      </c>
      <c r="DX18" s="49" t="s">
        <v>310</v>
      </c>
      <c r="DY18" s="49" t="s">
        <v>58</v>
      </c>
      <c r="DZ18" s="49" t="s">
        <v>58</v>
      </c>
      <c r="EA18" s="118" t="s">
        <v>49</v>
      </c>
      <c r="EB18" s="49" t="s">
        <v>49</v>
      </c>
      <c r="EC18" s="49" t="s">
        <v>49</v>
      </c>
      <c r="ED18" s="49" t="s">
        <v>49</v>
      </c>
      <c r="EE18" s="49" t="s">
        <v>49</v>
      </c>
      <c r="EF18" s="49" t="s">
        <v>49</v>
      </c>
      <c r="EG18" s="120" t="s">
        <v>49</v>
      </c>
      <c r="EH18" s="117">
        <v>1.84</v>
      </c>
      <c r="EI18" s="117">
        <v>41.15</v>
      </c>
      <c r="EJ18" s="55">
        <v>0.02</v>
      </c>
      <c r="EK18" s="55">
        <v>0.02</v>
      </c>
      <c r="EL18" s="55">
        <v>0</v>
      </c>
      <c r="EM18" s="55">
        <v>0.02</v>
      </c>
      <c r="EN18" s="55">
        <v>0.02</v>
      </c>
      <c r="EO18" s="122">
        <v>0.02</v>
      </c>
      <c r="EP18" s="117">
        <v>0.77</v>
      </c>
      <c r="EQ18" s="117">
        <v>38.36</v>
      </c>
    </row>
    <row r="19" customFormat="1" ht="22.5" customHeight="1" spans="1:147">
      <c r="A19" s="108">
        <v>12304</v>
      </c>
      <c r="B19" s="109" t="s">
        <v>335</v>
      </c>
      <c r="C19" s="110">
        <v>46092</v>
      </c>
      <c r="D19" s="111">
        <f>IF(_xlfn.XLOOKUP(A19,[1]分配表!J:J,[1]分配表!M:M)=0,"未出单",_xlfn.XLOOKUP(A19,[1]分配表!J:J,[1]分配表!M:M))</f>
        <v>46095</v>
      </c>
      <c r="E19" s="112" t="str">
        <f>_xlfn.XLOOKUP(A19,[1]分配表!A:A,[1]分配表!C:C)</f>
        <v>俞东旭</v>
      </c>
      <c r="F19" s="112" t="str">
        <f>IF(_xlfn.XLOOKUP($A19,[1]分配表!$A:$A,[1]分配表!D:D)=0,"未分类",_xlfn.XLOOKUP($A19,[1]分配表!$A:$A,[1]分配表!D:D))</f>
        <v>车门系统</v>
      </c>
      <c r="G19" s="112" t="str">
        <f>_xlfn.XLOOKUP(A19,[1]分配表!J:J,[1]分配表!I:I)</f>
        <v>原开品</v>
      </c>
      <c r="H19" s="49">
        <v>0</v>
      </c>
      <c r="I19" s="49">
        <v>2</v>
      </c>
      <c r="J19" s="49">
        <v>3</v>
      </c>
      <c r="K19" s="49">
        <v>2</v>
      </c>
      <c r="L19" s="49">
        <v>2</v>
      </c>
      <c r="M19" s="49">
        <v>0</v>
      </c>
      <c r="N19" s="49">
        <v>0</v>
      </c>
      <c r="O19" s="49">
        <v>1</v>
      </c>
      <c r="P19" s="49">
        <v>0</v>
      </c>
      <c r="Q19" s="49">
        <v>1</v>
      </c>
      <c r="R19" s="49">
        <v>1</v>
      </c>
      <c r="S19" s="49">
        <v>1</v>
      </c>
      <c r="T19" s="113">
        <f t="shared" si="0"/>
        <v>0</v>
      </c>
      <c r="U19" s="114">
        <v>0</v>
      </c>
      <c r="V19" s="115">
        <v>998</v>
      </c>
      <c r="W19" s="115">
        <v>1497</v>
      </c>
      <c r="X19" s="115">
        <v>998</v>
      </c>
      <c r="Y19" s="115">
        <v>998</v>
      </c>
      <c r="Z19" s="115">
        <v>0</v>
      </c>
      <c r="AA19" s="115">
        <v>0</v>
      </c>
      <c r="AB19" s="116">
        <v>499</v>
      </c>
      <c r="AC19" s="117">
        <v>0</v>
      </c>
      <c r="AD19" s="117">
        <v>474.05</v>
      </c>
      <c r="AE19" s="117">
        <v>499</v>
      </c>
      <c r="AF19" s="117">
        <v>499</v>
      </c>
      <c r="AG19" s="115">
        <f t="shared" si="1"/>
        <v>0</v>
      </c>
      <c r="AH19" s="118">
        <v>0</v>
      </c>
      <c r="AI19" s="49">
        <v>0</v>
      </c>
      <c r="AJ19" s="49">
        <v>0</v>
      </c>
      <c r="AK19" s="49">
        <v>0</v>
      </c>
      <c r="AL19" s="49">
        <v>1</v>
      </c>
      <c r="AM19" s="49">
        <v>1</v>
      </c>
      <c r="AN19" s="49">
        <v>1</v>
      </c>
      <c r="AO19" s="49">
        <v>0</v>
      </c>
      <c r="AP19" s="49">
        <v>1</v>
      </c>
      <c r="AQ19" s="49">
        <v>1</v>
      </c>
      <c r="AR19" s="49">
        <v>0</v>
      </c>
      <c r="AS19" s="49">
        <v>0</v>
      </c>
      <c r="AT19" s="119" t="s">
        <v>306</v>
      </c>
      <c r="AU19" s="55">
        <v>1</v>
      </c>
      <c r="AV19" s="55">
        <v>1</v>
      </c>
      <c r="AW19" s="55">
        <v>1</v>
      </c>
      <c r="AX19" s="55">
        <v>0.666666666666667</v>
      </c>
      <c r="AY19" s="55">
        <v>0</v>
      </c>
      <c r="AZ19" s="55">
        <v>0</v>
      </c>
      <c r="BA19" s="55">
        <v>1</v>
      </c>
      <c r="BB19" s="55">
        <v>0</v>
      </c>
      <c r="BC19" s="55">
        <v>0.5</v>
      </c>
      <c r="BD19" s="55">
        <v>1</v>
      </c>
      <c r="BE19" s="55">
        <v>1</v>
      </c>
      <c r="BF19" s="118" t="s">
        <v>328</v>
      </c>
      <c r="BG19" s="49">
        <v>6</v>
      </c>
      <c r="BH19" s="49">
        <v>0</v>
      </c>
      <c r="BI19" s="49">
        <v>8</v>
      </c>
      <c r="BJ19" s="49">
        <v>0</v>
      </c>
      <c r="BK19" s="49">
        <v>8</v>
      </c>
      <c r="BL19" s="49">
        <v>5</v>
      </c>
      <c r="BM19" s="49">
        <v>12</v>
      </c>
      <c r="BN19" s="49">
        <v>19</v>
      </c>
      <c r="BO19" s="49">
        <v>1</v>
      </c>
      <c r="BP19" s="49">
        <v>8</v>
      </c>
      <c r="BQ19" s="120">
        <v>15</v>
      </c>
      <c r="BR19" s="115" t="s">
        <v>328</v>
      </c>
      <c r="BS19" s="115" t="s">
        <v>49</v>
      </c>
      <c r="BT19" s="115" t="s">
        <v>49</v>
      </c>
      <c r="BU19" s="115" t="s">
        <v>49</v>
      </c>
      <c r="BV19" s="115" t="s">
        <v>49</v>
      </c>
      <c r="BW19" s="115" t="s">
        <v>49</v>
      </c>
      <c r="BX19" s="115" t="s">
        <v>49</v>
      </c>
      <c r="BY19" s="115" t="s">
        <v>49</v>
      </c>
      <c r="BZ19" s="115" t="s">
        <v>49</v>
      </c>
      <c r="CA19" s="115" t="s">
        <v>49</v>
      </c>
      <c r="CB19" s="115" t="s">
        <v>49</v>
      </c>
      <c r="CC19" s="115" t="s">
        <v>49</v>
      </c>
      <c r="CD19" s="114" t="s">
        <v>328</v>
      </c>
      <c r="CE19" s="115" t="s">
        <v>53</v>
      </c>
      <c r="CF19" s="115" t="s">
        <v>53</v>
      </c>
      <c r="CG19" s="115" t="s">
        <v>152</v>
      </c>
      <c r="CH19" s="115" t="s">
        <v>53</v>
      </c>
      <c r="CI19" s="115" t="s">
        <v>152</v>
      </c>
      <c r="CJ19" s="115" t="s">
        <v>53</v>
      </c>
      <c r="CK19" s="115" t="s">
        <v>53</v>
      </c>
      <c r="CL19" s="115" t="s">
        <v>152</v>
      </c>
      <c r="CM19" s="115" t="s">
        <v>53</v>
      </c>
      <c r="CN19" s="115" t="s">
        <v>53</v>
      </c>
      <c r="CO19" s="121" t="s">
        <v>53</v>
      </c>
      <c r="CP19" s="115" t="s">
        <v>328</v>
      </c>
      <c r="CQ19" s="115" t="s">
        <v>152</v>
      </c>
      <c r="CR19" s="115" t="s">
        <v>53</v>
      </c>
      <c r="CS19" s="115" t="s">
        <v>53</v>
      </c>
      <c r="CT19" s="115" t="s">
        <v>53</v>
      </c>
      <c r="CU19" s="115" t="s">
        <v>53</v>
      </c>
      <c r="CV19" s="115" t="s">
        <v>53</v>
      </c>
      <c r="CW19" s="115" t="s">
        <v>53</v>
      </c>
      <c r="CX19" s="115" t="s">
        <v>53</v>
      </c>
      <c r="CY19" s="115" t="s">
        <v>53</v>
      </c>
      <c r="CZ19" s="115" t="s">
        <v>53</v>
      </c>
      <c r="DA19" s="115" t="s">
        <v>53</v>
      </c>
      <c r="DB19" s="118" t="s">
        <v>328</v>
      </c>
      <c r="DC19" s="49" t="s">
        <v>328</v>
      </c>
      <c r="DD19" s="49" t="s">
        <v>53</v>
      </c>
      <c r="DE19" s="49" t="s">
        <v>53</v>
      </c>
      <c r="DF19" s="49" t="s">
        <v>53</v>
      </c>
      <c r="DG19" s="49" t="s">
        <v>313</v>
      </c>
      <c r="DH19" s="49" t="s">
        <v>313</v>
      </c>
      <c r="DI19" s="49" t="s">
        <v>313</v>
      </c>
      <c r="DJ19" s="49" t="s">
        <v>53</v>
      </c>
      <c r="DK19" s="49" t="s">
        <v>313</v>
      </c>
      <c r="DL19" s="49" t="s">
        <v>313</v>
      </c>
      <c r="DM19" s="49" t="s">
        <v>53</v>
      </c>
      <c r="DN19" s="49" t="s">
        <v>53</v>
      </c>
      <c r="DO19" s="118" t="s">
        <v>328</v>
      </c>
      <c r="DP19" s="49" t="s">
        <v>328</v>
      </c>
      <c r="DQ19" s="49" t="s">
        <v>310</v>
      </c>
      <c r="DR19" s="49" t="s">
        <v>315</v>
      </c>
      <c r="DS19" s="49" t="s">
        <v>58</v>
      </c>
      <c r="DT19" s="49" t="s">
        <v>58</v>
      </c>
      <c r="DU19" s="49" t="s">
        <v>315</v>
      </c>
      <c r="DV19" s="49" t="s">
        <v>58</v>
      </c>
      <c r="DW19" s="49" t="s">
        <v>58</v>
      </c>
      <c r="DX19" s="49" t="s">
        <v>310</v>
      </c>
      <c r="DY19" s="49" t="s">
        <v>58</v>
      </c>
      <c r="DZ19" s="49" t="s">
        <v>58</v>
      </c>
      <c r="EA19" s="118" t="s">
        <v>62</v>
      </c>
      <c r="EB19" s="49" t="s">
        <v>62</v>
      </c>
      <c r="EC19" s="49" t="s">
        <v>62</v>
      </c>
      <c r="ED19" s="49" t="s">
        <v>62</v>
      </c>
      <c r="EE19" s="49" t="s">
        <v>62</v>
      </c>
      <c r="EF19" s="49" t="s">
        <v>62</v>
      </c>
      <c r="EG19" s="120" t="s">
        <v>62</v>
      </c>
      <c r="EH19" s="117">
        <v>0</v>
      </c>
      <c r="EI19" s="117">
        <v>0</v>
      </c>
      <c r="EJ19" s="55">
        <v>0.02</v>
      </c>
      <c r="EK19" s="55">
        <v>0.02</v>
      </c>
      <c r="EL19" s="55">
        <v>0.02</v>
      </c>
      <c r="EM19" s="55">
        <v>0.02</v>
      </c>
      <c r="EN19" s="55">
        <v>0.02</v>
      </c>
      <c r="EO19" s="122">
        <v>0.02</v>
      </c>
      <c r="EP19" s="117">
        <v>10.8</v>
      </c>
      <c r="EQ19" s="117">
        <v>540.17</v>
      </c>
    </row>
    <row r="20" customFormat="1" ht="22.5" customHeight="1" spans="1:147">
      <c r="A20" s="108">
        <v>12085</v>
      </c>
      <c r="B20" s="109" t="s">
        <v>336</v>
      </c>
      <c r="C20" s="110">
        <v>46092</v>
      </c>
      <c r="D20" s="111">
        <f>IF(_xlfn.XLOOKUP(A20,[1]分配表!J:J,[1]分配表!M:M)=0,"未出单",_xlfn.XLOOKUP(A20,[1]分配表!J:J,[1]分配表!M:M))</f>
        <v>46099</v>
      </c>
      <c r="E20" s="112" t="str">
        <f>_xlfn.XLOOKUP(A20,[1]分配表!A:A,[1]分配表!C:C)</f>
        <v>张潇</v>
      </c>
      <c r="F20" s="112" t="str">
        <f>IF(_xlfn.XLOOKUP($A20,[1]分配表!$A:$A,[1]分配表!D:D)=0,"未分类",_xlfn.XLOOKUP($A20,[1]分配表!$A:$A,[1]分配表!D:D))</f>
        <v>机盖及附件</v>
      </c>
      <c r="G20" s="112" t="str">
        <f>_xlfn.XLOOKUP(A20,[1]分配表!J:J,[1]分配表!I:I)</f>
        <v>拓展品</v>
      </c>
      <c r="H20" s="49">
        <v>0</v>
      </c>
      <c r="I20" s="49">
        <v>1</v>
      </c>
      <c r="J20" s="49">
        <v>2</v>
      </c>
      <c r="K20" s="49">
        <v>2</v>
      </c>
      <c r="L20" s="49">
        <v>2</v>
      </c>
      <c r="M20" s="49">
        <v>6</v>
      </c>
      <c r="N20" s="49">
        <v>1</v>
      </c>
      <c r="O20" s="49">
        <v>1</v>
      </c>
      <c r="P20" s="49">
        <v>2</v>
      </c>
      <c r="Q20" s="49">
        <v>2</v>
      </c>
      <c r="R20" s="49">
        <v>4</v>
      </c>
      <c r="S20" s="49">
        <v>1</v>
      </c>
      <c r="T20" s="113">
        <f t="shared" si="0"/>
        <v>-3</v>
      </c>
      <c r="U20" s="114">
        <v>0</v>
      </c>
      <c r="V20" s="115">
        <v>85</v>
      </c>
      <c r="W20" s="115">
        <v>170</v>
      </c>
      <c r="X20" s="115">
        <v>170</v>
      </c>
      <c r="Y20" s="115">
        <v>170</v>
      </c>
      <c r="Z20" s="115">
        <v>505.75</v>
      </c>
      <c r="AA20" s="115">
        <v>85</v>
      </c>
      <c r="AB20" s="116">
        <v>85</v>
      </c>
      <c r="AC20" s="117">
        <v>170</v>
      </c>
      <c r="AD20" s="117">
        <v>170</v>
      </c>
      <c r="AE20" s="117">
        <v>335.75</v>
      </c>
      <c r="AF20" s="117">
        <v>85</v>
      </c>
      <c r="AG20" s="115">
        <f t="shared" si="1"/>
        <v>-250.75</v>
      </c>
      <c r="AH20" s="118">
        <v>0</v>
      </c>
      <c r="AI20" s="49">
        <v>3</v>
      </c>
      <c r="AJ20" s="49">
        <v>0</v>
      </c>
      <c r="AK20" s="49">
        <v>3</v>
      </c>
      <c r="AL20" s="49">
        <v>4</v>
      </c>
      <c r="AM20" s="49">
        <v>2</v>
      </c>
      <c r="AN20" s="49">
        <v>1</v>
      </c>
      <c r="AO20" s="49">
        <v>3</v>
      </c>
      <c r="AP20" s="49">
        <v>1</v>
      </c>
      <c r="AQ20" s="49">
        <v>1</v>
      </c>
      <c r="AR20" s="49">
        <v>1</v>
      </c>
      <c r="AS20" s="49">
        <v>2</v>
      </c>
      <c r="AT20" s="119" t="s">
        <v>306</v>
      </c>
      <c r="AU20" s="55">
        <v>0</v>
      </c>
      <c r="AV20" s="55">
        <v>1</v>
      </c>
      <c r="AW20" s="55">
        <v>0.4</v>
      </c>
      <c r="AX20" s="55">
        <v>0.333333333333333</v>
      </c>
      <c r="AY20" s="55">
        <v>0.75</v>
      </c>
      <c r="AZ20" s="55">
        <v>0.6667</v>
      </c>
      <c r="BA20" s="55">
        <v>0</v>
      </c>
      <c r="BB20" s="55">
        <v>0.6667</v>
      </c>
      <c r="BC20" s="55">
        <v>0.6667</v>
      </c>
      <c r="BD20" s="55">
        <v>0.8</v>
      </c>
      <c r="BE20" s="55">
        <v>0.5</v>
      </c>
      <c r="BF20" s="118" t="s">
        <v>328</v>
      </c>
      <c r="BG20" s="49">
        <v>6</v>
      </c>
      <c r="BH20" s="49">
        <v>2</v>
      </c>
      <c r="BI20" s="49">
        <v>10</v>
      </c>
      <c r="BJ20" s="49">
        <v>0</v>
      </c>
      <c r="BK20" s="49">
        <v>8</v>
      </c>
      <c r="BL20" s="49">
        <v>5</v>
      </c>
      <c r="BM20" s="49">
        <v>12</v>
      </c>
      <c r="BN20" s="49">
        <v>1</v>
      </c>
      <c r="BO20" s="49">
        <v>8</v>
      </c>
      <c r="BP20" s="49">
        <v>0</v>
      </c>
      <c r="BQ20" s="120">
        <v>7</v>
      </c>
      <c r="BR20" s="115" t="s">
        <v>328</v>
      </c>
      <c r="BS20" s="115" t="s">
        <v>149</v>
      </c>
      <c r="BT20" s="115" t="s">
        <v>49</v>
      </c>
      <c r="BU20" s="115" t="s">
        <v>49</v>
      </c>
      <c r="BV20" s="115" t="s">
        <v>49</v>
      </c>
      <c r="BW20" s="115" t="s">
        <v>49</v>
      </c>
      <c r="BX20" s="115" t="s">
        <v>49</v>
      </c>
      <c r="BY20" s="115" t="s">
        <v>49</v>
      </c>
      <c r="BZ20" s="115" t="s">
        <v>49</v>
      </c>
      <c r="CA20" s="115" t="s">
        <v>49</v>
      </c>
      <c r="CB20" s="115" t="s">
        <v>49</v>
      </c>
      <c r="CC20" s="115" t="s">
        <v>49</v>
      </c>
      <c r="CD20" s="114" t="s">
        <v>328</v>
      </c>
      <c r="CE20" s="115" t="s">
        <v>53</v>
      </c>
      <c r="CF20" s="115" t="s">
        <v>53</v>
      </c>
      <c r="CG20" s="115" t="s">
        <v>152</v>
      </c>
      <c r="CH20" s="115" t="s">
        <v>53</v>
      </c>
      <c r="CI20" s="115" t="s">
        <v>53</v>
      </c>
      <c r="CJ20" s="115" t="s">
        <v>53</v>
      </c>
      <c r="CK20" s="115" t="s">
        <v>152</v>
      </c>
      <c r="CL20" s="115" t="s">
        <v>53</v>
      </c>
      <c r="CM20" s="115" t="s">
        <v>152</v>
      </c>
      <c r="CN20" s="115" t="s">
        <v>53</v>
      </c>
      <c r="CO20" s="121" t="s">
        <v>152</v>
      </c>
      <c r="CP20" s="115" t="s">
        <v>328</v>
      </c>
      <c r="CQ20" s="115" t="s">
        <v>152</v>
      </c>
      <c r="CR20" s="115" t="s">
        <v>53</v>
      </c>
      <c r="CS20" s="115" t="s">
        <v>53</v>
      </c>
      <c r="CT20" s="115" t="s">
        <v>53</v>
      </c>
      <c r="CU20" s="115" t="s">
        <v>53</v>
      </c>
      <c r="CV20" s="115" t="s">
        <v>53</v>
      </c>
      <c r="CW20" s="115" t="s">
        <v>53</v>
      </c>
      <c r="CX20" s="115" t="s">
        <v>53</v>
      </c>
      <c r="CY20" s="115" t="s">
        <v>53</v>
      </c>
      <c r="CZ20" s="115" t="s">
        <v>53</v>
      </c>
      <c r="DA20" s="115" t="s">
        <v>53</v>
      </c>
      <c r="DB20" s="118" t="s">
        <v>328</v>
      </c>
      <c r="DC20" s="49" t="s">
        <v>328</v>
      </c>
      <c r="DD20" s="49" t="s">
        <v>313</v>
      </c>
      <c r="DE20" s="49" t="s">
        <v>313</v>
      </c>
      <c r="DF20" s="49" t="s">
        <v>313</v>
      </c>
      <c r="DG20" s="49" t="s">
        <v>313</v>
      </c>
      <c r="DH20" s="49" t="s">
        <v>53</v>
      </c>
      <c r="DI20" s="49" t="s">
        <v>313</v>
      </c>
      <c r="DJ20" s="49" t="s">
        <v>313</v>
      </c>
      <c r="DK20" s="49" t="s">
        <v>313</v>
      </c>
      <c r="DL20" s="49" t="s">
        <v>313</v>
      </c>
      <c r="DM20" s="49" t="s">
        <v>53</v>
      </c>
      <c r="DN20" s="49" t="s">
        <v>313</v>
      </c>
      <c r="DO20" s="118" t="s">
        <v>328</v>
      </c>
      <c r="DP20" s="49" t="s">
        <v>328</v>
      </c>
      <c r="DQ20" s="49" t="s">
        <v>159</v>
      </c>
      <c r="DR20" s="49" t="s">
        <v>310</v>
      </c>
      <c r="DS20" s="49" t="s">
        <v>58</v>
      </c>
      <c r="DT20" s="49" t="s">
        <v>58</v>
      </c>
      <c r="DU20" s="49" t="s">
        <v>58</v>
      </c>
      <c r="DV20" s="49" t="s">
        <v>58</v>
      </c>
      <c r="DW20" s="49" t="s">
        <v>310</v>
      </c>
      <c r="DX20" s="49" t="s">
        <v>58</v>
      </c>
      <c r="DY20" s="49" t="s">
        <v>316</v>
      </c>
      <c r="DZ20" s="49" t="s">
        <v>58</v>
      </c>
      <c r="EA20" s="118" t="s">
        <v>62</v>
      </c>
      <c r="EB20" s="49" t="s">
        <v>62</v>
      </c>
      <c r="EC20" s="49" t="s">
        <v>62</v>
      </c>
      <c r="ED20" s="49" t="s">
        <v>62</v>
      </c>
      <c r="EE20" s="49" t="s">
        <v>62</v>
      </c>
      <c r="EF20" s="49" t="s">
        <v>62</v>
      </c>
      <c r="EG20" s="120" t="s">
        <v>62</v>
      </c>
      <c r="EH20" s="117">
        <v>0</v>
      </c>
      <c r="EI20" s="117">
        <v>0</v>
      </c>
      <c r="EJ20" s="55">
        <v>0.02</v>
      </c>
      <c r="EK20" s="55">
        <v>0.02</v>
      </c>
      <c r="EL20" s="55">
        <v>0.02</v>
      </c>
      <c r="EM20" s="55">
        <v>0.02</v>
      </c>
      <c r="EN20" s="55">
        <v>0.02</v>
      </c>
      <c r="EO20" s="122">
        <v>0.02</v>
      </c>
      <c r="EP20" s="117">
        <v>7.21</v>
      </c>
      <c r="EQ20" s="117">
        <v>360.4</v>
      </c>
    </row>
    <row r="21" customFormat="1" ht="22.5" customHeight="1" spans="1:147">
      <c r="A21" s="108">
        <v>12086</v>
      </c>
      <c r="B21" s="109" t="s">
        <v>337</v>
      </c>
      <c r="C21" s="110">
        <v>46092</v>
      </c>
      <c r="D21" s="111">
        <f>IF(_xlfn.XLOOKUP(A21,[1]分配表!J:J,[1]分配表!M:M)=0,"未出单",_xlfn.XLOOKUP(A21,[1]分配表!J:J,[1]分配表!M:M))</f>
        <v>46100</v>
      </c>
      <c r="E21" s="112" t="str">
        <f>_xlfn.XLOOKUP(A21,[1]分配表!A:A,[1]分配表!C:C)</f>
        <v>张潇</v>
      </c>
      <c r="F21" s="112" t="str">
        <f>IF(_xlfn.XLOOKUP($A21,[1]分配表!$A:$A,[1]分配表!D:D)=0,"未分类",_xlfn.XLOOKUP($A21,[1]分配表!$A:$A,[1]分配表!D:D))</f>
        <v>机盖及附件</v>
      </c>
      <c r="G21" s="112" t="str">
        <f>_xlfn.XLOOKUP(A21,[1]分配表!J:J,[1]分配表!I:I)</f>
        <v>原开品</v>
      </c>
      <c r="H21" s="49">
        <v>0</v>
      </c>
      <c r="I21" s="49">
        <v>0</v>
      </c>
      <c r="J21" s="49">
        <v>2</v>
      </c>
      <c r="K21" s="49">
        <v>4</v>
      </c>
      <c r="L21" s="49">
        <v>2</v>
      </c>
      <c r="M21" s="49">
        <v>2</v>
      </c>
      <c r="N21" s="49">
        <v>3</v>
      </c>
      <c r="O21" s="49">
        <v>8</v>
      </c>
      <c r="P21" s="49">
        <v>3</v>
      </c>
      <c r="Q21" s="49">
        <v>2</v>
      </c>
      <c r="R21" s="49">
        <v>1</v>
      </c>
      <c r="S21" s="49">
        <v>1</v>
      </c>
      <c r="T21" s="113">
        <f t="shared" si="0"/>
        <v>0</v>
      </c>
      <c r="U21" s="114">
        <v>0</v>
      </c>
      <c r="V21" s="115">
        <v>0</v>
      </c>
      <c r="W21" s="115">
        <v>150</v>
      </c>
      <c r="X21" s="115">
        <v>300</v>
      </c>
      <c r="Y21" s="115">
        <v>146.25</v>
      </c>
      <c r="Z21" s="115">
        <v>150</v>
      </c>
      <c r="AA21" s="115">
        <v>225</v>
      </c>
      <c r="AB21" s="116">
        <v>600</v>
      </c>
      <c r="AC21" s="117">
        <v>225</v>
      </c>
      <c r="AD21" s="117">
        <v>150</v>
      </c>
      <c r="AE21" s="117">
        <v>75</v>
      </c>
      <c r="AF21" s="117">
        <v>73.99</v>
      </c>
      <c r="AG21" s="115">
        <f t="shared" si="1"/>
        <v>-1.01000000000001</v>
      </c>
      <c r="AH21" s="118">
        <v>0</v>
      </c>
      <c r="AI21" s="49">
        <v>3</v>
      </c>
      <c r="AJ21" s="49">
        <v>7</v>
      </c>
      <c r="AK21" s="49">
        <v>5</v>
      </c>
      <c r="AL21" s="49">
        <v>5</v>
      </c>
      <c r="AM21" s="49">
        <v>5</v>
      </c>
      <c r="AN21" s="49">
        <v>6</v>
      </c>
      <c r="AO21" s="49">
        <v>4</v>
      </c>
      <c r="AP21" s="49">
        <v>1</v>
      </c>
      <c r="AQ21" s="49">
        <v>8</v>
      </c>
      <c r="AR21" s="49">
        <v>5</v>
      </c>
      <c r="AS21" s="49">
        <v>8</v>
      </c>
      <c r="AT21" s="119" t="s">
        <v>306</v>
      </c>
      <c r="AU21" s="55">
        <v>0</v>
      </c>
      <c r="AV21" s="55">
        <v>0.222222222222222</v>
      </c>
      <c r="AW21" s="55">
        <v>0.444444444444444</v>
      </c>
      <c r="AX21" s="55">
        <v>0.285714285714286</v>
      </c>
      <c r="AY21" s="55">
        <v>0.285714285714286</v>
      </c>
      <c r="AZ21" s="55">
        <v>0.25</v>
      </c>
      <c r="BA21" s="55">
        <v>0.6364</v>
      </c>
      <c r="BB21" s="55">
        <v>0.75</v>
      </c>
      <c r="BC21" s="55">
        <v>0.3333</v>
      </c>
      <c r="BD21" s="55">
        <v>0.1667</v>
      </c>
      <c r="BE21" s="55">
        <v>0.1111</v>
      </c>
      <c r="BF21" s="118" t="s">
        <v>328</v>
      </c>
      <c r="BG21" s="49">
        <v>6</v>
      </c>
      <c r="BH21" s="49">
        <v>2</v>
      </c>
      <c r="BI21" s="49">
        <v>10</v>
      </c>
      <c r="BJ21" s="49">
        <v>0</v>
      </c>
      <c r="BK21" s="49">
        <v>8</v>
      </c>
      <c r="BL21" s="49">
        <v>2</v>
      </c>
      <c r="BM21" s="49">
        <v>9</v>
      </c>
      <c r="BN21" s="49">
        <v>1</v>
      </c>
      <c r="BO21" s="49">
        <v>8</v>
      </c>
      <c r="BP21" s="49">
        <v>0</v>
      </c>
      <c r="BQ21" s="120">
        <v>7</v>
      </c>
      <c r="BR21" s="115" t="s">
        <v>328</v>
      </c>
      <c r="BS21" s="115" t="s">
        <v>149</v>
      </c>
      <c r="BT21" s="115" t="s">
        <v>49</v>
      </c>
      <c r="BU21" s="115" t="s">
        <v>49</v>
      </c>
      <c r="BV21" s="115" t="s">
        <v>49</v>
      </c>
      <c r="BW21" s="115" t="s">
        <v>49</v>
      </c>
      <c r="BX21" s="115" t="s">
        <v>49</v>
      </c>
      <c r="BY21" s="115" t="s">
        <v>49</v>
      </c>
      <c r="BZ21" s="115" t="s">
        <v>49</v>
      </c>
      <c r="CA21" s="115" t="s">
        <v>49</v>
      </c>
      <c r="CB21" s="115" t="s">
        <v>49</v>
      </c>
      <c r="CC21" s="115" t="s">
        <v>49</v>
      </c>
      <c r="CD21" s="114" t="s">
        <v>328</v>
      </c>
      <c r="CE21" s="115" t="s">
        <v>53</v>
      </c>
      <c r="CF21" s="115" t="s">
        <v>53</v>
      </c>
      <c r="CG21" s="115" t="s">
        <v>152</v>
      </c>
      <c r="CH21" s="115" t="s">
        <v>53</v>
      </c>
      <c r="CI21" s="115" t="s">
        <v>152</v>
      </c>
      <c r="CJ21" s="115" t="s">
        <v>53</v>
      </c>
      <c r="CK21" s="115" t="s">
        <v>152</v>
      </c>
      <c r="CL21" s="115" t="s">
        <v>53</v>
      </c>
      <c r="CM21" s="115" t="s">
        <v>152</v>
      </c>
      <c r="CN21" s="115" t="s">
        <v>53</v>
      </c>
      <c r="CO21" s="121" t="s">
        <v>152</v>
      </c>
      <c r="CP21" s="115" t="s">
        <v>328</v>
      </c>
      <c r="CQ21" s="115" t="s">
        <v>152</v>
      </c>
      <c r="CR21" s="115" t="s">
        <v>53</v>
      </c>
      <c r="CS21" s="115" t="s">
        <v>53</v>
      </c>
      <c r="CT21" s="115" t="s">
        <v>53</v>
      </c>
      <c r="CU21" s="115" t="s">
        <v>53</v>
      </c>
      <c r="CV21" s="115" t="s">
        <v>53</v>
      </c>
      <c r="CW21" s="115" t="s">
        <v>53</v>
      </c>
      <c r="CX21" s="115" t="s">
        <v>53</v>
      </c>
      <c r="CY21" s="115" t="s">
        <v>53</v>
      </c>
      <c r="CZ21" s="115" t="s">
        <v>53</v>
      </c>
      <c r="DA21" s="115" t="s">
        <v>53</v>
      </c>
      <c r="DB21" s="118" t="s">
        <v>328</v>
      </c>
      <c r="DC21" s="49" t="s">
        <v>328</v>
      </c>
      <c r="DD21" s="49" t="s">
        <v>313</v>
      </c>
      <c r="DE21" s="49" t="s">
        <v>313</v>
      </c>
      <c r="DF21" s="49" t="s">
        <v>313</v>
      </c>
      <c r="DG21" s="49" t="s">
        <v>313</v>
      </c>
      <c r="DH21" s="49" t="s">
        <v>313</v>
      </c>
      <c r="DI21" s="49" t="s">
        <v>313</v>
      </c>
      <c r="DJ21" s="49" t="s">
        <v>313</v>
      </c>
      <c r="DK21" s="49" t="s">
        <v>53</v>
      </c>
      <c r="DL21" s="49" t="s">
        <v>313</v>
      </c>
      <c r="DM21" s="49" t="s">
        <v>313</v>
      </c>
      <c r="DN21" s="49" t="s">
        <v>313</v>
      </c>
      <c r="DO21" s="118" t="s">
        <v>328</v>
      </c>
      <c r="DP21" s="49" t="s">
        <v>328</v>
      </c>
      <c r="DQ21" s="49" t="s">
        <v>315</v>
      </c>
      <c r="DR21" s="49" t="s">
        <v>159</v>
      </c>
      <c r="DS21" s="49" t="s">
        <v>58</v>
      </c>
      <c r="DT21" s="49" t="s">
        <v>58</v>
      </c>
      <c r="DU21" s="49" t="s">
        <v>315</v>
      </c>
      <c r="DV21" s="49" t="s">
        <v>58</v>
      </c>
      <c r="DW21" s="49" t="s">
        <v>310</v>
      </c>
      <c r="DX21" s="49" t="s">
        <v>58</v>
      </c>
      <c r="DY21" s="49" t="s">
        <v>316</v>
      </c>
      <c r="DZ21" s="49" t="s">
        <v>58</v>
      </c>
      <c r="EA21" s="118" t="s">
        <v>62</v>
      </c>
      <c r="EB21" s="49" t="s">
        <v>62</v>
      </c>
      <c r="EC21" s="49" t="s">
        <v>62</v>
      </c>
      <c r="ED21" s="49" t="s">
        <v>62</v>
      </c>
      <c r="EE21" s="49" t="s">
        <v>62</v>
      </c>
      <c r="EF21" s="49" t="s">
        <v>62</v>
      </c>
      <c r="EG21" s="120" t="s">
        <v>49</v>
      </c>
      <c r="EH21" s="117">
        <v>0</v>
      </c>
      <c r="EI21" s="117">
        <v>0</v>
      </c>
      <c r="EJ21" s="55">
        <v>0.02</v>
      </c>
      <c r="EK21" s="55">
        <v>0.02</v>
      </c>
      <c r="EL21" s="55">
        <v>0.02</v>
      </c>
      <c r="EM21" s="55">
        <v>0.02</v>
      </c>
      <c r="EN21" s="55">
        <v>0.02</v>
      </c>
      <c r="EO21" s="122">
        <v>0.02</v>
      </c>
      <c r="EP21" s="117">
        <v>3.17</v>
      </c>
      <c r="EQ21" s="117">
        <v>158.34</v>
      </c>
    </row>
    <row r="22" customFormat="1" ht="22.5" customHeight="1" spans="1:147">
      <c r="A22" s="108">
        <v>12258</v>
      </c>
      <c r="B22" s="109" t="s">
        <v>338</v>
      </c>
      <c r="C22" s="110">
        <v>46092</v>
      </c>
      <c r="D22" s="111">
        <f>IF(_xlfn.XLOOKUP(A22,[1]分配表!J:J,[1]分配表!M:M)=0,"未出单",_xlfn.XLOOKUP(A22,[1]分配表!J:J,[1]分配表!M:M))</f>
        <v>46099</v>
      </c>
      <c r="E22" s="112" t="str">
        <f>_xlfn.XLOOKUP(A22,[1]分配表!A:A,[1]分配表!C:C)</f>
        <v>张潇</v>
      </c>
      <c r="F22" s="112" t="str">
        <f>IF(_xlfn.XLOOKUP($A22,[1]分配表!$A:$A,[1]分配表!D:D)=0,"未分类",_xlfn.XLOOKUP($A22,[1]分配表!$A:$A,[1]分配表!D:D))</f>
        <v>机盖及附件</v>
      </c>
      <c r="G22" s="112" t="str">
        <f>_xlfn.XLOOKUP(A22,[1]分配表!J:J,[1]分配表!I:I)</f>
        <v>原开品</v>
      </c>
      <c r="H22" s="49">
        <v>0</v>
      </c>
      <c r="I22" s="49">
        <v>1</v>
      </c>
      <c r="J22" s="49">
        <v>7</v>
      </c>
      <c r="K22" s="49">
        <v>3</v>
      </c>
      <c r="L22" s="49">
        <v>8</v>
      </c>
      <c r="M22" s="49">
        <v>8</v>
      </c>
      <c r="N22" s="49">
        <v>7</v>
      </c>
      <c r="O22" s="49">
        <v>7</v>
      </c>
      <c r="P22" s="49">
        <v>13</v>
      </c>
      <c r="Q22" s="49">
        <v>15</v>
      </c>
      <c r="R22" s="49">
        <v>2</v>
      </c>
      <c r="S22" s="49">
        <v>12</v>
      </c>
      <c r="T22" s="113">
        <f t="shared" si="0"/>
        <v>10</v>
      </c>
      <c r="U22" s="114">
        <v>0</v>
      </c>
      <c r="V22" s="115">
        <v>28</v>
      </c>
      <c r="W22" s="115">
        <v>196</v>
      </c>
      <c r="X22" s="115">
        <v>84</v>
      </c>
      <c r="Y22" s="115">
        <v>224</v>
      </c>
      <c r="Z22" s="115">
        <v>224</v>
      </c>
      <c r="AA22" s="115">
        <v>196</v>
      </c>
      <c r="AB22" s="116">
        <v>196</v>
      </c>
      <c r="AC22" s="117">
        <v>364</v>
      </c>
      <c r="AD22" s="117">
        <v>420</v>
      </c>
      <c r="AE22" s="117">
        <v>56</v>
      </c>
      <c r="AF22" s="117">
        <v>336</v>
      </c>
      <c r="AG22" s="115">
        <f t="shared" si="1"/>
        <v>280</v>
      </c>
      <c r="AH22" s="118">
        <v>0</v>
      </c>
      <c r="AI22" s="49">
        <v>14</v>
      </c>
      <c r="AJ22" s="49">
        <v>12</v>
      </c>
      <c r="AK22" s="49">
        <v>12</v>
      </c>
      <c r="AL22" s="49">
        <v>13</v>
      </c>
      <c r="AM22" s="49">
        <v>17</v>
      </c>
      <c r="AN22" s="49">
        <v>16</v>
      </c>
      <c r="AO22" s="49">
        <v>19</v>
      </c>
      <c r="AP22" s="49">
        <v>17</v>
      </c>
      <c r="AQ22" s="49">
        <v>43</v>
      </c>
      <c r="AR22" s="49">
        <v>23</v>
      </c>
      <c r="AS22" s="49">
        <v>10</v>
      </c>
      <c r="AT22" s="119" t="s">
        <v>306</v>
      </c>
      <c r="AU22" s="55">
        <v>0</v>
      </c>
      <c r="AV22" s="55">
        <v>0.368421052631579</v>
      </c>
      <c r="AW22" s="55">
        <v>0.2</v>
      </c>
      <c r="AX22" s="55">
        <v>0.380952380952381</v>
      </c>
      <c r="AY22" s="55">
        <v>0.32</v>
      </c>
      <c r="AZ22" s="55">
        <v>0.2727</v>
      </c>
      <c r="BA22" s="55">
        <v>0.24</v>
      </c>
      <c r="BB22" s="55">
        <v>0.3462</v>
      </c>
      <c r="BC22" s="55">
        <v>0.2833</v>
      </c>
      <c r="BD22" s="55">
        <v>0.2581</v>
      </c>
      <c r="BE22" s="55">
        <v>0.4444</v>
      </c>
      <c r="BF22" s="118" t="s">
        <v>328</v>
      </c>
      <c r="BG22" s="49">
        <v>6</v>
      </c>
      <c r="BH22" s="49">
        <v>2</v>
      </c>
      <c r="BI22" s="49">
        <v>10</v>
      </c>
      <c r="BJ22" s="49">
        <v>0</v>
      </c>
      <c r="BK22" s="49">
        <v>8</v>
      </c>
      <c r="BL22" s="49">
        <v>2</v>
      </c>
      <c r="BM22" s="49">
        <v>9</v>
      </c>
      <c r="BN22" s="49">
        <v>0</v>
      </c>
      <c r="BO22" s="49">
        <v>7</v>
      </c>
      <c r="BP22" s="49">
        <v>0</v>
      </c>
      <c r="BQ22" s="120">
        <v>4</v>
      </c>
      <c r="BR22" s="115" t="s">
        <v>328</v>
      </c>
      <c r="BS22" s="115" t="s">
        <v>49</v>
      </c>
      <c r="BT22" s="115" t="s">
        <v>49</v>
      </c>
      <c r="BU22" s="115" t="s">
        <v>49</v>
      </c>
      <c r="BV22" s="115" t="s">
        <v>49</v>
      </c>
      <c r="BW22" s="115" t="s">
        <v>49</v>
      </c>
      <c r="BX22" s="115" t="s">
        <v>49</v>
      </c>
      <c r="BY22" s="115" t="s">
        <v>49</v>
      </c>
      <c r="BZ22" s="115" t="s">
        <v>49</v>
      </c>
      <c r="CA22" s="115" t="s">
        <v>49</v>
      </c>
      <c r="CB22" s="115" t="s">
        <v>49</v>
      </c>
      <c r="CC22" s="115" t="s">
        <v>49</v>
      </c>
      <c r="CD22" s="114" t="s">
        <v>328</v>
      </c>
      <c r="CE22" s="115" t="s">
        <v>53</v>
      </c>
      <c r="CF22" s="115" t="s">
        <v>53</v>
      </c>
      <c r="CG22" s="115" t="s">
        <v>152</v>
      </c>
      <c r="CH22" s="115" t="s">
        <v>53</v>
      </c>
      <c r="CI22" s="115" t="s">
        <v>152</v>
      </c>
      <c r="CJ22" s="115" t="s">
        <v>53</v>
      </c>
      <c r="CK22" s="115" t="s">
        <v>152</v>
      </c>
      <c r="CL22" s="115" t="s">
        <v>53</v>
      </c>
      <c r="CM22" s="115" t="s">
        <v>152</v>
      </c>
      <c r="CN22" s="115" t="s">
        <v>53</v>
      </c>
      <c r="CO22" s="121" t="s">
        <v>53</v>
      </c>
      <c r="CP22" s="115" t="s">
        <v>328</v>
      </c>
      <c r="CQ22" s="115" t="s">
        <v>152</v>
      </c>
      <c r="CR22" s="115" t="s">
        <v>53</v>
      </c>
      <c r="CS22" s="115" t="s">
        <v>53</v>
      </c>
      <c r="CT22" s="115" t="s">
        <v>53</v>
      </c>
      <c r="CU22" s="115" t="s">
        <v>53</v>
      </c>
      <c r="CV22" s="115" t="s">
        <v>53</v>
      </c>
      <c r="CW22" s="115" t="s">
        <v>53</v>
      </c>
      <c r="CX22" s="115" t="s">
        <v>53</v>
      </c>
      <c r="CY22" s="115" t="s">
        <v>53</v>
      </c>
      <c r="CZ22" s="115" t="s">
        <v>53</v>
      </c>
      <c r="DA22" s="115" t="s">
        <v>53</v>
      </c>
      <c r="DB22" s="118" t="s">
        <v>328</v>
      </c>
      <c r="DC22" s="49" t="s">
        <v>328</v>
      </c>
      <c r="DD22" s="49" t="s">
        <v>313</v>
      </c>
      <c r="DE22" s="49" t="s">
        <v>313</v>
      </c>
      <c r="DF22" s="49" t="s">
        <v>313</v>
      </c>
      <c r="DG22" s="49" t="s">
        <v>313</v>
      </c>
      <c r="DH22" s="49" t="s">
        <v>313</v>
      </c>
      <c r="DI22" s="49" t="s">
        <v>313</v>
      </c>
      <c r="DJ22" s="49" t="s">
        <v>313</v>
      </c>
      <c r="DK22" s="49" t="s">
        <v>313</v>
      </c>
      <c r="DL22" s="49" t="s">
        <v>313</v>
      </c>
      <c r="DM22" s="49" t="s">
        <v>313</v>
      </c>
      <c r="DN22" s="49" t="s">
        <v>313</v>
      </c>
      <c r="DO22" s="118" t="s">
        <v>328</v>
      </c>
      <c r="DP22" s="49" t="s">
        <v>328</v>
      </c>
      <c r="DQ22" s="49" t="s">
        <v>310</v>
      </c>
      <c r="DR22" s="49" t="s">
        <v>310</v>
      </c>
      <c r="DS22" s="49" t="s">
        <v>58</v>
      </c>
      <c r="DT22" s="49" t="s">
        <v>58</v>
      </c>
      <c r="DU22" s="49" t="s">
        <v>310</v>
      </c>
      <c r="DV22" s="49" t="s">
        <v>58</v>
      </c>
      <c r="DW22" s="49" t="s">
        <v>315</v>
      </c>
      <c r="DX22" s="49" t="s">
        <v>58</v>
      </c>
      <c r="DY22" s="49" t="s">
        <v>316</v>
      </c>
      <c r="DZ22" s="49" t="s">
        <v>58</v>
      </c>
      <c r="EA22" s="118" t="s">
        <v>62</v>
      </c>
      <c r="EB22" s="49" t="s">
        <v>62</v>
      </c>
      <c r="EC22" s="49" t="s">
        <v>62</v>
      </c>
      <c r="ED22" s="49" t="s">
        <v>62</v>
      </c>
      <c r="EE22" s="49" t="s">
        <v>62</v>
      </c>
      <c r="EF22" s="49" t="s">
        <v>49</v>
      </c>
      <c r="EG22" s="120" t="s">
        <v>49</v>
      </c>
      <c r="EH22" s="117">
        <v>9.71</v>
      </c>
      <c r="EI22" s="117">
        <v>90.87</v>
      </c>
      <c r="EJ22" s="55">
        <v>0.02</v>
      </c>
      <c r="EK22" s="55">
        <v>0.02</v>
      </c>
      <c r="EL22" s="55">
        <v>0.02</v>
      </c>
      <c r="EM22" s="55">
        <v>0.02</v>
      </c>
      <c r="EN22" s="55">
        <v>0.02</v>
      </c>
      <c r="EO22" s="122">
        <v>0.02</v>
      </c>
      <c r="EP22" s="117">
        <v>0.6</v>
      </c>
      <c r="EQ22" s="117">
        <v>29.96</v>
      </c>
    </row>
    <row r="23" customFormat="1" ht="22.5" customHeight="1" spans="1:147">
      <c r="A23" s="108">
        <v>12210</v>
      </c>
      <c r="B23" s="109" t="s">
        <v>339</v>
      </c>
      <c r="C23" s="110">
        <v>46092</v>
      </c>
      <c r="D23" s="111">
        <f>IF(_xlfn.XLOOKUP(A23,[1]分配表!J:J,[1]分配表!M:M)=0,"未出单",_xlfn.XLOOKUP(A23,[1]分配表!J:J,[1]分配表!M:M))</f>
        <v>46104</v>
      </c>
      <c r="E23" s="112" t="str">
        <f>_xlfn.XLOOKUP(A23,[1]分配表!A:A,[1]分配表!C:C)</f>
        <v>张潇</v>
      </c>
      <c r="F23" s="112" t="str">
        <f>IF(_xlfn.XLOOKUP($A23,[1]分配表!$A:$A,[1]分配表!D:D)=0,"未分类",_xlfn.XLOOKUP($A23,[1]分配表!$A:$A,[1]分配表!D:D))</f>
        <v>饰条</v>
      </c>
      <c r="G23" s="112" t="str">
        <f>_xlfn.XLOOKUP(A23,[1]分配表!J:J,[1]分配表!I:I)</f>
        <v>原开品</v>
      </c>
      <c r="H23" s="49">
        <v>0</v>
      </c>
      <c r="I23" s="49">
        <v>0</v>
      </c>
      <c r="J23" s="49">
        <v>1</v>
      </c>
      <c r="K23" s="49">
        <v>3</v>
      </c>
      <c r="L23" s="49">
        <v>17</v>
      </c>
      <c r="M23" s="49">
        <v>5</v>
      </c>
      <c r="N23" s="49">
        <v>4</v>
      </c>
      <c r="O23" s="49">
        <v>2</v>
      </c>
      <c r="P23" s="49">
        <v>6</v>
      </c>
      <c r="Q23" s="49">
        <v>8</v>
      </c>
      <c r="R23" s="49">
        <v>5</v>
      </c>
      <c r="S23" s="49">
        <v>9</v>
      </c>
      <c r="T23" s="113">
        <f t="shared" si="0"/>
        <v>4</v>
      </c>
      <c r="U23" s="114">
        <v>0</v>
      </c>
      <c r="V23" s="115">
        <v>0</v>
      </c>
      <c r="W23" s="115">
        <v>12</v>
      </c>
      <c r="X23" s="115">
        <v>36</v>
      </c>
      <c r="Y23" s="115">
        <v>204</v>
      </c>
      <c r="Z23" s="115">
        <v>60</v>
      </c>
      <c r="AA23" s="115">
        <v>47.59</v>
      </c>
      <c r="AB23" s="116">
        <v>23.08</v>
      </c>
      <c r="AC23" s="117">
        <v>69.04</v>
      </c>
      <c r="AD23" s="117">
        <v>92.12</v>
      </c>
      <c r="AE23" s="117">
        <v>57.95</v>
      </c>
      <c r="AF23" s="117">
        <v>101.13</v>
      </c>
      <c r="AG23" s="115">
        <f t="shared" si="1"/>
        <v>43.18</v>
      </c>
      <c r="AH23" s="118">
        <v>0</v>
      </c>
      <c r="AI23" s="49">
        <v>39</v>
      </c>
      <c r="AJ23" s="49">
        <v>28</v>
      </c>
      <c r="AK23" s="49">
        <v>40</v>
      </c>
      <c r="AL23" s="49">
        <v>23</v>
      </c>
      <c r="AM23" s="49">
        <v>24</v>
      </c>
      <c r="AN23" s="49">
        <v>25</v>
      </c>
      <c r="AO23" s="49">
        <v>26</v>
      </c>
      <c r="AP23" s="49">
        <v>20</v>
      </c>
      <c r="AQ23" s="49">
        <v>16</v>
      </c>
      <c r="AR23" s="49">
        <v>32</v>
      </c>
      <c r="AS23" s="49">
        <v>36</v>
      </c>
      <c r="AT23" s="119" t="s">
        <v>306</v>
      </c>
      <c r="AU23" s="55">
        <v>0</v>
      </c>
      <c r="AV23" s="55">
        <v>0.0344827586206897</v>
      </c>
      <c r="AW23" s="55">
        <v>0.0697674418604651</v>
      </c>
      <c r="AX23" s="55">
        <v>0.425</v>
      </c>
      <c r="AY23" s="55">
        <v>0.172413793103448</v>
      </c>
      <c r="AZ23" s="55">
        <v>0.1667</v>
      </c>
      <c r="BA23" s="55">
        <v>0.0714</v>
      </c>
      <c r="BB23" s="55">
        <v>0.1667</v>
      </c>
      <c r="BC23" s="55">
        <v>0.3043</v>
      </c>
      <c r="BD23" s="55">
        <v>0.2</v>
      </c>
      <c r="BE23" s="55">
        <v>0.0526</v>
      </c>
      <c r="BF23" s="118" t="s">
        <v>328</v>
      </c>
      <c r="BG23" s="49">
        <v>6</v>
      </c>
      <c r="BH23" s="49">
        <v>2</v>
      </c>
      <c r="BI23" s="49">
        <v>10</v>
      </c>
      <c r="BJ23" s="49">
        <v>0</v>
      </c>
      <c r="BK23" s="49">
        <v>3</v>
      </c>
      <c r="BL23" s="49">
        <v>5</v>
      </c>
      <c r="BM23" s="49">
        <v>12</v>
      </c>
      <c r="BN23" s="49">
        <v>0</v>
      </c>
      <c r="BO23" s="49">
        <v>7</v>
      </c>
      <c r="BP23" s="49">
        <v>0</v>
      </c>
      <c r="BQ23" s="120">
        <v>4</v>
      </c>
      <c r="BR23" s="115" t="s">
        <v>328</v>
      </c>
      <c r="BS23" s="115" t="s">
        <v>149</v>
      </c>
      <c r="BT23" s="115" t="s">
        <v>62</v>
      </c>
      <c r="BU23" s="115" t="s">
        <v>62</v>
      </c>
      <c r="BV23" s="115" t="s">
        <v>62</v>
      </c>
      <c r="BW23" s="115" t="s">
        <v>62</v>
      </c>
      <c r="BX23" s="115" t="s">
        <v>62</v>
      </c>
      <c r="BY23" s="115" t="s">
        <v>62</v>
      </c>
      <c r="BZ23" s="115" t="s">
        <v>62</v>
      </c>
      <c r="CA23" s="115" t="s">
        <v>62</v>
      </c>
      <c r="CB23" s="115" t="s">
        <v>62</v>
      </c>
      <c r="CC23" s="115" t="s">
        <v>62</v>
      </c>
      <c r="CD23" s="114" t="s">
        <v>328</v>
      </c>
      <c r="CE23" s="115" t="s">
        <v>53</v>
      </c>
      <c r="CF23" s="115" t="s">
        <v>53</v>
      </c>
      <c r="CG23" s="115" t="s">
        <v>152</v>
      </c>
      <c r="CH23" s="115" t="s">
        <v>53</v>
      </c>
      <c r="CI23" s="115" t="s">
        <v>53</v>
      </c>
      <c r="CJ23" s="115" t="s">
        <v>53</v>
      </c>
      <c r="CK23" s="115" t="s">
        <v>152</v>
      </c>
      <c r="CL23" s="115" t="s">
        <v>53</v>
      </c>
      <c r="CM23" s="115" t="s">
        <v>152</v>
      </c>
      <c r="CN23" s="115" t="s">
        <v>53</v>
      </c>
      <c r="CO23" s="121" t="s">
        <v>53</v>
      </c>
      <c r="CP23" s="115" t="s">
        <v>328</v>
      </c>
      <c r="CQ23" s="115" t="s">
        <v>152</v>
      </c>
      <c r="CR23" s="115" t="s">
        <v>53</v>
      </c>
      <c r="CS23" s="115" t="s">
        <v>53</v>
      </c>
      <c r="CT23" s="115" t="s">
        <v>53</v>
      </c>
      <c r="CU23" s="115" t="s">
        <v>53</v>
      </c>
      <c r="CV23" s="115" t="s">
        <v>53</v>
      </c>
      <c r="CW23" s="115" t="s">
        <v>53</v>
      </c>
      <c r="CX23" s="115" t="s">
        <v>53</v>
      </c>
      <c r="CY23" s="115" t="s">
        <v>53</v>
      </c>
      <c r="CZ23" s="115" t="s">
        <v>53</v>
      </c>
      <c r="DA23" s="115" t="s">
        <v>53</v>
      </c>
      <c r="DB23" s="118" t="s">
        <v>328</v>
      </c>
      <c r="DC23" s="49" t="s">
        <v>328</v>
      </c>
      <c r="DD23" s="49" t="s">
        <v>313</v>
      </c>
      <c r="DE23" s="49" t="s">
        <v>313</v>
      </c>
      <c r="DF23" s="49" t="s">
        <v>313</v>
      </c>
      <c r="DG23" s="49" t="s">
        <v>313</v>
      </c>
      <c r="DH23" s="49" t="s">
        <v>313</v>
      </c>
      <c r="DI23" s="49" t="s">
        <v>313</v>
      </c>
      <c r="DJ23" s="49" t="s">
        <v>313</v>
      </c>
      <c r="DK23" s="49" t="s">
        <v>313</v>
      </c>
      <c r="DL23" s="49" t="s">
        <v>313</v>
      </c>
      <c r="DM23" s="49" t="s">
        <v>313</v>
      </c>
      <c r="DN23" s="49" t="s">
        <v>313</v>
      </c>
      <c r="DO23" s="118" t="s">
        <v>328</v>
      </c>
      <c r="DP23" s="49" t="s">
        <v>328</v>
      </c>
      <c r="DQ23" s="49" t="s">
        <v>159</v>
      </c>
      <c r="DR23" s="49" t="s">
        <v>310</v>
      </c>
      <c r="DS23" s="49" t="s">
        <v>58</v>
      </c>
      <c r="DT23" s="49" t="s">
        <v>58</v>
      </c>
      <c r="DU23" s="49" t="s">
        <v>58</v>
      </c>
      <c r="DV23" s="49" t="s">
        <v>58</v>
      </c>
      <c r="DW23" s="49" t="s">
        <v>315</v>
      </c>
      <c r="DX23" s="49" t="s">
        <v>58</v>
      </c>
      <c r="DY23" s="49" t="s">
        <v>316</v>
      </c>
      <c r="DZ23" s="49" t="s">
        <v>58</v>
      </c>
      <c r="EA23" s="118" t="s">
        <v>49</v>
      </c>
      <c r="EB23" s="49" t="s">
        <v>49</v>
      </c>
      <c r="EC23" s="49" t="s">
        <v>49</v>
      </c>
      <c r="ED23" s="49" t="s">
        <v>49</v>
      </c>
      <c r="EE23" s="49" t="s">
        <v>49</v>
      </c>
      <c r="EF23" s="49" t="s">
        <v>49</v>
      </c>
      <c r="EG23" s="120" t="s">
        <v>49</v>
      </c>
      <c r="EH23" s="117">
        <v>6.06</v>
      </c>
      <c r="EI23" s="117">
        <v>24.76</v>
      </c>
      <c r="EJ23" s="55">
        <v>0.02</v>
      </c>
      <c r="EK23" s="55">
        <v>0</v>
      </c>
      <c r="EL23" s="55">
        <v>0</v>
      </c>
      <c r="EM23" s="55">
        <v>0.02</v>
      </c>
      <c r="EN23" s="55">
        <v>0.05</v>
      </c>
      <c r="EO23" s="122">
        <v>0.05</v>
      </c>
      <c r="EP23" s="117">
        <v>0</v>
      </c>
      <c r="EQ23" s="117">
        <v>0</v>
      </c>
    </row>
    <row r="24" customFormat="1" ht="22.5" customHeight="1" spans="1:147">
      <c r="A24" s="108">
        <v>12250</v>
      </c>
      <c r="B24" s="109" t="s">
        <v>340</v>
      </c>
      <c r="C24" s="110">
        <v>46092</v>
      </c>
      <c r="D24" s="111">
        <f>IF(_xlfn.XLOOKUP(A24,[1]分配表!J:J,[1]分配表!M:M)=0,"未出单",_xlfn.XLOOKUP(A24,[1]分配表!J:J,[1]分配表!M:M))</f>
        <v>46096</v>
      </c>
      <c r="E24" s="112" t="str">
        <f>_xlfn.XLOOKUP(A24,[1]分配表!A:A,[1]分配表!C:C)</f>
        <v>王偲涵</v>
      </c>
      <c r="F24" s="112" t="str">
        <f>IF(_xlfn.XLOOKUP($A24,[1]分配表!$A:$A,[1]分配表!D:D)=0,"未分类",_xlfn.XLOOKUP($A24,[1]分配表!$A:$A,[1]分配表!D:D))</f>
        <v>饰条</v>
      </c>
      <c r="G24" s="112" t="str">
        <f>_xlfn.XLOOKUP(A24,[1]分配表!J:J,[1]分配表!I:I)</f>
        <v>拓展品</v>
      </c>
      <c r="H24" s="49">
        <v>0</v>
      </c>
      <c r="I24" s="49">
        <v>1</v>
      </c>
      <c r="J24" s="49">
        <v>0</v>
      </c>
      <c r="K24" s="49">
        <v>1</v>
      </c>
      <c r="L24" s="49">
        <v>1</v>
      </c>
      <c r="M24" s="49">
        <v>0</v>
      </c>
      <c r="N24" s="49">
        <v>0</v>
      </c>
      <c r="O24" s="49">
        <v>0</v>
      </c>
      <c r="P24" s="49">
        <v>2</v>
      </c>
      <c r="Q24" s="49">
        <v>0</v>
      </c>
      <c r="R24" s="49">
        <v>1</v>
      </c>
      <c r="S24" s="49">
        <v>2</v>
      </c>
      <c r="T24" s="113">
        <f t="shared" si="0"/>
        <v>1</v>
      </c>
      <c r="U24" s="114">
        <v>0</v>
      </c>
      <c r="V24" s="115">
        <v>39</v>
      </c>
      <c r="W24" s="115">
        <v>0</v>
      </c>
      <c r="X24" s="115">
        <v>39</v>
      </c>
      <c r="Y24" s="115">
        <v>39</v>
      </c>
      <c r="Z24" s="115">
        <v>0</v>
      </c>
      <c r="AA24" s="115">
        <v>0</v>
      </c>
      <c r="AB24" s="116">
        <v>0</v>
      </c>
      <c r="AC24" s="117">
        <v>78</v>
      </c>
      <c r="AD24" s="117">
        <v>0</v>
      </c>
      <c r="AE24" s="117">
        <v>34</v>
      </c>
      <c r="AF24" s="117">
        <v>68</v>
      </c>
      <c r="AG24" s="115">
        <f t="shared" si="1"/>
        <v>34</v>
      </c>
      <c r="AH24" s="118">
        <v>0</v>
      </c>
      <c r="AI24" s="49">
        <v>1</v>
      </c>
      <c r="AJ24" s="49">
        <v>2</v>
      </c>
      <c r="AK24" s="49">
        <v>0</v>
      </c>
      <c r="AL24" s="49">
        <v>1</v>
      </c>
      <c r="AM24" s="49">
        <v>0</v>
      </c>
      <c r="AN24" s="49">
        <v>0</v>
      </c>
      <c r="AO24" s="49">
        <v>0</v>
      </c>
      <c r="AP24" s="49">
        <v>2</v>
      </c>
      <c r="AQ24" s="49">
        <v>1</v>
      </c>
      <c r="AR24" s="49">
        <v>0</v>
      </c>
      <c r="AS24" s="49">
        <v>0</v>
      </c>
      <c r="AT24" s="119" t="s">
        <v>306</v>
      </c>
      <c r="AU24" s="55">
        <v>0.5</v>
      </c>
      <c r="AV24" s="55">
        <v>0</v>
      </c>
      <c r="AW24" s="55">
        <v>1</v>
      </c>
      <c r="AX24" s="55">
        <v>0.5</v>
      </c>
      <c r="AY24" s="55">
        <v>0</v>
      </c>
      <c r="AZ24" s="55" t="s">
        <v>306</v>
      </c>
      <c r="BA24" s="55" t="s">
        <v>306</v>
      </c>
      <c r="BB24" s="55">
        <v>0.5</v>
      </c>
      <c r="BC24" s="55">
        <v>0</v>
      </c>
      <c r="BD24" s="55">
        <v>1</v>
      </c>
      <c r="BE24" s="55">
        <v>1</v>
      </c>
      <c r="BF24" s="118" t="s">
        <v>328</v>
      </c>
      <c r="BG24" s="49">
        <v>7</v>
      </c>
      <c r="BH24" s="49">
        <v>14</v>
      </c>
      <c r="BI24" s="49">
        <v>22</v>
      </c>
      <c r="BJ24" s="49">
        <v>28</v>
      </c>
      <c r="BK24" s="49">
        <v>7</v>
      </c>
      <c r="BL24" s="49">
        <v>5</v>
      </c>
      <c r="BM24" s="49">
        <v>0</v>
      </c>
      <c r="BN24" s="49">
        <v>0</v>
      </c>
      <c r="BO24" s="49">
        <v>7</v>
      </c>
      <c r="BP24" s="49">
        <v>2</v>
      </c>
      <c r="BQ24" s="120">
        <v>9</v>
      </c>
      <c r="BR24" s="115" t="s">
        <v>328</v>
      </c>
      <c r="BS24" s="115" t="s">
        <v>49</v>
      </c>
      <c r="BT24" s="115" t="s">
        <v>49</v>
      </c>
      <c r="BU24" s="115" t="s">
        <v>49</v>
      </c>
      <c r="BV24" s="115" t="s">
        <v>49</v>
      </c>
      <c r="BW24" s="115" t="s">
        <v>49</v>
      </c>
      <c r="BX24" s="115" t="s">
        <v>49</v>
      </c>
      <c r="BY24" s="115" t="s">
        <v>49</v>
      </c>
      <c r="BZ24" s="115" t="s">
        <v>49</v>
      </c>
      <c r="CA24" s="115" t="s">
        <v>49</v>
      </c>
      <c r="CB24" s="115" t="s">
        <v>49</v>
      </c>
      <c r="CC24" s="115" t="s">
        <v>49</v>
      </c>
      <c r="CD24" s="114" t="s">
        <v>328</v>
      </c>
      <c r="CE24" s="115" t="s">
        <v>53</v>
      </c>
      <c r="CF24" s="115" t="s">
        <v>152</v>
      </c>
      <c r="CG24" s="115" t="s">
        <v>152</v>
      </c>
      <c r="CH24" s="115" t="s">
        <v>152</v>
      </c>
      <c r="CI24" s="115" t="s">
        <v>53</v>
      </c>
      <c r="CJ24" s="115" t="s">
        <v>53</v>
      </c>
      <c r="CK24" s="115" t="s">
        <v>53</v>
      </c>
      <c r="CL24" s="115" t="s">
        <v>53</v>
      </c>
      <c r="CM24" s="115" t="s">
        <v>152</v>
      </c>
      <c r="CN24" s="115" t="s">
        <v>53</v>
      </c>
      <c r="CO24" s="121" t="s">
        <v>53</v>
      </c>
      <c r="CP24" s="115" t="s">
        <v>328</v>
      </c>
      <c r="CQ24" s="115" t="s">
        <v>152</v>
      </c>
      <c r="CR24" s="115" t="s">
        <v>53</v>
      </c>
      <c r="CS24" s="115" t="s">
        <v>53</v>
      </c>
      <c r="CT24" s="115" t="s">
        <v>53</v>
      </c>
      <c r="CU24" s="115" t="s">
        <v>53</v>
      </c>
      <c r="CV24" s="115" t="s">
        <v>53</v>
      </c>
      <c r="CW24" s="115" t="s">
        <v>53</v>
      </c>
      <c r="CX24" s="115" t="s">
        <v>53</v>
      </c>
      <c r="CY24" s="115" t="s">
        <v>53</v>
      </c>
      <c r="CZ24" s="115" t="s">
        <v>53</v>
      </c>
      <c r="DA24" s="115" t="s">
        <v>53</v>
      </c>
      <c r="DB24" s="118" t="s">
        <v>328</v>
      </c>
      <c r="DC24" s="49" t="s">
        <v>328</v>
      </c>
      <c r="DD24" s="49" t="s">
        <v>313</v>
      </c>
      <c r="DE24" s="49" t="s">
        <v>313</v>
      </c>
      <c r="DF24" s="49" t="s">
        <v>307</v>
      </c>
      <c r="DG24" s="49" t="s">
        <v>313</v>
      </c>
      <c r="DH24" s="49" t="s">
        <v>307</v>
      </c>
      <c r="DI24" s="49" t="s">
        <v>307</v>
      </c>
      <c r="DJ24" s="49" t="s">
        <v>156</v>
      </c>
      <c r="DK24" s="49" t="s">
        <v>313</v>
      </c>
      <c r="DL24" s="49" t="s">
        <v>313</v>
      </c>
      <c r="DM24" s="49" t="s">
        <v>53</v>
      </c>
      <c r="DN24" s="49" t="s">
        <v>53</v>
      </c>
      <c r="DO24" s="118" t="s">
        <v>328</v>
      </c>
      <c r="DP24" s="49" t="s">
        <v>328</v>
      </c>
      <c r="DQ24" s="49" t="s">
        <v>308</v>
      </c>
      <c r="DR24" s="49" t="s">
        <v>159</v>
      </c>
      <c r="DS24" s="49" t="s">
        <v>159</v>
      </c>
      <c r="DT24" s="49" t="s">
        <v>159</v>
      </c>
      <c r="DU24" s="49" t="s">
        <v>58</v>
      </c>
      <c r="DV24" s="49" t="s">
        <v>58</v>
      </c>
      <c r="DW24" s="49" t="s">
        <v>58</v>
      </c>
      <c r="DX24" s="49" t="s">
        <v>58</v>
      </c>
      <c r="DY24" s="49" t="s">
        <v>316</v>
      </c>
      <c r="DZ24" s="49" t="s">
        <v>58</v>
      </c>
      <c r="EA24" s="118" t="s">
        <v>49</v>
      </c>
      <c r="EB24" s="49" t="s">
        <v>49</v>
      </c>
      <c r="EC24" s="49" t="s">
        <v>49</v>
      </c>
      <c r="ED24" s="49" t="s">
        <v>49</v>
      </c>
      <c r="EE24" s="49" t="s">
        <v>49</v>
      </c>
      <c r="EF24" s="49" t="s">
        <v>49</v>
      </c>
      <c r="EG24" s="120" t="s">
        <v>49</v>
      </c>
      <c r="EH24" s="117">
        <v>0</v>
      </c>
      <c r="EI24" s="117">
        <v>0</v>
      </c>
      <c r="EJ24" s="55">
        <v>0.02</v>
      </c>
      <c r="EK24" s="55">
        <v>0</v>
      </c>
      <c r="EL24" s="55">
        <v>0</v>
      </c>
      <c r="EM24" s="55">
        <v>0</v>
      </c>
      <c r="EN24" s="55">
        <v>0.02</v>
      </c>
      <c r="EO24" s="122">
        <v>0.02</v>
      </c>
      <c r="EP24" s="117">
        <v>0</v>
      </c>
      <c r="EQ24" s="117">
        <v>0</v>
      </c>
    </row>
    <row r="25" customFormat="1" ht="22.5" customHeight="1" spans="1:147">
      <c r="A25" s="108">
        <v>12251</v>
      </c>
      <c r="B25" s="109" t="s">
        <v>341</v>
      </c>
      <c r="C25" s="110">
        <v>46092</v>
      </c>
      <c r="D25" s="111">
        <f>IF(_xlfn.XLOOKUP(A25,[1]分配表!J:J,[1]分配表!M:M)=0,"未出单",_xlfn.XLOOKUP(A25,[1]分配表!J:J,[1]分配表!M:M))</f>
        <v>46112</v>
      </c>
      <c r="E25" s="112" t="str">
        <f>_xlfn.XLOOKUP(A25,[1]分配表!A:A,[1]分配表!C:C)</f>
        <v>王偲涵</v>
      </c>
      <c r="F25" s="112" t="str">
        <f>IF(_xlfn.XLOOKUP($A25,[1]分配表!$A:$A,[1]分配表!D:D)=0,"未分类",_xlfn.XLOOKUP($A25,[1]分配表!$A:$A,[1]分配表!D:D))</f>
        <v>饰条</v>
      </c>
      <c r="G25" s="112" t="str">
        <f>_xlfn.XLOOKUP(A25,[1]分配表!J:J,[1]分配表!I:I)</f>
        <v>拓展品</v>
      </c>
      <c r="H25" s="49">
        <v>0</v>
      </c>
      <c r="I25" s="49">
        <v>0</v>
      </c>
      <c r="J25" s="49">
        <v>0</v>
      </c>
      <c r="K25" s="49">
        <v>1</v>
      </c>
      <c r="L25" s="49">
        <v>0</v>
      </c>
      <c r="M25" s="49">
        <v>2</v>
      </c>
      <c r="N25" s="49">
        <v>0</v>
      </c>
      <c r="O25" s="49">
        <v>0</v>
      </c>
      <c r="P25" s="49">
        <v>0</v>
      </c>
      <c r="Q25" s="49">
        <v>0</v>
      </c>
      <c r="R25" s="49">
        <v>1</v>
      </c>
      <c r="S25" s="49">
        <v>0</v>
      </c>
      <c r="T25" s="113">
        <f t="shared" si="0"/>
        <v>-1</v>
      </c>
      <c r="U25" s="114">
        <v>0</v>
      </c>
      <c r="V25" s="115">
        <v>0</v>
      </c>
      <c r="W25" s="115">
        <v>0</v>
      </c>
      <c r="X25" s="115">
        <v>39</v>
      </c>
      <c r="Y25" s="115">
        <v>0</v>
      </c>
      <c r="Z25" s="115">
        <v>78</v>
      </c>
      <c r="AA25" s="115">
        <v>0</v>
      </c>
      <c r="AB25" s="116">
        <v>0</v>
      </c>
      <c r="AC25" s="117">
        <v>0</v>
      </c>
      <c r="AD25" s="117">
        <v>0</v>
      </c>
      <c r="AE25" s="117">
        <v>34</v>
      </c>
      <c r="AF25" s="117">
        <v>0</v>
      </c>
      <c r="AG25" s="115">
        <f t="shared" si="1"/>
        <v>-34</v>
      </c>
      <c r="AH25" s="118">
        <v>0</v>
      </c>
      <c r="AI25" s="49">
        <v>1</v>
      </c>
      <c r="AJ25" s="49">
        <v>1</v>
      </c>
      <c r="AK25" s="49">
        <v>2</v>
      </c>
      <c r="AL25" s="49">
        <v>0</v>
      </c>
      <c r="AM25" s="49">
        <v>1</v>
      </c>
      <c r="AN25" s="49">
        <v>0</v>
      </c>
      <c r="AO25" s="49">
        <v>0</v>
      </c>
      <c r="AP25" s="49">
        <v>0</v>
      </c>
      <c r="AQ25" s="49">
        <v>0</v>
      </c>
      <c r="AR25" s="49">
        <v>1</v>
      </c>
      <c r="AS25" s="49">
        <v>1</v>
      </c>
      <c r="AT25" s="119" t="s">
        <v>306</v>
      </c>
      <c r="AU25" s="55">
        <v>0</v>
      </c>
      <c r="AV25" s="55">
        <v>0</v>
      </c>
      <c r="AW25" s="55">
        <v>0.333333333333333</v>
      </c>
      <c r="AX25" s="55">
        <v>0</v>
      </c>
      <c r="AY25" s="55">
        <v>0.666666666666667</v>
      </c>
      <c r="AZ25" s="55">
        <v>1</v>
      </c>
      <c r="BA25" s="55" t="s">
        <v>306</v>
      </c>
      <c r="BB25" s="55" t="s">
        <v>306</v>
      </c>
      <c r="BC25" s="55" t="s">
        <v>306</v>
      </c>
      <c r="BD25" s="55">
        <v>0.5</v>
      </c>
      <c r="BE25" s="55">
        <v>0</v>
      </c>
      <c r="BF25" s="118" t="s">
        <v>328</v>
      </c>
      <c r="BG25" s="49">
        <v>7</v>
      </c>
      <c r="BH25" s="49">
        <v>14</v>
      </c>
      <c r="BI25" s="49">
        <v>22</v>
      </c>
      <c r="BJ25" s="49">
        <v>28</v>
      </c>
      <c r="BK25" s="49">
        <v>7</v>
      </c>
      <c r="BL25" s="49">
        <v>5</v>
      </c>
      <c r="BM25" s="49">
        <v>4</v>
      </c>
      <c r="BN25" s="49">
        <v>0</v>
      </c>
      <c r="BO25" s="49">
        <v>7</v>
      </c>
      <c r="BP25" s="49">
        <v>2</v>
      </c>
      <c r="BQ25" s="120">
        <v>1</v>
      </c>
      <c r="BR25" s="115" t="s">
        <v>328</v>
      </c>
      <c r="BS25" s="115" t="s">
        <v>149</v>
      </c>
      <c r="BT25" s="115" t="s">
        <v>149</v>
      </c>
      <c r="BU25" s="115" t="s">
        <v>62</v>
      </c>
      <c r="BV25" s="115" t="s">
        <v>62</v>
      </c>
      <c r="BW25" s="115" t="s">
        <v>62</v>
      </c>
      <c r="BX25" s="115" t="s">
        <v>62</v>
      </c>
      <c r="BY25" s="115" t="s">
        <v>62</v>
      </c>
      <c r="BZ25" s="115" t="s">
        <v>62</v>
      </c>
      <c r="CA25" s="115" t="s">
        <v>62</v>
      </c>
      <c r="CB25" s="115" t="s">
        <v>62</v>
      </c>
      <c r="CC25" s="115" t="s">
        <v>62</v>
      </c>
      <c r="CD25" s="114" t="s">
        <v>328</v>
      </c>
      <c r="CE25" s="115" t="s">
        <v>53</v>
      </c>
      <c r="CF25" s="115" t="s">
        <v>152</v>
      </c>
      <c r="CG25" s="115" t="s">
        <v>152</v>
      </c>
      <c r="CH25" s="115" t="s">
        <v>152</v>
      </c>
      <c r="CI25" s="115" t="s">
        <v>53</v>
      </c>
      <c r="CJ25" s="115" t="s">
        <v>53</v>
      </c>
      <c r="CK25" s="115" t="s">
        <v>53</v>
      </c>
      <c r="CL25" s="115" t="s">
        <v>53</v>
      </c>
      <c r="CM25" s="115" t="s">
        <v>53</v>
      </c>
      <c r="CN25" s="115" t="s">
        <v>53</v>
      </c>
      <c r="CO25" s="121" t="s">
        <v>53</v>
      </c>
      <c r="CP25" s="115" t="s">
        <v>328</v>
      </c>
      <c r="CQ25" s="115" t="s">
        <v>152</v>
      </c>
      <c r="CR25" s="115" t="s">
        <v>53</v>
      </c>
      <c r="CS25" s="115" t="s">
        <v>53</v>
      </c>
      <c r="CT25" s="115" t="s">
        <v>53</v>
      </c>
      <c r="CU25" s="115" t="s">
        <v>53</v>
      </c>
      <c r="CV25" s="115" t="s">
        <v>53</v>
      </c>
      <c r="CW25" s="115" t="s">
        <v>53</v>
      </c>
      <c r="CX25" s="115" t="s">
        <v>53</v>
      </c>
      <c r="CY25" s="115" t="s">
        <v>53</v>
      </c>
      <c r="CZ25" s="115" t="s">
        <v>53</v>
      </c>
      <c r="DA25" s="115" t="s">
        <v>53</v>
      </c>
      <c r="DB25" s="118" t="s">
        <v>328</v>
      </c>
      <c r="DC25" s="49" t="s">
        <v>328</v>
      </c>
      <c r="DD25" s="49" t="s">
        <v>313</v>
      </c>
      <c r="DE25" s="49" t="s">
        <v>313</v>
      </c>
      <c r="DF25" s="49" t="s">
        <v>313</v>
      </c>
      <c r="DG25" s="49" t="s">
        <v>307</v>
      </c>
      <c r="DH25" s="49" t="s">
        <v>307</v>
      </c>
      <c r="DI25" s="49" t="s">
        <v>53</v>
      </c>
      <c r="DJ25" s="49" t="s">
        <v>156</v>
      </c>
      <c r="DK25" s="49" t="s">
        <v>307</v>
      </c>
      <c r="DL25" s="49" t="s">
        <v>307</v>
      </c>
      <c r="DM25" s="49" t="s">
        <v>313</v>
      </c>
      <c r="DN25" s="49" t="s">
        <v>313</v>
      </c>
      <c r="DO25" s="118" t="s">
        <v>328</v>
      </c>
      <c r="DP25" s="49" t="s">
        <v>328</v>
      </c>
      <c r="DQ25" s="49" t="s">
        <v>308</v>
      </c>
      <c r="DR25" s="49" t="s">
        <v>159</v>
      </c>
      <c r="DS25" s="49" t="s">
        <v>159</v>
      </c>
      <c r="DT25" s="49" t="s">
        <v>159</v>
      </c>
      <c r="DU25" s="49" t="s">
        <v>58</v>
      </c>
      <c r="DV25" s="49" t="s">
        <v>58</v>
      </c>
      <c r="DW25" s="49" t="s">
        <v>58</v>
      </c>
      <c r="DX25" s="49" t="s">
        <v>58</v>
      </c>
      <c r="DY25" s="49" t="s">
        <v>58</v>
      </c>
      <c r="DZ25" s="49" t="s">
        <v>58</v>
      </c>
      <c r="EA25" s="118" t="s">
        <v>49</v>
      </c>
      <c r="EB25" s="49" t="s">
        <v>49</v>
      </c>
      <c r="EC25" s="49" t="s">
        <v>49</v>
      </c>
      <c r="ED25" s="49" t="s">
        <v>49</v>
      </c>
      <c r="EE25" s="49" t="s">
        <v>49</v>
      </c>
      <c r="EF25" s="49" t="s">
        <v>49</v>
      </c>
      <c r="EG25" s="120" t="s">
        <v>49</v>
      </c>
      <c r="EH25" s="117">
        <v>1.3</v>
      </c>
      <c r="EI25" s="117">
        <v>0</v>
      </c>
      <c r="EJ25" s="55">
        <v>0.02</v>
      </c>
      <c r="EK25" s="55">
        <v>0.02</v>
      </c>
      <c r="EL25" s="55">
        <v>0.02</v>
      </c>
      <c r="EM25" s="55">
        <v>0.02</v>
      </c>
      <c r="EN25" s="55">
        <v>0.02</v>
      </c>
      <c r="EO25" s="122">
        <v>0.02</v>
      </c>
      <c r="EP25" s="117">
        <v>0.72</v>
      </c>
      <c r="EQ25" s="117">
        <v>36.21</v>
      </c>
    </row>
    <row r="26" customFormat="1" ht="22.5" customHeight="1" spans="1:147">
      <c r="A26" s="108">
        <v>12332</v>
      </c>
      <c r="B26" s="109" t="s">
        <v>342</v>
      </c>
      <c r="C26" s="110">
        <v>46092</v>
      </c>
      <c r="D26" s="111">
        <f>IF(_xlfn.XLOOKUP(A26,[1]分配表!J:J,[1]分配表!M:M)=0,"未出单",_xlfn.XLOOKUP(A26,[1]分配表!J:J,[1]分配表!M:M))</f>
        <v>46095</v>
      </c>
      <c r="E26" s="112" t="str">
        <f>_xlfn.XLOOKUP(A26,[1]分配表!A:A,[1]分配表!C:C)</f>
        <v>张潇</v>
      </c>
      <c r="F26" s="112" t="str">
        <f>IF(_xlfn.XLOOKUP($A26,[1]分配表!$A:$A,[1]分配表!D:D)=0,"未分类",_xlfn.XLOOKUP($A26,[1]分配表!$A:$A,[1]分配表!D:D))</f>
        <v>饰条</v>
      </c>
      <c r="G26" s="112" t="str">
        <f>_xlfn.XLOOKUP(A26,[1]分配表!J:J,[1]分配表!I:I)</f>
        <v>原开品</v>
      </c>
      <c r="H26" s="49">
        <v>0</v>
      </c>
      <c r="I26" s="49">
        <v>3</v>
      </c>
      <c r="J26" s="49">
        <v>6</v>
      </c>
      <c r="K26" s="49">
        <v>5</v>
      </c>
      <c r="L26" s="49">
        <v>5</v>
      </c>
      <c r="M26" s="49">
        <v>5</v>
      </c>
      <c r="N26" s="49">
        <v>5</v>
      </c>
      <c r="O26" s="49">
        <v>3</v>
      </c>
      <c r="P26" s="49">
        <v>2</v>
      </c>
      <c r="Q26" s="49">
        <v>4</v>
      </c>
      <c r="R26" s="49">
        <v>4</v>
      </c>
      <c r="S26" s="49">
        <v>4</v>
      </c>
      <c r="T26" s="113">
        <f t="shared" si="0"/>
        <v>0</v>
      </c>
      <c r="U26" s="114">
        <v>0</v>
      </c>
      <c r="V26" s="115">
        <v>327</v>
      </c>
      <c r="W26" s="115">
        <v>654</v>
      </c>
      <c r="X26" s="115">
        <v>545</v>
      </c>
      <c r="Y26" s="115">
        <v>570</v>
      </c>
      <c r="Z26" s="115">
        <v>570</v>
      </c>
      <c r="AA26" s="115">
        <v>570</v>
      </c>
      <c r="AB26" s="116">
        <v>342</v>
      </c>
      <c r="AC26" s="117">
        <v>228</v>
      </c>
      <c r="AD26" s="117">
        <v>456</v>
      </c>
      <c r="AE26" s="117">
        <v>456</v>
      </c>
      <c r="AF26" s="117">
        <v>456</v>
      </c>
      <c r="AG26" s="115">
        <f t="shared" si="1"/>
        <v>0</v>
      </c>
      <c r="AH26" s="118">
        <v>0</v>
      </c>
      <c r="AI26" s="49">
        <v>2</v>
      </c>
      <c r="AJ26" s="49">
        <v>1</v>
      </c>
      <c r="AK26" s="49">
        <v>0</v>
      </c>
      <c r="AL26" s="49">
        <v>0</v>
      </c>
      <c r="AM26" s="49">
        <v>1</v>
      </c>
      <c r="AN26" s="49">
        <v>2</v>
      </c>
      <c r="AO26" s="49">
        <v>1</v>
      </c>
      <c r="AP26" s="49">
        <v>3</v>
      </c>
      <c r="AQ26" s="49">
        <v>0</v>
      </c>
      <c r="AR26" s="49">
        <v>1</v>
      </c>
      <c r="AS26" s="49">
        <v>1</v>
      </c>
      <c r="AT26" s="119" t="s">
        <v>306</v>
      </c>
      <c r="AU26" s="55">
        <v>0.3333</v>
      </c>
      <c r="AV26" s="55">
        <v>0.857142857142857</v>
      </c>
      <c r="AW26" s="55">
        <v>1</v>
      </c>
      <c r="AX26" s="55">
        <v>1</v>
      </c>
      <c r="AY26" s="55">
        <v>0.833333333333333</v>
      </c>
      <c r="AZ26" s="55">
        <v>0.7143</v>
      </c>
      <c r="BA26" s="55">
        <v>0.8</v>
      </c>
      <c r="BB26" s="55">
        <v>0.5</v>
      </c>
      <c r="BC26" s="55">
        <v>1</v>
      </c>
      <c r="BD26" s="55">
        <v>0.8</v>
      </c>
      <c r="BE26" s="55">
        <v>0.8</v>
      </c>
      <c r="BF26" s="118" t="s">
        <v>328</v>
      </c>
      <c r="BG26" s="49">
        <v>7</v>
      </c>
      <c r="BH26" s="49">
        <v>14</v>
      </c>
      <c r="BI26" s="49">
        <v>22</v>
      </c>
      <c r="BJ26" s="49">
        <v>0</v>
      </c>
      <c r="BK26" s="49">
        <v>8</v>
      </c>
      <c r="BL26" s="49">
        <v>14</v>
      </c>
      <c r="BM26" s="49">
        <v>2</v>
      </c>
      <c r="BN26" s="49">
        <v>9</v>
      </c>
      <c r="BO26" s="49">
        <v>2</v>
      </c>
      <c r="BP26" s="49">
        <v>9</v>
      </c>
      <c r="BQ26" s="120">
        <v>16</v>
      </c>
      <c r="BR26" s="115" t="s">
        <v>328</v>
      </c>
      <c r="BS26" s="115" t="s">
        <v>49</v>
      </c>
      <c r="BT26" s="115" t="s">
        <v>49</v>
      </c>
      <c r="BU26" s="115" t="s">
        <v>49</v>
      </c>
      <c r="BV26" s="115" t="s">
        <v>49</v>
      </c>
      <c r="BW26" s="115" t="s">
        <v>49</v>
      </c>
      <c r="BX26" s="115" t="s">
        <v>49</v>
      </c>
      <c r="BY26" s="115" t="s">
        <v>49</v>
      </c>
      <c r="BZ26" s="115" t="s">
        <v>49</v>
      </c>
      <c r="CA26" s="115" t="s">
        <v>49</v>
      </c>
      <c r="CB26" s="115" t="s">
        <v>49</v>
      </c>
      <c r="CC26" s="115" t="s">
        <v>49</v>
      </c>
      <c r="CD26" s="114" t="s">
        <v>328</v>
      </c>
      <c r="CE26" s="115" t="s">
        <v>53</v>
      </c>
      <c r="CF26" s="115" t="s">
        <v>152</v>
      </c>
      <c r="CG26" s="115" t="s">
        <v>152</v>
      </c>
      <c r="CH26" s="115" t="s">
        <v>53</v>
      </c>
      <c r="CI26" s="115" t="s">
        <v>53</v>
      </c>
      <c r="CJ26" s="115" t="s">
        <v>152</v>
      </c>
      <c r="CK26" s="115" t="s">
        <v>53</v>
      </c>
      <c r="CL26" s="115" t="s">
        <v>152</v>
      </c>
      <c r="CM26" s="115" t="s">
        <v>53</v>
      </c>
      <c r="CN26" s="115" t="s">
        <v>53</v>
      </c>
      <c r="CO26" s="121" t="s">
        <v>53</v>
      </c>
      <c r="CP26" s="115" t="s">
        <v>328</v>
      </c>
      <c r="CQ26" s="115" t="s">
        <v>152</v>
      </c>
      <c r="CR26" s="115" t="s">
        <v>53</v>
      </c>
      <c r="CS26" s="115" t="s">
        <v>53</v>
      </c>
      <c r="CT26" s="115" t="s">
        <v>53</v>
      </c>
      <c r="CU26" s="115" t="s">
        <v>53</v>
      </c>
      <c r="CV26" s="115" t="s">
        <v>53</v>
      </c>
      <c r="CW26" s="115" t="s">
        <v>53</v>
      </c>
      <c r="CX26" s="115" t="s">
        <v>53</v>
      </c>
      <c r="CY26" s="115" t="s">
        <v>53</v>
      </c>
      <c r="CZ26" s="115" t="s">
        <v>53</v>
      </c>
      <c r="DA26" s="115" t="s">
        <v>53</v>
      </c>
      <c r="DB26" s="118" t="s">
        <v>328</v>
      </c>
      <c r="DC26" s="49" t="s">
        <v>328</v>
      </c>
      <c r="DD26" s="49" t="s">
        <v>320</v>
      </c>
      <c r="DE26" s="49" t="s">
        <v>53</v>
      </c>
      <c r="DF26" s="49" t="s">
        <v>53</v>
      </c>
      <c r="DG26" s="49" t="s">
        <v>53</v>
      </c>
      <c r="DH26" s="49" t="s">
        <v>53</v>
      </c>
      <c r="DI26" s="49" t="s">
        <v>53</v>
      </c>
      <c r="DJ26" s="49" t="s">
        <v>53</v>
      </c>
      <c r="DK26" s="49" t="s">
        <v>313</v>
      </c>
      <c r="DL26" s="49" t="s">
        <v>53</v>
      </c>
      <c r="DM26" s="49" t="s">
        <v>53</v>
      </c>
      <c r="DN26" s="49" t="s">
        <v>53</v>
      </c>
      <c r="DO26" s="118" t="s">
        <v>328</v>
      </c>
      <c r="DP26" s="49" t="s">
        <v>328</v>
      </c>
      <c r="DQ26" s="49" t="s">
        <v>308</v>
      </c>
      <c r="DR26" s="49" t="s">
        <v>310</v>
      </c>
      <c r="DS26" s="49" t="s">
        <v>58</v>
      </c>
      <c r="DT26" s="49" t="s">
        <v>58</v>
      </c>
      <c r="DU26" s="49" t="s">
        <v>58</v>
      </c>
      <c r="DV26" s="49" t="s">
        <v>310</v>
      </c>
      <c r="DW26" s="49" t="s">
        <v>58</v>
      </c>
      <c r="DX26" s="49" t="s">
        <v>159</v>
      </c>
      <c r="DY26" s="49" t="s">
        <v>58</v>
      </c>
      <c r="DZ26" s="49" t="s">
        <v>58</v>
      </c>
      <c r="EA26" s="118" t="s">
        <v>49</v>
      </c>
      <c r="EB26" s="49" t="s">
        <v>49</v>
      </c>
      <c r="EC26" s="49" t="s">
        <v>49</v>
      </c>
      <c r="ED26" s="49" t="s">
        <v>49</v>
      </c>
      <c r="EE26" s="49" t="s">
        <v>49</v>
      </c>
      <c r="EF26" s="49" t="s">
        <v>49</v>
      </c>
      <c r="EG26" s="120" t="s">
        <v>49</v>
      </c>
      <c r="EH26" s="117">
        <v>4.48</v>
      </c>
      <c r="EI26" s="117">
        <v>124.97</v>
      </c>
      <c r="EJ26" s="55">
        <v>0.02</v>
      </c>
      <c r="EK26" s="55">
        <v>0.02</v>
      </c>
      <c r="EL26" s="55">
        <v>0</v>
      </c>
      <c r="EM26" s="55">
        <v>0.02</v>
      </c>
      <c r="EN26" s="55">
        <v>0.02</v>
      </c>
      <c r="EO26" s="122">
        <v>0.02</v>
      </c>
      <c r="EP26" s="117">
        <v>2.43</v>
      </c>
      <c r="EQ26" s="117">
        <v>121.55</v>
      </c>
    </row>
    <row r="27" customFormat="1" ht="22.5" customHeight="1" spans="1:147">
      <c r="A27" s="108">
        <v>12227</v>
      </c>
      <c r="B27" s="109" t="s">
        <v>343</v>
      </c>
      <c r="C27" s="110">
        <v>46092</v>
      </c>
      <c r="D27" s="111">
        <f>IF(_xlfn.XLOOKUP(A27,[1]分配表!J:J,[1]分配表!M:M)=0,"未出单",_xlfn.XLOOKUP(A27,[1]分配表!J:J,[1]分配表!M:M))</f>
        <v>46097</v>
      </c>
      <c r="E27" s="112" t="str">
        <f>_xlfn.XLOOKUP(A27,[1]分配表!A:A,[1]分配表!C:C)</f>
        <v>章鹏</v>
      </c>
      <c r="F27" s="112" t="str">
        <f>IF(_xlfn.XLOOKUP($A27,[1]分配表!$A:$A,[1]分配表!D:D)=0,"未分类",_xlfn.XLOOKUP($A27,[1]分配表!$A:$A,[1]分配表!D:D))</f>
        <v>其他</v>
      </c>
      <c r="G27" s="112" t="str">
        <f>_xlfn.XLOOKUP(A27,[1]分配表!J:J,[1]分配表!I:I)</f>
        <v>原开品</v>
      </c>
      <c r="H27" s="49">
        <v>0</v>
      </c>
      <c r="I27" s="49">
        <v>2</v>
      </c>
      <c r="J27" s="49">
        <v>4</v>
      </c>
      <c r="K27" s="49">
        <v>2</v>
      </c>
      <c r="L27" s="49">
        <v>3</v>
      </c>
      <c r="M27" s="49">
        <v>1</v>
      </c>
      <c r="N27" s="49">
        <v>4</v>
      </c>
      <c r="O27" s="49">
        <v>3</v>
      </c>
      <c r="P27" s="49">
        <v>5</v>
      </c>
      <c r="Q27" s="49">
        <v>4</v>
      </c>
      <c r="R27" s="49">
        <v>3</v>
      </c>
      <c r="S27" s="49">
        <v>5</v>
      </c>
      <c r="T27" s="113">
        <f t="shared" si="0"/>
        <v>2</v>
      </c>
      <c r="U27" s="114">
        <v>0</v>
      </c>
      <c r="V27" s="115">
        <v>138</v>
      </c>
      <c r="W27" s="115">
        <v>276</v>
      </c>
      <c r="X27" s="115">
        <v>138</v>
      </c>
      <c r="Y27" s="115">
        <v>207</v>
      </c>
      <c r="Z27" s="115">
        <v>69</v>
      </c>
      <c r="AA27" s="115">
        <v>276</v>
      </c>
      <c r="AB27" s="116">
        <v>197</v>
      </c>
      <c r="AC27" s="117">
        <v>345</v>
      </c>
      <c r="AD27" s="117">
        <v>262.55</v>
      </c>
      <c r="AE27" s="117">
        <v>221.97</v>
      </c>
      <c r="AF27" s="117">
        <v>362.55</v>
      </c>
      <c r="AG27" s="115">
        <f t="shared" si="1"/>
        <v>140.58</v>
      </c>
      <c r="AH27" s="118">
        <v>0</v>
      </c>
      <c r="AI27" s="49">
        <v>4</v>
      </c>
      <c r="AJ27" s="49">
        <v>0</v>
      </c>
      <c r="AK27" s="49">
        <v>0</v>
      </c>
      <c r="AL27" s="49">
        <v>1</v>
      </c>
      <c r="AM27" s="49">
        <v>1</v>
      </c>
      <c r="AN27" s="49">
        <v>3</v>
      </c>
      <c r="AO27" s="49">
        <v>1</v>
      </c>
      <c r="AP27" s="49">
        <v>0</v>
      </c>
      <c r="AQ27" s="49">
        <v>1</v>
      </c>
      <c r="AR27" s="49">
        <v>2</v>
      </c>
      <c r="AS27" s="49">
        <v>0</v>
      </c>
      <c r="AT27" s="119" t="s">
        <v>306</v>
      </c>
      <c r="AU27" s="55">
        <v>0.3333</v>
      </c>
      <c r="AV27" s="55">
        <v>1</v>
      </c>
      <c r="AW27" s="55">
        <v>1</v>
      </c>
      <c r="AX27" s="55">
        <v>0.75</v>
      </c>
      <c r="AY27" s="55">
        <v>0.5</v>
      </c>
      <c r="AZ27" s="55">
        <v>0.5</v>
      </c>
      <c r="BA27" s="55">
        <v>0.6667</v>
      </c>
      <c r="BB27" s="55">
        <v>1</v>
      </c>
      <c r="BC27" s="55">
        <v>0.8333</v>
      </c>
      <c r="BD27" s="55">
        <v>0.5</v>
      </c>
      <c r="BE27" s="55">
        <v>1</v>
      </c>
      <c r="BF27" s="118" t="s">
        <v>328</v>
      </c>
      <c r="BG27" s="49">
        <v>6</v>
      </c>
      <c r="BH27" s="49">
        <v>2</v>
      </c>
      <c r="BI27" s="49">
        <v>10</v>
      </c>
      <c r="BJ27" s="49">
        <v>5</v>
      </c>
      <c r="BK27" s="49">
        <v>13</v>
      </c>
      <c r="BL27" s="49">
        <v>19</v>
      </c>
      <c r="BM27" s="49">
        <v>6</v>
      </c>
      <c r="BN27" s="49">
        <v>13</v>
      </c>
      <c r="BO27" s="49">
        <v>20</v>
      </c>
      <c r="BP27" s="49">
        <v>5</v>
      </c>
      <c r="BQ27" s="120">
        <v>12</v>
      </c>
      <c r="BR27" s="115" t="s">
        <v>328</v>
      </c>
      <c r="BS27" s="115" t="s">
        <v>49</v>
      </c>
      <c r="BT27" s="115" t="s">
        <v>49</v>
      </c>
      <c r="BU27" s="115" t="s">
        <v>49</v>
      </c>
      <c r="BV27" s="115" t="s">
        <v>49</v>
      </c>
      <c r="BW27" s="115" t="s">
        <v>49</v>
      </c>
      <c r="BX27" s="115" t="s">
        <v>49</v>
      </c>
      <c r="BY27" s="115" t="s">
        <v>49</v>
      </c>
      <c r="BZ27" s="115" t="s">
        <v>49</v>
      </c>
      <c r="CA27" s="115" t="s">
        <v>49</v>
      </c>
      <c r="CB27" s="115" t="s">
        <v>49</v>
      </c>
      <c r="CC27" s="115" t="s">
        <v>49</v>
      </c>
      <c r="CD27" s="114" t="s">
        <v>328</v>
      </c>
      <c r="CE27" s="115" t="s">
        <v>53</v>
      </c>
      <c r="CF27" s="115" t="s">
        <v>53</v>
      </c>
      <c r="CG27" s="115" t="s">
        <v>152</v>
      </c>
      <c r="CH27" s="115" t="s">
        <v>53</v>
      </c>
      <c r="CI27" s="115" t="s">
        <v>53</v>
      </c>
      <c r="CJ27" s="115" t="s">
        <v>152</v>
      </c>
      <c r="CK27" s="115" t="s">
        <v>53</v>
      </c>
      <c r="CL27" s="115" t="s">
        <v>53</v>
      </c>
      <c r="CM27" s="115" t="s">
        <v>53</v>
      </c>
      <c r="CN27" s="115" t="s">
        <v>53</v>
      </c>
      <c r="CO27" s="121" t="s">
        <v>53</v>
      </c>
      <c r="CP27" s="115" t="s">
        <v>328</v>
      </c>
      <c r="CQ27" s="115" t="s">
        <v>152</v>
      </c>
      <c r="CR27" s="115" t="s">
        <v>53</v>
      </c>
      <c r="CS27" s="115" t="s">
        <v>53</v>
      </c>
      <c r="CT27" s="115" t="s">
        <v>53</v>
      </c>
      <c r="CU27" s="115" t="s">
        <v>53</v>
      </c>
      <c r="CV27" s="115" t="s">
        <v>53</v>
      </c>
      <c r="CW27" s="115" t="s">
        <v>53</v>
      </c>
      <c r="CX27" s="115" t="s">
        <v>53</v>
      </c>
      <c r="CY27" s="115" t="s">
        <v>53</v>
      </c>
      <c r="CZ27" s="115" t="s">
        <v>53</v>
      </c>
      <c r="DA27" s="115" t="s">
        <v>53</v>
      </c>
      <c r="DB27" s="118" t="s">
        <v>328</v>
      </c>
      <c r="DC27" s="49" t="s">
        <v>328</v>
      </c>
      <c r="DD27" s="49" t="s">
        <v>313</v>
      </c>
      <c r="DE27" s="49" t="s">
        <v>53</v>
      </c>
      <c r="DF27" s="49" t="s">
        <v>53</v>
      </c>
      <c r="DG27" s="49" t="s">
        <v>53</v>
      </c>
      <c r="DH27" s="49" t="s">
        <v>53</v>
      </c>
      <c r="DI27" s="49" t="s">
        <v>313</v>
      </c>
      <c r="DJ27" s="49" t="s">
        <v>313</v>
      </c>
      <c r="DK27" s="49" t="s">
        <v>53</v>
      </c>
      <c r="DL27" s="49" t="s">
        <v>53</v>
      </c>
      <c r="DM27" s="49" t="s">
        <v>313</v>
      </c>
      <c r="DN27" s="49" t="s">
        <v>53</v>
      </c>
      <c r="DO27" s="118" t="s">
        <v>328</v>
      </c>
      <c r="DP27" s="49" t="s">
        <v>328</v>
      </c>
      <c r="DQ27" s="49" t="s">
        <v>310</v>
      </c>
      <c r="DR27" s="49" t="s">
        <v>315</v>
      </c>
      <c r="DS27" s="49" t="s">
        <v>58</v>
      </c>
      <c r="DT27" s="49" t="s">
        <v>58</v>
      </c>
      <c r="DU27" s="49" t="s">
        <v>58</v>
      </c>
      <c r="DV27" s="49" t="s">
        <v>310</v>
      </c>
      <c r="DW27" s="49" t="s">
        <v>58</v>
      </c>
      <c r="DX27" s="49" t="s">
        <v>58</v>
      </c>
      <c r="DY27" s="49" t="s">
        <v>58</v>
      </c>
      <c r="DZ27" s="49" t="s">
        <v>58</v>
      </c>
      <c r="EA27" s="118" t="s">
        <v>62</v>
      </c>
      <c r="EB27" s="49" t="s">
        <v>62</v>
      </c>
      <c r="EC27" s="49" t="s">
        <v>62</v>
      </c>
      <c r="ED27" s="49" t="s">
        <v>62</v>
      </c>
      <c r="EE27" s="49" t="s">
        <v>62</v>
      </c>
      <c r="EF27" s="49" t="s">
        <v>62</v>
      </c>
      <c r="EG27" s="120" t="s">
        <v>62</v>
      </c>
      <c r="EH27" s="117">
        <v>0</v>
      </c>
      <c r="EI27" s="117">
        <v>0</v>
      </c>
      <c r="EJ27" s="55">
        <v>0.02</v>
      </c>
      <c r="EK27" s="55">
        <v>0.02</v>
      </c>
      <c r="EL27" s="55">
        <v>0.02</v>
      </c>
      <c r="EM27" s="55">
        <v>0.02</v>
      </c>
      <c r="EN27" s="55">
        <v>0.02</v>
      </c>
      <c r="EO27" s="122">
        <v>0.02</v>
      </c>
      <c r="EP27" s="117">
        <v>9.5</v>
      </c>
      <c r="EQ27" s="117">
        <v>475.91</v>
      </c>
    </row>
    <row r="28" customFormat="1" ht="22.5" customHeight="1" spans="1:147">
      <c r="A28" s="108">
        <v>12309</v>
      </c>
      <c r="B28" s="109" t="s">
        <v>344</v>
      </c>
      <c r="C28" s="110">
        <v>46092</v>
      </c>
      <c r="D28" s="111">
        <f>IF(_xlfn.XLOOKUP(A28,[1]分配表!J:J,[1]分配表!M:M)=0,"未出单",_xlfn.XLOOKUP(A28,[1]分配表!J:J,[1]分配表!M:M))</f>
        <v>46101</v>
      </c>
      <c r="E28" s="112" t="str">
        <f>_xlfn.XLOOKUP(A28,[1]分配表!A:A,[1]分配表!C:C)</f>
        <v>俞东旭</v>
      </c>
      <c r="F28" s="112" t="str">
        <f>IF(_xlfn.XLOOKUP($A28,[1]分配表!$A:$A,[1]分配表!D:D)=0,"未分类",_xlfn.XLOOKUP($A28,[1]分配表!$A:$A,[1]分配表!D:D))</f>
        <v>车门系统</v>
      </c>
      <c r="G28" s="112" t="str">
        <f>_xlfn.XLOOKUP(A28,[1]分配表!J:J,[1]分配表!I:I)</f>
        <v>原开品</v>
      </c>
      <c r="H28" s="49">
        <v>0</v>
      </c>
      <c r="I28" s="49">
        <v>0</v>
      </c>
      <c r="J28" s="49">
        <v>2</v>
      </c>
      <c r="K28" s="49">
        <v>2</v>
      </c>
      <c r="L28" s="49">
        <v>1</v>
      </c>
      <c r="M28" s="49">
        <v>0</v>
      </c>
      <c r="N28" s="49">
        <v>0</v>
      </c>
      <c r="O28" s="49">
        <v>1</v>
      </c>
      <c r="P28" s="49">
        <v>0</v>
      </c>
      <c r="Q28" s="49">
        <v>0</v>
      </c>
      <c r="R28" s="49">
        <v>0</v>
      </c>
      <c r="S28" s="49">
        <v>2</v>
      </c>
      <c r="T28" s="113">
        <f t="shared" si="0"/>
        <v>2</v>
      </c>
      <c r="U28" s="114">
        <v>0</v>
      </c>
      <c r="V28" s="115">
        <v>0</v>
      </c>
      <c r="W28" s="115">
        <v>960</v>
      </c>
      <c r="X28" s="115">
        <v>960</v>
      </c>
      <c r="Y28" s="115">
        <v>480</v>
      </c>
      <c r="Z28" s="115">
        <v>0</v>
      </c>
      <c r="AA28" s="115">
        <v>0</v>
      </c>
      <c r="AB28" s="116">
        <v>480</v>
      </c>
      <c r="AC28" s="117">
        <v>0</v>
      </c>
      <c r="AD28" s="117">
        <v>0</v>
      </c>
      <c r="AE28" s="117">
        <v>0</v>
      </c>
      <c r="AF28" s="117">
        <v>957</v>
      </c>
      <c r="AG28" s="115">
        <f t="shared" si="1"/>
        <v>957</v>
      </c>
      <c r="AH28" s="118">
        <v>0</v>
      </c>
      <c r="AI28" s="49">
        <v>3</v>
      </c>
      <c r="AJ28" s="49">
        <v>2</v>
      </c>
      <c r="AK28" s="49">
        <v>0</v>
      </c>
      <c r="AL28" s="49">
        <v>1</v>
      </c>
      <c r="AM28" s="49">
        <v>1</v>
      </c>
      <c r="AN28" s="49">
        <v>1</v>
      </c>
      <c r="AO28" s="49">
        <v>1</v>
      </c>
      <c r="AP28" s="49">
        <v>1</v>
      </c>
      <c r="AQ28" s="49">
        <v>1</v>
      </c>
      <c r="AR28" s="49">
        <v>1</v>
      </c>
      <c r="AS28" s="49">
        <v>4</v>
      </c>
      <c r="AT28" s="119" t="s">
        <v>306</v>
      </c>
      <c r="AU28" s="55">
        <v>0</v>
      </c>
      <c r="AV28" s="55">
        <v>0.5</v>
      </c>
      <c r="AW28" s="55">
        <v>1</v>
      </c>
      <c r="AX28" s="55">
        <v>0.5</v>
      </c>
      <c r="AY28" s="55">
        <v>0</v>
      </c>
      <c r="AZ28" s="55">
        <v>0</v>
      </c>
      <c r="BA28" s="55">
        <v>0.5</v>
      </c>
      <c r="BB28" s="55">
        <v>0</v>
      </c>
      <c r="BC28" s="55">
        <v>0</v>
      </c>
      <c r="BD28" s="55">
        <v>0</v>
      </c>
      <c r="BE28" s="55">
        <v>0.2</v>
      </c>
      <c r="BF28" s="118" t="s">
        <v>328</v>
      </c>
      <c r="BG28" s="49">
        <v>6</v>
      </c>
      <c r="BH28" s="49">
        <v>0</v>
      </c>
      <c r="BI28" s="49">
        <v>8</v>
      </c>
      <c r="BJ28" s="49">
        <v>0</v>
      </c>
      <c r="BK28" s="49">
        <v>8</v>
      </c>
      <c r="BL28" s="49">
        <v>14</v>
      </c>
      <c r="BM28" s="49">
        <v>0</v>
      </c>
      <c r="BN28" s="49">
        <v>1</v>
      </c>
      <c r="BO28" s="49">
        <v>1</v>
      </c>
      <c r="BP28" s="49">
        <v>8</v>
      </c>
      <c r="BQ28" s="120">
        <v>15</v>
      </c>
      <c r="BR28" s="115" t="s">
        <v>328</v>
      </c>
      <c r="BS28" s="115" t="s">
        <v>149</v>
      </c>
      <c r="BT28" s="115" t="s">
        <v>62</v>
      </c>
      <c r="BU28" s="115" t="s">
        <v>62</v>
      </c>
      <c r="BV28" s="115" t="s">
        <v>62</v>
      </c>
      <c r="BW28" s="115" t="s">
        <v>62</v>
      </c>
      <c r="BX28" s="115" t="s">
        <v>62</v>
      </c>
      <c r="BY28" s="115" t="s">
        <v>62</v>
      </c>
      <c r="BZ28" s="115" t="s">
        <v>62</v>
      </c>
      <c r="CA28" s="115" t="s">
        <v>62</v>
      </c>
      <c r="CB28" s="115" t="s">
        <v>62</v>
      </c>
      <c r="CC28" s="115" t="s">
        <v>62</v>
      </c>
      <c r="CD28" s="114" t="s">
        <v>328</v>
      </c>
      <c r="CE28" s="115" t="s">
        <v>53</v>
      </c>
      <c r="CF28" s="115" t="s">
        <v>53</v>
      </c>
      <c r="CG28" s="115" t="s">
        <v>152</v>
      </c>
      <c r="CH28" s="115" t="s">
        <v>53</v>
      </c>
      <c r="CI28" s="115" t="s">
        <v>53</v>
      </c>
      <c r="CJ28" s="115" t="s">
        <v>152</v>
      </c>
      <c r="CK28" s="115" t="s">
        <v>53</v>
      </c>
      <c r="CL28" s="115" t="s">
        <v>53</v>
      </c>
      <c r="CM28" s="115" t="s">
        <v>53</v>
      </c>
      <c r="CN28" s="115" t="s">
        <v>152</v>
      </c>
      <c r="CO28" s="121" t="s">
        <v>152</v>
      </c>
      <c r="CP28" s="115" t="s">
        <v>328</v>
      </c>
      <c r="CQ28" s="115" t="s">
        <v>152</v>
      </c>
      <c r="CR28" s="115" t="s">
        <v>53</v>
      </c>
      <c r="CS28" s="115" t="s">
        <v>53</v>
      </c>
      <c r="CT28" s="115" t="s">
        <v>53</v>
      </c>
      <c r="CU28" s="115" t="s">
        <v>53</v>
      </c>
      <c r="CV28" s="115" t="s">
        <v>53</v>
      </c>
      <c r="CW28" s="115" t="s">
        <v>53</v>
      </c>
      <c r="CX28" s="115" t="s">
        <v>53</v>
      </c>
      <c r="CY28" s="115" t="s">
        <v>53</v>
      </c>
      <c r="CZ28" s="115" t="s">
        <v>53</v>
      </c>
      <c r="DA28" s="115" t="s">
        <v>53</v>
      </c>
      <c r="DB28" s="118" t="s">
        <v>328</v>
      </c>
      <c r="DC28" s="49" t="s">
        <v>328</v>
      </c>
      <c r="DD28" s="49" t="s">
        <v>313</v>
      </c>
      <c r="DE28" s="49" t="s">
        <v>313</v>
      </c>
      <c r="DF28" s="49" t="s">
        <v>53</v>
      </c>
      <c r="DG28" s="49" t="s">
        <v>313</v>
      </c>
      <c r="DH28" s="49" t="s">
        <v>307</v>
      </c>
      <c r="DI28" s="49" t="s">
        <v>313</v>
      </c>
      <c r="DJ28" s="49" t="s">
        <v>313</v>
      </c>
      <c r="DK28" s="49" t="s">
        <v>313</v>
      </c>
      <c r="DL28" s="49" t="s">
        <v>313</v>
      </c>
      <c r="DM28" s="49" t="s">
        <v>313</v>
      </c>
      <c r="DN28" s="49" t="s">
        <v>313</v>
      </c>
      <c r="DO28" s="118" t="s">
        <v>328</v>
      </c>
      <c r="DP28" s="49" t="s">
        <v>328</v>
      </c>
      <c r="DQ28" s="49" t="s">
        <v>310</v>
      </c>
      <c r="DR28" s="49" t="s">
        <v>310</v>
      </c>
      <c r="DS28" s="49" t="s">
        <v>58</v>
      </c>
      <c r="DT28" s="49" t="s">
        <v>58</v>
      </c>
      <c r="DU28" s="49" t="s">
        <v>58</v>
      </c>
      <c r="DV28" s="49" t="s">
        <v>310</v>
      </c>
      <c r="DW28" s="49" t="s">
        <v>58</v>
      </c>
      <c r="DX28" s="49" t="s">
        <v>58</v>
      </c>
      <c r="DY28" s="49" t="s">
        <v>58</v>
      </c>
      <c r="DZ28" s="49" t="s">
        <v>310</v>
      </c>
      <c r="EA28" s="118" t="s">
        <v>62</v>
      </c>
      <c r="EB28" s="49" t="s">
        <v>62</v>
      </c>
      <c r="EC28" s="49" t="s">
        <v>62</v>
      </c>
      <c r="ED28" s="49" t="s">
        <v>62</v>
      </c>
      <c r="EE28" s="49" t="s">
        <v>62</v>
      </c>
      <c r="EF28" s="49" t="s">
        <v>62</v>
      </c>
      <c r="EG28" s="120" t="s">
        <v>62</v>
      </c>
      <c r="EH28" s="117">
        <v>0</v>
      </c>
      <c r="EI28" s="117">
        <v>0</v>
      </c>
      <c r="EJ28" s="55">
        <v>0.02</v>
      </c>
      <c r="EK28" s="55">
        <v>0.02</v>
      </c>
      <c r="EL28" s="55">
        <v>0.02</v>
      </c>
      <c r="EM28" s="55">
        <v>0.02</v>
      </c>
      <c r="EN28" s="55">
        <v>0.02</v>
      </c>
      <c r="EO28" s="122">
        <v>0.02</v>
      </c>
      <c r="EP28" s="117">
        <v>10.37</v>
      </c>
      <c r="EQ28" s="117">
        <v>518.4</v>
      </c>
    </row>
    <row r="29" customFormat="1" ht="22.5" customHeight="1" spans="1:147">
      <c r="A29" s="108">
        <v>12310</v>
      </c>
      <c r="B29" s="109" t="s">
        <v>345</v>
      </c>
      <c r="C29" s="110">
        <v>46092</v>
      </c>
      <c r="D29" s="111">
        <f>IF(_xlfn.XLOOKUP(A29,[1]分配表!J:J,[1]分配表!M:M)=0,"未出单",_xlfn.XLOOKUP(A29,[1]分配表!J:J,[1]分配表!M:M))</f>
        <v>46096</v>
      </c>
      <c r="E29" s="112" t="str">
        <f>_xlfn.XLOOKUP(A29,[1]分配表!A:A,[1]分配表!C:C)</f>
        <v>俞东旭</v>
      </c>
      <c r="F29" s="112" t="str">
        <f>IF(_xlfn.XLOOKUP($A29,[1]分配表!$A:$A,[1]分配表!D:D)=0,"未分类",_xlfn.XLOOKUP($A29,[1]分配表!$A:$A,[1]分配表!D:D))</f>
        <v>车门系统</v>
      </c>
      <c r="G29" s="112" t="str">
        <f>_xlfn.XLOOKUP(A29,[1]分配表!J:J,[1]分配表!I:I)</f>
        <v>原开品</v>
      </c>
      <c r="H29" s="49">
        <v>0</v>
      </c>
      <c r="I29" s="49">
        <v>2</v>
      </c>
      <c r="J29" s="49">
        <v>0</v>
      </c>
      <c r="K29" s="49">
        <v>3</v>
      </c>
      <c r="L29" s="49">
        <v>1</v>
      </c>
      <c r="M29" s="49">
        <v>2</v>
      </c>
      <c r="N29" s="49">
        <v>1</v>
      </c>
      <c r="O29" s="49">
        <v>2</v>
      </c>
      <c r="P29" s="49">
        <v>1</v>
      </c>
      <c r="Q29" s="49">
        <v>0</v>
      </c>
      <c r="R29" s="49">
        <v>0</v>
      </c>
      <c r="S29" s="49">
        <v>0</v>
      </c>
      <c r="T29" s="113">
        <f t="shared" si="0"/>
        <v>0</v>
      </c>
      <c r="U29" s="114">
        <v>0</v>
      </c>
      <c r="V29" s="115">
        <v>960</v>
      </c>
      <c r="W29" s="115">
        <v>0</v>
      </c>
      <c r="X29" s="115">
        <v>1440</v>
      </c>
      <c r="Y29" s="115">
        <v>480</v>
      </c>
      <c r="Z29" s="115">
        <v>960</v>
      </c>
      <c r="AA29" s="115">
        <v>485</v>
      </c>
      <c r="AB29" s="116">
        <v>969</v>
      </c>
      <c r="AC29" s="117">
        <v>483</v>
      </c>
      <c r="AD29" s="117">
        <v>0</v>
      </c>
      <c r="AE29" s="117">
        <v>0</v>
      </c>
      <c r="AF29" s="117">
        <v>0</v>
      </c>
      <c r="AG29" s="115">
        <f t="shared" si="1"/>
        <v>0</v>
      </c>
      <c r="AH29" s="118">
        <v>0</v>
      </c>
      <c r="AI29" s="49">
        <v>1</v>
      </c>
      <c r="AJ29" s="49">
        <v>1</v>
      </c>
      <c r="AK29" s="49">
        <v>2</v>
      </c>
      <c r="AL29" s="49">
        <v>0</v>
      </c>
      <c r="AM29" s="49">
        <v>2</v>
      </c>
      <c r="AN29" s="49">
        <v>0</v>
      </c>
      <c r="AO29" s="49">
        <v>0</v>
      </c>
      <c r="AP29" s="49">
        <v>4</v>
      </c>
      <c r="AQ29" s="49">
        <v>4</v>
      </c>
      <c r="AR29" s="49">
        <v>0</v>
      </c>
      <c r="AS29" s="49">
        <v>1</v>
      </c>
      <c r="AT29" s="119" t="s">
        <v>306</v>
      </c>
      <c r="AU29" s="55">
        <v>0.6667</v>
      </c>
      <c r="AV29" s="55">
        <v>0</v>
      </c>
      <c r="AW29" s="55">
        <v>0.6</v>
      </c>
      <c r="AX29" s="55">
        <v>1</v>
      </c>
      <c r="AY29" s="55">
        <v>0.5</v>
      </c>
      <c r="AZ29" s="55">
        <v>1</v>
      </c>
      <c r="BA29" s="55">
        <v>1</v>
      </c>
      <c r="BB29" s="55">
        <v>0.3333</v>
      </c>
      <c r="BC29" s="55">
        <v>0</v>
      </c>
      <c r="BD29" s="55" t="s">
        <v>306</v>
      </c>
      <c r="BE29" s="55">
        <v>0</v>
      </c>
      <c r="BF29" s="118" t="s">
        <v>328</v>
      </c>
      <c r="BG29" s="49">
        <v>6</v>
      </c>
      <c r="BH29" s="49">
        <v>0</v>
      </c>
      <c r="BI29" s="49">
        <v>5</v>
      </c>
      <c r="BJ29" s="49">
        <v>11</v>
      </c>
      <c r="BK29" s="49">
        <v>1</v>
      </c>
      <c r="BL29" s="49">
        <v>2</v>
      </c>
      <c r="BM29" s="49">
        <v>9</v>
      </c>
      <c r="BN29" s="49">
        <v>16</v>
      </c>
      <c r="BO29" s="49">
        <v>1</v>
      </c>
      <c r="BP29" s="49">
        <v>8</v>
      </c>
      <c r="BQ29" s="120">
        <v>15</v>
      </c>
      <c r="BR29" s="115" t="s">
        <v>328</v>
      </c>
      <c r="BS29" s="115" t="s">
        <v>49</v>
      </c>
      <c r="BT29" s="115" t="s">
        <v>49</v>
      </c>
      <c r="BU29" s="115" t="s">
        <v>49</v>
      </c>
      <c r="BV29" s="115" t="s">
        <v>49</v>
      </c>
      <c r="BW29" s="115" t="s">
        <v>49</v>
      </c>
      <c r="BX29" s="115" t="s">
        <v>49</v>
      </c>
      <c r="BY29" s="115" t="s">
        <v>49</v>
      </c>
      <c r="BZ29" s="115" t="s">
        <v>49</v>
      </c>
      <c r="CA29" s="115" t="s">
        <v>49</v>
      </c>
      <c r="CB29" s="115" t="s">
        <v>49</v>
      </c>
      <c r="CC29" s="115" t="s">
        <v>49</v>
      </c>
      <c r="CD29" s="114" t="s">
        <v>328</v>
      </c>
      <c r="CE29" s="115" t="s">
        <v>53</v>
      </c>
      <c r="CF29" s="115" t="s">
        <v>53</v>
      </c>
      <c r="CG29" s="115" t="s">
        <v>53</v>
      </c>
      <c r="CH29" s="115" t="s">
        <v>152</v>
      </c>
      <c r="CI29" s="115" t="s">
        <v>53</v>
      </c>
      <c r="CJ29" s="115" t="s">
        <v>53</v>
      </c>
      <c r="CK29" s="115" t="s">
        <v>53</v>
      </c>
      <c r="CL29" s="115" t="s">
        <v>152</v>
      </c>
      <c r="CM29" s="115" t="s">
        <v>53</v>
      </c>
      <c r="CN29" s="115" t="s">
        <v>53</v>
      </c>
      <c r="CO29" s="121" t="s">
        <v>152</v>
      </c>
      <c r="CP29" s="115" t="s">
        <v>328</v>
      </c>
      <c r="CQ29" s="115" t="s">
        <v>152</v>
      </c>
      <c r="CR29" s="115" t="s">
        <v>53</v>
      </c>
      <c r="CS29" s="115" t="s">
        <v>53</v>
      </c>
      <c r="CT29" s="115" t="s">
        <v>53</v>
      </c>
      <c r="CU29" s="115" t="s">
        <v>53</v>
      </c>
      <c r="CV29" s="115" t="s">
        <v>53</v>
      </c>
      <c r="CW29" s="115" t="s">
        <v>53</v>
      </c>
      <c r="CX29" s="115" t="s">
        <v>53</v>
      </c>
      <c r="CY29" s="115" t="s">
        <v>53</v>
      </c>
      <c r="CZ29" s="115" t="s">
        <v>53</v>
      </c>
      <c r="DA29" s="115" t="s">
        <v>53</v>
      </c>
      <c r="DB29" s="118" t="s">
        <v>328</v>
      </c>
      <c r="DC29" s="49" t="s">
        <v>328</v>
      </c>
      <c r="DD29" s="49" t="s">
        <v>313</v>
      </c>
      <c r="DE29" s="49" t="s">
        <v>313</v>
      </c>
      <c r="DF29" s="49" t="s">
        <v>53</v>
      </c>
      <c r="DG29" s="49" t="s">
        <v>53</v>
      </c>
      <c r="DH29" s="49" t="s">
        <v>53</v>
      </c>
      <c r="DI29" s="49" t="s">
        <v>53</v>
      </c>
      <c r="DJ29" s="49" t="s">
        <v>53</v>
      </c>
      <c r="DK29" s="49" t="s">
        <v>313</v>
      </c>
      <c r="DL29" s="49" t="s">
        <v>313</v>
      </c>
      <c r="DM29" s="49" t="s">
        <v>307</v>
      </c>
      <c r="DN29" s="49" t="s">
        <v>313</v>
      </c>
      <c r="DO29" s="118" t="s">
        <v>328</v>
      </c>
      <c r="DP29" s="49" t="s">
        <v>328</v>
      </c>
      <c r="DQ29" s="49" t="s">
        <v>310</v>
      </c>
      <c r="DR29" s="49" t="s">
        <v>58</v>
      </c>
      <c r="DS29" s="49" t="s">
        <v>58</v>
      </c>
      <c r="DT29" s="49" t="s">
        <v>315</v>
      </c>
      <c r="DU29" s="49" t="s">
        <v>58</v>
      </c>
      <c r="DV29" s="49" t="s">
        <v>58</v>
      </c>
      <c r="DW29" s="49" t="s">
        <v>58</v>
      </c>
      <c r="DX29" s="49" t="s">
        <v>310</v>
      </c>
      <c r="DY29" s="49" t="s">
        <v>58</v>
      </c>
      <c r="DZ29" s="49" t="s">
        <v>58</v>
      </c>
      <c r="EA29" s="118" t="s">
        <v>62</v>
      </c>
      <c r="EB29" s="49" t="s">
        <v>62</v>
      </c>
      <c r="EC29" s="49" t="s">
        <v>62</v>
      </c>
      <c r="ED29" s="49" t="s">
        <v>62</v>
      </c>
      <c r="EE29" s="49" t="s">
        <v>62</v>
      </c>
      <c r="EF29" s="49" t="s">
        <v>62</v>
      </c>
      <c r="EG29" s="120" t="s">
        <v>62</v>
      </c>
      <c r="EH29" s="117">
        <v>0</v>
      </c>
      <c r="EI29" s="117">
        <v>0</v>
      </c>
      <c r="EJ29" s="55">
        <v>0.025</v>
      </c>
      <c r="EK29" s="55">
        <v>0.02</v>
      </c>
      <c r="EL29" s="55">
        <v>0.02</v>
      </c>
      <c r="EM29" s="55">
        <v>0.02</v>
      </c>
      <c r="EN29" s="55">
        <v>0.025</v>
      </c>
      <c r="EO29" s="122">
        <v>0.025</v>
      </c>
      <c r="EP29" s="117">
        <v>0</v>
      </c>
      <c r="EQ29" s="117">
        <v>0</v>
      </c>
    </row>
    <row r="30" customFormat="1" ht="22.5" customHeight="1" spans="1:147">
      <c r="A30" s="108">
        <v>12311</v>
      </c>
      <c r="B30" s="109" t="s">
        <v>346</v>
      </c>
      <c r="C30" s="110">
        <v>46092</v>
      </c>
      <c r="D30" s="111">
        <f>IF(_xlfn.XLOOKUP(A30,[1]分配表!J:J,[1]分配表!M:M)=0,"未出单",_xlfn.XLOOKUP(A30,[1]分配表!J:J,[1]分配表!M:M))</f>
        <v>46102</v>
      </c>
      <c r="E30" s="112" t="str">
        <f>_xlfn.XLOOKUP(A30,[1]分配表!A:A,[1]分配表!C:C)</f>
        <v>俞东旭</v>
      </c>
      <c r="F30" s="112" t="str">
        <f>IF(_xlfn.XLOOKUP($A30,[1]分配表!$A:$A,[1]分配表!D:D)=0,"未分类",_xlfn.XLOOKUP($A30,[1]分配表!$A:$A,[1]分配表!D:D))</f>
        <v>车门系统</v>
      </c>
      <c r="G30" s="112" t="str">
        <f>_xlfn.XLOOKUP(A30,[1]分配表!J:J,[1]分配表!I:I)</f>
        <v>原开品</v>
      </c>
      <c r="H30" s="49">
        <v>0</v>
      </c>
      <c r="I30" s="49">
        <v>0</v>
      </c>
      <c r="J30" s="49">
        <v>1</v>
      </c>
      <c r="K30" s="49">
        <v>0</v>
      </c>
      <c r="L30" s="49">
        <v>1</v>
      </c>
      <c r="M30" s="49">
        <v>1</v>
      </c>
      <c r="N30" s="49">
        <v>0</v>
      </c>
      <c r="O30" s="49">
        <v>0</v>
      </c>
      <c r="P30" s="49">
        <v>0</v>
      </c>
      <c r="Q30" s="49">
        <v>0</v>
      </c>
      <c r="R30" s="49">
        <v>1</v>
      </c>
      <c r="S30" s="49">
        <v>1</v>
      </c>
      <c r="T30" s="113">
        <f t="shared" si="0"/>
        <v>0</v>
      </c>
      <c r="U30" s="114">
        <v>0</v>
      </c>
      <c r="V30" s="115">
        <v>0</v>
      </c>
      <c r="W30" s="115">
        <v>480</v>
      </c>
      <c r="X30" s="115">
        <v>0</v>
      </c>
      <c r="Y30" s="115">
        <v>480</v>
      </c>
      <c r="Z30" s="115">
        <v>480</v>
      </c>
      <c r="AA30" s="115">
        <v>0</v>
      </c>
      <c r="AB30" s="116">
        <v>0</v>
      </c>
      <c r="AC30" s="117">
        <v>0</v>
      </c>
      <c r="AD30" s="117">
        <v>0</v>
      </c>
      <c r="AE30" s="117">
        <v>480</v>
      </c>
      <c r="AF30" s="117">
        <v>480</v>
      </c>
      <c r="AG30" s="115">
        <f t="shared" si="1"/>
        <v>0</v>
      </c>
      <c r="AH30" s="118">
        <v>0</v>
      </c>
      <c r="AI30" s="49">
        <v>1</v>
      </c>
      <c r="AJ30" s="49">
        <v>3</v>
      </c>
      <c r="AK30" s="49">
        <v>1</v>
      </c>
      <c r="AL30" s="49">
        <v>0</v>
      </c>
      <c r="AM30" s="49">
        <v>2</v>
      </c>
      <c r="AN30" s="49">
        <v>2</v>
      </c>
      <c r="AO30" s="49">
        <v>1</v>
      </c>
      <c r="AP30" s="49">
        <v>2</v>
      </c>
      <c r="AQ30" s="49">
        <v>2</v>
      </c>
      <c r="AR30" s="49">
        <v>2</v>
      </c>
      <c r="AS30" s="49">
        <v>2</v>
      </c>
      <c r="AT30" s="119" t="s">
        <v>306</v>
      </c>
      <c r="AU30" s="55">
        <v>0</v>
      </c>
      <c r="AV30" s="55">
        <v>0.25</v>
      </c>
      <c r="AW30" s="55">
        <v>0</v>
      </c>
      <c r="AX30" s="55">
        <v>1</v>
      </c>
      <c r="AY30" s="55">
        <v>0.333333333333333</v>
      </c>
      <c r="AZ30" s="55">
        <v>0.3333</v>
      </c>
      <c r="BA30" s="55">
        <v>0</v>
      </c>
      <c r="BB30" s="55">
        <v>0</v>
      </c>
      <c r="BC30" s="55">
        <v>0</v>
      </c>
      <c r="BD30" s="55">
        <v>0</v>
      </c>
      <c r="BE30" s="55">
        <v>0.5</v>
      </c>
      <c r="BF30" s="118" t="s">
        <v>328</v>
      </c>
      <c r="BG30" s="49">
        <v>6</v>
      </c>
      <c r="BH30" s="49">
        <v>0</v>
      </c>
      <c r="BI30" s="49">
        <v>8</v>
      </c>
      <c r="BJ30" s="49">
        <v>0</v>
      </c>
      <c r="BK30" s="49">
        <v>6</v>
      </c>
      <c r="BL30" s="49">
        <v>12</v>
      </c>
      <c r="BM30" s="49">
        <v>0</v>
      </c>
      <c r="BN30" s="49">
        <v>1</v>
      </c>
      <c r="BO30" s="49">
        <v>0</v>
      </c>
      <c r="BP30" s="49">
        <v>7</v>
      </c>
      <c r="BQ30" s="120">
        <v>14</v>
      </c>
      <c r="BR30" s="115" t="s">
        <v>328</v>
      </c>
      <c r="BS30" s="115" t="s">
        <v>149</v>
      </c>
      <c r="BT30" s="115" t="s">
        <v>62</v>
      </c>
      <c r="BU30" s="115" t="s">
        <v>62</v>
      </c>
      <c r="BV30" s="115" t="s">
        <v>62</v>
      </c>
      <c r="BW30" s="115" t="s">
        <v>62</v>
      </c>
      <c r="BX30" s="115" t="s">
        <v>62</v>
      </c>
      <c r="BY30" s="115" t="s">
        <v>62</v>
      </c>
      <c r="BZ30" s="115" t="s">
        <v>62</v>
      </c>
      <c r="CA30" s="115" t="s">
        <v>62</v>
      </c>
      <c r="CB30" s="115" t="s">
        <v>62</v>
      </c>
      <c r="CC30" s="115" t="s">
        <v>62</v>
      </c>
      <c r="CD30" s="114" t="s">
        <v>328</v>
      </c>
      <c r="CE30" s="115" t="s">
        <v>53</v>
      </c>
      <c r="CF30" s="115" t="s">
        <v>53</v>
      </c>
      <c r="CG30" s="115" t="s">
        <v>152</v>
      </c>
      <c r="CH30" s="115" t="s">
        <v>53</v>
      </c>
      <c r="CI30" s="115" t="s">
        <v>53</v>
      </c>
      <c r="CJ30" s="115" t="s">
        <v>152</v>
      </c>
      <c r="CK30" s="115" t="s">
        <v>53</v>
      </c>
      <c r="CL30" s="115" t="s">
        <v>53</v>
      </c>
      <c r="CM30" s="115" t="s">
        <v>53</v>
      </c>
      <c r="CN30" s="115" t="s">
        <v>152</v>
      </c>
      <c r="CO30" s="121" t="s">
        <v>152</v>
      </c>
      <c r="CP30" s="115" t="s">
        <v>328</v>
      </c>
      <c r="CQ30" s="115" t="s">
        <v>152</v>
      </c>
      <c r="CR30" s="115" t="s">
        <v>53</v>
      </c>
      <c r="CS30" s="115" t="s">
        <v>53</v>
      </c>
      <c r="CT30" s="115" t="s">
        <v>53</v>
      </c>
      <c r="CU30" s="115" t="s">
        <v>53</v>
      </c>
      <c r="CV30" s="115" t="s">
        <v>53</v>
      </c>
      <c r="CW30" s="115" t="s">
        <v>53</v>
      </c>
      <c r="CX30" s="115" t="s">
        <v>53</v>
      </c>
      <c r="CY30" s="115" t="s">
        <v>53</v>
      </c>
      <c r="CZ30" s="115" t="s">
        <v>53</v>
      </c>
      <c r="DA30" s="115" t="s">
        <v>53</v>
      </c>
      <c r="DB30" s="118" t="s">
        <v>328</v>
      </c>
      <c r="DC30" s="49" t="s">
        <v>328</v>
      </c>
      <c r="DD30" s="49" t="s">
        <v>313</v>
      </c>
      <c r="DE30" s="49" t="s">
        <v>313</v>
      </c>
      <c r="DF30" s="49" t="s">
        <v>313</v>
      </c>
      <c r="DG30" s="49" t="s">
        <v>53</v>
      </c>
      <c r="DH30" s="49" t="s">
        <v>313</v>
      </c>
      <c r="DI30" s="49" t="s">
        <v>313</v>
      </c>
      <c r="DJ30" s="49" t="s">
        <v>313</v>
      </c>
      <c r="DK30" s="49" t="s">
        <v>313</v>
      </c>
      <c r="DL30" s="49" t="s">
        <v>313</v>
      </c>
      <c r="DM30" s="49" t="s">
        <v>313</v>
      </c>
      <c r="DN30" s="49" t="s">
        <v>313</v>
      </c>
      <c r="DO30" s="118" t="s">
        <v>328</v>
      </c>
      <c r="DP30" s="49" t="s">
        <v>328</v>
      </c>
      <c r="DQ30" s="49" t="s">
        <v>310</v>
      </c>
      <c r="DR30" s="49" t="s">
        <v>310</v>
      </c>
      <c r="DS30" s="49" t="s">
        <v>58</v>
      </c>
      <c r="DT30" s="49" t="s">
        <v>58</v>
      </c>
      <c r="DU30" s="49" t="s">
        <v>58</v>
      </c>
      <c r="DV30" s="49" t="s">
        <v>310</v>
      </c>
      <c r="DW30" s="49" t="s">
        <v>58</v>
      </c>
      <c r="DX30" s="49" t="s">
        <v>58</v>
      </c>
      <c r="DY30" s="49" t="s">
        <v>58</v>
      </c>
      <c r="DZ30" s="49" t="s">
        <v>310</v>
      </c>
      <c r="EA30" s="118" t="s">
        <v>62</v>
      </c>
      <c r="EB30" s="49" t="s">
        <v>62</v>
      </c>
      <c r="EC30" s="49" t="s">
        <v>62</v>
      </c>
      <c r="ED30" s="49" t="s">
        <v>62</v>
      </c>
      <c r="EE30" s="49" t="s">
        <v>62</v>
      </c>
      <c r="EF30" s="49" t="s">
        <v>62</v>
      </c>
      <c r="EG30" s="120" t="s">
        <v>62</v>
      </c>
      <c r="EH30" s="117">
        <v>0</v>
      </c>
      <c r="EI30" s="117">
        <v>0</v>
      </c>
      <c r="EJ30" s="55">
        <v>0.02</v>
      </c>
      <c r="EK30" s="55">
        <v>0.02</v>
      </c>
      <c r="EL30" s="55">
        <v>0.02</v>
      </c>
      <c r="EM30" s="55">
        <v>0.02</v>
      </c>
      <c r="EN30" s="55">
        <v>0.02</v>
      </c>
      <c r="EO30" s="122">
        <v>0.02</v>
      </c>
      <c r="EP30" s="117">
        <v>20.89</v>
      </c>
      <c r="EQ30" s="117">
        <v>1044.6</v>
      </c>
    </row>
    <row r="31" customFormat="1" ht="22.5" customHeight="1" spans="1:147">
      <c r="A31" s="108">
        <v>12312</v>
      </c>
      <c r="B31" s="109" t="s">
        <v>347</v>
      </c>
      <c r="C31" s="110">
        <v>46092</v>
      </c>
      <c r="D31" s="111">
        <f>IF(_xlfn.XLOOKUP(A31,[1]分配表!J:J,[1]分配表!M:M)=0,"未出单",_xlfn.XLOOKUP(A31,[1]分配表!J:J,[1]分配表!M:M))</f>
        <v>46096</v>
      </c>
      <c r="E31" s="112" t="str">
        <f>_xlfn.XLOOKUP(A31,[1]分配表!A:A,[1]分配表!C:C)</f>
        <v>俞东旭</v>
      </c>
      <c r="F31" s="112" t="str">
        <f>IF(_xlfn.XLOOKUP($A31,[1]分配表!$A:$A,[1]分配表!D:D)=0,"未分类",_xlfn.XLOOKUP($A31,[1]分配表!$A:$A,[1]分配表!D:D))</f>
        <v>车门系统</v>
      </c>
      <c r="G31" s="112" t="str">
        <f>_xlfn.XLOOKUP(A31,[1]分配表!J:J,[1]分配表!I:I)</f>
        <v>原开品</v>
      </c>
      <c r="H31" s="49">
        <v>0</v>
      </c>
      <c r="I31" s="49">
        <v>2</v>
      </c>
      <c r="J31" s="49">
        <v>0</v>
      </c>
      <c r="K31" s="49">
        <v>3</v>
      </c>
      <c r="L31" s="49">
        <v>0</v>
      </c>
      <c r="M31" s="49">
        <v>0</v>
      </c>
      <c r="N31" s="49">
        <v>0</v>
      </c>
      <c r="O31" s="49">
        <v>2</v>
      </c>
      <c r="P31" s="49">
        <v>1</v>
      </c>
      <c r="Q31" s="49">
        <v>0</v>
      </c>
      <c r="R31" s="49">
        <v>0</v>
      </c>
      <c r="S31" s="49">
        <v>0</v>
      </c>
      <c r="T31" s="113">
        <f t="shared" si="0"/>
        <v>0</v>
      </c>
      <c r="U31" s="114">
        <v>0</v>
      </c>
      <c r="V31" s="115">
        <v>960</v>
      </c>
      <c r="W31" s="115">
        <v>0</v>
      </c>
      <c r="X31" s="115">
        <v>1440</v>
      </c>
      <c r="Y31" s="115">
        <v>0</v>
      </c>
      <c r="Z31" s="115">
        <v>0</v>
      </c>
      <c r="AA31" s="115">
        <v>0</v>
      </c>
      <c r="AB31" s="116">
        <v>956</v>
      </c>
      <c r="AC31" s="117">
        <v>478</v>
      </c>
      <c r="AD31" s="117">
        <v>0</v>
      </c>
      <c r="AE31" s="117">
        <v>0</v>
      </c>
      <c r="AF31" s="117">
        <v>0</v>
      </c>
      <c r="AG31" s="115">
        <f t="shared" si="1"/>
        <v>0</v>
      </c>
      <c r="AH31" s="118">
        <v>0</v>
      </c>
      <c r="AI31" s="49">
        <v>3</v>
      </c>
      <c r="AJ31" s="49">
        <v>3</v>
      </c>
      <c r="AK31" s="49">
        <v>0</v>
      </c>
      <c r="AL31" s="49">
        <v>1</v>
      </c>
      <c r="AM31" s="49">
        <v>4</v>
      </c>
      <c r="AN31" s="49">
        <v>2</v>
      </c>
      <c r="AO31" s="49">
        <v>2</v>
      </c>
      <c r="AP31" s="49">
        <v>4</v>
      </c>
      <c r="AQ31" s="49">
        <v>4</v>
      </c>
      <c r="AR31" s="49">
        <v>3</v>
      </c>
      <c r="AS31" s="49">
        <v>0</v>
      </c>
      <c r="AT31" s="119" t="s">
        <v>306</v>
      </c>
      <c r="AU31" s="55">
        <v>0.4</v>
      </c>
      <c r="AV31" s="55">
        <v>0</v>
      </c>
      <c r="AW31" s="55">
        <v>1</v>
      </c>
      <c r="AX31" s="55">
        <v>0</v>
      </c>
      <c r="AY31" s="55">
        <v>0</v>
      </c>
      <c r="AZ31" s="55">
        <v>0</v>
      </c>
      <c r="BA31" s="55">
        <v>0.3333</v>
      </c>
      <c r="BB31" s="55">
        <v>0.3333</v>
      </c>
      <c r="BC31" s="55">
        <v>0</v>
      </c>
      <c r="BD31" s="55">
        <v>0</v>
      </c>
      <c r="BE31" s="55" t="s">
        <v>306</v>
      </c>
      <c r="BF31" s="118" t="s">
        <v>328</v>
      </c>
      <c r="BG31" s="49">
        <v>6</v>
      </c>
      <c r="BH31" s="49">
        <v>0</v>
      </c>
      <c r="BI31" s="49">
        <v>5</v>
      </c>
      <c r="BJ31" s="49">
        <v>11</v>
      </c>
      <c r="BK31" s="49">
        <v>1</v>
      </c>
      <c r="BL31" s="49">
        <v>5</v>
      </c>
      <c r="BM31" s="49">
        <v>4</v>
      </c>
      <c r="BN31" s="49">
        <v>1</v>
      </c>
      <c r="BO31" s="49">
        <v>0</v>
      </c>
      <c r="BP31" s="49">
        <v>7</v>
      </c>
      <c r="BQ31" s="120">
        <v>14</v>
      </c>
      <c r="BR31" s="115" t="s">
        <v>328</v>
      </c>
      <c r="BS31" s="115" t="s">
        <v>49</v>
      </c>
      <c r="BT31" s="115" t="s">
        <v>49</v>
      </c>
      <c r="BU31" s="115" t="s">
        <v>49</v>
      </c>
      <c r="BV31" s="115" t="s">
        <v>49</v>
      </c>
      <c r="BW31" s="115" t="s">
        <v>49</v>
      </c>
      <c r="BX31" s="115" t="s">
        <v>49</v>
      </c>
      <c r="BY31" s="115" t="s">
        <v>49</v>
      </c>
      <c r="BZ31" s="115" t="s">
        <v>49</v>
      </c>
      <c r="CA31" s="115" t="s">
        <v>49</v>
      </c>
      <c r="CB31" s="115" t="s">
        <v>49</v>
      </c>
      <c r="CC31" s="115" t="s">
        <v>49</v>
      </c>
      <c r="CD31" s="114" t="s">
        <v>328</v>
      </c>
      <c r="CE31" s="115" t="s">
        <v>53</v>
      </c>
      <c r="CF31" s="115" t="s">
        <v>53</v>
      </c>
      <c r="CG31" s="115" t="s">
        <v>53</v>
      </c>
      <c r="CH31" s="115" t="s">
        <v>152</v>
      </c>
      <c r="CI31" s="115" t="s">
        <v>53</v>
      </c>
      <c r="CJ31" s="115" t="s">
        <v>53</v>
      </c>
      <c r="CK31" s="115" t="s">
        <v>53</v>
      </c>
      <c r="CL31" s="115" t="s">
        <v>53</v>
      </c>
      <c r="CM31" s="115" t="s">
        <v>53</v>
      </c>
      <c r="CN31" s="115" t="s">
        <v>152</v>
      </c>
      <c r="CO31" s="121" t="s">
        <v>53</v>
      </c>
      <c r="CP31" s="115" t="s">
        <v>328</v>
      </c>
      <c r="CQ31" s="115" t="s">
        <v>152</v>
      </c>
      <c r="CR31" s="115" t="s">
        <v>53</v>
      </c>
      <c r="CS31" s="115" t="s">
        <v>53</v>
      </c>
      <c r="CT31" s="115" t="s">
        <v>53</v>
      </c>
      <c r="CU31" s="115" t="s">
        <v>53</v>
      </c>
      <c r="CV31" s="115" t="s">
        <v>53</v>
      </c>
      <c r="CW31" s="115" t="s">
        <v>53</v>
      </c>
      <c r="CX31" s="115" t="s">
        <v>53</v>
      </c>
      <c r="CY31" s="115" t="s">
        <v>53</v>
      </c>
      <c r="CZ31" s="115" t="s">
        <v>53</v>
      </c>
      <c r="DA31" s="115" t="s">
        <v>53</v>
      </c>
      <c r="DB31" s="118" t="s">
        <v>328</v>
      </c>
      <c r="DC31" s="49" t="s">
        <v>328</v>
      </c>
      <c r="DD31" s="49" t="s">
        <v>320</v>
      </c>
      <c r="DE31" s="49" t="s">
        <v>313</v>
      </c>
      <c r="DF31" s="49" t="s">
        <v>313</v>
      </c>
      <c r="DG31" s="49" t="s">
        <v>313</v>
      </c>
      <c r="DH31" s="49" t="s">
        <v>313</v>
      </c>
      <c r="DI31" s="49" t="s">
        <v>313</v>
      </c>
      <c r="DJ31" s="49" t="s">
        <v>313</v>
      </c>
      <c r="DK31" s="49" t="s">
        <v>313</v>
      </c>
      <c r="DL31" s="49" t="s">
        <v>313</v>
      </c>
      <c r="DM31" s="49" t="s">
        <v>313</v>
      </c>
      <c r="DN31" s="49" t="s">
        <v>307</v>
      </c>
      <c r="DO31" s="118" t="s">
        <v>328</v>
      </c>
      <c r="DP31" s="49" t="s">
        <v>328</v>
      </c>
      <c r="DQ31" s="49" t="s">
        <v>310</v>
      </c>
      <c r="DR31" s="49" t="s">
        <v>58</v>
      </c>
      <c r="DS31" s="49" t="s">
        <v>58</v>
      </c>
      <c r="DT31" s="49" t="s">
        <v>159</v>
      </c>
      <c r="DU31" s="49" t="s">
        <v>58</v>
      </c>
      <c r="DV31" s="49" t="s">
        <v>58</v>
      </c>
      <c r="DW31" s="49" t="s">
        <v>58</v>
      </c>
      <c r="DX31" s="49" t="s">
        <v>58</v>
      </c>
      <c r="DY31" s="49" t="s">
        <v>58</v>
      </c>
      <c r="DZ31" s="49" t="s">
        <v>159</v>
      </c>
      <c r="EA31" s="118" t="s">
        <v>49</v>
      </c>
      <c r="EB31" s="49" t="s">
        <v>49</v>
      </c>
      <c r="EC31" s="49" t="s">
        <v>49</v>
      </c>
      <c r="ED31" s="49" t="s">
        <v>49</v>
      </c>
      <c r="EE31" s="49" t="s">
        <v>49</v>
      </c>
      <c r="EF31" s="49" t="s">
        <v>49</v>
      </c>
      <c r="EG31" s="120" t="s">
        <v>49</v>
      </c>
      <c r="EH31" s="117">
        <v>3.21</v>
      </c>
      <c r="EI31" s="117">
        <v>0</v>
      </c>
      <c r="EJ31" s="55">
        <v>0.025</v>
      </c>
      <c r="EK31" s="55">
        <v>0</v>
      </c>
      <c r="EL31" s="55">
        <v>0</v>
      </c>
      <c r="EM31" s="55">
        <v>0</v>
      </c>
      <c r="EN31" s="55">
        <v>0.025</v>
      </c>
      <c r="EO31" s="122">
        <v>0.025</v>
      </c>
      <c r="EP31" s="117">
        <v>0</v>
      </c>
      <c r="EQ31" s="117">
        <v>0</v>
      </c>
    </row>
    <row r="32" customFormat="1" ht="22.5" customHeight="1" spans="1:147">
      <c r="A32" s="108">
        <v>12441</v>
      </c>
      <c r="B32" s="109" t="s">
        <v>348</v>
      </c>
      <c r="C32" s="110">
        <v>46093</v>
      </c>
      <c r="D32" s="111">
        <f>IF(_xlfn.XLOOKUP(A32,[1]分配表!J:J,[1]分配表!M:M)=0,"未出单",_xlfn.XLOOKUP(A32,[1]分配表!J:J,[1]分配表!M:M))</f>
        <v>46100</v>
      </c>
      <c r="E32" s="112" t="str">
        <f>_xlfn.XLOOKUP(A32,[1]分配表!A:A,[1]分配表!C:C)</f>
        <v>张潇</v>
      </c>
      <c r="F32" s="112" t="str">
        <f>IF(_xlfn.XLOOKUP($A32,[1]分配表!$A:$A,[1]分配表!D:D)=0,"未分类",_xlfn.XLOOKUP($A32,[1]分配表!$A:$A,[1]分配表!D:D))</f>
        <v>机盖及附件</v>
      </c>
      <c r="G32" s="112" t="str">
        <f>_xlfn.XLOOKUP(A32,[1]分配表!J:J,[1]分配表!I:I)</f>
        <v>原开品</v>
      </c>
      <c r="H32" s="49">
        <v>0</v>
      </c>
      <c r="I32" s="49">
        <v>0</v>
      </c>
      <c r="J32" s="49">
        <v>3</v>
      </c>
      <c r="K32" s="49">
        <v>2</v>
      </c>
      <c r="L32" s="49">
        <v>1</v>
      </c>
      <c r="M32" s="49">
        <v>4</v>
      </c>
      <c r="N32" s="49">
        <v>0</v>
      </c>
      <c r="O32" s="49">
        <v>1</v>
      </c>
      <c r="P32" s="49">
        <v>2</v>
      </c>
      <c r="Q32" s="49">
        <v>0</v>
      </c>
      <c r="R32" s="49">
        <v>0</v>
      </c>
      <c r="S32" s="49">
        <v>1</v>
      </c>
      <c r="T32" s="113">
        <f t="shared" si="0"/>
        <v>1</v>
      </c>
      <c r="U32" s="114">
        <v>0</v>
      </c>
      <c r="V32" s="115">
        <v>0</v>
      </c>
      <c r="W32" s="115">
        <v>417</v>
      </c>
      <c r="X32" s="115">
        <v>278</v>
      </c>
      <c r="Y32" s="115">
        <v>143</v>
      </c>
      <c r="Z32" s="115">
        <v>556</v>
      </c>
      <c r="AA32" s="115">
        <v>0</v>
      </c>
      <c r="AB32" s="116">
        <v>139</v>
      </c>
      <c r="AC32" s="117">
        <v>278</v>
      </c>
      <c r="AD32" s="117">
        <v>0</v>
      </c>
      <c r="AE32" s="117">
        <v>0</v>
      </c>
      <c r="AF32" s="117">
        <v>135</v>
      </c>
      <c r="AG32" s="115">
        <f t="shared" si="1"/>
        <v>135</v>
      </c>
      <c r="AH32" s="118">
        <v>0</v>
      </c>
      <c r="AI32" s="49">
        <v>1</v>
      </c>
      <c r="AJ32" s="49">
        <v>1</v>
      </c>
      <c r="AK32" s="49">
        <v>1</v>
      </c>
      <c r="AL32" s="49">
        <v>2</v>
      </c>
      <c r="AM32" s="49">
        <v>0</v>
      </c>
      <c r="AN32" s="49">
        <v>0</v>
      </c>
      <c r="AO32" s="49">
        <v>0</v>
      </c>
      <c r="AP32" s="49">
        <v>1</v>
      </c>
      <c r="AQ32" s="49">
        <v>0</v>
      </c>
      <c r="AR32" s="49">
        <v>1</v>
      </c>
      <c r="AS32" s="49">
        <v>2</v>
      </c>
      <c r="AT32" s="119" t="s">
        <v>306</v>
      </c>
      <c r="AU32" s="55">
        <v>0</v>
      </c>
      <c r="AV32" s="55">
        <v>0.75</v>
      </c>
      <c r="AW32" s="55">
        <v>0.666666666666667</v>
      </c>
      <c r="AX32" s="55">
        <v>0.333333333333333</v>
      </c>
      <c r="AY32" s="55">
        <v>1</v>
      </c>
      <c r="AZ32" s="55">
        <v>1</v>
      </c>
      <c r="BA32" s="55">
        <v>1</v>
      </c>
      <c r="BB32" s="55">
        <v>0.5</v>
      </c>
      <c r="BC32" s="55">
        <v>1</v>
      </c>
      <c r="BD32" s="55">
        <v>0</v>
      </c>
      <c r="BE32" s="55">
        <v>0.3333</v>
      </c>
      <c r="BF32" s="118" t="s">
        <v>328</v>
      </c>
      <c r="BG32" s="49">
        <v>5</v>
      </c>
      <c r="BH32" s="49">
        <v>0</v>
      </c>
      <c r="BI32" s="49">
        <v>8</v>
      </c>
      <c r="BJ32" s="49">
        <v>0</v>
      </c>
      <c r="BK32" s="49">
        <v>6</v>
      </c>
      <c r="BL32" s="49">
        <v>12</v>
      </c>
      <c r="BM32" s="49">
        <v>19</v>
      </c>
      <c r="BN32" s="49">
        <v>26</v>
      </c>
      <c r="BO32" s="49">
        <v>2</v>
      </c>
      <c r="BP32" s="49">
        <v>0</v>
      </c>
      <c r="BQ32" s="120">
        <v>7</v>
      </c>
      <c r="BR32" s="115" t="s">
        <v>328</v>
      </c>
      <c r="BS32" s="115" t="s">
        <v>149</v>
      </c>
      <c r="BT32" s="115" t="s">
        <v>49</v>
      </c>
      <c r="BU32" s="115" t="s">
        <v>49</v>
      </c>
      <c r="BV32" s="115" t="s">
        <v>49</v>
      </c>
      <c r="BW32" s="115" t="s">
        <v>49</v>
      </c>
      <c r="BX32" s="115" t="s">
        <v>49</v>
      </c>
      <c r="BY32" s="115" t="s">
        <v>49</v>
      </c>
      <c r="BZ32" s="115" t="s">
        <v>49</v>
      </c>
      <c r="CA32" s="115" t="s">
        <v>49</v>
      </c>
      <c r="CB32" s="115" t="s">
        <v>49</v>
      </c>
      <c r="CC32" s="115" t="s">
        <v>49</v>
      </c>
      <c r="CD32" s="114" t="s">
        <v>328</v>
      </c>
      <c r="CE32" s="115" t="s">
        <v>53</v>
      </c>
      <c r="CF32" s="115" t="s">
        <v>53</v>
      </c>
      <c r="CG32" s="115" t="s">
        <v>152</v>
      </c>
      <c r="CH32" s="115" t="s">
        <v>53</v>
      </c>
      <c r="CI32" s="115" t="s">
        <v>53</v>
      </c>
      <c r="CJ32" s="115" t="s">
        <v>53</v>
      </c>
      <c r="CK32" s="115" t="s">
        <v>53</v>
      </c>
      <c r="CL32" s="115" t="s">
        <v>152</v>
      </c>
      <c r="CM32" s="115" t="s">
        <v>53</v>
      </c>
      <c r="CN32" s="115" t="s">
        <v>53</v>
      </c>
      <c r="CO32" s="121" t="s">
        <v>152</v>
      </c>
      <c r="CP32" s="115" t="s">
        <v>328</v>
      </c>
      <c r="CQ32" s="115" t="s">
        <v>152</v>
      </c>
      <c r="CR32" s="115" t="s">
        <v>53</v>
      </c>
      <c r="CS32" s="115" t="s">
        <v>53</v>
      </c>
      <c r="CT32" s="115" t="s">
        <v>53</v>
      </c>
      <c r="CU32" s="115" t="s">
        <v>53</v>
      </c>
      <c r="CV32" s="115" t="s">
        <v>53</v>
      </c>
      <c r="CW32" s="115" t="s">
        <v>53</v>
      </c>
      <c r="CX32" s="115" t="s">
        <v>53</v>
      </c>
      <c r="CY32" s="115" t="s">
        <v>53</v>
      </c>
      <c r="CZ32" s="115" t="s">
        <v>53</v>
      </c>
      <c r="DA32" s="115" t="s">
        <v>53</v>
      </c>
      <c r="DB32" s="118" t="s">
        <v>328</v>
      </c>
      <c r="DC32" s="49" t="s">
        <v>328</v>
      </c>
      <c r="DD32" s="49" t="s">
        <v>313</v>
      </c>
      <c r="DE32" s="49" t="s">
        <v>313</v>
      </c>
      <c r="DF32" s="49" t="s">
        <v>313</v>
      </c>
      <c r="DG32" s="49" t="s">
        <v>313</v>
      </c>
      <c r="DH32" s="49" t="s">
        <v>313</v>
      </c>
      <c r="DI32" s="49" t="s">
        <v>53</v>
      </c>
      <c r="DJ32" s="49" t="s">
        <v>53</v>
      </c>
      <c r="DK32" s="49" t="s">
        <v>313</v>
      </c>
      <c r="DL32" s="49" t="s">
        <v>53</v>
      </c>
      <c r="DM32" s="49" t="s">
        <v>313</v>
      </c>
      <c r="DN32" s="49" t="s">
        <v>313</v>
      </c>
      <c r="DO32" s="118" t="s">
        <v>328</v>
      </c>
      <c r="DP32" s="49" t="s">
        <v>328</v>
      </c>
      <c r="DQ32" s="49" t="s">
        <v>310</v>
      </c>
      <c r="DR32" s="49" t="s">
        <v>331</v>
      </c>
      <c r="DS32" s="49" t="s">
        <v>58</v>
      </c>
      <c r="DT32" s="49" t="s">
        <v>58</v>
      </c>
      <c r="DU32" s="49" t="s">
        <v>58</v>
      </c>
      <c r="DV32" s="49" t="s">
        <v>58</v>
      </c>
      <c r="DW32" s="49" t="s">
        <v>58</v>
      </c>
      <c r="DX32" s="49" t="s">
        <v>310</v>
      </c>
      <c r="DY32" s="49" t="s">
        <v>58</v>
      </c>
      <c r="DZ32" s="49" t="s">
        <v>58</v>
      </c>
      <c r="EA32" s="118" t="s">
        <v>49</v>
      </c>
      <c r="EB32" s="49" t="s">
        <v>49</v>
      </c>
      <c r="EC32" s="49" t="s">
        <v>49</v>
      </c>
      <c r="ED32" s="49" t="s">
        <v>49</v>
      </c>
      <c r="EE32" s="49" t="s">
        <v>49</v>
      </c>
      <c r="EF32" s="49" t="s">
        <v>49</v>
      </c>
      <c r="EG32" s="120" t="s">
        <v>49</v>
      </c>
      <c r="EH32" s="117">
        <v>0</v>
      </c>
      <c r="EI32" s="117">
        <v>0</v>
      </c>
      <c r="EJ32" s="55">
        <v>0.02</v>
      </c>
      <c r="EK32" s="55">
        <v>0</v>
      </c>
      <c r="EL32" s="55">
        <v>0</v>
      </c>
      <c r="EM32" s="55">
        <v>0</v>
      </c>
      <c r="EN32" s="55">
        <v>0.02</v>
      </c>
      <c r="EO32" s="122">
        <v>0.02</v>
      </c>
      <c r="EP32" s="117">
        <v>0</v>
      </c>
      <c r="EQ32" s="117">
        <v>0</v>
      </c>
    </row>
    <row r="33" customFormat="1" ht="22.5" customHeight="1" spans="1:147">
      <c r="A33" s="108">
        <v>12271</v>
      </c>
      <c r="B33" s="109" t="s">
        <v>349</v>
      </c>
      <c r="C33" s="110">
        <v>46097</v>
      </c>
      <c r="D33" s="111">
        <f>IF(_xlfn.XLOOKUP(A33,[1]分配表!J:J,[1]分配表!M:M)=0,"未出单",_xlfn.XLOOKUP(A33,[1]分配表!J:J,[1]分配表!M:M))</f>
        <v>46098</v>
      </c>
      <c r="E33" s="112" t="str">
        <f>_xlfn.XLOOKUP(A33,[1]分配表!A:A,[1]分配表!C:C)</f>
        <v>俞东旭</v>
      </c>
      <c r="F33" s="112" t="str">
        <f>IF(_xlfn.XLOOKUP($A33,[1]分配表!$A:$A,[1]分配表!D:D)=0,"未分类",_xlfn.XLOOKUP($A33,[1]分配表!$A:$A,[1]分配表!D:D))</f>
        <v>车门系统</v>
      </c>
      <c r="G33" s="112" t="str">
        <f>_xlfn.XLOOKUP(A33,[1]分配表!J:J,[1]分配表!I:I)</f>
        <v>原开品</v>
      </c>
      <c r="H33" s="49">
        <v>0</v>
      </c>
      <c r="I33" s="49">
        <v>5</v>
      </c>
      <c r="J33" s="49">
        <v>41</v>
      </c>
      <c r="K33" s="49">
        <v>26</v>
      </c>
      <c r="L33" s="49">
        <v>10</v>
      </c>
      <c r="M33" s="49">
        <v>20</v>
      </c>
      <c r="N33" s="49">
        <v>1</v>
      </c>
      <c r="O33" s="49">
        <v>0</v>
      </c>
      <c r="P33" s="49">
        <v>0</v>
      </c>
      <c r="Q33" s="49">
        <v>0</v>
      </c>
      <c r="R33" s="49">
        <v>3</v>
      </c>
      <c r="S33" s="49">
        <v>1</v>
      </c>
      <c r="T33" s="113">
        <f t="shared" si="0"/>
        <v>-2</v>
      </c>
      <c r="U33" s="114">
        <v>0</v>
      </c>
      <c r="V33" s="115">
        <v>1100</v>
      </c>
      <c r="W33" s="115">
        <v>9460</v>
      </c>
      <c r="X33" s="115">
        <v>7215</v>
      </c>
      <c r="Y33" s="115">
        <v>3000</v>
      </c>
      <c r="Z33" s="115">
        <v>6000</v>
      </c>
      <c r="AA33" s="115">
        <v>300</v>
      </c>
      <c r="AB33" s="116">
        <v>0</v>
      </c>
      <c r="AC33" s="117">
        <v>0</v>
      </c>
      <c r="AD33" s="117">
        <v>0</v>
      </c>
      <c r="AE33" s="117">
        <v>900</v>
      </c>
      <c r="AF33" s="117">
        <v>300</v>
      </c>
      <c r="AG33" s="115">
        <f t="shared" si="1"/>
        <v>-600</v>
      </c>
      <c r="AH33" s="118">
        <v>0</v>
      </c>
      <c r="AI33" s="49">
        <v>1</v>
      </c>
      <c r="AJ33" s="49">
        <v>1</v>
      </c>
      <c r="AK33" s="49">
        <v>0</v>
      </c>
      <c r="AL33" s="49">
        <v>0</v>
      </c>
      <c r="AM33" s="49">
        <v>0</v>
      </c>
      <c r="AN33" s="49">
        <v>1</v>
      </c>
      <c r="AO33" s="49">
        <v>1</v>
      </c>
      <c r="AP33" s="49">
        <v>0</v>
      </c>
      <c r="AQ33" s="49">
        <v>1</v>
      </c>
      <c r="AR33" s="49">
        <v>0</v>
      </c>
      <c r="AS33" s="49">
        <v>2</v>
      </c>
      <c r="AT33" s="119" t="s">
        <v>306</v>
      </c>
      <c r="AU33" s="55">
        <v>0</v>
      </c>
      <c r="AV33" s="55">
        <v>0.976190476190476</v>
      </c>
      <c r="AW33" s="55">
        <v>1</v>
      </c>
      <c r="AX33" s="55">
        <v>1</v>
      </c>
      <c r="AY33" s="55">
        <v>1</v>
      </c>
      <c r="AZ33" s="55">
        <v>0.9091</v>
      </c>
      <c r="BA33" s="55">
        <v>0</v>
      </c>
      <c r="BB33" s="55" t="s">
        <v>306</v>
      </c>
      <c r="BC33" s="55">
        <v>0</v>
      </c>
      <c r="BD33" s="55">
        <v>1</v>
      </c>
      <c r="BE33" s="55">
        <v>0.3333</v>
      </c>
      <c r="BF33" s="118" t="s">
        <v>328</v>
      </c>
      <c r="BG33" s="49">
        <v>2</v>
      </c>
      <c r="BH33" s="49">
        <v>9</v>
      </c>
      <c r="BI33" s="49">
        <v>3</v>
      </c>
      <c r="BJ33" s="49">
        <v>9</v>
      </c>
      <c r="BK33" s="49">
        <v>2</v>
      </c>
      <c r="BL33" s="49">
        <v>8</v>
      </c>
      <c r="BM33" s="49">
        <v>15</v>
      </c>
      <c r="BN33" s="49">
        <v>0</v>
      </c>
      <c r="BO33" s="49">
        <v>7</v>
      </c>
      <c r="BP33" s="49">
        <v>14</v>
      </c>
      <c r="BQ33" s="120">
        <v>21</v>
      </c>
      <c r="BR33" s="115" t="s">
        <v>328</v>
      </c>
      <c r="BS33" s="115" t="s">
        <v>49</v>
      </c>
      <c r="BT33" s="115" t="s">
        <v>49</v>
      </c>
      <c r="BU33" s="115" t="s">
        <v>49</v>
      </c>
      <c r="BV33" s="115" t="s">
        <v>49</v>
      </c>
      <c r="BW33" s="115" t="s">
        <v>49</v>
      </c>
      <c r="BX33" s="115" t="s">
        <v>49</v>
      </c>
      <c r="BY33" s="115" t="s">
        <v>49</v>
      </c>
      <c r="BZ33" s="115" t="s">
        <v>49</v>
      </c>
      <c r="CA33" s="115" t="s">
        <v>49</v>
      </c>
      <c r="CB33" s="115" t="s">
        <v>49</v>
      </c>
      <c r="CC33" s="115" t="s">
        <v>49</v>
      </c>
      <c r="CD33" s="114" t="s">
        <v>328</v>
      </c>
      <c r="CE33" s="115" t="s">
        <v>53</v>
      </c>
      <c r="CF33" s="115" t="s">
        <v>152</v>
      </c>
      <c r="CG33" s="115" t="s">
        <v>53</v>
      </c>
      <c r="CH33" s="115" t="s">
        <v>152</v>
      </c>
      <c r="CI33" s="115" t="s">
        <v>53</v>
      </c>
      <c r="CJ33" s="115" t="s">
        <v>53</v>
      </c>
      <c r="CK33" s="115" t="s">
        <v>152</v>
      </c>
      <c r="CL33" s="115" t="s">
        <v>53</v>
      </c>
      <c r="CM33" s="115" t="s">
        <v>152</v>
      </c>
      <c r="CN33" s="115" t="s">
        <v>53</v>
      </c>
      <c r="CO33" s="121" t="s">
        <v>152</v>
      </c>
      <c r="CP33" s="115" t="s">
        <v>328</v>
      </c>
      <c r="CQ33" s="115" t="s">
        <v>53</v>
      </c>
      <c r="CR33" s="115" t="s">
        <v>53</v>
      </c>
      <c r="CS33" s="115" t="s">
        <v>53</v>
      </c>
      <c r="CT33" s="115" t="s">
        <v>53</v>
      </c>
      <c r="CU33" s="115" t="s">
        <v>53</v>
      </c>
      <c r="CV33" s="115" t="s">
        <v>53</v>
      </c>
      <c r="CW33" s="115" t="s">
        <v>53</v>
      </c>
      <c r="CX33" s="115" t="s">
        <v>53</v>
      </c>
      <c r="CY33" s="115" t="s">
        <v>53</v>
      </c>
      <c r="CZ33" s="115" t="s">
        <v>53</v>
      </c>
      <c r="DA33" s="115" t="s">
        <v>53</v>
      </c>
      <c r="DB33" s="118" t="s">
        <v>328</v>
      </c>
      <c r="DC33" s="49" t="s">
        <v>328</v>
      </c>
      <c r="DD33" s="49" t="s">
        <v>313</v>
      </c>
      <c r="DE33" s="49" t="s">
        <v>53</v>
      </c>
      <c r="DF33" s="49" t="s">
        <v>53</v>
      </c>
      <c r="DG33" s="49" t="s">
        <v>53</v>
      </c>
      <c r="DH33" s="49" t="s">
        <v>53</v>
      </c>
      <c r="DI33" s="49" t="s">
        <v>53</v>
      </c>
      <c r="DJ33" s="49" t="s">
        <v>313</v>
      </c>
      <c r="DK33" s="49" t="s">
        <v>307</v>
      </c>
      <c r="DL33" s="49" t="s">
        <v>313</v>
      </c>
      <c r="DM33" s="49" t="s">
        <v>53</v>
      </c>
      <c r="DN33" s="49" t="s">
        <v>313</v>
      </c>
      <c r="DO33" s="118" t="s">
        <v>328</v>
      </c>
      <c r="DP33" s="49" t="s">
        <v>328</v>
      </c>
      <c r="DQ33" s="49" t="s">
        <v>58</v>
      </c>
      <c r="DR33" s="49" t="s">
        <v>58</v>
      </c>
      <c r="DS33" s="49" t="s">
        <v>58</v>
      </c>
      <c r="DT33" s="49" t="s">
        <v>310</v>
      </c>
      <c r="DU33" s="49" t="s">
        <v>58</v>
      </c>
      <c r="DV33" s="49" t="s">
        <v>58</v>
      </c>
      <c r="DW33" s="49" t="s">
        <v>310</v>
      </c>
      <c r="DX33" s="49" t="s">
        <v>58</v>
      </c>
      <c r="DY33" s="49" t="s">
        <v>316</v>
      </c>
      <c r="DZ33" s="49" t="s">
        <v>58</v>
      </c>
      <c r="EA33" s="118" t="s">
        <v>62</v>
      </c>
      <c r="EB33" s="49" t="s">
        <v>62</v>
      </c>
      <c r="EC33" s="49" t="s">
        <v>62</v>
      </c>
      <c r="ED33" s="49" t="s">
        <v>62</v>
      </c>
      <c r="EE33" s="49" t="s">
        <v>62</v>
      </c>
      <c r="EF33" s="49" t="s">
        <v>62</v>
      </c>
      <c r="EG33" s="120" t="s">
        <v>62</v>
      </c>
      <c r="EH33" s="117">
        <v>0</v>
      </c>
      <c r="EI33" s="117">
        <v>0</v>
      </c>
      <c r="EJ33" s="55">
        <v>0.02</v>
      </c>
      <c r="EK33" s="55">
        <v>0.02</v>
      </c>
      <c r="EL33" s="55">
        <v>0.02</v>
      </c>
      <c r="EM33" s="55">
        <v>0.02</v>
      </c>
      <c r="EN33" s="55">
        <v>0.02</v>
      </c>
      <c r="EO33" s="122">
        <v>0.02</v>
      </c>
      <c r="EP33" s="117">
        <v>6.53</v>
      </c>
      <c r="EQ33" s="117">
        <v>326.25</v>
      </c>
    </row>
    <row r="34" customFormat="1" ht="22.5" customHeight="1" spans="1:147">
      <c r="A34" s="108">
        <v>12270</v>
      </c>
      <c r="B34" s="109" t="s">
        <v>350</v>
      </c>
      <c r="C34" s="110">
        <v>46097</v>
      </c>
      <c r="D34" s="111">
        <f>IF(_xlfn.XLOOKUP(A34,[1]分配表!J:J,[1]分配表!M:M)=0,"未出单",_xlfn.XLOOKUP(A34,[1]分配表!J:J,[1]分配表!M:M))</f>
        <v>46100</v>
      </c>
      <c r="E34" s="112" t="str">
        <f>_xlfn.XLOOKUP(A34,[1]分配表!A:A,[1]分配表!C:C)</f>
        <v>俞东旭</v>
      </c>
      <c r="F34" s="112" t="str">
        <f>IF(_xlfn.XLOOKUP($A34,[1]分配表!$A:$A,[1]分配表!D:D)=0,"未分类",_xlfn.XLOOKUP($A34,[1]分配表!$A:$A,[1]分配表!D:D))</f>
        <v>车门系统</v>
      </c>
      <c r="G34" s="112" t="str">
        <f>_xlfn.XLOOKUP(A34,[1]分配表!J:J,[1]分配表!I:I)</f>
        <v>原开品</v>
      </c>
      <c r="H34" s="49">
        <v>0</v>
      </c>
      <c r="I34" s="49">
        <v>0</v>
      </c>
      <c r="J34" s="49">
        <v>7</v>
      </c>
      <c r="K34" s="49">
        <v>8</v>
      </c>
      <c r="L34" s="49">
        <v>1</v>
      </c>
      <c r="M34" s="49">
        <v>2</v>
      </c>
      <c r="N34" s="49">
        <v>0</v>
      </c>
      <c r="O34" s="49">
        <v>0</v>
      </c>
      <c r="P34" s="49">
        <v>1</v>
      </c>
      <c r="Q34" s="49">
        <v>0</v>
      </c>
      <c r="R34" s="49">
        <v>0</v>
      </c>
      <c r="S34" s="49">
        <v>0</v>
      </c>
      <c r="T34" s="113">
        <f t="shared" si="0"/>
        <v>0</v>
      </c>
      <c r="U34" s="114">
        <v>0</v>
      </c>
      <c r="V34" s="115">
        <v>0</v>
      </c>
      <c r="W34" s="115">
        <v>1660</v>
      </c>
      <c r="X34" s="115">
        <v>2080</v>
      </c>
      <c r="Y34" s="115">
        <v>270</v>
      </c>
      <c r="Z34" s="115">
        <v>540</v>
      </c>
      <c r="AA34" s="115">
        <v>0</v>
      </c>
      <c r="AB34" s="116">
        <v>0</v>
      </c>
      <c r="AC34" s="117">
        <v>270</v>
      </c>
      <c r="AD34" s="117">
        <v>0</v>
      </c>
      <c r="AE34" s="117">
        <v>0</v>
      </c>
      <c r="AF34" s="117">
        <v>0</v>
      </c>
      <c r="AG34" s="115">
        <f t="shared" si="1"/>
        <v>0</v>
      </c>
      <c r="AH34" s="118">
        <v>0</v>
      </c>
      <c r="AI34" s="49">
        <v>1</v>
      </c>
      <c r="AJ34" s="49">
        <v>0</v>
      </c>
      <c r="AK34" s="49">
        <v>0</v>
      </c>
      <c r="AL34" s="49">
        <v>0</v>
      </c>
      <c r="AM34" s="49">
        <v>0</v>
      </c>
      <c r="AN34" s="49">
        <v>0</v>
      </c>
      <c r="AO34" s="49">
        <v>0</v>
      </c>
      <c r="AP34" s="49">
        <v>0</v>
      </c>
      <c r="AQ34" s="49">
        <v>0</v>
      </c>
      <c r="AR34" s="49">
        <v>0</v>
      </c>
      <c r="AS34" s="49">
        <v>0</v>
      </c>
      <c r="AT34" s="119" t="s">
        <v>306</v>
      </c>
      <c r="AU34" s="55">
        <v>0</v>
      </c>
      <c r="AV34" s="55">
        <v>1</v>
      </c>
      <c r="AW34" s="55">
        <v>1</v>
      </c>
      <c r="AX34" s="55">
        <v>1</v>
      </c>
      <c r="AY34" s="55">
        <v>1</v>
      </c>
      <c r="AZ34" s="55">
        <v>1</v>
      </c>
      <c r="BA34" s="55" t="s">
        <v>306</v>
      </c>
      <c r="BB34" s="55">
        <v>1</v>
      </c>
      <c r="BC34" s="55" t="s">
        <v>306</v>
      </c>
      <c r="BD34" s="55" t="s">
        <v>306</v>
      </c>
      <c r="BE34" s="55" t="s">
        <v>306</v>
      </c>
      <c r="BF34" s="118" t="s">
        <v>328</v>
      </c>
      <c r="BG34" s="49">
        <v>2</v>
      </c>
      <c r="BH34" s="49">
        <v>9</v>
      </c>
      <c r="BI34" s="49">
        <v>1</v>
      </c>
      <c r="BJ34" s="49">
        <v>7</v>
      </c>
      <c r="BK34" s="49">
        <v>5</v>
      </c>
      <c r="BL34" s="49">
        <v>11</v>
      </c>
      <c r="BM34" s="49">
        <v>18</v>
      </c>
      <c r="BN34" s="49">
        <v>25</v>
      </c>
      <c r="BO34" s="49">
        <v>32</v>
      </c>
      <c r="BP34" s="49">
        <v>39</v>
      </c>
      <c r="BQ34" s="120">
        <v>0</v>
      </c>
      <c r="BR34" s="115" t="s">
        <v>328</v>
      </c>
      <c r="BS34" s="115" t="s">
        <v>149</v>
      </c>
      <c r="BT34" s="115" t="s">
        <v>49</v>
      </c>
      <c r="BU34" s="115" t="s">
        <v>49</v>
      </c>
      <c r="BV34" s="115" t="s">
        <v>49</v>
      </c>
      <c r="BW34" s="115" t="s">
        <v>49</v>
      </c>
      <c r="BX34" s="115" t="s">
        <v>49</v>
      </c>
      <c r="BY34" s="115" t="s">
        <v>49</v>
      </c>
      <c r="BZ34" s="115" t="s">
        <v>49</v>
      </c>
      <c r="CA34" s="115" t="s">
        <v>49</v>
      </c>
      <c r="CB34" s="115" t="s">
        <v>49</v>
      </c>
      <c r="CC34" s="115" t="s">
        <v>49</v>
      </c>
      <c r="CD34" s="114" t="s">
        <v>328</v>
      </c>
      <c r="CE34" s="115" t="s">
        <v>53</v>
      </c>
      <c r="CF34" s="115" t="s">
        <v>152</v>
      </c>
      <c r="CG34" s="115" t="s">
        <v>53</v>
      </c>
      <c r="CH34" s="115" t="s">
        <v>53</v>
      </c>
      <c r="CI34" s="115" t="s">
        <v>53</v>
      </c>
      <c r="CJ34" s="115" t="s">
        <v>53</v>
      </c>
      <c r="CK34" s="115" t="s">
        <v>53</v>
      </c>
      <c r="CL34" s="115" t="s">
        <v>53</v>
      </c>
      <c r="CM34" s="115" t="s">
        <v>53</v>
      </c>
      <c r="CN34" s="115" t="s">
        <v>53</v>
      </c>
      <c r="CO34" s="121" t="s">
        <v>53</v>
      </c>
      <c r="CP34" s="115" t="s">
        <v>328</v>
      </c>
      <c r="CQ34" s="115" t="s">
        <v>53</v>
      </c>
      <c r="CR34" s="115" t="s">
        <v>53</v>
      </c>
      <c r="CS34" s="115" t="s">
        <v>53</v>
      </c>
      <c r="CT34" s="115" t="s">
        <v>53</v>
      </c>
      <c r="CU34" s="115" t="s">
        <v>53</v>
      </c>
      <c r="CV34" s="115" t="s">
        <v>53</v>
      </c>
      <c r="CW34" s="115" t="s">
        <v>53</v>
      </c>
      <c r="CX34" s="115" t="s">
        <v>53</v>
      </c>
      <c r="CY34" s="115" t="s">
        <v>53</v>
      </c>
      <c r="CZ34" s="115" t="s">
        <v>53</v>
      </c>
      <c r="DA34" s="115" t="s">
        <v>53</v>
      </c>
      <c r="DB34" s="118" t="s">
        <v>328</v>
      </c>
      <c r="DC34" s="49" t="s">
        <v>328</v>
      </c>
      <c r="DD34" s="49" t="s">
        <v>313</v>
      </c>
      <c r="DE34" s="49" t="s">
        <v>53</v>
      </c>
      <c r="DF34" s="49" t="s">
        <v>53</v>
      </c>
      <c r="DG34" s="49" t="s">
        <v>53</v>
      </c>
      <c r="DH34" s="49" t="s">
        <v>53</v>
      </c>
      <c r="DI34" s="49" t="s">
        <v>53</v>
      </c>
      <c r="DJ34" s="49" t="s">
        <v>156</v>
      </c>
      <c r="DK34" s="49" t="s">
        <v>53</v>
      </c>
      <c r="DL34" s="49" t="s">
        <v>156</v>
      </c>
      <c r="DM34" s="49" t="s">
        <v>156</v>
      </c>
      <c r="DN34" s="49" t="s">
        <v>156</v>
      </c>
      <c r="DO34" s="118" t="s">
        <v>328</v>
      </c>
      <c r="DP34" s="49" t="s">
        <v>328</v>
      </c>
      <c r="DQ34" s="49" t="s">
        <v>58</v>
      </c>
      <c r="DR34" s="49" t="s">
        <v>58</v>
      </c>
      <c r="DS34" s="49" t="s">
        <v>58</v>
      </c>
      <c r="DT34" s="49" t="s">
        <v>58</v>
      </c>
      <c r="DU34" s="49" t="s">
        <v>58</v>
      </c>
      <c r="DV34" s="49" t="s">
        <v>58</v>
      </c>
      <c r="DW34" s="49" t="s">
        <v>58</v>
      </c>
      <c r="DX34" s="49" t="s">
        <v>58</v>
      </c>
      <c r="DY34" s="49" t="s">
        <v>58</v>
      </c>
      <c r="DZ34" s="49" t="s">
        <v>58</v>
      </c>
      <c r="EA34" s="118" t="s">
        <v>62</v>
      </c>
      <c r="EB34" s="49" t="s">
        <v>62</v>
      </c>
      <c r="EC34" s="49" t="s">
        <v>62</v>
      </c>
      <c r="ED34" s="49" t="s">
        <v>62</v>
      </c>
      <c r="EE34" s="49" t="s">
        <v>62</v>
      </c>
      <c r="EF34" s="49" t="s">
        <v>62</v>
      </c>
      <c r="EG34" s="120" t="s">
        <v>62</v>
      </c>
      <c r="EH34" s="117">
        <v>0</v>
      </c>
      <c r="EI34" s="117">
        <v>0</v>
      </c>
      <c r="EJ34" s="55">
        <v>0.02</v>
      </c>
      <c r="EK34" s="55">
        <v>0.02</v>
      </c>
      <c r="EL34" s="55">
        <v>0.02</v>
      </c>
      <c r="EM34" s="55">
        <v>0.02</v>
      </c>
      <c r="EN34" s="55">
        <v>0.02</v>
      </c>
      <c r="EO34" s="122">
        <v>0.02</v>
      </c>
      <c r="EP34" s="117">
        <v>0</v>
      </c>
      <c r="EQ34" s="117">
        <v>0</v>
      </c>
    </row>
    <row r="35" customFormat="1" ht="22.5" customHeight="1" spans="1:147">
      <c r="A35" s="108">
        <v>12318</v>
      </c>
      <c r="B35" s="109" t="s">
        <v>351</v>
      </c>
      <c r="C35" s="110">
        <v>46097</v>
      </c>
      <c r="D35" s="111">
        <f>IF(_xlfn.XLOOKUP(A35,[1]分配表!J:J,[1]分配表!M:M)=0,"未出单",_xlfn.XLOOKUP(A35,[1]分配表!J:J,[1]分配表!M:M))</f>
        <v>46103</v>
      </c>
      <c r="E35" s="112" t="str">
        <f>_xlfn.XLOOKUP(A35,[1]分配表!A:A,[1]分配表!C:C)</f>
        <v>胡煜星</v>
      </c>
      <c r="F35" s="112" t="str">
        <f>IF(_xlfn.XLOOKUP($A35,[1]分配表!$A:$A,[1]分配表!D:D)=0,"未分类",_xlfn.XLOOKUP($A35,[1]分配表!$A:$A,[1]分配表!D:D))</f>
        <v>车门系统</v>
      </c>
      <c r="G35" s="112" t="str">
        <f>_xlfn.XLOOKUP(A35,[1]分配表!J:J,[1]分配表!I:I)</f>
        <v>原开品</v>
      </c>
      <c r="H35" s="49">
        <v>0</v>
      </c>
      <c r="I35" s="49">
        <v>0</v>
      </c>
      <c r="J35" s="49">
        <v>1</v>
      </c>
      <c r="K35" s="49">
        <v>1</v>
      </c>
      <c r="L35" s="49">
        <v>0</v>
      </c>
      <c r="M35" s="49">
        <v>0</v>
      </c>
      <c r="N35" s="49">
        <v>0</v>
      </c>
      <c r="O35" s="49">
        <v>0</v>
      </c>
      <c r="P35" s="49">
        <v>1</v>
      </c>
      <c r="Q35" s="49">
        <v>0</v>
      </c>
      <c r="R35" s="49">
        <v>0</v>
      </c>
      <c r="S35" s="49">
        <v>0</v>
      </c>
      <c r="T35" s="113">
        <f t="shared" si="0"/>
        <v>0</v>
      </c>
      <c r="U35" s="114">
        <v>0</v>
      </c>
      <c r="V35" s="115">
        <v>0</v>
      </c>
      <c r="W35" s="115">
        <v>420</v>
      </c>
      <c r="X35" s="115">
        <v>460</v>
      </c>
      <c r="Y35" s="115">
        <v>0</v>
      </c>
      <c r="Z35" s="115">
        <v>0</v>
      </c>
      <c r="AA35" s="115">
        <v>0</v>
      </c>
      <c r="AB35" s="116">
        <v>0</v>
      </c>
      <c r="AC35" s="117">
        <v>460</v>
      </c>
      <c r="AD35" s="117">
        <v>0</v>
      </c>
      <c r="AE35" s="117">
        <v>0</v>
      </c>
      <c r="AF35" s="117">
        <v>0</v>
      </c>
      <c r="AG35" s="115">
        <f t="shared" si="1"/>
        <v>0</v>
      </c>
      <c r="AH35" s="118">
        <v>0</v>
      </c>
      <c r="AI35" s="49">
        <v>0</v>
      </c>
      <c r="AJ35" s="49">
        <v>0</v>
      </c>
      <c r="AK35" s="49">
        <v>0</v>
      </c>
      <c r="AL35" s="49">
        <v>0</v>
      </c>
      <c r="AM35" s="49">
        <v>0</v>
      </c>
      <c r="AN35" s="49">
        <v>0</v>
      </c>
      <c r="AO35" s="49">
        <v>0</v>
      </c>
      <c r="AP35" s="49">
        <v>0</v>
      </c>
      <c r="AQ35" s="49">
        <v>0</v>
      </c>
      <c r="AR35" s="49">
        <v>0</v>
      </c>
      <c r="AS35" s="49">
        <v>0</v>
      </c>
      <c r="AT35" s="119" t="s">
        <v>306</v>
      </c>
      <c r="AU35" s="55" t="s">
        <v>306</v>
      </c>
      <c r="AV35" s="55">
        <v>1</v>
      </c>
      <c r="AW35" s="55">
        <v>1</v>
      </c>
      <c r="AX35" s="55">
        <v>0</v>
      </c>
      <c r="AY35" s="55">
        <v>0</v>
      </c>
      <c r="AZ35" s="55" t="s">
        <v>306</v>
      </c>
      <c r="BA35" s="55" t="s">
        <v>306</v>
      </c>
      <c r="BB35" s="55">
        <v>1</v>
      </c>
      <c r="BC35" s="55" t="s">
        <v>306</v>
      </c>
      <c r="BD35" s="55" t="s">
        <v>306</v>
      </c>
      <c r="BE35" s="55" t="s">
        <v>306</v>
      </c>
      <c r="BF35" s="118" t="s">
        <v>328</v>
      </c>
      <c r="BG35" s="49">
        <v>1</v>
      </c>
      <c r="BH35" s="49">
        <v>8</v>
      </c>
      <c r="BI35" s="49">
        <v>1</v>
      </c>
      <c r="BJ35" s="49">
        <v>7</v>
      </c>
      <c r="BK35" s="49">
        <v>5</v>
      </c>
      <c r="BL35" s="49">
        <v>6</v>
      </c>
      <c r="BM35" s="49">
        <v>13</v>
      </c>
      <c r="BN35" s="49">
        <v>20</v>
      </c>
      <c r="BO35" s="49">
        <v>4</v>
      </c>
      <c r="BP35" s="49">
        <v>5</v>
      </c>
      <c r="BQ35" s="120">
        <v>12</v>
      </c>
      <c r="BR35" s="115" t="s">
        <v>328</v>
      </c>
      <c r="BS35" s="115" t="s">
        <v>149</v>
      </c>
      <c r="BT35" s="115" t="s">
        <v>49</v>
      </c>
      <c r="BU35" s="115" t="s">
        <v>49</v>
      </c>
      <c r="BV35" s="115" t="s">
        <v>49</v>
      </c>
      <c r="BW35" s="115" t="s">
        <v>49</v>
      </c>
      <c r="BX35" s="115" t="s">
        <v>49</v>
      </c>
      <c r="BY35" s="115" t="s">
        <v>49</v>
      </c>
      <c r="BZ35" s="115" t="s">
        <v>49</v>
      </c>
      <c r="CA35" s="115" t="s">
        <v>49</v>
      </c>
      <c r="CB35" s="115" t="s">
        <v>49</v>
      </c>
      <c r="CC35" s="115" t="s">
        <v>49</v>
      </c>
      <c r="CD35" s="114" t="s">
        <v>328</v>
      </c>
      <c r="CE35" s="115" t="s">
        <v>53</v>
      </c>
      <c r="CF35" s="115" t="s">
        <v>152</v>
      </c>
      <c r="CG35" s="115" t="s">
        <v>53</v>
      </c>
      <c r="CH35" s="115" t="s">
        <v>53</v>
      </c>
      <c r="CI35" s="115" t="s">
        <v>53</v>
      </c>
      <c r="CJ35" s="115" t="s">
        <v>53</v>
      </c>
      <c r="CK35" s="115" t="s">
        <v>53</v>
      </c>
      <c r="CL35" s="115" t="s">
        <v>53</v>
      </c>
      <c r="CM35" s="115" t="s">
        <v>53</v>
      </c>
      <c r="CN35" s="115" t="s">
        <v>53</v>
      </c>
      <c r="CO35" s="121" t="s">
        <v>53</v>
      </c>
      <c r="CP35" s="115" t="s">
        <v>328</v>
      </c>
      <c r="CQ35" s="115" t="s">
        <v>53</v>
      </c>
      <c r="CR35" s="115" t="s">
        <v>53</v>
      </c>
      <c r="CS35" s="115" t="s">
        <v>53</v>
      </c>
      <c r="CT35" s="115" t="s">
        <v>53</v>
      </c>
      <c r="CU35" s="115" t="s">
        <v>53</v>
      </c>
      <c r="CV35" s="115" t="s">
        <v>53</v>
      </c>
      <c r="CW35" s="115" t="s">
        <v>53</v>
      </c>
      <c r="CX35" s="115" t="s">
        <v>53</v>
      </c>
      <c r="CY35" s="115" t="s">
        <v>53</v>
      </c>
      <c r="CZ35" s="115" t="s">
        <v>53</v>
      </c>
      <c r="DA35" s="115" t="s">
        <v>53</v>
      </c>
      <c r="DB35" s="118" t="s">
        <v>328</v>
      </c>
      <c r="DC35" s="49" t="s">
        <v>328</v>
      </c>
      <c r="DD35" s="49" t="s">
        <v>307</v>
      </c>
      <c r="DE35" s="49" t="s">
        <v>53</v>
      </c>
      <c r="DF35" s="49" t="s">
        <v>53</v>
      </c>
      <c r="DG35" s="49" t="s">
        <v>307</v>
      </c>
      <c r="DH35" s="49" t="s">
        <v>307</v>
      </c>
      <c r="DI35" s="49" t="s">
        <v>307</v>
      </c>
      <c r="DJ35" s="49" t="s">
        <v>307</v>
      </c>
      <c r="DK35" s="49" t="s">
        <v>53</v>
      </c>
      <c r="DL35" s="49" t="s">
        <v>307</v>
      </c>
      <c r="DM35" s="49" t="s">
        <v>307</v>
      </c>
      <c r="DN35" s="49" t="s">
        <v>307</v>
      </c>
      <c r="DO35" s="118"/>
      <c r="DP35" s="49"/>
      <c r="DQ35" s="49" t="s">
        <v>58</v>
      </c>
      <c r="DR35" s="49" t="s">
        <v>58</v>
      </c>
      <c r="DS35" s="49" t="s">
        <v>58</v>
      </c>
      <c r="DT35" s="49" t="s">
        <v>58</v>
      </c>
      <c r="DU35" s="49" t="s">
        <v>58</v>
      </c>
      <c r="DV35" s="49" t="s">
        <v>58</v>
      </c>
      <c r="DW35" s="49" t="s">
        <v>58</v>
      </c>
      <c r="DX35" s="49" t="s">
        <v>58</v>
      </c>
      <c r="DY35" s="49" t="s">
        <v>58</v>
      </c>
      <c r="DZ35" s="49" t="s">
        <v>58</v>
      </c>
      <c r="EA35" s="118" t="s">
        <v>49</v>
      </c>
      <c r="EB35" s="49" t="s">
        <v>49</v>
      </c>
      <c r="EC35" s="49" t="s">
        <v>49</v>
      </c>
      <c r="ED35" s="49" t="s">
        <v>49</v>
      </c>
      <c r="EE35" s="49" t="s">
        <v>49</v>
      </c>
      <c r="EF35" s="49" t="s">
        <v>49</v>
      </c>
      <c r="EG35" s="120" t="s">
        <v>49</v>
      </c>
      <c r="EH35" s="117">
        <v>2.82</v>
      </c>
      <c r="EI35" s="117">
        <v>0</v>
      </c>
      <c r="EJ35" s="55">
        <v>0.02</v>
      </c>
      <c r="EK35" s="55">
        <v>0</v>
      </c>
      <c r="EL35" s="55">
        <v>0</v>
      </c>
      <c r="EM35" s="55">
        <v>0</v>
      </c>
      <c r="EN35" s="55">
        <v>0</v>
      </c>
      <c r="EO35" s="122">
        <v>0</v>
      </c>
      <c r="EP35" s="117">
        <v>0</v>
      </c>
      <c r="EQ35" s="117">
        <v>0</v>
      </c>
    </row>
    <row r="36" customFormat="1" ht="22.5" customHeight="1" spans="1:147">
      <c r="A36" s="108">
        <v>12320</v>
      </c>
      <c r="B36" s="109" t="s">
        <v>352</v>
      </c>
      <c r="C36" s="110">
        <v>46097</v>
      </c>
      <c r="D36" s="111">
        <f>IF(_xlfn.XLOOKUP(A36,[1]分配表!J:J,[1]分配表!M:M)=0,"未出单",_xlfn.XLOOKUP(A36,[1]分配表!J:J,[1]分配表!M:M))</f>
        <v>46131</v>
      </c>
      <c r="E36" s="112" t="str">
        <f>_xlfn.XLOOKUP(A36,[1]分配表!A:A,[1]分配表!C:C)</f>
        <v>朱培源</v>
      </c>
      <c r="F36" s="112" t="str">
        <f>IF(_xlfn.XLOOKUP($A36,[1]分配表!$A:$A,[1]分配表!D:D)=0,"未分类",_xlfn.XLOOKUP($A36,[1]分配表!$A:$A,[1]分配表!D:D))</f>
        <v>挡泥板</v>
      </c>
      <c r="G36" s="112" t="str">
        <f>_xlfn.XLOOKUP(A36,[1]分配表!J:J,[1]分配表!I:I)</f>
        <v>原开品</v>
      </c>
      <c r="H36" s="49">
        <v>0</v>
      </c>
      <c r="I36" s="49">
        <v>0</v>
      </c>
      <c r="J36" s="49">
        <v>0</v>
      </c>
      <c r="K36" s="49">
        <v>0</v>
      </c>
      <c r="L36" s="49">
        <v>0</v>
      </c>
      <c r="M36" s="49">
        <v>0</v>
      </c>
      <c r="N36" s="49">
        <v>1</v>
      </c>
      <c r="O36" s="49">
        <v>0</v>
      </c>
      <c r="P36" s="49">
        <v>1</v>
      </c>
      <c r="Q36" s="49">
        <v>0</v>
      </c>
      <c r="R36" s="49">
        <v>1</v>
      </c>
      <c r="S36" s="49">
        <v>1</v>
      </c>
      <c r="T36" s="113">
        <f t="shared" si="0"/>
        <v>0</v>
      </c>
      <c r="U36" s="114">
        <v>0</v>
      </c>
      <c r="V36" s="115">
        <v>0</v>
      </c>
      <c r="W36" s="115">
        <v>0</v>
      </c>
      <c r="X36" s="115">
        <v>0</v>
      </c>
      <c r="Y36" s="115">
        <v>0</v>
      </c>
      <c r="Z36" s="115">
        <v>0</v>
      </c>
      <c r="AA36" s="115">
        <v>75</v>
      </c>
      <c r="AB36" s="116">
        <v>0</v>
      </c>
      <c r="AC36" s="117">
        <v>75</v>
      </c>
      <c r="AD36" s="117">
        <v>0</v>
      </c>
      <c r="AE36" s="117">
        <v>75</v>
      </c>
      <c r="AF36" s="117">
        <v>75</v>
      </c>
      <c r="AG36" s="115">
        <f t="shared" si="1"/>
        <v>0</v>
      </c>
      <c r="AH36" s="118">
        <v>0</v>
      </c>
      <c r="AI36" s="49">
        <v>1</v>
      </c>
      <c r="AJ36" s="49">
        <v>0</v>
      </c>
      <c r="AK36" s="49">
        <v>1</v>
      </c>
      <c r="AL36" s="49">
        <v>0</v>
      </c>
      <c r="AM36" s="49">
        <v>0</v>
      </c>
      <c r="AN36" s="49">
        <v>0</v>
      </c>
      <c r="AO36" s="49">
        <v>0</v>
      </c>
      <c r="AP36" s="49">
        <v>1</v>
      </c>
      <c r="AQ36" s="49">
        <v>0</v>
      </c>
      <c r="AR36" s="49">
        <v>0</v>
      </c>
      <c r="AS36" s="49">
        <v>0</v>
      </c>
      <c r="AT36" s="119" t="s">
        <v>306</v>
      </c>
      <c r="AU36" s="55">
        <v>0</v>
      </c>
      <c r="AV36" s="55" t="s">
        <v>306</v>
      </c>
      <c r="AW36" s="55">
        <v>0</v>
      </c>
      <c r="AX36" s="55">
        <v>0</v>
      </c>
      <c r="AY36" s="55">
        <v>0</v>
      </c>
      <c r="AZ36" s="55">
        <v>1</v>
      </c>
      <c r="BA36" s="55" t="s">
        <v>306</v>
      </c>
      <c r="BB36" s="55">
        <v>0.5</v>
      </c>
      <c r="BC36" s="55" t="s">
        <v>306</v>
      </c>
      <c r="BD36" s="55">
        <v>1</v>
      </c>
      <c r="BE36" s="55">
        <v>1</v>
      </c>
      <c r="BF36" s="118" t="s">
        <v>328</v>
      </c>
      <c r="BG36" s="49">
        <v>2</v>
      </c>
      <c r="BH36" s="49">
        <v>2</v>
      </c>
      <c r="BI36" s="49">
        <v>1</v>
      </c>
      <c r="BJ36" s="49">
        <v>5</v>
      </c>
      <c r="BK36" s="49">
        <v>6</v>
      </c>
      <c r="BL36" s="49">
        <v>2</v>
      </c>
      <c r="BM36" s="49">
        <v>9</v>
      </c>
      <c r="BN36" s="49">
        <v>16</v>
      </c>
      <c r="BO36" s="49">
        <v>4</v>
      </c>
      <c r="BP36" s="49">
        <v>11</v>
      </c>
      <c r="BQ36" s="120">
        <v>18</v>
      </c>
      <c r="BR36" s="115" t="s">
        <v>328</v>
      </c>
      <c r="BS36" s="115" t="s">
        <v>149</v>
      </c>
      <c r="BT36" s="115" t="s">
        <v>149</v>
      </c>
      <c r="BU36" s="115" t="s">
        <v>149</v>
      </c>
      <c r="BV36" s="115" t="s">
        <v>149</v>
      </c>
      <c r="BW36" s="115" t="s">
        <v>149</v>
      </c>
      <c r="BX36" s="115" t="s">
        <v>62</v>
      </c>
      <c r="BY36" s="115" t="s">
        <v>62</v>
      </c>
      <c r="BZ36" s="115" t="s">
        <v>62</v>
      </c>
      <c r="CA36" s="115" t="s">
        <v>62</v>
      </c>
      <c r="CB36" s="115" t="s">
        <v>62</v>
      </c>
      <c r="CC36" s="115" t="s">
        <v>62</v>
      </c>
      <c r="CD36" s="114" t="s">
        <v>328</v>
      </c>
      <c r="CE36" s="115" t="s">
        <v>53</v>
      </c>
      <c r="CF36" s="115" t="s">
        <v>53</v>
      </c>
      <c r="CG36" s="115" t="s">
        <v>53</v>
      </c>
      <c r="CH36" s="115" t="s">
        <v>53</v>
      </c>
      <c r="CI36" s="115" t="s">
        <v>53</v>
      </c>
      <c r="CJ36" s="115" t="s">
        <v>53</v>
      </c>
      <c r="CK36" s="115" t="s">
        <v>53</v>
      </c>
      <c r="CL36" s="115" t="s">
        <v>152</v>
      </c>
      <c r="CM36" s="115" t="s">
        <v>53</v>
      </c>
      <c r="CN36" s="115" t="s">
        <v>53</v>
      </c>
      <c r="CO36" s="121" t="s">
        <v>53</v>
      </c>
      <c r="CP36" s="115" t="s">
        <v>328</v>
      </c>
      <c r="CQ36" s="115" t="s">
        <v>53</v>
      </c>
      <c r="CR36" s="115" t="s">
        <v>53</v>
      </c>
      <c r="CS36" s="115" t="s">
        <v>53</v>
      </c>
      <c r="CT36" s="115" t="s">
        <v>53</v>
      </c>
      <c r="CU36" s="115" t="s">
        <v>53</v>
      </c>
      <c r="CV36" s="115" t="s">
        <v>53</v>
      </c>
      <c r="CW36" s="115" t="s">
        <v>53</v>
      </c>
      <c r="CX36" s="115" t="s">
        <v>53</v>
      </c>
      <c r="CY36" s="115" t="s">
        <v>53</v>
      </c>
      <c r="CZ36" s="115" t="s">
        <v>53</v>
      </c>
      <c r="DA36" s="115" t="s">
        <v>53</v>
      </c>
      <c r="DB36" s="118" t="s">
        <v>328</v>
      </c>
      <c r="DC36" s="49" t="s">
        <v>328</v>
      </c>
      <c r="DD36" s="49" t="s">
        <v>313</v>
      </c>
      <c r="DE36" s="49" t="s">
        <v>313</v>
      </c>
      <c r="DF36" s="49" t="s">
        <v>313</v>
      </c>
      <c r="DG36" s="49" t="s">
        <v>307</v>
      </c>
      <c r="DH36" s="49" t="s">
        <v>307</v>
      </c>
      <c r="DI36" s="49" t="s">
        <v>53</v>
      </c>
      <c r="DJ36" s="49" t="s">
        <v>307</v>
      </c>
      <c r="DK36" s="49" t="s">
        <v>313</v>
      </c>
      <c r="DL36" s="49" t="s">
        <v>307</v>
      </c>
      <c r="DM36" s="49" t="s">
        <v>53</v>
      </c>
      <c r="DN36" s="49" t="s">
        <v>53</v>
      </c>
      <c r="DO36" s="118" t="s">
        <v>328</v>
      </c>
      <c r="DP36" s="49" t="s">
        <v>328</v>
      </c>
      <c r="DQ36" s="49" t="s">
        <v>58</v>
      </c>
      <c r="DR36" s="49" t="s">
        <v>308</v>
      </c>
      <c r="DS36" s="49" t="s">
        <v>310</v>
      </c>
      <c r="DT36" s="49" t="s">
        <v>310</v>
      </c>
      <c r="DU36" s="49" t="s">
        <v>310</v>
      </c>
      <c r="DV36" s="49" t="s">
        <v>58</v>
      </c>
      <c r="DW36" s="49" t="s">
        <v>58</v>
      </c>
      <c r="DX36" s="49" t="s">
        <v>310</v>
      </c>
      <c r="DY36" s="49" t="s">
        <v>58</v>
      </c>
      <c r="DZ36" s="49" t="s">
        <v>58</v>
      </c>
      <c r="EA36" s="118" t="s">
        <v>62</v>
      </c>
      <c r="EB36" s="49" t="s">
        <v>62</v>
      </c>
      <c r="EC36" s="49" t="s">
        <v>62</v>
      </c>
      <c r="ED36" s="49" t="s">
        <v>62</v>
      </c>
      <c r="EE36" s="49" t="s">
        <v>62</v>
      </c>
      <c r="EF36" s="49" t="s">
        <v>62</v>
      </c>
      <c r="EG36" s="120" t="s">
        <v>62</v>
      </c>
      <c r="EH36" s="117">
        <v>0</v>
      </c>
      <c r="EI36" s="117">
        <v>0</v>
      </c>
      <c r="EJ36" s="55">
        <v>0.04</v>
      </c>
      <c r="EK36" s="55">
        <v>0.02</v>
      </c>
      <c r="EL36" s="55">
        <v>0.02</v>
      </c>
      <c r="EM36" s="55">
        <v>0.02</v>
      </c>
      <c r="EN36" s="55">
        <v>0.02</v>
      </c>
      <c r="EO36" s="122">
        <v>0.02</v>
      </c>
      <c r="EP36" s="117">
        <v>6.53</v>
      </c>
      <c r="EQ36" s="117">
        <v>163.13</v>
      </c>
    </row>
    <row r="37" customFormat="1" ht="22.5" customHeight="1" spans="1:147">
      <c r="A37" s="108">
        <v>12305</v>
      </c>
      <c r="B37" s="109" t="s">
        <v>353</v>
      </c>
      <c r="C37" s="110">
        <v>46097</v>
      </c>
      <c r="D37" s="111">
        <f>IF(_xlfn.XLOOKUP(A37,[1]分配表!J:J,[1]分配表!M:M)=0,"未出单",_xlfn.XLOOKUP(A37,[1]分配表!J:J,[1]分配表!M:M))</f>
        <v>46100</v>
      </c>
      <c r="E37" s="112" t="str">
        <f>_xlfn.XLOOKUP(A37,[1]分配表!A:A,[1]分配表!C:C)</f>
        <v>俞东旭</v>
      </c>
      <c r="F37" s="112" t="str">
        <f>IF(_xlfn.XLOOKUP($A37,[1]分配表!$A:$A,[1]分配表!D:D)=0,"未分类",_xlfn.XLOOKUP($A37,[1]分配表!$A:$A,[1]分配表!D:D))</f>
        <v>车门系统</v>
      </c>
      <c r="G37" s="112" t="str">
        <f>_xlfn.XLOOKUP(A37,[1]分配表!J:J,[1]分配表!I:I)</f>
        <v>原开品</v>
      </c>
      <c r="H37" s="49">
        <v>0</v>
      </c>
      <c r="I37" s="49">
        <v>0</v>
      </c>
      <c r="J37" s="49">
        <v>5</v>
      </c>
      <c r="K37" s="49">
        <v>2</v>
      </c>
      <c r="L37" s="49">
        <v>3</v>
      </c>
      <c r="M37" s="49">
        <v>3</v>
      </c>
      <c r="N37" s="49">
        <v>3</v>
      </c>
      <c r="O37" s="49">
        <v>1</v>
      </c>
      <c r="P37" s="49">
        <v>3</v>
      </c>
      <c r="Q37" s="49">
        <v>0</v>
      </c>
      <c r="R37" s="49">
        <v>0</v>
      </c>
      <c r="S37" s="49">
        <v>0</v>
      </c>
      <c r="T37" s="113">
        <f t="shared" si="0"/>
        <v>0</v>
      </c>
      <c r="U37" s="114">
        <v>0</v>
      </c>
      <c r="V37" s="115">
        <v>0</v>
      </c>
      <c r="W37" s="115">
        <v>2750</v>
      </c>
      <c r="X37" s="115">
        <v>1100</v>
      </c>
      <c r="Y37" s="115">
        <v>1755</v>
      </c>
      <c r="Z37" s="115">
        <v>1755</v>
      </c>
      <c r="AA37" s="115">
        <v>1760</v>
      </c>
      <c r="AB37" s="116">
        <v>590</v>
      </c>
      <c r="AC37" s="117">
        <v>1770</v>
      </c>
      <c r="AD37" s="117">
        <v>0</v>
      </c>
      <c r="AE37" s="117">
        <v>0</v>
      </c>
      <c r="AF37" s="117">
        <v>0</v>
      </c>
      <c r="AG37" s="115">
        <f t="shared" si="1"/>
        <v>0</v>
      </c>
      <c r="AH37" s="118">
        <v>0</v>
      </c>
      <c r="AI37" s="49">
        <v>0</v>
      </c>
      <c r="AJ37" s="49">
        <v>1</v>
      </c>
      <c r="AK37" s="49">
        <v>0</v>
      </c>
      <c r="AL37" s="49">
        <v>0</v>
      </c>
      <c r="AM37" s="49">
        <v>0</v>
      </c>
      <c r="AN37" s="49">
        <v>1</v>
      </c>
      <c r="AO37" s="49">
        <v>2</v>
      </c>
      <c r="AP37" s="49">
        <v>3</v>
      </c>
      <c r="AQ37" s="49">
        <v>1</v>
      </c>
      <c r="AR37" s="49">
        <v>4</v>
      </c>
      <c r="AS37" s="49">
        <v>4</v>
      </c>
      <c r="AT37" s="119" t="s">
        <v>306</v>
      </c>
      <c r="AU37" s="55" t="s">
        <v>306</v>
      </c>
      <c r="AV37" s="55">
        <v>0.833333333333333</v>
      </c>
      <c r="AW37" s="55">
        <v>1</v>
      </c>
      <c r="AX37" s="55">
        <v>1</v>
      </c>
      <c r="AY37" s="55">
        <v>1</v>
      </c>
      <c r="AZ37" s="55">
        <v>0.8</v>
      </c>
      <c r="BA37" s="55">
        <v>0.5</v>
      </c>
      <c r="BB37" s="55">
        <v>0.4</v>
      </c>
      <c r="BC37" s="55">
        <v>0.5</v>
      </c>
      <c r="BD37" s="55">
        <v>0</v>
      </c>
      <c r="BE37" s="55">
        <v>0</v>
      </c>
      <c r="BF37" s="118" t="s">
        <v>328</v>
      </c>
      <c r="BG37" s="49">
        <v>1</v>
      </c>
      <c r="BH37" s="49">
        <v>8</v>
      </c>
      <c r="BI37" s="49">
        <v>7</v>
      </c>
      <c r="BJ37" s="49">
        <v>13</v>
      </c>
      <c r="BK37" s="49">
        <v>1</v>
      </c>
      <c r="BL37" s="49">
        <v>1</v>
      </c>
      <c r="BM37" s="49">
        <v>8</v>
      </c>
      <c r="BN37" s="49">
        <v>0</v>
      </c>
      <c r="BO37" s="49">
        <v>7</v>
      </c>
      <c r="BP37" s="49">
        <v>14</v>
      </c>
      <c r="BQ37" s="120" t="e">
        <v>#N/A</v>
      </c>
      <c r="BR37" s="115" t="s">
        <v>328</v>
      </c>
      <c r="BS37" s="115" t="s">
        <v>149</v>
      </c>
      <c r="BT37" s="115" t="s">
        <v>49</v>
      </c>
      <c r="BU37" s="115" t="s">
        <v>49</v>
      </c>
      <c r="BV37" s="115" t="s">
        <v>49</v>
      </c>
      <c r="BW37" s="115" t="s">
        <v>49</v>
      </c>
      <c r="BX37" s="115" t="s">
        <v>49</v>
      </c>
      <c r="BY37" s="115" t="s">
        <v>49</v>
      </c>
      <c r="BZ37" s="115" t="s">
        <v>49</v>
      </c>
      <c r="CA37" s="115" t="s">
        <v>49</v>
      </c>
      <c r="CB37" s="115" t="s">
        <v>49</v>
      </c>
      <c r="CC37" s="115" t="s">
        <v>316</v>
      </c>
      <c r="CD37" s="114" t="s">
        <v>328</v>
      </c>
      <c r="CE37" s="115" t="s">
        <v>53</v>
      </c>
      <c r="CF37" s="115" t="s">
        <v>152</v>
      </c>
      <c r="CG37" s="115" t="s">
        <v>53</v>
      </c>
      <c r="CH37" s="115" t="s">
        <v>152</v>
      </c>
      <c r="CI37" s="115" t="s">
        <v>53</v>
      </c>
      <c r="CJ37" s="115" t="s">
        <v>53</v>
      </c>
      <c r="CK37" s="115" t="s">
        <v>152</v>
      </c>
      <c r="CL37" s="115" t="s">
        <v>53</v>
      </c>
      <c r="CM37" s="115" t="s">
        <v>152</v>
      </c>
      <c r="CN37" s="115" t="s">
        <v>152</v>
      </c>
      <c r="CO37" s="115" t="s">
        <v>316</v>
      </c>
      <c r="CP37" s="115" t="s">
        <v>328</v>
      </c>
      <c r="CQ37" s="115" t="s">
        <v>53</v>
      </c>
      <c r="CR37" s="115" t="s">
        <v>53</v>
      </c>
      <c r="CS37" s="115" t="s">
        <v>53</v>
      </c>
      <c r="CT37" s="115" t="s">
        <v>53</v>
      </c>
      <c r="CU37" s="115" t="s">
        <v>53</v>
      </c>
      <c r="CV37" s="115" t="s">
        <v>53</v>
      </c>
      <c r="CW37" s="115" t="s">
        <v>53</v>
      </c>
      <c r="CX37" s="115" t="s">
        <v>53</v>
      </c>
      <c r="CY37" s="115" t="s">
        <v>53</v>
      </c>
      <c r="CZ37" s="115" t="s">
        <v>53</v>
      </c>
      <c r="DA37" s="115" t="s">
        <v>316</v>
      </c>
      <c r="DB37" s="118" t="s">
        <v>328</v>
      </c>
      <c r="DC37" s="49" t="s">
        <v>328</v>
      </c>
      <c r="DD37" s="49" t="s">
        <v>307</v>
      </c>
      <c r="DE37" s="49" t="s">
        <v>313</v>
      </c>
      <c r="DF37" s="49" t="s">
        <v>53</v>
      </c>
      <c r="DG37" s="49" t="s">
        <v>53</v>
      </c>
      <c r="DH37" s="49" t="s">
        <v>53</v>
      </c>
      <c r="DI37" s="49" t="s">
        <v>53</v>
      </c>
      <c r="DJ37" s="49" t="s">
        <v>313</v>
      </c>
      <c r="DK37" s="49" t="s">
        <v>313</v>
      </c>
      <c r="DL37" s="49" t="s">
        <v>313</v>
      </c>
      <c r="DM37" s="49" t="s">
        <v>313</v>
      </c>
      <c r="DN37" s="115" t="s">
        <v>316</v>
      </c>
      <c r="DO37" s="118"/>
      <c r="DP37" s="49"/>
      <c r="DQ37" s="49" t="s">
        <v>58</v>
      </c>
      <c r="DR37" s="49" t="s">
        <v>58</v>
      </c>
      <c r="DS37" s="49" t="s">
        <v>58</v>
      </c>
      <c r="DT37" s="49" t="s">
        <v>310</v>
      </c>
      <c r="DU37" s="49" t="s">
        <v>58</v>
      </c>
      <c r="DV37" s="49" t="s">
        <v>58</v>
      </c>
      <c r="DW37" s="49" t="s">
        <v>310</v>
      </c>
      <c r="DX37" s="49" t="s">
        <v>58</v>
      </c>
      <c r="DY37" s="49" t="s">
        <v>316</v>
      </c>
      <c r="DZ37" s="49" t="s">
        <v>310</v>
      </c>
      <c r="EA37" s="118" t="s">
        <v>49</v>
      </c>
      <c r="EB37" s="49" t="s">
        <v>62</v>
      </c>
      <c r="EC37" s="49" t="s">
        <v>49</v>
      </c>
      <c r="ED37" s="49" t="s">
        <v>62</v>
      </c>
      <c r="EE37" s="49" t="s">
        <v>62</v>
      </c>
      <c r="EF37" s="49" t="s">
        <v>62</v>
      </c>
      <c r="EG37" s="120" t="s">
        <v>49</v>
      </c>
      <c r="EH37" s="117">
        <v>0</v>
      </c>
      <c r="EI37" s="117">
        <v>0</v>
      </c>
      <c r="EJ37" s="55">
        <v>0.02</v>
      </c>
      <c r="EK37" s="55">
        <v>0.02</v>
      </c>
      <c r="EL37" s="55">
        <v>0.02</v>
      </c>
      <c r="EM37" s="55">
        <v>0.02</v>
      </c>
      <c r="EN37" s="55">
        <v>0.02</v>
      </c>
      <c r="EO37" s="122">
        <v>0.02</v>
      </c>
      <c r="EP37" s="117">
        <v>0</v>
      </c>
      <c r="EQ37" s="117">
        <v>0</v>
      </c>
    </row>
    <row r="38" customFormat="1" ht="22.5" customHeight="1" spans="1:147">
      <c r="A38" s="108">
        <v>12321</v>
      </c>
      <c r="B38" s="109" t="s">
        <v>354</v>
      </c>
      <c r="C38" s="110">
        <v>46097</v>
      </c>
      <c r="D38" s="111">
        <f>IF(_xlfn.XLOOKUP(A38,[1]分配表!J:J,[1]分配表!M:M)=0,"未出单",_xlfn.XLOOKUP(A38,[1]分配表!J:J,[1]分配表!M:M))</f>
        <v>46120</v>
      </c>
      <c r="E38" s="112" t="str">
        <f>_xlfn.XLOOKUP(A38,[1]分配表!A:A,[1]分配表!C:C)</f>
        <v>俞东旭</v>
      </c>
      <c r="F38" s="112" t="str">
        <f>IF(_xlfn.XLOOKUP($A38,[1]分配表!$A:$A,[1]分配表!D:D)=0,"未分类",_xlfn.XLOOKUP($A38,[1]分配表!$A:$A,[1]分配表!D:D))</f>
        <v>车门系统</v>
      </c>
      <c r="G38" s="112" t="str">
        <f>_xlfn.XLOOKUP(A38,[1]分配表!J:J,[1]分配表!I:I)</f>
        <v>原开品</v>
      </c>
      <c r="H38" s="49">
        <v>0</v>
      </c>
      <c r="I38" s="49">
        <v>0</v>
      </c>
      <c r="J38" s="49">
        <v>0</v>
      </c>
      <c r="K38" s="49">
        <v>0</v>
      </c>
      <c r="L38" s="49">
        <v>1</v>
      </c>
      <c r="M38" s="49">
        <v>1</v>
      </c>
      <c r="N38" s="49">
        <v>5</v>
      </c>
      <c r="O38" s="49">
        <v>3</v>
      </c>
      <c r="P38" s="49">
        <v>4</v>
      </c>
      <c r="Q38" s="49">
        <v>6</v>
      </c>
      <c r="R38" s="49">
        <v>2</v>
      </c>
      <c r="S38" s="49">
        <v>8</v>
      </c>
      <c r="T38" s="113">
        <f t="shared" si="0"/>
        <v>6</v>
      </c>
      <c r="U38" s="114">
        <v>0</v>
      </c>
      <c r="V38" s="115">
        <v>0</v>
      </c>
      <c r="W38" s="115">
        <v>0</v>
      </c>
      <c r="X38" s="115">
        <v>0</v>
      </c>
      <c r="Y38" s="115">
        <v>35.9</v>
      </c>
      <c r="Z38" s="115">
        <v>35.9</v>
      </c>
      <c r="AA38" s="115">
        <v>179.5</v>
      </c>
      <c r="AB38" s="116">
        <v>107.7</v>
      </c>
      <c r="AC38" s="117">
        <v>143.6</v>
      </c>
      <c r="AD38" s="117">
        <v>215.4</v>
      </c>
      <c r="AE38" s="117">
        <v>71.8</v>
      </c>
      <c r="AF38" s="117">
        <v>287.2</v>
      </c>
      <c r="AG38" s="115">
        <f t="shared" si="1"/>
        <v>215.4</v>
      </c>
      <c r="AH38" s="118">
        <v>0</v>
      </c>
      <c r="AI38" s="49">
        <v>1</v>
      </c>
      <c r="AJ38" s="49">
        <v>4</v>
      </c>
      <c r="AK38" s="49">
        <v>10</v>
      </c>
      <c r="AL38" s="49">
        <v>7</v>
      </c>
      <c r="AM38" s="49">
        <v>10</v>
      </c>
      <c r="AN38" s="49">
        <v>6</v>
      </c>
      <c r="AO38" s="49">
        <v>2</v>
      </c>
      <c r="AP38" s="49">
        <v>3</v>
      </c>
      <c r="AQ38" s="49">
        <v>3</v>
      </c>
      <c r="AR38" s="49">
        <v>5</v>
      </c>
      <c r="AS38" s="49">
        <v>7</v>
      </c>
      <c r="AT38" s="119" t="s">
        <v>306</v>
      </c>
      <c r="AU38" s="55">
        <v>0</v>
      </c>
      <c r="AV38" s="55">
        <v>0</v>
      </c>
      <c r="AW38" s="55">
        <v>0</v>
      </c>
      <c r="AX38" s="55">
        <v>0.125</v>
      </c>
      <c r="AY38" s="55">
        <v>0.0909090909090909</v>
      </c>
      <c r="AZ38" s="55">
        <v>0.5</v>
      </c>
      <c r="BA38" s="55">
        <v>0.5</v>
      </c>
      <c r="BB38" s="55">
        <v>0.5</v>
      </c>
      <c r="BC38" s="55">
        <v>0.6667</v>
      </c>
      <c r="BD38" s="55">
        <v>0.4444</v>
      </c>
      <c r="BE38" s="55">
        <v>0.4615</v>
      </c>
      <c r="BF38" s="118" t="s">
        <v>328</v>
      </c>
      <c r="BG38" s="49">
        <v>1</v>
      </c>
      <c r="BH38" s="49">
        <v>8</v>
      </c>
      <c r="BI38" s="49">
        <v>1</v>
      </c>
      <c r="BJ38" s="49">
        <v>1</v>
      </c>
      <c r="BK38" s="49">
        <v>2</v>
      </c>
      <c r="BL38" s="49">
        <v>2</v>
      </c>
      <c r="BM38" s="49">
        <v>1</v>
      </c>
      <c r="BN38" s="49">
        <v>1</v>
      </c>
      <c r="BO38" s="49">
        <v>2</v>
      </c>
      <c r="BP38" s="49">
        <v>9</v>
      </c>
      <c r="BQ38" s="120">
        <v>16</v>
      </c>
      <c r="BR38" s="115" t="s">
        <v>328</v>
      </c>
      <c r="BS38" s="115" t="s">
        <v>149</v>
      </c>
      <c r="BT38" s="115" t="s">
        <v>149</v>
      </c>
      <c r="BU38" s="115" t="s">
        <v>149</v>
      </c>
      <c r="BV38" s="115" t="s">
        <v>149</v>
      </c>
      <c r="BW38" s="115" t="s">
        <v>62</v>
      </c>
      <c r="BX38" s="115" t="s">
        <v>62</v>
      </c>
      <c r="BY38" s="115" t="s">
        <v>62</v>
      </c>
      <c r="BZ38" s="115" t="s">
        <v>62</v>
      </c>
      <c r="CA38" s="115" t="s">
        <v>62</v>
      </c>
      <c r="CB38" s="115" t="s">
        <v>62</v>
      </c>
      <c r="CC38" s="115" t="s">
        <v>62</v>
      </c>
      <c r="CD38" s="114" t="s">
        <v>328</v>
      </c>
      <c r="CE38" s="115" t="s">
        <v>53</v>
      </c>
      <c r="CF38" s="115" t="s">
        <v>152</v>
      </c>
      <c r="CG38" s="115" t="s">
        <v>53</v>
      </c>
      <c r="CH38" s="115" t="s">
        <v>53</v>
      </c>
      <c r="CI38" s="115" t="s">
        <v>53</v>
      </c>
      <c r="CJ38" s="115" t="s">
        <v>53</v>
      </c>
      <c r="CK38" s="115" t="s">
        <v>53</v>
      </c>
      <c r="CL38" s="115" t="s">
        <v>53</v>
      </c>
      <c r="CM38" s="115" t="s">
        <v>53</v>
      </c>
      <c r="CN38" s="115" t="s">
        <v>152</v>
      </c>
      <c r="CO38" s="121" t="s">
        <v>152</v>
      </c>
      <c r="CP38" s="115" t="s">
        <v>328</v>
      </c>
      <c r="CQ38" s="115" t="s">
        <v>53</v>
      </c>
      <c r="CR38" s="115" t="s">
        <v>53</v>
      </c>
      <c r="CS38" s="115" t="s">
        <v>53</v>
      </c>
      <c r="CT38" s="115" t="s">
        <v>53</v>
      </c>
      <c r="CU38" s="115" t="s">
        <v>53</v>
      </c>
      <c r="CV38" s="115" t="s">
        <v>53</v>
      </c>
      <c r="CW38" s="115" t="s">
        <v>53</v>
      </c>
      <c r="CX38" s="115" t="s">
        <v>53</v>
      </c>
      <c r="CY38" s="115" t="s">
        <v>53</v>
      </c>
      <c r="CZ38" s="115" t="s">
        <v>53</v>
      </c>
      <c r="DA38" s="115" t="s">
        <v>53</v>
      </c>
      <c r="DB38" s="118" t="s">
        <v>328</v>
      </c>
      <c r="DC38" s="49" t="s">
        <v>328</v>
      </c>
      <c r="DD38" s="49" t="s">
        <v>320</v>
      </c>
      <c r="DE38" s="49" t="s">
        <v>313</v>
      </c>
      <c r="DF38" s="49" t="s">
        <v>313</v>
      </c>
      <c r="DG38" s="49" t="s">
        <v>313</v>
      </c>
      <c r="DH38" s="49" t="s">
        <v>313</v>
      </c>
      <c r="DI38" s="49" t="s">
        <v>313</v>
      </c>
      <c r="DJ38" s="49" t="s">
        <v>313</v>
      </c>
      <c r="DK38" s="49" t="s">
        <v>313</v>
      </c>
      <c r="DL38" s="49" t="s">
        <v>313</v>
      </c>
      <c r="DM38" s="49" t="s">
        <v>313</v>
      </c>
      <c r="DN38" s="49" t="s">
        <v>313</v>
      </c>
      <c r="DO38" s="118" t="s">
        <v>328</v>
      </c>
      <c r="DP38" s="49" t="s">
        <v>328</v>
      </c>
      <c r="DQ38" s="49" t="s">
        <v>58</v>
      </c>
      <c r="DR38" s="49" t="s">
        <v>314</v>
      </c>
      <c r="DS38" s="49" t="s">
        <v>58</v>
      </c>
      <c r="DT38" s="49" t="s">
        <v>315</v>
      </c>
      <c r="DU38" s="49" t="s">
        <v>58</v>
      </c>
      <c r="DV38" s="49" t="s">
        <v>58</v>
      </c>
      <c r="DW38" s="49" t="s">
        <v>58</v>
      </c>
      <c r="DX38" s="49" t="s">
        <v>58</v>
      </c>
      <c r="DY38" s="49" t="s">
        <v>58</v>
      </c>
      <c r="DZ38" s="49" t="s">
        <v>310</v>
      </c>
      <c r="EA38" s="118" t="s">
        <v>62</v>
      </c>
      <c r="EB38" s="49" t="s">
        <v>62</v>
      </c>
      <c r="EC38" s="49" t="s">
        <v>62</v>
      </c>
      <c r="ED38" s="49" t="s">
        <v>62</v>
      </c>
      <c r="EE38" s="49" t="s">
        <v>62</v>
      </c>
      <c r="EF38" s="49" t="s">
        <v>62</v>
      </c>
      <c r="EG38" s="120" t="s">
        <v>62</v>
      </c>
      <c r="EH38" s="117">
        <v>0</v>
      </c>
      <c r="EI38" s="117">
        <v>0</v>
      </c>
      <c r="EJ38" s="55">
        <v>0.04</v>
      </c>
      <c r="EK38" s="55">
        <v>0.04</v>
      </c>
      <c r="EL38" s="55">
        <v>0.04</v>
      </c>
      <c r="EM38" s="55">
        <v>0.04</v>
      </c>
      <c r="EN38" s="55">
        <v>0.04</v>
      </c>
      <c r="EO38" s="122">
        <v>0.04</v>
      </c>
      <c r="EP38" s="117">
        <v>6.17</v>
      </c>
      <c r="EQ38" s="117">
        <v>154.36</v>
      </c>
    </row>
    <row r="39" customFormat="1" ht="22.5" customHeight="1" spans="1:147">
      <c r="A39" s="108">
        <v>12272</v>
      </c>
      <c r="B39" s="109" t="s">
        <v>355</v>
      </c>
      <c r="C39" s="110">
        <v>46097</v>
      </c>
      <c r="D39" s="111">
        <f>IF(_xlfn.XLOOKUP(A39,[1]分配表!J:J,[1]分配表!M:M)=0,"未出单",_xlfn.XLOOKUP(A39,[1]分配表!J:J,[1]分配表!M:M))</f>
        <v>46099</v>
      </c>
      <c r="E39" s="112" t="str">
        <f>_xlfn.XLOOKUP(A39,[1]分配表!A:A,[1]分配表!C:C)</f>
        <v>胡煜星</v>
      </c>
      <c r="F39" s="112" t="str">
        <f>IF(_xlfn.XLOOKUP($A39,[1]分配表!$A:$A,[1]分配表!D:D)=0,"未分类",_xlfn.XLOOKUP($A39,[1]分配表!$A:$A,[1]分配表!D:D))</f>
        <v>车门系统</v>
      </c>
      <c r="G39" s="112" t="str">
        <f>_xlfn.XLOOKUP(A39,[1]分配表!J:J,[1]分配表!I:I)</f>
        <v>原开品</v>
      </c>
      <c r="H39" s="49">
        <v>0</v>
      </c>
      <c r="I39" s="49">
        <v>1</v>
      </c>
      <c r="J39" s="49">
        <v>1</v>
      </c>
      <c r="K39" s="49">
        <v>6</v>
      </c>
      <c r="L39" s="49">
        <v>5</v>
      </c>
      <c r="M39" s="49">
        <v>4</v>
      </c>
      <c r="N39" s="49">
        <v>3</v>
      </c>
      <c r="O39" s="49">
        <v>9</v>
      </c>
      <c r="P39" s="49">
        <v>5</v>
      </c>
      <c r="Q39" s="49">
        <v>3</v>
      </c>
      <c r="R39" s="49">
        <v>14</v>
      </c>
      <c r="S39" s="49">
        <v>2</v>
      </c>
      <c r="T39" s="113">
        <f t="shared" si="0"/>
        <v>-12</v>
      </c>
      <c r="U39" s="114">
        <v>0</v>
      </c>
      <c r="V39" s="115">
        <v>68</v>
      </c>
      <c r="W39" s="115">
        <v>68</v>
      </c>
      <c r="X39" s="115">
        <v>408</v>
      </c>
      <c r="Y39" s="115">
        <v>336.6</v>
      </c>
      <c r="Z39" s="115">
        <v>272</v>
      </c>
      <c r="AA39" s="115">
        <v>204</v>
      </c>
      <c r="AB39" s="116">
        <v>608.6</v>
      </c>
      <c r="AC39" s="117">
        <v>340</v>
      </c>
      <c r="AD39" s="117">
        <v>204</v>
      </c>
      <c r="AE39" s="117">
        <v>1015</v>
      </c>
      <c r="AF39" s="117">
        <v>145</v>
      </c>
      <c r="AG39" s="115">
        <f t="shared" si="1"/>
        <v>-870</v>
      </c>
      <c r="AH39" s="118">
        <v>0</v>
      </c>
      <c r="AI39" s="49">
        <v>0</v>
      </c>
      <c r="AJ39" s="49">
        <v>0</v>
      </c>
      <c r="AK39" s="49">
        <v>0</v>
      </c>
      <c r="AL39" s="49">
        <v>0</v>
      </c>
      <c r="AM39" s="49">
        <v>0</v>
      </c>
      <c r="AN39" s="49">
        <v>0</v>
      </c>
      <c r="AO39" s="49">
        <v>0</v>
      </c>
      <c r="AP39" s="49">
        <v>0</v>
      </c>
      <c r="AQ39" s="49">
        <v>0</v>
      </c>
      <c r="AR39" s="49">
        <v>0</v>
      </c>
      <c r="AS39" s="49">
        <v>0</v>
      </c>
      <c r="AT39" s="119" t="s">
        <v>306</v>
      </c>
      <c r="AU39" s="55" t="s">
        <v>306</v>
      </c>
      <c r="AV39" s="55">
        <v>1</v>
      </c>
      <c r="AW39" s="55">
        <v>1</v>
      </c>
      <c r="AX39" s="55">
        <v>1</v>
      </c>
      <c r="AY39" s="55">
        <v>1</v>
      </c>
      <c r="AZ39" s="55">
        <v>1</v>
      </c>
      <c r="BA39" s="55">
        <v>1</v>
      </c>
      <c r="BB39" s="55">
        <v>1</v>
      </c>
      <c r="BC39" s="55">
        <v>1</v>
      </c>
      <c r="BD39" s="55">
        <v>1</v>
      </c>
      <c r="BE39" s="55">
        <v>1</v>
      </c>
      <c r="BF39" s="118" t="s">
        <v>328</v>
      </c>
      <c r="BG39" s="49">
        <v>1</v>
      </c>
      <c r="BH39" s="49">
        <v>8</v>
      </c>
      <c r="BI39" s="49">
        <v>1</v>
      </c>
      <c r="BJ39" s="49">
        <v>7</v>
      </c>
      <c r="BK39" s="49">
        <v>1</v>
      </c>
      <c r="BL39" s="49">
        <v>7</v>
      </c>
      <c r="BM39" s="49">
        <v>14</v>
      </c>
      <c r="BN39" s="49">
        <v>21</v>
      </c>
      <c r="BO39" s="49">
        <v>0</v>
      </c>
      <c r="BP39" s="49">
        <v>7</v>
      </c>
      <c r="BQ39" s="120">
        <v>4</v>
      </c>
      <c r="BR39" s="115" t="s">
        <v>328</v>
      </c>
      <c r="BS39" s="115" t="s">
        <v>49</v>
      </c>
      <c r="BT39" s="115" t="s">
        <v>49</v>
      </c>
      <c r="BU39" s="115" t="s">
        <v>49</v>
      </c>
      <c r="BV39" s="115" t="s">
        <v>49</v>
      </c>
      <c r="BW39" s="115" t="s">
        <v>49</v>
      </c>
      <c r="BX39" s="115" t="s">
        <v>49</v>
      </c>
      <c r="BY39" s="115" t="s">
        <v>49</v>
      </c>
      <c r="BZ39" s="115" t="s">
        <v>49</v>
      </c>
      <c r="CA39" s="115" t="s">
        <v>49</v>
      </c>
      <c r="CB39" s="115" t="s">
        <v>49</v>
      </c>
      <c r="CC39" s="115" t="s">
        <v>49</v>
      </c>
      <c r="CD39" s="114" t="s">
        <v>328</v>
      </c>
      <c r="CE39" s="115" t="s">
        <v>53</v>
      </c>
      <c r="CF39" s="115" t="s">
        <v>152</v>
      </c>
      <c r="CG39" s="115" t="s">
        <v>53</v>
      </c>
      <c r="CH39" s="115" t="s">
        <v>53</v>
      </c>
      <c r="CI39" s="115" t="s">
        <v>53</v>
      </c>
      <c r="CJ39" s="115" t="s">
        <v>53</v>
      </c>
      <c r="CK39" s="115" t="s">
        <v>53</v>
      </c>
      <c r="CL39" s="115" t="s">
        <v>53</v>
      </c>
      <c r="CM39" s="115" t="s">
        <v>53</v>
      </c>
      <c r="CN39" s="115" t="s">
        <v>53</v>
      </c>
      <c r="CO39" s="121" t="s">
        <v>53</v>
      </c>
      <c r="CP39" s="115" t="s">
        <v>328</v>
      </c>
      <c r="CQ39" s="115" t="s">
        <v>53</v>
      </c>
      <c r="CR39" s="115" t="s">
        <v>53</v>
      </c>
      <c r="CS39" s="115" t="s">
        <v>53</v>
      </c>
      <c r="CT39" s="115" t="s">
        <v>53</v>
      </c>
      <c r="CU39" s="115" t="s">
        <v>53</v>
      </c>
      <c r="CV39" s="115" t="s">
        <v>53</v>
      </c>
      <c r="CW39" s="115" t="s">
        <v>53</v>
      </c>
      <c r="CX39" s="115" t="s">
        <v>53</v>
      </c>
      <c r="CY39" s="115" t="s">
        <v>53</v>
      </c>
      <c r="CZ39" s="115" t="s">
        <v>53</v>
      </c>
      <c r="DA39" s="115" t="s">
        <v>53</v>
      </c>
      <c r="DB39" s="118" t="s">
        <v>328</v>
      </c>
      <c r="DC39" s="49" t="s">
        <v>328</v>
      </c>
      <c r="DD39" s="49" t="s">
        <v>307</v>
      </c>
      <c r="DE39" s="49" t="s">
        <v>53</v>
      </c>
      <c r="DF39" s="49" t="s">
        <v>53</v>
      </c>
      <c r="DG39" s="49" t="s">
        <v>53</v>
      </c>
      <c r="DH39" s="49" t="s">
        <v>53</v>
      </c>
      <c r="DI39" s="49" t="s">
        <v>53</v>
      </c>
      <c r="DJ39" s="49" t="s">
        <v>53</v>
      </c>
      <c r="DK39" s="49" t="s">
        <v>53</v>
      </c>
      <c r="DL39" s="49" t="s">
        <v>53</v>
      </c>
      <c r="DM39" s="49" t="s">
        <v>53</v>
      </c>
      <c r="DN39" s="49" t="s">
        <v>53</v>
      </c>
      <c r="DO39" s="118"/>
      <c r="DP39" s="49"/>
      <c r="DQ39" s="49" t="s">
        <v>58</v>
      </c>
      <c r="DR39" s="49" t="s">
        <v>58</v>
      </c>
      <c r="DS39" s="49" t="s">
        <v>58</v>
      </c>
      <c r="DT39" s="49" t="s">
        <v>58</v>
      </c>
      <c r="DU39" s="49" t="s">
        <v>58</v>
      </c>
      <c r="DV39" s="49" t="s">
        <v>58</v>
      </c>
      <c r="DW39" s="49" t="s">
        <v>58</v>
      </c>
      <c r="DX39" s="49" t="s">
        <v>58</v>
      </c>
      <c r="DY39" s="49" t="s">
        <v>58</v>
      </c>
      <c r="DZ39" s="49" t="s">
        <v>58</v>
      </c>
      <c r="EA39" s="118" t="s">
        <v>62</v>
      </c>
      <c r="EB39" s="49" t="s">
        <v>62</v>
      </c>
      <c r="EC39" s="49" t="s">
        <v>62</v>
      </c>
      <c r="ED39" s="49" t="s">
        <v>62</v>
      </c>
      <c r="EE39" s="49" t="s">
        <v>62</v>
      </c>
      <c r="EF39" s="49" t="s">
        <v>62</v>
      </c>
      <c r="EG39" s="120" t="s">
        <v>62</v>
      </c>
      <c r="EH39" s="117">
        <v>0</v>
      </c>
      <c r="EI39" s="117">
        <v>0</v>
      </c>
      <c r="EJ39" s="55">
        <v>0.03</v>
      </c>
      <c r="EK39" s="55">
        <v>0</v>
      </c>
      <c r="EL39" s="55">
        <v>0</v>
      </c>
      <c r="EM39" s="55">
        <v>0</v>
      </c>
      <c r="EN39" s="55">
        <v>0</v>
      </c>
      <c r="EO39" s="122">
        <v>0</v>
      </c>
      <c r="EP39" s="117">
        <v>6.26</v>
      </c>
      <c r="EQ39" s="117">
        <v>313.34</v>
      </c>
    </row>
    <row r="40" customFormat="1" ht="22.5" customHeight="1" spans="1:147">
      <c r="A40" s="108">
        <v>12292</v>
      </c>
      <c r="B40" s="109" t="s">
        <v>356</v>
      </c>
      <c r="C40" s="110">
        <v>46097</v>
      </c>
      <c r="D40" s="111">
        <f>IF(_xlfn.XLOOKUP(A40,[1]分配表!J:J,[1]分配表!M:M)=0,"未出单",_xlfn.XLOOKUP(A40,[1]分配表!J:J,[1]分配表!M:M))</f>
        <v>46100</v>
      </c>
      <c r="E40" s="112" t="str">
        <f>_xlfn.XLOOKUP(A40,[1]分配表!A:A,[1]分配表!C:C)</f>
        <v>朱培源</v>
      </c>
      <c r="F40" s="112" t="str">
        <f>IF(_xlfn.XLOOKUP($A40,[1]分配表!$A:$A,[1]分配表!D:D)=0,"未分类",_xlfn.XLOOKUP($A40,[1]分配表!$A:$A,[1]分配表!D:D))</f>
        <v>挡泥板</v>
      </c>
      <c r="G40" s="112" t="str">
        <f>_xlfn.XLOOKUP(A40,[1]分配表!J:J,[1]分配表!I:I)</f>
        <v>原开品</v>
      </c>
      <c r="H40" s="49">
        <v>0</v>
      </c>
      <c r="I40" s="49">
        <v>0</v>
      </c>
      <c r="J40" s="49">
        <v>1</v>
      </c>
      <c r="K40" s="49">
        <v>3</v>
      </c>
      <c r="L40" s="49">
        <v>3</v>
      </c>
      <c r="M40" s="49">
        <v>1</v>
      </c>
      <c r="N40" s="49">
        <v>0</v>
      </c>
      <c r="O40" s="49">
        <v>0</v>
      </c>
      <c r="P40" s="49">
        <v>1</v>
      </c>
      <c r="Q40" s="49">
        <v>1</v>
      </c>
      <c r="R40" s="49">
        <v>0</v>
      </c>
      <c r="S40" s="49">
        <v>1</v>
      </c>
      <c r="T40" s="113">
        <f t="shared" si="0"/>
        <v>1</v>
      </c>
      <c r="U40" s="114">
        <v>0</v>
      </c>
      <c r="V40" s="115">
        <v>0</v>
      </c>
      <c r="W40" s="115">
        <v>95</v>
      </c>
      <c r="X40" s="115">
        <v>285</v>
      </c>
      <c r="Y40" s="115">
        <v>267</v>
      </c>
      <c r="Z40" s="115">
        <v>89</v>
      </c>
      <c r="AA40" s="115">
        <v>0</v>
      </c>
      <c r="AB40" s="116">
        <v>0</v>
      </c>
      <c r="AC40" s="117">
        <v>95</v>
      </c>
      <c r="AD40" s="117">
        <v>89</v>
      </c>
      <c r="AE40" s="117">
        <v>0</v>
      </c>
      <c r="AF40" s="117">
        <v>89</v>
      </c>
      <c r="AG40" s="115">
        <f t="shared" si="1"/>
        <v>89</v>
      </c>
      <c r="AH40" s="118">
        <v>0</v>
      </c>
      <c r="AI40" s="49">
        <v>0</v>
      </c>
      <c r="AJ40" s="49">
        <v>0</v>
      </c>
      <c r="AK40" s="49">
        <v>0</v>
      </c>
      <c r="AL40" s="49">
        <v>0</v>
      </c>
      <c r="AM40" s="49">
        <v>0</v>
      </c>
      <c r="AN40" s="49">
        <v>0</v>
      </c>
      <c r="AO40" s="49">
        <v>0</v>
      </c>
      <c r="AP40" s="49">
        <v>0</v>
      </c>
      <c r="AQ40" s="49">
        <v>0</v>
      </c>
      <c r="AR40" s="49">
        <v>0</v>
      </c>
      <c r="AS40" s="49">
        <v>0</v>
      </c>
      <c r="AT40" s="119" t="s">
        <v>306</v>
      </c>
      <c r="AU40" s="55" t="s">
        <v>306</v>
      </c>
      <c r="AV40" s="55">
        <v>1</v>
      </c>
      <c r="AW40" s="55">
        <v>1</v>
      </c>
      <c r="AX40" s="55">
        <v>1</v>
      </c>
      <c r="AY40" s="55">
        <v>1</v>
      </c>
      <c r="AZ40" s="55" t="s">
        <v>306</v>
      </c>
      <c r="BA40" s="55" t="s">
        <v>306</v>
      </c>
      <c r="BB40" s="55">
        <v>1</v>
      </c>
      <c r="BC40" s="55">
        <v>1</v>
      </c>
      <c r="BD40" s="55" t="s">
        <v>306</v>
      </c>
      <c r="BE40" s="55">
        <v>1</v>
      </c>
      <c r="BF40" s="118" t="s">
        <v>328</v>
      </c>
      <c r="BG40" s="49">
        <v>2</v>
      </c>
      <c r="BH40" s="49">
        <v>2</v>
      </c>
      <c r="BI40" s="49">
        <v>1</v>
      </c>
      <c r="BJ40" s="49">
        <v>7</v>
      </c>
      <c r="BK40" s="49">
        <v>15</v>
      </c>
      <c r="BL40" s="49">
        <v>1</v>
      </c>
      <c r="BM40" s="49">
        <v>8</v>
      </c>
      <c r="BN40" s="49">
        <v>13</v>
      </c>
      <c r="BO40" s="49">
        <v>5</v>
      </c>
      <c r="BP40" s="49">
        <v>12</v>
      </c>
      <c r="BQ40" s="120">
        <v>19</v>
      </c>
      <c r="BR40" s="115" t="s">
        <v>328</v>
      </c>
      <c r="BS40" s="115" t="s">
        <v>149</v>
      </c>
      <c r="BT40" s="115" t="s">
        <v>49</v>
      </c>
      <c r="BU40" s="115" t="s">
        <v>49</v>
      </c>
      <c r="BV40" s="115" t="s">
        <v>49</v>
      </c>
      <c r="BW40" s="115" t="s">
        <v>49</v>
      </c>
      <c r="BX40" s="115" t="s">
        <v>49</v>
      </c>
      <c r="BY40" s="115" t="s">
        <v>49</v>
      </c>
      <c r="BZ40" s="115" t="s">
        <v>49</v>
      </c>
      <c r="CA40" s="115" t="s">
        <v>49</v>
      </c>
      <c r="CB40" s="115" t="s">
        <v>49</v>
      </c>
      <c r="CC40" s="115" t="s">
        <v>49</v>
      </c>
      <c r="CD40" s="114" t="s">
        <v>328</v>
      </c>
      <c r="CE40" s="115" t="s">
        <v>53</v>
      </c>
      <c r="CF40" s="115" t="s">
        <v>53</v>
      </c>
      <c r="CG40" s="115" t="s">
        <v>53</v>
      </c>
      <c r="CH40" s="115" t="s">
        <v>53</v>
      </c>
      <c r="CI40" s="115" t="s">
        <v>152</v>
      </c>
      <c r="CJ40" s="115" t="s">
        <v>53</v>
      </c>
      <c r="CK40" s="115" t="s">
        <v>53</v>
      </c>
      <c r="CL40" s="115" t="s">
        <v>53</v>
      </c>
      <c r="CM40" s="115" t="s">
        <v>53</v>
      </c>
      <c r="CN40" s="115" t="s">
        <v>53</v>
      </c>
      <c r="CO40" s="121" t="s">
        <v>53</v>
      </c>
      <c r="CP40" s="115" t="s">
        <v>328</v>
      </c>
      <c r="CQ40" s="115" t="s">
        <v>53</v>
      </c>
      <c r="CR40" s="115" t="s">
        <v>53</v>
      </c>
      <c r="CS40" s="115" t="s">
        <v>53</v>
      </c>
      <c r="CT40" s="115" t="s">
        <v>53</v>
      </c>
      <c r="CU40" s="115" t="s">
        <v>53</v>
      </c>
      <c r="CV40" s="115" t="s">
        <v>53</v>
      </c>
      <c r="CW40" s="115" t="s">
        <v>53</v>
      </c>
      <c r="CX40" s="115" t="s">
        <v>53</v>
      </c>
      <c r="CY40" s="115" t="s">
        <v>53</v>
      </c>
      <c r="CZ40" s="115" t="s">
        <v>53</v>
      </c>
      <c r="DA40" s="115" t="s">
        <v>53</v>
      </c>
      <c r="DB40" s="118" t="s">
        <v>328</v>
      </c>
      <c r="DC40" s="49" t="s">
        <v>328</v>
      </c>
      <c r="DD40" s="49" t="s">
        <v>307</v>
      </c>
      <c r="DE40" s="49" t="s">
        <v>53</v>
      </c>
      <c r="DF40" s="49" t="s">
        <v>53</v>
      </c>
      <c r="DG40" s="49" t="s">
        <v>53</v>
      </c>
      <c r="DH40" s="49" t="s">
        <v>53</v>
      </c>
      <c r="DI40" s="49" t="s">
        <v>307</v>
      </c>
      <c r="DJ40" s="49" t="s">
        <v>156</v>
      </c>
      <c r="DK40" s="49" t="s">
        <v>53</v>
      </c>
      <c r="DL40" s="49" t="s">
        <v>53</v>
      </c>
      <c r="DM40" s="49" t="s">
        <v>307</v>
      </c>
      <c r="DN40" s="49" t="s">
        <v>53</v>
      </c>
      <c r="DO40" s="118"/>
      <c r="DP40" s="49"/>
      <c r="DQ40" s="49" t="s">
        <v>58</v>
      </c>
      <c r="DR40" s="49" t="s">
        <v>58</v>
      </c>
      <c r="DS40" s="49" t="s">
        <v>58</v>
      </c>
      <c r="DT40" s="49" t="s">
        <v>58</v>
      </c>
      <c r="DU40" s="49" t="s">
        <v>310</v>
      </c>
      <c r="DV40" s="49" t="s">
        <v>58</v>
      </c>
      <c r="DW40" s="49" t="s">
        <v>58</v>
      </c>
      <c r="DX40" s="49" t="s">
        <v>58</v>
      </c>
      <c r="DY40" s="49" t="s">
        <v>58</v>
      </c>
      <c r="DZ40" s="49" t="s">
        <v>58</v>
      </c>
      <c r="EA40" s="118" t="s">
        <v>49</v>
      </c>
      <c r="EB40" s="49" t="s">
        <v>49</v>
      </c>
      <c r="EC40" s="49" t="s">
        <v>49</v>
      </c>
      <c r="ED40" s="49" t="s">
        <v>49</v>
      </c>
      <c r="EE40" s="49" t="s">
        <v>49</v>
      </c>
      <c r="EF40" s="49" t="s">
        <v>49</v>
      </c>
      <c r="EG40" s="120" t="s">
        <v>49</v>
      </c>
      <c r="EH40" s="117">
        <v>9.85</v>
      </c>
      <c r="EI40" s="117">
        <v>0</v>
      </c>
      <c r="EJ40" s="55">
        <v>0.02</v>
      </c>
      <c r="EK40" s="55">
        <v>0.02</v>
      </c>
      <c r="EL40" s="55">
        <v>0.02</v>
      </c>
      <c r="EM40" s="55">
        <v>0.02</v>
      </c>
      <c r="EN40" s="55">
        <v>0.02</v>
      </c>
      <c r="EO40" s="122">
        <v>0.02</v>
      </c>
      <c r="EP40" s="117">
        <v>1.9</v>
      </c>
      <c r="EQ40" s="117">
        <v>95.23</v>
      </c>
    </row>
    <row r="41" customFormat="1" ht="22.5" customHeight="1" spans="1:147">
      <c r="A41" s="108">
        <v>12333</v>
      </c>
      <c r="B41" s="109" t="s">
        <v>357</v>
      </c>
      <c r="C41" s="110">
        <v>46097</v>
      </c>
      <c r="D41" s="111">
        <f>IF(_xlfn.XLOOKUP(A41,[1]分配表!J:J,[1]分配表!M:M)=0,"未出单",_xlfn.XLOOKUP(A41,[1]分配表!J:J,[1]分配表!M:M))</f>
        <v>46116</v>
      </c>
      <c r="E41" s="112" t="str">
        <f>_xlfn.XLOOKUP(A41,[1]分配表!A:A,[1]分配表!C:C)</f>
        <v>朱培源</v>
      </c>
      <c r="F41" s="112" t="str">
        <f>IF(_xlfn.XLOOKUP($A41,[1]分配表!$A:$A,[1]分配表!D:D)=0,"未分类",_xlfn.XLOOKUP($A41,[1]分配表!$A:$A,[1]分配表!D:D))</f>
        <v>车门系统</v>
      </c>
      <c r="G41" s="112" t="str">
        <f>_xlfn.XLOOKUP(A41,[1]分配表!J:J,[1]分配表!I:I)</f>
        <v>原开品</v>
      </c>
      <c r="H41" s="49">
        <v>0</v>
      </c>
      <c r="I41" s="49">
        <v>0</v>
      </c>
      <c r="J41" s="49">
        <v>0</v>
      </c>
      <c r="K41" s="49">
        <v>0</v>
      </c>
      <c r="L41" s="49">
        <v>1</v>
      </c>
      <c r="M41" s="49">
        <v>1</v>
      </c>
      <c r="N41" s="49">
        <v>1</v>
      </c>
      <c r="O41" s="49">
        <v>1</v>
      </c>
      <c r="P41" s="49">
        <v>0</v>
      </c>
      <c r="Q41" s="49">
        <v>2</v>
      </c>
      <c r="R41" s="49">
        <v>1</v>
      </c>
      <c r="S41" s="49">
        <v>1</v>
      </c>
      <c r="T41" s="113">
        <f t="shared" si="0"/>
        <v>0</v>
      </c>
      <c r="U41" s="114">
        <v>0</v>
      </c>
      <c r="V41" s="115">
        <v>0</v>
      </c>
      <c r="W41" s="115">
        <v>0</v>
      </c>
      <c r="X41" s="115">
        <v>0</v>
      </c>
      <c r="Y41" s="115">
        <v>68.4</v>
      </c>
      <c r="Z41" s="115">
        <v>72</v>
      </c>
      <c r="AA41" s="115">
        <v>72</v>
      </c>
      <c r="AB41" s="116">
        <v>50</v>
      </c>
      <c r="AC41" s="117">
        <v>0</v>
      </c>
      <c r="AD41" s="117">
        <v>144</v>
      </c>
      <c r="AE41" s="117">
        <v>60</v>
      </c>
      <c r="AF41" s="117">
        <v>72</v>
      </c>
      <c r="AG41" s="115">
        <f t="shared" si="1"/>
        <v>12</v>
      </c>
      <c r="AH41" s="118">
        <v>0</v>
      </c>
      <c r="AI41" s="49">
        <v>0</v>
      </c>
      <c r="AJ41" s="49">
        <v>2</v>
      </c>
      <c r="AK41" s="49">
        <v>0</v>
      </c>
      <c r="AL41" s="49">
        <v>1</v>
      </c>
      <c r="AM41" s="49">
        <v>0</v>
      </c>
      <c r="AN41" s="49">
        <v>0</v>
      </c>
      <c r="AO41" s="49">
        <v>0</v>
      </c>
      <c r="AP41" s="49">
        <v>0</v>
      </c>
      <c r="AQ41" s="49">
        <v>1</v>
      </c>
      <c r="AR41" s="49">
        <v>0</v>
      </c>
      <c r="AS41" s="49">
        <v>0</v>
      </c>
      <c r="AT41" s="119" t="s">
        <v>306</v>
      </c>
      <c r="AU41" s="55" t="s">
        <v>306</v>
      </c>
      <c r="AV41" s="55">
        <v>0</v>
      </c>
      <c r="AW41" s="55">
        <v>0</v>
      </c>
      <c r="AX41" s="55">
        <v>0.5</v>
      </c>
      <c r="AY41" s="55">
        <v>1</v>
      </c>
      <c r="AZ41" s="55" t="s">
        <v>306</v>
      </c>
      <c r="BA41" s="55">
        <v>1</v>
      </c>
      <c r="BB41" s="55">
        <v>1</v>
      </c>
      <c r="BC41" s="55">
        <v>0.5</v>
      </c>
      <c r="BD41" s="55">
        <v>1</v>
      </c>
      <c r="BE41" s="55">
        <v>1</v>
      </c>
      <c r="BF41" s="118" t="s">
        <v>328</v>
      </c>
      <c r="BG41" s="49">
        <v>2</v>
      </c>
      <c r="BH41" s="49">
        <v>2</v>
      </c>
      <c r="BI41" s="49">
        <v>1</v>
      </c>
      <c r="BJ41" s="49">
        <v>5</v>
      </c>
      <c r="BK41" s="49">
        <v>13</v>
      </c>
      <c r="BL41" s="49">
        <v>1</v>
      </c>
      <c r="BM41" s="49">
        <v>8</v>
      </c>
      <c r="BN41" s="49">
        <v>15</v>
      </c>
      <c r="BO41" s="49">
        <v>22</v>
      </c>
      <c r="BP41" s="49">
        <v>29</v>
      </c>
      <c r="BQ41" s="120">
        <v>36</v>
      </c>
      <c r="BR41" s="115" t="s">
        <v>328</v>
      </c>
      <c r="BS41" s="115" t="s">
        <v>149</v>
      </c>
      <c r="BT41" s="115" t="s">
        <v>149</v>
      </c>
      <c r="BU41" s="115" t="s">
        <v>149</v>
      </c>
      <c r="BV41" s="115" t="s">
        <v>62</v>
      </c>
      <c r="BW41" s="115" t="s">
        <v>62</v>
      </c>
      <c r="BX41" s="115" t="s">
        <v>62</v>
      </c>
      <c r="BY41" s="115" t="s">
        <v>62</v>
      </c>
      <c r="BZ41" s="115" t="s">
        <v>62</v>
      </c>
      <c r="CA41" s="115" t="s">
        <v>62</v>
      </c>
      <c r="CB41" s="115" t="s">
        <v>62</v>
      </c>
      <c r="CC41" s="115" t="s">
        <v>62</v>
      </c>
      <c r="CD41" s="114" t="s">
        <v>328</v>
      </c>
      <c r="CE41" s="115" t="s">
        <v>53</v>
      </c>
      <c r="CF41" s="115" t="s">
        <v>53</v>
      </c>
      <c r="CG41" s="115" t="s">
        <v>53</v>
      </c>
      <c r="CH41" s="115" t="s">
        <v>53</v>
      </c>
      <c r="CI41" s="115" t="s">
        <v>152</v>
      </c>
      <c r="CJ41" s="115" t="s">
        <v>53</v>
      </c>
      <c r="CK41" s="115" t="s">
        <v>53</v>
      </c>
      <c r="CL41" s="115" t="s">
        <v>53</v>
      </c>
      <c r="CM41" s="115" t="s">
        <v>152</v>
      </c>
      <c r="CN41" s="115" t="s">
        <v>53</v>
      </c>
      <c r="CO41" s="121" t="s">
        <v>53</v>
      </c>
      <c r="CP41" s="115" t="s">
        <v>328</v>
      </c>
      <c r="CQ41" s="115" t="s">
        <v>53</v>
      </c>
      <c r="CR41" s="115" t="s">
        <v>53</v>
      </c>
      <c r="CS41" s="115" t="s">
        <v>53</v>
      </c>
      <c r="CT41" s="115" t="s">
        <v>53</v>
      </c>
      <c r="CU41" s="115" t="s">
        <v>53</v>
      </c>
      <c r="CV41" s="115" t="s">
        <v>53</v>
      </c>
      <c r="CW41" s="115" t="s">
        <v>53</v>
      </c>
      <c r="CX41" s="115" t="s">
        <v>53</v>
      </c>
      <c r="CY41" s="115" t="s">
        <v>53</v>
      </c>
      <c r="CZ41" s="115" t="s">
        <v>53</v>
      </c>
      <c r="DA41" s="115" t="s">
        <v>53</v>
      </c>
      <c r="DB41" s="118" t="s">
        <v>328</v>
      </c>
      <c r="DC41" s="49" t="s">
        <v>328</v>
      </c>
      <c r="DD41" s="49" t="s">
        <v>307</v>
      </c>
      <c r="DE41" s="49" t="s">
        <v>313</v>
      </c>
      <c r="DF41" s="49" t="s">
        <v>156</v>
      </c>
      <c r="DG41" s="49" t="s">
        <v>313</v>
      </c>
      <c r="DH41" s="49" t="s">
        <v>53</v>
      </c>
      <c r="DI41" s="49" t="s">
        <v>156</v>
      </c>
      <c r="DJ41" s="49" t="s">
        <v>53</v>
      </c>
      <c r="DK41" s="49" t="s">
        <v>53</v>
      </c>
      <c r="DL41" s="49" t="s">
        <v>313</v>
      </c>
      <c r="DM41" s="49" t="s">
        <v>53</v>
      </c>
      <c r="DN41" s="49" t="s">
        <v>53</v>
      </c>
      <c r="DO41" s="118"/>
      <c r="DP41" s="49"/>
      <c r="DQ41" s="49" t="s">
        <v>58</v>
      </c>
      <c r="DR41" s="49" t="s">
        <v>308</v>
      </c>
      <c r="DS41" s="49" t="s">
        <v>58</v>
      </c>
      <c r="DT41" s="49" t="s">
        <v>58</v>
      </c>
      <c r="DU41" s="49" t="s">
        <v>310</v>
      </c>
      <c r="DV41" s="49" t="s">
        <v>58</v>
      </c>
      <c r="DW41" s="49" t="s">
        <v>58</v>
      </c>
      <c r="DX41" s="49" t="s">
        <v>58</v>
      </c>
      <c r="DY41" s="49" t="s">
        <v>316</v>
      </c>
      <c r="DZ41" s="49" t="s">
        <v>58</v>
      </c>
      <c r="EA41" s="118" t="s">
        <v>62</v>
      </c>
      <c r="EB41" s="49" t="s">
        <v>62</v>
      </c>
      <c r="EC41" s="49" t="s">
        <v>62</v>
      </c>
      <c r="ED41" s="49" t="s">
        <v>62</v>
      </c>
      <c r="EE41" s="49" t="s">
        <v>62</v>
      </c>
      <c r="EF41" s="49" t="s">
        <v>62</v>
      </c>
      <c r="EG41" s="120" t="s">
        <v>62</v>
      </c>
      <c r="EH41" s="117">
        <v>0</v>
      </c>
      <c r="EI41" s="117">
        <v>0</v>
      </c>
      <c r="EJ41" s="55">
        <v>0.04</v>
      </c>
      <c r="EK41" s="55">
        <v>0.04</v>
      </c>
      <c r="EL41" s="55">
        <v>0.02</v>
      </c>
      <c r="EM41" s="55">
        <v>0.04</v>
      </c>
      <c r="EN41" s="55">
        <v>0.02</v>
      </c>
      <c r="EO41" s="122">
        <v>0.02</v>
      </c>
      <c r="EP41" s="117">
        <v>4.18</v>
      </c>
      <c r="EQ41" s="117">
        <v>143.28</v>
      </c>
    </row>
    <row r="42" customFormat="1" ht="22.5" customHeight="1" spans="1:147">
      <c r="A42" s="108">
        <v>12334</v>
      </c>
      <c r="B42" s="109" t="s">
        <v>358</v>
      </c>
      <c r="C42" s="110">
        <v>46097</v>
      </c>
      <c r="D42" s="111">
        <f>IF(_xlfn.XLOOKUP(A42,[1]分配表!J:J,[1]分配表!M:M)=0,"未出单",_xlfn.XLOOKUP(A42,[1]分配表!J:J,[1]分配表!M:M))</f>
        <v>46105</v>
      </c>
      <c r="E42" s="112" t="str">
        <f>_xlfn.XLOOKUP(A42,[1]分配表!A:A,[1]分配表!C:C)</f>
        <v>朱培源</v>
      </c>
      <c r="F42" s="112" t="str">
        <f>IF(_xlfn.XLOOKUP($A42,[1]分配表!$A:$A,[1]分配表!D:D)=0,"未分类",_xlfn.XLOOKUP($A42,[1]分配表!$A:$A,[1]分配表!D:D))</f>
        <v>车门系统</v>
      </c>
      <c r="G42" s="112" t="str">
        <f>_xlfn.XLOOKUP(A42,[1]分配表!J:J,[1]分配表!I:I)</f>
        <v>原开品</v>
      </c>
      <c r="H42" s="49">
        <v>0</v>
      </c>
      <c r="I42" s="49">
        <v>0</v>
      </c>
      <c r="J42" s="49">
        <v>1</v>
      </c>
      <c r="K42" s="49">
        <v>0</v>
      </c>
      <c r="L42" s="49">
        <v>1</v>
      </c>
      <c r="M42" s="49">
        <v>3</v>
      </c>
      <c r="N42" s="49">
        <v>4</v>
      </c>
      <c r="O42" s="49">
        <v>2</v>
      </c>
      <c r="P42" s="49">
        <v>4</v>
      </c>
      <c r="Q42" s="49">
        <v>4</v>
      </c>
      <c r="R42" s="49">
        <v>0</v>
      </c>
      <c r="S42" s="49">
        <v>3</v>
      </c>
      <c r="T42" s="113">
        <f t="shared" si="0"/>
        <v>3</v>
      </c>
      <c r="U42" s="114">
        <v>0</v>
      </c>
      <c r="V42" s="115">
        <v>0</v>
      </c>
      <c r="W42" s="115">
        <v>225</v>
      </c>
      <c r="X42" s="115">
        <v>0</v>
      </c>
      <c r="Y42" s="115">
        <v>98</v>
      </c>
      <c r="Z42" s="115">
        <v>294</v>
      </c>
      <c r="AA42" s="115">
        <v>392</v>
      </c>
      <c r="AB42" s="116">
        <v>196</v>
      </c>
      <c r="AC42" s="117">
        <v>396</v>
      </c>
      <c r="AD42" s="117">
        <v>356</v>
      </c>
      <c r="AE42" s="117">
        <v>0</v>
      </c>
      <c r="AF42" s="117">
        <v>266</v>
      </c>
      <c r="AG42" s="115">
        <f t="shared" si="1"/>
        <v>266</v>
      </c>
      <c r="AH42" s="118">
        <v>0</v>
      </c>
      <c r="AI42" s="49">
        <v>0</v>
      </c>
      <c r="AJ42" s="49">
        <v>0</v>
      </c>
      <c r="AK42" s="49">
        <v>0</v>
      </c>
      <c r="AL42" s="49">
        <v>0</v>
      </c>
      <c r="AM42" s="49">
        <v>0</v>
      </c>
      <c r="AN42" s="49">
        <v>0</v>
      </c>
      <c r="AO42" s="49">
        <v>0</v>
      </c>
      <c r="AP42" s="49">
        <v>0</v>
      </c>
      <c r="AQ42" s="49">
        <v>0</v>
      </c>
      <c r="AR42" s="49">
        <v>0</v>
      </c>
      <c r="AS42" s="49">
        <v>0</v>
      </c>
      <c r="AT42" s="119" t="s">
        <v>306</v>
      </c>
      <c r="AU42" s="55" t="s">
        <v>306</v>
      </c>
      <c r="AV42" s="55">
        <v>1</v>
      </c>
      <c r="AW42" s="55">
        <v>0</v>
      </c>
      <c r="AX42" s="55">
        <v>1</v>
      </c>
      <c r="AY42" s="55">
        <v>1</v>
      </c>
      <c r="AZ42" s="55">
        <v>1</v>
      </c>
      <c r="BA42" s="55">
        <v>1</v>
      </c>
      <c r="BB42" s="55">
        <v>1</v>
      </c>
      <c r="BC42" s="55">
        <v>1</v>
      </c>
      <c r="BD42" s="55">
        <v>1</v>
      </c>
      <c r="BE42" s="55" t="s">
        <v>306</v>
      </c>
      <c r="BF42" s="118" t="s">
        <v>328</v>
      </c>
      <c r="BG42" s="49">
        <v>1</v>
      </c>
      <c r="BH42" s="49">
        <v>2</v>
      </c>
      <c r="BI42" s="49">
        <v>1</v>
      </c>
      <c r="BJ42" s="49">
        <v>7</v>
      </c>
      <c r="BK42" s="49">
        <v>15</v>
      </c>
      <c r="BL42" s="49">
        <v>1</v>
      </c>
      <c r="BM42" s="49">
        <v>8</v>
      </c>
      <c r="BN42" s="49">
        <v>15</v>
      </c>
      <c r="BO42" s="49">
        <v>22</v>
      </c>
      <c r="BP42" s="49">
        <v>29</v>
      </c>
      <c r="BQ42" s="120">
        <v>2</v>
      </c>
      <c r="BR42" s="115" t="s">
        <v>328</v>
      </c>
      <c r="BS42" s="115" t="s">
        <v>149</v>
      </c>
      <c r="BT42" s="115" t="s">
        <v>49</v>
      </c>
      <c r="BU42" s="115" t="s">
        <v>49</v>
      </c>
      <c r="BV42" s="115" t="s">
        <v>49</v>
      </c>
      <c r="BW42" s="115" t="s">
        <v>49</v>
      </c>
      <c r="BX42" s="115" t="s">
        <v>49</v>
      </c>
      <c r="BY42" s="115" t="s">
        <v>49</v>
      </c>
      <c r="BZ42" s="115" t="s">
        <v>49</v>
      </c>
      <c r="CA42" s="115" t="s">
        <v>49</v>
      </c>
      <c r="CB42" s="115" t="s">
        <v>49</v>
      </c>
      <c r="CC42" s="115" t="s">
        <v>49</v>
      </c>
      <c r="CD42" s="114" t="s">
        <v>328</v>
      </c>
      <c r="CE42" s="115" t="s">
        <v>53</v>
      </c>
      <c r="CF42" s="115" t="s">
        <v>53</v>
      </c>
      <c r="CG42" s="115" t="s">
        <v>53</v>
      </c>
      <c r="CH42" s="115" t="s">
        <v>53</v>
      </c>
      <c r="CI42" s="115" t="s">
        <v>152</v>
      </c>
      <c r="CJ42" s="115" t="s">
        <v>53</v>
      </c>
      <c r="CK42" s="115" t="s">
        <v>53</v>
      </c>
      <c r="CL42" s="115" t="s">
        <v>53</v>
      </c>
      <c r="CM42" s="115" t="s">
        <v>53</v>
      </c>
      <c r="CN42" s="115" t="s">
        <v>53</v>
      </c>
      <c r="CO42" s="121" t="s">
        <v>53</v>
      </c>
      <c r="CP42" s="115" t="s">
        <v>328</v>
      </c>
      <c r="CQ42" s="115" t="s">
        <v>53</v>
      </c>
      <c r="CR42" s="115" t="s">
        <v>53</v>
      </c>
      <c r="CS42" s="115" t="s">
        <v>53</v>
      </c>
      <c r="CT42" s="115" t="s">
        <v>53</v>
      </c>
      <c r="CU42" s="115" t="s">
        <v>53</v>
      </c>
      <c r="CV42" s="115" t="s">
        <v>53</v>
      </c>
      <c r="CW42" s="115" t="s">
        <v>53</v>
      </c>
      <c r="CX42" s="115" t="s">
        <v>53</v>
      </c>
      <c r="CY42" s="115" t="s">
        <v>53</v>
      </c>
      <c r="CZ42" s="115" t="s">
        <v>53</v>
      </c>
      <c r="DA42" s="115" t="s">
        <v>53</v>
      </c>
      <c r="DB42" s="118" t="s">
        <v>328</v>
      </c>
      <c r="DC42" s="49" t="s">
        <v>328</v>
      </c>
      <c r="DD42" s="49" t="s">
        <v>307</v>
      </c>
      <c r="DE42" s="49" t="s">
        <v>307</v>
      </c>
      <c r="DF42" s="49" t="s">
        <v>53</v>
      </c>
      <c r="DG42" s="49" t="s">
        <v>53</v>
      </c>
      <c r="DH42" s="49" t="s">
        <v>53</v>
      </c>
      <c r="DI42" s="49" t="s">
        <v>53</v>
      </c>
      <c r="DJ42" s="49" t="s">
        <v>53</v>
      </c>
      <c r="DK42" s="49" t="s">
        <v>53</v>
      </c>
      <c r="DL42" s="49" t="s">
        <v>53</v>
      </c>
      <c r="DM42" s="49" t="s">
        <v>53</v>
      </c>
      <c r="DN42" s="49" t="s">
        <v>156</v>
      </c>
      <c r="DO42" s="118"/>
      <c r="DP42" s="49"/>
      <c r="DQ42" s="49" t="s">
        <v>58</v>
      </c>
      <c r="DR42" s="49" t="s">
        <v>58</v>
      </c>
      <c r="DS42" s="49" t="s">
        <v>58</v>
      </c>
      <c r="DT42" s="49" t="s">
        <v>58</v>
      </c>
      <c r="DU42" s="49" t="s">
        <v>310</v>
      </c>
      <c r="DV42" s="49" t="s">
        <v>58</v>
      </c>
      <c r="DW42" s="49" t="s">
        <v>58</v>
      </c>
      <c r="DX42" s="49" t="s">
        <v>58</v>
      </c>
      <c r="DY42" s="49" t="s">
        <v>58</v>
      </c>
      <c r="DZ42" s="49" t="s">
        <v>58</v>
      </c>
      <c r="EA42" s="118" t="s">
        <v>62</v>
      </c>
      <c r="EB42" s="49" t="s">
        <v>62</v>
      </c>
      <c r="EC42" s="49" t="s">
        <v>62</v>
      </c>
      <c r="ED42" s="49" t="s">
        <v>62</v>
      </c>
      <c r="EE42" s="49" t="s">
        <v>62</v>
      </c>
      <c r="EF42" s="49" t="s">
        <v>62</v>
      </c>
      <c r="EG42" s="120" t="s">
        <v>62</v>
      </c>
      <c r="EH42" s="117">
        <v>0</v>
      </c>
      <c r="EI42" s="117">
        <v>0</v>
      </c>
      <c r="EJ42" s="55">
        <v>0.04</v>
      </c>
      <c r="EK42" s="55">
        <v>0.04</v>
      </c>
      <c r="EL42" s="55">
        <v>0</v>
      </c>
      <c r="EM42" s="55">
        <v>0.04</v>
      </c>
      <c r="EN42" s="55">
        <v>0</v>
      </c>
      <c r="EO42" s="122">
        <v>0</v>
      </c>
      <c r="EP42" s="117">
        <v>0</v>
      </c>
      <c r="EQ42" s="117">
        <v>0</v>
      </c>
    </row>
    <row r="43" customFormat="1" ht="22.5" customHeight="1" spans="1:147">
      <c r="A43" s="108">
        <v>12368</v>
      </c>
      <c r="B43" s="109" t="s">
        <v>359</v>
      </c>
      <c r="C43" s="110">
        <v>46097</v>
      </c>
      <c r="D43" s="111">
        <f>IF(_xlfn.XLOOKUP(A43,[1]分配表!J:J,[1]分配表!M:M)=0,"未出单",_xlfn.XLOOKUP(A43,[1]分配表!J:J,[1]分配表!M:M))</f>
        <v>46104</v>
      </c>
      <c r="E43" s="112" t="str">
        <f>_xlfn.XLOOKUP(A43,[1]分配表!A:A,[1]分配表!C:C)</f>
        <v>胡煜星</v>
      </c>
      <c r="F43" s="112" t="str">
        <f>IF(_xlfn.XLOOKUP($A43,[1]分配表!$A:$A,[1]分配表!D:D)=0,"未分类",_xlfn.XLOOKUP($A43,[1]分配表!$A:$A,[1]分配表!D:D))</f>
        <v>其他</v>
      </c>
      <c r="G43" s="112" t="str">
        <f>_xlfn.XLOOKUP(A43,[1]分配表!J:J,[1]分配表!I:I)</f>
        <v>原开品</v>
      </c>
      <c r="H43" s="49">
        <v>0</v>
      </c>
      <c r="I43" s="49">
        <v>0</v>
      </c>
      <c r="J43" s="49">
        <v>1</v>
      </c>
      <c r="K43" s="49">
        <v>3</v>
      </c>
      <c r="L43" s="49">
        <v>4</v>
      </c>
      <c r="M43" s="49">
        <v>3</v>
      </c>
      <c r="N43" s="49">
        <v>2</v>
      </c>
      <c r="O43" s="49">
        <v>2</v>
      </c>
      <c r="P43" s="49">
        <v>1</v>
      </c>
      <c r="Q43" s="49">
        <v>5</v>
      </c>
      <c r="R43" s="49">
        <v>2</v>
      </c>
      <c r="S43" s="49">
        <v>0</v>
      </c>
      <c r="T43" s="113">
        <f t="shared" si="0"/>
        <v>-2</v>
      </c>
      <c r="U43" s="114">
        <v>0</v>
      </c>
      <c r="V43" s="115">
        <v>0</v>
      </c>
      <c r="W43" s="115">
        <v>95</v>
      </c>
      <c r="X43" s="115">
        <v>285</v>
      </c>
      <c r="Y43" s="115">
        <v>380</v>
      </c>
      <c r="Z43" s="115">
        <v>285</v>
      </c>
      <c r="AA43" s="115">
        <v>190</v>
      </c>
      <c r="AB43" s="116">
        <v>190</v>
      </c>
      <c r="AC43" s="117">
        <v>95</v>
      </c>
      <c r="AD43" s="117">
        <v>479.75</v>
      </c>
      <c r="AE43" s="117">
        <v>203.77</v>
      </c>
      <c r="AF43" s="117">
        <v>0</v>
      </c>
      <c r="AG43" s="115">
        <f t="shared" si="1"/>
        <v>-203.77</v>
      </c>
      <c r="AH43" s="118">
        <v>0</v>
      </c>
      <c r="AI43" s="49">
        <v>0</v>
      </c>
      <c r="AJ43" s="49">
        <v>0</v>
      </c>
      <c r="AK43" s="49">
        <v>0</v>
      </c>
      <c r="AL43" s="49">
        <v>0</v>
      </c>
      <c r="AM43" s="49">
        <v>0</v>
      </c>
      <c r="AN43" s="49">
        <v>0</v>
      </c>
      <c r="AO43" s="49">
        <v>0</v>
      </c>
      <c r="AP43" s="49">
        <v>0</v>
      </c>
      <c r="AQ43" s="49">
        <v>0</v>
      </c>
      <c r="AR43" s="49">
        <v>0</v>
      </c>
      <c r="AS43" s="49">
        <v>0</v>
      </c>
      <c r="AT43" s="119" t="s">
        <v>306</v>
      </c>
      <c r="AU43" s="55" t="s">
        <v>306</v>
      </c>
      <c r="AV43" s="55">
        <v>1</v>
      </c>
      <c r="AW43" s="55">
        <v>1</v>
      </c>
      <c r="AX43" s="55">
        <v>1</v>
      </c>
      <c r="AY43" s="55">
        <v>1</v>
      </c>
      <c r="AZ43" s="55">
        <v>1</v>
      </c>
      <c r="BA43" s="55">
        <v>1</v>
      </c>
      <c r="BB43" s="55">
        <v>1</v>
      </c>
      <c r="BC43" s="55">
        <v>1</v>
      </c>
      <c r="BD43" s="55">
        <v>1</v>
      </c>
      <c r="BE43" s="55">
        <v>1</v>
      </c>
      <c r="BF43" s="118" t="s">
        <v>328</v>
      </c>
      <c r="BG43" s="49">
        <v>1</v>
      </c>
      <c r="BH43" s="49">
        <v>5</v>
      </c>
      <c r="BI43" s="49">
        <v>13</v>
      </c>
      <c r="BJ43" s="49">
        <v>0</v>
      </c>
      <c r="BK43" s="49">
        <v>8</v>
      </c>
      <c r="BL43" s="49">
        <v>5</v>
      </c>
      <c r="BM43" s="49">
        <v>12</v>
      </c>
      <c r="BN43" s="49">
        <v>1</v>
      </c>
      <c r="BO43" s="49">
        <v>0</v>
      </c>
      <c r="BP43" s="49">
        <v>7</v>
      </c>
      <c r="BQ43" s="120">
        <v>14</v>
      </c>
      <c r="BR43" s="115" t="s">
        <v>328</v>
      </c>
      <c r="BS43" s="115" t="s">
        <v>149</v>
      </c>
      <c r="BT43" s="115" t="s">
        <v>49</v>
      </c>
      <c r="BU43" s="115" t="s">
        <v>49</v>
      </c>
      <c r="BV43" s="115" t="s">
        <v>49</v>
      </c>
      <c r="BW43" s="115" t="s">
        <v>49</v>
      </c>
      <c r="BX43" s="115" t="s">
        <v>49</v>
      </c>
      <c r="BY43" s="115" t="s">
        <v>49</v>
      </c>
      <c r="BZ43" s="115" t="s">
        <v>49</v>
      </c>
      <c r="CA43" s="115" t="s">
        <v>49</v>
      </c>
      <c r="CB43" s="115" t="s">
        <v>49</v>
      </c>
      <c r="CC43" s="115" t="s">
        <v>49</v>
      </c>
      <c r="CD43" s="114" t="s">
        <v>328</v>
      </c>
      <c r="CE43" s="115" t="s">
        <v>53</v>
      </c>
      <c r="CF43" s="115" t="s">
        <v>53</v>
      </c>
      <c r="CG43" s="115" t="s">
        <v>152</v>
      </c>
      <c r="CH43" s="115" t="s">
        <v>53</v>
      </c>
      <c r="CI43" s="115" t="s">
        <v>152</v>
      </c>
      <c r="CJ43" s="115" t="s">
        <v>53</v>
      </c>
      <c r="CK43" s="115" t="s">
        <v>53</v>
      </c>
      <c r="CL43" s="115" t="s">
        <v>53</v>
      </c>
      <c r="CM43" s="115" t="s">
        <v>53</v>
      </c>
      <c r="CN43" s="115" t="s">
        <v>53</v>
      </c>
      <c r="CO43" s="121" t="s">
        <v>53</v>
      </c>
      <c r="CP43" s="115" t="s">
        <v>328</v>
      </c>
      <c r="CQ43" s="115" t="s">
        <v>53</v>
      </c>
      <c r="CR43" s="115" t="s">
        <v>53</v>
      </c>
      <c r="CS43" s="115" t="s">
        <v>53</v>
      </c>
      <c r="CT43" s="115" t="s">
        <v>53</v>
      </c>
      <c r="CU43" s="115" t="s">
        <v>53</v>
      </c>
      <c r="CV43" s="115" t="s">
        <v>53</v>
      </c>
      <c r="CW43" s="115" t="s">
        <v>53</v>
      </c>
      <c r="CX43" s="115" t="s">
        <v>53</v>
      </c>
      <c r="CY43" s="115" t="s">
        <v>53</v>
      </c>
      <c r="CZ43" s="115" t="s">
        <v>53</v>
      </c>
      <c r="DA43" s="115" t="s">
        <v>53</v>
      </c>
      <c r="DB43" s="118" t="s">
        <v>328</v>
      </c>
      <c r="DC43" s="49" t="s">
        <v>328</v>
      </c>
      <c r="DD43" s="49" t="s">
        <v>307</v>
      </c>
      <c r="DE43" s="49" t="s">
        <v>53</v>
      </c>
      <c r="DF43" s="49" t="s">
        <v>53</v>
      </c>
      <c r="DG43" s="49" t="s">
        <v>53</v>
      </c>
      <c r="DH43" s="49" t="s">
        <v>53</v>
      </c>
      <c r="DI43" s="49" t="s">
        <v>53</v>
      </c>
      <c r="DJ43" s="49" t="s">
        <v>53</v>
      </c>
      <c r="DK43" s="49" t="s">
        <v>53</v>
      </c>
      <c r="DL43" s="49" t="s">
        <v>53</v>
      </c>
      <c r="DM43" s="49" t="s">
        <v>53</v>
      </c>
      <c r="DN43" s="49" t="s">
        <v>53</v>
      </c>
      <c r="DO43" s="118"/>
      <c r="DP43" s="49"/>
      <c r="DQ43" s="49" t="s">
        <v>58</v>
      </c>
      <c r="DR43" s="49" t="s">
        <v>310</v>
      </c>
      <c r="DS43" s="49" t="s">
        <v>58</v>
      </c>
      <c r="DT43" s="49" t="s">
        <v>58</v>
      </c>
      <c r="DU43" s="49" t="s">
        <v>310</v>
      </c>
      <c r="DV43" s="49" t="s">
        <v>58</v>
      </c>
      <c r="DW43" s="49" t="s">
        <v>58</v>
      </c>
      <c r="DX43" s="49" t="s">
        <v>58</v>
      </c>
      <c r="DY43" s="49" t="s">
        <v>58</v>
      </c>
      <c r="DZ43" s="49" t="s">
        <v>58</v>
      </c>
      <c r="EA43" s="118" t="s">
        <v>62</v>
      </c>
      <c r="EB43" s="49" t="s">
        <v>62</v>
      </c>
      <c r="EC43" s="49" t="s">
        <v>49</v>
      </c>
      <c r="ED43" s="49" t="s">
        <v>49</v>
      </c>
      <c r="EE43" s="49" t="s">
        <v>49</v>
      </c>
      <c r="EF43" s="49" t="s">
        <v>49</v>
      </c>
      <c r="EG43" s="120" t="s">
        <v>49</v>
      </c>
      <c r="EH43" s="117">
        <v>7.52</v>
      </c>
      <c r="EI43" s="117">
        <v>0</v>
      </c>
      <c r="EJ43" s="55">
        <v>0.02</v>
      </c>
      <c r="EK43" s="55">
        <v>0</v>
      </c>
      <c r="EL43" s="55">
        <v>0</v>
      </c>
      <c r="EM43" s="55">
        <v>0</v>
      </c>
      <c r="EN43" s="55">
        <v>0</v>
      </c>
      <c r="EO43" s="122">
        <v>0</v>
      </c>
      <c r="EP43" s="117">
        <v>0</v>
      </c>
      <c r="EQ43" s="117">
        <v>0</v>
      </c>
    </row>
    <row r="44" customFormat="1" ht="22.5" customHeight="1" spans="1:147">
      <c r="A44" s="108">
        <v>12306</v>
      </c>
      <c r="B44" s="109" t="s">
        <v>360</v>
      </c>
      <c r="C44" s="110">
        <v>46097</v>
      </c>
      <c r="D44" s="111">
        <f>IF(_xlfn.XLOOKUP(A44,[1]分配表!J:J,[1]分配表!M:M)=0,"未出单",_xlfn.XLOOKUP(A44,[1]分配表!J:J,[1]分配表!M:M))</f>
        <v>46099</v>
      </c>
      <c r="E44" s="112" t="str">
        <f>_xlfn.XLOOKUP(A44,[1]分配表!A:A,[1]分配表!C:C)</f>
        <v>俞东旭</v>
      </c>
      <c r="F44" s="112" t="str">
        <f>IF(_xlfn.XLOOKUP($A44,[1]分配表!$A:$A,[1]分配表!D:D)=0,"未分类",_xlfn.XLOOKUP($A44,[1]分配表!$A:$A,[1]分配表!D:D))</f>
        <v>车门系统</v>
      </c>
      <c r="G44" s="112" t="str">
        <f>_xlfn.XLOOKUP(A44,[1]分配表!J:J,[1]分配表!I:I)</f>
        <v>原开品</v>
      </c>
      <c r="H44" s="49">
        <v>0</v>
      </c>
      <c r="I44" s="49">
        <v>2</v>
      </c>
      <c r="J44" s="49">
        <v>3</v>
      </c>
      <c r="K44" s="49">
        <v>2</v>
      </c>
      <c r="L44" s="49">
        <v>4</v>
      </c>
      <c r="M44" s="49">
        <v>3</v>
      </c>
      <c r="N44" s="49">
        <v>1</v>
      </c>
      <c r="O44" s="49">
        <v>1</v>
      </c>
      <c r="P44" s="49">
        <v>3</v>
      </c>
      <c r="Q44" s="49">
        <v>1</v>
      </c>
      <c r="R44" s="49">
        <v>0</v>
      </c>
      <c r="S44" s="49">
        <v>3</v>
      </c>
      <c r="T44" s="113">
        <f t="shared" si="0"/>
        <v>3</v>
      </c>
      <c r="U44" s="114">
        <v>0</v>
      </c>
      <c r="V44" s="115">
        <v>1100</v>
      </c>
      <c r="W44" s="115">
        <v>1650</v>
      </c>
      <c r="X44" s="115">
        <v>1130</v>
      </c>
      <c r="Y44" s="115">
        <v>2336</v>
      </c>
      <c r="Z44" s="115">
        <v>1764</v>
      </c>
      <c r="AA44" s="115">
        <v>595</v>
      </c>
      <c r="AB44" s="116">
        <v>598</v>
      </c>
      <c r="AC44" s="117">
        <v>1794</v>
      </c>
      <c r="AD44" s="117">
        <v>598</v>
      </c>
      <c r="AE44" s="117">
        <v>0</v>
      </c>
      <c r="AF44" s="117">
        <v>1789</v>
      </c>
      <c r="AG44" s="115">
        <f t="shared" si="1"/>
        <v>1789</v>
      </c>
      <c r="AH44" s="118">
        <v>0</v>
      </c>
      <c r="AI44" s="49">
        <v>0</v>
      </c>
      <c r="AJ44" s="49">
        <v>0</v>
      </c>
      <c r="AK44" s="49">
        <v>0</v>
      </c>
      <c r="AL44" s="49">
        <v>1</v>
      </c>
      <c r="AM44" s="49">
        <v>3</v>
      </c>
      <c r="AN44" s="49">
        <v>1</v>
      </c>
      <c r="AO44" s="49">
        <v>4</v>
      </c>
      <c r="AP44" s="49">
        <v>1</v>
      </c>
      <c r="AQ44" s="49">
        <v>3</v>
      </c>
      <c r="AR44" s="49">
        <v>0</v>
      </c>
      <c r="AS44" s="49">
        <v>2</v>
      </c>
      <c r="AT44" s="119" t="s">
        <v>306</v>
      </c>
      <c r="AU44" s="55" t="s">
        <v>306</v>
      </c>
      <c r="AV44" s="55">
        <v>1</v>
      </c>
      <c r="AW44" s="55">
        <v>1</v>
      </c>
      <c r="AX44" s="55">
        <v>0.8</v>
      </c>
      <c r="AY44" s="55">
        <v>0.5</v>
      </c>
      <c r="AZ44" s="55">
        <v>0.5</v>
      </c>
      <c r="BA44" s="55">
        <v>0.2</v>
      </c>
      <c r="BB44" s="55">
        <v>0.5</v>
      </c>
      <c r="BC44" s="55">
        <v>0.5</v>
      </c>
      <c r="BD44" s="55" t="s">
        <v>306</v>
      </c>
      <c r="BE44" s="55">
        <v>0.5</v>
      </c>
      <c r="BF44" s="118" t="s">
        <v>328</v>
      </c>
      <c r="BG44" s="49">
        <v>1</v>
      </c>
      <c r="BH44" s="49">
        <v>8</v>
      </c>
      <c r="BI44" s="49">
        <v>16</v>
      </c>
      <c r="BJ44" s="49">
        <v>0</v>
      </c>
      <c r="BK44" s="49">
        <v>2</v>
      </c>
      <c r="BL44" s="49">
        <v>1</v>
      </c>
      <c r="BM44" s="49">
        <v>5</v>
      </c>
      <c r="BN44" s="49">
        <v>12</v>
      </c>
      <c r="BO44" s="49">
        <v>1</v>
      </c>
      <c r="BP44" s="49">
        <v>8</v>
      </c>
      <c r="BQ44" s="120">
        <v>15</v>
      </c>
      <c r="BR44" s="115" t="s">
        <v>328</v>
      </c>
      <c r="BS44" s="115" t="s">
        <v>49</v>
      </c>
      <c r="BT44" s="115" t="s">
        <v>49</v>
      </c>
      <c r="BU44" s="115" t="s">
        <v>49</v>
      </c>
      <c r="BV44" s="115" t="s">
        <v>49</v>
      </c>
      <c r="BW44" s="115" t="s">
        <v>49</v>
      </c>
      <c r="BX44" s="115" t="s">
        <v>49</v>
      </c>
      <c r="BY44" s="115" t="s">
        <v>49</v>
      </c>
      <c r="BZ44" s="115" t="s">
        <v>49</v>
      </c>
      <c r="CA44" s="115" t="s">
        <v>49</v>
      </c>
      <c r="CB44" s="115" t="s">
        <v>49</v>
      </c>
      <c r="CC44" s="115" t="s">
        <v>49</v>
      </c>
      <c r="CD44" s="114" t="s">
        <v>328</v>
      </c>
      <c r="CE44" s="115" t="s">
        <v>53</v>
      </c>
      <c r="CF44" s="115" t="s">
        <v>152</v>
      </c>
      <c r="CG44" s="115" t="s">
        <v>152</v>
      </c>
      <c r="CH44" s="115" t="s">
        <v>53</v>
      </c>
      <c r="CI44" s="115" t="s">
        <v>53</v>
      </c>
      <c r="CJ44" s="115" t="s">
        <v>53</v>
      </c>
      <c r="CK44" s="115" t="s">
        <v>53</v>
      </c>
      <c r="CL44" s="115" t="s">
        <v>152</v>
      </c>
      <c r="CM44" s="115" t="s">
        <v>53</v>
      </c>
      <c r="CN44" s="115" t="s">
        <v>53</v>
      </c>
      <c r="CO44" s="121" t="s">
        <v>152</v>
      </c>
      <c r="CP44" s="115" t="s">
        <v>328</v>
      </c>
      <c r="CQ44" s="115" t="s">
        <v>53</v>
      </c>
      <c r="CR44" s="115" t="s">
        <v>53</v>
      </c>
      <c r="CS44" s="115" t="s">
        <v>53</v>
      </c>
      <c r="CT44" s="115" t="s">
        <v>53</v>
      </c>
      <c r="CU44" s="115" t="s">
        <v>53</v>
      </c>
      <c r="CV44" s="115" t="s">
        <v>53</v>
      </c>
      <c r="CW44" s="115" t="s">
        <v>53</v>
      </c>
      <c r="CX44" s="115" t="s">
        <v>53</v>
      </c>
      <c r="CY44" s="115" t="s">
        <v>53</v>
      </c>
      <c r="CZ44" s="115" t="s">
        <v>53</v>
      </c>
      <c r="DA44" s="115" t="s">
        <v>53</v>
      </c>
      <c r="DB44" s="118" t="s">
        <v>328</v>
      </c>
      <c r="DC44" s="49" t="s">
        <v>328</v>
      </c>
      <c r="DD44" s="49" t="s">
        <v>307</v>
      </c>
      <c r="DE44" s="49" t="s">
        <v>53</v>
      </c>
      <c r="DF44" s="49" t="s">
        <v>53</v>
      </c>
      <c r="DG44" s="49" t="s">
        <v>53</v>
      </c>
      <c r="DH44" s="49" t="s">
        <v>53</v>
      </c>
      <c r="DI44" s="49" t="s">
        <v>313</v>
      </c>
      <c r="DJ44" s="49" t="s">
        <v>313</v>
      </c>
      <c r="DK44" s="49" t="s">
        <v>313</v>
      </c>
      <c r="DL44" s="49" t="s">
        <v>313</v>
      </c>
      <c r="DM44" s="49" t="s">
        <v>307</v>
      </c>
      <c r="DN44" s="49" t="s">
        <v>313</v>
      </c>
      <c r="DO44" s="118"/>
      <c r="DP44" s="49"/>
      <c r="DQ44" s="49" t="s">
        <v>58</v>
      </c>
      <c r="DR44" s="49" t="s">
        <v>315</v>
      </c>
      <c r="DS44" s="49" t="s">
        <v>58</v>
      </c>
      <c r="DT44" s="49" t="s">
        <v>58</v>
      </c>
      <c r="DU44" s="49" t="s">
        <v>58</v>
      </c>
      <c r="DV44" s="49" t="s">
        <v>58</v>
      </c>
      <c r="DW44" s="49" t="s">
        <v>58</v>
      </c>
      <c r="DX44" s="49" t="s">
        <v>310</v>
      </c>
      <c r="DY44" s="49" t="s">
        <v>58</v>
      </c>
      <c r="DZ44" s="49" t="s">
        <v>58</v>
      </c>
      <c r="EA44" s="118" t="s">
        <v>49</v>
      </c>
      <c r="EB44" s="49" t="s">
        <v>62</v>
      </c>
      <c r="EC44" s="49" t="s">
        <v>49</v>
      </c>
      <c r="ED44" s="49" t="s">
        <v>62</v>
      </c>
      <c r="EE44" s="49" t="s">
        <v>62</v>
      </c>
      <c r="EF44" s="49" t="s">
        <v>62</v>
      </c>
      <c r="EG44" s="120" t="s">
        <v>49</v>
      </c>
      <c r="EH44" s="117">
        <v>0</v>
      </c>
      <c r="EI44" s="117">
        <v>0</v>
      </c>
      <c r="EJ44" s="55">
        <v>0.02</v>
      </c>
      <c r="EK44" s="55">
        <v>0.02</v>
      </c>
      <c r="EL44" s="55">
        <v>0.02</v>
      </c>
      <c r="EM44" s="55">
        <v>0.02</v>
      </c>
      <c r="EN44" s="55">
        <v>0.02</v>
      </c>
      <c r="EO44" s="122">
        <v>0.02</v>
      </c>
      <c r="EP44" s="117">
        <v>23.92</v>
      </c>
      <c r="EQ44" s="117">
        <v>1196</v>
      </c>
    </row>
    <row r="45" customFormat="1" ht="22.5" customHeight="1" spans="1:147">
      <c r="A45" s="108">
        <v>12307</v>
      </c>
      <c r="B45" s="109" t="s">
        <v>361</v>
      </c>
      <c r="C45" s="110">
        <v>46097</v>
      </c>
      <c r="D45" s="111">
        <f>IF(_xlfn.XLOOKUP(A45,[1]分配表!J:J,[1]分配表!M:M)=0,"未出单",_xlfn.XLOOKUP(A45,[1]分配表!J:J,[1]分配表!M:M))</f>
        <v>46103</v>
      </c>
      <c r="E45" s="112" t="str">
        <f>_xlfn.XLOOKUP(A45,[1]分配表!A:A,[1]分配表!C:C)</f>
        <v>俞东旭</v>
      </c>
      <c r="F45" s="112" t="str">
        <f>IF(_xlfn.XLOOKUP($A45,[1]分配表!$A:$A,[1]分配表!D:D)=0,"未分类",_xlfn.XLOOKUP($A45,[1]分配表!$A:$A,[1]分配表!D:D))</f>
        <v>车门系统</v>
      </c>
      <c r="G45" s="112" t="str">
        <f>_xlfn.XLOOKUP(A45,[1]分配表!J:J,[1]分配表!I:I)</f>
        <v>原开品</v>
      </c>
      <c r="H45" s="49">
        <v>0</v>
      </c>
      <c r="I45" s="49">
        <v>0</v>
      </c>
      <c r="J45" s="49">
        <v>1</v>
      </c>
      <c r="K45" s="49">
        <v>4</v>
      </c>
      <c r="L45" s="49">
        <v>1</v>
      </c>
      <c r="M45" s="49">
        <v>1</v>
      </c>
      <c r="N45" s="49">
        <v>1</v>
      </c>
      <c r="O45" s="49">
        <v>3</v>
      </c>
      <c r="P45" s="49">
        <v>0</v>
      </c>
      <c r="Q45" s="49">
        <v>2</v>
      </c>
      <c r="R45" s="49">
        <v>0</v>
      </c>
      <c r="S45" s="49">
        <v>1</v>
      </c>
      <c r="T45" s="113">
        <f t="shared" si="0"/>
        <v>1</v>
      </c>
      <c r="U45" s="114">
        <v>0</v>
      </c>
      <c r="V45" s="115">
        <v>0</v>
      </c>
      <c r="W45" s="115">
        <v>550</v>
      </c>
      <c r="X45" s="115">
        <v>2200</v>
      </c>
      <c r="Y45" s="115">
        <v>580</v>
      </c>
      <c r="Z45" s="115">
        <v>580</v>
      </c>
      <c r="AA45" s="115">
        <v>580</v>
      </c>
      <c r="AB45" s="116">
        <v>1740</v>
      </c>
      <c r="AC45" s="117">
        <v>0</v>
      </c>
      <c r="AD45" s="117">
        <v>1160</v>
      </c>
      <c r="AE45" s="117">
        <v>0</v>
      </c>
      <c r="AF45" s="117">
        <v>580</v>
      </c>
      <c r="AG45" s="115">
        <f t="shared" si="1"/>
        <v>580</v>
      </c>
      <c r="AH45" s="118">
        <v>0</v>
      </c>
      <c r="AI45" s="49">
        <v>0</v>
      </c>
      <c r="AJ45" s="49">
        <v>2</v>
      </c>
      <c r="AK45" s="49">
        <v>0</v>
      </c>
      <c r="AL45" s="49">
        <v>0</v>
      </c>
      <c r="AM45" s="49">
        <v>3</v>
      </c>
      <c r="AN45" s="49">
        <v>1</v>
      </c>
      <c r="AO45" s="49">
        <v>0</v>
      </c>
      <c r="AP45" s="49">
        <v>2</v>
      </c>
      <c r="AQ45" s="49">
        <v>0</v>
      </c>
      <c r="AR45" s="49">
        <v>1</v>
      </c>
      <c r="AS45" s="49">
        <v>5</v>
      </c>
      <c r="AT45" s="119" t="s">
        <v>306</v>
      </c>
      <c r="AU45" s="55" t="s">
        <v>306</v>
      </c>
      <c r="AV45" s="55">
        <v>0.333333333333333</v>
      </c>
      <c r="AW45" s="55">
        <v>1</v>
      </c>
      <c r="AX45" s="55">
        <v>1</v>
      </c>
      <c r="AY45" s="55">
        <v>0.25</v>
      </c>
      <c r="AZ45" s="55">
        <v>0.6667</v>
      </c>
      <c r="BA45" s="55">
        <v>1</v>
      </c>
      <c r="BB45" s="55">
        <v>0</v>
      </c>
      <c r="BC45" s="55">
        <v>1</v>
      </c>
      <c r="BD45" s="55">
        <v>0.5</v>
      </c>
      <c r="BE45" s="55">
        <v>0.1667</v>
      </c>
      <c r="BF45" s="118" t="s">
        <v>328</v>
      </c>
      <c r="BG45" s="49">
        <v>1</v>
      </c>
      <c r="BH45" s="49">
        <v>8</v>
      </c>
      <c r="BI45" s="49">
        <v>1</v>
      </c>
      <c r="BJ45" s="49">
        <v>7</v>
      </c>
      <c r="BK45" s="49">
        <v>5</v>
      </c>
      <c r="BL45" s="49">
        <v>0</v>
      </c>
      <c r="BM45" s="49">
        <v>7</v>
      </c>
      <c r="BN45" s="49">
        <v>1</v>
      </c>
      <c r="BO45" s="49">
        <v>5</v>
      </c>
      <c r="BP45" s="49">
        <v>12</v>
      </c>
      <c r="BQ45" s="120">
        <v>2</v>
      </c>
      <c r="BR45" s="115" t="s">
        <v>328</v>
      </c>
      <c r="BS45" s="115" t="s">
        <v>149</v>
      </c>
      <c r="BT45" s="115" t="s">
        <v>49</v>
      </c>
      <c r="BU45" s="115" t="s">
        <v>49</v>
      </c>
      <c r="BV45" s="115" t="s">
        <v>49</v>
      </c>
      <c r="BW45" s="115" t="s">
        <v>49</v>
      </c>
      <c r="BX45" s="115" t="s">
        <v>49</v>
      </c>
      <c r="BY45" s="115" t="s">
        <v>49</v>
      </c>
      <c r="BZ45" s="115" t="s">
        <v>49</v>
      </c>
      <c r="CA45" s="115" t="s">
        <v>49</v>
      </c>
      <c r="CB45" s="115" t="s">
        <v>49</v>
      </c>
      <c r="CC45" s="115" t="s">
        <v>49</v>
      </c>
      <c r="CD45" s="114" t="s">
        <v>328</v>
      </c>
      <c r="CE45" s="115" t="s">
        <v>53</v>
      </c>
      <c r="CF45" s="115" t="s">
        <v>152</v>
      </c>
      <c r="CG45" s="115" t="s">
        <v>53</v>
      </c>
      <c r="CH45" s="115" t="s">
        <v>53</v>
      </c>
      <c r="CI45" s="115" t="s">
        <v>53</v>
      </c>
      <c r="CJ45" s="115" t="s">
        <v>53</v>
      </c>
      <c r="CK45" s="115" t="s">
        <v>53</v>
      </c>
      <c r="CL45" s="115" t="s">
        <v>53</v>
      </c>
      <c r="CM45" s="115" t="s">
        <v>53</v>
      </c>
      <c r="CN45" s="115" t="s">
        <v>152</v>
      </c>
      <c r="CO45" s="121" t="s">
        <v>53</v>
      </c>
      <c r="CP45" s="115" t="s">
        <v>328</v>
      </c>
      <c r="CQ45" s="115" t="s">
        <v>53</v>
      </c>
      <c r="CR45" s="115" t="s">
        <v>53</v>
      </c>
      <c r="CS45" s="115" t="s">
        <v>53</v>
      </c>
      <c r="CT45" s="115" t="s">
        <v>53</v>
      </c>
      <c r="CU45" s="115" t="s">
        <v>53</v>
      </c>
      <c r="CV45" s="115" t="s">
        <v>53</v>
      </c>
      <c r="CW45" s="115" t="s">
        <v>53</v>
      </c>
      <c r="CX45" s="115" t="s">
        <v>53</v>
      </c>
      <c r="CY45" s="115" t="s">
        <v>53</v>
      </c>
      <c r="CZ45" s="115" t="s">
        <v>53</v>
      </c>
      <c r="DA45" s="115" t="s">
        <v>53</v>
      </c>
      <c r="DB45" s="118" t="s">
        <v>328</v>
      </c>
      <c r="DC45" s="49" t="s">
        <v>328</v>
      </c>
      <c r="DD45" s="49" t="s">
        <v>307</v>
      </c>
      <c r="DE45" s="49" t="s">
        <v>313</v>
      </c>
      <c r="DF45" s="49" t="s">
        <v>313</v>
      </c>
      <c r="DG45" s="49" t="s">
        <v>53</v>
      </c>
      <c r="DH45" s="49" t="s">
        <v>313</v>
      </c>
      <c r="DI45" s="49" t="s">
        <v>313</v>
      </c>
      <c r="DJ45" s="49" t="s">
        <v>53</v>
      </c>
      <c r="DK45" s="49" t="s">
        <v>313</v>
      </c>
      <c r="DL45" s="49" t="s">
        <v>53</v>
      </c>
      <c r="DM45" s="49" t="s">
        <v>313</v>
      </c>
      <c r="DN45" s="49" t="s">
        <v>313</v>
      </c>
      <c r="DO45" s="118"/>
      <c r="DP45" s="49"/>
      <c r="DQ45" s="49" t="s">
        <v>58</v>
      </c>
      <c r="DR45" s="49" t="s">
        <v>58</v>
      </c>
      <c r="DS45" s="49" t="s">
        <v>58</v>
      </c>
      <c r="DT45" s="49" t="s">
        <v>58</v>
      </c>
      <c r="DU45" s="49" t="s">
        <v>58</v>
      </c>
      <c r="DV45" s="49" t="s">
        <v>58</v>
      </c>
      <c r="DW45" s="49" t="s">
        <v>58</v>
      </c>
      <c r="DX45" s="49" t="s">
        <v>58</v>
      </c>
      <c r="DY45" s="49" t="s">
        <v>58</v>
      </c>
      <c r="DZ45" s="49" t="s">
        <v>310</v>
      </c>
      <c r="EA45" s="118" t="s">
        <v>49</v>
      </c>
      <c r="EB45" s="49" t="s">
        <v>62</v>
      </c>
      <c r="EC45" s="49" t="s">
        <v>49</v>
      </c>
      <c r="ED45" s="49" t="s">
        <v>62</v>
      </c>
      <c r="EE45" s="49" t="s">
        <v>62</v>
      </c>
      <c r="EF45" s="49" t="s">
        <v>62</v>
      </c>
      <c r="EG45" s="120" t="s">
        <v>49</v>
      </c>
      <c r="EH45" s="117">
        <v>0</v>
      </c>
      <c r="EI45" s="117">
        <v>0</v>
      </c>
      <c r="EJ45" s="55">
        <v>0.02</v>
      </c>
      <c r="EK45" s="55">
        <v>0.02</v>
      </c>
      <c r="EL45" s="55">
        <v>0.02</v>
      </c>
      <c r="EM45" s="55">
        <v>0.02</v>
      </c>
      <c r="EN45" s="55">
        <v>0.02</v>
      </c>
      <c r="EO45" s="122">
        <v>0.02</v>
      </c>
      <c r="EP45" s="117">
        <v>11.6</v>
      </c>
      <c r="EQ45" s="117">
        <v>580</v>
      </c>
    </row>
    <row r="46" customFormat="1" ht="22.5" customHeight="1" spans="1:147">
      <c r="A46" s="108">
        <v>12308</v>
      </c>
      <c r="B46" s="109" t="s">
        <v>362</v>
      </c>
      <c r="C46" s="110">
        <v>46097</v>
      </c>
      <c r="D46" s="111">
        <f>IF(_xlfn.XLOOKUP(A46,[1]分配表!J:J,[1]分配表!M:M)=0,"未出单",_xlfn.XLOOKUP(A46,[1]分配表!J:J,[1]分配表!M:M))</f>
        <v>46099</v>
      </c>
      <c r="E46" s="112" t="str">
        <f>_xlfn.XLOOKUP(A46,[1]分配表!A:A,[1]分配表!C:C)</f>
        <v>俞东旭</v>
      </c>
      <c r="F46" s="112" t="str">
        <f>IF(_xlfn.XLOOKUP($A46,[1]分配表!$A:$A,[1]分配表!D:D)=0,"未分类",_xlfn.XLOOKUP($A46,[1]分配表!$A:$A,[1]分配表!D:D))</f>
        <v>车门系统</v>
      </c>
      <c r="G46" s="112" t="str">
        <f>_xlfn.XLOOKUP(A46,[1]分配表!J:J,[1]分配表!I:I)</f>
        <v>原开品</v>
      </c>
      <c r="H46" s="49">
        <v>0</v>
      </c>
      <c r="I46" s="49">
        <v>3</v>
      </c>
      <c r="J46" s="49">
        <v>4</v>
      </c>
      <c r="K46" s="49">
        <v>4</v>
      </c>
      <c r="L46" s="49">
        <v>3</v>
      </c>
      <c r="M46" s="49">
        <v>4</v>
      </c>
      <c r="N46" s="49">
        <v>4</v>
      </c>
      <c r="O46" s="49">
        <v>1</v>
      </c>
      <c r="P46" s="49">
        <v>0</v>
      </c>
      <c r="Q46" s="49">
        <v>0</v>
      </c>
      <c r="R46" s="49">
        <v>0</v>
      </c>
      <c r="S46" s="49">
        <v>3</v>
      </c>
      <c r="T46" s="113">
        <f t="shared" si="0"/>
        <v>3</v>
      </c>
      <c r="U46" s="114">
        <v>0</v>
      </c>
      <c r="V46" s="115">
        <v>1650</v>
      </c>
      <c r="W46" s="115">
        <v>2200</v>
      </c>
      <c r="X46" s="115">
        <v>2200</v>
      </c>
      <c r="Y46" s="115">
        <v>1749</v>
      </c>
      <c r="Z46" s="115">
        <v>2332</v>
      </c>
      <c r="AA46" s="115">
        <v>2342</v>
      </c>
      <c r="AB46" s="116">
        <v>588</v>
      </c>
      <c r="AC46" s="117">
        <v>0</v>
      </c>
      <c r="AD46" s="117">
        <v>0</v>
      </c>
      <c r="AE46" s="117">
        <v>0</v>
      </c>
      <c r="AF46" s="117">
        <v>1779</v>
      </c>
      <c r="AG46" s="115">
        <f t="shared" si="1"/>
        <v>1779</v>
      </c>
      <c r="AH46" s="118">
        <v>0</v>
      </c>
      <c r="AI46" s="49">
        <v>0</v>
      </c>
      <c r="AJ46" s="49">
        <v>0</v>
      </c>
      <c r="AK46" s="49">
        <v>4</v>
      </c>
      <c r="AL46" s="49">
        <v>1</v>
      </c>
      <c r="AM46" s="49">
        <v>3</v>
      </c>
      <c r="AN46" s="49">
        <v>3</v>
      </c>
      <c r="AO46" s="49">
        <v>1</v>
      </c>
      <c r="AP46" s="49">
        <v>1</v>
      </c>
      <c r="AQ46" s="49">
        <v>2</v>
      </c>
      <c r="AR46" s="49">
        <v>3</v>
      </c>
      <c r="AS46" s="49">
        <v>2</v>
      </c>
      <c r="AT46" s="119" t="s">
        <v>306</v>
      </c>
      <c r="AU46" s="55" t="s">
        <v>306</v>
      </c>
      <c r="AV46" s="55">
        <v>1</v>
      </c>
      <c r="AW46" s="55">
        <v>0.5</v>
      </c>
      <c r="AX46" s="55">
        <v>0.75</v>
      </c>
      <c r="AY46" s="55">
        <v>0.571428571428571</v>
      </c>
      <c r="AZ46" s="55">
        <v>0.5</v>
      </c>
      <c r="BA46" s="55">
        <v>0.75</v>
      </c>
      <c r="BB46" s="55">
        <v>0</v>
      </c>
      <c r="BC46" s="55">
        <v>0</v>
      </c>
      <c r="BD46" s="55">
        <v>0</v>
      </c>
      <c r="BE46" s="55">
        <v>0.6</v>
      </c>
      <c r="BF46" s="118" t="s">
        <v>328</v>
      </c>
      <c r="BG46" s="49">
        <v>1</v>
      </c>
      <c r="BH46" s="49">
        <v>8</v>
      </c>
      <c r="BI46" s="49">
        <v>16</v>
      </c>
      <c r="BJ46" s="49">
        <v>0</v>
      </c>
      <c r="BK46" s="49">
        <v>8</v>
      </c>
      <c r="BL46" s="49">
        <v>1</v>
      </c>
      <c r="BM46" s="49">
        <v>1</v>
      </c>
      <c r="BN46" s="49">
        <v>8</v>
      </c>
      <c r="BO46" s="49">
        <v>1</v>
      </c>
      <c r="BP46" s="49">
        <v>8</v>
      </c>
      <c r="BQ46" s="120">
        <v>15</v>
      </c>
      <c r="BR46" s="115" t="s">
        <v>328</v>
      </c>
      <c r="BS46" s="115" t="s">
        <v>49</v>
      </c>
      <c r="BT46" s="115" t="s">
        <v>49</v>
      </c>
      <c r="BU46" s="115" t="s">
        <v>49</v>
      </c>
      <c r="BV46" s="115" t="s">
        <v>49</v>
      </c>
      <c r="BW46" s="115" t="s">
        <v>49</v>
      </c>
      <c r="BX46" s="115" t="s">
        <v>49</v>
      </c>
      <c r="BY46" s="115" t="s">
        <v>49</v>
      </c>
      <c r="BZ46" s="115" t="s">
        <v>49</v>
      </c>
      <c r="CA46" s="115" t="s">
        <v>49</v>
      </c>
      <c r="CB46" s="115" t="s">
        <v>49</v>
      </c>
      <c r="CC46" s="115" t="s">
        <v>49</v>
      </c>
      <c r="CD46" s="114" t="s">
        <v>328</v>
      </c>
      <c r="CE46" s="115" t="s">
        <v>53</v>
      </c>
      <c r="CF46" s="115" t="s">
        <v>152</v>
      </c>
      <c r="CG46" s="115" t="s">
        <v>152</v>
      </c>
      <c r="CH46" s="115" t="s">
        <v>53</v>
      </c>
      <c r="CI46" s="115" t="s">
        <v>152</v>
      </c>
      <c r="CJ46" s="115" t="s">
        <v>53</v>
      </c>
      <c r="CK46" s="115" t="s">
        <v>53</v>
      </c>
      <c r="CL46" s="115" t="s">
        <v>152</v>
      </c>
      <c r="CM46" s="115" t="s">
        <v>53</v>
      </c>
      <c r="CN46" s="115" t="s">
        <v>152</v>
      </c>
      <c r="CO46" s="121" t="s">
        <v>152</v>
      </c>
      <c r="CP46" s="115" t="s">
        <v>328</v>
      </c>
      <c r="CQ46" s="115" t="s">
        <v>53</v>
      </c>
      <c r="CR46" s="115" t="s">
        <v>53</v>
      </c>
      <c r="CS46" s="115" t="s">
        <v>53</v>
      </c>
      <c r="CT46" s="115" t="s">
        <v>53</v>
      </c>
      <c r="CU46" s="115" t="s">
        <v>53</v>
      </c>
      <c r="CV46" s="115" t="s">
        <v>53</v>
      </c>
      <c r="CW46" s="115" t="s">
        <v>53</v>
      </c>
      <c r="CX46" s="115" t="s">
        <v>53</v>
      </c>
      <c r="CY46" s="115" t="s">
        <v>53</v>
      </c>
      <c r="CZ46" s="115" t="s">
        <v>53</v>
      </c>
      <c r="DA46" s="115" t="s">
        <v>53</v>
      </c>
      <c r="DB46" s="118" t="s">
        <v>328</v>
      </c>
      <c r="DC46" s="49" t="s">
        <v>328</v>
      </c>
      <c r="DD46" s="49" t="s">
        <v>307</v>
      </c>
      <c r="DE46" s="49" t="s">
        <v>53</v>
      </c>
      <c r="DF46" s="49" t="s">
        <v>53</v>
      </c>
      <c r="DG46" s="49" t="s">
        <v>53</v>
      </c>
      <c r="DH46" s="49" t="s">
        <v>53</v>
      </c>
      <c r="DI46" s="49" t="s">
        <v>313</v>
      </c>
      <c r="DJ46" s="49" t="s">
        <v>53</v>
      </c>
      <c r="DK46" s="49" t="s">
        <v>313</v>
      </c>
      <c r="DL46" s="49" t="s">
        <v>313</v>
      </c>
      <c r="DM46" s="49" t="s">
        <v>313</v>
      </c>
      <c r="DN46" s="49" t="s">
        <v>313</v>
      </c>
      <c r="DO46" s="118"/>
      <c r="DP46" s="49"/>
      <c r="DQ46" s="49" t="s">
        <v>58</v>
      </c>
      <c r="DR46" s="49" t="s">
        <v>310</v>
      </c>
      <c r="DS46" s="49" t="s">
        <v>58</v>
      </c>
      <c r="DT46" s="49" t="s">
        <v>58</v>
      </c>
      <c r="DU46" s="49" t="s">
        <v>315</v>
      </c>
      <c r="DV46" s="49" t="s">
        <v>58</v>
      </c>
      <c r="DW46" s="49" t="s">
        <v>58</v>
      </c>
      <c r="DX46" s="49" t="s">
        <v>310</v>
      </c>
      <c r="DY46" s="49" t="s">
        <v>58</v>
      </c>
      <c r="DZ46" s="49" t="s">
        <v>310</v>
      </c>
      <c r="EA46" s="118" t="s">
        <v>49</v>
      </c>
      <c r="EB46" s="49" t="s">
        <v>62</v>
      </c>
      <c r="EC46" s="49" t="s">
        <v>49</v>
      </c>
      <c r="ED46" s="49" t="s">
        <v>62</v>
      </c>
      <c r="EE46" s="49" t="s">
        <v>62</v>
      </c>
      <c r="EF46" s="49" t="s">
        <v>62</v>
      </c>
      <c r="EG46" s="120" t="s">
        <v>49</v>
      </c>
      <c r="EH46" s="117">
        <v>0</v>
      </c>
      <c r="EI46" s="117">
        <v>0</v>
      </c>
      <c r="EJ46" s="55">
        <v>0.02</v>
      </c>
      <c r="EK46" s="55">
        <v>0.02</v>
      </c>
      <c r="EL46" s="55">
        <v>0.02</v>
      </c>
      <c r="EM46" s="55">
        <v>0.02</v>
      </c>
      <c r="EN46" s="55">
        <v>0.02</v>
      </c>
      <c r="EO46" s="122">
        <v>0.02</v>
      </c>
      <c r="EP46" s="117">
        <v>36.29</v>
      </c>
      <c r="EQ46" s="117">
        <v>1814.58</v>
      </c>
    </row>
    <row r="47" customFormat="1" ht="22.5" customHeight="1" spans="1:147">
      <c r="A47" s="108">
        <v>12293</v>
      </c>
      <c r="B47" s="109" t="s">
        <v>363</v>
      </c>
      <c r="C47" s="110">
        <v>46099</v>
      </c>
      <c r="D47" s="111">
        <f>IF(_xlfn.XLOOKUP(A47,[1]分配表!J:J,[1]分配表!M:M)=0,"未出单",_xlfn.XLOOKUP(A47,[1]分配表!J:J,[1]分配表!M:M))</f>
        <v>46104</v>
      </c>
      <c r="E47" s="112" t="str">
        <f>_xlfn.XLOOKUP(A47,[1]分配表!A:A,[1]分配表!C:C)</f>
        <v>朱培源</v>
      </c>
      <c r="F47" s="112" t="str">
        <f>IF(_xlfn.XLOOKUP($A47,[1]分配表!$A:$A,[1]分配表!D:D)=0,"未分类",_xlfn.XLOOKUP($A47,[1]分配表!$A:$A,[1]分配表!D:D))</f>
        <v>车门系统</v>
      </c>
      <c r="G47" s="112" t="str">
        <f>_xlfn.XLOOKUP(A47,[1]分配表!J:J,[1]分配表!I:I)</f>
        <v>原开品</v>
      </c>
      <c r="H47" s="49">
        <v>0</v>
      </c>
      <c r="I47" s="49">
        <v>0</v>
      </c>
      <c r="J47" s="49">
        <v>1</v>
      </c>
      <c r="K47" s="49">
        <v>0</v>
      </c>
      <c r="L47" s="49">
        <v>1</v>
      </c>
      <c r="M47" s="49">
        <v>0</v>
      </c>
      <c r="N47" s="49">
        <v>0</v>
      </c>
      <c r="O47" s="49">
        <v>2</v>
      </c>
      <c r="P47" s="49">
        <v>0</v>
      </c>
      <c r="Q47" s="49">
        <v>0</v>
      </c>
      <c r="R47" s="49">
        <v>0</v>
      </c>
      <c r="S47" s="49">
        <v>0</v>
      </c>
      <c r="T47" s="113">
        <f t="shared" si="0"/>
        <v>0</v>
      </c>
      <c r="U47" s="114">
        <v>0</v>
      </c>
      <c r="V47" s="115">
        <v>0</v>
      </c>
      <c r="W47" s="115">
        <v>55</v>
      </c>
      <c r="X47" s="115">
        <v>0</v>
      </c>
      <c r="Y47" s="115">
        <v>52.25</v>
      </c>
      <c r="Z47" s="115">
        <v>0</v>
      </c>
      <c r="AA47" s="115">
        <v>0</v>
      </c>
      <c r="AB47" s="116">
        <v>110</v>
      </c>
      <c r="AC47" s="117">
        <v>0</v>
      </c>
      <c r="AD47" s="117">
        <v>0</v>
      </c>
      <c r="AE47" s="117">
        <v>0</v>
      </c>
      <c r="AF47" s="117">
        <v>0</v>
      </c>
      <c r="AG47" s="115">
        <f t="shared" si="1"/>
        <v>0</v>
      </c>
      <c r="AH47" s="118">
        <v>0</v>
      </c>
      <c r="AI47" s="49">
        <v>0</v>
      </c>
      <c r="AJ47" s="49">
        <v>0</v>
      </c>
      <c r="AK47" s="49">
        <v>1</v>
      </c>
      <c r="AL47" s="49">
        <v>0</v>
      </c>
      <c r="AM47" s="49">
        <v>2</v>
      </c>
      <c r="AN47" s="49">
        <v>0</v>
      </c>
      <c r="AO47" s="49">
        <v>0</v>
      </c>
      <c r="AP47" s="49">
        <v>0</v>
      </c>
      <c r="AQ47" s="49">
        <v>0</v>
      </c>
      <c r="AR47" s="49">
        <v>0</v>
      </c>
      <c r="AS47" s="49">
        <v>0</v>
      </c>
      <c r="AT47" s="119" t="s">
        <v>306</v>
      </c>
      <c r="AU47" s="55" t="s">
        <v>306</v>
      </c>
      <c r="AV47" s="55">
        <v>1</v>
      </c>
      <c r="AW47" s="55">
        <v>0</v>
      </c>
      <c r="AX47" s="55">
        <v>1</v>
      </c>
      <c r="AY47" s="55">
        <v>0</v>
      </c>
      <c r="AZ47" s="55" t="s">
        <v>306</v>
      </c>
      <c r="BA47" s="55">
        <v>1</v>
      </c>
      <c r="BB47" s="55" t="s">
        <v>306</v>
      </c>
      <c r="BC47" s="55" t="s">
        <v>306</v>
      </c>
      <c r="BD47" s="55" t="s">
        <v>306</v>
      </c>
      <c r="BE47" s="55" t="s">
        <v>306</v>
      </c>
      <c r="BF47" s="118" t="s">
        <v>328</v>
      </c>
      <c r="BG47" s="49" t="s">
        <v>328</v>
      </c>
      <c r="BH47" s="49">
        <v>2</v>
      </c>
      <c r="BI47" s="49">
        <v>1</v>
      </c>
      <c r="BJ47" s="49">
        <v>7</v>
      </c>
      <c r="BK47" s="49">
        <v>15</v>
      </c>
      <c r="BL47" s="49">
        <v>1</v>
      </c>
      <c r="BM47" s="49">
        <v>8</v>
      </c>
      <c r="BN47" s="49">
        <v>15</v>
      </c>
      <c r="BO47" s="49">
        <v>22</v>
      </c>
      <c r="BP47" s="49">
        <v>29</v>
      </c>
      <c r="BQ47" s="120">
        <v>36</v>
      </c>
      <c r="BR47" s="115" t="s">
        <v>328</v>
      </c>
      <c r="BS47" s="115" t="s">
        <v>328</v>
      </c>
      <c r="BT47" s="115" t="s">
        <v>49</v>
      </c>
      <c r="BU47" s="115" t="s">
        <v>49</v>
      </c>
      <c r="BV47" s="115" t="s">
        <v>49</v>
      </c>
      <c r="BW47" s="115" t="s">
        <v>49</v>
      </c>
      <c r="BX47" s="115" t="s">
        <v>49</v>
      </c>
      <c r="BY47" s="115" t="s">
        <v>49</v>
      </c>
      <c r="BZ47" s="115" t="s">
        <v>49</v>
      </c>
      <c r="CA47" s="115" t="s">
        <v>49</v>
      </c>
      <c r="CB47" s="115" t="s">
        <v>49</v>
      </c>
      <c r="CC47" s="115" t="s">
        <v>49</v>
      </c>
      <c r="CD47" s="114" t="s">
        <v>328</v>
      </c>
      <c r="CE47" s="115" t="s">
        <v>328</v>
      </c>
      <c r="CF47" s="115" t="s">
        <v>53</v>
      </c>
      <c r="CG47" s="115" t="s">
        <v>53</v>
      </c>
      <c r="CH47" s="115" t="s">
        <v>53</v>
      </c>
      <c r="CI47" s="115" t="s">
        <v>152</v>
      </c>
      <c r="CJ47" s="115" t="s">
        <v>53</v>
      </c>
      <c r="CK47" s="115" t="s">
        <v>53</v>
      </c>
      <c r="CL47" s="115" t="s">
        <v>53</v>
      </c>
      <c r="CM47" s="115" t="s">
        <v>53</v>
      </c>
      <c r="CN47" s="115" t="s">
        <v>53</v>
      </c>
      <c r="CO47" s="121" t="s">
        <v>53</v>
      </c>
      <c r="CP47" s="115" t="s">
        <v>328</v>
      </c>
      <c r="CQ47" s="115" t="s">
        <v>328</v>
      </c>
      <c r="CR47" s="115" t="s">
        <v>53</v>
      </c>
      <c r="CS47" s="115" t="s">
        <v>53</v>
      </c>
      <c r="CT47" s="115" t="s">
        <v>53</v>
      </c>
      <c r="CU47" s="115" t="s">
        <v>53</v>
      </c>
      <c r="CV47" s="115" t="s">
        <v>53</v>
      </c>
      <c r="CW47" s="115" t="s">
        <v>53</v>
      </c>
      <c r="CX47" s="115" t="s">
        <v>53</v>
      </c>
      <c r="CY47" s="115" t="s">
        <v>53</v>
      </c>
      <c r="CZ47" s="115" t="s">
        <v>53</v>
      </c>
      <c r="DA47" s="115" t="s">
        <v>53</v>
      </c>
      <c r="DB47" s="118" t="s">
        <v>328</v>
      </c>
      <c r="DC47" s="49" t="s">
        <v>328</v>
      </c>
      <c r="DD47" s="49" t="s">
        <v>328</v>
      </c>
      <c r="DE47" s="49" t="s">
        <v>53</v>
      </c>
      <c r="DF47" s="49" t="s">
        <v>313</v>
      </c>
      <c r="DG47" s="49" t="s">
        <v>53</v>
      </c>
      <c r="DH47" s="49" t="s">
        <v>313</v>
      </c>
      <c r="DI47" s="49" t="s">
        <v>307</v>
      </c>
      <c r="DJ47" s="49" t="s">
        <v>53</v>
      </c>
      <c r="DK47" s="49" t="s">
        <v>307</v>
      </c>
      <c r="DL47" s="49" t="s">
        <v>307</v>
      </c>
      <c r="DM47" s="49" t="s">
        <v>156</v>
      </c>
      <c r="DN47" s="49" t="s">
        <v>156</v>
      </c>
      <c r="DO47" s="118"/>
      <c r="DP47" s="49"/>
      <c r="DQ47" s="49" t="s">
        <v>328</v>
      </c>
      <c r="DR47" s="49" t="s">
        <v>58</v>
      </c>
      <c r="DS47" s="49" t="s">
        <v>58</v>
      </c>
      <c r="DT47" s="49" t="s">
        <v>58</v>
      </c>
      <c r="DU47" s="49" t="s">
        <v>310</v>
      </c>
      <c r="DV47" s="49" t="s">
        <v>58</v>
      </c>
      <c r="DW47" s="49" t="s">
        <v>58</v>
      </c>
      <c r="DX47" s="49" t="s">
        <v>58</v>
      </c>
      <c r="DY47" s="49" t="s">
        <v>58</v>
      </c>
      <c r="DZ47" s="49" t="s">
        <v>58</v>
      </c>
      <c r="EA47" s="118" t="s">
        <v>62</v>
      </c>
      <c r="EB47" s="49" t="s">
        <v>62</v>
      </c>
      <c r="EC47" s="49" t="s">
        <v>62</v>
      </c>
      <c r="ED47" s="49" t="s">
        <v>62</v>
      </c>
      <c r="EE47" s="49" t="s">
        <v>62</v>
      </c>
      <c r="EF47" s="49" t="s">
        <v>62</v>
      </c>
      <c r="EG47" s="120" t="s">
        <v>62</v>
      </c>
      <c r="EH47" s="117">
        <v>0</v>
      </c>
      <c r="EI47" s="117">
        <v>0</v>
      </c>
      <c r="EJ47" s="55">
        <v>0.05</v>
      </c>
      <c r="EK47" s="55">
        <v>0.05</v>
      </c>
      <c r="EL47" s="55">
        <v>0.02</v>
      </c>
      <c r="EM47" s="55">
        <v>0.05</v>
      </c>
      <c r="EN47" s="55">
        <v>0.02</v>
      </c>
      <c r="EO47" s="122">
        <v>0.02</v>
      </c>
      <c r="EP47" s="117">
        <v>0</v>
      </c>
      <c r="EQ47" s="117">
        <v>0</v>
      </c>
    </row>
    <row r="48" customFormat="1" ht="22.5" customHeight="1" spans="1:147">
      <c r="A48" s="108">
        <v>12298</v>
      </c>
      <c r="B48" s="109" t="s">
        <v>364</v>
      </c>
      <c r="C48" s="110">
        <v>46099</v>
      </c>
      <c r="D48" s="111">
        <f>IF(_xlfn.XLOOKUP(A48,[1]分配表!J:J,[1]分配表!M:M)=0,"未出单",_xlfn.XLOOKUP(A48,[1]分配表!J:J,[1]分配表!M:M))</f>
        <v>46157</v>
      </c>
      <c r="E48" s="112" t="str">
        <f>_xlfn.XLOOKUP(A48,[1]分配表!A:A,[1]分配表!C:C)</f>
        <v>朱培源</v>
      </c>
      <c r="F48" s="112" t="str">
        <f>IF(_xlfn.XLOOKUP($A48,[1]分配表!$A:$A,[1]分配表!D:D)=0,"未分类",_xlfn.XLOOKUP($A48,[1]分配表!$A:$A,[1]分配表!D:D))</f>
        <v>车门系统</v>
      </c>
      <c r="G48" s="112" t="str">
        <f>_xlfn.XLOOKUP(A48,[1]分配表!J:J,[1]分配表!I:I)</f>
        <v>拓展品</v>
      </c>
      <c r="H48" s="49">
        <v>0</v>
      </c>
      <c r="I48" s="49">
        <v>0</v>
      </c>
      <c r="J48" s="49">
        <v>0</v>
      </c>
      <c r="K48" s="49">
        <v>0</v>
      </c>
      <c r="L48" s="49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1</v>
      </c>
      <c r="S48" s="49">
        <v>0</v>
      </c>
      <c r="T48" s="113">
        <f t="shared" si="0"/>
        <v>-1</v>
      </c>
      <c r="U48" s="114">
        <v>0</v>
      </c>
      <c r="V48" s="115">
        <v>0</v>
      </c>
      <c r="W48" s="115">
        <v>0</v>
      </c>
      <c r="X48" s="115">
        <v>0</v>
      </c>
      <c r="Y48" s="115">
        <v>0</v>
      </c>
      <c r="Z48" s="115">
        <v>0</v>
      </c>
      <c r="AA48" s="115">
        <v>0</v>
      </c>
      <c r="AB48" s="116">
        <v>0</v>
      </c>
      <c r="AC48" s="117">
        <v>0</v>
      </c>
      <c r="AD48" s="117">
        <v>0</v>
      </c>
      <c r="AE48" s="117">
        <v>24.78</v>
      </c>
      <c r="AF48" s="117">
        <v>0</v>
      </c>
      <c r="AG48" s="115">
        <f t="shared" si="1"/>
        <v>-24.78</v>
      </c>
      <c r="AH48" s="118">
        <v>0</v>
      </c>
      <c r="AI48" s="49">
        <v>0</v>
      </c>
      <c r="AJ48" s="49">
        <v>1</v>
      </c>
      <c r="AK48" s="49">
        <v>2</v>
      </c>
      <c r="AL48" s="49">
        <v>1</v>
      </c>
      <c r="AM48" s="49">
        <v>4</v>
      </c>
      <c r="AN48" s="49">
        <v>0</v>
      </c>
      <c r="AO48" s="49">
        <v>0</v>
      </c>
      <c r="AP48" s="49">
        <v>3</v>
      </c>
      <c r="AQ48" s="49">
        <v>0</v>
      </c>
      <c r="AR48" s="49">
        <v>0</v>
      </c>
      <c r="AS48" s="49">
        <v>1</v>
      </c>
      <c r="AT48" s="119" t="s">
        <v>306</v>
      </c>
      <c r="AU48" s="55" t="s">
        <v>306</v>
      </c>
      <c r="AV48" s="55">
        <v>0</v>
      </c>
      <c r="AW48" s="55">
        <v>0</v>
      </c>
      <c r="AX48" s="55">
        <v>0</v>
      </c>
      <c r="AY48" s="55">
        <v>0</v>
      </c>
      <c r="AZ48" s="55" t="s">
        <v>306</v>
      </c>
      <c r="BA48" s="55" t="s">
        <v>306</v>
      </c>
      <c r="BB48" s="55">
        <v>0</v>
      </c>
      <c r="BC48" s="55" t="s">
        <v>306</v>
      </c>
      <c r="BD48" s="55">
        <v>1</v>
      </c>
      <c r="BE48" s="55">
        <v>0</v>
      </c>
      <c r="BF48" s="118" t="s">
        <v>328</v>
      </c>
      <c r="BG48" s="49" t="s">
        <v>328</v>
      </c>
      <c r="BH48" s="49">
        <v>2</v>
      </c>
      <c r="BI48" s="49">
        <v>1</v>
      </c>
      <c r="BJ48" s="49">
        <v>7</v>
      </c>
      <c r="BK48" s="49">
        <v>6</v>
      </c>
      <c r="BL48" s="49">
        <v>2</v>
      </c>
      <c r="BM48" s="49">
        <v>9</v>
      </c>
      <c r="BN48" s="49">
        <v>6</v>
      </c>
      <c r="BO48" s="49">
        <v>6</v>
      </c>
      <c r="BP48" s="49">
        <v>13</v>
      </c>
      <c r="BQ48" s="120">
        <v>6</v>
      </c>
      <c r="BR48" s="115" t="s">
        <v>328</v>
      </c>
      <c r="BS48" s="115" t="s">
        <v>328</v>
      </c>
      <c r="BT48" s="115" t="s">
        <v>149</v>
      </c>
      <c r="BU48" s="115" t="s">
        <v>149</v>
      </c>
      <c r="BV48" s="115" t="s">
        <v>149</v>
      </c>
      <c r="BW48" s="115" t="s">
        <v>149</v>
      </c>
      <c r="BX48" s="115" t="s">
        <v>149</v>
      </c>
      <c r="BY48" s="115" t="s">
        <v>149</v>
      </c>
      <c r="BZ48" s="115" t="s">
        <v>149</v>
      </c>
      <c r="CA48" s="115" t="s">
        <v>149</v>
      </c>
      <c r="CB48" s="115" t="s">
        <v>62</v>
      </c>
      <c r="CC48" s="115" t="s">
        <v>62</v>
      </c>
      <c r="CD48" s="114" t="s">
        <v>328</v>
      </c>
      <c r="CE48" s="115" t="s">
        <v>328</v>
      </c>
      <c r="CF48" s="115" t="s">
        <v>53</v>
      </c>
      <c r="CG48" s="115" t="s">
        <v>53</v>
      </c>
      <c r="CH48" s="115" t="s">
        <v>53</v>
      </c>
      <c r="CI48" s="115" t="s">
        <v>53</v>
      </c>
      <c r="CJ48" s="115" t="s">
        <v>53</v>
      </c>
      <c r="CK48" s="115" t="s">
        <v>53</v>
      </c>
      <c r="CL48" s="115" t="s">
        <v>53</v>
      </c>
      <c r="CM48" s="115" t="s">
        <v>53</v>
      </c>
      <c r="CN48" s="115" t="s">
        <v>53</v>
      </c>
      <c r="CO48" s="121" t="s">
        <v>53</v>
      </c>
      <c r="CP48" s="115" t="s">
        <v>328</v>
      </c>
      <c r="CQ48" s="115" t="s">
        <v>328</v>
      </c>
      <c r="CR48" s="115" t="s">
        <v>53</v>
      </c>
      <c r="CS48" s="115" t="s">
        <v>53</v>
      </c>
      <c r="CT48" s="115" t="s">
        <v>53</v>
      </c>
      <c r="CU48" s="115" t="s">
        <v>53</v>
      </c>
      <c r="CV48" s="115" t="s">
        <v>53</v>
      </c>
      <c r="CW48" s="115" t="s">
        <v>53</v>
      </c>
      <c r="CX48" s="115" t="s">
        <v>53</v>
      </c>
      <c r="CY48" s="115" t="s">
        <v>53</v>
      </c>
      <c r="CZ48" s="115" t="s">
        <v>53</v>
      </c>
      <c r="DA48" s="115" t="s">
        <v>53</v>
      </c>
      <c r="DB48" s="118" t="s">
        <v>328</v>
      </c>
      <c r="DC48" s="49" t="s">
        <v>328</v>
      </c>
      <c r="DD48" s="49" t="s">
        <v>328</v>
      </c>
      <c r="DE48" s="49" t="s">
        <v>307</v>
      </c>
      <c r="DF48" s="49" t="s">
        <v>313</v>
      </c>
      <c r="DG48" s="49" t="s">
        <v>313</v>
      </c>
      <c r="DH48" s="49" t="s">
        <v>313</v>
      </c>
      <c r="DI48" s="49" t="s">
        <v>307</v>
      </c>
      <c r="DJ48" s="49" t="s">
        <v>307</v>
      </c>
      <c r="DK48" s="49" t="s">
        <v>313</v>
      </c>
      <c r="DL48" s="49" t="s">
        <v>307</v>
      </c>
      <c r="DM48" s="49" t="s">
        <v>53</v>
      </c>
      <c r="DN48" s="49" t="s">
        <v>313</v>
      </c>
      <c r="DO48" s="118"/>
      <c r="DP48" s="49"/>
      <c r="DQ48" s="49" t="s">
        <v>328</v>
      </c>
      <c r="DR48" s="49" t="s">
        <v>308</v>
      </c>
      <c r="DS48" s="49" t="s">
        <v>365</v>
      </c>
      <c r="DT48" s="49" t="s">
        <v>365</v>
      </c>
      <c r="DU48" s="49" t="s">
        <v>315</v>
      </c>
      <c r="DV48" s="49" t="s">
        <v>310</v>
      </c>
      <c r="DW48" s="49" t="s">
        <v>314</v>
      </c>
      <c r="DX48" s="49" t="s">
        <v>314</v>
      </c>
      <c r="DY48" s="49" t="s">
        <v>316</v>
      </c>
      <c r="DZ48" s="49" t="s">
        <v>58</v>
      </c>
      <c r="EA48" s="118" t="s">
        <v>62</v>
      </c>
      <c r="EB48" s="49" t="s">
        <v>62</v>
      </c>
      <c r="EC48" s="49" t="s">
        <v>62</v>
      </c>
      <c r="ED48" s="49" t="s">
        <v>62</v>
      </c>
      <c r="EE48" s="49" t="s">
        <v>62</v>
      </c>
      <c r="EF48" s="49" t="s">
        <v>62</v>
      </c>
      <c r="EG48" s="120" t="s">
        <v>62</v>
      </c>
      <c r="EH48" s="117">
        <v>0</v>
      </c>
      <c r="EI48" s="117">
        <v>0</v>
      </c>
      <c r="EJ48" s="55">
        <v>0.05</v>
      </c>
      <c r="EK48" s="55">
        <v>0.04</v>
      </c>
      <c r="EL48" s="55">
        <v>0.02</v>
      </c>
      <c r="EM48" s="55">
        <v>0.04</v>
      </c>
      <c r="EN48" s="55">
        <v>0.02</v>
      </c>
      <c r="EO48" s="122">
        <v>0.02</v>
      </c>
      <c r="EP48" s="117">
        <v>0</v>
      </c>
      <c r="EQ48" s="117">
        <v>0</v>
      </c>
    </row>
    <row r="49" customFormat="1" ht="22.5" customHeight="1" spans="1:147">
      <c r="A49" s="108">
        <v>12299</v>
      </c>
      <c r="B49" s="109" t="s">
        <v>366</v>
      </c>
      <c r="C49" s="110">
        <v>46099</v>
      </c>
      <c r="D49" s="111">
        <f>IF(_xlfn.XLOOKUP(A49,[1]分配表!J:J,[1]分配表!M:M)=0,"未出单",_xlfn.XLOOKUP(A49,[1]分配表!J:J,[1]分配表!M:M))</f>
        <v>46119</v>
      </c>
      <c r="E49" s="112" t="str">
        <f>_xlfn.XLOOKUP(A49,[1]分配表!A:A,[1]分配表!C:C)</f>
        <v>朱培源</v>
      </c>
      <c r="F49" s="112" t="str">
        <f>IF(_xlfn.XLOOKUP($A49,[1]分配表!$A:$A,[1]分配表!D:D)=0,"未分类",_xlfn.XLOOKUP($A49,[1]分配表!$A:$A,[1]分配表!D:D))</f>
        <v>车门系统</v>
      </c>
      <c r="G49" s="112" t="str">
        <f>_xlfn.XLOOKUP(A49,[1]分配表!J:J,[1]分配表!I:I)</f>
        <v>拓展品</v>
      </c>
      <c r="H49" s="49">
        <v>0</v>
      </c>
      <c r="I49" s="49">
        <v>0</v>
      </c>
      <c r="J49" s="49">
        <v>0</v>
      </c>
      <c r="K49" s="49">
        <v>0</v>
      </c>
      <c r="L49" s="49">
        <v>2</v>
      </c>
      <c r="M49" s="49">
        <v>3</v>
      </c>
      <c r="N49" s="49">
        <v>0</v>
      </c>
      <c r="O49" s="49">
        <v>0</v>
      </c>
      <c r="P49" s="49">
        <v>0</v>
      </c>
      <c r="Q49" s="49">
        <v>1</v>
      </c>
      <c r="R49" s="49">
        <v>0</v>
      </c>
      <c r="S49" s="49">
        <v>0</v>
      </c>
      <c r="T49" s="113">
        <f t="shared" si="0"/>
        <v>0</v>
      </c>
      <c r="U49" s="114">
        <v>0</v>
      </c>
      <c r="V49" s="115">
        <v>0</v>
      </c>
      <c r="W49" s="115">
        <v>0</v>
      </c>
      <c r="X49" s="115">
        <v>0</v>
      </c>
      <c r="Y49" s="115">
        <v>52.84</v>
      </c>
      <c r="Z49" s="115">
        <v>79.26</v>
      </c>
      <c r="AA49" s="115">
        <v>0</v>
      </c>
      <c r="AB49" s="116">
        <v>0</v>
      </c>
      <c r="AC49" s="117">
        <v>0</v>
      </c>
      <c r="AD49" s="117">
        <v>28</v>
      </c>
      <c r="AE49" s="117">
        <v>0</v>
      </c>
      <c r="AF49" s="117">
        <v>0</v>
      </c>
      <c r="AG49" s="115">
        <f t="shared" si="1"/>
        <v>0</v>
      </c>
      <c r="AH49" s="118">
        <v>0</v>
      </c>
      <c r="AI49" s="49">
        <v>0</v>
      </c>
      <c r="AJ49" s="49">
        <v>1</v>
      </c>
      <c r="AK49" s="49">
        <v>4</v>
      </c>
      <c r="AL49" s="49">
        <v>0</v>
      </c>
      <c r="AM49" s="49">
        <v>1</v>
      </c>
      <c r="AN49" s="49">
        <v>2</v>
      </c>
      <c r="AO49" s="49">
        <v>2</v>
      </c>
      <c r="AP49" s="49">
        <v>1</v>
      </c>
      <c r="AQ49" s="49">
        <v>0</v>
      </c>
      <c r="AR49" s="49">
        <v>2</v>
      </c>
      <c r="AS49" s="49">
        <v>1</v>
      </c>
      <c r="AT49" s="119" t="s">
        <v>306</v>
      </c>
      <c r="AU49" s="55" t="s">
        <v>306</v>
      </c>
      <c r="AV49" s="55">
        <v>0</v>
      </c>
      <c r="AW49" s="55">
        <v>0</v>
      </c>
      <c r="AX49" s="55">
        <v>1</v>
      </c>
      <c r="AY49" s="55">
        <v>0.75</v>
      </c>
      <c r="AZ49" s="55">
        <v>0</v>
      </c>
      <c r="BA49" s="55">
        <v>0</v>
      </c>
      <c r="BB49" s="55">
        <v>0</v>
      </c>
      <c r="BC49" s="55" t="s">
        <v>306</v>
      </c>
      <c r="BD49" s="55">
        <v>0.3333</v>
      </c>
      <c r="BE49" s="55">
        <v>0</v>
      </c>
      <c r="BF49" s="118" t="s">
        <v>328</v>
      </c>
      <c r="BG49" s="49" t="s">
        <v>328</v>
      </c>
      <c r="BH49" s="49">
        <v>2</v>
      </c>
      <c r="BI49" s="49">
        <v>1</v>
      </c>
      <c r="BJ49" s="49">
        <v>5</v>
      </c>
      <c r="BK49" s="49">
        <v>13</v>
      </c>
      <c r="BL49" s="49">
        <v>1</v>
      </c>
      <c r="BM49" s="49">
        <v>8</v>
      </c>
      <c r="BN49" s="49">
        <v>15</v>
      </c>
      <c r="BO49" s="49">
        <v>6</v>
      </c>
      <c r="BP49" s="49">
        <v>13</v>
      </c>
      <c r="BQ49" s="120">
        <v>0</v>
      </c>
      <c r="BR49" s="115" t="s">
        <v>328</v>
      </c>
      <c r="BS49" s="115" t="s">
        <v>328</v>
      </c>
      <c r="BT49" s="115" t="s">
        <v>149</v>
      </c>
      <c r="BU49" s="115" t="s">
        <v>149</v>
      </c>
      <c r="BV49" s="115" t="s">
        <v>62</v>
      </c>
      <c r="BW49" s="115" t="s">
        <v>62</v>
      </c>
      <c r="BX49" s="115" t="s">
        <v>62</v>
      </c>
      <c r="BY49" s="115" t="s">
        <v>62</v>
      </c>
      <c r="BZ49" s="115" t="s">
        <v>62</v>
      </c>
      <c r="CA49" s="115" t="s">
        <v>62</v>
      </c>
      <c r="CB49" s="115" t="s">
        <v>62</v>
      </c>
      <c r="CC49" s="115" t="s">
        <v>62</v>
      </c>
      <c r="CD49" s="114" t="s">
        <v>328</v>
      </c>
      <c r="CE49" s="115" t="s">
        <v>328</v>
      </c>
      <c r="CF49" s="115" t="s">
        <v>53</v>
      </c>
      <c r="CG49" s="115" t="s">
        <v>53</v>
      </c>
      <c r="CH49" s="115" t="s">
        <v>53</v>
      </c>
      <c r="CI49" s="115" t="s">
        <v>152</v>
      </c>
      <c r="CJ49" s="115" t="s">
        <v>53</v>
      </c>
      <c r="CK49" s="115" t="s">
        <v>152</v>
      </c>
      <c r="CL49" s="115" t="s">
        <v>152</v>
      </c>
      <c r="CM49" s="115" t="s">
        <v>53</v>
      </c>
      <c r="CN49" s="115" t="s">
        <v>152</v>
      </c>
      <c r="CO49" s="121" t="s">
        <v>53</v>
      </c>
      <c r="CP49" s="115" t="s">
        <v>328</v>
      </c>
      <c r="CQ49" s="115" t="s">
        <v>328</v>
      </c>
      <c r="CR49" s="115" t="s">
        <v>53</v>
      </c>
      <c r="CS49" s="115" t="s">
        <v>53</v>
      </c>
      <c r="CT49" s="115" t="s">
        <v>53</v>
      </c>
      <c r="CU49" s="115" t="s">
        <v>53</v>
      </c>
      <c r="CV49" s="115" t="s">
        <v>53</v>
      </c>
      <c r="CW49" s="115" t="s">
        <v>53</v>
      </c>
      <c r="CX49" s="115" t="s">
        <v>53</v>
      </c>
      <c r="CY49" s="115" t="s">
        <v>53</v>
      </c>
      <c r="CZ49" s="115" t="s">
        <v>53</v>
      </c>
      <c r="DA49" s="115" t="s">
        <v>53</v>
      </c>
      <c r="DB49" s="118" t="s">
        <v>328</v>
      </c>
      <c r="DC49" s="49" t="s">
        <v>328</v>
      </c>
      <c r="DD49" s="49" t="s">
        <v>328</v>
      </c>
      <c r="DE49" s="49" t="s">
        <v>313</v>
      </c>
      <c r="DF49" s="49" t="s">
        <v>313</v>
      </c>
      <c r="DG49" s="49" t="s">
        <v>53</v>
      </c>
      <c r="DH49" s="49" t="s">
        <v>53</v>
      </c>
      <c r="DI49" s="49" t="s">
        <v>313</v>
      </c>
      <c r="DJ49" s="49" t="s">
        <v>313</v>
      </c>
      <c r="DK49" s="49" t="s">
        <v>313</v>
      </c>
      <c r="DL49" s="49" t="s">
        <v>307</v>
      </c>
      <c r="DM49" s="49" t="s">
        <v>313</v>
      </c>
      <c r="DN49" s="49" t="s">
        <v>313</v>
      </c>
      <c r="DO49" s="118"/>
      <c r="DP49" s="49"/>
      <c r="DQ49" s="49" t="s">
        <v>328</v>
      </c>
      <c r="DR49" s="49" t="s">
        <v>308</v>
      </c>
      <c r="DS49" s="49" t="s">
        <v>58</v>
      </c>
      <c r="DT49" s="49" t="s">
        <v>58</v>
      </c>
      <c r="DU49" s="49" t="s">
        <v>310</v>
      </c>
      <c r="DV49" s="49" t="s">
        <v>58</v>
      </c>
      <c r="DW49" s="49" t="s">
        <v>310</v>
      </c>
      <c r="DX49" s="49" t="s">
        <v>310</v>
      </c>
      <c r="DY49" s="49" t="s">
        <v>58</v>
      </c>
      <c r="DZ49" s="49" t="s">
        <v>314</v>
      </c>
      <c r="EA49" s="118" t="s">
        <v>62</v>
      </c>
      <c r="EB49" s="49" t="s">
        <v>62</v>
      </c>
      <c r="EC49" s="49" t="s">
        <v>62</v>
      </c>
      <c r="ED49" s="49" t="s">
        <v>62</v>
      </c>
      <c r="EE49" s="49" t="s">
        <v>62</v>
      </c>
      <c r="EF49" s="49" t="s">
        <v>62</v>
      </c>
      <c r="EG49" s="120" t="s">
        <v>62</v>
      </c>
      <c r="EH49" s="117">
        <v>0</v>
      </c>
      <c r="EI49" s="117">
        <v>0</v>
      </c>
      <c r="EJ49" s="55">
        <v>0.05</v>
      </c>
      <c r="EK49" s="55">
        <v>0.02</v>
      </c>
      <c r="EL49" s="55">
        <v>0.02</v>
      </c>
      <c r="EM49" s="55">
        <v>0.02</v>
      </c>
      <c r="EN49" s="55">
        <v>0.02</v>
      </c>
      <c r="EO49" s="122">
        <v>0.04</v>
      </c>
      <c r="EP49" s="117">
        <v>0</v>
      </c>
      <c r="EQ49" s="117">
        <v>0</v>
      </c>
    </row>
    <row r="50" customFormat="1" ht="22.5" customHeight="1" spans="1:147">
      <c r="A50" s="108">
        <v>12396</v>
      </c>
      <c r="B50" s="109" t="s">
        <v>367</v>
      </c>
      <c r="C50" s="110">
        <v>46104</v>
      </c>
      <c r="D50" s="111" t="str">
        <f>IF(_xlfn.XLOOKUP(A50,[1]分配表!J:J,[1]分配表!M:M)=0,"未出单",_xlfn.XLOOKUP(A50,[1]分配表!J:J,[1]分配表!M:M))</f>
        <v>未出单</v>
      </c>
      <c r="E50" s="112" t="str">
        <f>_xlfn.XLOOKUP(A50,[1]分配表!A:A,[1]分配表!C:C)</f>
        <v>胡煜星</v>
      </c>
      <c r="F50" s="112" t="str">
        <f>IF(_xlfn.XLOOKUP($A50,[1]分配表!$A:$A,[1]分配表!D:D)=0,"未分类",_xlfn.XLOOKUP($A50,[1]分配表!$A:$A,[1]分配表!D:D))</f>
        <v>车门系统</v>
      </c>
      <c r="G50" s="112" t="str">
        <f>_xlfn.XLOOKUP(A50,[1]分配表!J:J,[1]分配表!I:I)</f>
        <v>原开品</v>
      </c>
      <c r="H50" s="49">
        <v>0</v>
      </c>
      <c r="I50" s="49">
        <v>0</v>
      </c>
      <c r="J50" s="49">
        <v>0</v>
      </c>
      <c r="K50" s="49">
        <v>0</v>
      </c>
      <c r="L50" s="49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113">
        <f t="shared" si="0"/>
        <v>0</v>
      </c>
      <c r="U50" s="114">
        <v>0</v>
      </c>
      <c r="V50" s="115">
        <v>0</v>
      </c>
      <c r="W50" s="115">
        <v>0</v>
      </c>
      <c r="X50" s="115">
        <v>0</v>
      </c>
      <c r="Y50" s="115">
        <v>0</v>
      </c>
      <c r="Z50" s="115">
        <v>0</v>
      </c>
      <c r="AA50" s="115">
        <v>0</v>
      </c>
      <c r="AB50" s="116">
        <v>0</v>
      </c>
      <c r="AC50" s="117">
        <v>0</v>
      </c>
      <c r="AD50" s="117">
        <v>0</v>
      </c>
      <c r="AE50" s="117">
        <v>0</v>
      </c>
      <c r="AF50" s="117">
        <v>0</v>
      </c>
      <c r="AG50" s="115">
        <f t="shared" si="1"/>
        <v>0</v>
      </c>
      <c r="AH50" s="118">
        <v>0</v>
      </c>
      <c r="AI50" s="49">
        <v>0</v>
      </c>
      <c r="AJ50" s="49">
        <v>0</v>
      </c>
      <c r="AK50" s="49">
        <v>0</v>
      </c>
      <c r="AL50" s="49">
        <v>0</v>
      </c>
      <c r="AM50" s="49">
        <v>0</v>
      </c>
      <c r="AN50" s="49">
        <v>0</v>
      </c>
      <c r="AO50" s="49">
        <v>0</v>
      </c>
      <c r="AP50" s="49">
        <v>0</v>
      </c>
      <c r="AQ50" s="49">
        <v>0</v>
      </c>
      <c r="AR50" s="49">
        <v>0</v>
      </c>
      <c r="AS50" s="49">
        <v>0</v>
      </c>
      <c r="AT50" s="119" t="s">
        <v>306</v>
      </c>
      <c r="AU50" s="55" t="s">
        <v>306</v>
      </c>
      <c r="AV50" s="55" t="s">
        <v>306</v>
      </c>
      <c r="AW50" s="55">
        <v>0</v>
      </c>
      <c r="AX50" s="55">
        <v>0</v>
      </c>
      <c r="AY50" s="55">
        <v>0</v>
      </c>
      <c r="AZ50" s="55" t="s">
        <v>306</v>
      </c>
      <c r="BA50" s="55" t="s">
        <v>306</v>
      </c>
      <c r="BB50" s="55" t="s">
        <v>306</v>
      </c>
      <c r="BC50" s="55" t="s">
        <v>306</v>
      </c>
      <c r="BD50" s="55" t="s">
        <v>306</v>
      </c>
      <c r="BE50" s="55" t="s">
        <v>306</v>
      </c>
      <c r="BF50" s="118" t="s">
        <v>328</v>
      </c>
      <c r="BG50" s="49" t="s">
        <v>328</v>
      </c>
      <c r="BH50" s="49">
        <v>2</v>
      </c>
      <c r="BI50" s="49">
        <v>10</v>
      </c>
      <c r="BJ50" s="49">
        <v>0</v>
      </c>
      <c r="BK50" s="49">
        <v>6</v>
      </c>
      <c r="BL50" s="49">
        <v>5</v>
      </c>
      <c r="BM50" s="49">
        <v>6</v>
      </c>
      <c r="BN50" s="49">
        <v>0</v>
      </c>
      <c r="BO50" s="49">
        <v>1</v>
      </c>
      <c r="BP50" s="49">
        <v>8</v>
      </c>
      <c r="BQ50" s="120">
        <v>0</v>
      </c>
      <c r="BR50" s="115" t="s">
        <v>328</v>
      </c>
      <c r="BS50" s="115" t="s">
        <v>328</v>
      </c>
      <c r="BT50" s="115" t="s">
        <v>149</v>
      </c>
      <c r="BU50" s="115" t="s">
        <v>149</v>
      </c>
      <c r="BV50" s="115" t="s">
        <v>149</v>
      </c>
      <c r="BW50" s="115" t="s">
        <v>149</v>
      </c>
      <c r="BX50" s="115" t="s">
        <v>149</v>
      </c>
      <c r="BY50" s="115" t="s">
        <v>149</v>
      </c>
      <c r="BZ50" s="115" t="s">
        <v>149</v>
      </c>
      <c r="CA50" s="115" t="s">
        <v>149</v>
      </c>
      <c r="CB50" s="115" t="s">
        <v>149</v>
      </c>
      <c r="CC50" s="115" t="s">
        <v>149</v>
      </c>
      <c r="CD50" s="114" t="s">
        <v>328</v>
      </c>
      <c r="CE50" s="115" t="s">
        <v>328</v>
      </c>
      <c r="CF50" s="115" t="s">
        <v>53</v>
      </c>
      <c r="CG50" s="115" t="s">
        <v>152</v>
      </c>
      <c r="CH50" s="115" t="s">
        <v>53</v>
      </c>
      <c r="CI50" s="115" t="s">
        <v>53</v>
      </c>
      <c r="CJ50" s="115" t="s">
        <v>53</v>
      </c>
      <c r="CK50" s="115" t="s">
        <v>53</v>
      </c>
      <c r="CL50" s="115" t="s">
        <v>53</v>
      </c>
      <c r="CM50" s="115" t="s">
        <v>53</v>
      </c>
      <c r="CN50" s="115" t="s">
        <v>53</v>
      </c>
      <c r="CO50" s="121" t="s">
        <v>53</v>
      </c>
      <c r="CP50" s="115" t="s">
        <v>328</v>
      </c>
      <c r="CQ50" s="115" t="s">
        <v>328</v>
      </c>
      <c r="CR50" s="115" t="s">
        <v>53</v>
      </c>
      <c r="CS50" s="115" t="s">
        <v>53</v>
      </c>
      <c r="CT50" s="115" t="s">
        <v>53</v>
      </c>
      <c r="CU50" s="115" t="s">
        <v>53</v>
      </c>
      <c r="CV50" s="115" t="s">
        <v>53</v>
      </c>
      <c r="CW50" s="115" t="s">
        <v>53</v>
      </c>
      <c r="CX50" s="115" t="s">
        <v>53</v>
      </c>
      <c r="CY50" s="115" t="s">
        <v>53</v>
      </c>
      <c r="CZ50" s="115" t="s">
        <v>53</v>
      </c>
      <c r="DA50" s="115" t="s">
        <v>53</v>
      </c>
      <c r="DB50" s="118" t="s">
        <v>328</v>
      </c>
      <c r="DC50" s="49" t="s">
        <v>328</v>
      </c>
      <c r="DD50" s="49" t="s">
        <v>328</v>
      </c>
      <c r="DE50" s="49" t="s">
        <v>307</v>
      </c>
      <c r="DF50" s="49" t="s">
        <v>307</v>
      </c>
      <c r="DG50" s="49" t="s">
        <v>307</v>
      </c>
      <c r="DH50" s="49" t="s">
        <v>307</v>
      </c>
      <c r="DI50" s="49" t="s">
        <v>307</v>
      </c>
      <c r="DJ50" s="49" t="s">
        <v>307</v>
      </c>
      <c r="DK50" s="49" t="s">
        <v>307</v>
      </c>
      <c r="DL50" s="49" t="s">
        <v>307</v>
      </c>
      <c r="DM50" s="49" t="s">
        <v>307</v>
      </c>
      <c r="DN50" s="49" t="s">
        <v>307</v>
      </c>
      <c r="DO50" s="118"/>
      <c r="DP50" s="49"/>
      <c r="DQ50" s="49" t="s">
        <v>328</v>
      </c>
      <c r="DR50" s="49" t="s">
        <v>314</v>
      </c>
      <c r="DS50" s="49" t="s">
        <v>315</v>
      </c>
      <c r="DT50" s="49" t="s">
        <v>315</v>
      </c>
      <c r="DU50" s="49" t="s">
        <v>331</v>
      </c>
      <c r="DV50" s="49" t="s">
        <v>159</v>
      </c>
      <c r="DW50" s="49" t="s">
        <v>331</v>
      </c>
      <c r="DX50" s="49" t="s">
        <v>310</v>
      </c>
      <c r="DY50" s="49" t="s">
        <v>316</v>
      </c>
      <c r="DZ50" s="49" t="s">
        <v>331</v>
      </c>
      <c r="EA50" s="118" t="s">
        <v>62</v>
      </c>
      <c r="EB50" s="49" t="s">
        <v>49</v>
      </c>
      <c r="EC50" s="49" t="s">
        <v>49</v>
      </c>
      <c r="ED50" s="49" t="s">
        <v>49</v>
      </c>
      <c r="EE50" s="49" t="s">
        <v>49</v>
      </c>
      <c r="EF50" s="49" t="s">
        <v>49</v>
      </c>
      <c r="EG50" s="120" t="s">
        <v>49</v>
      </c>
      <c r="EH50" s="117">
        <v>0</v>
      </c>
      <c r="EI50" s="117">
        <v>0</v>
      </c>
      <c r="EJ50" s="55">
        <v>0.05</v>
      </c>
      <c r="EK50" s="55">
        <v>0.04</v>
      </c>
      <c r="EL50" s="55">
        <v>0.04</v>
      </c>
      <c r="EM50" s="55">
        <v>0.04</v>
      </c>
      <c r="EN50" s="55">
        <v>0.04</v>
      </c>
      <c r="EO50" s="122">
        <v>0.04</v>
      </c>
      <c r="EP50" s="117">
        <v>0</v>
      </c>
      <c r="EQ50" s="117">
        <v>0</v>
      </c>
    </row>
    <row r="51" customFormat="1" ht="22.5" customHeight="1" spans="1:147">
      <c r="A51" s="108">
        <v>12291</v>
      </c>
      <c r="B51" s="109" t="s">
        <v>368</v>
      </c>
      <c r="C51" s="110">
        <v>46104</v>
      </c>
      <c r="D51" s="111">
        <f>IF(_xlfn.XLOOKUP(A51,[1]分配表!J:J,[1]分配表!M:M)=0,"未出单",_xlfn.XLOOKUP(A51,[1]分配表!J:J,[1]分配表!M:M))</f>
        <v>46134</v>
      </c>
      <c r="E51" s="112" t="str">
        <f>_xlfn.XLOOKUP(A51,[1]分配表!A:A,[1]分配表!C:C)</f>
        <v>张潇</v>
      </c>
      <c r="F51" s="112" t="str">
        <f>IF(_xlfn.XLOOKUP($A51,[1]分配表!$A:$A,[1]分配表!D:D)=0,"未分类",_xlfn.XLOOKUP($A51,[1]分配表!$A:$A,[1]分配表!D:D))</f>
        <v>挡泥板</v>
      </c>
      <c r="G51" s="112" t="str">
        <f>_xlfn.XLOOKUP(A51,[1]分配表!J:J,[1]分配表!I:I)</f>
        <v>原开品</v>
      </c>
      <c r="H51" s="49">
        <v>0</v>
      </c>
      <c r="I51" s="49">
        <v>0</v>
      </c>
      <c r="J51" s="49">
        <v>0</v>
      </c>
      <c r="K51" s="49">
        <v>0</v>
      </c>
      <c r="L51" s="49">
        <v>0</v>
      </c>
      <c r="M51" s="49">
        <v>0</v>
      </c>
      <c r="N51" s="49">
        <v>1</v>
      </c>
      <c r="O51" s="49">
        <v>0</v>
      </c>
      <c r="P51" s="49">
        <v>2</v>
      </c>
      <c r="Q51" s="49">
        <v>2</v>
      </c>
      <c r="R51" s="49">
        <v>0</v>
      </c>
      <c r="S51" s="49">
        <v>1</v>
      </c>
      <c r="T51" s="113">
        <f t="shared" si="0"/>
        <v>1</v>
      </c>
      <c r="U51" s="114">
        <v>0</v>
      </c>
      <c r="V51" s="115">
        <v>0</v>
      </c>
      <c r="W51" s="115">
        <v>0</v>
      </c>
      <c r="X51" s="115">
        <v>0</v>
      </c>
      <c r="Y51" s="115">
        <v>0</v>
      </c>
      <c r="Z51" s="115">
        <v>0</v>
      </c>
      <c r="AA51" s="115">
        <v>129</v>
      </c>
      <c r="AB51" s="116">
        <v>0</v>
      </c>
      <c r="AC51" s="117">
        <v>258</v>
      </c>
      <c r="AD51" s="117">
        <v>258</v>
      </c>
      <c r="AE51" s="117">
        <v>0</v>
      </c>
      <c r="AF51" s="117">
        <v>129</v>
      </c>
      <c r="AG51" s="115">
        <f t="shared" si="1"/>
        <v>129</v>
      </c>
      <c r="AH51" s="118">
        <v>0</v>
      </c>
      <c r="AI51" s="49">
        <v>0</v>
      </c>
      <c r="AJ51" s="49">
        <v>0</v>
      </c>
      <c r="AK51" s="49">
        <v>0</v>
      </c>
      <c r="AL51" s="49">
        <v>0</v>
      </c>
      <c r="AM51" s="49">
        <v>0</v>
      </c>
      <c r="AN51" s="49">
        <v>0</v>
      </c>
      <c r="AO51" s="49">
        <v>0</v>
      </c>
      <c r="AP51" s="49">
        <v>0</v>
      </c>
      <c r="AQ51" s="49">
        <v>0</v>
      </c>
      <c r="AR51" s="49">
        <v>0</v>
      </c>
      <c r="AS51" s="49">
        <v>0</v>
      </c>
      <c r="AT51" s="119" t="s">
        <v>306</v>
      </c>
      <c r="AU51" s="55" t="s">
        <v>306</v>
      </c>
      <c r="AV51" s="55" t="s">
        <v>306</v>
      </c>
      <c r="AW51" s="55">
        <v>0</v>
      </c>
      <c r="AX51" s="55">
        <v>0</v>
      </c>
      <c r="AY51" s="55">
        <v>0</v>
      </c>
      <c r="AZ51" s="55" t="s">
        <v>306</v>
      </c>
      <c r="BA51" s="55">
        <v>1</v>
      </c>
      <c r="BB51" s="55">
        <v>1</v>
      </c>
      <c r="BC51" s="55" t="s">
        <v>306</v>
      </c>
      <c r="BD51" s="55">
        <v>1</v>
      </c>
      <c r="BE51" s="55">
        <v>1</v>
      </c>
      <c r="BF51" s="118" t="s">
        <v>328</v>
      </c>
      <c r="BG51" s="49" t="s">
        <v>328</v>
      </c>
      <c r="BH51" s="49">
        <v>2</v>
      </c>
      <c r="BI51" s="49">
        <v>1</v>
      </c>
      <c r="BJ51" s="49">
        <v>0</v>
      </c>
      <c r="BK51" s="49">
        <v>5</v>
      </c>
      <c r="BL51" s="49">
        <v>6</v>
      </c>
      <c r="BM51" s="49">
        <v>0</v>
      </c>
      <c r="BN51" s="49">
        <v>7</v>
      </c>
      <c r="BO51" s="49">
        <v>14</v>
      </c>
      <c r="BP51" s="49">
        <v>21</v>
      </c>
      <c r="BQ51" s="120">
        <v>4</v>
      </c>
      <c r="BR51" s="115" t="s">
        <v>328</v>
      </c>
      <c r="BS51" s="115" t="s">
        <v>328</v>
      </c>
      <c r="BT51" s="115" t="s">
        <v>149</v>
      </c>
      <c r="BU51" s="115" t="s">
        <v>149</v>
      </c>
      <c r="BV51" s="115" t="s">
        <v>149</v>
      </c>
      <c r="BW51" s="115" t="s">
        <v>149</v>
      </c>
      <c r="BX51" s="115" t="s">
        <v>62</v>
      </c>
      <c r="BY51" s="115" t="s">
        <v>62</v>
      </c>
      <c r="BZ51" s="115" t="s">
        <v>62</v>
      </c>
      <c r="CA51" s="115" t="s">
        <v>62</v>
      </c>
      <c r="CB51" s="115" t="s">
        <v>62</v>
      </c>
      <c r="CC51" s="115" t="s">
        <v>62</v>
      </c>
      <c r="CD51" s="114" t="s">
        <v>328</v>
      </c>
      <c r="CE51" s="115" t="s">
        <v>328</v>
      </c>
      <c r="CF51" s="115" t="s">
        <v>53</v>
      </c>
      <c r="CG51" s="115" t="s">
        <v>53</v>
      </c>
      <c r="CH51" s="115" t="s">
        <v>53</v>
      </c>
      <c r="CI51" s="115" t="s">
        <v>53</v>
      </c>
      <c r="CJ51" s="115" t="s">
        <v>53</v>
      </c>
      <c r="CK51" s="115" t="s">
        <v>53</v>
      </c>
      <c r="CL51" s="115" t="s">
        <v>53</v>
      </c>
      <c r="CM51" s="115" t="s">
        <v>53</v>
      </c>
      <c r="CN51" s="115" t="s">
        <v>53</v>
      </c>
      <c r="CO51" s="121" t="s">
        <v>53</v>
      </c>
      <c r="CP51" s="115" t="s">
        <v>328</v>
      </c>
      <c r="CQ51" s="115" t="s">
        <v>328</v>
      </c>
      <c r="CR51" s="115" t="s">
        <v>53</v>
      </c>
      <c r="CS51" s="115" t="s">
        <v>53</v>
      </c>
      <c r="CT51" s="115" t="s">
        <v>53</v>
      </c>
      <c r="CU51" s="115" t="s">
        <v>53</v>
      </c>
      <c r="CV51" s="115" t="s">
        <v>53</v>
      </c>
      <c r="CW51" s="115" t="s">
        <v>53</v>
      </c>
      <c r="CX51" s="115" t="s">
        <v>53</v>
      </c>
      <c r="CY51" s="115" t="s">
        <v>53</v>
      </c>
      <c r="CZ51" s="115" t="s">
        <v>53</v>
      </c>
      <c r="DA51" s="115" t="s">
        <v>53</v>
      </c>
      <c r="DB51" s="118" t="s">
        <v>328</v>
      </c>
      <c r="DC51" s="49" t="s">
        <v>328</v>
      </c>
      <c r="DD51" s="49" t="s">
        <v>328</v>
      </c>
      <c r="DE51" s="49" t="s">
        <v>307</v>
      </c>
      <c r="DF51" s="49" t="s">
        <v>307</v>
      </c>
      <c r="DG51" s="49" t="s">
        <v>307</v>
      </c>
      <c r="DH51" s="49" t="s">
        <v>156</v>
      </c>
      <c r="DI51" s="49" t="s">
        <v>307</v>
      </c>
      <c r="DJ51" s="49" t="s">
        <v>53</v>
      </c>
      <c r="DK51" s="49" t="s">
        <v>53</v>
      </c>
      <c r="DL51" s="49" t="s">
        <v>156</v>
      </c>
      <c r="DM51" s="49" t="s">
        <v>53</v>
      </c>
      <c r="DN51" s="49" t="s">
        <v>53</v>
      </c>
      <c r="DO51" s="118"/>
      <c r="DP51" s="49"/>
      <c r="DQ51" s="49" t="s">
        <v>328</v>
      </c>
      <c r="DR51" s="49" t="s">
        <v>159</v>
      </c>
      <c r="DS51" s="49" t="s">
        <v>159</v>
      </c>
      <c r="DT51" s="49" t="s">
        <v>159</v>
      </c>
      <c r="DU51" s="49" t="s">
        <v>331</v>
      </c>
      <c r="DV51" s="49" t="s">
        <v>58</v>
      </c>
      <c r="DW51" s="49" t="s">
        <v>58</v>
      </c>
      <c r="DX51" s="49" t="s">
        <v>58</v>
      </c>
      <c r="DY51" s="49" t="s">
        <v>58</v>
      </c>
      <c r="DZ51" s="49" t="s">
        <v>58</v>
      </c>
      <c r="EA51" s="118" t="s">
        <v>49</v>
      </c>
      <c r="EB51" s="49" t="s">
        <v>49</v>
      </c>
      <c r="EC51" s="49" t="s">
        <v>49</v>
      </c>
      <c r="ED51" s="49" t="s">
        <v>49</v>
      </c>
      <c r="EE51" s="49" t="s">
        <v>49</v>
      </c>
      <c r="EF51" s="49" t="s">
        <v>49</v>
      </c>
      <c r="EG51" s="120" t="s">
        <v>49</v>
      </c>
      <c r="EH51" s="117">
        <v>0.84</v>
      </c>
      <c r="EI51" s="117">
        <v>0</v>
      </c>
      <c r="EJ51" s="55">
        <v>0.02</v>
      </c>
      <c r="EK51" s="55">
        <v>0.02</v>
      </c>
      <c r="EL51" s="55">
        <v>0.02</v>
      </c>
      <c r="EM51" s="55">
        <v>0.02</v>
      </c>
      <c r="EN51" s="55">
        <v>0.02</v>
      </c>
      <c r="EO51" s="122">
        <v>0.02</v>
      </c>
      <c r="EP51" s="117">
        <v>0</v>
      </c>
      <c r="EQ51" s="117">
        <v>0</v>
      </c>
    </row>
    <row r="52" customFormat="1" ht="22.5" customHeight="1" spans="1:147">
      <c r="A52" s="108">
        <v>12290</v>
      </c>
      <c r="B52" s="109" t="s">
        <v>369</v>
      </c>
      <c r="C52" s="110">
        <v>46104</v>
      </c>
      <c r="D52" s="111">
        <f>IF(_xlfn.XLOOKUP(A52,[1]分配表!J:J,[1]分配表!M:M)=0,"未出单",_xlfn.XLOOKUP(A52,[1]分配表!J:J,[1]分配表!M:M))</f>
        <v>46119</v>
      </c>
      <c r="E52" s="112" t="str">
        <f>_xlfn.XLOOKUP(A52,[1]分配表!A:A,[1]分配表!C:C)</f>
        <v>张潇</v>
      </c>
      <c r="F52" s="112" t="str">
        <f>IF(_xlfn.XLOOKUP($A52,[1]分配表!$A:$A,[1]分配表!D:D)=0,"未分类",_xlfn.XLOOKUP($A52,[1]分配表!$A:$A,[1]分配表!D:D))</f>
        <v>挡泥板</v>
      </c>
      <c r="G52" s="112" t="str">
        <f>_xlfn.XLOOKUP(A52,[1]分配表!J:J,[1]分配表!I:I)</f>
        <v>原开品</v>
      </c>
      <c r="H52" s="49">
        <v>0</v>
      </c>
      <c r="I52" s="49">
        <v>0</v>
      </c>
      <c r="J52" s="49">
        <v>0</v>
      </c>
      <c r="K52" s="49">
        <v>0</v>
      </c>
      <c r="L52" s="49">
        <v>1</v>
      </c>
      <c r="M52" s="49">
        <v>0</v>
      </c>
      <c r="N52" s="49">
        <v>0</v>
      </c>
      <c r="O52" s="49">
        <v>2</v>
      </c>
      <c r="P52" s="49">
        <v>2</v>
      </c>
      <c r="Q52" s="49">
        <v>0</v>
      </c>
      <c r="R52" s="49">
        <v>0</v>
      </c>
      <c r="S52" s="49">
        <v>1</v>
      </c>
      <c r="T52" s="113">
        <f t="shared" si="0"/>
        <v>1</v>
      </c>
      <c r="U52" s="114">
        <v>0</v>
      </c>
      <c r="V52" s="115">
        <v>0</v>
      </c>
      <c r="W52" s="115">
        <v>0</v>
      </c>
      <c r="X52" s="115">
        <v>0</v>
      </c>
      <c r="Y52" s="115">
        <v>118</v>
      </c>
      <c r="Z52" s="115">
        <v>0</v>
      </c>
      <c r="AA52" s="115">
        <v>0</v>
      </c>
      <c r="AB52" s="116">
        <v>236</v>
      </c>
      <c r="AC52" s="117">
        <v>236</v>
      </c>
      <c r="AD52" s="117">
        <v>0</v>
      </c>
      <c r="AE52" s="117">
        <v>0</v>
      </c>
      <c r="AF52" s="117">
        <v>118</v>
      </c>
      <c r="AG52" s="115">
        <f t="shared" si="1"/>
        <v>118</v>
      </c>
      <c r="AH52" s="118">
        <v>0</v>
      </c>
      <c r="AI52" s="49">
        <v>0</v>
      </c>
      <c r="AJ52" s="49">
        <v>0</v>
      </c>
      <c r="AK52" s="49">
        <v>3</v>
      </c>
      <c r="AL52" s="49">
        <v>0</v>
      </c>
      <c r="AM52" s="49">
        <v>0</v>
      </c>
      <c r="AN52" s="49">
        <v>5</v>
      </c>
      <c r="AO52" s="49">
        <v>1</v>
      </c>
      <c r="AP52" s="49">
        <v>1</v>
      </c>
      <c r="AQ52" s="49">
        <v>4</v>
      </c>
      <c r="AR52" s="49">
        <v>2</v>
      </c>
      <c r="AS52" s="49">
        <v>1</v>
      </c>
      <c r="AT52" s="119" t="s">
        <v>306</v>
      </c>
      <c r="AU52" s="55" t="s">
        <v>306</v>
      </c>
      <c r="AV52" s="55" t="s">
        <v>306</v>
      </c>
      <c r="AW52" s="55">
        <v>0</v>
      </c>
      <c r="AX52" s="55">
        <v>1</v>
      </c>
      <c r="AY52" s="55">
        <v>0</v>
      </c>
      <c r="AZ52" s="55">
        <v>0</v>
      </c>
      <c r="BA52" s="55">
        <v>0</v>
      </c>
      <c r="BB52" s="55">
        <v>0.8</v>
      </c>
      <c r="BC52" s="55">
        <v>0</v>
      </c>
      <c r="BD52" s="55">
        <v>0</v>
      </c>
      <c r="BE52" s="55">
        <v>0.5</v>
      </c>
      <c r="BF52" s="118" t="s">
        <v>328</v>
      </c>
      <c r="BG52" s="49" t="s">
        <v>328</v>
      </c>
      <c r="BH52" s="49">
        <v>2</v>
      </c>
      <c r="BI52" s="49">
        <v>1</v>
      </c>
      <c r="BJ52" s="49">
        <v>0</v>
      </c>
      <c r="BK52" s="49">
        <v>8</v>
      </c>
      <c r="BL52" s="49">
        <v>2</v>
      </c>
      <c r="BM52" s="49">
        <v>9</v>
      </c>
      <c r="BN52" s="49">
        <v>0</v>
      </c>
      <c r="BO52" s="49">
        <v>7</v>
      </c>
      <c r="BP52" s="49">
        <v>0</v>
      </c>
      <c r="BQ52" s="120">
        <v>7</v>
      </c>
      <c r="BR52" s="115" t="s">
        <v>328</v>
      </c>
      <c r="BS52" s="115" t="s">
        <v>328</v>
      </c>
      <c r="BT52" s="115" t="s">
        <v>149</v>
      </c>
      <c r="BU52" s="115" t="s">
        <v>149</v>
      </c>
      <c r="BV52" s="115" t="s">
        <v>62</v>
      </c>
      <c r="BW52" s="115" t="s">
        <v>62</v>
      </c>
      <c r="BX52" s="115" t="s">
        <v>62</v>
      </c>
      <c r="BY52" s="115" t="s">
        <v>62</v>
      </c>
      <c r="BZ52" s="115" t="s">
        <v>62</v>
      </c>
      <c r="CA52" s="115" t="s">
        <v>62</v>
      </c>
      <c r="CB52" s="115" t="s">
        <v>62</v>
      </c>
      <c r="CC52" s="115" t="s">
        <v>62</v>
      </c>
      <c r="CD52" s="114" t="s">
        <v>328</v>
      </c>
      <c r="CE52" s="115" t="s">
        <v>328</v>
      </c>
      <c r="CF52" s="115" t="s">
        <v>53</v>
      </c>
      <c r="CG52" s="115" t="s">
        <v>53</v>
      </c>
      <c r="CH52" s="115" t="s">
        <v>53</v>
      </c>
      <c r="CI52" s="115" t="s">
        <v>152</v>
      </c>
      <c r="CJ52" s="115" t="s">
        <v>53</v>
      </c>
      <c r="CK52" s="115" t="s">
        <v>152</v>
      </c>
      <c r="CL52" s="115" t="s">
        <v>53</v>
      </c>
      <c r="CM52" s="115" t="s">
        <v>152</v>
      </c>
      <c r="CN52" s="115" t="s">
        <v>53</v>
      </c>
      <c r="CO52" s="121" t="s">
        <v>152</v>
      </c>
      <c r="CP52" s="115" t="s">
        <v>328</v>
      </c>
      <c r="CQ52" s="115" t="s">
        <v>328</v>
      </c>
      <c r="CR52" s="115" t="s">
        <v>53</v>
      </c>
      <c r="CS52" s="115" t="s">
        <v>53</v>
      </c>
      <c r="CT52" s="115" t="s">
        <v>53</v>
      </c>
      <c r="CU52" s="115" t="s">
        <v>53</v>
      </c>
      <c r="CV52" s="115" t="s">
        <v>53</v>
      </c>
      <c r="CW52" s="115" t="s">
        <v>53</v>
      </c>
      <c r="CX52" s="115" t="s">
        <v>53</v>
      </c>
      <c r="CY52" s="115" t="s">
        <v>53</v>
      </c>
      <c r="CZ52" s="115" t="s">
        <v>53</v>
      </c>
      <c r="DA52" s="115" t="s">
        <v>53</v>
      </c>
      <c r="DB52" s="118" t="s">
        <v>328</v>
      </c>
      <c r="DC52" s="49" t="s">
        <v>328</v>
      </c>
      <c r="DD52" s="49" t="s">
        <v>328</v>
      </c>
      <c r="DE52" s="49" t="s">
        <v>307</v>
      </c>
      <c r="DF52" s="49" t="s">
        <v>313</v>
      </c>
      <c r="DG52" s="49" t="s">
        <v>53</v>
      </c>
      <c r="DH52" s="49" t="s">
        <v>53</v>
      </c>
      <c r="DI52" s="49" t="s">
        <v>313</v>
      </c>
      <c r="DJ52" s="49" t="s">
        <v>313</v>
      </c>
      <c r="DK52" s="49" t="s">
        <v>53</v>
      </c>
      <c r="DL52" s="49" t="s">
        <v>313</v>
      </c>
      <c r="DM52" s="49" t="s">
        <v>313</v>
      </c>
      <c r="DN52" s="49" t="s">
        <v>313</v>
      </c>
      <c r="DO52" s="118"/>
      <c r="DP52" s="49"/>
      <c r="DQ52" s="49" t="s">
        <v>328</v>
      </c>
      <c r="DR52" s="49" t="s">
        <v>310</v>
      </c>
      <c r="DS52" s="49" t="s">
        <v>58</v>
      </c>
      <c r="DT52" s="49" t="s">
        <v>58</v>
      </c>
      <c r="DU52" s="49" t="s">
        <v>315</v>
      </c>
      <c r="DV52" s="49" t="s">
        <v>58</v>
      </c>
      <c r="DW52" s="49" t="s">
        <v>310</v>
      </c>
      <c r="DX52" s="49" t="s">
        <v>58</v>
      </c>
      <c r="DY52" s="49" t="s">
        <v>316</v>
      </c>
      <c r="DZ52" s="49" t="s">
        <v>58</v>
      </c>
      <c r="EA52" s="118" t="s">
        <v>62</v>
      </c>
      <c r="EB52" s="49" t="s">
        <v>62</v>
      </c>
      <c r="EC52" s="49" t="s">
        <v>62</v>
      </c>
      <c r="ED52" s="49" t="s">
        <v>62</v>
      </c>
      <c r="EE52" s="49" t="s">
        <v>62</v>
      </c>
      <c r="EF52" s="49" t="s">
        <v>62</v>
      </c>
      <c r="EG52" s="120" t="s">
        <v>62</v>
      </c>
      <c r="EH52" s="117">
        <v>0</v>
      </c>
      <c r="EI52" s="117">
        <v>0</v>
      </c>
      <c r="EJ52" s="55">
        <v>0.02</v>
      </c>
      <c r="EK52" s="55">
        <v>0.02</v>
      </c>
      <c r="EL52" s="55">
        <v>0.02</v>
      </c>
      <c r="EM52" s="55">
        <v>0.02</v>
      </c>
      <c r="EN52" s="55">
        <v>0.02</v>
      </c>
      <c r="EO52" s="122">
        <v>0.02</v>
      </c>
      <c r="EP52" s="117">
        <v>5.04</v>
      </c>
      <c r="EQ52" s="117">
        <v>251.93</v>
      </c>
    </row>
    <row r="53" customFormat="1" ht="22.5" customHeight="1" spans="1:147">
      <c r="A53" s="108">
        <v>12391</v>
      </c>
      <c r="B53" s="109" t="s">
        <v>370</v>
      </c>
      <c r="C53" s="110">
        <v>46104</v>
      </c>
      <c r="D53" s="111">
        <f>IF(_xlfn.XLOOKUP(A53,[1]分配表!J:J,[1]分配表!M:M)=0,"未出单",_xlfn.XLOOKUP(A53,[1]分配表!J:J,[1]分配表!M:M))</f>
        <v>46118</v>
      </c>
      <c r="E53" s="112" t="str">
        <f>_xlfn.XLOOKUP(A53,[1]分配表!A:A,[1]分配表!C:C)</f>
        <v>张潇</v>
      </c>
      <c r="F53" s="112" t="str">
        <f>IF(_xlfn.XLOOKUP($A53,[1]分配表!$A:$A,[1]分配表!D:D)=0,"未分类",_xlfn.XLOOKUP($A53,[1]分配表!$A:$A,[1]分配表!D:D))</f>
        <v>其他</v>
      </c>
      <c r="G53" s="112" t="str">
        <f>_xlfn.XLOOKUP(A53,[1]分配表!J:J,[1]分配表!I:I)</f>
        <v>原开品</v>
      </c>
      <c r="H53" s="49">
        <v>0</v>
      </c>
      <c r="I53" s="49">
        <v>0</v>
      </c>
      <c r="J53" s="49">
        <v>0</v>
      </c>
      <c r="K53" s="49">
        <v>0</v>
      </c>
      <c r="L53" s="49">
        <v>1</v>
      </c>
      <c r="M53" s="49">
        <v>1</v>
      </c>
      <c r="N53" s="49">
        <v>0</v>
      </c>
      <c r="O53" s="49">
        <v>2</v>
      </c>
      <c r="P53" s="49">
        <v>2</v>
      </c>
      <c r="Q53" s="49">
        <v>1</v>
      </c>
      <c r="R53" s="49">
        <v>0</v>
      </c>
      <c r="S53" s="49">
        <v>0</v>
      </c>
      <c r="T53" s="113">
        <f t="shared" si="0"/>
        <v>0</v>
      </c>
      <c r="U53" s="114">
        <v>0</v>
      </c>
      <c r="V53" s="115">
        <v>0</v>
      </c>
      <c r="W53" s="115">
        <v>0</v>
      </c>
      <c r="X53" s="115">
        <v>0</v>
      </c>
      <c r="Y53" s="115">
        <v>139</v>
      </c>
      <c r="Z53" s="115">
        <v>139</v>
      </c>
      <c r="AA53" s="115">
        <v>0</v>
      </c>
      <c r="AB53" s="116">
        <v>278</v>
      </c>
      <c r="AC53" s="117">
        <v>278</v>
      </c>
      <c r="AD53" s="117">
        <v>139</v>
      </c>
      <c r="AE53" s="117">
        <v>0</v>
      </c>
      <c r="AF53" s="117">
        <v>0</v>
      </c>
      <c r="AG53" s="115">
        <f t="shared" si="1"/>
        <v>0</v>
      </c>
      <c r="AH53" s="118">
        <v>0</v>
      </c>
      <c r="AI53" s="49">
        <v>0</v>
      </c>
      <c r="AJ53" s="49">
        <v>0</v>
      </c>
      <c r="AK53" s="49">
        <v>0</v>
      </c>
      <c r="AL53" s="49">
        <v>0</v>
      </c>
      <c r="AM53" s="49">
        <v>0</v>
      </c>
      <c r="AN53" s="49">
        <v>0</v>
      </c>
      <c r="AO53" s="49">
        <v>0</v>
      </c>
      <c r="AP53" s="49">
        <v>0</v>
      </c>
      <c r="AQ53" s="49">
        <v>0</v>
      </c>
      <c r="AR53" s="49">
        <v>0</v>
      </c>
      <c r="AS53" s="49">
        <v>0</v>
      </c>
      <c r="AT53" s="119" t="s">
        <v>306</v>
      </c>
      <c r="AU53" s="55" t="s">
        <v>306</v>
      </c>
      <c r="AV53" s="55" t="s">
        <v>306</v>
      </c>
      <c r="AW53" s="55">
        <v>0</v>
      </c>
      <c r="AX53" s="55">
        <v>1</v>
      </c>
      <c r="AY53" s="55">
        <v>1</v>
      </c>
      <c r="AZ53" s="55">
        <v>1</v>
      </c>
      <c r="BA53" s="55">
        <v>1</v>
      </c>
      <c r="BB53" s="55">
        <v>1</v>
      </c>
      <c r="BC53" s="55">
        <v>1</v>
      </c>
      <c r="BD53" s="55" t="s">
        <v>306</v>
      </c>
      <c r="BE53" s="55" t="s">
        <v>306</v>
      </c>
      <c r="BF53" s="118" t="s">
        <v>328</v>
      </c>
      <c r="BG53" s="49" t="s">
        <v>328</v>
      </c>
      <c r="BH53" s="49">
        <v>2</v>
      </c>
      <c r="BI53" s="49">
        <v>10</v>
      </c>
      <c r="BJ53" s="49">
        <v>0</v>
      </c>
      <c r="BK53" s="49">
        <v>8</v>
      </c>
      <c r="BL53" s="49">
        <v>2</v>
      </c>
      <c r="BM53" s="49">
        <v>9</v>
      </c>
      <c r="BN53" s="49">
        <v>6</v>
      </c>
      <c r="BO53" s="49">
        <v>13</v>
      </c>
      <c r="BP53" s="49">
        <v>20</v>
      </c>
      <c r="BQ53" s="120">
        <v>27</v>
      </c>
      <c r="BR53" s="115" t="s">
        <v>328</v>
      </c>
      <c r="BS53" s="115" t="s">
        <v>328</v>
      </c>
      <c r="BT53" s="115" t="s">
        <v>149</v>
      </c>
      <c r="BU53" s="115" t="s">
        <v>149</v>
      </c>
      <c r="BV53" s="115" t="s">
        <v>62</v>
      </c>
      <c r="BW53" s="115" t="s">
        <v>62</v>
      </c>
      <c r="BX53" s="115" t="s">
        <v>62</v>
      </c>
      <c r="BY53" s="115" t="s">
        <v>62</v>
      </c>
      <c r="BZ53" s="115" t="s">
        <v>62</v>
      </c>
      <c r="CA53" s="115" t="s">
        <v>62</v>
      </c>
      <c r="CB53" s="115" t="s">
        <v>62</v>
      </c>
      <c r="CC53" s="115" t="s">
        <v>62</v>
      </c>
      <c r="CD53" s="114" t="s">
        <v>328</v>
      </c>
      <c r="CE53" s="115" t="s">
        <v>328</v>
      </c>
      <c r="CF53" s="115" t="s">
        <v>53</v>
      </c>
      <c r="CG53" s="115" t="s">
        <v>152</v>
      </c>
      <c r="CH53" s="115" t="s">
        <v>53</v>
      </c>
      <c r="CI53" s="115" t="s">
        <v>152</v>
      </c>
      <c r="CJ53" s="115" t="s">
        <v>53</v>
      </c>
      <c r="CK53" s="115" t="s">
        <v>53</v>
      </c>
      <c r="CL53" s="115" t="s">
        <v>53</v>
      </c>
      <c r="CM53" s="115" t="s">
        <v>53</v>
      </c>
      <c r="CN53" s="115" t="s">
        <v>53</v>
      </c>
      <c r="CO53" s="121" t="s">
        <v>53</v>
      </c>
      <c r="CP53" s="115" t="s">
        <v>328</v>
      </c>
      <c r="CQ53" s="115" t="s">
        <v>328</v>
      </c>
      <c r="CR53" s="115" t="s">
        <v>53</v>
      </c>
      <c r="CS53" s="115" t="s">
        <v>53</v>
      </c>
      <c r="CT53" s="115" t="s">
        <v>53</v>
      </c>
      <c r="CU53" s="115" t="s">
        <v>53</v>
      </c>
      <c r="CV53" s="115" t="s">
        <v>53</v>
      </c>
      <c r="CW53" s="115" t="s">
        <v>53</v>
      </c>
      <c r="CX53" s="115" t="s">
        <v>53</v>
      </c>
      <c r="CY53" s="115" t="s">
        <v>53</v>
      </c>
      <c r="CZ53" s="115" t="s">
        <v>53</v>
      </c>
      <c r="DA53" s="115" t="s">
        <v>53</v>
      </c>
      <c r="DB53" s="118" t="s">
        <v>328</v>
      </c>
      <c r="DC53" s="49" t="s">
        <v>328</v>
      </c>
      <c r="DD53" s="49" t="s">
        <v>328</v>
      </c>
      <c r="DE53" s="49" t="s">
        <v>307</v>
      </c>
      <c r="DF53" s="49" t="s">
        <v>307</v>
      </c>
      <c r="DG53" s="49" t="s">
        <v>53</v>
      </c>
      <c r="DH53" s="49" t="s">
        <v>156</v>
      </c>
      <c r="DI53" s="49" t="s">
        <v>53</v>
      </c>
      <c r="DJ53" s="49" t="s">
        <v>53</v>
      </c>
      <c r="DK53" s="49" t="s">
        <v>53</v>
      </c>
      <c r="DL53" s="49" t="s">
        <v>53</v>
      </c>
      <c r="DM53" s="49" t="s">
        <v>156</v>
      </c>
      <c r="DN53" s="49" t="s">
        <v>156</v>
      </c>
      <c r="DO53" s="118"/>
      <c r="DP53" s="49"/>
      <c r="DQ53" s="49" t="s">
        <v>328</v>
      </c>
      <c r="DR53" s="49" t="s">
        <v>310</v>
      </c>
      <c r="DS53" s="49" t="s">
        <v>58</v>
      </c>
      <c r="DT53" s="49" t="s">
        <v>58</v>
      </c>
      <c r="DU53" s="49" t="s">
        <v>310</v>
      </c>
      <c r="DV53" s="49" t="s">
        <v>58</v>
      </c>
      <c r="DW53" s="49" t="s">
        <v>58</v>
      </c>
      <c r="DX53" s="49" t="s">
        <v>58</v>
      </c>
      <c r="DY53" s="49" t="s">
        <v>58</v>
      </c>
      <c r="DZ53" s="49" t="s">
        <v>58</v>
      </c>
      <c r="EA53" s="118" t="s">
        <v>62</v>
      </c>
      <c r="EB53" s="49" t="s">
        <v>62</v>
      </c>
      <c r="EC53" s="49" t="s">
        <v>62</v>
      </c>
      <c r="ED53" s="49" t="s">
        <v>62</v>
      </c>
      <c r="EE53" s="49" t="s">
        <v>62</v>
      </c>
      <c r="EF53" s="49" t="s">
        <v>62</v>
      </c>
      <c r="EG53" s="120" t="s">
        <v>62</v>
      </c>
      <c r="EH53" s="117">
        <v>0</v>
      </c>
      <c r="EI53" s="117">
        <v>0</v>
      </c>
      <c r="EJ53" s="55">
        <v>0.02</v>
      </c>
      <c r="EK53" s="55">
        <v>0</v>
      </c>
      <c r="EL53" s="55">
        <v>0</v>
      </c>
      <c r="EM53" s="55">
        <v>0</v>
      </c>
      <c r="EN53" s="55">
        <v>0</v>
      </c>
      <c r="EO53" s="122">
        <v>0</v>
      </c>
      <c r="EP53" s="117">
        <v>0</v>
      </c>
      <c r="EQ53" s="117">
        <v>0</v>
      </c>
    </row>
    <row r="54" customFormat="1" ht="22.5" customHeight="1" spans="1:147">
      <c r="A54" s="108">
        <v>12398</v>
      </c>
      <c r="B54" s="109" t="s">
        <v>371</v>
      </c>
      <c r="C54" s="110">
        <v>46104</v>
      </c>
      <c r="D54" s="111">
        <f>IF(_xlfn.XLOOKUP(A54,[1]分配表!J:J,[1]分配表!M:M)=0,"未出单",_xlfn.XLOOKUP(A54,[1]分配表!J:J,[1]分配表!M:M))</f>
        <v>46114</v>
      </c>
      <c r="E54" s="112" t="str">
        <f>_xlfn.XLOOKUP(A54,[1]分配表!A:A,[1]分配表!C:C)</f>
        <v>张潇</v>
      </c>
      <c r="F54" s="112" t="str">
        <f>IF(_xlfn.XLOOKUP($A54,[1]分配表!$A:$A,[1]分配表!D:D)=0,"未分类",_xlfn.XLOOKUP($A54,[1]分配表!$A:$A,[1]分配表!D:D))</f>
        <v>其他</v>
      </c>
      <c r="G54" s="112" t="str">
        <f>_xlfn.XLOOKUP(A54,[1]分配表!J:J,[1]分配表!I:I)</f>
        <v>拓展品</v>
      </c>
      <c r="H54" s="49">
        <v>0</v>
      </c>
      <c r="I54" s="49">
        <v>0</v>
      </c>
      <c r="J54" s="49">
        <v>0</v>
      </c>
      <c r="K54" s="49">
        <v>0</v>
      </c>
      <c r="L54" s="49">
        <v>3</v>
      </c>
      <c r="M54" s="49">
        <v>1</v>
      </c>
      <c r="N54" s="49">
        <v>3</v>
      </c>
      <c r="O54" s="49">
        <v>1</v>
      </c>
      <c r="P54" s="49">
        <v>3</v>
      </c>
      <c r="Q54" s="49">
        <v>3</v>
      </c>
      <c r="R54" s="49">
        <v>1</v>
      </c>
      <c r="S54" s="49">
        <v>1</v>
      </c>
      <c r="T54" s="113">
        <f t="shared" si="0"/>
        <v>0</v>
      </c>
      <c r="U54" s="114">
        <v>0</v>
      </c>
      <c r="V54" s="115">
        <v>0</v>
      </c>
      <c r="W54" s="115">
        <v>0</v>
      </c>
      <c r="X54" s="115">
        <v>0</v>
      </c>
      <c r="Y54" s="115">
        <v>147</v>
      </c>
      <c r="Z54" s="115">
        <v>49</v>
      </c>
      <c r="AA54" s="115">
        <v>147</v>
      </c>
      <c r="AB54" s="116">
        <v>49</v>
      </c>
      <c r="AC54" s="117">
        <v>147</v>
      </c>
      <c r="AD54" s="117">
        <v>147</v>
      </c>
      <c r="AE54" s="117">
        <v>49</v>
      </c>
      <c r="AF54" s="117">
        <v>49</v>
      </c>
      <c r="AG54" s="115">
        <f t="shared" si="1"/>
        <v>0</v>
      </c>
      <c r="AH54" s="118">
        <v>0</v>
      </c>
      <c r="AI54" s="49">
        <v>0</v>
      </c>
      <c r="AJ54" s="49">
        <v>0</v>
      </c>
      <c r="AK54" s="49">
        <v>0</v>
      </c>
      <c r="AL54" s="49">
        <v>0</v>
      </c>
      <c r="AM54" s="49">
        <v>1</v>
      </c>
      <c r="AN54" s="49">
        <v>1</v>
      </c>
      <c r="AO54" s="49">
        <v>0</v>
      </c>
      <c r="AP54" s="49">
        <v>0</v>
      </c>
      <c r="AQ54" s="49">
        <v>0</v>
      </c>
      <c r="AR54" s="49">
        <v>0</v>
      </c>
      <c r="AS54" s="49">
        <v>0</v>
      </c>
      <c r="AT54" s="119" t="s">
        <v>306</v>
      </c>
      <c r="AU54" s="55" t="s">
        <v>306</v>
      </c>
      <c r="AV54" s="55" t="s">
        <v>306</v>
      </c>
      <c r="AW54" s="55">
        <v>0</v>
      </c>
      <c r="AX54" s="55">
        <v>1</v>
      </c>
      <c r="AY54" s="55">
        <v>0.5</v>
      </c>
      <c r="AZ54" s="55">
        <v>0.8</v>
      </c>
      <c r="BA54" s="55">
        <v>1</v>
      </c>
      <c r="BB54" s="55">
        <v>1</v>
      </c>
      <c r="BC54" s="55">
        <v>1</v>
      </c>
      <c r="BD54" s="55">
        <v>1</v>
      </c>
      <c r="BE54" s="55">
        <v>1</v>
      </c>
      <c r="BF54" s="118" t="s">
        <v>328</v>
      </c>
      <c r="BG54" s="49" t="s">
        <v>328</v>
      </c>
      <c r="BH54" s="49">
        <v>1</v>
      </c>
      <c r="BI54" s="49">
        <v>9</v>
      </c>
      <c r="BJ54" s="49">
        <v>0</v>
      </c>
      <c r="BK54" s="49">
        <v>8</v>
      </c>
      <c r="BL54" s="49">
        <v>2</v>
      </c>
      <c r="BM54" s="49">
        <v>9</v>
      </c>
      <c r="BN54" s="49">
        <v>16</v>
      </c>
      <c r="BO54" s="49">
        <v>23</v>
      </c>
      <c r="BP54" s="49">
        <v>30</v>
      </c>
      <c r="BQ54" s="120">
        <v>37</v>
      </c>
      <c r="BR54" s="115" t="s">
        <v>328</v>
      </c>
      <c r="BS54" s="115" t="s">
        <v>328</v>
      </c>
      <c r="BT54" s="115" t="s">
        <v>149</v>
      </c>
      <c r="BU54" s="115" t="s">
        <v>149</v>
      </c>
      <c r="BV54" s="115" t="s">
        <v>62</v>
      </c>
      <c r="BW54" s="115" t="s">
        <v>62</v>
      </c>
      <c r="BX54" s="115" t="s">
        <v>62</v>
      </c>
      <c r="BY54" s="115" t="s">
        <v>62</v>
      </c>
      <c r="BZ54" s="115" t="s">
        <v>62</v>
      </c>
      <c r="CA54" s="115" t="s">
        <v>62</v>
      </c>
      <c r="CB54" s="115" t="s">
        <v>62</v>
      </c>
      <c r="CC54" s="115" t="s">
        <v>62</v>
      </c>
      <c r="CD54" s="114" t="s">
        <v>328</v>
      </c>
      <c r="CE54" s="115" t="s">
        <v>328</v>
      </c>
      <c r="CF54" s="115" t="s">
        <v>53</v>
      </c>
      <c r="CG54" s="115" t="s">
        <v>152</v>
      </c>
      <c r="CH54" s="115" t="s">
        <v>53</v>
      </c>
      <c r="CI54" s="115" t="s">
        <v>152</v>
      </c>
      <c r="CJ54" s="115" t="s">
        <v>53</v>
      </c>
      <c r="CK54" s="115" t="s">
        <v>53</v>
      </c>
      <c r="CL54" s="115" t="s">
        <v>53</v>
      </c>
      <c r="CM54" s="115" t="s">
        <v>53</v>
      </c>
      <c r="CN54" s="115" t="s">
        <v>53</v>
      </c>
      <c r="CO54" s="121" t="s">
        <v>53</v>
      </c>
      <c r="CP54" s="115" t="s">
        <v>328</v>
      </c>
      <c r="CQ54" s="115" t="s">
        <v>328</v>
      </c>
      <c r="CR54" s="115" t="s">
        <v>53</v>
      </c>
      <c r="CS54" s="115" t="s">
        <v>53</v>
      </c>
      <c r="CT54" s="115" t="s">
        <v>53</v>
      </c>
      <c r="CU54" s="115" t="s">
        <v>53</v>
      </c>
      <c r="CV54" s="115" t="s">
        <v>53</v>
      </c>
      <c r="CW54" s="115" t="s">
        <v>53</v>
      </c>
      <c r="CX54" s="115" t="s">
        <v>53</v>
      </c>
      <c r="CY54" s="115" t="s">
        <v>53</v>
      </c>
      <c r="CZ54" s="115" t="s">
        <v>53</v>
      </c>
      <c r="DA54" s="115" t="s">
        <v>53</v>
      </c>
      <c r="DB54" s="118" t="s">
        <v>328</v>
      </c>
      <c r="DC54" s="49" t="s">
        <v>328</v>
      </c>
      <c r="DD54" s="49" t="s">
        <v>328</v>
      </c>
      <c r="DE54" s="49" t="s">
        <v>307</v>
      </c>
      <c r="DF54" s="49" t="s">
        <v>307</v>
      </c>
      <c r="DG54" s="49" t="s">
        <v>53</v>
      </c>
      <c r="DH54" s="49" t="s">
        <v>53</v>
      </c>
      <c r="DI54" s="49" t="s">
        <v>53</v>
      </c>
      <c r="DJ54" s="49" t="s">
        <v>53</v>
      </c>
      <c r="DK54" s="49" t="s">
        <v>53</v>
      </c>
      <c r="DL54" s="49" t="s">
        <v>53</v>
      </c>
      <c r="DM54" s="49" t="s">
        <v>53</v>
      </c>
      <c r="DN54" s="49" t="s">
        <v>53</v>
      </c>
      <c r="DO54" s="118"/>
      <c r="DP54" s="49"/>
      <c r="DQ54" s="49" t="s">
        <v>328</v>
      </c>
      <c r="DR54" s="49" t="s">
        <v>310</v>
      </c>
      <c r="DS54" s="49" t="s">
        <v>58</v>
      </c>
      <c r="DT54" s="49" t="s">
        <v>58</v>
      </c>
      <c r="DU54" s="49" t="s">
        <v>310</v>
      </c>
      <c r="DV54" s="49" t="s">
        <v>58</v>
      </c>
      <c r="DW54" s="49" t="s">
        <v>58</v>
      </c>
      <c r="DX54" s="49" t="s">
        <v>58</v>
      </c>
      <c r="DY54" s="49" t="s">
        <v>58</v>
      </c>
      <c r="DZ54" s="49" t="s">
        <v>58</v>
      </c>
      <c r="EA54" s="118" t="s">
        <v>62</v>
      </c>
      <c r="EB54" s="49" t="s">
        <v>62</v>
      </c>
      <c r="EC54" s="49" t="s">
        <v>62</v>
      </c>
      <c r="ED54" s="49" t="s">
        <v>62</v>
      </c>
      <c r="EE54" s="49" t="s">
        <v>62</v>
      </c>
      <c r="EF54" s="49" t="s">
        <v>62</v>
      </c>
      <c r="EG54" s="120" t="s">
        <v>62</v>
      </c>
      <c r="EH54" s="117">
        <v>0</v>
      </c>
      <c r="EI54" s="117">
        <v>0</v>
      </c>
      <c r="EJ54" s="55">
        <v>0.02</v>
      </c>
      <c r="EK54" s="55">
        <v>0.02</v>
      </c>
      <c r="EL54" s="55">
        <v>0.02</v>
      </c>
      <c r="EM54" s="55">
        <v>0.02</v>
      </c>
      <c r="EN54" s="55">
        <v>0.02</v>
      </c>
      <c r="EO54" s="122">
        <v>0.02</v>
      </c>
      <c r="EP54" s="117">
        <v>1.04</v>
      </c>
      <c r="EQ54" s="117">
        <v>52.19</v>
      </c>
    </row>
    <row r="55" customFormat="1" ht="22.5" customHeight="1" spans="1:147">
      <c r="A55" s="108">
        <v>12357</v>
      </c>
      <c r="B55" s="109" t="s">
        <v>372</v>
      </c>
      <c r="C55" s="110">
        <v>46104</v>
      </c>
      <c r="D55" s="111">
        <f>IF(_xlfn.XLOOKUP(A55,[1]分配表!J:J,[1]分配表!M:M)=0,"未出单",_xlfn.XLOOKUP(A55,[1]分配表!J:J,[1]分配表!M:M))</f>
        <v>46104</v>
      </c>
      <c r="E55" s="112" t="str">
        <f>_xlfn.XLOOKUP(A55,[1]分配表!A:A,[1]分配表!C:C)</f>
        <v>张潇</v>
      </c>
      <c r="F55" s="112" t="str">
        <f>IF(_xlfn.XLOOKUP($A55,[1]分配表!$A:$A,[1]分配表!D:D)=0,"未分类",_xlfn.XLOOKUP($A55,[1]分配表!$A:$A,[1]分配表!D:D))</f>
        <v>其他</v>
      </c>
      <c r="G55" s="112" t="str">
        <f>_xlfn.XLOOKUP(A55,[1]分配表!J:J,[1]分配表!I:I)</f>
        <v>原开品</v>
      </c>
      <c r="H55" s="49">
        <v>0</v>
      </c>
      <c r="I55" s="49">
        <v>0</v>
      </c>
      <c r="J55" s="49">
        <v>1</v>
      </c>
      <c r="K55" s="49">
        <v>0</v>
      </c>
      <c r="L55" s="49">
        <v>1</v>
      </c>
      <c r="M55" s="49">
        <v>4</v>
      </c>
      <c r="N55" s="49">
        <v>0</v>
      </c>
      <c r="O55" s="49">
        <v>1</v>
      </c>
      <c r="P55" s="49">
        <v>1</v>
      </c>
      <c r="Q55" s="49">
        <v>3</v>
      </c>
      <c r="R55" s="49">
        <v>0</v>
      </c>
      <c r="S55" s="49">
        <v>1</v>
      </c>
      <c r="T55" s="113">
        <f t="shared" si="0"/>
        <v>1</v>
      </c>
      <c r="U55" s="114">
        <v>0</v>
      </c>
      <c r="V55" s="115">
        <v>0</v>
      </c>
      <c r="W55" s="115">
        <v>110</v>
      </c>
      <c r="X55" s="115">
        <v>0</v>
      </c>
      <c r="Y55" s="115">
        <v>99</v>
      </c>
      <c r="Z55" s="115">
        <v>391.05</v>
      </c>
      <c r="AA55" s="115">
        <v>0</v>
      </c>
      <c r="AB55" s="116">
        <v>99</v>
      </c>
      <c r="AC55" s="117">
        <v>99</v>
      </c>
      <c r="AD55" s="117">
        <v>297</v>
      </c>
      <c r="AE55" s="117">
        <v>0</v>
      </c>
      <c r="AF55" s="117">
        <v>99</v>
      </c>
      <c r="AG55" s="115">
        <f t="shared" si="1"/>
        <v>99</v>
      </c>
      <c r="AH55" s="118">
        <v>0</v>
      </c>
      <c r="AI55" s="49">
        <v>0</v>
      </c>
      <c r="AJ55" s="49">
        <v>0</v>
      </c>
      <c r="AK55" s="49">
        <v>0</v>
      </c>
      <c r="AL55" s="49">
        <v>0</v>
      </c>
      <c r="AM55" s="49">
        <v>0</v>
      </c>
      <c r="AN55" s="49">
        <v>0</v>
      </c>
      <c r="AO55" s="49">
        <v>0</v>
      </c>
      <c r="AP55" s="49">
        <v>0</v>
      </c>
      <c r="AQ55" s="49">
        <v>0</v>
      </c>
      <c r="AR55" s="49">
        <v>0</v>
      </c>
      <c r="AS55" s="49">
        <v>0</v>
      </c>
      <c r="AT55" s="119" t="s">
        <v>306</v>
      </c>
      <c r="AU55" s="55" t="s">
        <v>306</v>
      </c>
      <c r="AV55" s="55">
        <v>1</v>
      </c>
      <c r="AW55" s="55">
        <v>0</v>
      </c>
      <c r="AX55" s="55">
        <v>1</v>
      </c>
      <c r="AY55" s="55">
        <v>1</v>
      </c>
      <c r="AZ55" s="55" t="s">
        <v>306</v>
      </c>
      <c r="BA55" s="55">
        <v>1</v>
      </c>
      <c r="BB55" s="55" t="s">
        <v>306</v>
      </c>
      <c r="BC55" s="55">
        <v>1</v>
      </c>
      <c r="BD55" s="55" t="s">
        <v>306</v>
      </c>
      <c r="BE55" s="55">
        <v>1</v>
      </c>
      <c r="BF55" s="118" t="s">
        <v>328</v>
      </c>
      <c r="BG55" s="49" t="s">
        <v>328</v>
      </c>
      <c r="BH55" s="49">
        <v>2</v>
      </c>
      <c r="BI55" s="49">
        <v>10</v>
      </c>
      <c r="BJ55" s="49">
        <v>0</v>
      </c>
      <c r="BK55" s="49">
        <v>6</v>
      </c>
      <c r="BL55" s="49">
        <v>12</v>
      </c>
      <c r="BM55" s="49">
        <v>2</v>
      </c>
      <c r="BN55" s="49">
        <v>9</v>
      </c>
      <c r="BO55" s="49">
        <v>16</v>
      </c>
      <c r="BP55" s="49">
        <v>23</v>
      </c>
      <c r="BQ55" s="120">
        <v>30</v>
      </c>
      <c r="BR55" s="115" t="s">
        <v>328</v>
      </c>
      <c r="BS55" s="115" t="s">
        <v>328</v>
      </c>
      <c r="BT55" s="115" t="s">
        <v>49</v>
      </c>
      <c r="BU55" s="115" t="s">
        <v>49</v>
      </c>
      <c r="BV55" s="115" t="s">
        <v>49</v>
      </c>
      <c r="BW55" s="115" t="s">
        <v>49</v>
      </c>
      <c r="BX55" s="115" t="s">
        <v>49</v>
      </c>
      <c r="BY55" s="115" t="s">
        <v>49</v>
      </c>
      <c r="BZ55" s="115" t="s">
        <v>49</v>
      </c>
      <c r="CA55" s="115" t="s">
        <v>49</v>
      </c>
      <c r="CB55" s="115" t="s">
        <v>49</v>
      </c>
      <c r="CC55" s="115" t="s">
        <v>49</v>
      </c>
      <c r="CD55" s="114" t="s">
        <v>328</v>
      </c>
      <c r="CE55" s="115" t="s">
        <v>328</v>
      </c>
      <c r="CF55" s="115" t="s">
        <v>53</v>
      </c>
      <c r="CG55" s="115" t="s">
        <v>152</v>
      </c>
      <c r="CH55" s="115" t="s">
        <v>53</v>
      </c>
      <c r="CI55" s="115" t="s">
        <v>53</v>
      </c>
      <c r="CJ55" s="115" t="s">
        <v>152</v>
      </c>
      <c r="CK55" s="115" t="s">
        <v>53</v>
      </c>
      <c r="CL55" s="115" t="s">
        <v>53</v>
      </c>
      <c r="CM55" s="115" t="s">
        <v>53</v>
      </c>
      <c r="CN55" s="115" t="s">
        <v>53</v>
      </c>
      <c r="CO55" s="121" t="s">
        <v>53</v>
      </c>
      <c r="CP55" s="115" t="s">
        <v>328</v>
      </c>
      <c r="CQ55" s="115" t="s">
        <v>328</v>
      </c>
      <c r="CR55" s="115" t="s">
        <v>53</v>
      </c>
      <c r="CS55" s="115" t="s">
        <v>53</v>
      </c>
      <c r="CT55" s="115" t="s">
        <v>53</v>
      </c>
      <c r="CU55" s="115" t="s">
        <v>53</v>
      </c>
      <c r="CV55" s="115" t="s">
        <v>53</v>
      </c>
      <c r="CW55" s="115" t="s">
        <v>53</v>
      </c>
      <c r="CX55" s="115" t="s">
        <v>53</v>
      </c>
      <c r="CY55" s="115" t="s">
        <v>53</v>
      </c>
      <c r="CZ55" s="115" t="s">
        <v>53</v>
      </c>
      <c r="DA55" s="115" t="s">
        <v>53</v>
      </c>
      <c r="DB55" s="118" t="s">
        <v>328</v>
      </c>
      <c r="DC55" s="49" t="s">
        <v>328</v>
      </c>
      <c r="DD55" s="49" t="s">
        <v>328</v>
      </c>
      <c r="DE55" s="49" t="s">
        <v>53</v>
      </c>
      <c r="DF55" s="49" t="s">
        <v>156</v>
      </c>
      <c r="DG55" s="49" t="s">
        <v>156</v>
      </c>
      <c r="DH55" s="49" t="s">
        <v>53</v>
      </c>
      <c r="DI55" s="49" t="s">
        <v>156</v>
      </c>
      <c r="DJ55" s="49" t="s">
        <v>53</v>
      </c>
      <c r="DK55" s="49" t="s">
        <v>307</v>
      </c>
      <c r="DL55" s="49" t="s">
        <v>53</v>
      </c>
      <c r="DM55" s="49" t="s">
        <v>156</v>
      </c>
      <c r="DN55" s="49" t="s">
        <v>53</v>
      </c>
      <c r="DO55" s="118"/>
      <c r="DP55" s="49"/>
      <c r="DQ55" s="49" t="s">
        <v>328</v>
      </c>
      <c r="DR55" s="49" t="s">
        <v>331</v>
      </c>
      <c r="DS55" s="49" t="s">
        <v>58</v>
      </c>
      <c r="DT55" s="49" t="s">
        <v>58</v>
      </c>
      <c r="DU55" s="49" t="s">
        <v>58</v>
      </c>
      <c r="DV55" s="49" t="s">
        <v>310</v>
      </c>
      <c r="DW55" s="49" t="s">
        <v>58</v>
      </c>
      <c r="DX55" s="49" t="s">
        <v>58</v>
      </c>
      <c r="DY55" s="49" t="s">
        <v>58</v>
      </c>
      <c r="DZ55" s="49" t="s">
        <v>58</v>
      </c>
      <c r="EA55" s="118" t="s">
        <v>62</v>
      </c>
      <c r="EB55" s="49" t="s">
        <v>62</v>
      </c>
      <c r="EC55" s="49" t="s">
        <v>62</v>
      </c>
      <c r="ED55" s="49" t="s">
        <v>62</v>
      </c>
      <c r="EE55" s="49" t="s">
        <v>62</v>
      </c>
      <c r="EF55" s="49" t="s">
        <v>62</v>
      </c>
      <c r="EG55" s="120" t="s">
        <v>62</v>
      </c>
      <c r="EH55" s="117">
        <v>0</v>
      </c>
      <c r="EI55" s="117">
        <v>0</v>
      </c>
      <c r="EJ55" s="55">
        <v>0.02</v>
      </c>
      <c r="EK55" s="55">
        <v>0.02</v>
      </c>
      <c r="EL55" s="55">
        <v>0.02</v>
      </c>
      <c r="EM55" s="55">
        <v>0.02</v>
      </c>
      <c r="EN55" s="55">
        <v>0.02</v>
      </c>
      <c r="EO55" s="122">
        <v>0.02</v>
      </c>
      <c r="EP55" s="117">
        <v>2.16</v>
      </c>
      <c r="EQ55" s="117">
        <v>108.16</v>
      </c>
    </row>
    <row r="56" customFormat="1" ht="22.5" customHeight="1" spans="1:147">
      <c r="A56" s="108">
        <v>12423</v>
      </c>
      <c r="B56" s="109" t="s">
        <v>373</v>
      </c>
      <c r="C56" s="110">
        <v>46104</v>
      </c>
      <c r="D56" s="111">
        <f>IF(_xlfn.XLOOKUP(A56,[1]分配表!J:J,[1]分配表!M:M)=0,"未出单",_xlfn.XLOOKUP(A56,[1]分配表!J:J,[1]分配表!M:M))</f>
        <v>46108</v>
      </c>
      <c r="E56" s="112" t="str">
        <f>_xlfn.XLOOKUP(A56,[1]分配表!A:A,[1]分配表!C:C)</f>
        <v>张潇</v>
      </c>
      <c r="F56" s="112" t="str">
        <f>IF(_xlfn.XLOOKUP($A56,[1]分配表!$A:$A,[1]分配表!D:D)=0,"未分类",_xlfn.XLOOKUP($A56,[1]分配表!$A:$A,[1]分配表!D:D))</f>
        <v>其他</v>
      </c>
      <c r="G56" s="112" t="str">
        <f>_xlfn.XLOOKUP(A56,[1]分配表!J:J,[1]分配表!I:I)</f>
        <v>原开品</v>
      </c>
      <c r="H56" s="49">
        <v>0</v>
      </c>
      <c r="I56" s="49">
        <v>0</v>
      </c>
      <c r="J56" s="49">
        <v>0</v>
      </c>
      <c r="K56" s="49">
        <v>1</v>
      </c>
      <c r="L56" s="49">
        <v>1</v>
      </c>
      <c r="M56" s="49">
        <v>1</v>
      </c>
      <c r="N56" s="49">
        <v>0</v>
      </c>
      <c r="O56" s="49">
        <v>0</v>
      </c>
      <c r="P56" s="49">
        <v>1</v>
      </c>
      <c r="Q56" s="49">
        <v>0</v>
      </c>
      <c r="R56" s="49">
        <v>0</v>
      </c>
      <c r="S56" s="49">
        <v>0</v>
      </c>
      <c r="T56" s="113">
        <f t="shared" si="0"/>
        <v>0</v>
      </c>
      <c r="U56" s="114">
        <v>0</v>
      </c>
      <c r="V56" s="115">
        <v>0</v>
      </c>
      <c r="W56" s="115">
        <v>0</v>
      </c>
      <c r="X56" s="115">
        <v>58</v>
      </c>
      <c r="Y56" s="115">
        <v>58</v>
      </c>
      <c r="Z56" s="115">
        <v>58</v>
      </c>
      <c r="AA56" s="115">
        <v>0</v>
      </c>
      <c r="AB56" s="116">
        <v>0</v>
      </c>
      <c r="AC56" s="117">
        <v>58</v>
      </c>
      <c r="AD56" s="117">
        <v>0</v>
      </c>
      <c r="AE56" s="117">
        <v>0</v>
      </c>
      <c r="AF56" s="117">
        <v>0</v>
      </c>
      <c r="AG56" s="115">
        <f t="shared" si="1"/>
        <v>0</v>
      </c>
      <c r="AH56" s="118">
        <v>0</v>
      </c>
      <c r="AI56" s="49">
        <v>0</v>
      </c>
      <c r="AJ56" s="49">
        <v>0</v>
      </c>
      <c r="AK56" s="49">
        <v>0</v>
      </c>
      <c r="AL56" s="49">
        <v>0</v>
      </c>
      <c r="AM56" s="49">
        <v>0</v>
      </c>
      <c r="AN56" s="49">
        <v>0</v>
      </c>
      <c r="AO56" s="49">
        <v>0</v>
      </c>
      <c r="AP56" s="49">
        <v>0</v>
      </c>
      <c r="AQ56" s="49">
        <v>0</v>
      </c>
      <c r="AR56" s="49">
        <v>0</v>
      </c>
      <c r="AS56" s="49">
        <v>0</v>
      </c>
      <c r="AT56" s="119" t="s">
        <v>306</v>
      </c>
      <c r="AU56" s="55" t="s">
        <v>306</v>
      </c>
      <c r="AV56" s="55" t="s">
        <v>306</v>
      </c>
      <c r="AW56" s="55">
        <v>1</v>
      </c>
      <c r="AX56" s="55">
        <v>1</v>
      </c>
      <c r="AY56" s="55">
        <v>1</v>
      </c>
      <c r="AZ56" s="55">
        <v>1</v>
      </c>
      <c r="BA56" s="55" t="s">
        <v>306</v>
      </c>
      <c r="BB56" s="55">
        <v>1</v>
      </c>
      <c r="BC56" s="55" t="s">
        <v>306</v>
      </c>
      <c r="BD56" s="55" t="s">
        <v>306</v>
      </c>
      <c r="BE56" s="55" t="s">
        <v>306</v>
      </c>
      <c r="BF56" s="118" t="s">
        <v>328</v>
      </c>
      <c r="BG56" s="49" t="s">
        <v>328</v>
      </c>
      <c r="BH56" s="49">
        <v>1</v>
      </c>
      <c r="BI56" s="49">
        <v>9</v>
      </c>
      <c r="BJ56" s="49">
        <v>0</v>
      </c>
      <c r="BK56" s="49">
        <v>6</v>
      </c>
      <c r="BL56" s="49">
        <v>5</v>
      </c>
      <c r="BM56" s="49">
        <v>12</v>
      </c>
      <c r="BN56" s="49">
        <v>19</v>
      </c>
      <c r="BO56" s="49">
        <v>26</v>
      </c>
      <c r="BP56" s="49">
        <v>33</v>
      </c>
      <c r="BQ56" s="120">
        <v>40</v>
      </c>
      <c r="BR56" s="115" t="s">
        <v>328</v>
      </c>
      <c r="BS56" s="115" t="s">
        <v>328</v>
      </c>
      <c r="BT56" s="115" t="s">
        <v>149</v>
      </c>
      <c r="BU56" s="115" t="s">
        <v>49</v>
      </c>
      <c r="BV56" s="115" t="s">
        <v>49</v>
      </c>
      <c r="BW56" s="115" t="s">
        <v>49</v>
      </c>
      <c r="BX56" s="115" t="s">
        <v>49</v>
      </c>
      <c r="BY56" s="115" t="s">
        <v>49</v>
      </c>
      <c r="BZ56" s="115" t="s">
        <v>49</v>
      </c>
      <c r="CA56" s="115" t="s">
        <v>49</v>
      </c>
      <c r="CB56" s="115" t="s">
        <v>49</v>
      </c>
      <c r="CC56" s="115" t="s">
        <v>49</v>
      </c>
      <c r="CD56" s="114" t="s">
        <v>328</v>
      </c>
      <c r="CE56" s="115" t="s">
        <v>328</v>
      </c>
      <c r="CF56" s="115" t="s">
        <v>53</v>
      </c>
      <c r="CG56" s="115" t="s">
        <v>152</v>
      </c>
      <c r="CH56" s="115" t="s">
        <v>53</v>
      </c>
      <c r="CI56" s="115" t="s">
        <v>53</v>
      </c>
      <c r="CJ56" s="115" t="s">
        <v>53</v>
      </c>
      <c r="CK56" s="115" t="s">
        <v>53</v>
      </c>
      <c r="CL56" s="115" t="s">
        <v>53</v>
      </c>
      <c r="CM56" s="115" t="s">
        <v>53</v>
      </c>
      <c r="CN56" s="115" t="s">
        <v>53</v>
      </c>
      <c r="CO56" s="121" t="s">
        <v>53</v>
      </c>
      <c r="CP56" s="115" t="s">
        <v>328</v>
      </c>
      <c r="CQ56" s="115" t="s">
        <v>328</v>
      </c>
      <c r="CR56" s="115" t="s">
        <v>53</v>
      </c>
      <c r="CS56" s="115" t="s">
        <v>53</v>
      </c>
      <c r="CT56" s="115" t="s">
        <v>53</v>
      </c>
      <c r="CU56" s="115" t="s">
        <v>53</v>
      </c>
      <c r="CV56" s="115" t="s">
        <v>53</v>
      </c>
      <c r="CW56" s="115" t="s">
        <v>53</v>
      </c>
      <c r="CX56" s="115" t="s">
        <v>53</v>
      </c>
      <c r="CY56" s="115" t="s">
        <v>53</v>
      </c>
      <c r="CZ56" s="115" t="s">
        <v>53</v>
      </c>
      <c r="DA56" s="115" t="s">
        <v>53</v>
      </c>
      <c r="DB56" s="118" t="s">
        <v>328</v>
      </c>
      <c r="DC56" s="49" t="s">
        <v>328</v>
      </c>
      <c r="DD56" s="49" t="s">
        <v>328</v>
      </c>
      <c r="DE56" s="49" t="s">
        <v>307</v>
      </c>
      <c r="DF56" s="49" t="s">
        <v>53</v>
      </c>
      <c r="DG56" s="49" t="s">
        <v>53</v>
      </c>
      <c r="DH56" s="49" t="s">
        <v>156</v>
      </c>
      <c r="DI56" s="49" t="s">
        <v>53</v>
      </c>
      <c r="DJ56" s="49" t="s">
        <v>307</v>
      </c>
      <c r="DK56" s="49" t="s">
        <v>53</v>
      </c>
      <c r="DL56" s="49" t="s">
        <v>307</v>
      </c>
      <c r="DM56" s="49" t="s">
        <v>156</v>
      </c>
      <c r="DN56" s="49" t="s">
        <v>156</v>
      </c>
      <c r="DO56" s="118"/>
      <c r="DP56" s="49"/>
      <c r="DQ56" s="49" t="s">
        <v>328</v>
      </c>
      <c r="DR56" s="49" t="s">
        <v>159</v>
      </c>
      <c r="DS56" s="49" t="s">
        <v>58</v>
      </c>
      <c r="DT56" s="49" t="s">
        <v>58</v>
      </c>
      <c r="DU56" s="49" t="s">
        <v>58</v>
      </c>
      <c r="DV56" s="49" t="s">
        <v>58</v>
      </c>
      <c r="DW56" s="49" t="s">
        <v>58</v>
      </c>
      <c r="DX56" s="49" t="s">
        <v>58</v>
      </c>
      <c r="DY56" s="49" t="s">
        <v>58</v>
      </c>
      <c r="DZ56" s="49" t="s">
        <v>58</v>
      </c>
      <c r="EA56" s="118" t="s">
        <v>62</v>
      </c>
      <c r="EB56" s="49" t="s">
        <v>62</v>
      </c>
      <c r="EC56" s="49" t="s">
        <v>62</v>
      </c>
      <c r="ED56" s="49" t="s">
        <v>62</v>
      </c>
      <c r="EE56" s="49" t="s">
        <v>62</v>
      </c>
      <c r="EF56" s="49" t="s">
        <v>62</v>
      </c>
      <c r="EG56" s="120" t="s">
        <v>62</v>
      </c>
      <c r="EH56" s="117">
        <v>0</v>
      </c>
      <c r="EI56" s="117">
        <v>0</v>
      </c>
      <c r="EJ56" s="55">
        <v>0.02</v>
      </c>
      <c r="EK56" s="55">
        <v>0.02</v>
      </c>
      <c r="EL56" s="55">
        <v>0.02</v>
      </c>
      <c r="EM56" s="55">
        <v>0.02</v>
      </c>
      <c r="EN56" s="55">
        <v>0.02</v>
      </c>
      <c r="EO56" s="122">
        <v>0.02</v>
      </c>
      <c r="EP56" s="117">
        <v>0</v>
      </c>
      <c r="EQ56" s="117">
        <v>0</v>
      </c>
    </row>
    <row r="57" customFormat="1" ht="22.5" customHeight="1" spans="1:147">
      <c r="A57" s="108">
        <v>12387</v>
      </c>
      <c r="B57" s="109" t="s">
        <v>374</v>
      </c>
      <c r="C57" s="110">
        <v>46105</v>
      </c>
      <c r="D57" s="111">
        <f>IF(_xlfn.XLOOKUP(A57,[1]分配表!J:J,[1]分配表!M:M)=0,"未出单",_xlfn.XLOOKUP(A57,[1]分配表!J:J,[1]分配表!M:M))</f>
        <v>46125</v>
      </c>
      <c r="E57" s="112" t="str">
        <f>_xlfn.XLOOKUP(A57,[1]分配表!A:A,[1]分配表!C:C)</f>
        <v>俞东旭</v>
      </c>
      <c r="F57" s="112" t="str">
        <f>IF(_xlfn.XLOOKUP($A57,[1]分配表!$A:$A,[1]分配表!D:D)=0,"未分类",_xlfn.XLOOKUP($A57,[1]分配表!$A:$A,[1]分配表!D:D))</f>
        <v>车身外扩件</v>
      </c>
      <c r="G57" s="112" t="str">
        <f>_xlfn.XLOOKUP(A57,[1]分配表!J:J,[1]分配表!I:I)</f>
        <v>原开品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2</v>
      </c>
      <c r="N57" s="49">
        <v>0</v>
      </c>
      <c r="O57" s="49">
        <v>0</v>
      </c>
      <c r="P57" s="49">
        <v>2</v>
      </c>
      <c r="Q57" s="49">
        <v>0</v>
      </c>
      <c r="R57" s="49">
        <v>1</v>
      </c>
      <c r="S57" s="49">
        <v>0</v>
      </c>
      <c r="T57" s="113">
        <f t="shared" si="0"/>
        <v>-1</v>
      </c>
      <c r="U57" s="114">
        <v>0</v>
      </c>
      <c r="V57" s="115">
        <v>0</v>
      </c>
      <c r="W57" s="115">
        <v>0</v>
      </c>
      <c r="X57" s="115">
        <v>0</v>
      </c>
      <c r="Y57" s="115">
        <v>0</v>
      </c>
      <c r="Z57" s="115">
        <v>70</v>
      </c>
      <c r="AA57" s="115">
        <v>0</v>
      </c>
      <c r="AB57" s="116">
        <v>0</v>
      </c>
      <c r="AC57" s="117">
        <v>70</v>
      </c>
      <c r="AD57" s="117">
        <v>0</v>
      </c>
      <c r="AE57" s="117">
        <v>35</v>
      </c>
      <c r="AF57" s="117">
        <v>0</v>
      </c>
      <c r="AG57" s="115">
        <f t="shared" si="1"/>
        <v>-35</v>
      </c>
      <c r="AH57" s="118">
        <v>0</v>
      </c>
      <c r="AI57" s="49">
        <v>0</v>
      </c>
      <c r="AJ57" s="49">
        <v>0</v>
      </c>
      <c r="AK57" s="49">
        <v>6</v>
      </c>
      <c r="AL57" s="49">
        <v>1</v>
      </c>
      <c r="AM57" s="49">
        <v>1</v>
      </c>
      <c r="AN57" s="49">
        <v>4</v>
      </c>
      <c r="AO57" s="49">
        <v>4</v>
      </c>
      <c r="AP57" s="49">
        <v>2</v>
      </c>
      <c r="AQ57" s="49">
        <v>2</v>
      </c>
      <c r="AR57" s="49">
        <v>1</v>
      </c>
      <c r="AS57" s="49">
        <v>3</v>
      </c>
      <c r="AT57" s="119" t="s">
        <v>306</v>
      </c>
      <c r="AU57" s="55" t="s">
        <v>306</v>
      </c>
      <c r="AV57" s="55" t="s">
        <v>306</v>
      </c>
      <c r="AW57" s="55">
        <v>0</v>
      </c>
      <c r="AX57" s="55">
        <v>0</v>
      </c>
      <c r="AY57" s="55">
        <v>0.666666666666667</v>
      </c>
      <c r="AZ57" s="55">
        <v>0</v>
      </c>
      <c r="BA57" s="55">
        <v>0</v>
      </c>
      <c r="BB57" s="55">
        <v>0.5</v>
      </c>
      <c r="BC57" s="55">
        <v>0</v>
      </c>
      <c r="BD57" s="55">
        <v>0.5</v>
      </c>
      <c r="BE57" s="55">
        <v>0</v>
      </c>
      <c r="BF57" s="118" t="s">
        <v>328</v>
      </c>
      <c r="BG57" s="49" t="s">
        <v>328</v>
      </c>
      <c r="BH57" s="49">
        <v>46106</v>
      </c>
      <c r="BI57" s="49">
        <v>5</v>
      </c>
      <c r="BJ57" s="49">
        <v>0</v>
      </c>
      <c r="BK57" s="49">
        <v>1</v>
      </c>
      <c r="BL57" s="49">
        <v>1</v>
      </c>
      <c r="BM57" s="49">
        <v>1</v>
      </c>
      <c r="BN57" s="49">
        <v>8</v>
      </c>
      <c r="BO57" s="49">
        <v>1</v>
      </c>
      <c r="BP57" s="49">
        <v>8</v>
      </c>
      <c r="BQ57" s="120">
        <v>15</v>
      </c>
      <c r="BR57" s="115" t="s">
        <v>328</v>
      </c>
      <c r="BS57" s="115" t="s">
        <v>328</v>
      </c>
      <c r="BT57" s="115" t="s">
        <v>149</v>
      </c>
      <c r="BU57" s="115" t="s">
        <v>149</v>
      </c>
      <c r="BV57" s="115" t="s">
        <v>149</v>
      </c>
      <c r="BW57" s="115" t="s">
        <v>149</v>
      </c>
      <c r="BX57" s="115" t="s">
        <v>62</v>
      </c>
      <c r="BY57" s="115" t="s">
        <v>62</v>
      </c>
      <c r="BZ57" s="115" t="s">
        <v>62</v>
      </c>
      <c r="CA57" s="115" t="s">
        <v>62</v>
      </c>
      <c r="CB57" s="115" t="s">
        <v>62</v>
      </c>
      <c r="CC57" s="115" t="s">
        <v>62</v>
      </c>
      <c r="CD57" s="114" t="s">
        <v>328</v>
      </c>
      <c r="CE57" s="115" t="s">
        <v>328</v>
      </c>
      <c r="CF57" s="115" t="s">
        <v>152</v>
      </c>
      <c r="CG57" s="115" t="s">
        <v>53</v>
      </c>
      <c r="CH57" s="115" t="s">
        <v>53</v>
      </c>
      <c r="CI57" s="115" t="s">
        <v>53</v>
      </c>
      <c r="CJ57" s="115" t="s">
        <v>53</v>
      </c>
      <c r="CK57" s="115" t="s">
        <v>53</v>
      </c>
      <c r="CL57" s="115" t="s">
        <v>152</v>
      </c>
      <c r="CM57" s="115" t="s">
        <v>53</v>
      </c>
      <c r="CN57" s="115" t="s">
        <v>152</v>
      </c>
      <c r="CO57" s="121" t="s">
        <v>152</v>
      </c>
      <c r="CP57" s="115" t="s">
        <v>328</v>
      </c>
      <c r="CQ57" s="115" t="s">
        <v>328</v>
      </c>
      <c r="CR57" s="115" t="s">
        <v>152</v>
      </c>
      <c r="CS57" s="115" t="s">
        <v>53</v>
      </c>
      <c r="CT57" s="115" t="s">
        <v>53</v>
      </c>
      <c r="CU57" s="115" t="s">
        <v>53</v>
      </c>
      <c r="CV57" s="115" t="s">
        <v>53</v>
      </c>
      <c r="CW57" s="115" t="s">
        <v>53</v>
      </c>
      <c r="CX57" s="115" t="s">
        <v>53</v>
      </c>
      <c r="CY57" s="115" t="s">
        <v>53</v>
      </c>
      <c r="CZ57" s="115" t="s">
        <v>53</v>
      </c>
      <c r="DA57" s="115" t="s">
        <v>53</v>
      </c>
      <c r="DB57" s="118" t="s">
        <v>328</v>
      </c>
      <c r="DC57" s="49" t="s">
        <v>328</v>
      </c>
      <c r="DD57" s="49" t="s">
        <v>328</v>
      </c>
      <c r="DE57" s="49" t="s">
        <v>307</v>
      </c>
      <c r="DF57" s="49" t="s">
        <v>313</v>
      </c>
      <c r="DG57" s="49" t="s">
        <v>313</v>
      </c>
      <c r="DH57" s="49" t="s">
        <v>313</v>
      </c>
      <c r="DI57" s="49" t="s">
        <v>313</v>
      </c>
      <c r="DJ57" s="49" t="s">
        <v>313</v>
      </c>
      <c r="DK57" s="49" t="s">
        <v>313</v>
      </c>
      <c r="DL57" s="49" t="s">
        <v>313</v>
      </c>
      <c r="DM57" s="49" t="s">
        <v>313</v>
      </c>
      <c r="DN57" s="49" t="s">
        <v>313</v>
      </c>
      <c r="DO57" s="118"/>
      <c r="DP57" s="49"/>
      <c r="DQ57" s="49" t="s">
        <v>328</v>
      </c>
      <c r="DR57" s="49" t="s">
        <v>159</v>
      </c>
      <c r="DS57" s="49" t="s">
        <v>58</v>
      </c>
      <c r="DT57" s="49" t="s">
        <v>314</v>
      </c>
      <c r="DU57" s="49" t="s">
        <v>159</v>
      </c>
      <c r="DV57" s="49" t="s">
        <v>58</v>
      </c>
      <c r="DW57" s="49" t="s">
        <v>58</v>
      </c>
      <c r="DX57" s="49" t="s">
        <v>310</v>
      </c>
      <c r="DY57" s="49" t="s">
        <v>58</v>
      </c>
      <c r="DZ57" s="49" t="s">
        <v>315</v>
      </c>
      <c r="EA57" s="118" t="s">
        <v>49</v>
      </c>
      <c r="EB57" s="49" t="s">
        <v>49</v>
      </c>
      <c r="EC57" s="49" t="s">
        <v>49</v>
      </c>
      <c r="ED57" s="49" t="s">
        <v>62</v>
      </c>
      <c r="EE57" s="49" t="s">
        <v>62</v>
      </c>
      <c r="EF57" s="49" t="s">
        <v>62</v>
      </c>
      <c r="EG57" s="120" t="s">
        <v>49</v>
      </c>
      <c r="EH57" s="117">
        <v>0</v>
      </c>
      <c r="EI57" s="117">
        <v>0</v>
      </c>
      <c r="EJ57" s="55">
        <v>0.02</v>
      </c>
      <c r="EK57" s="55">
        <v>0.025</v>
      </c>
      <c r="EL57" s="55">
        <v>0.025</v>
      </c>
      <c r="EM57" s="55">
        <v>0.025</v>
      </c>
      <c r="EN57" s="55">
        <v>0.025</v>
      </c>
      <c r="EO57" s="122">
        <v>0.025</v>
      </c>
      <c r="EP57" s="117">
        <v>0.94</v>
      </c>
      <c r="EQ57" s="117">
        <v>37.79</v>
      </c>
    </row>
    <row r="58" customFormat="1" ht="22.5" customHeight="1" spans="1:147">
      <c r="A58" s="108">
        <v>12388</v>
      </c>
      <c r="B58" s="109" t="s">
        <v>375</v>
      </c>
      <c r="C58" s="110">
        <v>46105</v>
      </c>
      <c r="D58" s="111">
        <f>IF(_xlfn.XLOOKUP(A58,[1]分配表!J:J,[1]分配表!M:M)=0,"未出单",_xlfn.XLOOKUP(A58,[1]分配表!J:J,[1]分配表!M:M))</f>
        <v>46125</v>
      </c>
      <c r="E58" s="112" t="str">
        <f>_xlfn.XLOOKUP(A58,[1]分配表!A:A,[1]分配表!C:C)</f>
        <v>俞东旭</v>
      </c>
      <c r="F58" s="112" t="str">
        <f>IF(_xlfn.XLOOKUP($A58,[1]分配表!$A:$A,[1]分配表!D:D)=0,"未分类",_xlfn.XLOOKUP($A58,[1]分配表!$A:$A,[1]分配表!D:D))</f>
        <v>车身外扩件</v>
      </c>
      <c r="G58" s="112" t="str">
        <f>_xlfn.XLOOKUP(A58,[1]分配表!J:J,[1]分配表!I:I)</f>
        <v>原开品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1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113">
        <f t="shared" si="0"/>
        <v>0</v>
      </c>
      <c r="U58" s="114">
        <v>0</v>
      </c>
      <c r="V58" s="115">
        <v>0</v>
      </c>
      <c r="W58" s="115">
        <v>0</v>
      </c>
      <c r="X58" s="115">
        <v>0</v>
      </c>
      <c r="Y58" s="115">
        <v>0</v>
      </c>
      <c r="Z58" s="115">
        <v>35</v>
      </c>
      <c r="AA58" s="115">
        <v>0</v>
      </c>
      <c r="AB58" s="116">
        <v>0</v>
      </c>
      <c r="AC58" s="117">
        <v>0</v>
      </c>
      <c r="AD58" s="117">
        <v>0</v>
      </c>
      <c r="AE58" s="117">
        <v>0</v>
      </c>
      <c r="AF58" s="117">
        <v>0</v>
      </c>
      <c r="AG58" s="115">
        <f t="shared" si="1"/>
        <v>0</v>
      </c>
      <c r="AH58" s="118">
        <v>0</v>
      </c>
      <c r="AI58" s="49">
        <v>0</v>
      </c>
      <c r="AJ58" s="49">
        <v>0</v>
      </c>
      <c r="AK58" s="49">
        <v>0</v>
      </c>
      <c r="AL58" s="49">
        <v>4</v>
      </c>
      <c r="AM58" s="49">
        <v>2</v>
      </c>
      <c r="AN58" s="49">
        <v>1</v>
      </c>
      <c r="AO58" s="49">
        <v>1</v>
      </c>
      <c r="AP58" s="49">
        <v>2</v>
      </c>
      <c r="AQ58" s="49">
        <v>1</v>
      </c>
      <c r="AR58" s="49">
        <v>3</v>
      </c>
      <c r="AS58" s="49">
        <v>3</v>
      </c>
      <c r="AT58" s="119" t="s">
        <v>306</v>
      </c>
      <c r="AU58" s="55" t="s">
        <v>306</v>
      </c>
      <c r="AV58" s="55" t="s">
        <v>306</v>
      </c>
      <c r="AW58" s="55">
        <v>0</v>
      </c>
      <c r="AX58" s="55">
        <v>0</v>
      </c>
      <c r="AY58" s="55">
        <v>0.333333333333333</v>
      </c>
      <c r="AZ58" s="55">
        <v>0</v>
      </c>
      <c r="BA58" s="55">
        <v>0</v>
      </c>
      <c r="BB58" s="55">
        <v>0</v>
      </c>
      <c r="BC58" s="55">
        <v>0</v>
      </c>
      <c r="BD58" s="55">
        <v>0</v>
      </c>
      <c r="BE58" s="55">
        <v>0</v>
      </c>
      <c r="BF58" s="118" t="s">
        <v>328</v>
      </c>
      <c r="BG58" s="49" t="s">
        <v>328</v>
      </c>
      <c r="BH58" s="49">
        <v>46106</v>
      </c>
      <c r="BI58" s="49">
        <v>5</v>
      </c>
      <c r="BJ58" s="49">
        <v>0</v>
      </c>
      <c r="BK58" s="49">
        <v>1</v>
      </c>
      <c r="BL58" s="49">
        <v>1</v>
      </c>
      <c r="BM58" s="49">
        <v>8</v>
      </c>
      <c r="BN58" s="49">
        <v>0</v>
      </c>
      <c r="BO58" s="49">
        <v>0</v>
      </c>
      <c r="BP58" s="49">
        <v>7</v>
      </c>
      <c r="BQ58" s="120">
        <v>14</v>
      </c>
      <c r="BR58" s="115" t="s">
        <v>328</v>
      </c>
      <c r="BS58" s="115" t="s">
        <v>328</v>
      </c>
      <c r="BT58" s="115" t="s">
        <v>149</v>
      </c>
      <c r="BU58" s="115" t="s">
        <v>149</v>
      </c>
      <c r="BV58" s="115" t="s">
        <v>149</v>
      </c>
      <c r="BW58" s="115" t="s">
        <v>149</v>
      </c>
      <c r="BX58" s="115" t="s">
        <v>62</v>
      </c>
      <c r="BY58" s="115" t="s">
        <v>62</v>
      </c>
      <c r="BZ58" s="115" t="s">
        <v>62</v>
      </c>
      <c r="CA58" s="115" t="s">
        <v>62</v>
      </c>
      <c r="CB58" s="115" t="s">
        <v>62</v>
      </c>
      <c r="CC58" s="115" t="s">
        <v>62</v>
      </c>
      <c r="CD58" s="114" t="s">
        <v>328</v>
      </c>
      <c r="CE58" s="115" t="s">
        <v>328</v>
      </c>
      <c r="CF58" s="115" t="s">
        <v>152</v>
      </c>
      <c r="CG58" s="115" t="s">
        <v>53</v>
      </c>
      <c r="CH58" s="115" t="s">
        <v>53</v>
      </c>
      <c r="CI58" s="115" t="s">
        <v>53</v>
      </c>
      <c r="CJ58" s="115" t="s">
        <v>53</v>
      </c>
      <c r="CK58" s="115" t="s">
        <v>152</v>
      </c>
      <c r="CL58" s="115" t="s">
        <v>53</v>
      </c>
      <c r="CM58" s="115" t="s">
        <v>53</v>
      </c>
      <c r="CN58" s="115" t="s">
        <v>152</v>
      </c>
      <c r="CO58" s="121" t="s">
        <v>152</v>
      </c>
      <c r="CP58" s="115" t="s">
        <v>328</v>
      </c>
      <c r="CQ58" s="115" t="s">
        <v>328</v>
      </c>
      <c r="CR58" s="115" t="s">
        <v>152</v>
      </c>
      <c r="CS58" s="115" t="s">
        <v>53</v>
      </c>
      <c r="CT58" s="115" t="s">
        <v>53</v>
      </c>
      <c r="CU58" s="115" t="s">
        <v>53</v>
      </c>
      <c r="CV58" s="115" t="s">
        <v>53</v>
      </c>
      <c r="CW58" s="115" t="s">
        <v>53</v>
      </c>
      <c r="CX58" s="115" t="s">
        <v>53</v>
      </c>
      <c r="CY58" s="115" t="s">
        <v>53</v>
      </c>
      <c r="CZ58" s="115" t="s">
        <v>53</v>
      </c>
      <c r="DA58" s="115" t="s">
        <v>53</v>
      </c>
      <c r="DB58" s="118" t="s">
        <v>328</v>
      </c>
      <c r="DC58" s="49" t="s">
        <v>328</v>
      </c>
      <c r="DD58" s="49" t="s">
        <v>328</v>
      </c>
      <c r="DE58" s="49" t="s">
        <v>307</v>
      </c>
      <c r="DF58" s="49" t="s">
        <v>313</v>
      </c>
      <c r="DG58" s="49" t="s">
        <v>313</v>
      </c>
      <c r="DH58" s="49" t="s">
        <v>313</v>
      </c>
      <c r="DI58" s="49" t="s">
        <v>313</v>
      </c>
      <c r="DJ58" s="49" t="s">
        <v>313</v>
      </c>
      <c r="DK58" s="49" t="s">
        <v>313</v>
      </c>
      <c r="DL58" s="49" t="s">
        <v>313</v>
      </c>
      <c r="DM58" s="49" t="s">
        <v>313</v>
      </c>
      <c r="DN58" s="49" t="s">
        <v>313</v>
      </c>
      <c r="DO58" s="118"/>
      <c r="DP58" s="49"/>
      <c r="DQ58" s="49" t="s">
        <v>328</v>
      </c>
      <c r="DR58" s="49" t="s">
        <v>159</v>
      </c>
      <c r="DS58" s="49" t="s">
        <v>58</v>
      </c>
      <c r="DT58" s="49" t="s">
        <v>314</v>
      </c>
      <c r="DU58" s="49" t="s">
        <v>159</v>
      </c>
      <c r="DV58" s="49" t="s">
        <v>58</v>
      </c>
      <c r="DW58" s="49" t="s">
        <v>159</v>
      </c>
      <c r="DX58" s="49" t="s">
        <v>58</v>
      </c>
      <c r="DY58" s="49" t="s">
        <v>58</v>
      </c>
      <c r="DZ58" s="49" t="s">
        <v>314</v>
      </c>
      <c r="EA58" s="118" t="s">
        <v>49</v>
      </c>
      <c r="EB58" s="49" t="s">
        <v>49</v>
      </c>
      <c r="EC58" s="49" t="s">
        <v>49</v>
      </c>
      <c r="ED58" s="49" t="s">
        <v>62</v>
      </c>
      <c r="EE58" s="49" t="s">
        <v>62</v>
      </c>
      <c r="EF58" s="49" t="s">
        <v>62</v>
      </c>
      <c r="EG58" s="120" t="s">
        <v>49</v>
      </c>
      <c r="EH58" s="117">
        <v>0</v>
      </c>
      <c r="EI58" s="117">
        <v>0</v>
      </c>
      <c r="EJ58" s="55">
        <v>0.02</v>
      </c>
      <c r="EK58" s="55">
        <v>0</v>
      </c>
      <c r="EL58" s="55">
        <v>0.025</v>
      </c>
      <c r="EM58" s="55">
        <v>0.025</v>
      </c>
      <c r="EN58" s="55">
        <v>0.025</v>
      </c>
      <c r="EO58" s="122">
        <v>0.03</v>
      </c>
      <c r="EP58" s="117">
        <v>0</v>
      </c>
      <c r="EQ58" s="117">
        <v>0</v>
      </c>
    </row>
    <row r="59" customFormat="1" ht="22.5" customHeight="1" spans="1:147">
      <c r="A59" s="108">
        <v>12474</v>
      </c>
      <c r="B59" s="109" t="s">
        <v>376</v>
      </c>
      <c r="C59" s="110">
        <v>46108</v>
      </c>
      <c r="D59" s="111">
        <f>IF(_xlfn.XLOOKUP(A59,[1]分配表!J:J,[1]分配表!M:M)=0,"未出单",_xlfn.XLOOKUP(A59,[1]分配表!J:J,[1]分配表!M:M))</f>
        <v>46116</v>
      </c>
      <c r="E59" s="112" t="str">
        <f>_xlfn.XLOOKUP(A59,[1]分配表!A:A,[1]分配表!C:C)</f>
        <v>张潇</v>
      </c>
      <c r="F59" s="112" t="str">
        <f>IF(_xlfn.XLOOKUP($A59,[1]分配表!$A:$A,[1]分配表!D:D)=0,"未分类",_xlfn.XLOOKUP($A59,[1]分配表!$A:$A,[1]分配表!D:D))</f>
        <v>饰条</v>
      </c>
      <c r="G59" s="112" t="str">
        <f>_xlfn.XLOOKUP(A59,[1]分配表!J:J,[1]分配表!I:I)</f>
        <v>拓展品</v>
      </c>
      <c r="H59" s="49">
        <v>0</v>
      </c>
      <c r="I59" s="49">
        <v>0</v>
      </c>
      <c r="J59" s="49">
        <v>0</v>
      </c>
      <c r="K59" s="49">
        <v>0</v>
      </c>
      <c r="L59" s="49">
        <v>1</v>
      </c>
      <c r="M59" s="49">
        <v>6</v>
      </c>
      <c r="N59" s="49">
        <v>1</v>
      </c>
      <c r="O59" s="49">
        <v>6</v>
      </c>
      <c r="P59" s="49">
        <v>2</v>
      </c>
      <c r="Q59" s="49">
        <v>1</v>
      </c>
      <c r="R59" s="49">
        <v>4</v>
      </c>
      <c r="S59" s="49">
        <v>1</v>
      </c>
      <c r="T59" s="113">
        <f t="shared" si="0"/>
        <v>-3</v>
      </c>
      <c r="U59" s="114">
        <v>0</v>
      </c>
      <c r="V59" s="115">
        <v>0</v>
      </c>
      <c r="W59" s="115">
        <v>0</v>
      </c>
      <c r="X59" s="115">
        <v>0</v>
      </c>
      <c r="Y59" s="115">
        <v>95</v>
      </c>
      <c r="Z59" s="115">
        <v>513</v>
      </c>
      <c r="AA59" s="115">
        <v>85.5</v>
      </c>
      <c r="AB59" s="116">
        <v>513</v>
      </c>
      <c r="AC59" s="117">
        <v>171</v>
      </c>
      <c r="AD59" s="117">
        <v>85.5</v>
      </c>
      <c r="AE59" s="117">
        <v>342</v>
      </c>
      <c r="AF59" s="117">
        <v>85.5</v>
      </c>
      <c r="AG59" s="115">
        <f t="shared" si="1"/>
        <v>-256.5</v>
      </c>
      <c r="AH59" s="118">
        <v>0</v>
      </c>
      <c r="AI59" s="49">
        <v>0</v>
      </c>
      <c r="AJ59" s="49">
        <v>0</v>
      </c>
      <c r="AK59" s="49">
        <v>0</v>
      </c>
      <c r="AL59" s="49">
        <v>1</v>
      </c>
      <c r="AM59" s="49">
        <v>0</v>
      </c>
      <c r="AN59" s="49">
        <v>0</v>
      </c>
      <c r="AO59" s="49">
        <v>0</v>
      </c>
      <c r="AP59" s="49">
        <v>0</v>
      </c>
      <c r="AQ59" s="49">
        <v>0</v>
      </c>
      <c r="AR59" s="49">
        <v>0</v>
      </c>
      <c r="AS59" s="49">
        <v>0</v>
      </c>
      <c r="AT59" s="119" t="s">
        <v>306</v>
      </c>
      <c r="AU59" s="55" t="s">
        <v>306</v>
      </c>
      <c r="AV59" s="55" t="s">
        <v>306</v>
      </c>
      <c r="AW59" s="55">
        <v>0</v>
      </c>
      <c r="AX59" s="55">
        <v>0.5</v>
      </c>
      <c r="AY59" s="55">
        <v>1</v>
      </c>
      <c r="AZ59" s="55">
        <v>1</v>
      </c>
      <c r="BA59" s="55">
        <v>1</v>
      </c>
      <c r="BB59" s="55">
        <v>1</v>
      </c>
      <c r="BC59" s="55">
        <v>1</v>
      </c>
      <c r="BD59" s="55">
        <v>1</v>
      </c>
      <c r="BE59" s="55">
        <v>1</v>
      </c>
      <c r="BF59" s="118" t="s">
        <v>328</v>
      </c>
      <c r="BG59" s="49" t="s">
        <v>328</v>
      </c>
      <c r="BH59" s="49" t="s">
        <v>328</v>
      </c>
      <c r="BI59" s="49">
        <v>5</v>
      </c>
      <c r="BJ59" s="49">
        <v>0</v>
      </c>
      <c r="BK59" s="49">
        <v>3</v>
      </c>
      <c r="BL59" s="49">
        <v>2</v>
      </c>
      <c r="BM59" s="49">
        <v>2</v>
      </c>
      <c r="BN59" s="49">
        <v>9</v>
      </c>
      <c r="BO59" s="49">
        <v>16</v>
      </c>
      <c r="BP59" s="49">
        <v>5</v>
      </c>
      <c r="BQ59" s="120">
        <v>12</v>
      </c>
      <c r="BR59" s="115" t="s">
        <v>328</v>
      </c>
      <c r="BS59" s="115" t="s">
        <v>328</v>
      </c>
      <c r="BT59" s="115" t="s">
        <v>328</v>
      </c>
      <c r="BU59" s="115" t="s">
        <v>149</v>
      </c>
      <c r="BV59" s="115" t="s">
        <v>49</v>
      </c>
      <c r="BW59" s="115" t="s">
        <v>49</v>
      </c>
      <c r="BX59" s="115" t="s">
        <v>49</v>
      </c>
      <c r="BY59" s="115" t="s">
        <v>49</v>
      </c>
      <c r="BZ59" s="115" t="s">
        <v>49</v>
      </c>
      <c r="CA59" s="115" t="s">
        <v>49</v>
      </c>
      <c r="CB59" s="115" t="s">
        <v>49</v>
      </c>
      <c r="CC59" s="115" t="s">
        <v>49</v>
      </c>
      <c r="CD59" s="114" t="s">
        <v>328</v>
      </c>
      <c r="CE59" s="115" t="s">
        <v>328</v>
      </c>
      <c r="CF59" s="115" t="s">
        <v>328</v>
      </c>
      <c r="CG59" s="115" t="s">
        <v>53</v>
      </c>
      <c r="CH59" s="115" t="s">
        <v>53</v>
      </c>
      <c r="CI59" s="115" t="s">
        <v>53</v>
      </c>
      <c r="CJ59" s="115" t="s">
        <v>53</v>
      </c>
      <c r="CK59" s="115" t="s">
        <v>53</v>
      </c>
      <c r="CL59" s="115" t="s">
        <v>53</v>
      </c>
      <c r="CM59" s="115" t="s">
        <v>53</v>
      </c>
      <c r="CN59" s="115" t="s">
        <v>53</v>
      </c>
      <c r="CO59" s="121" t="s">
        <v>53</v>
      </c>
      <c r="CP59" s="115" t="s">
        <v>328</v>
      </c>
      <c r="CQ59" s="115" t="s">
        <v>328</v>
      </c>
      <c r="CR59" s="115" t="s">
        <v>328</v>
      </c>
      <c r="CS59" s="115" t="s">
        <v>152</v>
      </c>
      <c r="CT59" s="115" t="s">
        <v>53</v>
      </c>
      <c r="CU59" s="115" t="s">
        <v>53</v>
      </c>
      <c r="CV59" s="115" t="s">
        <v>53</v>
      </c>
      <c r="CW59" s="115" t="s">
        <v>53</v>
      </c>
      <c r="CX59" s="115" t="s">
        <v>53</v>
      </c>
      <c r="CY59" s="115" t="s">
        <v>53</v>
      </c>
      <c r="CZ59" s="115" t="s">
        <v>53</v>
      </c>
      <c r="DA59" s="115" t="s">
        <v>53</v>
      </c>
      <c r="DB59" s="118" t="s">
        <v>328</v>
      </c>
      <c r="DC59" s="49" t="s">
        <v>328</v>
      </c>
      <c r="DD59" s="49" t="s">
        <v>328</v>
      </c>
      <c r="DE59" s="49" t="s">
        <v>328</v>
      </c>
      <c r="DF59" s="49" t="s">
        <v>307</v>
      </c>
      <c r="DG59" s="49" t="s">
        <v>313</v>
      </c>
      <c r="DH59" s="49" t="s">
        <v>53</v>
      </c>
      <c r="DI59" s="49" t="s">
        <v>53</v>
      </c>
      <c r="DJ59" s="49" t="s">
        <v>53</v>
      </c>
      <c r="DK59" s="49" t="s">
        <v>53</v>
      </c>
      <c r="DL59" s="49" t="s">
        <v>53</v>
      </c>
      <c r="DM59" s="49" t="s">
        <v>53</v>
      </c>
      <c r="DN59" s="49" t="s">
        <v>53</v>
      </c>
      <c r="DO59" s="118"/>
      <c r="DP59" s="49"/>
      <c r="DQ59" s="49" t="s">
        <v>328</v>
      </c>
      <c r="DR59" s="49" t="s">
        <v>331</v>
      </c>
      <c r="DS59" s="49" t="s">
        <v>58</v>
      </c>
      <c r="DT59" s="49" t="s">
        <v>58</v>
      </c>
      <c r="DU59" s="49" t="s">
        <v>58</v>
      </c>
      <c r="DV59" s="49" t="s">
        <v>58</v>
      </c>
      <c r="DW59" s="49" t="s">
        <v>58</v>
      </c>
      <c r="DX59" s="49" t="s">
        <v>58</v>
      </c>
      <c r="DY59" s="49" t="s">
        <v>58</v>
      </c>
      <c r="DZ59" s="49" t="s">
        <v>58</v>
      </c>
      <c r="EA59" s="118" t="s">
        <v>49</v>
      </c>
      <c r="EB59" s="49" t="s">
        <v>49</v>
      </c>
      <c r="EC59" s="49" t="s">
        <v>49</v>
      </c>
      <c r="ED59" s="49" t="s">
        <v>49</v>
      </c>
      <c r="EE59" s="49" t="s">
        <v>49</v>
      </c>
      <c r="EF59" s="49" t="s">
        <v>49</v>
      </c>
      <c r="EG59" s="120" t="s">
        <v>49</v>
      </c>
      <c r="EH59" s="117">
        <v>7.23</v>
      </c>
      <c r="EI59" s="117">
        <v>185.11</v>
      </c>
      <c r="EJ59" s="55">
        <v>0.02</v>
      </c>
      <c r="EK59" s="55">
        <v>0.02</v>
      </c>
      <c r="EL59" s="55">
        <v>0</v>
      </c>
      <c r="EM59" s="55">
        <v>0.02</v>
      </c>
      <c r="EN59" s="55">
        <v>0.02</v>
      </c>
      <c r="EO59" s="122">
        <v>0.02</v>
      </c>
      <c r="EP59" s="117">
        <v>0</v>
      </c>
      <c r="EQ59" s="117">
        <v>0</v>
      </c>
    </row>
    <row r="60" customFormat="1" ht="22.5" customHeight="1" spans="1:147">
      <c r="A60" s="108">
        <v>12429</v>
      </c>
      <c r="B60" s="109" t="s">
        <v>377</v>
      </c>
      <c r="C60" s="110">
        <v>46108</v>
      </c>
      <c r="D60" s="111">
        <f>IF(_xlfn.XLOOKUP(A60,[1]分配表!J:J,[1]分配表!M:M)=0,"未出单",_xlfn.XLOOKUP(A60,[1]分配表!J:J,[1]分配表!M:M))</f>
        <v>46111</v>
      </c>
      <c r="E60" s="112" t="str">
        <f>_xlfn.XLOOKUP(A60,[1]分配表!A:A,[1]分配表!C:C)</f>
        <v>俞东旭</v>
      </c>
      <c r="F60" s="112" t="str">
        <f>IF(_xlfn.XLOOKUP($A60,[1]分配表!$A:$A,[1]分配表!D:D)=0,"未分类",_xlfn.XLOOKUP($A60,[1]分配表!$A:$A,[1]分配表!D:D))</f>
        <v>车门系统</v>
      </c>
      <c r="G60" s="112" t="str">
        <f>_xlfn.XLOOKUP(A60,[1]分配表!J:J,[1]分配表!I:I)</f>
        <v>拓展品</v>
      </c>
      <c r="H60" s="49">
        <v>0</v>
      </c>
      <c r="I60" s="49">
        <v>0</v>
      </c>
      <c r="J60" s="49">
        <v>0</v>
      </c>
      <c r="K60" s="49">
        <v>1</v>
      </c>
      <c r="L60" s="49">
        <v>0</v>
      </c>
      <c r="M60" s="49">
        <v>0</v>
      </c>
      <c r="N60" s="49">
        <v>0</v>
      </c>
      <c r="O60" s="49">
        <v>0</v>
      </c>
      <c r="P60" s="49">
        <v>2</v>
      </c>
      <c r="Q60" s="49">
        <v>0</v>
      </c>
      <c r="R60" s="49">
        <v>0</v>
      </c>
      <c r="S60" s="49">
        <v>1</v>
      </c>
      <c r="T60" s="113">
        <f t="shared" si="0"/>
        <v>1</v>
      </c>
      <c r="U60" s="114">
        <v>0</v>
      </c>
      <c r="V60" s="115">
        <v>0</v>
      </c>
      <c r="W60" s="115">
        <v>0</v>
      </c>
      <c r="X60" s="115">
        <v>160</v>
      </c>
      <c r="Y60" s="115">
        <v>0</v>
      </c>
      <c r="Z60" s="115">
        <v>0</v>
      </c>
      <c r="AA60" s="115">
        <v>0</v>
      </c>
      <c r="AB60" s="116">
        <v>0</v>
      </c>
      <c r="AC60" s="117">
        <v>510</v>
      </c>
      <c r="AD60" s="117">
        <v>0</v>
      </c>
      <c r="AE60" s="117">
        <v>0</v>
      </c>
      <c r="AF60" s="117">
        <v>255</v>
      </c>
      <c r="AG60" s="115">
        <f t="shared" si="1"/>
        <v>255</v>
      </c>
      <c r="AH60" s="118">
        <v>0</v>
      </c>
      <c r="AI60" s="49">
        <v>0</v>
      </c>
      <c r="AJ60" s="49">
        <v>0</v>
      </c>
      <c r="AK60" s="49">
        <v>0</v>
      </c>
      <c r="AL60" s="49">
        <v>0</v>
      </c>
      <c r="AM60" s="49">
        <v>0</v>
      </c>
      <c r="AN60" s="49">
        <v>0</v>
      </c>
      <c r="AO60" s="49">
        <v>0</v>
      </c>
      <c r="AP60" s="49">
        <v>0</v>
      </c>
      <c r="AQ60" s="49">
        <v>0</v>
      </c>
      <c r="AR60" s="49">
        <v>0</v>
      </c>
      <c r="AS60" s="49">
        <v>0</v>
      </c>
      <c r="AT60" s="119" t="s">
        <v>306</v>
      </c>
      <c r="AU60" s="55" t="s">
        <v>306</v>
      </c>
      <c r="AV60" s="55" t="s">
        <v>306</v>
      </c>
      <c r="AW60" s="55">
        <v>1</v>
      </c>
      <c r="AX60" s="55">
        <v>0</v>
      </c>
      <c r="AY60" s="55">
        <v>0</v>
      </c>
      <c r="AZ60" s="55" t="s">
        <v>306</v>
      </c>
      <c r="BA60" s="55" t="s">
        <v>306</v>
      </c>
      <c r="BB60" s="55">
        <v>1</v>
      </c>
      <c r="BC60" s="55">
        <v>1</v>
      </c>
      <c r="BD60" s="55" t="s">
        <v>306</v>
      </c>
      <c r="BE60" s="55">
        <v>1</v>
      </c>
      <c r="BF60" s="118" t="s">
        <v>328</v>
      </c>
      <c r="BG60" s="49" t="s">
        <v>328</v>
      </c>
      <c r="BH60" s="49" t="s">
        <v>328</v>
      </c>
      <c r="BI60" s="49">
        <v>5</v>
      </c>
      <c r="BJ60" s="49">
        <v>0</v>
      </c>
      <c r="BK60" s="49">
        <v>8</v>
      </c>
      <c r="BL60" s="49">
        <v>1</v>
      </c>
      <c r="BM60" s="49">
        <v>5</v>
      </c>
      <c r="BN60" s="49">
        <v>12</v>
      </c>
      <c r="BO60" s="49">
        <v>19</v>
      </c>
      <c r="BP60" s="49">
        <v>26</v>
      </c>
      <c r="BQ60" s="120">
        <v>33</v>
      </c>
      <c r="BR60" s="115" t="s">
        <v>328</v>
      </c>
      <c r="BS60" s="115" t="s">
        <v>328</v>
      </c>
      <c r="BT60" s="115" t="s">
        <v>328</v>
      </c>
      <c r="BU60" s="115" t="s">
        <v>49</v>
      </c>
      <c r="BV60" s="115" t="s">
        <v>49</v>
      </c>
      <c r="BW60" s="115" t="s">
        <v>49</v>
      </c>
      <c r="BX60" s="115" t="s">
        <v>49</v>
      </c>
      <c r="BY60" s="115" t="s">
        <v>49</v>
      </c>
      <c r="BZ60" s="115" t="s">
        <v>49</v>
      </c>
      <c r="CA60" s="115" t="s">
        <v>49</v>
      </c>
      <c r="CB60" s="115" t="s">
        <v>49</v>
      </c>
      <c r="CC60" s="115" t="s">
        <v>49</v>
      </c>
      <c r="CD60" s="114" t="s">
        <v>328</v>
      </c>
      <c r="CE60" s="115" t="s">
        <v>328</v>
      </c>
      <c r="CF60" s="115" t="s">
        <v>328</v>
      </c>
      <c r="CG60" s="115" t="s">
        <v>53</v>
      </c>
      <c r="CH60" s="115" t="s">
        <v>53</v>
      </c>
      <c r="CI60" s="115" t="s">
        <v>152</v>
      </c>
      <c r="CJ60" s="115" t="s">
        <v>53</v>
      </c>
      <c r="CK60" s="115" t="s">
        <v>53</v>
      </c>
      <c r="CL60" s="115" t="s">
        <v>53</v>
      </c>
      <c r="CM60" s="115" t="s">
        <v>53</v>
      </c>
      <c r="CN60" s="115" t="s">
        <v>53</v>
      </c>
      <c r="CO60" s="121" t="s">
        <v>53</v>
      </c>
      <c r="CP60" s="115" t="s">
        <v>328</v>
      </c>
      <c r="CQ60" s="115" t="s">
        <v>328</v>
      </c>
      <c r="CR60" s="115" t="s">
        <v>328</v>
      </c>
      <c r="CS60" s="115" t="s">
        <v>152</v>
      </c>
      <c r="CT60" s="115" t="s">
        <v>53</v>
      </c>
      <c r="CU60" s="115" t="s">
        <v>53</v>
      </c>
      <c r="CV60" s="115" t="s">
        <v>53</v>
      </c>
      <c r="CW60" s="115" t="s">
        <v>53</v>
      </c>
      <c r="CX60" s="115" t="s">
        <v>53</v>
      </c>
      <c r="CY60" s="115" t="s">
        <v>53</v>
      </c>
      <c r="CZ60" s="115" t="s">
        <v>53</v>
      </c>
      <c r="DA60" s="115" t="s">
        <v>53</v>
      </c>
      <c r="DB60" s="118" t="s">
        <v>328</v>
      </c>
      <c r="DC60" s="49" t="s">
        <v>328</v>
      </c>
      <c r="DD60" s="49" t="s">
        <v>328</v>
      </c>
      <c r="DE60" s="49" t="s">
        <v>328</v>
      </c>
      <c r="DF60" s="49" t="s">
        <v>53</v>
      </c>
      <c r="DG60" s="49" t="s">
        <v>156</v>
      </c>
      <c r="DH60" s="49" t="s">
        <v>156</v>
      </c>
      <c r="DI60" s="49" t="s">
        <v>156</v>
      </c>
      <c r="DJ60" s="49" t="s">
        <v>156</v>
      </c>
      <c r="DK60" s="49" t="s">
        <v>53</v>
      </c>
      <c r="DL60" s="49" t="s">
        <v>53</v>
      </c>
      <c r="DM60" s="49" t="s">
        <v>307</v>
      </c>
      <c r="DN60" s="49" t="s">
        <v>53</v>
      </c>
      <c r="DO60" s="118"/>
      <c r="DP60" s="49"/>
      <c r="DQ60" s="49" t="s">
        <v>328</v>
      </c>
      <c r="DR60" s="49" t="s">
        <v>310</v>
      </c>
      <c r="DS60" s="49" t="s">
        <v>58</v>
      </c>
      <c r="DT60" s="49" t="s">
        <v>58</v>
      </c>
      <c r="DU60" s="49" t="s">
        <v>310</v>
      </c>
      <c r="DV60" s="49" t="s">
        <v>58</v>
      </c>
      <c r="DW60" s="49" t="s">
        <v>58</v>
      </c>
      <c r="DX60" s="49" t="s">
        <v>58</v>
      </c>
      <c r="DY60" s="49" t="s">
        <v>58</v>
      </c>
      <c r="DZ60" s="49" t="s">
        <v>58</v>
      </c>
      <c r="EA60" s="118" t="s">
        <v>62</v>
      </c>
      <c r="EB60" s="49" t="s">
        <v>62</v>
      </c>
      <c r="EC60" s="49" t="s">
        <v>62</v>
      </c>
      <c r="ED60" s="49" t="s">
        <v>62</v>
      </c>
      <c r="EE60" s="49" t="s">
        <v>62</v>
      </c>
      <c r="EF60" s="49" t="s">
        <v>62</v>
      </c>
      <c r="EG60" s="120" t="s">
        <v>62</v>
      </c>
      <c r="EH60" s="117">
        <v>0</v>
      </c>
      <c r="EI60" s="117">
        <v>0</v>
      </c>
      <c r="EJ60" s="55">
        <v>0.02</v>
      </c>
      <c r="EK60" s="55">
        <v>0</v>
      </c>
      <c r="EL60" s="55">
        <v>0</v>
      </c>
      <c r="EM60" s="55">
        <v>0</v>
      </c>
      <c r="EN60" s="55">
        <v>0</v>
      </c>
      <c r="EO60" s="122">
        <v>0</v>
      </c>
      <c r="EP60" s="117">
        <v>0</v>
      </c>
      <c r="EQ60" s="117">
        <v>0</v>
      </c>
    </row>
    <row r="61" customFormat="1" ht="22.5" customHeight="1" spans="1:147">
      <c r="A61" s="108">
        <v>12424</v>
      </c>
      <c r="B61" s="109" t="s">
        <v>378</v>
      </c>
      <c r="C61" s="110">
        <v>46108</v>
      </c>
      <c r="D61" s="111" t="str">
        <f>IF(_xlfn.XLOOKUP(A61,[1]分配表!J:J,[1]分配表!M:M)=0,"未出单",_xlfn.XLOOKUP(A61,[1]分配表!J:J,[1]分配表!M:M))</f>
        <v>未出单</v>
      </c>
      <c r="E61" s="112" t="str">
        <f>_xlfn.XLOOKUP(A61,[1]分配表!A:A,[1]分配表!C:C)</f>
        <v>俞东旭</v>
      </c>
      <c r="F61" s="112" t="str">
        <f>IF(_xlfn.XLOOKUP($A61,[1]分配表!$A:$A,[1]分配表!D:D)=0,"未分类",_xlfn.XLOOKUP($A61,[1]分配表!$A:$A,[1]分配表!D:D))</f>
        <v>车门系统</v>
      </c>
      <c r="G61" s="112" t="str">
        <f>_xlfn.XLOOKUP(A61,[1]分配表!J:J,[1]分配表!I:I)</f>
        <v>拓展品</v>
      </c>
      <c r="H61" s="49">
        <v>0</v>
      </c>
      <c r="I61" s="49">
        <v>0</v>
      </c>
      <c r="J61" s="49">
        <v>0</v>
      </c>
      <c r="K61" s="49">
        <v>0</v>
      </c>
      <c r="L61" s="49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113">
        <f t="shared" si="0"/>
        <v>0</v>
      </c>
      <c r="U61" s="114">
        <v>0</v>
      </c>
      <c r="V61" s="115">
        <v>0</v>
      </c>
      <c r="W61" s="115">
        <v>0</v>
      </c>
      <c r="X61" s="115">
        <v>0</v>
      </c>
      <c r="Y61" s="115">
        <v>0</v>
      </c>
      <c r="Z61" s="115">
        <v>0</v>
      </c>
      <c r="AA61" s="115">
        <v>0</v>
      </c>
      <c r="AB61" s="116">
        <v>0</v>
      </c>
      <c r="AC61" s="117">
        <v>0</v>
      </c>
      <c r="AD61" s="117">
        <v>0</v>
      </c>
      <c r="AE61" s="117">
        <v>0</v>
      </c>
      <c r="AF61" s="117">
        <v>0</v>
      </c>
      <c r="AG61" s="115">
        <f t="shared" si="1"/>
        <v>0</v>
      </c>
      <c r="AH61" s="118">
        <v>0</v>
      </c>
      <c r="AI61" s="49">
        <v>0</v>
      </c>
      <c r="AJ61" s="49">
        <v>0</v>
      </c>
      <c r="AK61" s="49">
        <v>0</v>
      </c>
      <c r="AL61" s="49">
        <v>0</v>
      </c>
      <c r="AM61" s="49">
        <v>0</v>
      </c>
      <c r="AN61" s="49">
        <v>0</v>
      </c>
      <c r="AO61" s="49">
        <v>0</v>
      </c>
      <c r="AP61" s="49">
        <v>0</v>
      </c>
      <c r="AQ61" s="49">
        <v>0</v>
      </c>
      <c r="AR61" s="49">
        <v>0</v>
      </c>
      <c r="AS61" s="49">
        <v>0</v>
      </c>
      <c r="AT61" s="119" t="s">
        <v>306</v>
      </c>
      <c r="AU61" s="55" t="s">
        <v>306</v>
      </c>
      <c r="AV61" s="55" t="s">
        <v>306</v>
      </c>
      <c r="AW61" s="55">
        <v>0</v>
      </c>
      <c r="AX61" s="55">
        <v>0</v>
      </c>
      <c r="AY61" s="55">
        <v>0</v>
      </c>
      <c r="AZ61" s="55" t="s">
        <v>306</v>
      </c>
      <c r="BA61" s="55" t="s">
        <v>306</v>
      </c>
      <c r="BB61" s="55" t="s">
        <v>306</v>
      </c>
      <c r="BC61" s="55" t="s">
        <v>306</v>
      </c>
      <c r="BD61" s="55" t="s">
        <v>306</v>
      </c>
      <c r="BE61" s="55" t="s">
        <v>306</v>
      </c>
      <c r="BF61" s="118" t="s">
        <v>328</v>
      </c>
      <c r="BG61" s="49" t="s">
        <v>328</v>
      </c>
      <c r="BH61" s="49" t="s">
        <v>328</v>
      </c>
      <c r="BI61" s="49">
        <v>5</v>
      </c>
      <c r="BJ61" s="49">
        <v>0</v>
      </c>
      <c r="BK61" s="49">
        <v>1</v>
      </c>
      <c r="BL61" s="49">
        <v>1</v>
      </c>
      <c r="BM61" s="49">
        <v>1</v>
      </c>
      <c r="BN61" s="49">
        <v>0</v>
      </c>
      <c r="BO61" s="49">
        <v>1</v>
      </c>
      <c r="BP61" s="49">
        <v>2</v>
      </c>
      <c r="BQ61" s="120">
        <v>9</v>
      </c>
      <c r="BR61" s="115" t="s">
        <v>328</v>
      </c>
      <c r="BS61" s="115" t="s">
        <v>328</v>
      </c>
      <c r="BT61" s="115" t="s">
        <v>328</v>
      </c>
      <c r="BU61" s="115" t="s">
        <v>149</v>
      </c>
      <c r="BV61" s="115" t="s">
        <v>149</v>
      </c>
      <c r="BW61" s="115" t="s">
        <v>149</v>
      </c>
      <c r="BX61" s="115" t="s">
        <v>149</v>
      </c>
      <c r="BY61" s="115" t="s">
        <v>149</v>
      </c>
      <c r="BZ61" s="115" t="s">
        <v>149</v>
      </c>
      <c r="CA61" s="115" t="s">
        <v>149</v>
      </c>
      <c r="CB61" s="115" t="s">
        <v>149</v>
      </c>
      <c r="CC61" s="115" t="s">
        <v>149</v>
      </c>
      <c r="CD61" s="114" t="s">
        <v>328</v>
      </c>
      <c r="CE61" s="115" t="s">
        <v>328</v>
      </c>
      <c r="CF61" s="115" t="s">
        <v>328</v>
      </c>
      <c r="CG61" s="115" t="s">
        <v>53</v>
      </c>
      <c r="CH61" s="115" t="s">
        <v>53</v>
      </c>
      <c r="CI61" s="115" t="s">
        <v>53</v>
      </c>
      <c r="CJ61" s="115" t="s">
        <v>53</v>
      </c>
      <c r="CK61" s="115" t="s">
        <v>53</v>
      </c>
      <c r="CL61" s="115" t="s">
        <v>53</v>
      </c>
      <c r="CM61" s="115" t="s">
        <v>53</v>
      </c>
      <c r="CN61" s="115" t="s">
        <v>53</v>
      </c>
      <c r="CO61" s="121" t="s">
        <v>53</v>
      </c>
      <c r="CP61" s="115" t="s">
        <v>328</v>
      </c>
      <c r="CQ61" s="115" t="s">
        <v>328</v>
      </c>
      <c r="CR61" s="115" t="s">
        <v>328</v>
      </c>
      <c r="CS61" s="115" t="s">
        <v>152</v>
      </c>
      <c r="CT61" s="115" t="s">
        <v>53</v>
      </c>
      <c r="CU61" s="115" t="s">
        <v>53</v>
      </c>
      <c r="CV61" s="115" t="s">
        <v>53</v>
      </c>
      <c r="CW61" s="115" t="s">
        <v>53</v>
      </c>
      <c r="CX61" s="115" t="s">
        <v>53</v>
      </c>
      <c r="CY61" s="115" t="s">
        <v>53</v>
      </c>
      <c r="CZ61" s="115" t="s">
        <v>53</v>
      </c>
      <c r="DA61" s="115" t="s">
        <v>53</v>
      </c>
      <c r="DB61" s="118" t="s">
        <v>328</v>
      </c>
      <c r="DC61" s="49" t="s">
        <v>328</v>
      </c>
      <c r="DD61" s="49" t="s">
        <v>328</v>
      </c>
      <c r="DE61" s="49" t="s">
        <v>328</v>
      </c>
      <c r="DF61" s="49" t="s">
        <v>307</v>
      </c>
      <c r="DG61" s="49" t="s">
        <v>156</v>
      </c>
      <c r="DH61" s="49" t="s">
        <v>307</v>
      </c>
      <c r="DI61" s="49" t="s">
        <v>307</v>
      </c>
      <c r="DJ61" s="49" t="s">
        <v>307</v>
      </c>
      <c r="DK61" s="49" t="s">
        <v>307</v>
      </c>
      <c r="DL61" s="49" t="s">
        <v>307</v>
      </c>
      <c r="DM61" s="49" t="s">
        <v>307</v>
      </c>
      <c r="DN61" s="49" t="s">
        <v>307</v>
      </c>
      <c r="DO61" s="118"/>
      <c r="DP61" s="49"/>
      <c r="DQ61" s="49" t="s">
        <v>328</v>
      </c>
      <c r="DR61" s="49" t="s">
        <v>310</v>
      </c>
      <c r="DS61" s="49" t="s">
        <v>58</v>
      </c>
      <c r="DT61" s="49" t="s">
        <v>331</v>
      </c>
      <c r="DU61" s="49" t="s">
        <v>314</v>
      </c>
      <c r="DV61" s="49" t="s">
        <v>159</v>
      </c>
      <c r="DW61" s="49" t="s">
        <v>159</v>
      </c>
      <c r="DX61" s="49" t="s">
        <v>159</v>
      </c>
      <c r="DY61" s="49" t="s">
        <v>316</v>
      </c>
      <c r="DZ61" s="49" t="s">
        <v>159</v>
      </c>
      <c r="EA61" s="118" t="s">
        <v>62</v>
      </c>
      <c r="EB61" s="49" t="s">
        <v>62</v>
      </c>
      <c r="EC61" s="49" t="s">
        <v>49</v>
      </c>
      <c r="ED61" s="49" t="s">
        <v>49</v>
      </c>
      <c r="EE61" s="49" t="s">
        <v>49</v>
      </c>
      <c r="EF61" s="49" t="s">
        <v>49</v>
      </c>
      <c r="EG61" s="120" t="s">
        <v>49</v>
      </c>
      <c r="EH61" s="117">
        <v>0</v>
      </c>
      <c r="EI61" s="117">
        <v>0</v>
      </c>
      <c r="EJ61" s="55">
        <v>0.02</v>
      </c>
      <c r="EK61" s="55">
        <v>0.02</v>
      </c>
      <c r="EL61" s="55">
        <v>0.02</v>
      </c>
      <c r="EM61" s="55">
        <v>0.02</v>
      </c>
      <c r="EN61" s="55">
        <v>0.02</v>
      </c>
      <c r="EO61" s="122">
        <v>0.02</v>
      </c>
      <c r="EP61" s="117">
        <v>0</v>
      </c>
      <c r="EQ61" s="117">
        <v>0</v>
      </c>
    </row>
    <row r="62" customFormat="1" ht="22.5" customHeight="1" spans="1:147">
      <c r="A62" s="108">
        <v>12386</v>
      </c>
      <c r="B62" s="109" t="s">
        <v>379</v>
      </c>
      <c r="C62" s="110">
        <v>46108</v>
      </c>
      <c r="D62" s="111">
        <f>IF(_xlfn.XLOOKUP(A62,[1]分配表!J:J,[1]分配表!M:M)=0,"未出单",_xlfn.XLOOKUP(A62,[1]分配表!J:J,[1]分配表!M:M))</f>
        <v>46123</v>
      </c>
      <c r="E62" s="112" t="str">
        <f>_xlfn.XLOOKUP(A62,[1]分配表!A:A,[1]分配表!C:C)</f>
        <v>俞东旭</v>
      </c>
      <c r="F62" s="112" t="str">
        <f>IF(_xlfn.XLOOKUP($A62,[1]分配表!$A:$A,[1]分配表!D:D)=0,"未分类",_xlfn.XLOOKUP($A62,[1]分配表!$A:$A,[1]分配表!D:D))</f>
        <v>车门系统</v>
      </c>
      <c r="G62" s="112" t="str">
        <f>_xlfn.XLOOKUP(A62,[1]分配表!J:J,[1]分配表!I:I)</f>
        <v>拓展品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1</v>
      </c>
      <c r="N62" s="49">
        <v>0</v>
      </c>
      <c r="O62" s="49">
        <v>0</v>
      </c>
      <c r="P62" s="49">
        <v>1</v>
      </c>
      <c r="Q62" s="49">
        <v>3</v>
      </c>
      <c r="R62" s="49">
        <v>0</v>
      </c>
      <c r="S62" s="49">
        <v>1</v>
      </c>
      <c r="T62" s="113">
        <f t="shared" si="0"/>
        <v>1</v>
      </c>
      <c r="U62" s="114">
        <v>0</v>
      </c>
      <c r="V62" s="115">
        <v>0</v>
      </c>
      <c r="W62" s="115">
        <v>0</v>
      </c>
      <c r="X62" s="115">
        <v>0</v>
      </c>
      <c r="Y62" s="115">
        <v>0</v>
      </c>
      <c r="Z62" s="115">
        <v>30.59</v>
      </c>
      <c r="AA62" s="115">
        <v>0</v>
      </c>
      <c r="AB62" s="116">
        <v>0</v>
      </c>
      <c r="AC62" s="117">
        <v>30.59</v>
      </c>
      <c r="AD62" s="117">
        <v>91.77</v>
      </c>
      <c r="AE62" s="117">
        <v>0</v>
      </c>
      <c r="AF62" s="117">
        <v>29.99</v>
      </c>
      <c r="AG62" s="115">
        <f t="shared" si="1"/>
        <v>29.99</v>
      </c>
      <c r="AH62" s="118">
        <v>0</v>
      </c>
      <c r="AI62" s="49">
        <v>0</v>
      </c>
      <c r="AJ62" s="49">
        <v>0</v>
      </c>
      <c r="AK62" s="49">
        <v>3</v>
      </c>
      <c r="AL62" s="49">
        <v>6</v>
      </c>
      <c r="AM62" s="49">
        <v>6</v>
      </c>
      <c r="AN62" s="49">
        <v>6</v>
      </c>
      <c r="AO62" s="49">
        <v>9</v>
      </c>
      <c r="AP62" s="49">
        <v>2</v>
      </c>
      <c r="AQ62" s="49">
        <v>8</v>
      </c>
      <c r="AR62" s="49">
        <v>3</v>
      </c>
      <c r="AS62" s="49">
        <v>3</v>
      </c>
      <c r="AT62" s="119" t="s">
        <v>306</v>
      </c>
      <c r="AU62" s="55" t="s">
        <v>306</v>
      </c>
      <c r="AV62" s="55" t="s">
        <v>306</v>
      </c>
      <c r="AW62" s="55">
        <v>0</v>
      </c>
      <c r="AX62" s="55">
        <v>0</v>
      </c>
      <c r="AY62" s="55">
        <v>0.142857142857143</v>
      </c>
      <c r="AZ62" s="55">
        <v>0</v>
      </c>
      <c r="BA62" s="55">
        <v>0</v>
      </c>
      <c r="BB62" s="55">
        <v>0.3333</v>
      </c>
      <c r="BC62" s="55">
        <v>0.2</v>
      </c>
      <c r="BD62" s="55">
        <v>0.25</v>
      </c>
      <c r="BE62" s="55">
        <v>0.25</v>
      </c>
      <c r="BF62" s="118" t="s">
        <v>328</v>
      </c>
      <c r="BG62" s="49" t="s">
        <v>328</v>
      </c>
      <c r="BH62" s="49" t="s">
        <v>328</v>
      </c>
      <c r="BI62" s="49">
        <v>5</v>
      </c>
      <c r="BJ62" s="49">
        <v>1</v>
      </c>
      <c r="BK62" s="49">
        <v>2</v>
      </c>
      <c r="BL62" s="49">
        <v>1</v>
      </c>
      <c r="BM62" s="49">
        <v>8</v>
      </c>
      <c r="BN62" s="49">
        <v>0</v>
      </c>
      <c r="BO62" s="49">
        <v>0</v>
      </c>
      <c r="BP62" s="49">
        <v>7</v>
      </c>
      <c r="BQ62" s="120">
        <v>14</v>
      </c>
      <c r="BR62" s="115" t="s">
        <v>328</v>
      </c>
      <c r="BS62" s="115" t="s">
        <v>328</v>
      </c>
      <c r="BT62" s="115" t="s">
        <v>328</v>
      </c>
      <c r="BU62" s="115" t="s">
        <v>149</v>
      </c>
      <c r="BV62" s="115" t="s">
        <v>149</v>
      </c>
      <c r="BW62" s="115" t="s">
        <v>149</v>
      </c>
      <c r="BX62" s="115" t="s">
        <v>62</v>
      </c>
      <c r="BY62" s="115" t="s">
        <v>62</v>
      </c>
      <c r="BZ62" s="115" t="s">
        <v>62</v>
      </c>
      <c r="CA62" s="115" t="s">
        <v>62</v>
      </c>
      <c r="CB62" s="115" t="s">
        <v>62</v>
      </c>
      <c r="CC62" s="115" t="s">
        <v>62</v>
      </c>
      <c r="CD62" s="114" t="s">
        <v>328</v>
      </c>
      <c r="CE62" s="115" t="s">
        <v>328</v>
      </c>
      <c r="CF62" s="115" t="s">
        <v>328</v>
      </c>
      <c r="CG62" s="115" t="s">
        <v>53</v>
      </c>
      <c r="CH62" s="115" t="s">
        <v>53</v>
      </c>
      <c r="CI62" s="115" t="s">
        <v>53</v>
      </c>
      <c r="CJ62" s="115" t="s">
        <v>53</v>
      </c>
      <c r="CK62" s="115" t="s">
        <v>152</v>
      </c>
      <c r="CL62" s="115" t="s">
        <v>53</v>
      </c>
      <c r="CM62" s="115" t="s">
        <v>53</v>
      </c>
      <c r="CN62" s="115" t="s">
        <v>152</v>
      </c>
      <c r="CO62" s="121" t="s">
        <v>152</v>
      </c>
      <c r="CP62" s="115" t="s">
        <v>328</v>
      </c>
      <c r="CQ62" s="115" t="s">
        <v>328</v>
      </c>
      <c r="CR62" s="115" t="s">
        <v>328</v>
      </c>
      <c r="CS62" s="115" t="s">
        <v>152</v>
      </c>
      <c r="CT62" s="115" t="s">
        <v>53</v>
      </c>
      <c r="CU62" s="115" t="s">
        <v>53</v>
      </c>
      <c r="CV62" s="115" t="s">
        <v>53</v>
      </c>
      <c r="CW62" s="115" t="s">
        <v>53</v>
      </c>
      <c r="CX62" s="115" t="s">
        <v>53</v>
      </c>
      <c r="CY62" s="115" t="s">
        <v>53</v>
      </c>
      <c r="CZ62" s="115" t="s">
        <v>53</v>
      </c>
      <c r="DA62" s="115" t="s">
        <v>53</v>
      </c>
      <c r="DB62" s="118" t="s">
        <v>328</v>
      </c>
      <c r="DC62" s="49" t="s">
        <v>328</v>
      </c>
      <c r="DD62" s="49" t="s">
        <v>328</v>
      </c>
      <c r="DE62" s="49" t="s">
        <v>328</v>
      </c>
      <c r="DF62" s="49" t="s">
        <v>313</v>
      </c>
      <c r="DG62" s="49" t="s">
        <v>313</v>
      </c>
      <c r="DH62" s="49" t="s">
        <v>313</v>
      </c>
      <c r="DI62" s="49" t="s">
        <v>313</v>
      </c>
      <c r="DJ62" s="49" t="s">
        <v>313</v>
      </c>
      <c r="DK62" s="49" t="s">
        <v>313</v>
      </c>
      <c r="DL62" s="49" t="s">
        <v>313</v>
      </c>
      <c r="DM62" s="49" t="s">
        <v>313</v>
      </c>
      <c r="DN62" s="49" t="s">
        <v>313</v>
      </c>
      <c r="DO62" s="118"/>
      <c r="DP62" s="49"/>
      <c r="DQ62" s="49" t="s">
        <v>328</v>
      </c>
      <c r="DR62" s="49" t="s">
        <v>310</v>
      </c>
      <c r="DS62" s="49" t="s">
        <v>58</v>
      </c>
      <c r="DT62" s="49" t="s">
        <v>310</v>
      </c>
      <c r="DU62" s="49" t="s">
        <v>314</v>
      </c>
      <c r="DV62" s="49" t="s">
        <v>58</v>
      </c>
      <c r="DW62" s="49" t="s">
        <v>314</v>
      </c>
      <c r="DX62" s="49" t="s">
        <v>58</v>
      </c>
      <c r="DY62" s="49" t="s">
        <v>58</v>
      </c>
      <c r="DZ62" s="49" t="s">
        <v>314</v>
      </c>
      <c r="EA62" s="118" t="s">
        <v>62</v>
      </c>
      <c r="EB62" s="49" t="s">
        <v>62</v>
      </c>
      <c r="EC62" s="49" t="s">
        <v>62</v>
      </c>
      <c r="ED62" s="49" t="s">
        <v>62</v>
      </c>
      <c r="EE62" s="49" t="s">
        <v>62</v>
      </c>
      <c r="EF62" s="49" t="s">
        <v>62</v>
      </c>
      <c r="EG62" s="120" t="s">
        <v>62</v>
      </c>
      <c r="EH62" s="117">
        <v>0</v>
      </c>
      <c r="EI62" s="117">
        <v>0</v>
      </c>
      <c r="EJ62" s="55">
        <v>0.02</v>
      </c>
      <c r="EK62" s="55">
        <v>0.03</v>
      </c>
      <c r="EL62" s="55">
        <v>0.03</v>
      </c>
      <c r="EM62" s="55">
        <v>0.03</v>
      </c>
      <c r="EN62" s="55">
        <v>0.035</v>
      </c>
      <c r="EO62" s="122">
        <v>0.035</v>
      </c>
      <c r="EP62" s="117">
        <v>1.15</v>
      </c>
      <c r="EQ62" s="117">
        <v>32.91</v>
      </c>
    </row>
    <row r="63" customFormat="1" ht="22.5" customHeight="1" spans="1:147">
      <c r="A63" s="108">
        <v>12426</v>
      </c>
      <c r="B63" s="109" t="s">
        <v>380</v>
      </c>
      <c r="C63" s="110">
        <v>46108</v>
      </c>
      <c r="D63" s="111">
        <f>IF(_xlfn.XLOOKUP(A63,[1]分配表!J:J,[1]分配表!M:M)=0,"未出单",_xlfn.XLOOKUP(A63,[1]分配表!J:J,[1]分配表!M:M))</f>
        <v>46115</v>
      </c>
      <c r="E63" s="112" t="str">
        <f>_xlfn.XLOOKUP(A63,[1]分配表!A:A,[1]分配表!C:C)</f>
        <v>胡煜星</v>
      </c>
      <c r="F63" s="112" t="str">
        <f>IF(_xlfn.XLOOKUP($A63,[1]分配表!$A:$A,[1]分配表!D:D)=0,"未分类",_xlfn.XLOOKUP($A63,[1]分配表!$A:$A,[1]分配表!D:D))</f>
        <v>车门系统</v>
      </c>
      <c r="G63" s="112" t="str">
        <f>_xlfn.XLOOKUP(A63,[1]分配表!J:J,[1]分配表!I:I)</f>
        <v>原开品</v>
      </c>
      <c r="H63" s="49">
        <v>0</v>
      </c>
      <c r="I63" s="49">
        <v>0</v>
      </c>
      <c r="J63" s="49">
        <v>0</v>
      </c>
      <c r="K63" s="49">
        <v>0</v>
      </c>
      <c r="L63" s="49">
        <v>2</v>
      </c>
      <c r="M63" s="49">
        <v>3</v>
      </c>
      <c r="N63" s="49">
        <v>4</v>
      </c>
      <c r="O63" s="49">
        <v>6</v>
      </c>
      <c r="P63" s="49">
        <v>5</v>
      </c>
      <c r="Q63" s="49">
        <v>6</v>
      </c>
      <c r="R63" s="49">
        <v>6</v>
      </c>
      <c r="S63" s="49">
        <v>5</v>
      </c>
      <c r="T63" s="113">
        <f t="shared" si="0"/>
        <v>-1</v>
      </c>
      <c r="U63" s="114">
        <v>0</v>
      </c>
      <c r="V63" s="115">
        <v>0</v>
      </c>
      <c r="W63" s="115">
        <v>0</v>
      </c>
      <c r="X63" s="115">
        <v>0</v>
      </c>
      <c r="Y63" s="115">
        <v>130</v>
      </c>
      <c r="Z63" s="115">
        <v>195</v>
      </c>
      <c r="AA63" s="115">
        <v>260</v>
      </c>
      <c r="AB63" s="116">
        <v>383.5</v>
      </c>
      <c r="AC63" s="117">
        <v>325</v>
      </c>
      <c r="AD63" s="117">
        <v>390</v>
      </c>
      <c r="AE63" s="117">
        <v>390</v>
      </c>
      <c r="AF63" s="117">
        <v>325</v>
      </c>
      <c r="AG63" s="115">
        <f t="shared" si="1"/>
        <v>-65</v>
      </c>
      <c r="AH63" s="118">
        <v>0</v>
      </c>
      <c r="AI63" s="49">
        <v>0</v>
      </c>
      <c r="AJ63" s="49">
        <v>0</v>
      </c>
      <c r="AK63" s="49">
        <v>1</v>
      </c>
      <c r="AL63" s="49">
        <v>0</v>
      </c>
      <c r="AM63" s="49">
        <v>0</v>
      </c>
      <c r="AN63" s="49">
        <v>0</v>
      </c>
      <c r="AO63" s="49">
        <v>0</v>
      </c>
      <c r="AP63" s="49">
        <v>0</v>
      </c>
      <c r="AQ63" s="49">
        <v>0</v>
      </c>
      <c r="AR63" s="49">
        <v>0</v>
      </c>
      <c r="AS63" s="49">
        <v>0</v>
      </c>
      <c r="AT63" s="119" t="s">
        <v>306</v>
      </c>
      <c r="AU63" s="55" t="s">
        <v>306</v>
      </c>
      <c r="AV63" s="55" t="s">
        <v>306</v>
      </c>
      <c r="AW63" s="55">
        <v>0</v>
      </c>
      <c r="AX63" s="55">
        <v>1</v>
      </c>
      <c r="AY63" s="55">
        <v>1</v>
      </c>
      <c r="AZ63" s="55">
        <v>1</v>
      </c>
      <c r="BA63" s="55">
        <v>1</v>
      </c>
      <c r="BB63" s="55">
        <v>1</v>
      </c>
      <c r="BC63" s="55">
        <v>1</v>
      </c>
      <c r="BD63" s="55">
        <v>1</v>
      </c>
      <c r="BE63" s="55">
        <v>1</v>
      </c>
      <c r="BF63" s="118" t="s">
        <v>328</v>
      </c>
      <c r="BG63" s="49" t="s">
        <v>328</v>
      </c>
      <c r="BH63" s="49" t="s">
        <v>328</v>
      </c>
      <c r="BI63" s="49">
        <v>0</v>
      </c>
      <c r="BJ63" s="49">
        <v>6</v>
      </c>
      <c r="BK63" s="49">
        <v>14</v>
      </c>
      <c r="BL63" s="49">
        <v>5</v>
      </c>
      <c r="BM63" s="49">
        <v>12</v>
      </c>
      <c r="BN63" s="49">
        <v>19</v>
      </c>
      <c r="BO63" s="49">
        <v>26</v>
      </c>
      <c r="BP63" s="49">
        <v>33</v>
      </c>
      <c r="BQ63" s="120">
        <v>40</v>
      </c>
      <c r="BR63" s="115" t="s">
        <v>328</v>
      </c>
      <c r="BS63" s="115" t="s">
        <v>328</v>
      </c>
      <c r="BT63" s="115" t="s">
        <v>328</v>
      </c>
      <c r="BU63" s="115" t="s">
        <v>149</v>
      </c>
      <c r="BV63" s="115" t="s">
        <v>49</v>
      </c>
      <c r="BW63" s="115" t="s">
        <v>49</v>
      </c>
      <c r="BX63" s="115" t="s">
        <v>49</v>
      </c>
      <c r="BY63" s="115" t="s">
        <v>49</v>
      </c>
      <c r="BZ63" s="115" t="s">
        <v>49</v>
      </c>
      <c r="CA63" s="115" t="s">
        <v>49</v>
      </c>
      <c r="CB63" s="115" t="s">
        <v>49</v>
      </c>
      <c r="CC63" s="115" t="s">
        <v>49</v>
      </c>
      <c r="CD63" s="114" t="s">
        <v>328</v>
      </c>
      <c r="CE63" s="115" t="s">
        <v>328</v>
      </c>
      <c r="CF63" s="115" t="s">
        <v>328</v>
      </c>
      <c r="CG63" s="115" t="s">
        <v>53</v>
      </c>
      <c r="CH63" s="115" t="s">
        <v>53</v>
      </c>
      <c r="CI63" s="115" t="s">
        <v>152</v>
      </c>
      <c r="CJ63" s="115" t="s">
        <v>53</v>
      </c>
      <c r="CK63" s="115" t="s">
        <v>53</v>
      </c>
      <c r="CL63" s="115" t="s">
        <v>53</v>
      </c>
      <c r="CM63" s="115" t="s">
        <v>53</v>
      </c>
      <c r="CN63" s="115" t="s">
        <v>53</v>
      </c>
      <c r="CO63" s="121" t="s">
        <v>53</v>
      </c>
      <c r="CP63" s="115" t="s">
        <v>328</v>
      </c>
      <c r="CQ63" s="115" t="s">
        <v>328</v>
      </c>
      <c r="CR63" s="115" t="s">
        <v>328</v>
      </c>
      <c r="CS63" s="115" t="s">
        <v>53</v>
      </c>
      <c r="CT63" s="115" t="s">
        <v>53</v>
      </c>
      <c r="CU63" s="115" t="s">
        <v>53</v>
      </c>
      <c r="CV63" s="115" t="s">
        <v>53</v>
      </c>
      <c r="CW63" s="115" t="s">
        <v>53</v>
      </c>
      <c r="CX63" s="115" t="s">
        <v>53</v>
      </c>
      <c r="CY63" s="115" t="s">
        <v>53</v>
      </c>
      <c r="CZ63" s="115" t="s">
        <v>53</v>
      </c>
      <c r="DA63" s="115" t="s">
        <v>53</v>
      </c>
      <c r="DB63" s="118" t="s">
        <v>328</v>
      </c>
      <c r="DC63" s="49" t="s">
        <v>328</v>
      </c>
      <c r="DD63" s="49" t="s">
        <v>328</v>
      </c>
      <c r="DE63" s="49" t="s">
        <v>328</v>
      </c>
      <c r="DF63" s="49" t="s">
        <v>307</v>
      </c>
      <c r="DG63" s="49" t="s">
        <v>53</v>
      </c>
      <c r="DH63" s="49" t="s">
        <v>53</v>
      </c>
      <c r="DI63" s="49" t="s">
        <v>53</v>
      </c>
      <c r="DJ63" s="49" t="s">
        <v>53</v>
      </c>
      <c r="DK63" s="49" t="s">
        <v>53</v>
      </c>
      <c r="DL63" s="49" t="s">
        <v>53</v>
      </c>
      <c r="DM63" s="49" t="s">
        <v>53</v>
      </c>
      <c r="DN63" s="49" t="s">
        <v>53</v>
      </c>
      <c r="DO63" s="118"/>
      <c r="DP63" s="49"/>
      <c r="DQ63" s="49" t="s">
        <v>328</v>
      </c>
      <c r="DR63" s="49" t="s">
        <v>58</v>
      </c>
      <c r="DS63" s="49" t="s">
        <v>58</v>
      </c>
      <c r="DT63" s="49" t="s">
        <v>58</v>
      </c>
      <c r="DU63" s="49" t="s">
        <v>310</v>
      </c>
      <c r="DV63" s="49" t="s">
        <v>58</v>
      </c>
      <c r="DW63" s="49" t="s">
        <v>58</v>
      </c>
      <c r="DX63" s="49" t="s">
        <v>58</v>
      </c>
      <c r="DY63" s="49" t="s">
        <v>58</v>
      </c>
      <c r="DZ63" s="49" t="s">
        <v>58</v>
      </c>
      <c r="EA63" s="118" t="s">
        <v>62</v>
      </c>
      <c r="EB63" s="49" t="s">
        <v>62</v>
      </c>
      <c r="EC63" s="49" t="s">
        <v>62</v>
      </c>
      <c r="ED63" s="49" t="s">
        <v>62</v>
      </c>
      <c r="EE63" s="49" t="s">
        <v>62</v>
      </c>
      <c r="EF63" s="49" t="s">
        <v>62</v>
      </c>
      <c r="EG63" s="120" t="s">
        <v>62</v>
      </c>
      <c r="EH63" s="117">
        <v>0</v>
      </c>
      <c r="EI63" s="117">
        <v>0</v>
      </c>
      <c r="EJ63" s="55">
        <v>0.02</v>
      </c>
      <c r="EK63" s="55">
        <v>0.02</v>
      </c>
      <c r="EL63" s="55">
        <v>0.02</v>
      </c>
      <c r="EM63" s="55">
        <v>0.02</v>
      </c>
      <c r="EN63" s="55">
        <v>0.02</v>
      </c>
      <c r="EO63" s="122">
        <v>0.02</v>
      </c>
      <c r="EP63" s="117">
        <v>6.89</v>
      </c>
      <c r="EQ63" s="117">
        <v>344.4</v>
      </c>
    </row>
    <row r="64" customFormat="1" ht="22.5" customHeight="1" spans="1:147">
      <c r="A64" s="108">
        <v>12483</v>
      </c>
      <c r="B64" s="109" t="s">
        <v>381</v>
      </c>
      <c r="C64" s="110">
        <v>46108</v>
      </c>
      <c r="D64" s="111">
        <f>IF(_xlfn.XLOOKUP(A64,[1]分配表!J:J,[1]分配表!M:M)=0,"未出单",_xlfn.XLOOKUP(A64,[1]分配表!J:J,[1]分配表!M:M))</f>
        <v>46111</v>
      </c>
      <c r="E64" s="112" t="str">
        <f>_xlfn.XLOOKUP(A64,[1]分配表!A:A,[1]分配表!C:C)</f>
        <v>胡煜星</v>
      </c>
      <c r="F64" s="112" t="str">
        <f>IF(_xlfn.XLOOKUP($A64,[1]分配表!$A:$A,[1]分配表!D:D)=0,"未分类",_xlfn.XLOOKUP($A64,[1]分配表!$A:$A,[1]分配表!D:D))</f>
        <v>其他</v>
      </c>
      <c r="G64" s="112" t="str">
        <f>_xlfn.XLOOKUP(A64,[1]分配表!J:J,[1]分配表!I:I)</f>
        <v>原开品</v>
      </c>
      <c r="H64" s="49">
        <v>0</v>
      </c>
      <c r="I64" s="49">
        <v>0</v>
      </c>
      <c r="J64" s="49">
        <v>0</v>
      </c>
      <c r="K64" s="49">
        <v>3</v>
      </c>
      <c r="L64" s="49">
        <v>0</v>
      </c>
      <c r="M64" s="49">
        <v>3</v>
      </c>
      <c r="N64" s="49">
        <v>1</v>
      </c>
      <c r="O64" s="49">
        <v>3</v>
      </c>
      <c r="P64" s="49">
        <v>2</v>
      </c>
      <c r="Q64" s="49">
        <v>1</v>
      </c>
      <c r="R64" s="49">
        <v>3</v>
      </c>
      <c r="S64" s="49">
        <v>1</v>
      </c>
      <c r="T64" s="113">
        <f t="shared" si="0"/>
        <v>-2</v>
      </c>
      <c r="U64" s="114">
        <v>0</v>
      </c>
      <c r="V64" s="115">
        <v>0</v>
      </c>
      <c r="W64" s="115">
        <v>0</v>
      </c>
      <c r="X64" s="115">
        <v>351</v>
      </c>
      <c r="Y64" s="115">
        <v>0</v>
      </c>
      <c r="Z64" s="115">
        <v>351</v>
      </c>
      <c r="AA64" s="115">
        <v>117</v>
      </c>
      <c r="AB64" s="116">
        <v>362.7</v>
      </c>
      <c r="AC64" s="117">
        <v>257.4</v>
      </c>
      <c r="AD64" s="117">
        <v>117</v>
      </c>
      <c r="AE64" s="117">
        <v>362.7</v>
      </c>
      <c r="AF64" s="117">
        <v>117</v>
      </c>
      <c r="AG64" s="115">
        <f t="shared" si="1"/>
        <v>-245.7</v>
      </c>
      <c r="AH64" s="118">
        <v>0</v>
      </c>
      <c r="AI64" s="49">
        <v>0</v>
      </c>
      <c r="AJ64" s="49">
        <v>0</v>
      </c>
      <c r="AK64" s="49">
        <v>0</v>
      </c>
      <c r="AL64" s="49">
        <v>0</v>
      </c>
      <c r="AM64" s="49">
        <v>0</v>
      </c>
      <c r="AN64" s="49">
        <v>0</v>
      </c>
      <c r="AO64" s="49">
        <v>0</v>
      </c>
      <c r="AP64" s="49">
        <v>0</v>
      </c>
      <c r="AQ64" s="49">
        <v>0</v>
      </c>
      <c r="AR64" s="49">
        <v>0</v>
      </c>
      <c r="AS64" s="49">
        <v>0</v>
      </c>
      <c r="AT64" s="119" t="s">
        <v>306</v>
      </c>
      <c r="AU64" s="55" t="s">
        <v>306</v>
      </c>
      <c r="AV64" s="55" t="s">
        <v>306</v>
      </c>
      <c r="AW64" s="55">
        <v>1</v>
      </c>
      <c r="AX64" s="55">
        <v>0</v>
      </c>
      <c r="AY64" s="55">
        <v>1</v>
      </c>
      <c r="AZ64" s="55">
        <v>1</v>
      </c>
      <c r="BA64" s="55">
        <v>1</v>
      </c>
      <c r="BB64" s="55">
        <v>1</v>
      </c>
      <c r="BC64" s="55" t="s">
        <v>306</v>
      </c>
      <c r="BD64" s="55">
        <v>1</v>
      </c>
      <c r="BE64" s="55">
        <v>1</v>
      </c>
      <c r="BF64" s="118" t="s">
        <v>328</v>
      </c>
      <c r="BG64" s="49" t="s">
        <v>328</v>
      </c>
      <c r="BH64" s="49" t="s">
        <v>328</v>
      </c>
      <c r="BI64" s="49">
        <v>0</v>
      </c>
      <c r="BJ64" s="49">
        <v>6</v>
      </c>
      <c r="BK64" s="49">
        <v>14</v>
      </c>
      <c r="BL64" s="49">
        <v>5</v>
      </c>
      <c r="BM64" s="49">
        <v>12</v>
      </c>
      <c r="BN64" s="49">
        <v>19</v>
      </c>
      <c r="BO64" s="49">
        <v>5</v>
      </c>
      <c r="BP64" s="49">
        <v>5</v>
      </c>
      <c r="BQ64" s="120">
        <v>12</v>
      </c>
      <c r="BR64" s="115" t="s">
        <v>328</v>
      </c>
      <c r="BS64" s="115" t="s">
        <v>328</v>
      </c>
      <c r="BT64" s="115" t="s">
        <v>328</v>
      </c>
      <c r="BU64" s="115" t="s">
        <v>49</v>
      </c>
      <c r="BV64" s="115" t="s">
        <v>49</v>
      </c>
      <c r="BW64" s="115" t="s">
        <v>49</v>
      </c>
      <c r="BX64" s="115" t="s">
        <v>49</v>
      </c>
      <c r="BY64" s="115" t="s">
        <v>49</v>
      </c>
      <c r="BZ64" s="115" t="s">
        <v>49</v>
      </c>
      <c r="CA64" s="115" t="s">
        <v>49</v>
      </c>
      <c r="CB64" s="115" t="s">
        <v>49</v>
      </c>
      <c r="CC64" s="115" t="s">
        <v>49</v>
      </c>
      <c r="CD64" s="114" t="s">
        <v>328</v>
      </c>
      <c r="CE64" s="115" t="s">
        <v>328</v>
      </c>
      <c r="CF64" s="115" t="s">
        <v>328</v>
      </c>
      <c r="CG64" s="115" t="s">
        <v>53</v>
      </c>
      <c r="CH64" s="115" t="s">
        <v>53</v>
      </c>
      <c r="CI64" s="115" t="s">
        <v>152</v>
      </c>
      <c r="CJ64" s="115" t="s">
        <v>53</v>
      </c>
      <c r="CK64" s="115" t="s">
        <v>53</v>
      </c>
      <c r="CL64" s="115" t="s">
        <v>53</v>
      </c>
      <c r="CM64" s="115" t="s">
        <v>53</v>
      </c>
      <c r="CN64" s="115" t="s">
        <v>53</v>
      </c>
      <c r="CO64" s="121" t="s">
        <v>53</v>
      </c>
      <c r="CP64" s="115" t="s">
        <v>328</v>
      </c>
      <c r="CQ64" s="115" t="s">
        <v>328</v>
      </c>
      <c r="CR64" s="115" t="s">
        <v>328</v>
      </c>
      <c r="CS64" s="115" t="s">
        <v>53</v>
      </c>
      <c r="CT64" s="115" t="s">
        <v>53</v>
      </c>
      <c r="CU64" s="115" t="s">
        <v>53</v>
      </c>
      <c r="CV64" s="115" t="s">
        <v>53</v>
      </c>
      <c r="CW64" s="115" t="s">
        <v>53</v>
      </c>
      <c r="CX64" s="115" t="s">
        <v>53</v>
      </c>
      <c r="CY64" s="115" t="s">
        <v>53</v>
      </c>
      <c r="CZ64" s="115" t="s">
        <v>53</v>
      </c>
      <c r="DA64" s="115" t="s">
        <v>53</v>
      </c>
      <c r="DB64" s="118" t="s">
        <v>328</v>
      </c>
      <c r="DC64" s="49" t="s">
        <v>328</v>
      </c>
      <c r="DD64" s="49" t="s">
        <v>328</v>
      </c>
      <c r="DE64" s="49" t="s">
        <v>328</v>
      </c>
      <c r="DF64" s="49" t="s">
        <v>53</v>
      </c>
      <c r="DG64" s="49" t="s">
        <v>53</v>
      </c>
      <c r="DH64" s="49" t="s">
        <v>53</v>
      </c>
      <c r="DI64" s="49" t="s">
        <v>53</v>
      </c>
      <c r="DJ64" s="49" t="s">
        <v>53</v>
      </c>
      <c r="DK64" s="49" t="s">
        <v>53</v>
      </c>
      <c r="DL64" s="49" t="s">
        <v>156</v>
      </c>
      <c r="DM64" s="49" t="s">
        <v>53</v>
      </c>
      <c r="DN64" s="49" t="s">
        <v>53</v>
      </c>
      <c r="DO64" s="118"/>
      <c r="DP64" s="49"/>
      <c r="DQ64" s="49" t="s">
        <v>328</v>
      </c>
      <c r="DR64" s="49" t="s">
        <v>58</v>
      </c>
      <c r="DS64" s="49" t="s">
        <v>58</v>
      </c>
      <c r="DT64" s="49" t="s">
        <v>58</v>
      </c>
      <c r="DU64" s="49" t="s">
        <v>310</v>
      </c>
      <c r="DV64" s="49" t="s">
        <v>58</v>
      </c>
      <c r="DW64" s="49" t="s">
        <v>58</v>
      </c>
      <c r="DX64" s="49" t="s">
        <v>58</v>
      </c>
      <c r="DY64" s="49" t="s">
        <v>58</v>
      </c>
      <c r="DZ64" s="49" t="s">
        <v>58</v>
      </c>
      <c r="EA64" s="118" t="s">
        <v>62</v>
      </c>
      <c r="EB64" s="49" t="s">
        <v>62</v>
      </c>
      <c r="EC64" s="49" t="s">
        <v>49</v>
      </c>
      <c r="ED64" s="49" t="s">
        <v>49</v>
      </c>
      <c r="EE64" s="49" t="s">
        <v>49</v>
      </c>
      <c r="EF64" s="49" t="s">
        <v>49</v>
      </c>
      <c r="EG64" s="120" t="s">
        <v>49</v>
      </c>
      <c r="EH64" s="117">
        <v>1.49</v>
      </c>
      <c r="EI64" s="117">
        <v>0</v>
      </c>
      <c r="EJ64" s="55">
        <v>0.02</v>
      </c>
      <c r="EK64" s="55">
        <v>0.02</v>
      </c>
      <c r="EL64" s="55">
        <v>0</v>
      </c>
      <c r="EM64" s="55">
        <v>0.02</v>
      </c>
      <c r="EN64" s="55">
        <v>0</v>
      </c>
      <c r="EO64" s="122">
        <v>0</v>
      </c>
      <c r="EP64" s="117">
        <v>0</v>
      </c>
      <c r="EQ64" s="117">
        <v>0</v>
      </c>
    </row>
    <row r="65" customFormat="1" ht="22.5" customHeight="1" spans="1:151">
      <c r="A65" s="108">
        <v>12484</v>
      </c>
      <c r="B65" s="109" t="s">
        <v>382</v>
      </c>
      <c r="C65" s="110">
        <v>46108</v>
      </c>
      <c r="D65" s="111">
        <f>IF(_xlfn.XLOOKUP(A65,[1]分配表!J:J,[1]分配表!M:M)=0,"未出单",_xlfn.XLOOKUP(A65,[1]分配表!J:J,[1]分配表!M:M))</f>
        <v>46111</v>
      </c>
      <c r="E65" s="112" t="str">
        <f>_xlfn.XLOOKUP(A65,[1]分配表!A:A,[1]分配表!C:C)</f>
        <v>胡煜星</v>
      </c>
      <c r="F65" s="112" t="str">
        <f>IF(_xlfn.XLOOKUP($A65,[1]分配表!$A:$A,[1]分配表!D:D)=0,"未分类",_xlfn.XLOOKUP($A65,[1]分配表!$A:$A,[1]分配表!D:D))</f>
        <v>其他</v>
      </c>
      <c r="G65" s="112" t="str">
        <f>_xlfn.XLOOKUP(A65,[1]分配表!J:J,[1]分配表!I:I)</f>
        <v>原开品</v>
      </c>
      <c r="H65" s="49">
        <v>0</v>
      </c>
      <c r="I65" s="49">
        <v>0</v>
      </c>
      <c r="J65" s="49">
        <v>0</v>
      </c>
      <c r="K65" s="49">
        <v>1</v>
      </c>
      <c r="L65" s="49">
        <v>1</v>
      </c>
      <c r="M65" s="49">
        <v>1</v>
      </c>
      <c r="N65" s="49">
        <v>7</v>
      </c>
      <c r="O65" s="49">
        <v>2</v>
      </c>
      <c r="P65" s="49">
        <v>2</v>
      </c>
      <c r="Q65" s="49">
        <v>1</v>
      </c>
      <c r="R65" s="49">
        <v>3</v>
      </c>
      <c r="S65" s="49">
        <v>5</v>
      </c>
      <c r="T65" s="113">
        <f t="shared" si="0"/>
        <v>2</v>
      </c>
      <c r="U65" s="114">
        <v>0</v>
      </c>
      <c r="V65" s="115">
        <v>0</v>
      </c>
      <c r="W65" s="115">
        <v>0</v>
      </c>
      <c r="X65" s="115">
        <v>110</v>
      </c>
      <c r="Y65" s="115">
        <v>110</v>
      </c>
      <c r="Z65" s="115">
        <v>110</v>
      </c>
      <c r="AA65" s="115">
        <v>768.5</v>
      </c>
      <c r="AB65" s="116">
        <v>222</v>
      </c>
      <c r="AC65" s="117">
        <v>232</v>
      </c>
      <c r="AD65" s="117">
        <v>110</v>
      </c>
      <c r="AE65" s="117">
        <v>348</v>
      </c>
      <c r="AF65" s="117">
        <v>582.2</v>
      </c>
      <c r="AG65" s="115">
        <f t="shared" si="1"/>
        <v>234.2</v>
      </c>
      <c r="AH65" s="118">
        <v>0</v>
      </c>
      <c r="AI65" s="49">
        <v>0</v>
      </c>
      <c r="AJ65" s="49">
        <v>0</v>
      </c>
      <c r="AK65" s="49">
        <v>0</v>
      </c>
      <c r="AL65" s="49">
        <v>0</v>
      </c>
      <c r="AM65" s="49">
        <v>0</v>
      </c>
      <c r="AN65" s="49">
        <v>0</v>
      </c>
      <c r="AO65" s="49">
        <v>0</v>
      </c>
      <c r="AP65" s="49">
        <v>0</v>
      </c>
      <c r="AQ65" s="49">
        <v>2</v>
      </c>
      <c r="AR65" s="49">
        <v>1</v>
      </c>
      <c r="AS65" s="49">
        <v>0</v>
      </c>
      <c r="AT65" s="119" t="s">
        <v>306</v>
      </c>
      <c r="AU65" s="55" t="s">
        <v>306</v>
      </c>
      <c r="AV65" s="55" t="s">
        <v>306</v>
      </c>
      <c r="AW65" s="55">
        <v>1</v>
      </c>
      <c r="AX65" s="55">
        <v>1</v>
      </c>
      <c r="AY65" s="55">
        <v>1</v>
      </c>
      <c r="AZ65" s="55">
        <v>1</v>
      </c>
      <c r="BA65" s="55">
        <v>1</v>
      </c>
      <c r="BB65" s="55">
        <v>1</v>
      </c>
      <c r="BC65" s="55">
        <v>0.3333</v>
      </c>
      <c r="BD65" s="55">
        <v>0.6667</v>
      </c>
      <c r="BE65" s="55">
        <v>1</v>
      </c>
      <c r="BF65" s="118" t="s">
        <v>328</v>
      </c>
      <c r="BG65" s="49" t="s">
        <v>328</v>
      </c>
      <c r="BH65" s="49" t="s">
        <v>328</v>
      </c>
      <c r="BI65" s="49">
        <v>0</v>
      </c>
      <c r="BJ65" s="49">
        <v>6</v>
      </c>
      <c r="BK65" s="49">
        <v>14</v>
      </c>
      <c r="BL65" s="49">
        <v>5</v>
      </c>
      <c r="BM65" s="49">
        <v>4</v>
      </c>
      <c r="BN65" s="49">
        <v>11</v>
      </c>
      <c r="BO65" s="49">
        <v>0</v>
      </c>
      <c r="BP65" s="49">
        <v>5</v>
      </c>
      <c r="BQ65" s="120">
        <v>12</v>
      </c>
      <c r="BR65" s="115" t="s">
        <v>328</v>
      </c>
      <c r="BS65" s="115" t="s">
        <v>328</v>
      </c>
      <c r="BT65" s="115" t="s">
        <v>328</v>
      </c>
      <c r="BU65" s="115" t="s">
        <v>49</v>
      </c>
      <c r="BV65" s="115" t="s">
        <v>49</v>
      </c>
      <c r="BW65" s="115" t="s">
        <v>49</v>
      </c>
      <c r="BX65" s="115" t="s">
        <v>49</v>
      </c>
      <c r="BY65" s="115" t="s">
        <v>49</v>
      </c>
      <c r="BZ65" s="115" t="s">
        <v>49</v>
      </c>
      <c r="CA65" s="115" t="s">
        <v>49</v>
      </c>
      <c r="CB65" s="115" t="s">
        <v>49</v>
      </c>
      <c r="CC65" s="115" t="s">
        <v>49</v>
      </c>
      <c r="CD65" s="114" t="s">
        <v>328</v>
      </c>
      <c r="CE65" s="115" t="s">
        <v>328</v>
      </c>
      <c r="CF65" s="115" t="s">
        <v>328</v>
      </c>
      <c r="CG65" s="115" t="s">
        <v>53</v>
      </c>
      <c r="CH65" s="115" t="s">
        <v>53</v>
      </c>
      <c r="CI65" s="115" t="s">
        <v>152</v>
      </c>
      <c r="CJ65" s="115" t="s">
        <v>53</v>
      </c>
      <c r="CK65" s="115" t="s">
        <v>53</v>
      </c>
      <c r="CL65" s="115" t="s">
        <v>53</v>
      </c>
      <c r="CM65" s="115" t="s">
        <v>53</v>
      </c>
      <c r="CN65" s="115" t="s">
        <v>53</v>
      </c>
      <c r="CO65" s="121" t="s">
        <v>53</v>
      </c>
      <c r="CP65" s="115" t="s">
        <v>328</v>
      </c>
      <c r="CQ65" s="115" t="s">
        <v>328</v>
      </c>
      <c r="CR65" s="115" t="s">
        <v>328</v>
      </c>
      <c r="CS65" s="115" t="s">
        <v>53</v>
      </c>
      <c r="CT65" s="115" t="s">
        <v>53</v>
      </c>
      <c r="CU65" s="115" t="s">
        <v>53</v>
      </c>
      <c r="CV65" s="115" t="s">
        <v>53</v>
      </c>
      <c r="CW65" s="115" t="s">
        <v>53</v>
      </c>
      <c r="CX65" s="115" t="s">
        <v>53</v>
      </c>
      <c r="CY65" s="115" t="s">
        <v>53</v>
      </c>
      <c r="CZ65" s="115" t="s">
        <v>53</v>
      </c>
      <c r="DA65" s="115" t="s">
        <v>53</v>
      </c>
      <c r="DB65" s="118" t="s">
        <v>328</v>
      </c>
      <c r="DC65" s="49" t="s">
        <v>328</v>
      </c>
      <c r="DD65" s="49" t="s">
        <v>328</v>
      </c>
      <c r="DE65" s="49" t="s">
        <v>328</v>
      </c>
      <c r="DF65" s="49" t="s">
        <v>53</v>
      </c>
      <c r="DG65" s="49" t="s">
        <v>53</v>
      </c>
      <c r="DH65" s="49" t="s">
        <v>53</v>
      </c>
      <c r="DI65" s="49" t="s">
        <v>53</v>
      </c>
      <c r="DJ65" s="49" t="s">
        <v>53</v>
      </c>
      <c r="DK65" s="49" t="s">
        <v>53</v>
      </c>
      <c r="DL65" s="49" t="s">
        <v>313</v>
      </c>
      <c r="DM65" s="49" t="s">
        <v>313</v>
      </c>
      <c r="DN65" s="49" t="s">
        <v>53</v>
      </c>
      <c r="DO65" s="118"/>
      <c r="DP65" s="49"/>
      <c r="DQ65" s="49" t="s">
        <v>328</v>
      </c>
      <c r="DR65" s="49" t="s">
        <v>58</v>
      </c>
      <c r="DS65" s="49" t="s">
        <v>58</v>
      </c>
      <c r="DT65" s="49" t="s">
        <v>58</v>
      </c>
      <c r="DU65" s="49" t="s">
        <v>314</v>
      </c>
      <c r="DV65" s="49" t="s">
        <v>58</v>
      </c>
      <c r="DW65" s="49" t="s">
        <v>58</v>
      </c>
      <c r="DX65" s="49" t="s">
        <v>58</v>
      </c>
      <c r="DY65" s="49" t="s">
        <v>58</v>
      </c>
      <c r="DZ65" s="49" t="s">
        <v>58</v>
      </c>
      <c r="EA65" s="118" t="s">
        <v>62</v>
      </c>
      <c r="EB65" s="49" t="s">
        <v>62</v>
      </c>
      <c r="EC65" s="49" t="s">
        <v>49</v>
      </c>
      <c r="ED65" s="49" t="s">
        <v>49</v>
      </c>
      <c r="EE65" s="49" t="s">
        <v>49</v>
      </c>
      <c r="EF65" s="49" t="s">
        <v>49</v>
      </c>
      <c r="EG65" s="120" t="s">
        <v>49</v>
      </c>
      <c r="EH65" s="117">
        <v>1.82</v>
      </c>
      <c r="EI65" s="117">
        <v>116</v>
      </c>
      <c r="EJ65" s="55">
        <v>0.02</v>
      </c>
      <c r="EK65" s="55">
        <v>0.02</v>
      </c>
      <c r="EL65" s="55">
        <v>0</v>
      </c>
      <c r="EM65" s="55">
        <v>0.02</v>
      </c>
      <c r="EN65" s="55">
        <v>0</v>
      </c>
      <c r="EO65" s="122">
        <v>0</v>
      </c>
      <c r="EP65" s="117">
        <v>0</v>
      </c>
      <c r="EQ65" s="117">
        <v>0</v>
      </c>
    </row>
    <row r="66" customFormat="1" ht="22.5" customHeight="1" spans="1:151">
      <c r="A66" s="108">
        <v>12414</v>
      </c>
      <c r="B66" s="109" t="s">
        <v>383</v>
      </c>
      <c r="C66" s="110">
        <v>46108</v>
      </c>
      <c r="D66" s="111">
        <f>IF(_xlfn.XLOOKUP(A66,[1]分配表!J:J,[1]分配表!M:M)=0,"未出单",_xlfn.XLOOKUP(A66,[1]分配表!J:J,[1]分配表!M:M))</f>
        <v>46156</v>
      </c>
      <c r="E66" s="112" t="str">
        <f>_xlfn.XLOOKUP(A66,[1]分配表!A:A,[1]分配表!C:C)</f>
        <v>俞东旭</v>
      </c>
      <c r="F66" s="112" t="str">
        <f>IF(_xlfn.XLOOKUP($A66,[1]分配表!$A:$A,[1]分配表!D:D)=0,"未分类",_xlfn.XLOOKUP($A66,[1]分配表!$A:$A,[1]分配表!D:D))</f>
        <v>车门系统</v>
      </c>
      <c r="G66" s="112" t="str">
        <f>_xlfn.XLOOKUP(A66,[1]分配表!J:J,[1]分配表!I:I)</f>
        <v>拓展品</v>
      </c>
      <c r="H66" s="49">
        <v>0</v>
      </c>
      <c r="I66" s="49">
        <v>0</v>
      </c>
      <c r="J66" s="49">
        <v>0</v>
      </c>
      <c r="K66" s="49">
        <v>0</v>
      </c>
      <c r="L66" s="49">
        <v>0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1</v>
      </c>
      <c r="S66" s="49">
        <v>0</v>
      </c>
      <c r="T66" s="113">
        <f t="shared" ref="T66:T129" si="2">IFERROR(S66-R66,S66)</f>
        <v>-1</v>
      </c>
      <c r="U66" s="114">
        <v>0</v>
      </c>
      <c r="V66" s="115">
        <v>0</v>
      </c>
      <c r="W66" s="115">
        <v>0</v>
      </c>
      <c r="X66" s="115">
        <v>0</v>
      </c>
      <c r="Y66" s="115">
        <v>0</v>
      </c>
      <c r="Z66" s="115">
        <v>0</v>
      </c>
      <c r="AA66" s="115">
        <v>0</v>
      </c>
      <c r="AB66" s="116">
        <v>0</v>
      </c>
      <c r="AC66" s="117">
        <v>0</v>
      </c>
      <c r="AD66" s="117">
        <v>0</v>
      </c>
      <c r="AE66" s="117">
        <v>250</v>
      </c>
      <c r="AF66" s="117">
        <v>0</v>
      </c>
      <c r="AG66" s="115">
        <f t="shared" ref="AG66:AG129" si="3">IFERROR(AF66-AE66,AF66)</f>
        <v>-250</v>
      </c>
      <c r="AH66" s="118">
        <v>0</v>
      </c>
      <c r="AI66" s="49">
        <v>0</v>
      </c>
      <c r="AJ66" s="49">
        <v>0</v>
      </c>
      <c r="AK66" s="49">
        <v>0</v>
      </c>
      <c r="AL66" s="49">
        <v>0</v>
      </c>
      <c r="AM66" s="49">
        <v>0</v>
      </c>
      <c r="AN66" s="49">
        <v>0</v>
      </c>
      <c r="AO66" s="49">
        <v>0</v>
      </c>
      <c r="AP66" s="49">
        <v>0</v>
      </c>
      <c r="AQ66" s="49">
        <v>0</v>
      </c>
      <c r="AR66" s="49">
        <v>0</v>
      </c>
      <c r="AS66" s="49">
        <v>0</v>
      </c>
      <c r="AT66" s="119" t="s">
        <v>306</v>
      </c>
      <c r="AU66" s="55" t="s">
        <v>306</v>
      </c>
      <c r="AV66" s="55" t="s">
        <v>306</v>
      </c>
      <c r="AW66" s="55">
        <v>0</v>
      </c>
      <c r="AX66" s="55">
        <v>0</v>
      </c>
      <c r="AY66" s="55">
        <v>0</v>
      </c>
      <c r="AZ66" s="55" t="s">
        <v>306</v>
      </c>
      <c r="BA66" s="55" t="s">
        <v>306</v>
      </c>
      <c r="BB66" s="55" t="s">
        <v>306</v>
      </c>
      <c r="BC66" s="55" t="s">
        <v>306</v>
      </c>
      <c r="BD66" s="55">
        <v>1</v>
      </c>
      <c r="BE66" s="55" t="s">
        <v>306</v>
      </c>
      <c r="BF66" s="118" t="s">
        <v>328</v>
      </c>
      <c r="BG66" s="49" t="s">
        <v>328</v>
      </c>
      <c r="BH66" s="49" t="s">
        <v>328</v>
      </c>
      <c r="BI66" s="49">
        <v>5</v>
      </c>
      <c r="BJ66" s="49">
        <v>0</v>
      </c>
      <c r="BK66" s="49">
        <v>1</v>
      </c>
      <c r="BL66" s="49">
        <v>1</v>
      </c>
      <c r="BM66" s="49">
        <v>1</v>
      </c>
      <c r="BN66" s="49">
        <v>0</v>
      </c>
      <c r="BO66" s="49">
        <v>1</v>
      </c>
      <c r="BP66" s="49">
        <v>8</v>
      </c>
      <c r="BQ66" s="120">
        <v>15</v>
      </c>
      <c r="BR66" s="115" t="s">
        <v>328</v>
      </c>
      <c r="BS66" s="115" t="s">
        <v>328</v>
      </c>
      <c r="BT66" s="115" t="s">
        <v>328</v>
      </c>
      <c r="BU66" s="115" t="s">
        <v>149</v>
      </c>
      <c r="BV66" s="115" t="s">
        <v>149</v>
      </c>
      <c r="BW66" s="115" t="s">
        <v>149</v>
      </c>
      <c r="BX66" s="115" t="s">
        <v>149</v>
      </c>
      <c r="BY66" s="115" t="s">
        <v>149</v>
      </c>
      <c r="BZ66" s="115" t="s">
        <v>149</v>
      </c>
      <c r="CA66" s="115" t="s">
        <v>149</v>
      </c>
      <c r="CB66" s="115" t="s">
        <v>62</v>
      </c>
      <c r="CC66" s="115" t="s">
        <v>62</v>
      </c>
      <c r="CD66" s="114" t="s">
        <v>328</v>
      </c>
      <c r="CE66" s="115" t="s">
        <v>328</v>
      </c>
      <c r="CF66" s="115" t="s">
        <v>328</v>
      </c>
      <c r="CG66" s="115" t="s">
        <v>53</v>
      </c>
      <c r="CH66" s="115" t="s">
        <v>53</v>
      </c>
      <c r="CI66" s="115" t="s">
        <v>53</v>
      </c>
      <c r="CJ66" s="115" t="s">
        <v>53</v>
      </c>
      <c r="CK66" s="115" t="s">
        <v>53</v>
      </c>
      <c r="CL66" s="115" t="s">
        <v>53</v>
      </c>
      <c r="CM66" s="115" t="s">
        <v>53</v>
      </c>
      <c r="CN66" s="115" t="s">
        <v>53</v>
      </c>
      <c r="CO66" s="121" t="s">
        <v>53</v>
      </c>
      <c r="CP66" s="115" t="s">
        <v>328</v>
      </c>
      <c r="CQ66" s="115" t="s">
        <v>328</v>
      </c>
      <c r="CR66" s="115" t="s">
        <v>328</v>
      </c>
      <c r="CS66" s="115" t="s">
        <v>152</v>
      </c>
      <c r="CT66" s="115" t="s">
        <v>53</v>
      </c>
      <c r="CU66" s="115" t="s">
        <v>53</v>
      </c>
      <c r="CV66" s="115" t="s">
        <v>53</v>
      </c>
      <c r="CW66" s="115" t="s">
        <v>53</v>
      </c>
      <c r="CX66" s="115" t="s">
        <v>53</v>
      </c>
      <c r="CY66" s="115" t="s">
        <v>53</v>
      </c>
      <c r="CZ66" s="115" t="s">
        <v>53</v>
      </c>
      <c r="DA66" s="115" t="s">
        <v>53</v>
      </c>
      <c r="DB66" s="118" t="s">
        <v>328</v>
      </c>
      <c r="DC66" s="49" t="s">
        <v>328</v>
      </c>
      <c r="DD66" s="49" t="s">
        <v>328</v>
      </c>
      <c r="DE66" s="49" t="s">
        <v>328</v>
      </c>
      <c r="DF66" s="49" t="s">
        <v>307</v>
      </c>
      <c r="DG66" s="49" t="s">
        <v>307</v>
      </c>
      <c r="DH66" s="49" t="s">
        <v>307</v>
      </c>
      <c r="DI66" s="49" t="s">
        <v>307</v>
      </c>
      <c r="DJ66" s="49" t="s">
        <v>307</v>
      </c>
      <c r="DK66" s="49" t="s">
        <v>307</v>
      </c>
      <c r="DL66" s="49" t="s">
        <v>156</v>
      </c>
      <c r="DM66" s="49" t="s">
        <v>53</v>
      </c>
      <c r="DN66" s="49" t="s">
        <v>307</v>
      </c>
      <c r="DO66" s="118"/>
      <c r="DP66" s="49"/>
      <c r="DQ66" s="49" t="s">
        <v>328</v>
      </c>
      <c r="DR66" s="49" t="s">
        <v>310</v>
      </c>
      <c r="DS66" s="49" t="s">
        <v>58</v>
      </c>
      <c r="DT66" s="49" t="s">
        <v>314</v>
      </c>
      <c r="DU66" s="49" t="s">
        <v>310</v>
      </c>
      <c r="DV66" s="49" t="s">
        <v>159</v>
      </c>
      <c r="DW66" s="49" t="s">
        <v>159</v>
      </c>
      <c r="DX66" s="49" t="s">
        <v>159</v>
      </c>
      <c r="DY66" s="49" t="s">
        <v>316</v>
      </c>
      <c r="DZ66" s="49" t="s">
        <v>58</v>
      </c>
      <c r="EA66" s="118" t="s">
        <v>62</v>
      </c>
      <c r="EB66" s="49" t="s">
        <v>49</v>
      </c>
      <c r="EC66" s="49" t="s">
        <v>49</v>
      </c>
      <c r="ED66" s="49" t="s">
        <v>49</v>
      </c>
      <c r="EE66" s="49" t="s">
        <v>49</v>
      </c>
      <c r="EF66" s="49" t="s">
        <v>49</v>
      </c>
      <c r="EG66" s="120" t="s">
        <v>49</v>
      </c>
      <c r="EH66" s="117">
        <v>0</v>
      </c>
      <c r="EI66" s="117">
        <v>0</v>
      </c>
      <c r="EJ66" s="55">
        <v>0.025</v>
      </c>
      <c r="EK66" s="55">
        <v>0</v>
      </c>
      <c r="EL66" s="55">
        <v>0</v>
      </c>
      <c r="EM66" s="55">
        <v>0</v>
      </c>
      <c r="EN66" s="55">
        <v>0.02</v>
      </c>
      <c r="EO66" s="122">
        <v>0.02</v>
      </c>
      <c r="EP66" s="117">
        <v>0</v>
      </c>
      <c r="EQ66" s="117">
        <v>0</v>
      </c>
    </row>
    <row r="67" customFormat="1" ht="22.5" customHeight="1" spans="1:151">
      <c r="A67" s="108">
        <v>12422</v>
      </c>
      <c r="B67" s="109" t="s">
        <v>384</v>
      </c>
      <c r="C67" s="110">
        <v>46108</v>
      </c>
      <c r="D67" s="111">
        <f>IF(_xlfn.XLOOKUP(A67,[1]分配表!J:J,[1]分配表!M:M)=0,"未出单",_xlfn.XLOOKUP(A67,[1]分配表!J:J,[1]分配表!M:M))</f>
        <v>46141</v>
      </c>
      <c r="E67" s="112" t="str">
        <f>_xlfn.XLOOKUP(A67,[1]分配表!A:A,[1]分配表!C:C)</f>
        <v>俞东旭</v>
      </c>
      <c r="F67" s="112" t="str">
        <f>IF(_xlfn.XLOOKUP($A67,[1]分配表!$A:$A,[1]分配表!D:D)=0,"未分类",_xlfn.XLOOKUP($A67,[1]分配表!$A:$A,[1]分配表!D:D))</f>
        <v>车门系统</v>
      </c>
      <c r="G67" s="112" t="str">
        <f>_xlfn.XLOOKUP(A67,[1]分配表!J:J,[1]分配表!I:I)</f>
        <v>拓展品</v>
      </c>
      <c r="H67" s="49">
        <v>0</v>
      </c>
      <c r="I67" s="49">
        <v>0</v>
      </c>
      <c r="J67" s="49">
        <v>0</v>
      </c>
      <c r="K67" s="49">
        <v>0</v>
      </c>
      <c r="L67" s="49">
        <v>0</v>
      </c>
      <c r="M67" s="49">
        <v>0</v>
      </c>
      <c r="N67" s="49">
        <v>0</v>
      </c>
      <c r="O67" s="49">
        <v>1</v>
      </c>
      <c r="P67" s="49">
        <v>0</v>
      </c>
      <c r="Q67" s="49">
        <v>0</v>
      </c>
      <c r="R67" s="49">
        <v>0</v>
      </c>
      <c r="S67" s="49">
        <v>0</v>
      </c>
      <c r="T67" s="113">
        <f t="shared" si="2"/>
        <v>0</v>
      </c>
      <c r="U67" s="114">
        <v>0</v>
      </c>
      <c r="V67" s="115">
        <v>0</v>
      </c>
      <c r="W67" s="115">
        <v>0</v>
      </c>
      <c r="X67" s="115">
        <v>0</v>
      </c>
      <c r="Y67" s="115">
        <v>0</v>
      </c>
      <c r="Z67" s="115">
        <v>0</v>
      </c>
      <c r="AA67" s="115">
        <v>0</v>
      </c>
      <c r="AB67" s="116">
        <v>250</v>
      </c>
      <c r="AC67" s="117">
        <v>0</v>
      </c>
      <c r="AD67" s="117">
        <v>0</v>
      </c>
      <c r="AE67" s="117">
        <v>0</v>
      </c>
      <c r="AF67" s="117">
        <v>0</v>
      </c>
      <c r="AG67" s="115">
        <f t="shared" si="3"/>
        <v>0</v>
      </c>
      <c r="AH67" s="118">
        <v>0</v>
      </c>
      <c r="AI67" s="49">
        <v>0</v>
      </c>
      <c r="AJ67" s="49">
        <v>0</v>
      </c>
      <c r="AK67" s="49">
        <v>0</v>
      </c>
      <c r="AL67" s="49">
        <v>0</v>
      </c>
      <c r="AM67" s="49">
        <v>0</v>
      </c>
      <c r="AN67" s="49">
        <v>0</v>
      </c>
      <c r="AO67" s="49">
        <v>0</v>
      </c>
      <c r="AP67" s="49">
        <v>0</v>
      </c>
      <c r="AQ67" s="49">
        <v>0</v>
      </c>
      <c r="AR67" s="49">
        <v>0</v>
      </c>
      <c r="AS67" s="49">
        <v>0</v>
      </c>
      <c r="AT67" s="119" t="s">
        <v>306</v>
      </c>
      <c r="AU67" s="55" t="s">
        <v>306</v>
      </c>
      <c r="AV67" s="55" t="s">
        <v>306</v>
      </c>
      <c r="AW67" s="55">
        <v>0</v>
      </c>
      <c r="AX67" s="55">
        <v>0</v>
      </c>
      <c r="AY67" s="55">
        <v>0</v>
      </c>
      <c r="AZ67" s="55" t="s">
        <v>306</v>
      </c>
      <c r="BA67" s="55" t="s">
        <v>306</v>
      </c>
      <c r="BB67" s="55">
        <v>1</v>
      </c>
      <c r="BC67" s="55" t="s">
        <v>306</v>
      </c>
      <c r="BD67" s="55" t="s">
        <v>306</v>
      </c>
      <c r="BE67" s="55" t="s">
        <v>306</v>
      </c>
      <c r="BF67" s="118" t="s">
        <v>328</v>
      </c>
      <c r="BG67" s="49" t="s">
        <v>328</v>
      </c>
      <c r="BH67" s="49" t="s">
        <v>328</v>
      </c>
      <c r="BI67" s="49">
        <v>5</v>
      </c>
      <c r="BJ67" s="49">
        <v>0</v>
      </c>
      <c r="BK67" s="49">
        <v>1</v>
      </c>
      <c r="BL67" s="49">
        <v>1</v>
      </c>
      <c r="BM67" s="49">
        <v>1</v>
      </c>
      <c r="BN67" s="49">
        <v>8</v>
      </c>
      <c r="BO67" s="49">
        <v>0</v>
      </c>
      <c r="BP67" s="49">
        <v>7</v>
      </c>
      <c r="BQ67" s="120">
        <v>14</v>
      </c>
      <c r="BR67" s="115" t="s">
        <v>328</v>
      </c>
      <c r="BS67" s="115" t="s">
        <v>328</v>
      </c>
      <c r="BT67" s="115" t="s">
        <v>328</v>
      </c>
      <c r="BU67" s="115" t="s">
        <v>149</v>
      </c>
      <c r="BV67" s="115" t="s">
        <v>149</v>
      </c>
      <c r="BW67" s="115" t="s">
        <v>149</v>
      </c>
      <c r="BX67" s="115" t="s">
        <v>149</v>
      </c>
      <c r="BY67" s="115" t="s">
        <v>62</v>
      </c>
      <c r="BZ67" s="115" t="s">
        <v>62</v>
      </c>
      <c r="CA67" s="115" t="s">
        <v>62</v>
      </c>
      <c r="CB67" s="115" t="s">
        <v>62</v>
      </c>
      <c r="CC67" s="115" t="s">
        <v>62</v>
      </c>
      <c r="CD67" s="114" t="s">
        <v>328</v>
      </c>
      <c r="CE67" s="115" t="s">
        <v>328</v>
      </c>
      <c r="CF67" s="115" t="s">
        <v>328</v>
      </c>
      <c r="CG67" s="115" t="s">
        <v>53</v>
      </c>
      <c r="CH67" s="115" t="s">
        <v>53</v>
      </c>
      <c r="CI67" s="115" t="s">
        <v>53</v>
      </c>
      <c r="CJ67" s="115" t="s">
        <v>53</v>
      </c>
      <c r="CK67" s="115" t="s">
        <v>53</v>
      </c>
      <c r="CL67" s="115" t="s">
        <v>53</v>
      </c>
      <c r="CM67" s="115" t="s">
        <v>53</v>
      </c>
      <c r="CN67" s="115" t="s">
        <v>53</v>
      </c>
      <c r="CO67" s="121" t="s">
        <v>53</v>
      </c>
      <c r="CP67" s="115" t="s">
        <v>328</v>
      </c>
      <c r="CQ67" s="115" t="s">
        <v>328</v>
      </c>
      <c r="CR67" s="115" t="s">
        <v>328</v>
      </c>
      <c r="CS67" s="115" t="s">
        <v>152</v>
      </c>
      <c r="CT67" s="115" t="s">
        <v>53</v>
      </c>
      <c r="CU67" s="115" t="s">
        <v>53</v>
      </c>
      <c r="CV67" s="115" t="s">
        <v>53</v>
      </c>
      <c r="CW67" s="115" t="s">
        <v>53</v>
      </c>
      <c r="CX67" s="115" t="s">
        <v>53</v>
      </c>
      <c r="CY67" s="115" t="s">
        <v>53</v>
      </c>
      <c r="CZ67" s="115" t="s">
        <v>53</v>
      </c>
      <c r="DA67" s="115" t="s">
        <v>53</v>
      </c>
      <c r="DB67" s="118" t="s">
        <v>328</v>
      </c>
      <c r="DC67" s="49" t="s">
        <v>328</v>
      </c>
      <c r="DD67" s="49" t="s">
        <v>328</v>
      </c>
      <c r="DE67" s="49" t="s">
        <v>328</v>
      </c>
      <c r="DF67" s="49" t="s">
        <v>307</v>
      </c>
      <c r="DG67" s="49" t="s">
        <v>156</v>
      </c>
      <c r="DH67" s="49" t="s">
        <v>307</v>
      </c>
      <c r="DI67" s="49" t="s">
        <v>307</v>
      </c>
      <c r="DJ67" s="49" t="s">
        <v>307</v>
      </c>
      <c r="DK67" s="49" t="s">
        <v>53</v>
      </c>
      <c r="DL67" s="49" t="s">
        <v>307</v>
      </c>
      <c r="DM67" s="49" t="s">
        <v>307</v>
      </c>
      <c r="DN67" s="49" t="s">
        <v>307</v>
      </c>
      <c r="DO67" s="118"/>
      <c r="DP67" s="49"/>
      <c r="DQ67" s="49" t="s">
        <v>328</v>
      </c>
      <c r="DR67" s="49" t="s">
        <v>310</v>
      </c>
      <c r="DS67" s="49" t="s">
        <v>58</v>
      </c>
      <c r="DT67" s="49" t="s">
        <v>314</v>
      </c>
      <c r="DU67" s="49" t="s">
        <v>310</v>
      </c>
      <c r="DV67" s="49" t="s">
        <v>159</v>
      </c>
      <c r="DW67" s="49" t="s">
        <v>58</v>
      </c>
      <c r="DX67" s="49" t="s">
        <v>58</v>
      </c>
      <c r="DY67" s="49" t="s">
        <v>58</v>
      </c>
      <c r="DZ67" s="49" t="s">
        <v>58</v>
      </c>
      <c r="EA67" s="118" t="s">
        <v>62</v>
      </c>
      <c r="EB67" s="49" t="s">
        <v>49</v>
      </c>
      <c r="EC67" s="49" t="s">
        <v>49</v>
      </c>
      <c r="ED67" s="49" t="s">
        <v>49</v>
      </c>
      <c r="EE67" s="49" t="s">
        <v>49</v>
      </c>
      <c r="EF67" s="49" t="s">
        <v>49</v>
      </c>
      <c r="EG67" s="120" t="s">
        <v>49</v>
      </c>
      <c r="EH67" s="117">
        <v>0</v>
      </c>
      <c r="EI67" s="117">
        <v>0</v>
      </c>
      <c r="EJ67" s="55">
        <v>0.025</v>
      </c>
      <c r="EK67" s="55">
        <v>0</v>
      </c>
      <c r="EL67" s="55">
        <v>0</v>
      </c>
      <c r="EM67" s="55">
        <v>0</v>
      </c>
      <c r="EN67" s="55">
        <v>0.02</v>
      </c>
      <c r="EO67" s="122">
        <v>0.02</v>
      </c>
      <c r="EP67" s="117">
        <v>0</v>
      </c>
      <c r="EQ67" s="117">
        <v>0</v>
      </c>
    </row>
    <row r="68" customFormat="1" ht="22.5" customHeight="1" spans="1:151">
      <c r="A68" s="108">
        <v>12213</v>
      </c>
      <c r="B68" s="109" t="s">
        <v>385</v>
      </c>
      <c r="C68" s="110">
        <v>46108</v>
      </c>
      <c r="D68" s="111">
        <f>IF(_xlfn.XLOOKUP(A68,[1]分配表!J:J,[1]分配表!M:M)=0,"未出单",_xlfn.XLOOKUP(A68,[1]分配表!J:J,[1]分配表!M:M))</f>
        <v>46114</v>
      </c>
      <c r="E68" s="112" t="str">
        <f>_xlfn.XLOOKUP(A68,[1]分配表!A:A,[1]分配表!C:C)</f>
        <v>张潇</v>
      </c>
      <c r="F68" s="112" t="str">
        <f>IF(_xlfn.XLOOKUP($A68,[1]分配表!$A:$A,[1]分配表!D:D)=0,"未分类",_xlfn.XLOOKUP($A68,[1]分配表!$A:$A,[1]分配表!D:D))</f>
        <v>机盖及附件</v>
      </c>
      <c r="G68" s="112" t="str">
        <f>_xlfn.XLOOKUP(A68,[1]分配表!J:J,[1]分配表!I:I)</f>
        <v>原开品</v>
      </c>
      <c r="H68" s="49">
        <v>0</v>
      </c>
      <c r="I68" s="49">
        <v>0</v>
      </c>
      <c r="J68" s="49">
        <v>0</v>
      </c>
      <c r="K68" s="49">
        <v>0</v>
      </c>
      <c r="L68" s="49">
        <v>16</v>
      </c>
      <c r="M68" s="49">
        <v>20</v>
      </c>
      <c r="N68" s="49">
        <v>18</v>
      </c>
      <c r="O68" s="49">
        <v>9</v>
      </c>
      <c r="P68" s="49">
        <v>18</v>
      </c>
      <c r="Q68" s="49">
        <v>14</v>
      </c>
      <c r="R68" s="49">
        <v>12</v>
      </c>
      <c r="S68" s="49">
        <v>10</v>
      </c>
      <c r="T68" s="113">
        <f t="shared" si="2"/>
        <v>-2</v>
      </c>
      <c r="U68" s="114">
        <v>0</v>
      </c>
      <c r="V68" s="115">
        <v>0</v>
      </c>
      <c r="W68" s="115">
        <v>0</v>
      </c>
      <c r="X68" s="115">
        <v>0</v>
      </c>
      <c r="Y68" s="115">
        <v>560</v>
      </c>
      <c r="Z68" s="115">
        <v>700</v>
      </c>
      <c r="AA68" s="115">
        <v>630</v>
      </c>
      <c r="AB68" s="116">
        <v>315</v>
      </c>
      <c r="AC68" s="117">
        <v>630</v>
      </c>
      <c r="AD68" s="117">
        <v>490</v>
      </c>
      <c r="AE68" s="117">
        <v>420</v>
      </c>
      <c r="AF68" s="117">
        <v>350</v>
      </c>
      <c r="AG68" s="115">
        <f t="shared" si="3"/>
        <v>-70</v>
      </c>
      <c r="AH68" s="118">
        <v>0</v>
      </c>
      <c r="AI68" s="49">
        <v>0</v>
      </c>
      <c r="AJ68" s="49">
        <v>0</v>
      </c>
      <c r="AK68" s="49">
        <v>11</v>
      </c>
      <c r="AL68" s="49">
        <v>9</v>
      </c>
      <c r="AM68" s="49">
        <v>15</v>
      </c>
      <c r="AN68" s="49">
        <v>8</v>
      </c>
      <c r="AO68" s="49">
        <v>8</v>
      </c>
      <c r="AP68" s="49">
        <v>4</v>
      </c>
      <c r="AQ68" s="49">
        <v>5</v>
      </c>
      <c r="AR68" s="49">
        <v>6</v>
      </c>
      <c r="AS68" s="49">
        <v>5</v>
      </c>
      <c r="AT68" s="119" t="s">
        <v>306</v>
      </c>
      <c r="AU68" s="55" t="s">
        <v>306</v>
      </c>
      <c r="AV68" s="55" t="s">
        <v>306</v>
      </c>
      <c r="AW68" s="55">
        <v>0</v>
      </c>
      <c r="AX68" s="55">
        <v>0.64</v>
      </c>
      <c r="AY68" s="55">
        <v>0.571428571428571</v>
      </c>
      <c r="AZ68" s="55">
        <v>0.7778</v>
      </c>
      <c r="BA68" s="55">
        <v>0.5556</v>
      </c>
      <c r="BB68" s="55">
        <v>0.8261</v>
      </c>
      <c r="BC68" s="55">
        <v>0.7222</v>
      </c>
      <c r="BD68" s="55">
        <v>0.6667</v>
      </c>
      <c r="BE68" s="55">
        <v>0.6875</v>
      </c>
      <c r="BF68" s="118" t="s">
        <v>328</v>
      </c>
      <c r="BG68" s="49" t="s">
        <v>328</v>
      </c>
      <c r="BH68" s="49" t="s">
        <v>328</v>
      </c>
      <c r="BI68" s="49">
        <v>5</v>
      </c>
      <c r="BJ68" s="49">
        <v>0</v>
      </c>
      <c r="BK68" s="49">
        <v>5</v>
      </c>
      <c r="BL68" s="49">
        <v>11</v>
      </c>
      <c r="BM68" s="49">
        <v>2</v>
      </c>
      <c r="BN68" s="49">
        <v>9</v>
      </c>
      <c r="BO68" s="49">
        <v>16</v>
      </c>
      <c r="BP68" s="49">
        <v>0</v>
      </c>
      <c r="BQ68" s="120">
        <v>7</v>
      </c>
      <c r="BR68" s="115" t="s">
        <v>328</v>
      </c>
      <c r="BS68" s="115" t="s">
        <v>328</v>
      </c>
      <c r="BT68" s="115" t="s">
        <v>328</v>
      </c>
      <c r="BU68" s="115" t="s">
        <v>149</v>
      </c>
      <c r="BV68" s="115" t="s">
        <v>49</v>
      </c>
      <c r="BW68" s="115" t="s">
        <v>49</v>
      </c>
      <c r="BX68" s="115" t="s">
        <v>49</v>
      </c>
      <c r="BY68" s="115" t="s">
        <v>49</v>
      </c>
      <c r="BZ68" s="115" t="s">
        <v>49</v>
      </c>
      <c r="CA68" s="115" t="s">
        <v>49</v>
      </c>
      <c r="CB68" s="115" t="s">
        <v>49</v>
      </c>
      <c r="CC68" s="115" t="s">
        <v>49</v>
      </c>
      <c r="CD68" s="114" t="s">
        <v>328</v>
      </c>
      <c r="CE68" s="115" t="s">
        <v>328</v>
      </c>
      <c r="CF68" s="115" t="s">
        <v>328</v>
      </c>
      <c r="CG68" s="115" t="s">
        <v>53</v>
      </c>
      <c r="CH68" s="115" t="s">
        <v>53</v>
      </c>
      <c r="CI68" s="115" t="s">
        <v>53</v>
      </c>
      <c r="CJ68" s="115" t="s">
        <v>152</v>
      </c>
      <c r="CK68" s="115" t="s">
        <v>53</v>
      </c>
      <c r="CL68" s="115" t="s">
        <v>53</v>
      </c>
      <c r="CM68" s="115" t="s">
        <v>152</v>
      </c>
      <c r="CN68" s="115" t="s">
        <v>53</v>
      </c>
      <c r="CO68" s="121" t="s">
        <v>152</v>
      </c>
      <c r="CP68" s="115" t="s">
        <v>328</v>
      </c>
      <c r="CQ68" s="115" t="s">
        <v>328</v>
      </c>
      <c r="CR68" s="115" t="s">
        <v>328</v>
      </c>
      <c r="CS68" s="115" t="s">
        <v>152</v>
      </c>
      <c r="CT68" s="115" t="s">
        <v>53</v>
      </c>
      <c r="CU68" s="115" t="s">
        <v>53</v>
      </c>
      <c r="CV68" s="115" t="s">
        <v>53</v>
      </c>
      <c r="CW68" s="115" t="s">
        <v>53</v>
      </c>
      <c r="CX68" s="115" t="s">
        <v>53</v>
      </c>
      <c r="CY68" s="115" t="s">
        <v>53</v>
      </c>
      <c r="CZ68" s="115" t="s">
        <v>53</v>
      </c>
      <c r="DA68" s="115" t="s">
        <v>53</v>
      </c>
      <c r="DB68" s="118" t="s">
        <v>328</v>
      </c>
      <c r="DC68" s="49" t="s">
        <v>328</v>
      </c>
      <c r="DD68" s="49" t="s">
        <v>328</v>
      </c>
      <c r="DE68" s="49" t="s">
        <v>328</v>
      </c>
      <c r="DF68" s="49" t="s">
        <v>313</v>
      </c>
      <c r="DG68" s="49" t="s">
        <v>313</v>
      </c>
      <c r="DH68" s="49" t="s">
        <v>313</v>
      </c>
      <c r="DI68" s="49" t="s">
        <v>53</v>
      </c>
      <c r="DJ68" s="49" t="s">
        <v>313</v>
      </c>
      <c r="DK68" s="49" t="s">
        <v>53</v>
      </c>
      <c r="DL68" s="49" t="s">
        <v>53</v>
      </c>
      <c r="DM68" s="49" t="s">
        <v>313</v>
      </c>
      <c r="DN68" s="49" t="s">
        <v>313</v>
      </c>
      <c r="DO68" s="118"/>
      <c r="DP68" s="49"/>
      <c r="DQ68" s="49" t="s">
        <v>328</v>
      </c>
      <c r="DR68" s="49" t="s">
        <v>159</v>
      </c>
      <c r="DS68" s="49" t="s">
        <v>58</v>
      </c>
      <c r="DT68" s="49" t="s">
        <v>58</v>
      </c>
      <c r="DU68" s="49" t="s">
        <v>58</v>
      </c>
      <c r="DV68" s="49" t="s">
        <v>310</v>
      </c>
      <c r="DW68" s="49" t="s">
        <v>58</v>
      </c>
      <c r="DX68" s="49" t="s">
        <v>58</v>
      </c>
      <c r="DY68" s="49" t="s">
        <v>316</v>
      </c>
      <c r="DZ68" s="49" t="s">
        <v>58</v>
      </c>
      <c r="EA68" s="118" t="s">
        <v>49</v>
      </c>
      <c r="EB68" s="49" t="s">
        <v>49</v>
      </c>
      <c r="EC68" s="49" t="s">
        <v>49</v>
      </c>
      <c r="ED68" s="49" t="s">
        <v>49</v>
      </c>
      <c r="EE68" s="49" t="s">
        <v>49</v>
      </c>
      <c r="EF68" s="49" t="s">
        <v>49</v>
      </c>
      <c r="EG68" s="120" t="s">
        <v>49</v>
      </c>
      <c r="EH68" s="117">
        <v>6.28</v>
      </c>
      <c r="EI68" s="117">
        <v>151.9</v>
      </c>
      <c r="EJ68" s="55">
        <v>0.02</v>
      </c>
      <c r="EK68" s="55">
        <v>0.02</v>
      </c>
      <c r="EL68" s="55">
        <v>0</v>
      </c>
      <c r="EM68" s="55">
        <v>0.02</v>
      </c>
      <c r="EN68" s="55">
        <v>0.02</v>
      </c>
      <c r="EO68" s="122">
        <v>0.02</v>
      </c>
      <c r="EP68" s="117">
        <v>3.76</v>
      </c>
      <c r="EQ68" s="117">
        <v>187.86</v>
      </c>
    </row>
    <row r="69" customFormat="1" ht="22.5" customHeight="1" spans="1:151">
      <c r="A69" s="108">
        <v>12461</v>
      </c>
      <c r="B69" s="109" t="s">
        <v>386</v>
      </c>
      <c r="C69" s="110">
        <v>46119</v>
      </c>
      <c r="D69" s="111">
        <f>IF(_xlfn.XLOOKUP(A69,[1]分配表!J:J,[1]分配表!M:M)=0,"未出单",_xlfn.XLOOKUP(A69,[1]分配表!J:J,[1]分配表!M:M))</f>
        <v>46124</v>
      </c>
      <c r="E69" s="112" t="str">
        <f>_xlfn.XLOOKUP(A69,[1]分配表!A:A,[1]分配表!C:C)</f>
        <v>俞东旭</v>
      </c>
      <c r="F69" s="112" t="str">
        <f>IF(_xlfn.XLOOKUP($A69,[1]分配表!$A:$A,[1]分配表!D:D)=0,"未分类",_xlfn.XLOOKUP($A69,[1]分配表!$A:$A,[1]分配表!D:D))</f>
        <v>车身外扩件</v>
      </c>
      <c r="G69" s="112" t="str">
        <f>_xlfn.XLOOKUP(A69,[1]分配表!J:J,[1]分配表!I:I)</f>
        <v>拓展品</v>
      </c>
      <c r="H69" s="49">
        <v>0</v>
      </c>
      <c r="I69" s="49">
        <v>0</v>
      </c>
      <c r="J69" s="49">
        <v>0</v>
      </c>
      <c r="K69" s="49" t="s">
        <v>328</v>
      </c>
      <c r="L69" s="49" t="s">
        <v>328</v>
      </c>
      <c r="M69" s="49">
        <v>4</v>
      </c>
      <c r="N69" s="49">
        <v>2</v>
      </c>
      <c r="O69" s="49">
        <v>3</v>
      </c>
      <c r="P69" s="49">
        <v>3</v>
      </c>
      <c r="Q69" s="49">
        <v>2</v>
      </c>
      <c r="R69" s="49">
        <v>3</v>
      </c>
      <c r="S69" s="49">
        <v>1</v>
      </c>
      <c r="T69" s="113">
        <f t="shared" si="2"/>
        <v>-2</v>
      </c>
      <c r="U69" s="114">
        <v>0</v>
      </c>
      <c r="V69" s="115">
        <v>0</v>
      </c>
      <c r="W69" s="115">
        <v>0</v>
      </c>
      <c r="X69" s="115" t="s">
        <v>328</v>
      </c>
      <c r="Y69" s="115" t="s">
        <v>328</v>
      </c>
      <c r="Z69" s="115">
        <v>476</v>
      </c>
      <c r="AA69" s="115">
        <v>238</v>
      </c>
      <c r="AB69" s="116">
        <v>357</v>
      </c>
      <c r="AC69" s="117">
        <v>357</v>
      </c>
      <c r="AD69" s="117">
        <v>238</v>
      </c>
      <c r="AE69" s="117">
        <v>357</v>
      </c>
      <c r="AF69" s="117">
        <v>119</v>
      </c>
      <c r="AG69" s="115">
        <f t="shared" si="3"/>
        <v>-238</v>
      </c>
      <c r="AH69" s="118">
        <v>0</v>
      </c>
      <c r="AI69" s="49">
        <v>0</v>
      </c>
      <c r="AJ69" s="49">
        <v>0</v>
      </c>
      <c r="AK69" s="49" t="s">
        <v>328</v>
      </c>
      <c r="AL69" s="49">
        <v>0</v>
      </c>
      <c r="AM69" s="49">
        <v>5</v>
      </c>
      <c r="AN69" s="49">
        <v>4</v>
      </c>
      <c r="AO69" s="49">
        <v>1</v>
      </c>
      <c r="AP69" s="49">
        <v>3</v>
      </c>
      <c r="AQ69" s="49">
        <v>0</v>
      </c>
      <c r="AR69" s="49">
        <v>0</v>
      </c>
      <c r="AS69" s="49">
        <v>3</v>
      </c>
      <c r="AT69" s="119" t="s">
        <v>306</v>
      </c>
      <c r="AU69" s="55" t="s">
        <v>306</v>
      </c>
      <c r="AV69" s="55" t="s">
        <v>306</v>
      </c>
      <c r="AW69" s="49" t="s">
        <v>328</v>
      </c>
      <c r="AX69" s="55" t="s">
        <v>306</v>
      </c>
      <c r="AY69" s="55">
        <v>0.444444444444444</v>
      </c>
      <c r="AZ69" s="55">
        <v>0.3333</v>
      </c>
      <c r="BA69" s="55">
        <v>0.6667</v>
      </c>
      <c r="BB69" s="55">
        <v>0.625</v>
      </c>
      <c r="BC69" s="55">
        <v>1</v>
      </c>
      <c r="BD69" s="55">
        <v>1</v>
      </c>
      <c r="BE69" s="55">
        <v>0.25</v>
      </c>
      <c r="BF69" s="118" t="s">
        <v>328</v>
      </c>
      <c r="BG69" s="49" t="s">
        <v>328</v>
      </c>
      <c r="BH69" s="49" t="s">
        <v>328</v>
      </c>
      <c r="BI69" s="49" t="s">
        <v>328</v>
      </c>
      <c r="BJ69" s="49">
        <v>0</v>
      </c>
      <c r="BK69" s="49">
        <v>8</v>
      </c>
      <c r="BL69" s="49">
        <v>1</v>
      </c>
      <c r="BM69" s="49">
        <v>8</v>
      </c>
      <c r="BN69" s="49">
        <v>0</v>
      </c>
      <c r="BO69" s="49">
        <v>0</v>
      </c>
      <c r="BP69" s="49">
        <v>7</v>
      </c>
      <c r="BQ69" s="120">
        <v>14</v>
      </c>
      <c r="BR69" s="115" t="s">
        <v>328</v>
      </c>
      <c r="BS69" s="115" t="s">
        <v>328</v>
      </c>
      <c r="BT69" s="115" t="s">
        <v>328</v>
      </c>
      <c r="BU69" s="49" t="s">
        <v>328</v>
      </c>
      <c r="BV69" s="115" t="s">
        <v>149</v>
      </c>
      <c r="BW69" s="115" t="s">
        <v>149</v>
      </c>
      <c r="BX69" s="115" t="s">
        <v>49</v>
      </c>
      <c r="BY69" s="115" t="s">
        <v>49</v>
      </c>
      <c r="BZ69" s="115" t="s">
        <v>49</v>
      </c>
      <c r="CA69" s="115" t="s">
        <v>49</v>
      </c>
      <c r="CB69" s="115" t="s">
        <v>49</v>
      </c>
      <c r="CC69" s="115" t="s">
        <v>49</v>
      </c>
      <c r="CD69" s="114"/>
      <c r="CE69" s="115"/>
      <c r="CF69" s="115"/>
      <c r="CG69" s="49" t="s">
        <v>328</v>
      </c>
      <c r="CH69" s="115" t="s">
        <v>53</v>
      </c>
      <c r="CI69" s="115" t="s">
        <v>152</v>
      </c>
      <c r="CJ69" s="115" t="s">
        <v>53</v>
      </c>
      <c r="CK69" s="115" t="s">
        <v>152</v>
      </c>
      <c r="CL69" s="115" t="s">
        <v>53</v>
      </c>
      <c r="CM69" s="115" t="s">
        <v>53</v>
      </c>
      <c r="CN69" s="115" t="s">
        <v>53</v>
      </c>
      <c r="CO69" s="121" t="s">
        <v>152</v>
      </c>
      <c r="CP69" s="115"/>
      <c r="CQ69" s="115"/>
      <c r="CR69" s="115"/>
      <c r="CS69" s="49" t="s">
        <v>328</v>
      </c>
      <c r="CT69" s="115" t="s">
        <v>53</v>
      </c>
      <c r="CU69" s="115" t="s">
        <v>53</v>
      </c>
      <c r="CV69" s="115" t="s">
        <v>53</v>
      </c>
      <c r="CW69" s="115" t="s">
        <v>53</v>
      </c>
      <c r="CX69" s="115" t="s">
        <v>53</v>
      </c>
      <c r="CY69" s="115" t="s">
        <v>53</v>
      </c>
      <c r="CZ69" s="115" t="s">
        <v>53</v>
      </c>
      <c r="DA69" s="115" t="s">
        <v>53</v>
      </c>
      <c r="DB69" s="118" t="s">
        <v>328</v>
      </c>
      <c r="DC69" s="49" t="s">
        <v>328</v>
      </c>
      <c r="DD69" s="49" t="s">
        <v>328</v>
      </c>
      <c r="DE69" s="49" t="s">
        <v>328</v>
      </c>
      <c r="DF69" s="49" t="s">
        <v>328</v>
      </c>
      <c r="DG69" s="49" t="s">
        <v>307</v>
      </c>
      <c r="DH69" s="49" t="s">
        <v>313</v>
      </c>
      <c r="DI69" s="49" t="s">
        <v>313</v>
      </c>
      <c r="DJ69" s="49" t="s">
        <v>313</v>
      </c>
      <c r="DK69" s="49" t="s">
        <v>313</v>
      </c>
      <c r="DL69" s="49" t="s">
        <v>53</v>
      </c>
      <c r="DM69" s="49" t="s">
        <v>53</v>
      </c>
      <c r="DN69" s="49" t="s">
        <v>313</v>
      </c>
      <c r="DO69" s="118"/>
      <c r="DP69" s="49"/>
      <c r="DQ69" s="49" t="s">
        <v>328</v>
      </c>
      <c r="DR69" s="49" t="s">
        <v>328</v>
      </c>
      <c r="DS69" s="49" t="s">
        <v>58</v>
      </c>
      <c r="DT69" s="49" t="s">
        <v>328</v>
      </c>
      <c r="DU69" s="49" t="s">
        <v>310</v>
      </c>
      <c r="DV69" s="49" t="s">
        <v>58</v>
      </c>
      <c r="DW69" s="49" t="s">
        <v>310</v>
      </c>
      <c r="DX69" s="49" t="s">
        <v>58</v>
      </c>
      <c r="DY69" s="49" t="s">
        <v>58</v>
      </c>
      <c r="DZ69" s="49" t="s">
        <v>58</v>
      </c>
      <c r="EA69" s="118" t="s">
        <v>62</v>
      </c>
      <c r="EB69" s="49" t="s">
        <v>62</v>
      </c>
      <c r="EC69" s="49" t="s">
        <v>62</v>
      </c>
      <c r="ED69" s="49" t="s">
        <v>62</v>
      </c>
      <c r="EE69" s="49" t="s">
        <v>62</v>
      </c>
      <c r="EF69" s="49" t="s">
        <v>62</v>
      </c>
      <c r="EG69" s="120" t="s">
        <v>62</v>
      </c>
      <c r="EH69" s="117">
        <v>0</v>
      </c>
      <c r="EI69" s="117">
        <v>0</v>
      </c>
      <c r="EJ69" s="55">
        <v>0.02</v>
      </c>
      <c r="EK69" s="55">
        <v>0.02</v>
      </c>
      <c r="EL69" s="55">
        <v>0.02</v>
      </c>
      <c r="EM69" s="55">
        <v>0.02</v>
      </c>
      <c r="EN69" s="55">
        <v>0.02</v>
      </c>
      <c r="EO69" s="122">
        <v>0.02</v>
      </c>
      <c r="EP69" s="117">
        <v>5.07</v>
      </c>
      <c r="EQ69" s="117">
        <v>253.89</v>
      </c>
    </row>
    <row r="70" customFormat="1" ht="22.5" customHeight="1" spans="1:151">
      <c r="A70" s="108">
        <v>12489</v>
      </c>
      <c r="B70" s="109" t="s">
        <v>387</v>
      </c>
      <c r="C70" s="110">
        <v>46122</v>
      </c>
      <c r="D70" s="111">
        <f>IF(_xlfn.XLOOKUP(A70,[1]分配表!J:J,[1]分配表!M:M)=0,"未出单",_xlfn.XLOOKUP(A70,[1]分配表!J:J,[1]分配表!M:M))</f>
        <v>46126</v>
      </c>
      <c r="E70" s="112" t="str">
        <f>_xlfn.XLOOKUP(A70,[1]分配表!A:A,[1]分配表!C:C)</f>
        <v>俞东旭</v>
      </c>
      <c r="F70" s="112" t="str">
        <f>IF(_xlfn.XLOOKUP($A70,[1]分配表!$A:$A,[1]分配表!D:D)=0,"未分类",_xlfn.XLOOKUP($A70,[1]分配表!$A:$A,[1]分配表!D:D))</f>
        <v>挡泥板</v>
      </c>
      <c r="G70" s="112" t="str">
        <f>_xlfn.XLOOKUP(A70,[1]分配表!J:J,[1]分配表!I:I)</f>
        <v>原开品</v>
      </c>
      <c r="H70" s="49">
        <v>0</v>
      </c>
      <c r="I70" s="49">
        <v>0</v>
      </c>
      <c r="J70" s="49">
        <v>0</v>
      </c>
      <c r="K70" s="49" t="s">
        <v>328</v>
      </c>
      <c r="L70" s="49" t="s">
        <v>328</v>
      </c>
      <c r="M70" s="49">
        <v>2</v>
      </c>
      <c r="N70" s="49">
        <v>0</v>
      </c>
      <c r="O70" s="49">
        <v>6</v>
      </c>
      <c r="P70" s="49">
        <v>7</v>
      </c>
      <c r="Q70" s="49">
        <v>1</v>
      </c>
      <c r="R70" s="49">
        <v>4</v>
      </c>
      <c r="S70" s="49">
        <v>7</v>
      </c>
      <c r="T70" s="113">
        <f t="shared" si="2"/>
        <v>3</v>
      </c>
      <c r="U70" s="114">
        <v>0</v>
      </c>
      <c r="V70" s="115">
        <v>0</v>
      </c>
      <c r="W70" s="115">
        <v>0</v>
      </c>
      <c r="X70" s="115" t="s">
        <v>328</v>
      </c>
      <c r="Y70" s="115" t="s">
        <v>328</v>
      </c>
      <c r="Z70" s="115">
        <v>90</v>
      </c>
      <c r="AA70" s="115">
        <v>0</v>
      </c>
      <c r="AB70" s="116">
        <v>270</v>
      </c>
      <c r="AC70" s="117">
        <v>315</v>
      </c>
      <c r="AD70" s="117">
        <v>45</v>
      </c>
      <c r="AE70" s="117">
        <v>180</v>
      </c>
      <c r="AF70" s="117">
        <v>315</v>
      </c>
      <c r="AG70" s="115">
        <f t="shared" si="3"/>
        <v>135</v>
      </c>
      <c r="AH70" s="118">
        <v>0</v>
      </c>
      <c r="AI70" s="49">
        <v>0</v>
      </c>
      <c r="AJ70" s="49">
        <v>0</v>
      </c>
      <c r="AK70" s="49" t="s">
        <v>328</v>
      </c>
      <c r="AL70" s="49" t="s">
        <v>328</v>
      </c>
      <c r="AM70" s="49">
        <v>5</v>
      </c>
      <c r="AN70" s="49">
        <v>3</v>
      </c>
      <c r="AO70" s="49">
        <v>2</v>
      </c>
      <c r="AP70" s="49">
        <v>6</v>
      </c>
      <c r="AQ70" s="49">
        <v>7</v>
      </c>
      <c r="AR70" s="49">
        <v>1</v>
      </c>
      <c r="AS70" s="49">
        <v>6</v>
      </c>
      <c r="AT70" s="119" t="s">
        <v>306</v>
      </c>
      <c r="AU70" s="55" t="s">
        <v>306</v>
      </c>
      <c r="AV70" s="55" t="s">
        <v>306</v>
      </c>
      <c r="AW70" s="49" t="s">
        <v>328</v>
      </c>
      <c r="AX70" s="49" t="s">
        <v>328</v>
      </c>
      <c r="AY70" s="55">
        <v>0.285714285714286</v>
      </c>
      <c r="AZ70" s="55">
        <v>0.4</v>
      </c>
      <c r="BA70" s="55">
        <v>0.6667</v>
      </c>
      <c r="BB70" s="55">
        <v>0.6</v>
      </c>
      <c r="BC70" s="55">
        <v>0</v>
      </c>
      <c r="BD70" s="55">
        <v>0.75</v>
      </c>
      <c r="BE70" s="55">
        <v>0.4545</v>
      </c>
      <c r="BF70" s="118" t="s">
        <v>328</v>
      </c>
      <c r="BG70" s="49" t="s">
        <v>328</v>
      </c>
      <c r="BH70" s="49" t="s">
        <v>328</v>
      </c>
      <c r="BI70" s="49" t="s">
        <v>328</v>
      </c>
      <c r="BJ70" s="49" t="s">
        <v>328</v>
      </c>
      <c r="BK70" s="49">
        <v>5</v>
      </c>
      <c r="BL70" s="49">
        <v>1</v>
      </c>
      <c r="BM70" s="49">
        <v>8</v>
      </c>
      <c r="BN70" s="49">
        <v>0</v>
      </c>
      <c r="BO70" s="49">
        <v>0</v>
      </c>
      <c r="BP70" s="49">
        <v>7</v>
      </c>
      <c r="BQ70" s="120">
        <v>14</v>
      </c>
      <c r="BR70" s="115" t="s">
        <v>328</v>
      </c>
      <c r="BS70" s="115" t="s">
        <v>328</v>
      </c>
      <c r="BT70" s="115" t="s">
        <v>328</v>
      </c>
      <c r="BU70" s="49" t="s">
        <v>328</v>
      </c>
      <c r="BV70" s="49" t="s">
        <v>328</v>
      </c>
      <c r="BW70" s="115" t="s">
        <v>149</v>
      </c>
      <c r="BX70" s="115" t="s">
        <v>49</v>
      </c>
      <c r="BY70" s="115" t="s">
        <v>49</v>
      </c>
      <c r="BZ70" s="115" t="s">
        <v>49</v>
      </c>
      <c r="CA70" s="115" t="s">
        <v>49</v>
      </c>
      <c r="CB70" s="115" t="s">
        <v>49</v>
      </c>
      <c r="CC70" s="115" t="s">
        <v>49</v>
      </c>
      <c r="CD70" s="114"/>
      <c r="CE70" s="115"/>
      <c r="CF70" s="115"/>
      <c r="CG70" s="49" t="s">
        <v>328</v>
      </c>
      <c r="CH70" s="49" t="s">
        <v>328</v>
      </c>
      <c r="CI70" s="115" t="s">
        <v>53</v>
      </c>
      <c r="CJ70" s="115" t="s">
        <v>53</v>
      </c>
      <c r="CK70" s="115" t="s">
        <v>152</v>
      </c>
      <c r="CL70" s="115" t="s">
        <v>53</v>
      </c>
      <c r="CM70" s="115" t="s">
        <v>53</v>
      </c>
      <c r="CN70" s="115" t="s">
        <v>53</v>
      </c>
      <c r="CO70" s="121" t="s">
        <v>152</v>
      </c>
      <c r="CP70" s="115"/>
      <c r="CQ70" s="115"/>
      <c r="CR70" s="115"/>
      <c r="CS70" s="49" t="s">
        <v>328</v>
      </c>
      <c r="CT70" s="49" t="s">
        <v>328</v>
      </c>
      <c r="CU70" s="115" t="s">
        <v>152</v>
      </c>
      <c r="CV70" s="115" t="s">
        <v>53</v>
      </c>
      <c r="CW70" s="115" t="s">
        <v>53</v>
      </c>
      <c r="CX70" s="115" t="s">
        <v>53</v>
      </c>
      <c r="CY70" s="115" t="s">
        <v>53</v>
      </c>
      <c r="CZ70" s="115" t="s">
        <v>53</v>
      </c>
      <c r="DA70" s="115" t="s">
        <v>53</v>
      </c>
      <c r="DB70" s="118" t="s">
        <v>328</v>
      </c>
      <c r="DC70" s="49" t="s">
        <v>328</v>
      </c>
      <c r="DD70" s="49" t="s">
        <v>328</v>
      </c>
      <c r="DE70" s="49" t="s">
        <v>328</v>
      </c>
      <c r="DF70" s="49" t="s">
        <v>328</v>
      </c>
      <c r="DG70" s="49" t="s">
        <v>328</v>
      </c>
      <c r="DH70" s="49" t="s">
        <v>313</v>
      </c>
      <c r="DI70" s="49" t="s">
        <v>313</v>
      </c>
      <c r="DJ70" s="49" t="s">
        <v>313</v>
      </c>
      <c r="DK70" s="49" t="s">
        <v>313</v>
      </c>
      <c r="DL70" s="49" t="s">
        <v>313</v>
      </c>
      <c r="DM70" s="49" t="s">
        <v>53</v>
      </c>
      <c r="DN70" s="49" t="s">
        <v>313</v>
      </c>
      <c r="DO70" s="118"/>
      <c r="DP70" s="49"/>
      <c r="DQ70" s="49" t="s">
        <v>328</v>
      </c>
      <c r="DR70" s="49" t="s">
        <v>328</v>
      </c>
      <c r="DS70" s="49" t="s">
        <v>328</v>
      </c>
      <c r="DT70" s="49" t="s">
        <v>328</v>
      </c>
      <c r="DU70" s="49" t="s">
        <v>310</v>
      </c>
      <c r="DV70" s="49" t="s">
        <v>58</v>
      </c>
      <c r="DW70" s="49" t="s">
        <v>310</v>
      </c>
      <c r="DX70" s="49" t="s">
        <v>58</v>
      </c>
      <c r="DY70" s="49" t="s">
        <v>58</v>
      </c>
      <c r="DZ70" s="49" t="s">
        <v>58</v>
      </c>
      <c r="EA70" s="118" t="s">
        <v>62</v>
      </c>
      <c r="EB70" s="49" t="s">
        <v>62</v>
      </c>
      <c r="EC70" s="49" t="s">
        <v>62</v>
      </c>
      <c r="ED70" s="49" t="s">
        <v>62</v>
      </c>
      <c r="EE70" s="49" t="s">
        <v>62</v>
      </c>
      <c r="EF70" s="49" t="s">
        <v>62</v>
      </c>
      <c r="EG70" s="120" t="s">
        <v>62</v>
      </c>
      <c r="EH70" s="117">
        <v>0</v>
      </c>
      <c r="EI70" s="117">
        <v>0</v>
      </c>
      <c r="EJ70" s="55">
        <v>0.02</v>
      </c>
      <c r="EK70" s="55">
        <v>0.02</v>
      </c>
      <c r="EL70" s="55">
        <v>0.02</v>
      </c>
      <c r="EM70" s="55">
        <v>0.02</v>
      </c>
      <c r="EN70" s="55">
        <v>0.02</v>
      </c>
      <c r="EO70" s="122">
        <v>0.02</v>
      </c>
      <c r="EP70" s="117">
        <v>6.78</v>
      </c>
      <c r="EQ70" s="117">
        <v>339.45</v>
      </c>
    </row>
    <row r="71" customFormat="1" ht="22.5" customHeight="1" spans="1:151">
      <c r="A71" s="108">
        <v>12480</v>
      </c>
      <c r="B71" s="109" t="s">
        <v>388</v>
      </c>
      <c r="C71" s="110">
        <v>46135</v>
      </c>
      <c r="D71" s="111">
        <f>IF(_xlfn.XLOOKUP(A71,[1]分配表!J:J,[1]分配表!M:M)=0,"未出单",_xlfn.XLOOKUP(A71,[1]分配表!J:J,[1]分配表!M:M))</f>
        <v>46139</v>
      </c>
      <c r="E71" s="112" t="str">
        <f>_xlfn.XLOOKUP(A71,[1]分配表!A:A,[1]分配表!C:C)</f>
        <v>张潇</v>
      </c>
      <c r="F71" s="112" t="str">
        <f>IF(_xlfn.XLOOKUP($A71,[1]分配表!$A:$A,[1]分配表!D:D)=0,"未分类",_xlfn.XLOOKUP($A71,[1]分配表!$A:$A,[1]分配表!D:D))</f>
        <v>牌照板支架</v>
      </c>
      <c r="G71" s="112" t="str">
        <f>_xlfn.XLOOKUP(A71,[1]分配表!J:J,[1]分配表!I:I)</f>
        <v>原开品</v>
      </c>
      <c r="H71" s="49" t="s">
        <v>328</v>
      </c>
      <c r="I71" s="49" t="s">
        <v>328</v>
      </c>
      <c r="J71" s="49" t="s">
        <v>328</v>
      </c>
      <c r="K71" s="49" t="s">
        <v>328</v>
      </c>
      <c r="L71" s="49" t="s">
        <v>328</v>
      </c>
      <c r="M71" s="49" t="s">
        <v>328</v>
      </c>
      <c r="N71" s="49" t="s">
        <v>328</v>
      </c>
      <c r="O71" s="49">
        <v>1</v>
      </c>
      <c r="P71" s="49">
        <v>1</v>
      </c>
      <c r="Q71" s="49">
        <v>0</v>
      </c>
      <c r="R71" s="49">
        <v>0</v>
      </c>
      <c r="S71" s="49">
        <v>0</v>
      </c>
      <c r="T71" s="113">
        <f t="shared" si="2"/>
        <v>0</v>
      </c>
      <c r="U71" s="118" t="s">
        <v>328</v>
      </c>
      <c r="V71" s="49" t="s">
        <v>328</v>
      </c>
      <c r="W71" s="49" t="s">
        <v>328</v>
      </c>
      <c r="X71" s="49" t="s">
        <v>328</v>
      </c>
      <c r="Y71" s="49" t="s">
        <v>328</v>
      </c>
      <c r="Z71" s="49" t="s">
        <v>328</v>
      </c>
      <c r="AA71" s="115">
        <v>0</v>
      </c>
      <c r="AB71" s="116">
        <v>45</v>
      </c>
      <c r="AC71" s="117">
        <v>45</v>
      </c>
      <c r="AD71" s="117">
        <v>0</v>
      </c>
      <c r="AE71" s="117">
        <v>0</v>
      </c>
      <c r="AF71" s="117">
        <v>0</v>
      </c>
      <c r="AG71" s="115">
        <f t="shared" si="3"/>
        <v>0</v>
      </c>
      <c r="AH71" s="118" t="s">
        <v>328</v>
      </c>
      <c r="AI71" s="49" t="s">
        <v>328</v>
      </c>
      <c r="AJ71" s="49" t="s">
        <v>328</v>
      </c>
      <c r="AK71" s="49" t="s">
        <v>328</v>
      </c>
      <c r="AL71" s="49" t="s">
        <v>328</v>
      </c>
      <c r="AM71" s="49" t="s">
        <v>328</v>
      </c>
      <c r="AN71" s="49" t="s">
        <v>328</v>
      </c>
      <c r="AO71" s="49">
        <v>0</v>
      </c>
      <c r="AP71" s="49">
        <v>2</v>
      </c>
      <c r="AQ71" s="49">
        <v>2</v>
      </c>
      <c r="AR71" s="49">
        <v>2</v>
      </c>
      <c r="AS71" s="49">
        <v>1</v>
      </c>
      <c r="AT71" s="118" t="s">
        <v>328</v>
      </c>
      <c r="AU71" s="49" t="s">
        <v>328</v>
      </c>
      <c r="AV71" s="49" t="s">
        <v>328</v>
      </c>
      <c r="AW71" s="49" t="s">
        <v>328</v>
      </c>
      <c r="AX71" s="49" t="s">
        <v>328</v>
      </c>
      <c r="AY71" s="49" t="s">
        <v>328</v>
      </c>
      <c r="AZ71" s="55" t="s">
        <v>328</v>
      </c>
      <c r="BA71" s="55">
        <v>1</v>
      </c>
      <c r="BB71" s="55">
        <v>0.3333</v>
      </c>
      <c r="BC71" s="55">
        <v>0</v>
      </c>
      <c r="BD71" s="55">
        <v>0</v>
      </c>
      <c r="BE71" s="55">
        <v>0</v>
      </c>
      <c r="BF71" s="118" t="s">
        <v>328</v>
      </c>
      <c r="BG71" s="49" t="s">
        <v>328</v>
      </c>
      <c r="BH71" s="49" t="s">
        <v>328</v>
      </c>
      <c r="BI71" s="49" t="s">
        <v>328</v>
      </c>
      <c r="BJ71" s="49" t="s">
        <v>328</v>
      </c>
      <c r="BK71" s="49" t="s">
        <v>328</v>
      </c>
      <c r="BL71" s="49" t="s">
        <v>328</v>
      </c>
      <c r="BM71" s="49">
        <v>0</v>
      </c>
      <c r="BN71" s="49">
        <v>7</v>
      </c>
      <c r="BO71" s="49">
        <v>2</v>
      </c>
      <c r="BP71" s="49">
        <v>9</v>
      </c>
      <c r="BQ71" s="120">
        <v>1</v>
      </c>
      <c r="BR71" s="49" t="s">
        <v>328</v>
      </c>
      <c r="BS71" s="126" t="s">
        <v>328</v>
      </c>
      <c r="BT71" s="126" t="s">
        <v>328</v>
      </c>
      <c r="BU71" s="126" t="s">
        <v>328</v>
      </c>
      <c r="BV71" s="126" t="s">
        <v>328</v>
      </c>
      <c r="BW71" s="126" t="s">
        <v>328</v>
      </c>
      <c r="BX71" s="115" t="s">
        <v>328</v>
      </c>
      <c r="BY71" s="115" t="s">
        <v>49</v>
      </c>
      <c r="BZ71" s="115" t="s">
        <v>49</v>
      </c>
      <c r="CA71" s="115" t="s">
        <v>49</v>
      </c>
      <c r="CB71" s="115" t="s">
        <v>49</v>
      </c>
      <c r="CC71" s="115" t="s">
        <v>49</v>
      </c>
      <c r="CD71" s="118" t="s">
        <v>328</v>
      </c>
      <c r="CE71" s="49" t="s">
        <v>328</v>
      </c>
      <c r="CF71" s="49" t="s">
        <v>328</v>
      </c>
      <c r="CG71" s="49" t="s">
        <v>328</v>
      </c>
      <c r="CH71" s="49" t="s">
        <v>328</v>
      </c>
      <c r="CI71" s="49" t="s">
        <v>328</v>
      </c>
      <c r="CJ71" s="115" t="s">
        <v>328</v>
      </c>
      <c r="CK71" s="115" t="s">
        <v>53</v>
      </c>
      <c r="CL71" s="115" t="s">
        <v>152</v>
      </c>
      <c r="CM71" s="115" t="s">
        <v>53</v>
      </c>
      <c r="CN71" s="115" t="s">
        <v>152</v>
      </c>
      <c r="CO71" s="121" t="s">
        <v>53</v>
      </c>
      <c r="CP71" s="49" t="s">
        <v>328</v>
      </c>
      <c r="CQ71" s="49" t="s">
        <v>328</v>
      </c>
      <c r="CR71" s="49" t="s">
        <v>328</v>
      </c>
      <c r="CS71" s="49" t="s">
        <v>328</v>
      </c>
      <c r="CT71" s="49" t="s">
        <v>328</v>
      </c>
      <c r="CU71" s="49" t="s">
        <v>328</v>
      </c>
      <c r="CV71" s="115" t="s">
        <v>328</v>
      </c>
      <c r="CW71" s="115" t="s">
        <v>53</v>
      </c>
      <c r="CX71" s="115" t="s">
        <v>53</v>
      </c>
      <c r="CY71" s="115" t="s">
        <v>53</v>
      </c>
      <c r="CZ71" s="115" t="s">
        <v>53</v>
      </c>
      <c r="DA71" s="115" t="s">
        <v>53</v>
      </c>
      <c r="DB71" s="118" t="s">
        <v>328</v>
      </c>
      <c r="DC71" s="49" t="s">
        <v>328</v>
      </c>
      <c r="DD71" s="49" t="s">
        <v>328</v>
      </c>
      <c r="DE71" s="49" t="s">
        <v>328</v>
      </c>
      <c r="DF71" s="49" t="s">
        <v>328</v>
      </c>
      <c r="DG71" s="49" t="s">
        <v>328</v>
      </c>
      <c r="DH71" s="49" t="s">
        <v>328</v>
      </c>
      <c r="DI71" s="49" t="s">
        <v>328</v>
      </c>
      <c r="DJ71" s="49" t="s">
        <v>53</v>
      </c>
      <c r="DK71" s="49" t="s">
        <v>313</v>
      </c>
      <c r="DL71" s="49" t="s">
        <v>313</v>
      </c>
      <c r="DM71" s="49" t="s">
        <v>313</v>
      </c>
      <c r="DN71" s="49" t="s">
        <v>313</v>
      </c>
      <c r="DO71" s="118" t="s">
        <v>328</v>
      </c>
      <c r="DP71" s="49" t="s">
        <v>328</v>
      </c>
      <c r="DQ71" s="49" t="s">
        <v>328</v>
      </c>
      <c r="DR71" s="49" t="s">
        <v>328</v>
      </c>
      <c r="DS71" s="49" t="s">
        <v>328</v>
      </c>
      <c r="DT71" s="49" t="s">
        <v>328</v>
      </c>
      <c r="DU71" s="49" t="s">
        <v>328</v>
      </c>
      <c r="DV71" s="49" t="s">
        <v>328</v>
      </c>
      <c r="DW71" s="49" t="s">
        <v>58</v>
      </c>
      <c r="DX71" s="49" t="s">
        <v>159</v>
      </c>
      <c r="DY71" s="49" t="s">
        <v>58</v>
      </c>
      <c r="DZ71" s="49" t="s">
        <v>315</v>
      </c>
      <c r="EA71" s="118" t="s">
        <v>62</v>
      </c>
      <c r="EB71" s="49" t="s">
        <v>49</v>
      </c>
      <c r="EC71" s="49" t="s">
        <v>49</v>
      </c>
      <c r="ED71" s="49" t="s">
        <v>49</v>
      </c>
      <c r="EE71" s="49" t="s">
        <v>49</v>
      </c>
      <c r="EF71" s="49" t="s">
        <v>49</v>
      </c>
      <c r="EG71" s="120" t="s">
        <v>49</v>
      </c>
      <c r="EH71" s="117">
        <v>0.4</v>
      </c>
      <c r="EI71" s="117">
        <v>0</v>
      </c>
      <c r="EJ71" s="55">
        <v>0</v>
      </c>
      <c r="EK71" s="55">
        <v>0.02</v>
      </c>
      <c r="EL71" s="55">
        <v>0.02</v>
      </c>
      <c r="EM71" s="55">
        <v>0</v>
      </c>
      <c r="EN71" s="55">
        <v>0.02</v>
      </c>
      <c r="EO71" s="122">
        <v>0.05</v>
      </c>
      <c r="EP71" s="117">
        <v>0</v>
      </c>
      <c r="EQ71" s="117">
        <v>0</v>
      </c>
      <c r="ER71" s="49"/>
      <c r="ES71" s="49"/>
      <c r="ET71" s="49"/>
      <c r="EU71" s="49"/>
    </row>
    <row r="72" customFormat="1" ht="22.5" customHeight="1" spans="1:151">
      <c r="A72" s="108">
        <v>12558</v>
      </c>
      <c r="B72" s="109" t="s">
        <v>389</v>
      </c>
      <c r="C72" s="110">
        <v>46135</v>
      </c>
      <c r="D72" s="111">
        <f>IF(_xlfn.XLOOKUP(A72,[1]分配表!J:J,[1]分配表!M:M)=0,"未出单",_xlfn.XLOOKUP(A72,[1]分配表!J:J,[1]分配表!M:M))</f>
        <v>46155</v>
      </c>
      <c r="E72" s="112" t="str">
        <f>_xlfn.XLOOKUP(A72,[1]分配表!A:A,[1]分配表!C:C)</f>
        <v>朱培源</v>
      </c>
      <c r="F72" s="112" t="str">
        <f>IF(_xlfn.XLOOKUP($A72,[1]分配表!$A:$A,[1]分配表!D:D)=0,"未分类",_xlfn.XLOOKUP($A72,[1]分配表!$A:$A,[1]分配表!D:D))</f>
        <v>挡泥板</v>
      </c>
      <c r="G72" s="112" t="str">
        <f>_xlfn.XLOOKUP(A72,[1]分配表!J:J,[1]分配表!I:I)</f>
        <v>原开品</v>
      </c>
      <c r="H72" s="49" t="s">
        <v>328</v>
      </c>
      <c r="I72" s="49" t="s">
        <v>328</v>
      </c>
      <c r="J72" s="49" t="s">
        <v>328</v>
      </c>
      <c r="K72" s="49" t="s">
        <v>328</v>
      </c>
      <c r="L72" s="49" t="s">
        <v>328</v>
      </c>
      <c r="M72" s="49" t="s">
        <v>328</v>
      </c>
      <c r="N72" s="49" t="s">
        <v>328</v>
      </c>
      <c r="O72" s="49">
        <v>0</v>
      </c>
      <c r="P72" s="49">
        <v>0</v>
      </c>
      <c r="Q72" s="49">
        <v>1</v>
      </c>
      <c r="R72" s="49">
        <v>0</v>
      </c>
      <c r="S72" s="49">
        <v>2</v>
      </c>
      <c r="T72" s="113">
        <f t="shared" si="2"/>
        <v>2</v>
      </c>
      <c r="U72" s="118" t="s">
        <v>328</v>
      </c>
      <c r="V72" s="49" t="s">
        <v>328</v>
      </c>
      <c r="W72" s="49" t="s">
        <v>328</v>
      </c>
      <c r="X72" s="49" t="s">
        <v>328</v>
      </c>
      <c r="Y72" s="49" t="s">
        <v>328</v>
      </c>
      <c r="Z72" s="49" t="s">
        <v>328</v>
      </c>
      <c r="AA72" s="115">
        <v>0</v>
      </c>
      <c r="AB72" s="116">
        <v>0</v>
      </c>
      <c r="AC72" s="117">
        <v>0</v>
      </c>
      <c r="AD72" s="117">
        <v>85</v>
      </c>
      <c r="AE72" s="117">
        <v>0</v>
      </c>
      <c r="AF72" s="117">
        <v>170</v>
      </c>
      <c r="AG72" s="115">
        <f t="shared" si="3"/>
        <v>170</v>
      </c>
      <c r="AH72" s="118" t="s">
        <v>328</v>
      </c>
      <c r="AI72" s="49" t="s">
        <v>328</v>
      </c>
      <c r="AJ72" s="49" t="s">
        <v>328</v>
      </c>
      <c r="AK72" s="49" t="s">
        <v>328</v>
      </c>
      <c r="AL72" s="49" t="s">
        <v>328</v>
      </c>
      <c r="AM72" s="49" t="s">
        <v>328</v>
      </c>
      <c r="AN72" s="49" t="s">
        <v>328</v>
      </c>
      <c r="AO72" s="49">
        <v>0</v>
      </c>
      <c r="AP72" s="49">
        <v>0</v>
      </c>
      <c r="AQ72" s="49">
        <v>0</v>
      </c>
      <c r="AR72" s="49">
        <v>0</v>
      </c>
      <c r="AS72" s="49">
        <v>0</v>
      </c>
      <c r="AT72" s="118" t="s">
        <v>328</v>
      </c>
      <c r="AU72" s="49" t="s">
        <v>328</v>
      </c>
      <c r="AV72" s="49" t="s">
        <v>328</v>
      </c>
      <c r="AW72" s="49" t="s">
        <v>328</v>
      </c>
      <c r="AX72" s="49" t="s">
        <v>328</v>
      </c>
      <c r="AY72" s="49" t="s">
        <v>328</v>
      </c>
      <c r="AZ72" s="55" t="s">
        <v>328</v>
      </c>
      <c r="BA72" s="55" t="s">
        <v>306</v>
      </c>
      <c r="BB72" s="55" t="s">
        <v>306</v>
      </c>
      <c r="BC72" s="55" t="s">
        <v>306</v>
      </c>
      <c r="BD72" s="55">
        <v>1</v>
      </c>
      <c r="BE72" s="55">
        <v>1</v>
      </c>
      <c r="BF72" s="118" t="s">
        <v>328</v>
      </c>
      <c r="BG72" s="49" t="s">
        <v>328</v>
      </c>
      <c r="BH72" s="49" t="s">
        <v>328</v>
      </c>
      <c r="BI72" s="49" t="s">
        <v>328</v>
      </c>
      <c r="BJ72" s="49" t="s">
        <v>328</v>
      </c>
      <c r="BK72" s="49" t="s">
        <v>328</v>
      </c>
      <c r="BL72" s="49" t="s">
        <v>328</v>
      </c>
      <c r="BM72" s="49">
        <v>5</v>
      </c>
      <c r="BN72" s="49">
        <v>1</v>
      </c>
      <c r="BO72" s="49">
        <v>8</v>
      </c>
      <c r="BP72" s="49">
        <v>15</v>
      </c>
      <c r="BQ72" s="120">
        <v>0</v>
      </c>
      <c r="BR72" s="49" t="s">
        <v>328</v>
      </c>
      <c r="BS72" s="126" t="s">
        <v>328</v>
      </c>
      <c r="BT72" s="126" t="s">
        <v>328</v>
      </c>
      <c r="BU72" s="126" t="s">
        <v>328</v>
      </c>
      <c r="BV72" s="126" t="s">
        <v>328</v>
      </c>
      <c r="BW72" s="126" t="s">
        <v>328</v>
      </c>
      <c r="BX72" s="115" t="s">
        <v>328</v>
      </c>
      <c r="BY72" s="115" t="s">
        <v>149</v>
      </c>
      <c r="BZ72" s="115" t="s">
        <v>149</v>
      </c>
      <c r="CA72" s="115" t="s">
        <v>62</v>
      </c>
      <c r="CB72" s="115" t="s">
        <v>62</v>
      </c>
      <c r="CC72" s="115" t="s">
        <v>62</v>
      </c>
      <c r="CD72" s="118" t="s">
        <v>328</v>
      </c>
      <c r="CE72" s="49" t="s">
        <v>328</v>
      </c>
      <c r="CF72" s="49" t="s">
        <v>328</v>
      </c>
      <c r="CG72" s="49" t="s">
        <v>328</v>
      </c>
      <c r="CH72" s="49" t="s">
        <v>328</v>
      </c>
      <c r="CI72" s="49" t="s">
        <v>328</v>
      </c>
      <c r="CJ72" s="115" t="s">
        <v>328</v>
      </c>
      <c r="CK72" s="115" t="s">
        <v>53</v>
      </c>
      <c r="CL72" s="115" t="s">
        <v>53</v>
      </c>
      <c r="CM72" s="115" t="s">
        <v>152</v>
      </c>
      <c r="CN72" s="115" t="s">
        <v>152</v>
      </c>
      <c r="CO72" s="121" t="s">
        <v>53</v>
      </c>
      <c r="CP72" s="49" t="s">
        <v>328</v>
      </c>
      <c r="CQ72" s="49" t="s">
        <v>328</v>
      </c>
      <c r="CR72" s="49" t="s">
        <v>328</v>
      </c>
      <c r="CS72" s="49" t="s">
        <v>328</v>
      </c>
      <c r="CT72" s="49" t="s">
        <v>328</v>
      </c>
      <c r="CU72" s="49" t="s">
        <v>328</v>
      </c>
      <c r="CV72" s="115" t="s">
        <v>328</v>
      </c>
      <c r="CW72" s="115" t="s">
        <v>152</v>
      </c>
      <c r="CX72" s="115" t="s">
        <v>53</v>
      </c>
      <c r="CY72" s="115" t="s">
        <v>53</v>
      </c>
      <c r="CZ72" s="115" t="s">
        <v>53</v>
      </c>
      <c r="DA72" s="115" t="s">
        <v>53</v>
      </c>
      <c r="DB72" s="118" t="s">
        <v>328</v>
      </c>
      <c r="DC72" s="49" t="s">
        <v>328</v>
      </c>
      <c r="DD72" s="49" t="s">
        <v>328</v>
      </c>
      <c r="DE72" s="49" t="s">
        <v>328</v>
      </c>
      <c r="DF72" s="49" t="s">
        <v>328</v>
      </c>
      <c r="DG72" s="49" t="s">
        <v>328</v>
      </c>
      <c r="DH72" s="49" t="s">
        <v>328</v>
      </c>
      <c r="DI72" s="49" t="s">
        <v>328</v>
      </c>
      <c r="DJ72" s="49" t="s">
        <v>307</v>
      </c>
      <c r="DK72" s="49" t="s">
        <v>307</v>
      </c>
      <c r="DL72" s="49" t="s">
        <v>307</v>
      </c>
      <c r="DM72" s="49" t="s">
        <v>53</v>
      </c>
      <c r="DN72" s="49" t="s">
        <v>53</v>
      </c>
      <c r="DO72" s="118" t="s">
        <v>328</v>
      </c>
      <c r="DP72" s="49" t="s">
        <v>328</v>
      </c>
      <c r="DQ72" s="49" t="s">
        <v>328</v>
      </c>
      <c r="DR72" s="49" t="s">
        <v>328</v>
      </c>
      <c r="DS72" s="49" t="s">
        <v>328</v>
      </c>
      <c r="DT72" s="49" t="s">
        <v>328</v>
      </c>
      <c r="DU72" s="49" t="s">
        <v>328</v>
      </c>
      <c r="DV72" s="49" t="s">
        <v>328</v>
      </c>
      <c r="DW72" s="49" t="s">
        <v>315</v>
      </c>
      <c r="DX72" s="49" t="s">
        <v>315</v>
      </c>
      <c r="DY72" s="49" t="s">
        <v>316</v>
      </c>
      <c r="DZ72" s="49" t="s">
        <v>314</v>
      </c>
      <c r="EA72" s="118" t="s">
        <v>62</v>
      </c>
      <c r="EB72" s="49" t="s">
        <v>49</v>
      </c>
      <c r="EC72" s="49" t="s">
        <v>49</v>
      </c>
      <c r="ED72" s="49" t="s">
        <v>49</v>
      </c>
      <c r="EE72" s="49" t="s">
        <v>49</v>
      </c>
      <c r="EF72" s="49" t="s">
        <v>49</v>
      </c>
      <c r="EG72" s="120" t="s">
        <v>49</v>
      </c>
      <c r="EH72" s="117">
        <v>5</v>
      </c>
      <c r="EI72" s="117">
        <v>0</v>
      </c>
      <c r="EJ72" s="55">
        <v>0</v>
      </c>
      <c r="EK72" s="55">
        <v>0.02</v>
      </c>
      <c r="EL72" s="55">
        <v>0</v>
      </c>
      <c r="EM72" s="55">
        <v>0</v>
      </c>
      <c r="EN72" s="55">
        <v>0.02</v>
      </c>
      <c r="EO72" s="122">
        <v>0.02</v>
      </c>
      <c r="EP72" s="117">
        <v>0</v>
      </c>
      <c r="EQ72" s="117">
        <v>0</v>
      </c>
      <c r="ER72" s="49"/>
      <c r="ES72" s="49"/>
      <c r="ET72" s="49"/>
      <c r="EU72" s="49"/>
    </row>
    <row r="73" customFormat="1" ht="22.5" customHeight="1" spans="1:151">
      <c r="A73" s="108">
        <v>12473</v>
      </c>
      <c r="B73" s="109" t="s">
        <v>390</v>
      </c>
      <c r="C73" s="110">
        <v>46135</v>
      </c>
      <c r="D73" s="111">
        <f>IF(_xlfn.XLOOKUP(A73,[1]分配表!J:J,[1]分配表!M:M)=0,"未出单",_xlfn.XLOOKUP(A73,[1]分配表!J:J,[1]分配表!M:M))</f>
        <v>46154</v>
      </c>
      <c r="E73" s="112" t="str">
        <f>_xlfn.XLOOKUP(A73,[1]分配表!A:A,[1]分配表!C:C)</f>
        <v>张潇</v>
      </c>
      <c r="F73" s="112" t="str">
        <f>IF(_xlfn.XLOOKUP($A73,[1]分配表!$A:$A,[1]分配表!D:D)=0,"未分类",_xlfn.XLOOKUP($A73,[1]分配表!$A:$A,[1]分配表!D:D))</f>
        <v>机盖及附件</v>
      </c>
      <c r="G73" s="112" t="str">
        <f>_xlfn.XLOOKUP(A73,[1]分配表!J:J,[1]分配表!I:I)</f>
        <v>原开品</v>
      </c>
      <c r="H73" s="49" t="s">
        <v>328</v>
      </c>
      <c r="I73" s="49" t="s">
        <v>328</v>
      </c>
      <c r="J73" s="49" t="s">
        <v>328</v>
      </c>
      <c r="K73" s="49" t="s">
        <v>328</v>
      </c>
      <c r="L73" s="49" t="s">
        <v>328</v>
      </c>
      <c r="M73" s="49" t="s">
        <v>328</v>
      </c>
      <c r="N73" s="49" t="s">
        <v>328</v>
      </c>
      <c r="O73" s="49">
        <v>0</v>
      </c>
      <c r="P73" s="49">
        <v>0</v>
      </c>
      <c r="Q73" s="49">
        <v>2</v>
      </c>
      <c r="R73" s="49">
        <v>3</v>
      </c>
      <c r="S73" s="49">
        <v>8</v>
      </c>
      <c r="T73" s="113">
        <f t="shared" si="2"/>
        <v>5</v>
      </c>
      <c r="U73" s="118" t="s">
        <v>328</v>
      </c>
      <c r="V73" s="49" t="s">
        <v>328</v>
      </c>
      <c r="W73" s="49" t="s">
        <v>328</v>
      </c>
      <c r="X73" s="49" t="s">
        <v>328</v>
      </c>
      <c r="Y73" s="49" t="s">
        <v>328</v>
      </c>
      <c r="Z73" s="49" t="s">
        <v>328</v>
      </c>
      <c r="AA73" s="115">
        <v>0</v>
      </c>
      <c r="AB73" s="116">
        <v>0</v>
      </c>
      <c r="AC73" s="117">
        <v>0</v>
      </c>
      <c r="AD73" s="117">
        <v>198.2</v>
      </c>
      <c r="AE73" s="117">
        <v>297.6</v>
      </c>
      <c r="AF73" s="117">
        <v>793.6</v>
      </c>
      <c r="AG73" s="115">
        <f t="shared" si="3"/>
        <v>496</v>
      </c>
      <c r="AH73" s="118" t="s">
        <v>328</v>
      </c>
      <c r="AI73" s="49" t="s">
        <v>328</v>
      </c>
      <c r="AJ73" s="49" t="s">
        <v>328</v>
      </c>
      <c r="AK73" s="49" t="s">
        <v>328</v>
      </c>
      <c r="AL73" s="49" t="s">
        <v>328</v>
      </c>
      <c r="AM73" s="49" t="s">
        <v>328</v>
      </c>
      <c r="AN73" s="49" t="s">
        <v>328</v>
      </c>
      <c r="AO73" s="49">
        <v>0</v>
      </c>
      <c r="AP73" s="49">
        <v>0</v>
      </c>
      <c r="AQ73" s="49">
        <v>0</v>
      </c>
      <c r="AR73" s="49">
        <v>0</v>
      </c>
      <c r="AS73" s="49">
        <v>0</v>
      </c>
      <c r="AT73" s="118" t="s">
        <v>328</v>
      </c>
      <c r="AU73" s="49" t="s">
        <v>328</v>
      </c>
      <c r="AV73" s="49" t="s">
        <v>328</v>
      </c>
      <c r="AW73" s="49" t="s">
        <v>328</v>
      </c>
      <c r="AX73" s="49" t="s">
        <v>328</v>
      </c>
      <c r="AY73" s="49" t="s">
        <v>328</v>
      </c>
      <c r="AZ73" s="55" t="s">
        <v>328</v>
      </c>
      <c r="BA73" s="55" t="s">
        <v>306</v>
      </c>
      <c r="BB73" s="55" t="s">
        <v>306</v>
      </c>
      <c r="BC73" s="55" t="s">
        <v>306</v>
      </c>
      <c r="BD73" s="55">
        <v>1</v>
      </c>
      <c r="BE73" s="55">
        <v>1</v>
      </c>
      <c r="BF73" s="118" t="s">
        <v>328</v>
      </c>
      <c r="BG73" s="49" t="s">
        <v>328</v>
      </c>
      <c r="BH73" s="49" t="s">
        <v>328</v>
      </c>
      <c r="BI73" s="49" t="s">
        <v>328</v>
      </c>
      <c r="BJ73" s="49" t="s">
        <v>328</v>
      </c>
      <c r="BK73" s="49" t="s">
        <v>328</v>
      </c>
      <c r="BL73" s="49" t="s">
        <v>328</v>
      </c>
      <c r="BM73" s="49">
        <v>0</v>
      </c>
      <c r="BN73" s="49">
        <v>7</v>
      </c>
      <c r="BO73" s="49">
        <v>2</v>
      </c>
      <c r="BP73" s="49">
        <v>9</v>
      </c>
      <c r="BQ73" s="120">
        <v>1</v>
      </c>
      <c r="BR73" s="49" t="s">
        <v>328</v>
      </c>
      <c r="BS73" s="126" t="s">
        <v>328</v>
      </c>
      <c r="BT73" s="126" t="s">
        <v>328</v>
      </c>
      <c r="BU73" s="126" t="s">
        <v>328</v>
      </c>
      <c r="BV73" s="126" t="s">
        <v>328</v>
      </c>
      <c r="BW73" s="126" t="s">
        <v>328</v>
      </c>
      <c r="BX73" s="115" t="s">
        <v>328</v>
      </c>
      <c r="BY73" s="115" t="s">
        <v>149</v>
      </c>
      <c r="BZ73" s="115" t="s">
        <v>149</v>
      </c>
      <c r="CA73" s="115" t="s">
        <v>62</v>
      </c>
      <c r="CB73" s="115" t="s">
        <v>62</v>
      </c>
      <c r="CC73" s="115" t="s">
        <v>62</v>
      </c>
      <c r="CD73" s="118" t="s">
        <v>328</v>
      </c>
      <c r="CE73" s="49" t="s">
        <v>328</v>
      </c>
      <c r="CF73" s="49" t="s">
        <v>328</v>
      </c>
      <c r="CG73" s="49" t="s">
        <v>328</v>
      </c>
      <c r="CH73" s="49" t="s">
        <v>328</v>
      </c>
      <c r="CI73" s="49" t="s">
        <v>328</v>
      </c>
      <c r="CJ73" s="115" t="s">
        <v>328</v>
      </c>
      <c r="CK73" s="115" t="s">
        <v>53</v>
      </c>
      <c r="CL73" s="115" t="s">
        <v>53</v>
      </c>
      <c r="CM73" s="115" t="s">
        <v>53</v>
      </c>
      <c r="CN73" s="115" t="s">
        <v>152</v>
      </c>
      <c r="CO73" s="121" t="s">
        <v>53</v>
      </c>
      <c r="CP73" s="49" t="s">
        <v>328</v>
      </c>
      <c r="CQ73" s="49" t="s">
        <v>328</v>
      </c>
      <c r="CR73" s="49" t="s">
        <v>328</v>
      </c>
      <c r="CS73" s="49" t="s">
        <v>328</v>
      </c>
      <c r="CT73" s="49" t="s">
        <v>328</v>
      </c>
      <c r="CU73" s="49" t="s">
        <v>328</v>
      </c>
      <c r="CV73" s="115" t="s">
        <v>328</v>
      </c>
      <c r="CW73" s="115" t="s">
        <v>53</v>
      </c>
      <c r="CX73" s="115" t="s">
        <v>53</v>
      </c>
      <c r="CY73" s="115" t="s">
        <v>53</v>
      </c>
      <c r="CZ73" s="115" t="s">
        <v>53</v>
      </c>
      <c r="DA73" s="115" t="s">
        <v>53</v>
      </c>
      <c r="DB73" s="118" t="s">
        <v>328</v>
      </c>
      <c r="DC73" s="49" t="s">
        <v>328</v>
      </c>
      <c r="DD73" s="49" t="s">
        <v>328</v>
      </c>
      <c r="DE73" s="49" t="s">
        <v>328</v>
      </c>
      <c r="DF73" s="49" t="s">
        <v>328</v>
      </c>
      <c r="DG73" s="49" t="s">
        <v>328</v>
      </c>
      <c r="DH73" s="49" t="s">
        <v>328</v>
      </c>
      <c r="DI73" s="49" t="s">
        <v>328</v>
      </c>
      <c r="DJ73" s="49" t="s">
        <v>307</v>
      </c>
      <c r="DK73" s="49" t="s">
        <v>307</v>
      </c>
      <c r="DL73" s="49" t="s">
        <v>156</v>
      </c>
      <c r="DM73" s="49" t="s">
        <v>53</v>
      </c>
      <c r="DN73" s="49" t="s">
        <v>53</v>
      </c>
      <c r="DO73" s="118" t="s">
        <v>328</v>
      </c>
      <c r="DP73" s="49" t="s">
        <v>328</v>
      </c>
      <c r="DQ73" s="49" t="s">
        <v>328</v>
      </c>
      <c r="DR73" s="49" t="s">
        <v>328</v>
      </c>
      <c r="DS73" s="49" t="s">
        <v>328</v>
      </c>
      <c r="DT73" s="49" t="s">
        <v>328</v>
      </c>
      <c r="DU73" s="49" t="s">
        <v>328</v>
      </c>
      <c r="DV73" s="49" t="s">
        <v>328</v>
      </c>
      <c r="DW73" s="49" t="s">
        <v>58</v>
      </c>
      <c r="DX73" s="49" t="s">
        <v>331</v>
      </c>
      <c r="DY73" s="49" t="s">
        <v>58</v>
      </c>
      <c r="DZ73" s="49" t="s">
        <v>310</v>
      </c>
      <c r="EA73" s="118" t="s">
        <v>62</v>
      </c>
      <c r="EB73" s="49" t="s">
        <v>62</v>
      </c>
      <c r="EC73" s="49" t="s">
        <v>62</v>
      </c>
      <c r="ED73" s="49" t="s">
        <v>62</v>
      </c>
      <c r="EE73" s="49" t="s">
        <v>62</v>
      </c>
      <c r="EF73" s="49" t="s">
        <v>62</v>
      </c>
      <c r="EG73" s="120" t="s">
        <v>62</v>
      </c>
      <c r="EH73" s="117">
        <v>0</v>
      </c>
      <c r="EI73" s="117">
        <v>0</v>
      </c>
      <c r="EJ73" s="55">
        <v>0</v>
      </c>
      <c r="EK73" s="55">
        <v>0.02</v>
      </c>
      <c r="EL73" s="55">
        <v>0.02</v>
      </c>
      <c r="EM73" s="55">
        <v>0.02</v>
      </c>
      <c r="EN73" s="55">
        <v>0.02</v>
      </c>
      <c r="EO73" s="122">
        <v>0.02</v>
      </c>
      <c r="EP73" s="117">
        <v>12.67</v>
      </c>
      <c r="EQ73" s="117">
        <v>633.85</v>
      </c>
      <c r="ER73" s="49"/>
      <c r="ES73" s="49"/>
      <c r="ET73" s="49"/>
      <c r="EU73" s="49"/>
    </row>
    <row r="74" customFormat="1" ht="22.5" customHeight="1" spans="1:151">
      <c r="A74" s="108">
        <v>12464</v>
      </c>
      <c r="B74" s="109" t="s">
        <v>78</v>
      </c>
      <c r="C74" s="110">
        <v>46135</v>
      </c>
      <c r="D74" s="111">
        <f>IF(_xlfn.XLOOKUP(A74,[1]分配表!J:J,[1]分配表!M:M)=0,"未出单",_xlfn.XLOOKUP(A74,[1]分配表!J:J,[1]分配表!M:M))</f>
        <v>46135</v>
      </c>
      <c r="E74" s="112" t="str">
        <f>_xlfn.XLOOKUP(A74,[1]分配表!A:A,[1]分配表!C:C)</f>
        <v>俞东旭</v>
      </c>
      <c r="F74" s="112" t="str">
        <f>IF(_xlfn.XLOOKUP($A74,[1]分配表!$A:$A,[1]分配表!D:D)=0,"未分类",_xlfn.XLOOKUP($A74,[1]分配表!$A:$A,[1]分配表!D:D))</f>
        <v>车身外扩件</v>
      </c>
      <c r="G74" s="112" t="str">
        <f>_xlfn.XLOOKUP(A74,[1]分配表!J:J,[1]分配表!I:I)</f>
        <v>原开品</v>
      </c>
      <c r="H74" s="49" t="s">
        <v>328</v>
      </c>
      <c r="I74" s="49" t="s">
        <v>328</v>
      </c>
      <c r="J74" s="49" t="s">
        <v>328</v>
      </c>
      <c r="K74" s="49" t="s">
        <v>328</v>
      </c>
      <c r="L74" s="49" t="s">
        <v>328</v>
      </c>
      <c r="M74" s="49" t="s">
        <v>328</v>
      </c>
      <c r="N74" s="49" t="s">
        <v>328</v>
      </c>
      <c r="O74" s="49">
        <v>5</v>
      </c>
      <c r="P74" s="49">
        <v>0</v>
      </c>
      <c r="Q74" s="49">
        <v>3</v>
      </c>
      <c r="R74" s="49">
        <v>0</v>
      </c>
      <c r="S74" s="49">
        <v>2</v>
      </c>
      <c r="T74" s="113">
        <f t="shared" si="2"/>
        <v>2</v>
      </c>
      <c r="U74" s="118" t="s">
        <v>328</v>
      </c>
      <c r="V74" s="49" t="s">
        <v>328</v>
      </c>
      <c r="W74" s="49" t="s">
        <v>328</v>
      </c>
      <c r="X74" s="49" t="s">
        <v>328</v>
      </c>
      <c r="Y74" s="49" t="s">
        <v>328</v>
      </c>
      <c r="Z74" s="49" t="s">
        <v>328</v>
      </c>
      <c r="AA74" s="115">
        <v>0</v>
      </c>
      <c r="AB74" s="116">
        <v>625</v>
      </c>
      <c r="AC74" s="117">
        <v>0</v>
      </c>
      <c r="AD74" s="117">
        <v>375</v>
      </c>
      <c r="AE74" s="117">
        <v>0</v>
      </c>
      <c r="AF74" s="117">
        <v>250</v>
      </c>
      <c r="AG74" s="115">
        <f t="shared" si="3"/>
        <v>250</v>
      </c>
      <c r="AH74" s="118" t="s">
        <v>328</v>
      </c>
      <c r="AI74" s="49" t="s">
        <v>328</v>
      </c>
      <c r="AJ74" s="49" t="s">
        <v>328</v>
      </c>
      <c r="AK74" s="49" t="s">
        <v>328</v>
      </c>
      <c r="AL74" s="49" t="s">
        <v>328</v>
      </c>
      <c r="AM74" s="49" t="s">
        <v>328</v>
      </c>
      <c r="AN74" s="49" t="s">
        <v>328</v>
      </c>
      <c r="AO74" s="49">
        <v>1</v>
      </c>
      <c r="AP74" s="49">
        <v>0</v>
      </c>
      <c r="AQ74" s="49">
        <v>0</v>
      </c>
      <c r="AR74" s="49">
        <v>1</v>
      </c>
      <c r="AS74" s="49">
        <v>2</v>
      </c>
      <c r="AT74" s="118" t="s">
        <v>328</v>
      </c>
      <c r="AU74" s="49" t="s">
        <v>328</v>
      </c>
      <c r="AV74" s="49" t="s">
        <v>328</v>
      </c>
      <c r="AW74" s="49" t="s">
        <v>328</v>
      </c>
      <c r="AX74" s="49" t="s">
        <v>328</v>
      </c>
      <c r="AY74" s="49" t="s">
        <v>328</v>
      </c>
      <c r="AZ74" s="55" t="s">
        <v>328</v>
      </c>
      <c r="BA74" s="55">
        <v>0.75</v>
      </c>
      <c r="BB74" s="55">
        <v>1</v>
      </c>
      <c r="BC74" s="55">
        <v>1</v>
      </c>
      <c r="BD74" s="55">
        <v>0.5</v>
      </c>
      <c r="BE74" s="55">
        <v>0.5</v>
      </c>
      <c r="BF74" s="118" t="s">
        <v>328</v>
      </c>
      <c r="BG74" s="49" t="s">
        <v>328</v>
      </c>
      <c r="BH74" s="49" t="s">
        <v>328</v>
      </c>
      <c r="BI74" s="49" t="s">
        <v>328</v>
      </c>
      <c r="BJ74" s="49" t="s">
        <v>328</v>
      </c>
      <c r="BK74" s="49" t="s">
        <v>328</v>
      </c>
      <c r="BL74" s="49" t="s">
        <v>328</v>
      </c>
      <c r="BM74" s="49">
        <v>1</v>
      </c>
      <c r="BN74" s="49">
        <v>8</v>
      </c>
      <c r="BO74" s="49">
        <v>1</v>
      </c>
      <c r="BP74" s="49">
        <v>8</v>
      </c>
      <c r="BQ74" s="120">
        <v>15</v>
      </c>
      <c r="BR74" s="49" t="s">
        <v>328</v>
      </c>
      <c r="BS74" s="126" t="s">
        <v>328</v>
      </c>
      <c r="BT74" s="126" t="s">
        <v>328</v>
      </c>
      <c r="BU74" s="126" t="s">
        <v>328</v>
      </c>
      <c r="BV74" s="126" t="s">
        <v>328</v>
      </c>
      <c r="BW74" s="126" t="s">
        <v>328</v>
      </c>
      <c r="BX74" s="115" t="s">
        <v>328</v>
      </c>
      <c r="BY74" s="115" t="s">
        <v>49</v>
      </c>
      <c r="BZ74" s="115" t="s">
        <v>49</v>
      </c>
      <c r="CA74" s="115" t="s">
        <v>49</v>
      </c>
      <c r="CB74" s="115" t="s">
        <v>49</v>
      </c>
      <c r="CC74" s="115" t="s">
        <v>49</v>
      </c>
      <c r="CD74" s="118" t="s">
        <v>328</v>
      </c>
      <c r="CE74" s="49" t="s">
        <v>328</v>
      </c>
      <c r="CF74" s="49" t="s">
        <v>328</v>
      </c>
      <c r="CG74" s="49" t="s">
        <v>328</v>
      </c>
      <c r="CH74" s="49" t="s">
        <v>328</v>
      </c>
      <c r="CI74" s="49" t="s">
        <v>328</v>
      </c>
      <c r="CJ74" s="115" t="s">
        <v>328</v>
      </c>
      <c r="CK74" s="115" t="s">
        <v>53</v>
      </c>
      <c r="CL74" s="115" t="s">
        <v>53</v>
      </c>
      <c r="CM74" s="115" t="s">
        <v>53</v>
      </c>
      <c r="CN74" s="115" t="s">
        <v>152</v>
      </c>
      <c r="CO74" s="121" t="s">
        <v>152</v>
      </c>
      <c r="CP74" s="49" t="s">
        <v>328</v>
      </c>
      <c r="CQ74" s="49" t="s">
        <v>328</v>
      </c>
      <c r="CR74" s="49" t="s">
        <v>328</v>
      </c>
      <c r="CS74" s="49" t="s">
        <v>328</v>
      </c>
      <c r="CT74" s="49" t="s">
        <v>328</v>
      </c>
      <c r="CU74" s="49" t="s">
        <v>328</v>
      </c>
      <c r="CV74" s="115" t="s">
        <v>328</v>
      </c>
      <c r="CW74" s="115" t="s">
        <v>53</v>
      </c>
      <c r="CX74" s="115" t="s">
        <v>53</v>
      </c>
      <c r="CY74" s="115" t="s">
        <v>53</v>
      </c>
      <c r="CZ74" s="115" t="s">
        <v>53</v>
      </c>
      <c r="DA74" s="115" t="s">
        <v>53</v>
      </c>
      <c r="DB74" s="118" t="s">
        <v>328</v>
      </c>
      <c r="DC74" s="49" t="s">
        <v>328</v>
      </c>
      <c r="DD74" s="49" t="s">
        <v>328</v>
      </c>
      <c r="DE74" s="49" t="s">
        <v>328</v>
      </c>
      <c r="DF74" s="49" t="s">
        <v>328</v>
      </c>
      <c r="DG74" s="49" t="s">
        <v>328</v>
      </c>
      <c r="DH74" s="49" t="s">
        <v>328</v>
      </c>
      <c r="DI74" s="49" t="s">
        <v>328</v>
      </c>
      <c r="DJ74" s="49" t="s">
        <v>53</v>
      </c>
      <c r="DK74" s="49" t="s">
        <v>53</v>
      </c>
      <c r="DL74" s="49" t="s">
        <v>53</v>
      </c>
      <c r="DM74" s="49" t="s">
        <v>313</v>
      </c>
      <c r="DN74" s="49" t="s">
        <v>313</v>
      </c>
      <c r="DO74" s="118" t="s">
        <v>328</v>
      </c>
      <c r="DP74" s="49" t="s">
        <v>328</v>
      </c>
      <c r="DQ74" s="49" t="s">
        <v>328</v>
      </c>
      <c r="DR74" s="49" t="s">
        <v>328</v>
      </c>
      <c r="DS74" s="49" t="s">
        <v>328</v>
      </c>
      <c r="DT74" s="49" t="s">
        <v>328</v>
      </c>
      <c r="DU74" s="49" t="s">
        <v>328</v>
      </c>
      <c r="DV74" s="49" t="s">
        <v>328</v>
      </c>
      <c r="DW74" s="49" t="s">
        <v>58</v>
      </c>
      <c r="DX74" s="49" t="s">
        <v>58</v>
      </c>
      <c r="DY74" s="49" t="s">
        <v>58</v>
      </c>
      <c r="DZ74" s="49" t="s">
        <v>310</v>
      </c>
      <c r="EA74" s="118" t="s">
        <v>62</v>
      </c>
      <c r="EB74" s="49" t="s">
        <v>49</v>
      </c>
      <c r="EC74" s="49" t="s">
        <v>49</v>
      </c>
      <c r="ED74" s="49" t="s">
        <v>49</v>
      </c>
      <c r="EE74" s="49" t="s">
        <v>49</v>
      </c>
      <c r="EF74" s="49" t="s">
        <v>49</v>
      </c>
      <c r="EG74" s="120" t="s">
        <v>49</v>
      </c>
      <c r="EH74" s="117">
        <v>5.09</v>
      </c>
      <c r="EI74" s="117">
        <v>133.44</v>
      </c>
      <c r="EJ74" s="55">
        <v>0</v>
      </c>
      <c r="EK74" s="55">
        <v>0.02</v>
      </c>
      <c r="EL74" s="55">
        <v>0.02</v>
      </c>
      <c r="EM74" s="55">
        <v>0.02</v>
      </c>
      <c r="EN74" s="55">
        <v>0.02</v>
      </c>
      <c r="EO74" s="122">
        <v>0.02</v>
      </c>
      <c r="EP74" s="117">
        <v>2.65</v>
      </c>
      <c r="EQ74" s="117">
        <v>132.5</v>
      </c>
      <c r="ER74" s="49"/>
      <c r="ES74" s="49"/>
      <c r="ET74" s="49"/>
      <c r="EU74" s="49"/>
    </row>
    <row r="75" customFormat="1" ht="22.5" customHeight="1" spans="1:151">
      <c r="A75" s="108">
        <v>12540</v>
      </c>
      <c r="B75" s="109" t="s">
        <v>391</v>
      </c>
      <c r="C75" s="110">
        <v>46135</v>
      </c>
      <c r="D75" s="111">
        <f>IF(_xlfn.XLOOKUP(A75,[1]分配表!J:J,[1]分配表!M:M)=0,"未出单",_xlfn.XLOOKUP(A75,[1]分配表!J:J,[1]分配表!M:M))</f>
        <v>46157</v>
      </c>
      <c r="E75" s="112" t="str">
        <f>_xlfn.XLOOKUP(A75,[1]分配表!A:A,[1]分配表!C:C)</f>
        <v>胡煜星</v>
      </c>
      <c r="F75" s="112" t="str">
        <f>IF(_xlfn.XLOOKUP($A75,[1]分配表!$A:$A,[1]分配表!D:D)=0,"未分类",_xlfn.XLOOKUP($A75,[1]分配表!$A:$A,[1]分配表!D:D))</f>
        <v>其他</v>
      </c>
      <c r="G75" s="112" t="str">
        <f>_xlfn.XLOOKUP(A75,[1]分配表!J:J,[1]分配表!I:I)</f>
        <v>原开品</v>
      </c>
      <c r="H75" s="49" t="s">
        <v>328</v>
      </c>
      <c r="I75" s="49" t="s">
        <v>328</v>
      </c>
      <c r="J75" s="49" t="s">
        <v>328</v>
      </c>
      <c r="K75" s="49" t="s">
        <v>328</v>
      </c>
      <c r="L75" s="49" t="s">
        <v>328</v>
      </c>
      <c r="M75" s="49" t="s">
        <v>328</v>
      </c>
      <c r="N75" s="49" t="s">
        <v>328</v>
      </c>
      <c r="O75" s="49">
        <v>0</v>
      </c>
      <c r="P75" s="49">
        <v>0</v>
      </c>
      <c r="Q75" s="49">
        <v>0</v>
      </c>
      <c r="R75" s="49">
        <v>1</v>
      </c>
      <c r="S75" s="49">
        <v>1</v>
      </c>
      <c r="T75" s="113">
        <f t="shared" si="2"/>
        <v>0</v>
      </c>
      <c r="U75" s="118" t="s">
        <v>328</v>
      </c>
      <c r="V75" s="49" t="s">
        <v>328</v>
      </c>
      <c r="W75" s="49" t="s">
        <v>328</v>
      </c>
      <c r="X75" s="49" t="s">
        <v>328</v>
      </c>
      <c r="Y75" s="49" t="s">
        <v>328</v>
      </c>
      <c r="Z75" s="49" t="s">
        <v>328</v>
      </c>
      <c r="AA75" s="115">
        <v>0</v>
      </c>
      <c r="AB75" s="116">
        <v>0</v>
      </c>
      <c r="AC75" s="117">
        <v>0</v>
      </c>
      <c r="AD75" s="117">
        <v>0</v>
      </c>
      <c r="AE75" s="117">
        <v>60</v>
      </c>
      <c r="AF75" s="117">
        <v>60</v>
      </c>
      <c r="AG75" s="115">
        <f t="shared" si="3"/>
        <v>0</v>
      </c>
      <c r="AH75" s="118" t="s">
        <v>328</v>
      </c>
      <c r="AI75" s="49" t="s">
        <v>328</v>
      </c>
      <c r="AJ75" s="49" t="s">
        <v>328</v>
      </c>
      <c r="AK75" s="49" t="s">
        <v>328</v>
      </c>
      <c r="AL75" s="49" t="s">
        <v>328</v>
      </c>
      <c r="AM75" s="49" t="s">
        <v>328</v>
      </c>
      <c r="AN75" s="49" t="s">
        <v>328</v>
      </c>
      <c r="AO75" s="49">
        <v>0</v>
      </c>
      <c r="AP75" s="49">
        <v>0</v>
      </c>
      <c r="AQ75" s="49">
        <v>0</v>
      </c>
      <c r="AR75" s="49">
        <v>0</v>
      </c>
      <c r="AS75" s="49">
        <v>0</v>
      </c>
      <c r="AT75" s="118" t="s">
        <v>328</v>
      </c>
      <c r="AU75" s="49" t="s">
        <v>328</v>
      </c>
      <c r="AV75" s="49" t="s">
        <v>328</v>
      </c>
      <c r="AW75" s="49" t="s">
        <v>328</v>
      </c>
      <c r="AX75" s="49" t="s">
        <v>328</v>
      </c>
      <c r="AY75" s="49" t="s">
        <v>328</v>
      </c>
      <c r="AZ75" s="55" t="s">
        <v>328</v>
      </c>
      <c r="BA75" s="55" t="s">
        <v>306</v>
      </c>
      <c r="BB75" s="55" t="s">
        <v>306</v>
      </c>
      <c r="BC75" s="55" t="s">
        <v>306</v>
      </c>
      <c r="BD75" s="55">
        <v>1</v>
      </c>
      <c r="BE75" s="55" t="s">
        <v>306</v>
      </c>
      <c r="BF75" s="118" t="s">
        <v>328</v>
      </c>
      <c r="BG75" s="49" t="s">
        <v>328</v>
      </c>
      <c r="BH75" s="49" t="s">
        <v>328</v>
      </c>
      <c r="BI75" s="49" t="s">
        <v>328</v>
      </c>
      <c r="BJ75" s="49" t="s">
        <v>328</v>
      </c>
      <c r="BK75" s="49" t="s">
        <v>328</v>
      </c>
      <c r="BL75" s="49" t="s">
        <v>328</v>
      </c>
      <c r="BM75" s="49">
        <v>6</v>
      </c>
      <c r="BN75" s="49">
        <v>0</v>
      </c>
      <c r="BO75" s="49">
        <v>1</v>
      </c>
      <c r="BP75" s="49">
        <v>2</v>
      </c>
      <c r="BQ75" s="120">
        <v>9</v>
      </c>
      <c r="BR75" s="49" t="s">
        <v>328</v>
      </c>
      <c r="BS75" s="126" t="s">
        <v>328</v>
      </c>
      <c r="BT75" s="126" t="s">
        <v>328</v>
      </c>
      <c r="BU75" s="126" t="s">
        <v>328</v>
      </c>
      <c r="BV75" s="126" t="s">
        <v>328</v>
      </c>
      <c r="BW75" s="126" t="s">
        <v>328</v>
      </c>
      <c r="BX75" s="115" t="s">
        <v>328</v>
      </c>
      <c r="BY75" s="115" t="s">
        <v>149</v>
      </c>
      <c r="BZ75" s="115" t="s">
        <v>149</v>
      </c>
      <c r="CA75" s="115" t="s">
        <v>149</v>
      </c>
      <c r="CB75" s="115" t="s">
        <v>62</v>
      </c>
      <c r="CC75" s="115" t="s">
        <v>62</v>
      </c>
      <c r="CD75" s="118" t="s">
        <v>328</v>
      </c>
      <c r="CE75" s="49" t="s">
        <v>328</v>
      </c>
      <c r="CF75" s="49" t="s">
        <v>328</v>
      </c>
      <c r="CG75" s="49" t="s">
        <v>328</v>
      </c>
      <c r="CH75" s="49" t="s">
        <v>328</v>
      </c>
      <c r="CI75" s="49" t="s">
        <v>328</v>
      </c>
      <c r="CJ75" s="115" t="s">
        <v>328</v>
      </c>
      <c r="CK75" s="115" t="s">
        <v>53</v>
      </c>
      <c r="CL75" s="115" t="s">
        <v>53</v>
      </c>
      <c r="CM75" s="115" t="s">
        <v>53</v>
      </c>
      <c r="CN75" s="115" t="s">
        <v>53</v>
      </c>
      <c r="CO75" s="121" t="s">
        <v>53</v>
      </c>
      <c r="CP75" s="49" t="s">
        <v>328</v>
      </c>
      <c r="CQ75" s="49" t="s">
        <v>328</v>
      </c>
      <c r="CR75" s="49" t="s">
        <v>328</v>
      </c>
      <c r="CS75" s="49" t="s">
        <v>328</v>
      </c>
      <c r="CT75" s="49" t="s">
        <v>328</v>
      </c>
      <c r="CU75" s="49" t="s">
        <v>328</v>
      </c>
      <c r="CV75" s="115" t="s">
        <v>328</v>
      </c>
      <c r="CW75" s="115" t="s">
        <v>152</v>
      </c>
      <c r="CX75" s="115" t="s">
        <v>53</v>
      </c>
      <c r="CY75" s="115" t="s">
        <v>53</v>
      </c>
      <c r="CZ75" s="115" t="s">
        <v>53</v>
      </c>
      <c r="DA75" s="115" t="s">
        <v>53</v>
      </c>
      <c r="DB75" s="118" t="s">
        <v>328</v>
      </c>
      <c r="DC75" s="49" t="s">
        <v>328</v>
      </c>
      <c r="DD75" s="49" t="s">
        <v>328</v>
      </c>
      <c r="DE75" s="49" t="s">
        <v>328</v>
      </c>
      <c r="DF75" s="49" t="s">
        <v>328</v>
      </c>
      <c r="DG75" s="49" t="s">
        <v>328</v>
      </c>
      <c r="DH75" s="49" t="s">
        <v>328</v>
      </c>
      <c r="DI75" s="49" t="s">
        <v>328</v>
      </c>
      <c r="DJ75" s="49" t="s">
        <v>307</v>
      </c>
      <c r="DK75" s="49" t="s">
        <v>307</v>
      </c>
      <c r="DL75" s="49" t="s">
        <v>156</v>
      </c>
      <c r="DM75" s="49" t="s">
        <v>53</v>
      </c>
      <c r="DN75" s="49" t="s">
        <v>156</v>
      </c>
      <c r="DO75" s="118" t="s">
        <v>328</v>
      </c>
      <c r="DP75" s="49" t="s">
        <v>328</v>
      </c>
      <c r="DQ75" s="49" t="s">
        <v>328</v>
      </c>
      <c r="DR75" s="49" t="s">
        <v>328</v>
      </c>
      <c r="DS75" s="49" t="s">
        <v>328</v>
      </c>
      <c r="DT75" s="49" t="s">
        <v>328</v>
      </c>
      <c r="DU75" s="49" t="s">
        <v>328</v>
      </c>
      <c r="DV75" s="49" t="s">
        <v>328</v>
      </c>
      <c r="DW75" s="49" t="s">
        <v>310</v>
      </c>
      <c r="DX75" s="49" t="s">
        <v>331</v>
      </c>
      <c r="DY75" s="49" t="s">
        <v>310</v>
      </c>
      <c r="DZ75" s="49" t="s">
        <v>58</v>
      </c>
      <c r="EA75" s="118" t="s">
        <v>62</v>
      </c>
      <c r="EB75" s="49" t="s">
        <v>49</v>
      </c>
      <c r="EC75" s="49" t="s">
        <v>49</v>
      </c>
      <c r="ED75" s="49" t="s">
        <v>49</v>
      </c>
      <c r="EE75" s="49" t="s">
        <v>49</v>
      </c>
      <c r="EF75" s="49" t="s">
        <v>49</v>
      </c>
      <c r="EG75" s="120" t="s">
        <v>49</v>
      </c>
      <c r="EH75" s="117">
        <v>1.42</v>
      </c>
      <c r="EI75" s="117">
        <v>0</v>
      </c>
      <c r="EJ75" s="55">
        <v>0</v>
      </c>
      <c r="EK75" s="55">
        <v>0.02</v>
      </c>
      <c r="EL75" s="55">
        <v>0</v>
      </c>
      <c r="EM75" s="55">
        <v>0.02</v>
      </c>
      <c r="EN75" s="55">
        <v>0.02</v>
      </c>
      <c r="EO75" s="122">
        <v>0.02</v>
      </c>
      <c r="EP75" s="117">
        <v>0</v>
      </c>
      <c r="EQ75" s="117">
        <v>0</v>
      </c>
      <c r="ER75" s="49"/>
      <c r="ES75" s="49"/>
      <c r="ET75" s="49"/>
      <c r="EU75" s="49"/>
    </row>
    <row r="76" customFormat="1" ht="22.5" customHeight="1" spans="1:151">
      <c r="A76" s="108">
        <v>12541</v>
      </c>
      <c r="B76" s="109" t="s">
        <v>392</v>
      </c>
      <c r="C76" s="110">
        <v>46135</v>
      </c>
      <c r="D76" s="111">
        <f>IF(_xlfn.XLOOKUP(A76,[1]分配表!J:J,[1]分配表!M:M)=0,"未出单",_xlfn.XLOOKUP(A76,[1]分配表!J:J,[1]分配表!M:M))</f>
        <v>46140</v>
      </c>
      <c r="E76" s="112" t="str">
        <f>_xlfn.XLOOKUP(A76,[1]分配表!A:A,[1]分配表!C:C)</f>
        <v>胡煜星</v>
      </c>
      <c r="F76" s="112" t="str">
        <f>IF(_xlfn.XLOOKUP($A76,[1]分配表!$A:$A,[1]分配表!D:D)=0,"未分类",_xlfn.XLOOKUP($A76,[1]分配表!$A:$A,[1]分配表!D:D))</f>
        <v>其他</v>
      </c>
      <c r="G76" s="112" t="str">
        <f>_xlfn.XLOOKUP(A76,[1]分配表!J:J,[1]分配表!I:I)</f>
        <v>原开品</v>
      </c>
      <c r="H76" s="49" t="s">
        <v>328</v>
      </c>
      <c r="I76" s="49" t="s">
        <v>328</v>
      </c>
      <c r="J76" s="49" t="s">
        <v>328</v>
      </c>
      <c r="K76" s="49" t="s">
        <v>328</v>
      </c>
      <c r="L76" s="49" t="s">
        <v>328</v>
      </c>
      <c r="M76" s="49" t="s">
        <v>328</v>
      </c>
      <c r="N76" s="49" t="s">
        <v>328</v>
      </c>
      <c r="O76" s="49">
        <v>1</v>
      </c>
      <c r="P76" s="49">
        <v>3</v>
      </c>
      <c r="Q76" s="49">
        <v>2</v>
      </c>
      <c r="R76" s="49">
        <v>0</v>
      </c>
      <c r="S76" s="49">
        <v>2</v>
      </c>
      <c r="T76" s="113">
        <f t="shared" si="2"/>
        <v>2</v>
      </c>
      <c r="U76" s="118" t="s">
        <v>328</v>
      </c>
      <c r="V76" s="49" t="s">
        <v>328</v>
      </c>
      <c r="W76" s="49" t="s">
        <v>328</v>
      </c>
      <c r="X76" s="49" t="s">
        <v>328</v>
      </c>
      <c r="Y76" s="49" t="s">
        <v>328</v>
      </c>
      <c r="Z76" s="49" t="s">
        <v>328</v>
      </c>
      <c r="AA76" s="115">
        <v>0</v>
      </c>
      <c r="AB76" s="116">
        <v>150</v>
      </c>
      <c r="AC76" s="117">
        <v>450</v>
      </c>
      <c r="AD76" s="117">
        <v>300</v>
      </c>
      <c r="AE76" s="117">
        <v>0</v>
      </c>
      <c r="AF76" s="117">
        <v>300</v>
      </c>
      <c r="AG76" s="115">
        <f t="shared" si="3"/>
        <v>300</v>
      </c>
      <c r="AH76" s="118" t="s">
        <v>328</v>
      </c>
      <c r="AI76" s="49" t="s">
        <v>328</v>
      </c>
      <c r="AJ76" s="49" t="s">
        <v>328</v>
      </c>
      <c r="AK76" s="49" t="s">
        <v>328</v>
      </c>
      <c r="AL76" s="49" t="s">
        <v>328</v>
      </c>
      <c r="AM76" s="49" t="s">
        <v>328</v>
      </c>
      <c r="AN76" s="49" t="s">
        <v>328</v>
      </c>
      <c r="AO76" s="49">
        <v>2</v>
      </c>
      <c r="AP76" s="49">
        <v>0</v>
      </c>
      <c r="AQ76" s="49">
        <v>0</v>
      </c>
      <c r="AR76" s="49">
        <v>0</v>
      </c>
      <c r="AS76" s="49">
        <v>0</v>
      </c>
      <c r="AT76" s="118" t="s">
        <v>328</v>
      </c>
      <c r="AU76" s="49" t="s">
        <v>328</v>
      </c>
      <c r="AV76" s="49" t="s">
        <v>328</v>
      </c>
      <c r="AW76" s="49" t="s">
        <v>328</v>
      </c>
      <c r="AX76" s="49" t="s">
        <v>328</v>
      </c>
      <c r="AY76" s="49" t="s">
        <v>328</v>
      </c>
      <c r="AZ76" s="55" t="s">
        <v>328</v>
      </c>
      <c r="BA76" s="55">
        <v>0</v>
      </c>
      <c r="BB76" s="55">
        <v>1</v>
      </c>
      <c r="BC76" s="55">
        <v>1</v>
      </c>
      <c r="BD76" s="55" t="s">
        <v>306</v>
      </c>
      <c r="BE76" s="55">
        <v>1</v>
      </c>
      <c r="BF76" s="118" t="s">
        <v>328</v>
      </c>
      <c r="BG76" s="49" t="s">
        <v>328</v>
      </c>
      <c r="BH76" s="49" t="s">
        <v>328</v>
      </c>
      <c r="BI76" s="49" t="s">
        <v>328</v>
      </c>
      <c r="BJ76" s="49" t="s">
        <v>328</v>
      </c>
      <c r="BK76" s="49" t="s">
        <v>328</v>
      </c>
      <c r="BL76" s="49" t="s">
        <v>328</v>
      </c>
      <c r="BM76" s="49">
        <v>5</v>
      </c>
      <c r="BN76" s="49">
        <v>0</v>
      </c>
      <c r="BO76" s="49">
        <v>4</v>
      </c>
      <c r="BP76" s="49">
        <v>11</v>
      </c>
      <c r="BQ76" s="120">
        <v>0</v>
      </c>
      <c r="BR76" s="49" t="s">
        <v>328</v>
      </c>
      <c r="BS76" s="126" t="s">
        <v>328</v>
      </c>
      <c r="BT76" s="126" t="s">
        <v>328</v>
      </c>
      <c r="BU76" s="126" t="s">
        <v>328</v>
      </c>
      <c r="BV76" s="126" t="s">
        <v>328</v>
      </c>
      <c r="BW76" s="126" t="s">
        <v>328</v>
      </c>
      <c r="BX76" s="115" t="s">
        <v>328</v>
      </c>
      <c r="BY76" s="115" t="s">
        <v>49</v>
      </c>
      <c r="BZ76" s="115" t="s">
        <v>49</v>
      </c>
      <c r="CA76" s="115" t="s">
        <v>49</v>
      </c>
      <c r="CB76" s="115" t="s">
        <v>49</v>
      </c>
      <c r="CC76" s="115" t="s">
        <v>49</v>
      </c>
      <c r="CD76" s="118" t="s">
        <v>328</v>
      </c>
      <c r="CE76" s="49" t="s">
        <v>328</v>
      </c>
      <c r="CF76" s="49" t="s">
        <v>328</v>
      </c>
      <c r="CG76" s="49" t="s">
        <v>328</v>
      </c>
      <c r="CH76" s="49" t="s">
        <v>328</v>
      </c>
      <c r="CI76" s="49" t="s">
        <v>328</v>
      </c>
      <c r="CJ76" s="115" t="s">
        <v>328</v>
      </c>
      <c r="CK76" s="115" t="s">
        <v>53</v>
      </c>
      <c r="CL76" s="115" t="s">
        <v>53</v>
      </c>
      <c r="CM76" s="115" t="s">
        <v>53</v>
      </c>
      <c r="CN76" s="115" t="s">
        <v>152</v>
      </c>
      <c r="CO76" s="121" t="s">
        <v>53</v>
      </c>
      <c r="CP76" s="49" t="s">
        <v>328</v>
      </c>
      <c r="CQ76" s="49" t="s">
        <v>328</v>
      </c>
      <c r="CR76" s="49" t="s">
        <v>328</v>
      </c>
      <c r="CS76" s="49" t="s">
        <v>328</v>
      </c>
      <c r="CT76" s="49" t="s">
        <v>328</v>
      </c>
      <c r="CU76" s="49" t="s">
        <v>328</v>
      </c>
      <c r="CV76" s="115" t="s">
        <v>328</v>
      </c>
      <c r="CW76" s="115" t="s">
        <v>152</v>
      </c>
      <c r="CX76" s="115" t="s">
        <v>53</v>
      </c>
      <c r="CY76" s="115" t="s">
        <v>53</v>
      </c>
      <c r="CZ76" s="115" t="s">
        <v>53</v>
      </c>
      <c r="DA76" s="115" t="s">
        <v>53</v>
      </c>
      <c r="DB76" s="118" t="s">
        <v>328</v>
      </c>
      <c r="DC76" s="49" t="s">
        <v>328</v>
      </c>
      <c r="DD76" s="49" t="s">
        <v>328</v>
      </c>
      <c r="DE76" s="49" t="s">
        <v>328</v>
      </c>
      <c r="DF76" s="49" t="s">
        <v>328</v>
      </c>
      <c r="DG76" s="49" t="s">
        <v>328</v>
      </c>
      <c r="DH76" s="49" t="s">
        <v>328</v>
      </c>
      <c r="DI76" s="49" t="s">
        <v>328</v>
      </c>
      <c r="DJ76" s="49" t="s">
        <v>313</v>
      </c>
      <c r="DK76" s="49" t="s">
        <v>53</v>
      </c>
      <c r="DL76" s="49" t="s">
        <v>53</v>
      </c>
      <c r="DM76" s="49" t="s">
        <v>156</v>
      </c>
      <c r="DN76" s="49" t="s">
        <v>53</v>
      </c>
      <c r="DO76" s="118" t="s">
        <v>328</v>
      </c>
      <c r="DP76" s="49" t="s">
        <v>328</v>
      </c>
      <c r="DQ76" s="49" t="s">
        <v>328</v>
      </c>
      <c r="DR76" s="49" t="s">
        <v>328</v>
      </c>
      <c r="DS76" s="49" t="s">
        <v>328</v>
      </c>
      <c r="DT76" s="49" t="s">
        <v>328</v>
      </c>
      <c r="DU76" s="49" t="s">
        <v>328</v>
      </c>
      <c r="DV76" s="49" t="s">
        <v>328</v>
      </c>
      <c r="DW76" s="49" t="s">
        <v>314</v>
      </c>
      <c r="DX76" s="49" t="s">
        <v>58</v>
      </c>
      <c r="DY76" s="49" t="s">
        <v>58</v>
      </c>
      <c r="DZ76" s="49" t="s">
        <v>159</v>
      </c>
      <c r="EA76" s="118" t="s">
        <v>62</v>
      </c>
      <c r="EB76" s="49" t="s">
        <v>49</v>
      </c>
      <c r="EC76" s="49" t="s">
        <v>49</v>
      </c>
      <c r="ED76" s="49" t="s">
        <v>49</v>
      </c>
      <c r="EE76" s="49" t="s">
        <v>49</v>
      </c>
      <c r="EF76" s="49" t="s">
        <v>49</v>
      </c>
      <c r="EG76" s="120" t="s">
        <v>49</v>
      </c>
      <c r="EH76" s="117">
        <v>4.24</v>
      </c>
      <c r="EI76" s="117">
        <v>0</v>
      </c>
      <c r="EJ76" s="55">
        <v>0</v>
      </c>
      <c r="EK76" s="55">
        <v>0.02</v>
      </c>
      <c r="EL76" s="55">
        <v>0</v>
      </c>
      <c r="EM76" s="55">
        <v>0</v>
      </c>
      <c r="EN76" s="55">
        <v>0.02</v>
      </c>
      <c r="EO76" s="122">
        <v>0.02</v>
      </c>
      <c r="EP76" s="117">
        <v>3</v>
      </c>
      <c r="EQ76" s="117">
        <v>150</v>
      </c>
      <c r="ER76" s="49"/>
      <c r="ES76" s="49"/>
      <c r="ET76" s="49"/>
      <c r="EU76" s="49"/>
    </row>
    <row r="77" customFormat="1" ht="22.5" customHeight="1" spans="1:151">
      <c r="A77" s="108">
        <v>12542</v>
      </c>
      <c r="B77" s="109" t="s">
        <v>393</v>
      </c>
      <c r="C77" s="110">
        <v>46135</v>
      </c>
      <c r="D77" s="111" t="str">
        <f>IF(_xlfn.XLOOKUP(A77,[1]分配表!J:J,[1]分配表!M:M)=0,"未出单",_xlfn.XLOOKUP(A77,[1]分配表!J:J,[1]分配表!M:M))</f>
        <v>未出单</v>
      </c>
      <c r="E77" s="112" t="str">
        <f>_xlfn.XLOOKUP(A77,[1]分配表!A:A,[1]分配表!C:C)</f>
        <v>胡煜星</v>
      </c>
      <c r="F77" s="112" t="str">
        <f>IF(_xlfn.XLOOKUP($A77,[1]分配表!$A:$A,[1]分配表!D:D)=0,"未分类",_xlfn.XLOOKUP($A77,[1]分配表!$A:$A,[1]分配表!D:D))</f>
        <v>其他</v>
      </c>
      <c r="G77" s="112" t="str">
        <f>_xlfn.XLOOKUP(A77,[1]分配表!J:J,[1]分配表!I:I)</f>
        <v>原开品</v>
      </c>
      <c r="H77" s="49" t="s">
        <v>328</v>
      </c>
      <c r="I77" s="49" t="s">
        <v>328</v>
      </c>
      <c r="J77" s="49" t="s">
        <v>328</v>
      </c>
      <c r="K77" s="49" t="s">
        <v>328</v>
      </c>
      <c r="L77" s="49" t="s">
        <v>328</v>
      </c>
      <c r="M77" s="49" t="s">
        <v>328</v>
      </c>
      <c r="N77" s="49" t="s">
        <v>328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113">
        <f t="shared" si="2"/>
        <v>0</v>
      </c>
      <c r="U77" s="118" t="s">
        <v>328</v>
      </c>
      <c r="V77" s="49" t="s">
        <v>328</v>
      </c>
      <c r="W77" s="49" t="s">
        <v>328</v>
      </c>
      <c r="X77" s="49" t="s">
        <v>328</v>
      </c>
      <c r="Y77" s="49" t="s">
        <v>328</v>
      </c>
      <c r="Z77" s="49" t="s">
        <v>328</v>
      </c>
      <c r="AA77" s="115">
        <v>0</v>
      </c>
      <c r="AB77" s="116">
        <v>0</v>
      </c>
      <c r="AC77" s="117">
        <v>0</v>
      </c>
      <c r="AD77" s="117">
        <v>0</v>
      </c>
      <c r="AE77" s="117">
        <v>0</v>
      </c>
      <c r="AF77" s="117">
        <v>0</v>
      </c>
      <c r="AG77" s="115">
        <f t="shared" si="3"/>
        <v>0</v>
      </c>
      <c r="AH77" s="118" t="s">
        <v>328</v>
      </c>
      <c r="AI77" s="49" t="s">
        <v>328</v>
      </c>
      <c r="AJ77" s="49" t="s">
        <v>328</v>
      </c>
      <c r="AK77" s="49" t="s">
        <v>328</v>
      </c>
      <c r="AL77" s="49" t="s">
        <v>328</v>
      </c>
      <c r="AM77" s="49" t="s">
        <v>328</v>
      </c>
      <c r="AN77" s="49" t="s">
        <v>328</v>
      </c>
      <c r="AO77" s="49">
        <v>0</v>
      </c>
      <c r="AP77" s="49">
        <v>0</v>
      </c>
      <c r="AQ77" s="49">
        <v>0</v>
      </c>
      <c r="AR77" s="49">
        <v>0</v>
      </c>
      <c r="AS77" s="49">
        <v>0</v>
      </c>
      <c r="AT77" s="118" t="s">
        <v>328</v>
      </c>
      <c r="AU77" s="49" t="s">
        <v>328</v>
      </c>
      <c r="AV77" s="49" t="s">
        <v>328</v>
      </c>
      <c r="AW77" s="49" t="s">
        <v>328</v>
      </c>
      <c r="AX77" s="49" t="s">
        <v>328</v>
      </c>
      <c r="AY77" s="49" t="s">
        <v>328</v>
      </c>
      <c r="AZ77" s="55" t="s">
        <v>328</v>
      </c>
      <c r="BA77" s="55" t="s">
        <v>306</v>
      </c>
      <c r="BB77" s="55" t="s">
        <v>306</v>
      </c>
      <c r="BC77" s="55" t="s">
        <v>306</v>
      </c>
      <c r="BD77" s="55" t="s">
        <v>306</v>
      </c>
      <c r="BE77" s="55" t="s">
        <v>306</v>
      </c>
      <c r="BF77" s="118" t="s">
        <v>328</v>
      </c>
      <c r="BG77" s="49" t="s">
        <v>328</v>
      </c>
      <c r="BH77" s="49" t="s">
        <v>328</v>
      </c>
      <c r="BI77" s="49" t="s">
        <v>328</v>
      </c>
      <c r="BJ77" s="49" t="s">
        <v>328</v>
      </c>
      <c r="BK77" s="49" t="s">
        <v>328</v>
      </c>
      <c r="BL77" s="49" t="s">
        <v>328</v>
      </c>
      <c r="BM77" s="49">
        <v>5</v>
      </c>
      <c r="BN77" s="49">
        <v>0</v>
      </c>
      <c r="BO77" s="49">
        <v>1</v>
      </c>
      <c r="BP77" s="49">
        <v>2</v>
      </c>
      <c r="BQ77" s="120">
        <v>0</v>
      </c>
      <c r="BR77" s="49" t="s">
        <v>328</v>
      </c>
      <c r="BS77" s="126" t="s">
        <v>328</v>
      </c>
      <c r="BT77" s="126" t="s">
        <v>328</v>
      </c>
      <c r="BU77" s="126" t="s">
        <v>328</v>
      </c>
      <c r="BV77" s="126" t="s">
        <v>328</v>
      </c>
      <c r="BW77" s="126" t="s">
        <v>328</v>
      </c>
      <c r="BX77" s="115" t="s">
        <v>328</v>
      </c>
      <c r="BY77" s="115" t="s">
        <v>149</v>
      </c>
      <c r="BZ77" s="115" t="s">
        <v>149</v>
      </c>
      <c r="CA77" s="115" t="s">
        <v>149</v>
      </c>
      <c r="CB77" s="115" t="s">
        <v>149</v>
      </c>
      <c r="CC77" s="115" t="s">
        <v>149</v>
      </c>
      <c r="CD77" s="118" t="s">
        <v>328</v>
      </c>
      <c r="CE77" s="49" t="s">
        <v>328</v>
      </c>
      <c r="CF77" s="49" t="s">
        <v>328</v>
      </c>
      <c r="CG77" s="49" t="s">
        <v>328</v>
      </c>
      <c r="CH77" s="49" t="s">
        <v>328</v>
      </c>
      <c r="CI77" s="49" t="s">
        <v>328</v>
      </c>
      <c r="CJ77" s="115" t="s">
        <v>328</v>
      </c>
      <c r="CK77" s="115" t="s">
        <v>53</v>
      </c>
      <c r="CL77" s="115" t="s">
        <v>53</v>
      </c>
      <c r="CM77" s="115" t="s">
        <v>53</v>
      </c>
      <c r="CN77" s="115" t="s">
        <v>53</v>
      </c>
      <c r="CO77" s="121" t="s">
        <v>53</v>
      </c>
      <c r="CP77" s="49" t="s">
        <v>328</v>
      </c>
      <c r="CQ77" s="49" t="s">
        <v>328</v>
      </c>
      <c r="CR77" s="49" t="s">
        <v>328</v>
      </c>
      <c r="CS77" s="49" t="s">
        <v>328</v>
      </c>
      <c r="CT77" s="49" t="s">
        <v>328</v>
      </c>
      <c r="CU77" s="49" t="s">
        <v>328</v>
      </c>
      <c r="CV77" s="115" t="s">
        <v>328</v>
      </c>
      <c r="CW77" s="115" t="s">
        <v>152</v>
      </c>
      <c r="CX77" s="115" t="s">
        <v>53</v>
      </c>
      <c r="CY77" s="115" t="s">
        <v>53</v>
      </c>
      <c r="CZ77" s="115" t="s">
        <v>53</v>
      </c>
      <c r="DA77" s="115" t="s">
        <v>53</v>
      </c>
      <c r="DB77" s="118" t="s">
        <v>328</v>
      </c>
      <c r="DC77" s="49" t="s">
        <v>328</v>
      </c>
      <c r="DD77" s="49" t="s">
        <v>328</v>
      </c>
      <c r="DE77" s="49" t="s">
        <v>328</v>
      </c>
      <c r="DF77" s="49" t="s">
        <v>328</v>
      </c>
      <c r="DG77" s="49" t="s">
        <v>328</v>
      </c>
      <c r="DH77" s="49" t="s">
        <v>328</v>
      </c>
      <c r="DI77" s="49" t="s">
        <v>328</v>
      </c>
      <c r="DJ77" s="49" t="s">
        <v>307</v>
      </c>
      <c r="DK77" s="49" t="s">
        <v>307</v>
      </c>
      <c r="DL77" s="49" t="s">
        <v>156</v>
      </c>
      <c r="DM77" s="49" t="s">
        <v>307</v>
      </c>
      <c r="DN77" s="49" t="s">
        <v>156</v>
      </c>
      <c r="DO77" s="118" t="s">
        <v>328</v>
      </c>
      <c r="DP77" s="49" t="s">
        <v>328</v>
      </c>
      <c r="DQ77" s="49" t="s">
        <v>328</v>
      </c>
      <c r="DR77" s="49" t="s">
        <v>328</v>
      </c>
      <c r="DS77" s="49" t="s">
        <v>328</v>
      </c>
      <c r="DT77" s="49" t="s">
        <v>328</v>
      </c>
      <c r="DU77" s="49" t="s">
        <v>328</v>
      </c>
      <c r="DV77" s="49" t="s">
        <v>328</v>
      </c>
      <c r="DW77" s="49" t="s">
        <v>331</v>
      </c>
      <c r="DX77" s="49" t="s">
        <v>310</v>
      </c>
      <c r="DY77" s="49" t="s">
        <v>310</v>
      </c>
      <c r="DZ77" s="49" t="s">
        <v>310</v>
      </c>
      <c r="EA77" s="118" t="s">
        <v>62</v>
      </c>
      <c r="EB77" s="49" t="s">
        <v>49</v>
      </c>
      <c r="EC77" s="49" t="s">
        <v>49</v>
      </c>
      <c r="ED77" s="49" t="s">
        <v>49</v>
      </c>
      <c r="EE77" s="49" t="s">
        <v>49</v>
      </c>
      <c r="EF77" s="49" t="s">
        <v>49</v>
      </c>
      <c r="EG77" s="120" t="s">
        <v>49</v>
      </c>
      <c r="EH77" s="117">
        <v>2.7</v>
      </c>
      <c r="EI77" s="117">
        <v>0</v>
      </c>
      <c r="EJ77" s="55">
        <v>0</v>
      </c>
      <c r="EK77" s="55">
        <v>0.02</v>
      </c>
      <c r="EL77" s="55">
        <v>0</v>
      </c>
      <c r="EM77" s="55">
        <v>0.02</v>
      </c>
      <c r="EN77" s="55">
        <v>0.02</v>
      </c>
      <c r="EO77" s="122">
        <v>0.02</v>
      </c>
      <c r="EP77" s="117">
        <v>0</v>
      </c>
      <c r="EQ77" s="117">
        <v>0</v>
      </c>
      <c r="ER77" s="49"/>
      <c r="ES77" s="49"/>
      <c r="ET77" s="49"/>
      <c r="EU77" s="49"/>
    </row>
    <row r="78" customFormat="1" ht="22.5" customHeight="1" spans="1:151">
      <c r="A78" s="108">
        <v>12543</v>
      </c>
      <c r="B78" s="109" t="s">
        <v>394</v>
      </c>
      <c r="C78" s="110">
        <v>46135</v>
      </c>
      <c r="D78" s="111">
        <f>IF(_xlfn.XLOOKUP(A78,[1]分配表!J:J,[1]分配表!M:M)=0,"未出单",_xlfn.XLOOKUP(A78,[1]分配表!J:J,[1]分配表!M:M))</f>
        <v>46144</v>
      </c>
      <c r="E78" s="112" t="str">
        <f>_xlfn.XLOOKUP(A78,[1]分配表!A:A,[1]分配表!C:C)</f>
        <v>胡煜星</v>
      </c>
      <c r="F78" s="112" t="str">
        <f>IF(_xlfn.XLOOKUP($A78,[1]分配表!$A:$A,[1]分配表!D:D)=0,"未分类",_xlfn.XLOOKUP($A78,[1]分配表!$A:$A,[1]分配表!D:D))</f>
        <v>其他</v>
      </c>
      <c r="G78" s="112" t="str">
        <f>_xlfn.XLOOKUP(A78,[1]分配表!J:J,[1]分配表!I:I)</f>
        <v>原开品</v>
      </c>
      <c r="H78" s="49" t="s">
        <v>328</v>
      </c>
      <c r="I78" s="49" t="s">
        <v>328</v>
      </c>
      <c r="J78" s="49" t="s">
        <v>328</v>
      </c>
      <c r="K78" s="49" t="s">
        <v>328</v>
      </c>
      <c r="L78" s="49" t="s">
        <v>328</v>
      </c>
      <c r="M78" s="49" t="s">
        <v>328</v>
      </c>
      <c r="N78" s="49" t="s">
        <v>328</v>
      </c>
      <c r="O78" s="49">
        <v>0</v>
      </c>
      <c r="P78" s="49">
        <v>2</v>
      </c>
      <c r="Q78" s="49">
        <v>0</v>
      </c>
      <c r="R78" s="49">
        <v>0</v>
      </c>
      <c r="S78" s="49">
        <v>0</v>
      </c>
      <c r="T78" s="113">
        <f t="shared" si="2"/>
        <v>0</v>
      </c>
      <c r="U78" s="118" t="s">
        <v>328</v>
      </c>
      <c r="V78" s="49" t="s">
        <v>328</v>
      </c>
      <c r="W78" s="49" t="s">
        <v>328</v>
      </c>
      <c r="X78" s="49" t="s">
        <v>328</v>
      </c>
      <c r="Y78" s="49" t="s">
        <v>328</v>
      </c>
      <c r="Z78" s="49" t="s">
        <v>328</v>
      </c>
      <c r="AA78" s="115">
        <v>0</v>
      </c>
      <c r="AB78" s="116">
        <v>0</v>
      </c>
      <c r="AC78" s="117">
        <v>300</v>
      </c>
      <c r="AD78" s="117">
        <v>0</v>
      </c>
      <c r="AE78" s="117">
        <v>0</v>
      </c>
      <c r="AF78" s="117">
        <v>0</v>
      </c>
      <c r="AG78" s="115">
        <f t="shared" si="3"/>
        <v>0</v>
      </c>
      <c r="AH78" s="118" t="s">
        <v>328</v>
      </c>
      <c r="AI78" s="49" t="s">
        <v>328</v>
      </c>
      <c r="AJ78" s="49" t="s">
        <v>328</v>
      </c>
      <c r="AK78" s="49" t="s">
        <v>328</v>
      </c>
      <c r="AL78" s="49" t="s">
        <v>328</v>
      </c>
      <c r="AM78" s="49" t="s">
        <v>328</v>
      </c>
      <c r="AN78" s="49" t="s">
        <v>328</v>
      </c>
      <c r="AO78" s="49">
        <v>0</v>
      </c>
      <c r="AP78" s="49">
        <v>0</v>
      </c>
      <c r="AQ78" s="49">
        <v>0</v>
      </c>
      <c r="AR78" s="49">
        <v>0</v>
      </c>
      <c r="AS78" s="49">
        <v>0</v>
      </c>
      <c r="AT78" s="118" t="s">
        <v>328</v>
      </c>
      <c r="AU78" s="49" t="s">
        <v>328</v>
      </c>
      <c r="AV78" s="49" t="s">
        <v>328</v>
      </c>
      <c r="AW78" s="49" t="s">
        <v>328</v>
      </c>
      <c r="AX78" s="49" t="s">
        <v>328</v>
      </c>
      <c r="AY78" s="49" t="s">
        <v>328</v>
      </c>
      <c r="AZ78" s="55" t="s">
        <v>328</v>
      </c>
      <c r="BA78" s="55" t="s">
        <v>306</v>
      </c>
      <c r="BB78" s="55">
        <v>1</v>
      </c>
      <c r="BC78" s="55">
        <v>1</v>
      </c>
      <c r="BD78" s="55" t="s">
        <v>306</v>
      </c>
      <c r="BE78" s="55" t="s">
        <v>306</v>
      </c>
      <c r="BF78" s="118" t="s">
        <v>328</v>
      </c>
      <c r="BG78" s="49" t="s">
        <v>328</v>
      </c>
      <c r="BH78" s="49" t="s">
        <v>328</v>
      </c>
      <c r="BI78" s="49" t="s">
        <v>328</v>
      </c>
      <c r="BJ78" s="49" t="s">
        <v>328</v>
      </c>
      <c r="BK78" s="49" t="s">
        <v>328</v>
      </c>
      <c r="BL78" s="49" t="s">
        <v>328</v>
      </c>
      <c r="BM78" s="49">
        <v>6</v>
      </c>
      <c r="BN78" s="49">
        <v>0</v>
      </c>
      <c r="BO78" s="49">
        <v>7</v>
      </c>
      <c r="BP78" s="49">
        <v>14</v>
      </c>
      <c r="BQ78" s="120">
        <v>0</v>
      </c>
      <c r="BR78" s="49" t="s">
        <v>328</v>
      </c>
      <c r="BS78" s="126" t="s">
        <v>328</v>
      </c>
      <c r="BT78" s="126" t="s">
        <v>328</v>
      </c>
      <c r="BU78" s="126" t="s">
        <v>328</v>
      </c>
      <c r="BV78" s="126" t="s">
        <v>328</v>
      </c>
      <c r="BW78" s="126" t="s">
        <v>328</v>
      </c>
      <c r="BX78" s="115" t="s">
        <v>328</v>
      </c>
      <c r="BY78" s="115" t="s">
        <v>149</v>
      </c>
      <c r="BZ78" s="115" t="s">
        <v>62</v>
      </c>
      <c r="CA78" s="115" t="s">
        <v>62</v>
      </c>
      <c r="CB78" s="115" t="s">
        <v>62</v>
      </c>
      <c r="CC78" s="115" t="s">
        <v>62</v>
      </c>
      <c r="CD78" s="118" t="s">
        <v>328</v>
      </c>
      <c r="CE78" s="49" t="s">
        <v>328</v>
      </c>
      <c r="CF78" s="49" t="s">
        <v>328</v>
      </c>
      <c r="CG78" s="49" t="s">
        <v>328</v>
      </c>
      <c r="CH78" s="49" t="s">
        <v>328</v>
      </c>
      <c r="CI78" s="49" t="s">
        <v>328</v>
      </c>
      <c r="CJ78" s="115" t="s">
        <v>328</v>
      </c>
      <c r="CK78" s="115" t="s">
        <v>53</v>
      </c>
      <c r="CL78" s="115" t="s">
        <v>53</v>
      </c>
      <c r="CM78" s="115" t="s">
        <v>53</v>
      </c>
      <c r="CN78" s="115" t="s">
        <v>152</v>
      </c>
      <c r="CO78" s="121" t="s">
        <v>53</v>
      </c>
      <c r="CP78" s="49" t="s">
        <v>328</v>
      </c>
      <c r="CQ78" s="49" t="s">
        <v>328</v>
      </c>
      <c r="CR78" s="49" t="s">
        <v>328</v>
      </c>
      <c r="CS78" s="49" t="s">
        <v>328</v>
      </c>
      <c r="CT78" s="49" t="s">
        <v>328</v>
      </c>
      <c r="CU78" s="49" t="s">
        <v>328</v>
      </c>
      <c r="CV78" s="115" t="s">
        <v>328</v>
      </c>
      <c r="CW78" s="115" t="s">
        <v>152</v>
      </c>
      <c r="CX78" s="115" t="s">
        <v>53</v>
      </c>
      <c r="CY78" s="115" t="s">
        <v>53</v>
      </c>
      <c r="CZ78" s="115" t="s">
        <v>53</v>
      </c>
      <c r="DA78" s="115" t="s">
        <v>53</v>
      </c>
      <c r="DB78" s="118" t="s">
        <v>328</v>
      </c>
      <c r="DC78" s="49" t="s">
        <v>328</v>
      </c>
      <c r="DD78" s="49" t="s">
        <v>328</v>
      </c>
      <c r="DE78" s="49" t="s">
        <v>328</v>
      </c>
      <c r="DF78" s="49" t="s">
        <v>328</v>
      </c>
      <c r="DG78" s="49" t="s">
        <v>328</v>
      </c>
      <c r="DH78" s="49" t="s">
        <v>328</v>
      </c>
      <c r="DI78" s="49" t="s">
        <v>328</v>
      </c>
      <c r="DJ78" s="49" t="s">
        <v>307</v>
      </c>
      <c r="DK78" s="49" t="s">
        <v>53</v>
      </c>
      <c r="DL78" s="49" t="s">
        <v>53</v>
      </c>
      <c r="DM78" s="49" t="s">
        <v>307</v>
      </c>
      <c r="DN78" s="49" t="s">
        <v>307</v>
      </c>
      <c r="DO78" s="118" t="s">
        <v>328</v>
      </c>
      <c r="DP78" s="49" t="s">
        <v>328</v>
      </c>
      <c r="DQ78" s="49" t="s">
        <v>328</v>
      </c>
      <c r="DR78" s="49" t="s">
        <v>328</v>
      </c>
      <c r="DS78" s="49" t="s">
        <v>328</v>
      </c>
      <c r="DT78" s="49" t="s">
        <v>328</v>
      </c>
      <c r="DU78" s="49" t="s">
        <v>328</v>
      </c>
      <c r="DV78" s="49" t="s">
        <v>328</v>
      </c>
      <c r="DW78" s="49" t="s">
        <v>314</v>
      </c>
      <c r="DX78" s="49" t="s">
        <v>58</v>
      </c>
      <c r="DY78" s="49" t="s">
        <v>58</v>
      </c>
      <c r="DZ78" s="49" t="s">
        <v>314</v>
      </c>
      <c r="EA78" s="118" t="s">
        <v>62</v>
      </c>
      <c r="EB78" s="49" t="s">
        <v>62</v>
      </c>
      <c r="EC78" s="49" t="s">
        <v>62</v>
      </c>
      <c r="ED78" s="49" t="s">
        <v>62</v>
      </c>
      <c r="EE78" s="49" t="s">
        <v>62</v>
      </c>
      <c r="EF78" s="49" t="s">
        <v>62</v>
      </c>
      <c r="EG78" s="120" t="s">
        <v>62</v>
      </c>
      <c r="EH78" s="117">
        <v>0</v>
      </c>
      <c r="EI78" s="117">
        <v>0</v>
      </c>
      <c r="EJ78" s="55">
        <v>0</v>
      </c>
      <c r="EK78" s="55">
        <v>0.02</v>
      </c>
      <c r="EL78" s="55">
        <v>0</v>
      </c>
      <c r="EM78" s="55">
        <v>0.02</v>
      </c>
      <c r="EN78" s="55">
        <v>0</v>
      </c>
      <c r="EO78" s="122">
        <v>0.02</v>
      </c>
      <c r="EP78" s="117">
        <v>0</v>
      </c>
      <c r="EQ78" s="117">
        <v>0</v>
      </c>
      <c r="ER78" s="49"/>
      <c r="ES78" s="49"/>
      <c r="ET78" s="49"/>
      <c r="EU78" s="49"/>
    </row>
    <row r="79" customFormat="1" ht="22.5" customHeight="1" spans="1:151">
      <c r="A79" s="108">
        <v>12544</v>
      </c>
      <c r="B79" s="109" t="s">
        <v>395</v>
      </c>
      <c r="C79" s="110">
        <v>46135</v>
      </c>
      <c r="D79" s="111">
        <f>IF(_xlfn.XLOOKUP(A79,[1]分配表!J:J,[1]分配表!M:M)=0,"未出单",_xlfn.XLOOKUP(A79,[1]分配表!J:J,[1]分配表!M:M))</f>
        <v>46142</v>
      </c>
      <c r="E79" s="112" t="str">
        <f>_xlfn.XLOOKUP(A79,[1]分配表!A:A,[1]分配表!C:C)</f>
        <v>张潇</v>
      </c>
      <c r="F79" s="112" t="str">
        <f>IF(_xlfn.XLOOKUP($A79,[1]分配表!$A:$A,[1]分配表!D:D)=0,"未分类",_xlfn.XLOOKUP($A79,[1]分配表!$A:$A,[1]分配表!D:D))</f>
        <v>其他</v>
      </c>
      <c r="G79" s="112" t="str">
        <f>_xlfn.XLOOKUP(A79,[1]分配表!J:J,[1]分配表!I:I)</f>
        <v>原开品</v>
      </c>
      <c r="H79" s="49" t="s">
        <v>328</v>
      </c>
      <c r="I79" s="49" t="s">
        <v>328</v>
      </c>
      <c r="J79" s="49" t="s">
        <v>328</v>
      </c>
      <c r="K79" s="49" t="s">
        <v>328</v>
      </c>
      <c r="L79" s="49" t="s">
        <v>328</v>
      </c>
      <c r="M79" s="49" t="s">
        <v>328</v>
      </c>
      <c r="N79" s="49" t="s">
        <v>328</v>
      </c>
      <c r="O79" s="49">
        <v>0</v>
      </c>
      <c r="P79" s="49">
        <v>5</v>
      </c>
      <c r="Q79" s="49">
        <v>2</v>
      </c>
      <c r="R79" s="49">
        <v>0</v>
      </c>
      <c r="S79" s="49">
        <v>2</v>
      </c>
      <c r="T79" s="113">
        <f t="shared" si="2"/>
        <v>2</v>
      </c>
      <c r="U79" s="118" t="s">
        <v>328</v>
      </c>
      <c r="V79" s="49" t="s">
        <v>328</v>
      </c>
      <c r="W79" s="49" t="s">
        <v>328</v>
      </c>
      <c r="X79" s="49" t="s">
        <v>328</v>
      </c>
      <c r="Y79" s="49" t="s">
        <v>328</v>
      </c>
      <c r="Z79" s="49" t="s">
        <v>328</v>
      </c>
      <c r="AA79" s="115">
        <v>0</v>
      </c>
      <c r="AB79" s="116">
        <v>0</v>
      </c>
      <c r="AC79" s="117">
        <v>750</v>
      </c>
      <c r="AD79" s="117">
        <v>300</v>
      </c>
      <c r="AE79" s="117">
        <v>0</v>
      </c>
      <c r="AF79" s="117">
        <v>300</v>
      </c>
      <c r="AG79" s="115">
        <f t="shared" si="3"/>
        <v>300</v>
      </c>
      <c r="AH79" s="118" t="s">
        <v>328</v>
      </c>
      <c r="AI79" s="49" t="s">
        <v>328</v>
      </c>
      <c r="AJ79" s="49" t="s">
        <v>328</v>
      </c>
      <c r="AK79" s="49" t="s">
        <v>328</v>
      </c>
      <c r="AL79" s="49" t="s">
        <v>328</v>
      </c>
      <c r="AM79" s="49" t="s">
        <v>328</v>
      </c>
      <c r="AN79" s="49" t="s">
        <v>328</v>
      </c>
      <c r="AO79" s="49">
        <v>0</v>
      </c>
      <c r="AP79" s="49">
        <v>0</v>
      </c>
      <c r="AQ79" s="49">
        <v>0</v>
      </c>
      <c r="AR79" s="49">
        <v>0</v>
      </c>
      <c r="AS79" s="49">
        <v>0</v>
      </c>
      <c r="AT79" s="118" t="s">
        <v>328</v>
      </c>
      <c r="AU79" s="49" t="s">
        <v>328</v>
      </c>
      <c r="AV79" s="49" t="s">
        <v>328</v>
      </c>
      <c r="AW79" s="49" t="s">
        <v>328</v>
      </c>
      <c r="AX79" s="49" t="s">
        <v>328</v>
      </c>
      <c r="AY79" s="49" t="s">
        <v>328</v>
      </c>
      <c r="AZ79" s="55" t="s">
        <v>328</v>
      </c>
      <c r="BA79" s="55" t="s">
        <v>306</v>
      </c>
      <c r="BB79" s="55">
        <v>1</v>
      </c>
      <c r="BC79" s="55">
        <v>1</v>
      </c>
      <c r="BD79" s="55">
        <v>1</v>
      </c>
      <c r="BE79" s="55">
        <v>1</v>
      </c>
      <c r="BF79" s="118" t="s">
        <v>328</v>
      </c>
      <c r="BG79" s="49" t="s">
        <v>328</v>
      </c>
      <c r="BH79" s="49" t="s">
        <v>328</v>
      </c>
      <c r="BI79" s="49" t="s">
        <v>328</v>
      </c>
      <c r="BJ79" s="49" t="s">
        <v>328</v>
      </c>
      <c r="BK79" s="49" t="s">
        <v>328</v>
      </c>
      <c r="BL79" s="49" t="s">
        <v>328</v>
      </c>
      <c r="BM79" s="49">
        <v>0</v>
      </c>
      <c r="BN79" s="49">
        <v>7</v>
      </c>
      <c r="BO79" s="49">
        <v>14</v>
      </c>
      <c r="BP79" s="49">
        <v>21</v>
      </c>
      <c r="BQ79" s="120">
        <v>0</v>
      </c>
      <c r="BR79" s="49" t="s">
        <v>328</v>
      </c>
      <c r="BS79" s="126" t="s">
        <v>328</v>
      </c>
      <c r="BT79" s="126" t="s">
        <v>328</v>
      </c>
      <c r="BU79" s="126" t="s">
        <v>328</v>
      </c>
      <c r="BV79" s="126" t="s">
        <v>328</v>
      </c>
      <c r="BW79" s="126" t="s">
        <v>328</v>
      </c>
      <c r="BX79" s="115" t="s">
        <v>328</v>
      </c>
      <c r="BY79" s="115" t="s">
        <v>149</v>
      </c>
      <c r="BZ79" s="115" t="s">
        <v>49</v>
      </c>
      <c r="CA79" s="115" t="s">
        <v>49</v>
      </c>
      <c r="CB79" s="115" t="s">
        <v>49</v>
      </c>
      <c r="CC79" s="115" t="s">
        <v>49</v>
      </c>
      <c r="CD79" s="118" t="s">
        <v>328</v>
      </c>
      <c r="CE79" s="49" t="s">
        <v>328</v>
      </c>
      <c r="CF79" s="49" t="s">
        <v>328</v>
      </c>
      <c r="CG79" s="49" t="s">
        <v>328</v>
      </c>
      <c r="CH79" s="49" t="s">
        <v>328</v>
      </c>
      <c r="CI79" s="49" t="s">
        <v>328</v>
      </c>
      <c r="CJ79" s="115" t="s">
        <v>328</v>
      </c>
      <c r="CK79" s="115" t="s">
        <v>53</v>
      </c>
      <c r="CL79" s="115" t="s">
        <v>53</v>
      </c>
      <c r="CM79" s="115" t="s">
        <v>152</v>
      </c>
      <c r="CN79" s="115" t="s">
        <v>152</v>
      </c>
      <c r="CO79" s="121" t="s">
        <v>53</v>
      </c>
      <c r="CP79" s="49" t="s">
        <v>328</v>
      </c>
      <c r="CQ79" s="49" t="s">
        <v>328</v>
      </c>
      <c r="CR79" s="49" t="s">
        <v>328</v>
      </c>
      <c r="CS79" s="49" t="s">
        <v>328</v>
      </c>
      <c r="CT79" s="49" t="s">
        <v>328</v>
      </c>
      <c r="CU79" s="49" t="s">
        <v>328</v>
      </c>
      <c r="CV79" s="115" t="s">
        <v>328</v>
      </c>
      <c r="CW79" s="115" t="s">
        <v>53</v>
      </c>
      <c r="CX79" s="115" t="s">
        <v>53</v>
      </c>
      <c r="CY79" s="115" t="s">
        <v>53</v>
      </c>
      <c r="CZ79" s="115" t="s">
        <v>53</v>
      </c>
      <c r="DA79" s="115" t="s">
        <v>53</v>
      </c>
      <c r="DB79" s="118" t="s">
        <v>328</v>
      </c>
      <c r="DC79" s="49" t="s">
        <v>328</v>
      </c>
      <c r="DD79" s="49" t="s">
        <v>328</v>
      </c>
      <c r="DE79" s="49" t="s">
        <v>328</v>
      </c>
      <c r="DF79" s="49" t="s">
        <v>328</v>
      </c>
      <c r="DG79" s="49" t="s">
        <v>328</v>
      </c>
      <c r="DH79" s="49" t="s">
        <v>328</v>
      </c>
      <c r="DI79" s="49" t="s">
        <v>328</v>
      </c>
      <c r="DJ79" s="49" t="s">
        <v>307</v>
      </c>
      <c r="DK79" s="49" t="s">
        <v>53</v>
      </c>
      <c r="DL79" s="49" t="s">
        <v>53</v>
      </c>
      <c r="DM79" s="49" t="s">
        <v>53</v>
      </c>
      <c r="DN79" s="49" t="s">
        <v>53</v>
      </c>
      <c r="DO79" s="118" t="s">
        <v>328</v>
      </c>
      <c r="DP79" s="49" t="s">
        <v>328</v>
      </c>
      <c r="DQ79" s="49" t="s">
        <v>328</v>
      </c>
      <c r="DR79" s="49" t="s">
        <v>328</v>
      </c>
      <c r="DS79" s="49" t="s">
        <v>328</v>
      </c>
      <c r="DT79" s="49" t="s">
        <v>328</v>
      </c>
      <c r="DU79" s="49" t="s">
        <v>328</v>
      </c>
      <c r="DV79" s="49" t="s">
        <v>328</v>
      </c>
      <c r="DW79" s="49" t="s">
        <v>58</v>
      </c>
      <c r="DX79" s="49" t="s">
        <v>58</v>
      </c>
      <c r="DY79" s="49" t="s">
        <v>316</v>
      </c>
      <c r="DZ79" s="49" t="s">
        <v>159</v>
      </c>
      <c r="EA79" s="118" t="s">
        <v>62</v>
      </c>
      <c r="EB79" s="49" t="s">
        <v>62</v>
      </c>
      <c r="EC79" s="49" t="s">
        <v>49</v>
      </c>
      <c r="ED79" s="49" t="s">
        <v>49</v>
      </c>
      <c r="EE79" s="49" t="s">
        <v>49</v>
      </c>
      <c r="EF79" s="49" t="s">
        <v>49</v>
      </c>
      <c r="EG79" s="120" t="s">
        <v>49</v>
      </c>
      <c r="EH79" s="117">
        <v>1.42</v>
      </c>
      <c r="EI79" s="117">
        <v>0</v>
      </c>
      <c r="EJ79" s="55">
        <v>0</v>
      </c>
      <c r="EK79" s="55">
        <v>0.02</v>
      </c>
      <c r="EL79" s="55">
        <v>0</v>
      </c>
      <c r="EM79" s="55">
        <v>0.02</v>
      </c>
      <c r="EN79" s="55">
        <v>0.02</v>
      </c>
      <c r="EO79" s="122">
        <v>0.02</v>
      </c>
      <c r="EP79" s="117">
        <v>3.2</v>
      </c>
      <c r="EQ79" s="117">
        <v>160.13</v>
      </c>
      <c r="ER79" s="49"/>
      <c r="ES79" s="49"/>
      <c r="ET79" s="49"/>
      <c r="EU79" s="49"/>
    </row>
    <row r="80" customFormat="1" ht="22.5" customHeight="1" spans="1:151">
      <c r="A80" s="108">
        <v>12612</v>
      </c>
      <c r="B80" s="109" t="s">
        <v>396</v>
      </c>
      <c r="C80" s="110">
        <v>46140</v>
      </c>
      <c r="D80" s="111">
        <f>IF(_xlfn.XLOOKUP(A80,[1]分配表!J:J,[1]分配表!M:M)=0,"未出单",_xlfn.XLOOKUP(A80,[1]分配表!J:J,[1]分配表!M:M))</f>
        <v>46160</v>
      </c>
      <c r="E80" s="112" t="str">
        <f>_xlfn.XLOOKUP(A80,[1]分配表!A:A,[1]分配表!C:C)</f>
        <v>章鹏</v>
      </c>
      <c r="F80" s="112" t="str">
        <f>IF(_xlfn.XLOOKUP($A80,[1]分配表!$A:$A,[1]分配表!D:D)=0,"未分类",_xlfn.XLOOKUP($A80,[1]分配表!$A:$A,[1]分配表!D:D))</f>
        <v>其他</v>
      </c>
      <c r="G80" s="112" t="str">
        <f>_xlfn.XLOOKUP(A80,[1]分配表!J:J,[1]分配表!I:I)</f>
        <v>原开品</v>
      </c>
      <c r="H80" s="49" t="s">
        <v>328</v>
      </c>
      <c r="I80" s="49" t="s">
        <v>328</v>
      </c>
      <c r="J80" s="49" t="s">
        <v>328</v>
      </c>
      <c r="K80" s="49" t="s">
        <v>328</v>
      </c>
      <c r="L80" s="49" t="s">
        <v>328</v>
      </c>
      <c r="M80" s="49" t="s">
        <v>328</v>
      </c>
      <c r="N80" s="49" t="s">
        <v>328</v>
      </c>
      <c r="O80" s="49">
        <v>0</v>
      </c>
      <c r="P80" s="49">
        <v>0</v>
      </c>
      <c r="Q80" s="49">
        <v>0</v>
      </c>
      <c r="R80" s="49">
        <v>1</v>
      </c>
      <c r="S80" s="49">
        <v>1</v>
      </c>
      <c r="T80" s="113">
        <f t="shared" si="2"/>
        <v>0</v>
      </c>
      <c r="U80" s="118"/>
      <c r="V80" s="49"/>
      <c r="W80" s="49"/>
      <c r="X80" s="49"/>
      <c r="Y80" s="49"/>
      <c r="Z80" s="49"/>
      <c r="AA80" s="115"/>
      <c r="AB80" s="116">
        <v>0</v>
      </c>
      <c r="AC80" s="117">
        <v>0</v>
      </c>
      <c r="AD80" s="117">
        <v>0</v>
      </c>
      <c r="AE80" s="117">
        <v>165</v>
      </c>
      <c r="AF80" s="117">
        <v>165</v>
      </c>
      <c r="AG80" s="115">
        <f t="shared" si="3"/>
        <v>0</v>
      </c>
      <c r="AH80" s="118"/>
      <c r="AI80" s="49"/>
      <c r="AJ80" s="49"/>
      <c r="AK80" s="49"/>
      <c r="AL80" s="49"/>
      <c r="AM80" s="49"/>
      <c r="AN80" s="49"/>
      <c r="AO80" s="49" t="e">
        <v>#N/A</v>
      </c>
      <c r="AP80" s="49">
        <v>0</v>
      </c>
      <c r="AQ80" s="49">
        <v>0</v>
      </c>
      <c r="AR80" s="49">
        <v>0</v>
      </c>
      <c r="AS80" s="49">
        <v>0</v>
      </c>
      <c r="AT80" s="118"/>
      <c r="AU80" s="49"/>
      <c r="AV80" s="49"/>
      <c r="AW80" s="49"/>
      <c r="AX80" s="49"/>
      <c r="AY80" s="49"/>
      <c r="AZ80" s="55"/>
      <c r="BA80" s="55" t="e">
        <v>#N/A</v>
      </c>
      <c r="BB80" s="55" t="s">
        <v>306</v>
      </c>
      <c r="BC80" s="55" t="s">
        <v>306</v>
      </c>
      <c r="BD80" s="55">
        <v>1</v>
      </c>
      <c r="BE80" s="55">
        <v>1</v>
      </c>
      <c r="BF80" s="118"/>
      <c r="BG80" s="49"/>
      <c r="BH80" s="49"/>
      <c r="BI80" s="49"/>
      <c r="BJ80" s="49"/>
      <c r="BK80" s="49"/>
      <c r="BL80" s="49"/>
      <c r="BM80" s="49">
        <v>0</v>
      </c>
      <c r="BN80" s="49">
        <v>7</v>
      </c>
      <c r="BO80" s="49">
        <v>2</v>
      </c>
      <c r="BP80" s="49">
        <v>5</v>
      </c>
      <c r="BQ80" s="120">
        <v>12</v>
      </c>
      <c r="BR80" s="49"/>
      <c r="BS80" s="126"/>
      <c r="BT80" s="126"/>
      <c r="BU80" s="126"/>
      <c r="BV80" s="126"/>
      <c r="BW80" s="126"/>
      <c r="BX80" s="115"/>
      <c r="BY80" s="115" t="s">
        <v>149</v>
      </c>
      <c r="BZ80" s="115" t="s">
        <v>149</v>
      </c>
      <c r="CA80" s="115" t="s">
        <v>149</v>
      </c>
      <c r="CB80" s="115" t="s">
        <v>62</v>
      </c>
      <c r="CC80" s="115" t="s">
        <v>62</v>
      </c>
      <c r="CD80" s="118"/>
      <c r="CE80" s="49"/>
      <c r="CF80" s="49"/>
      <c r="CG80" s="49"/>
      <c r="CH80" s="49"/>
      <c r="CI80" s="49"/>
      <c r="CJ80" s="115"/>
      <c r="CK80" s="115" t="s">
        <v>53</v>
      </c>
      <c r="CL80" s="115" t="s">
        <v>53</v>
      </c>
      <c r="CM80" s="115" t="s">
        <v>53</v>
      </c>
      <c r="CN80" s="115" t="s">
        <v>53</v>
      </c>
      <c r="CO80" s="121" t="s">
        <v>152</v>
      </c>
      <c r="CP80" s="49"/>
      <c r="CQ80" s="49"/>
      <c r="CR80" s="49"/>
      <c r="CS80" s="49"/>
      <c r="CT80" s="49"/>
      <c r="CU80" s="49"/>
      <c r="CV80" s="115"/>
      <c r="CW80" s="115" t="s">
        <v>53</v>
      </c>
      <c r="CX80" s="115" t="s">
        <v>53</v>
      </c>
      <c r="CY80" s="115" t="s">
        <v>53</v>
      </c>
      <c r="CZ80" s="115" t="s">
        <v>53</v>
      </c>
      <c r="DA80" s="115" t="s">
        <v>53</v>
      </c>
      <c r="DB80" s="118"/>
      <c r="DC80" s="49"/>
      <c r="DD80" s="49"/>
      <c r="DE80" s="49"/>
      <c r="DF80" s="49"/>
      <c r="DG80" s="49"/>
      <c r="DH80" s="49"/>
      <c r="DI80" s="49"/>
      <c r="DJ80" s="49" t="e">
        <v>#N/A</v>
      </c>
      <c r="DK80" s="49" t="s">
        <v>307</v>
      </c>
      <c r="DL80" s="49" t="s">
        <v>156</v>
      </c>
      <c r="DM80" s="49" t="s">
        <v>53</v>
      </c>
      <c r="DN80" s="49" t="s">
        <v>53</v>
      </c>
      <c r="DO80" s="118"/>
      <c r="DP80" s="49"/>
      <c r="DQ80" s="49"/>
      <c r="DR80" s="49"/>
      <c r="DS80" s="49"/>
      <c r="DT80" s="49"/>
      <c r="DU80" s="49"/>
      <c r="DV80" s="49" t="s">
        <v>328</v>
      </c>
      <c r="DW80" s="49" t="s">
        <v>58</v>
      </c>
      <c r="DX80" s="49" t="s">
        <v>314</v>
      </c>
      <c r="DY80" s="49" t="s">
        <v>310</v>
      </c>
      <c r="DZ80" s="49" t="s">
        <v>58</v>
      </c>
      <c r="EA80" s="118"/>
      <c r="EB80" s="49"/>
      <c r="EC80" s="49" t="s">
        <v>49</v>
      </c>
      <c r="ED80" s="49" t="s">
        <v>49</v>
      </c>
      <c r="EE80" s="49" t="s">
        <v>49</v>
      </c>
      <c r="EF80" s="49" t="s">
        <v>49</v>
      </c>
      <c r="EG80" s="120" t="s">
        <v>49</v>
      </c>
      <c r="EH80" s="117">
        <v>0.78</v>
      </c>
      <c r="EI80" s="117">
        <v>0</v>
      </c>
      <c r="EJ80" s="49" t="s">
        <v>328</v>
      </c>
      <c r="EK80" s="55">
        <v>0</v>
      </c>
      <c r="EL80" s="55">
        <v>0</v>
      </c>
      <c r="EM80" s="55">
        <v>0.02</v>
      </c>
      <c r="EN80" s="55">
        <v>0.02</v>
      </c>
      <c r="EO80" s="122">
        <v>0.02</v>
      </c>
      <c r="EP80" s="117">
        <v>7.14</v>
      </c>
      <c r="EQ80" s="117">
        <v>357.39</v>
      </c>
      <c r="ER80" s="49"/>
      <c r="ES80" s="49"/>
      <c r="ET80" s="49"/>
      <c r="EU80" s="49"/>
    </row>
    <row r="81" customFormat="1" ht="22.5" customHeight="1" spans="1:151">
      <c r="A81" s="108">
        <v>12651</v>
      </c>
      <c r="B81" s="109" t="s">
        <v>397</v>
      </c>
      <c r="C81" s="110">
        <v>46140</v>
      </c>
      <c r="D81" s="111">
        <f>IF(_xlfn.XLOOKUP(A81,[1]分配表!J:J,[1]分配表!M:M)=0,"未出单",_xlfn.XLOOKUP(A81,[1]分配表!J:J,[1]分配表!M:M))</f>
        <v>46142</v>
      </c>
      <c r="E81" s="112" t="str">
        <f>_xlfn.XLOOKUP(A81,[1]分配表!A:A,[1]分配表!C:C)</f>
        <v>张潇</v>
      </c>
      <c r="F81" s="112" t="str">
        <f>IF(_xlfn.XLOOKUP($A81,[1]分配表!$A:$A,[1]分配表!D:D)=0,"未分类",_xlfn.XLOOKUP($A81,[1]分配表!$A:$A,[1]分配表!D:D))</f>
        <v>机盖及附件</v>
      </c>
      <c r="G81" s="112" t="str">
        <f>_xlfn.XLOOKUP(A81,[1]分配表!J:J,[1]分配表!I:I)</f>
        <v>原开品</v>
      </c>
      <c r="H81" s="49" t="s">
        <v>328</v>
      </c>
      <c r="I81" s="49" t="s">
        <v>328</v>
      </c>
      <c r="J81" s="49" t="s">
        <v>328</v>
      </c>
      <c r="K81" s="49" t="s">
        <v>328</v>
      </c>
      <c r="L81" s="49" t="s">
        <v>328</v>
      </c>
      <c r="M81" s="49" t="s">
        <v>328</v>
      </c>
      <c r="N81" s="49" t="s">
        <v>328</v>
      </c>
      <c r="O81" s="49">
        <v>0</v>
      </c>
      <c r="P81" s="49">
        <v>3</v>
      </c>
      <c r="Q81" s="49">
        <v>3</v>
      </c>
      <c r="R81" s="49">
        <v>0</v>
      </c>
      <c r="S81" s="49">
        <v>2</v>
      </c>
      <c r="T81" s="113">
        <f t="shared" si="2"/>
        <v>2</v>
      </c>
      <c r="U81" s="118"/>
      <c r="V81" s="49"/>
      <c r="W81" s="49"/>
      <c r="X81" s="49"/>
      <c r="Y81" s="49"/>
      <c r="Z81" s="49"/>
      <c r="AA81" s="115"/>
      <c r="AB81" s="116">
        <v>0</v>
      </c>
      <c r="AC81" s="117">
        <v>267</v>
      </c>
      <c r="AD81" s="117">
        <v>267</v>
      </c>
      <c r="AE81" s="117">
        <v>0</v>
      </c>
      <c r="AF81" s="117">
        <v>178</v>
      </c>
      <c r="AG81" s="115">
        <f t="shared" si="3"/>
        <v>178</v>
      </c>
      <c r="AH81" s="118"/>
      <c r="AI81" s="49"/>
      <c r="AJ81" s="49"/>
      <c r="AK81" s="49"/>
      <c r="AL81" s="49"/>
      <c r="AM81" s="49"/>
      <c r="AN81" s="49"/>
      <c r="AO81" s="49" t="e">
        <v>#N/A</v>
      </c>
      <c r="AP81" s="49">
        <v>6</v>
      </c>
      <c r="AQ81" s="49">
        <v>2</v>
      </c>
      <c r="AR81" s="49">
        <v>2</v>
      </c>
      <c r="AS81" s="49">
        <v>5</v>
      </c>
      <c r="AT81" s="118"/>
      <c r="AU81" s="49"/>
      <c r="AV81" s="49"/>
      <c r="AW81" s="49"/>
      <c r="AX81" s="49"/>
      <c r="AY81" s="49"/>
      <c r="AZ81" s="55"/>
      <c r="BA81" s="55" t="e">
        <v>#N/A</v>
      </c>
      <c r="BB81" s="55">
        <v>0.25</v>
      </c>
      <c r="BC81" s="55">
        <v>0.6</v>
      </c>
      <c r="BD81" s="55">
        <v>0.3333</v>
      </c>
      <c r="BE81" s="55">
        <v>0.1667</v>
      </c>
      <c r="BF81" s="118"/>
      <c r="BG81" s="49"/>
      <c r="BH81" s="49"/>
      <c r="BI81" s="49"/>
      <c r="BJ81" s="49"/>
      <c r="BK81" s="49"/>
      <c r="BL81" s="49"/>
      <c r="BM81" s="49">
        <v>0</v>
      </c>
      <c r="BN81" s="49">
        <v>0</v>
      </c>
      <c r="BO81" s="49">
        <v>2</v>
      </c>
      <c r="BP81" s="49">
        <v>0</v>
      </c>
      <c r="BQ81" s="120">
        <v>7</v>
      </c>
      <c r="BR81" s="49"/>
      <c r="BS81" s="126"/>
      <c r="BT81" s="126"/>
      <c r="BU81" s="126"/>
      <c r="BV81" s="126"/>
      <c r="BW81" s="126"/>
      <c r="BX81" s="115"/>
      <c r="BY81" s="115" t="s">
        <v>149</v>
      </c>
      <c r="BZ81" s="115" t="s">
        <v>49</v>
      </c>
      <c r="CA81" s="115" t="s">
        <v>49</v>
      </c>
      <c r="CB81" s="115" t="s">
        <v>49</v>
      </c>
      <c r="CC81" s="115" t="s">
        <v>49</v>
      </c>
      <c r="CD81" s="118"/>
      <c r="CE81" s="49"/>
      <c r="CF81" s="49"/>
      <c r="CG81" s="49"/>
      <c r="CH81" s="49"/>
      <c r="CI81" s="49"/>
      <c r="CJ81" s="115"/>
      <c r="CK81" s="115" t="s">
        <v>53</v>
      </c>
      <c r="CL81" s="115" t="s">
        <v>53</v>
      </c>
      <c r="CM81" s="115" t="s">
        <v>53</v>
      </c>
      <c r="CN81" s="115" t="s">
        <v>53</v>
      </c>
      <c r="CO81" s="121" t="s">
        <v>53</v>
      </c>
      <c r="CP81" s="49"/>
      <c r="CQ81" s="49"/>
      <c r="CR81" s="49"/>
      <c r="CS81" s="49"/>
      <c r="CT81" s="49"/>
      <c r="CU81" s="49"/>
      <c r="CV81" s="115"/>
      <c r="CW81" s="115" t="s">
        <v>53</v>
      </c>
      <c r="CX81" s="115" t="s">
        <v>53</v>
      </c>
      <c r="CY81" s="115" t="s">
        <v>53</v>
      </c>
      <c r="CZ81" s="115" t="s">
        <v>53</v>
      </c>
      <c r="DA81" s="115" t="s">
        <v>53</v>
      </c>
      <c r="DB81" s="118"/>
      <c r="DC81" s="49"/>
      <c r="DD81" s="49"/>
      <c r="DE81" s="49"/>
      <c r="DF81" s="49"/>
      <c r="DG81" s="49"/>
      <c r="DH81" s="49"/>
      <c r="DI81" s="49"/>
      <c r="DJ81" s="49" t="e">
        <v>#N/A</v>
      </c>
      <c r="DK81" s="49" t="s">
        <v>313</v>
      </c>
      <c r="DL81" s="49" t="s">
        <v>313</v>
      </c>
      <c r="DM81" s="49" t="s">
        <v>313</v>
      </c>
      <c r="DN81" s="49" t="s">
        <v>313</v>
      </c>
      <c r="DO81" s="118"/>
      <c r="DP81" s="49"/>
      <c r="DQ81" s="49"/>
      <c r="DR81" s="49"/>
      <c r="DS81" s="49"/>
      <c r="DT81" s="49"/>
      <c r="DU81" s="49"/>
      <c r="DV81" s="49" t="s">
        <v>328</v>
      </c>
      <c r="DW81" s="49" t="s">
        <v>58</v>
      </c>
      <c r="DX81" s="49" t="s">
        <v>58</v>
      </c>
      <c r="DY81" s="49" t="s">
        <v>58</v>
      </c>
      <c r="DZ81" s="49" t="s">
        <v>58</v>
      </c>
      <c r="EA81" s="118"/>
      <c r="EB81" s="49"/>
      <c r="EC81" s="49" t="s">
        <v>49</v>
      </c>
      <c r="ED81" s="49" t="s">
        <v>49</v>
      </c>
      <c r="EE81" s="49" t="s">
        <v>49</v>
      </c>
      <c r="EF81" s="49" t="s">
        <v>49</v>
      </c>
      <c r="EG81" s="120" t="s">
        <v>49</v>
      </c>
      <c r="EH81" s="117">
        <v>0.83</v>
      </c>
      <c r="EI81" s="117">
        <v>0</v>
      </c>
      <c r="EJ81" s="49" t="s">
        <v>328</v>
      </c>
      <c r="EK81" s="55">
        <v>0</v>
      </c>
      <c r="EL81" s="55">
        <v>0</v>
      </c>
      <c r="EM81" s="55">
        <v>0</v>
      </c>
      <c r="EN81" s="55">
        <v>0.035</v>
      </c>
      <c r="EO81" s="122">
        <v>0.035</v>
      </c>
      <c r="EP81" s="117">
        <v>0</v>
      </c>
      <c r="EQ81" s="117">
        <v>0</v>
      </c>
      <c r="ER81" s="49"/>
      <c r="ES81" s="49"/>
      <c r="ET81" s="49"/>
      <c r="EU81" s="49"/>
    </row>
    <row r="82" customFormat="1" ht="22.5" customHeight="1" spans="1:151">
      <c r="A82" s="108">
        <v>12604</v>
      </c>
      <c r="B82" s="109" t="s">
        <v>398</v>
      </c>
      <c r="C82" s="110">
        <v>46141</v>
      </c>
      <c r="D82" s="111">
        <f>IF(_xlfn.XLOOKUP(A82,[1]分配表!J:J,[1]分配表!M:M)=0,"未出单",_xlfn.XLOOKUP(A82,[1]分配表!J:J,[1]分配表!M:M))</f>
        <v>46152</v>
      </c>
      <c r="E82" s="112" t="str">
        <f>_xlfn.XLOOKUP(A82,[1]分配表!A:A,[1]分配表!C:C)</f>
        <v>王偲涵</v>
      </c>
      <c r="F82" s="112" t="str">
        <f>IF(_xlfn.XLOOKUP($A82,[1]分配表!$A:$A,[1]分配表!D:D)=0,"未分类",_xlfn.XLOOKUP($A82,[1]分配表!$A:$A,[1]分配表!D:D))</f>
        <v>车身外扩件</v>
      </c>
      <c r="G82" s="112" t="str">
        <f>_xlfn.XLOOKUP(A82,[1]分配表!J:J,[1]分配表!I:I)</f>
        <v>原开品</v>
      </c>
      <c r="H82" s="49" t="s">
        <v>328</v>
      </c>
      <c r="I82" s="49" t="s">
        <v>328</v>
      </c>
      <c r="J82" s="49" t="s">
        <v>328</v>
      </c>
      <c r="K82" s="49" t="s">
        <v>328</v>
      </c>
      <c r="L82" s="49" t="s">
        <v>328</v>
      </c>
      <c r="M82" s="49" t="s">
        <v>328</v>
      </c>
      <c r="N82" s="49" t="s">
        <v>328</v>
      </c>
      <c r="O82" s="49">
        <v>0</v>
      </c>
      <c r="P82" s="49">
        <v>0</v>
      </c>
      <c r="Q82" s="49">
        <v>2</v>
      </c>
      <c r="R82" s="49">
        <v>0</v>
      </c>
      <c r="S82" s="49">
        <v>0</v>
      </c>
      <c r="T82" s="113">
        <f t="shared" si="2"/>
        <v>0</v>
      </c>
      <c r="U82" s="118"/>
      <c r="V82" s="49"/>
      <c r="W82" s="49"/>
      <c r="X82" s="49"/>
      <c r="Y82" s="49"/>
      <c r="Z82" s="49"/>
      <c r="AA82" s="115"/>
      <c r="AB82" s="116">
        <v>0</v>
      </c>
      <c r="AC82" s="117">
        <v>0</v>
      </c>
      <c r="AD82" s="117">
        <v>284</v>
      </c>
      <c r="AE82" s="117">
        <v>0</v>
      </c>
      <c r="AF82" s="117">
        <v>0</v>
      </c>
      <c r="AG82" s="115">
        <f t="shared" si="3"/>
        <v>0</v>
      </c>
      <c r="AH82" s="118"/>
      <c r="AI82" s="49"/>
      <c r="AJ82" s="49"/>
      <c r="AK82" s="49"/>
      <c r="AL82" s="49"/>
      <c r="AM82" s="49"/>
      <c r="AN82" s="49"/>
      <c r="AO82" s="49" t="e">
        <v>#N/A</v>
      </c>
      <c r="AP82" s="49">
        <v>0</v>
      </c>
      <c r="AQ82" s="49">
        <v>0</v>
      </c>
      <c r="AR82" s="49">
        <v>0</v>
      </c>
      <c r="AS82" s="49">
        <v>0</v>
      </c>
      <c r="AT82" s="118"/>
      <c r="AU82" s="49"/>
      <c r="AV82" s="49"/>
      <c r="AW82" s="49"/>
      <c r="AX82" s="49"/>
      <c r="AY82" s="49"/>
      <c r="AZ82" s="55"/>
      <c r="BA82" s="55" t="e">
        <v>#N/A</v>
      </c>
      <c r="BB82" s="55" t="s">
        <v>306</v>
      </c>
      <c r="BC82" s="55">
        <v>1</v>
      </c>
      <c r="BD82" s="55">
        <v>1</v>
      </c>
      <c r="BE82" s="55" t="s">
        <v>306</v>
      </c>
      <c r="BF82" s="118"/>
      <c r="BG82" s="49"/>
      <c r="BH82" s="49"/>
      <c r="BI82" s="49"/>
      <c r="BJ82" s="49"/>
      <c r="BK82" s="49"/>
      <c r="BL82" s="49"/>
      <c r="BM82" s="49" t="s">
        <v>308</v>
      </c>
      <c r="BN82" s="49">
        <v>6</v>
      </c>
      <c r="BO82" s="49">
        <v>13</v>
      </c>
      <c r="BP82" s="49">
        <v>20</v>
      </c>
      <c r="BQ82" s="120">
        <v>1</v>
      </c>
      <c r="BR82" s="49"/>
      <c r="BS82" s="126"/>
      <c r="BT82" s="126"/>
      <c r="BU82" s="126"/>
      <c r="BV82" s="126"/>
      <c r="BW82" s="126"/>
      <c r="BX82" s="115"/>
      <c r="BY82" s="115" t="s">
        <v>149</v>
      </c>
      <c r="BZ82" s="115" t="s">
        <v>149</v>
      </c>
      <c r="CA82" s="115" t="s">
        <v>62</v>
      </c>
      <c r="CB82" s="115" t="s">
        <v>62</v>
      </c>
      <c r="CC82" s="115" t="s">
        <v>62</v>
      </c>
      <c r="CD82" s="118"/>
      <c r="CE82" s="49"/>
      <c r="CF82" s="49"/>
      <c r="CG82" s="49"/>
      <c r="CH82" s="49"/>
      <c r="CI82" s="49"/>
      <c r="CJ82" s="115"/>
      <c r="CK82" s="115" t="s">
        <v>53</v>
      </c>
      <c r="CL82" s="115" t="s">
        <v>53</v>
      </c>
      <c r="CM82" s="115" t="s">
        <v>152</v>
      </c>
      <c r="CN82" s="115" t="s">
        <v>152</v>
      </c>
      <c r="CO82" s="121" t="s">
        <v>53</v>
      </c>
      <c r="CP82" s="49"/>
      <c r="CQ82" s="49"/>
      <c r="CR82" s="49"/>
      <c r="CS82" s="49"/>
      <c r="CT82" s="49"/>
      <c r="CU82" s="49"/>
      <c r="CV82" s="115"/>
      <c r="CW82" s="115" t="s">
        <v>152</v>
      </c>
      <c r="CX82" s="115" t="s">
        <v>152</v>
      </c>
      <c r="CY82" s="115" t="s">
        <v>53</v>
      </c>
      <c r="CZ82" s="115" t="s">
        <v>53</v>
      </c>
      <c r="DA82" s="115" t="s">
        <v>53</v>
      </c>
      <c r="DB82" s="118"/>
      <c r="DC82" s="49"/>
      <c r="DD82" s="49"/>
      <c r="DE82" s="49"/>
      <c r="DF82" s="49"/>
      <c r="DG82" s="49"/>
      <c r="DH82" s="49"/>
      <c r="DI82" s="49"/>
      <c r="DJ82" s="49" t="e">
        <v>#N/A</v>
      </c>
      <c r="DK82" s="49" t="s">
        <v>307</v>
      </c>
      <c r="DL82" s="49" t="s">
        <v>53</v>
      </c>
      <c r="DM82" s="49" t="s">
        <v>53</v>
      </c>
      <c r="DN82" s="49" t="s">
        <v>307</v>
      </c>
      <c r="DO82" s="118"/>
      <c r="DP82" s="49"/>
      <c r="DQ82" s="49"/>
      <c r="DR82" s="49"/>
      <c r="DS82" s="49"/>
      <c r="DT82" s="49"/>
      <c r="DU82" s="49"/>
      <c r="DV82" s="49" t="s">
        <v>328</v>
      </c>
      <c r="DW82" s="49" t="s">
        <v>159</v>
      </c>
      <c r="DX82" s="49" t="s">
        <v>310</v>
      </c>
      <c r="DY82" s="49" t="s">
        <v>316</v>
      </c>
      <c r="DZ82" s="49" t="s">
        <v>315</v>
      </c>
      <c r="EA82" s="118"/>
      <c r="EB82" s="49"/>
      <c r="EC82" s="49" t="s">
        <v>49</v>
      </c>
      <c r="ED82" s="49" t="s">
        <v>49</v>
      </c>
      <c r="EE82" s="49" t="s">
        <v>49</v>
      </c>
      <c r="EF82" s="49" t="s">
        <v>49</v>
      </c>
      <c r="EG82" s="120" t="s">
        <v>49</v>
      </c>
      <c r="EH82" s="117">
        <v>1.15</v>
      </c>
      <c r="EI82" s="117">
        <v>0</v>
      </c>
      <c r="EJ82" s="49" t="s">
        <v>328</v>
      </c>
      <c r="EK82" s="55">
        <v>0</v>
      </c>
      <c r="EL82" s="55">
        <v>0</v>
      </c>
      <c r="EM82" s="55">
        <v>0</v>
      </c>
      <c r="EN82" s="55">
        <v>0</v>
      </c>
      <c r="EO82" s="122">
        <v>0</v>
      </c>
      <c r="EP82" s="117">
        <v>0</v>
      </c>
      <c r="EQ82" s="117">
        <v>0</v>
      </c>
      <c r="ER82" s="49"/>
      <c r="ES82" s="49"/>
      <c r="ET82" s="49"/>
      <c r="EU82" s="49"/>
    </row>
    <row r="83" customFormat="1" ht="22.5" customHeight="1" spans="1:151">
      <c r="A83" s="108">
        <v>12526</v>
      </c>
      <c r="B83" s="109" t="s">
        <v>399</v>
      </c>
      <c r="C83" s="110">
        <v>46141</v>
      </c>
      <c r="D83" s="111">
        <f>IF(_xlfn.XLOOKUP(A83,[1]分配表!J:J,[1]分配表!M:M)=0,"未出单",_xlfn.XLOOKUP(A83,[1]分配表!J:J,[1]分配表!M:M))</f>
        <v>46154</v>
      </c>
      <c r="E83" s="112" t="str">
        <f>_xlfn.XLOOKUP(A83,[1]分配表!A:A,[1]分配表!C:C)</f>
        <v>王偲涵</v>
      </c>
      <c r="F83" s="112" t="str">
        <f>IF(_xlfn.XLOOKUP($A83,[1]分配表!$A:$A,[1]分配表!D:D)=0,"未分类",_xlfn.XLOOKUP($A83,[1]分配表!$A:$A,[1]分配表!D:D))</f>
        <v>车身外扩件</v>
      </c>
      <c r="G83" s="112" t="str">
        <f>_xlfn.XLOOKUP(A83,[1]分配表!J:J,[1]分配表!I:I)</f>
        <v>原开品</v>
      </c>
      <c r="H83" s="49" t="s">
        <v>328</v>
      </c>
      <c r="I83" s="49" t="s">
        <v>328</v>
      </c>
      <c r="J83" s="49" t="s">
        <v>328</v>
      </c>
      <c r="K83" s="49" t="s">
        <v>328</v>
      </c>
      <c r="L83" s="49" t="s">
        <v>328</v>
      </c>
      <c r="M83" s="49" t="s">
        <v>328</v>
      </c>
      <c r="N83" s="49" t="s">
        <v>328</v>
      </c>
      <c r="O83" s="49">
        <v>0</v>
      </c>
      <c r="P83" s="49">
        <v>0</v>
      </c>
      <c r="Q83" s="49">
        <v>2</v>
      </c>
      <c r="R83" s="49">
        <v>1</v>
      </c>
      <c r="S83" s="49">
        <v>0</v>
      </c>
      <c r="T83" s="113">
        <f t="shared" si="2"/>
        <v>-1</v>
      </c>
      <c r="U83" s="118"/>
      <c r="V83" s="49"/>
      <c r="W83" s="49"/>
      <c r="X83" s="49"/>
      <c r="Y83" s="49"/>
      <c r="Z83" s="49"/>
      <c r="AA83" s="115"/>
      <c r="AB83" s="116">
        <v>0</v>
      </c>
      <c r="AC83" s="117">
        <v>0</v>
      </c>
      <c r="AD83" s="117">
        <v>310</v>
      </c>
      <c r="AE83" s="117">
        <v>155</v>
      </c>
      <c r="AF83" s="117">
        <v>0</v>
      </c>
      <c r="AG83" s="115">
        <f t="shared" si="3"/>
        <v>-155</v>
      </c>
      <c r="AH83" s="118"/>
      <c r="AI83" s="49"/>
      <c r="AJ83" s="49"/>
      <c r="AK83" s="49"/>
      <c r="AL83" s="49"/>
      <c r="AM83" s="49"/>
      <c r="AN83" s="49"/>
      <c r="AO83" s="49" t="e">
        <v>#N/A</v>
      </c>
      <c r="AP83" s="49">
        <v>0</v>
      </c>
      <c r="AQ83" s="49">
        <v>0</v>
      </c>
      <c r="AR83" s="49">
        <v>0</v>
      </c>
      <c r="AS83" s="49">
        <v>0</v>
      </c>
      <c r="AT83" s="118"/>
      <c r="AU83" s="49"/>
      <c r="AV83" s="49"/>
      <c r="AW83" s="49"/>
      <c r="AX83" s="49"/>
      <c r="AY83" s="49"/>
      <c r="AZ83" s="55"/>
      <c r="BA83" s="55" t="e">
        <v>#N/A</v>
      </c>
      <c r="BB83" s="55" t="s">
        <v>306</v>
      </c>
      <c r="BC83" s="55" t="s">
        <v>306</v>
      </c>
      <c r="BD83" s="55">
        <v>1</v>
      </c>
      <c r="BE83" s="55">
        <v>1</v>
      </c>
      <c r="BF83" s="118"/>
      <c r="BG83" s="49"/>
      <c r="BH83" s="49"/>
      <c r="BI83" s="49"/>
      <c r="BJ83" s="49"/>
      <c r="BK83" s="49"/>
      <c r="BL83" s="49"/>
      <c r="BM83" s="49" t="s">
        <v>308</v>
      </c>
      <c r="BN83" s="49">
        <v>6</v>
      </c>
      <c r="BO83" s="49">
        <v>1</v>
      </c>
      <c r="BP83" s="49">
        <v>8</v>
      </c>
      <c r="BQ83" s="120">
        <v>1</v>
      </c>
      <c r="BR83" s="49"/>
      <c r="BS83" s="126"/>
      <c r="BT83" s="126"/>
      <c r="BU83" s="126"/>
      <c r="BV83" s="126"/>
      <c r="BW83" s="126"/>
      <c r="BX83" s="115"/>
      <c r="BY83" s="115" t="s">
        <v>149</v>
      </c>
      <c r="BZ83" s="115" t="s">
        <v>149</v>
      </c>
      <c r="CA83" s="115" t="s">
        <v>62</v>
      </c>
      <c r="CB83" s="115" t="s">
        <v>62</v>
      </c>
      <c r="CC83" s="115" t="s">
        <v>62</v>
      </c>
      <c r="CD83" s="118"/>
      <c r="CE83" s="49"/>
      <c r="CF83" s="49"/>
      <c r="CG83" s="49"/>
      <c r="CH83" s="49"/>
      <c r="CI83" s="49"/>
      <c r="CJ83" s="115"/>
      <c r="CK83" s="115" t="s">
        <v>53</v>
      </c>
      <c r="CL83" s="115" t="s">
        <v>53</v>
      </c>
      <c r="CM83" s="115" t="s">
        <v>53</v>
      </c>
      <c r="CN83" s="115" t="s">
        <v>152</v>
      </c>
      <c r="CO83" s="121" t="s">
        <v>53</v>
      </c>
      <c r="CP83" s="49"/>
      <c r="CQ83" s="49"/>
      <c r="CR83" s="49"/>
      <c r="CS83" s="49"/>
      <c r="CT83" s="49"/>
      <c r="CU83" s="49"/>
      <c r="CV83" s="115"/>
      <c r="CW83" s="115" t="s">
        <v>152</v>
      </c>
      <c r="CX83" s="115" t="s">
        <v>152</v>
      </c>
      <c r="CY83" s="115" t="s">
        <v>53</v>
      </c>
      <c r="CZ83" s="115" t="s">
        <v>53</v>
      </c>
      <c r="DA83" s="115" t="s">
        <v>53</v>
      </c>
      <c r="DB83" s="118"/>
      <c r="DC83" s="49"/>
      <c r="DD83" s="49"/>
      <c r="DE83" s="49"/>
      <c r="DF83" s="49"/>
      <c r="DG83" s="49"/>
      <c r="DH83" s="49"/>
      <c r="DI83" s="49"/>
      <c r="DJ83" s="49" t="e">
        <v>#N/A</v>
      </c>
      <c r="DK83" s="49" t="s">
        <v>307</v>
      </c>
      <c r="DL83" s="49" t="s">
        <v>307</v>
      </c>
      <c r="DM83" s="49" t="s">
        <v>53</v>
      </c>
      <c r="DN83" s="49" t="s">
        <v>53</v>
      </c>
      <c r="DO83" s="118"/>
      <c r="DP83" s="49"/>
      <c r="DQ83" s="49"/>
      <c r="DR83" s="49"/>
      <c r="DS83" s="49"/>
      <c r="DT83" s="49"/>
      <c r="DU83" s="49"/>
      <c r="DV83" s="49" t="s">
        <v>328</v>
      </c>
      <c r="DW83" s="49" t="s">
        <v>159</v>
      </c>
      <c r="DX83" s="49" t="s">
        <v>315</v>
      </c>
      <c r="DY83" s="49" t="s">
        <v>58</v>
      </c>
      <c r="DZ83" s="49" t="s">
        <v>315</v>
      </c>
      <c r="EA83" s="118"/>
      <c r="EB83" s="49"/>
      <c r="EC83" s="49" t="s">
        <v>49</v>
      </c>
      <c r="ED83" s="49" t="s">
        <v>49</v>
      </c>
      <c r="EE83" s="49" t="s">
        <v>49</v>
      </c>
      <c r="EF83" s="49" t="s">
        <v>49</v>
      </c>
      <c r="EG83" s="120" t="s">
        <v>49</v>
      </c>
      <c r="EH83" s="117">
        <v>11.37</v>
      </c>
      <c r="EI83" s="117">
        <v>165.85</v>
      </c>
      <c r="EJ83" s="49" t="s">
        <v>328</v>
      </c>
      <c r="EK83" s="55">
        <v>0</v>
      </c>
      <c r="EL83" s="55">
        <v>0</v>
      </c>
      <c r="EM83" s="55">
        <v>0</v>
      </c>
      <c r="EN83" s="55">
        <v>0</v>
      </c>
      <c r="EO83" s="122">
        <v>0</v>
      </c>
      <c r="EP83" s="117">
        <v>0</v>
      </c>
      <c r="EQ83" s="117">
        <v>0</v>
      </c>
      <c r="ER83" s="49"/>
      <c r="ES83" s="49"/>
      <c r="ET83" s="49"/>
      <c r="EU83" s="49"/>
    </row>
    <row r="84" customFormat="1" ht="22.5" customHeight="1" spans="1:151">
      <c r="A84" s="108">
        <v>12590</v>
      </c>
      <c r="B84" s="109" t="s">
        <v>400</v>
      </c>
      <c r="C84" s="110">
        <v>46141</v>
      </c>
      <c r="D84" s="111">
        <f>IF(_xlfn.XLOOKUP(A84,[1]分配表!J:J,[1]分配表!M:M)=0,"未出单",_xlfn.XLOOKUP(A84,[1]分配表!J:J,[1]分配表!M:M))</f>
        <v>46143</v>
      </c>
      <c r="E84" s="112" t="str">
        <f>_xlfn.XLOOKUP(A84,[1]分配表!A:A,[1]分配表!C:C)</f>
        <v>王偲涵</v>
      </c>
      <c r="F84" s="112" t="str">
        <f>IF(_xlfn.XLOOKUP($A84,[1]分配表!$A:$A,[1]分配表!D:D)=0,"未分类",_xlfn.XLOOKUP($A84,[1]分配表!$A:$A,[1]分配表!D:D))</f>
        <v>车身外扩件</v>
      </c>
      <c r="G84" s="112" t="str">
        <f>_xlfn.XLOOKUP(A84,[1]分配表!J:J,[1]分配表!I:I)</f>
        <v>原开品</v>
      </c>
      <c r="H84" s="49" t="s">
        <v>328</v>
      </c>
      <c r="I84" s="49" t="s">
        <v>328</v>
      </c>
      <c r="J84" s="49" t="s">
        <v>328</v>
      </c>
      <c r="K84" s="49" t="s">
        <v>328</v>
      </c>
      <c r="L84" s="49" t="s">
        <v>328</v>
      </c>
      <c r="M84" s="49" t="s">
        <v>328</v>
      </c>
      <c r="N84" s="49" t="s">
        <v>328</v>
      </c>
      <c r="O84" s="49">
        <v>0</v>
      </c>
      <c r="P84" s="49">
        <v>1</v>
      </c>
      <c r="Q84" s="49">
        <v>1</v>
      </c>
      <c r="R84" s="49">
        <v>1</v>
      </c>
      <c r="S84" s="49">
        <v>2</v>
      </c>
      <c r="T84" s="113">
        <f t="shared" si="2"/>
        <v>1</v>
      </c>
      <c r="U84" s="118"/>
      <c r="V84" s="49"/>
      <c r="W84" s="49"/>
      <c r="X84" s="49"/>
      <c r="Y84" s="49"/>
      <c r="Z84" s="49"/>
      <c r="AA84" s="115"/>
      <c r="AB84" s="116">
        <v>0</v>
      </c>
      <c r="AC84" s="117">
        <v>125</v>
      </c>
      <c r="AD84" s="117">
        <v>125</v>
      </c>
      <c r="AE84" s="117">
        <v>125</v>
      </c>
      <c r="AF84" s="117">
        <v>250</v>
      </c>
      <c r="AG84" s="115">
        <f t="shared" si="3"/>
        <v>125</v>
      </c>
      <c r="AH84" s="118"/>
      <c r="AI84" s="49"/>
      <c r="AJ84" s="49"/>
      <c r="AK84" s="49"/>
      <c r="AL84" s="49"/>
      <c r="AM84" s="49"/>
      <c r="AN84" s="49"/>
      <c r="AO84" s="49" t="e">
        <v>#N/A</v>
      </c>
      <c r="AP84" s="49">
        <v>4</v>
      </c>
      <c r="AQ84" s="49">
        <v>1</v>
      </c>
      <c r="AR84" s="49">
        <v>0</v>
      </c>
      <c r="AS84" s="49">
        <v>0</v>
      </c>
      <c r="AT84" s="118"/>
      <c r="AU84" s="49"/>
      <c r="AV84" s="49"/>
      <c r="AW84" s="49"/>
      <c r="AX84" s="49"/>
      <c r="AY84" s="49"/>
      <c r="AZ84" s="55"/>
      <c r="BA84" s="55" t="e">
        <v>#N/A</v>
      </c>
      <c r="BB84" s="55">
        <v>0.2</v>
      </c>
      <c r="BC84" s="55">
        <v>0.5</v>
      </c>
      <c r="BD84" s="55" t="s">
        <v>306</v>
      </c>
      <c r="BE84" s="55">
        <v>1</v>
      </c>
      <c r="BF84" s="118"/>
      <c r="BG84" s="49"/>
      <c r="BH84" s="49"/>
      <c r="BI84" s="49"/>
      <c r="BJ84" s="49"/>
      <c r="BK84" s="49"/>
      <c r="BL84" s="49"/>
      <c r="BM84" s="49" t="s">
        <v>308</v>
      </c>
      <c r="BN84" s="49">
        <v>6</v>
      </c>
      <c r="BO84" s="49">
        <v>13</v>
      </c>
      <c r="BP84" s="49">
        <v>2</v>
      </c>
      <c r="BQ84" s="120">
        <v>1</v>
      </c>
      <c r="BR84" s="49"/>
      <c r="BS84" s="126"/>
      <c r="BT84" s="126"/>
      <c r="BU84" s="126"/>
      <c r="BV84" s="126"/>
      <c r="BW84" s="126"/>
      <c r="BX84" s="115"/>
      <c r="BY84" s="115" t="s">
        <v>149</v>
      </c>
      <c r="BZ84" s="115" t="s">
        <v>49</v>
      </c>
      <c r="CA84" s="115" t="s">
        <v>49</v>
      </c>
      <c r="CB84" s="115" t="s">
        <v>49</v>
      </c>
      <c r="CC84" s="115" t="s">
        <v>49</v>
      </c>
      <c r="CD84" s="118"/>
      <c r="CE84" s="49"/>
      <c r="CF84" s="49"/>
      <c r="CG84" s="49"/>
      <c r="CH84" s="49"/>
      <c r="CI84" s="49"/>
      <c r="CJ84" s="115"/>
      <c r="CK84" s="115" t="s">
        <v>53</v>
      </c>
      <c r="CL84" s="115" t="s">
        <v>53</v>
      </c>
      <c r="CM84" s="115" t="s">
        <v>152</v>
      </c>
      <c r="CN84" s="115" t="s">
        <v>53</v>
      </c>
      <c r="CO84" s="121" t="s">
        <v>53</v>
      </c>
      <c r="CP84" s="49"/>
      <c r="CQ84" s="49"/>
      <c r="CR84" s="49"/>
      <c r="CS84" s="49"/>
      <c r="CT84" s="49"/>
      <c r="CU84" s="49"/>
      <c r="CV84" s="115"/>
      <c r="CW84" s="115" t="s">
        <v>152</v>
      </c>
      <c r="CX84" s="115" t="s">
        <v>152</v>
      </c>
      <c r="CY84" s="115" t="s">
        <v>53</v>
      </c>
      <c r="CZ84" s="115" t="s">
        <v>53</v>
      </c>
      <c r="DA84" s="115" t="s">
        <v>53</v>
      </c>
      <c r="DB84" s="118"/>
      <c r="DC84" s="49"/>
      <c r="DD84" s="49"/>
      <c r="DE84" s="49"/>
      <c r="DF84" s="49"/>
      <c r="DG84" s="49"/>
      <c r="DH84" s="49"/>
      <c r="DI84" s="49"/>
      <c r="DJ84" s="49" t="e">
        <v>#N/A</v>
      </c>
      <c r="DK84" s="49" t="s">
        <v>313</v>
      </c>
      <c r="DL84" s="49" t="s">
        <v>313</v>
      </c>
      <c r="DM84" s="49" t="s">
        <v>307</v>
      </c>
      <c r="DN84" s="49" t="s">
        <v>53</v>
      </c>
      <c r="DO84" s="118"/>
      <c r="DP84" s="49"/>
      <c r="DQ84" s="49"/>
      <c r="DR84" s="49"/>
      <c r="DS84" s="49"/>
      <c r="DT84" s="49"/>
      <c r="DU84" s="49"/>
      <c r="DV84" s="49" t="s">
        <v>328</v>
      </c>
      <c r="DW84" s="49" t="s">
        <v>159</v>
      </c>
      <c r="DX84" s="49" t="s">
        <v>310</v>
      </c>
      <c r="DY84" s="49" t="s">
        <v>316</v>
      </c>
      <c r="DZ84" s="49" t="s">
        <v>58</v>
      </c>
      <c r="EA84" s="118"/>
      <c r="EB84" s="49"/>
      <c r="EC84" s="49" t="s">
        <v>49</v>
      </c>
      <c r="ED84" s="49" t="s">
        <v>49</v>
      </c>
      <c r="EE84" s="49" t="s">
        <v>49</v>
      </c>
      <c r="EF84" s="49" t="s">
        <v>49</v>
      </c>
      <c r="EG84" s="120" t="s">
        <v>49</v>
      </c>
      <c r="EH84" s="117">
        <v>14.08</v>
      </c>
      <c r="EI84" s="117">
        <v>135.31</v>
      </c>
      <c r="EJ84" s="49" t="s">
        <v>328</v>
      </c>
      <c r="EK84" s="55">
        <v>0</v>
      </c>
      <c r="EL84" s="55">
        <v>0</v>
      </c>
      <c r="EM84" s="55">
        <v>0</v>
      </c>
      <c r="EN84" s="55">
        <v>0</v>
      </c>
      <c r="EO84" s="122">
        <v>0</v>
      </c>
      <c r="EP84" s="117">
        <v>0</v>
      </c>
      <c r="EQ84" s="117">
        <v>0</v>
      </c>
      <c r="ER84" s="49"/>
      <c r="ES84" s="49"/>
      <c r="ET84" s="49"/>
      <c r="EU84" s="49"/>
    </row>
    <row r="85" customFormat="1" ht="22.5" customHeight="1" spans="1:151">
      <c r="A85" s="108">
        <v>12586</v>
      </c>
      <c r="B85" s="109" t="s">
        <v>401</v>
      </c>
      <c r="C85" s="110">
        <v>46141</v>
      </c>
      <c r="D85" s="111">
        <f>IF(_xlfn.XLOOKUP(A85,[1]分配表!J:J,[1]分配表!M:M)=0,"未出单",_xlfn.XLOOKUP(A85,[1]分配表!J:J,[1]分配表!M:M))</f>
        <v>46142</v>
      </c>
      <c r="E85" s="112" t="str">
        <f>_xlfn.XLOOKUP(A85,[1]分配表!A:A,[1]分配表!C:C)</f>
        <v>朱培源</v>
      </c>
      <c r="F85" s="112" t="str">
        <f>IF(_xlfn.XLOOKUP($A85,[1]分配表!$A:$A,[1]分配表!D:D)=0,"未分类",_xlfn.XLOOKUP($A85,[1]分配表!$A:$A,[1]分配表!D:D))</f>
        <v>机盖及附件</v>
      </c>
      <c r="G85" s="112" t="str">
        <f>_xlfn.XLOOKUP(A85,[1]分配表!J:J,[1]分配表!I:I)</f>
        <v>原开品</v>
      </c>
      <c r="H85" s="49" t="s">
        <v>328</v>
      </c>
      <c r="I85" s="49" t="s">
        <v>328</v>
      </c>
      <c r="J85" s="49" t="s">
        <v>328</v>
      </c>
      <c r="K85" s="49" t="s">
        <v>328</v>
      </c>
      <c r="L85" s="49" t="s">
        <v>328</v>
      </c>
      <c r="M85" s="49" t="s">
        <v>328</v>
      </c>
      <c r="N85" s="49" t="s">
        <v>328</v>
      </c>
      <c r="O85" s="49">
        <v>0</v>
      </c>
      <c r="P85" s="49">
        <v>2</v>
      </c>
      <c r="Q85" s="49">
        <v>0</v>
      </c>
      <c r="R85" s="49">
        <v>8</v>
      </c>
      <c r="S85" s="49">
        <v>1</v>
      </c>
      <c r="T85" s="113">
        <f t="shared" si="2"/>
        <v>-7</v>
      </c>
      <c r="U85" s="118"/>
      <c r="V85" s="49"/>
      <c r="W85" s="49"/>
      <c r="X85" s="49"/>
      <c r="Y85" s="49"/>
      <c r="Z85" s="49"/>
      <c r="AA85" s="115"/>
      <c r="AB85" s="116">
        <v>0</v>
      </c>
      <c r="AC85" s="117">
        <v>140</v>
      </c>
      <c r="AD85" s="117">
        <v>0</v>
      </c>
      <c r="AE85" s="117">
        <v>560</v>
      </c>
      <c r="AF85" s="117">
        <v>70</v>
      </c>
      <c r="AG85" s="115">
        <f t="shared" si="3"/>
        <v>-490</v>
      </c>
      <c r="AH85" s="118"/>
      <c r="AI85" s="49"/>
      <c r="AJ85" s="49"/>
      <c r="AK85" s="49"/>
      <c r="AL85" s="49"/>
      <c r="AM85" s="49"/>
      <c r="AN85" s="49"/>
      <c r="AO85" s="49" t="e">
        <v>#N/A</v>
      </c>
      <c r="AP85" s="49">
        <v>2</v>
      </c>
      <c r="AQ85" s="49">
        <v>0</v>
      </c>
      <c r="AR85" s="49">
        <v>0</v>
      </c>
      <c r="AS85" s="49">
        <v>1</v>
      </c>
      <c r="AT85" s="118"/>
      <c r="AU85" s="49"/>
      <c r="AV85" s="49"/>
      <c r="AW85" s="49"/>
      <c r="AX85" s="49"/>
      <c r="AY85" s="49"/>
      <c r="AZ85" s="55"/>
      <c r="BA85" s="55" t="e">
        <v>#N/A</v>
      </c>
      <c r="BB85" s="55">
        <v>0.3333</v>
      </c>
      <c r="BC85" s="55">
        <v>1</v>
      </c>
      <c r="BD85" s="55">
        <v>1</v>
      </c>
      <c r="BE85" s="55">
        <v>0.8</v>
      </c>
      <c r="BF85" s="118"/>
      <c r="BG85" s="49"/>
      <c r="BH85" s="49"/>
      <c r="BI85" s="49"/>
      <c r="BJ85" s="49"/>
      <c r="BK85" s="49"/>
      <c r="BL85" s="49"/>
      <c r="BM85" s="49">
        <v>0</v>
      </c>
      <c r="BN85" s="49">
        <v>7</v>
      </c>
      <c r="BO85" s="49">
        <v>4</v>
      </c>
      <c r="BP85" s="49">
        <v>11</v>
      </c>
      <c r="BQ85" s="120">
        <v>0</v>
      </c>
      <c r="BR85" s="49"/>
      <c r="BS85" s="126"/>
      <c r="BT85" s="126"/>
      <c r="BU85" s="126"/>
      <c r="BV85" s="126"/>
      <c r="BW85" s="126"/>
      <c r="BX85" s="115"/>
      <c r="BY85" s="115" t="s">
        <v>149</v>
      </c>
      <c r="BZ85" s="115" t="s">
        <v>49</v>
      </c>
      <c r="CA85" s="115" t="s">
        <v>49</v>
      </c>
      <c r="CB85" s="115" t="s">
        <v>49</v>
      </c>
      <c r="CC85" s="115" t="s">
        <v>49</v>
      </c>
      <c r="CD85" s="118"/>
      <c r="CE85" s="49"/>
      <c r="CF85" s="49"/>
      <c r="CG85" s="49"/>
      <c r="CH85" s="49"/>
      <c r="CI85" s="49"/>
      <c r="CJ85" s="115"/>
      <c r="CK85" s="115" t="s">
        <v>53</v>
      </c>
      <c r="CL85" s="115" t="s">
        <v>152</v>
      </c>
      <c r="CM85" s="115" t="s">
        <v>53</v>
      </c>
      <c r="CN85" s="115" t="s">
        <v>152</v>
      </c>
      <c r="CO85" s="121" t="s">
        <v>53</v>
      </c>
      <c r="CP85" s="49"/>
      <c r="CQ85" s="49"/>
      <c r="CR85" s="49"/>
      <c r="CS85" s="49"/>
      <c r="CT85" s="49"/>
      <c r="CU85" s="49"/>
      <c r="CV85" s="115"/>
      <c r="CW85" s="115" t="s">
        <v>53</v>
      </c>
      <c r="CX85" s="115" t="s">
        <v>152</v>
      </c>
      <c r="CY85" s="115" t="s">
        <v>53</v>
      </c>
      <c r="CZ85" s="115" t="s">
        <v>53</v>
      </c>
      <c r="DA85" s="115" t="s">
        <v>53</v>
      </c>
      <c r="DB85" s="118"/>
      <c r="DC85" s="49"/>
      <c r="DD85" s="49"/>
      <c r="DE85" s="49"/>
      <c r="DF85" s="49"/>
      <c r="DG85" s="49"/>
      <c r="DH85" s="49"/>
      <c r="DI85" s="49"/>
      <c r="DJ85" s="49" t="e">
        <v>#N/A</v>
      </c>
      <c r="DK85" s="49" t="s">
        <v>313</v>
      </c>
      <c r="DL85" s="49" t="s">
        <v>53</v>
      </c>
      <c r="DM85" s="49" t="s">
        <v>53</v>
      </c>
      <c r="DN85" s="49" t="s">
        <v>53</v>
      </c>
      <c r="DO85" s="118"/>
      <c r="DP85" s="49"/>
      <c r="DQ85" s="49"/>
      <c r="DR85" s="49"/>
      <c r="DS85" s="49"/>
      <c r="DT85" s="49"/>
      <c r="DU85" s="49"/>
      <c r="DV85" s="49" t="s">
        <v>328</v>
      </c>
      <c r="DW85" s="49" t="s">
        <v>58</v>
      </c>
      <c r="DX85" s="49" t="s">
        <v>310</v>
      </c>
      <c r="DY85" s="49" t="s">
        <v>58</v>
      </c>
      <c r="DZ85" s="49" t="s">
        <v>331</v>
      </c>
      <c r="EA85" s="118"/>
      <c r="EB85" s="49"/>
      <c r="EC85" s="49" t="s">
        <v>49</v>
      </c>
      <c r="ED85" s="49" t="s">
        <v>49</v>
      </c>
      <c r="EE85" s="49" t="s">
        <v>49</v>
      </c>
      <c r="EF85" s="49" t="s">
        <v>49</v>
      </c>
      <c r="EG85" s="120" t="s">
        <v>49</v>
      </c>
      <c r="EH85" s="117">
        <v>0</v>
      </c>
      <c r="EI85" s="117">
        <v>0</v>
      </c>
      <c r="EJ85" s="49" t="s">
        <v>328</v>
      </c>
      <c r="EK85" s="55">
        <v>0</v>
      </c>
      <c r="EL85" s="55">
        <v>0</v>
      </c>
      <c r="EM85" s="55">
        <v>0</v>
      </c>
      <c r="EN85" s="55">
        <v>0</v>
      </c>
      <c r="EO85" s="122">
        <v>0</v>
      </c>
      <c r="EP85" s="117">
        <v>0</v>
      </c>
      <c r="EQ85" s="117">
        <v>0</v>
      </c>
      <c r="ER85" s="49"/>
      <c r="ES85" s="49"/>
      <c r="ET85" s="49"/>
      <c r="EU85" s="49"/>
    </row>
    <row r="86" customFormat="1" ht="22.5" customHeight="1" spans="1:151">
      <c r="A86" s="108">
        <v>12615</v>
      </c>
      <c r="B86" s="109" t="s">
        <v>402</v>
      </c>
      <c r="C86" s="110">
        <v>46141</v>
      </c>
      <c r="D86" s="111">
        <f>IF(_xlfn.XLOOKUP(A86,[1]分配表!J:J,[1]分配表!M:M)=0,"未出单",_xlfn.XLOOKUP(A86,[1]分配表!J:J,[1]分配表!M:M))</f>
        <v>46150</v>
      </c>
      <c r="E86" s="112" t="str">
        <f>_xlfn.XLOOKUP(A86,[1]分配表!A:A,[1]分配表!C:C)</f>
        <v>王偲涵</v>
      </c>
      <c r="F86" s="112" t="str">
        <f>IF(_xlfn.XLOOKUP($A86,[1]分配表!$A:$A,[1]分配表!D:D)=0,"未分类",_xlfn.XLOOKUP($A86,[1]分配表!$A:$A,[1]分配表!D:D))</f>
        <v>其他</v>
      </c>
      <c r="G86" s="112" t="str">
        <f>_xlfn.XLOOKUP(A86,[1]分配表!J:J,[1]分配表!I:I)</f>
        <v>原开品</v>
      </c>
      <c r="H86" s="49" t="s">
        <v>328</v>
      </c>
      <c r="I86" s="49" t="s">
        <v>328</v>
      </c>
      <c r="J86" s="49" t="s">
        <v>328</v>
      </c>
      <c r="K86" s="49" t="s">
        <v>328</v>
      </c>
      <c r="L86" s="49" t="s">
        <v>328</v>
      </c>
      <c r="M86" s="49" t="s">
        <v>328</v>
      </c>
      <c r="N86" s="49" t="s">
        <v>328</v>
      </c>
      <c r="O86" s="49">
        <v>0</v>
      </c>
      <c r="P86" s="49">
        <v>0</v>
      </c>
      <c r="Q86" s="49">
        <v>1</v>
      </c>
      <c r="R86" s="49">
        <v>0</v>
      </c>
      <c r="S86" s="49">
        <v>0</v>
      </c>
      <c r="T86" s="113">
        <f t="shared" si="2"/>
        <v>0</v>
      </c>
      <c r="U86" s="118"/>
      <c r="V86" s="49"/>
      <c r="W86" s="49"/>
      <c r="X86" s="49"/>
      <c r="Y86" s="49"/>
      <c r="Z86" s="49"/>
      <c r="AA86" s="115"/>
      <c r="AB86" s="116">
        <v>0</v>
      </c>
      <c r="AC86" s="117">
        <v>0</v>
      </c>
      <c r="AD86" s="117">
        <v>95</v>
      </c>
      <c r="AE86" s="117">
        <v>0</v>
      </c>
      <c r="AF86" s="117">
        <v>0</v>
      </c>
      <c r="AG86" s="115">
        <f t="shared" si="3"/>
        <v>0</v>
      </c>
      <c r="AH86" s="118"/>
      <c r="AI86" s="49"/>
      <c r="AJ86" s="49"/>
      <c r="AK86" s="49"/>
      <c r="AL86" s="49"/>
      <c r="AM86" s="49"/>
      <c r="AN86" s="49"/>
      <c r="AO86" s="49" t="e">
        <v>#N/A</v>
      </c>
      <c r="AP86" s="49">
        <v>1</v>
      </c>
      <c r="AQ86" s="49">
        <v>0</v>
      </c>
      <c r="AR86" s="49">
        <v>0</v>
      </c>
      <c r="AS86" s="49">
        <v>0</v>
      </c>
      <c r="AT86" s="118"/>
      <c r="AU86" s="49"/>
      <c r="AV86" s="49"/>
      <c r="AW86" s="49"/>
      <c r="AX86" s="49"/>
      <c r="AY86" s="49"/>
      <c r="AZ86" s="55"/>
      <c r="BA86" s="55" t="e">
        <v>#N/A</v>
      </c>
      <c r="BB86" s="55">
        <v>0</v>
      </c>
      <c r="BC86" s="55">
        <v>1</v>
      </c>
      <c r="BD86" s="55" t="s">
        <v>306</v>
      </c>
      <c r="BE86" s="55" t="s">
        <v>306</v>
      </c>
      <c r="BF86" s="118"/>
      <c r="BG86" s="49"/>
      <c r="BH86" s="49"/>
      <c r="BI86" s="49"/>
      <c r="BJ86" s="49"/>
      <c r="BK86" s="49"/>
      <c r="BL86" s="49"/>
      <c r="BM86" s="49" t="s">
        <v>308</v>
      </c>
      <c r="BN86" s="49">
        <v>6</v>
      </c>
      <c r="BO86" s="49">
        <v>1</v>
      </c>
      <c r="BP86" s="49">
        <v>8</v>
      </c>
      <c r="BQ86" s="120">
        <v>1</v>
      </c>
      <c r="BR86" s="49"/>
      <c r="BS86" s="126"/>
      <c r="BT86" s="126"/>
      <c r="BU86" s="126"/>
      <c r="BV86" s="126"/>
      <c r="BW86" s="126"/>
      <c r="BX86" s="115"/>
      <c r="BY86" s="115" t="s">
        <v>149</v>
      </c>
      <c r="BZ86" s="115" t="s">
        <v>149</v>
      </c>
      <c r="CA86" s="115" t="s">
        <v>62</v>
      </c>
      <c r="CB86" s="115" t="s">
        <v>62</v>
      </c>
      <c r="CC86" s="115" t="s">
        <v>62</v>
      </c>
      <c r="CD86" s="118"/>
      <c r="CE86" s="49"/>
      <c r="CF86" s="49"/>
      <c r="CG86" s="49"/>
      <c r="CH86" s="49"/>
      <c r="CI86" s="49"/>
      <c r="CJ86" s="115"/>
      <c r="CK86" s="115" t="s">
        <v>53</v>
      </c>
      <c r="CL86" s="115" t="s">
        <v>53</v>
      </c>
      <c r="CM86" s="115" t="s">
        <v>53</v>
      </c>
      <c r="CN86" s="115" t="s">
        <v>152</v>
      </c>
      <c r="CO86" s="121" t="s">
        <v>53</v>
      </c>
      <c r="CP86" s="49"/>
      <c r="CQ86" s="49"/>
      <c r="CR86" s="49"/>
      <c r="CS86" s="49"/>
      <c r="CT86" s="49"/>
      <c r="CU86" s="49"/>
      <c r="CV86" s="115"/>
      <c r="CW86" s="115" t="s">
        <v>152</v>
      </c>
      <c r="CX86" s="115" t="s">
        <v>152</v>
      </c>
      <c r="CY86" s="115" t="s">
        <v>53</v>
      </c>
      <c r="CZ86" s="115" t="s">
        <v>53</v>
      </c>
      <c r="DA86" s="115" t="s">
        <v>53</v>
      </c>
      <c r="DB86" s="118"/>
      <c r="DC86" s="49"/>
      <c r="DD86" s="49"/>
      <c r="DE86" s="49"/>
      <c r="DF86" s="49"/>
      <c r="DG86" s="49"/>
      <c r="DH86" s="49"/>
      <c r="DI86" s="49"/>
      <c r="DJ86" s="49" t="e">
        <v>#N/A</v>
      </c>
      <c r="DK86" s="49" t="s">
        <v>313</v>
      </c>
      <c r="DL86" s="49" t="s">
        <v>53</v>
      </c>
      <c r="DM86" s="49" t="s">
        <v>307</v>
      </c>
      <c r="DN86" s="49" t="s">
        <v>156</v>
      </c>
      <c r="DO86" s="118"/>
      <c r="DP86" s="49"/>
      <c r="DQ86" s="49"/>
      <c r="DR86" s="49"/>
      <c r="DS86" s="49"/>
      <c r="DT86" s="49"/>
      <c r="DU86" s="49"/>
      <c r="DV86" s="49" t="s">
        <v>328</v>
      </c>
      <c r="DW86" s="49" t="s">
        <v>310</v>
      </c>
      <c r="DX86" s="49" t="s">
        <v>310</v>
      </c>
      <c r="DY86" s="49" t="s">
        <v>58</v>
      </c>
      <c r="DZ86" s="49" t="s">
        <v>314</v>
      </c>
      <c r="EA86" s="118"/>
      <c r="EB86" s="49"/>
      <c r="EC86" s="49" t="s">
        <v>62</v>
      </c>
      <c r="ED86" s="49" t="s">
        <v>62</v>
      </c>
      <c r="EE86" s="49" t="s">
        <v>62</v>
      </c>
      <c r="EF86" s="49" t="s">
        <v>62</v>
      </c>
      <c r="EG86" s="120" t="s">
        <v>62</v>
      </c>
      <c r="EH86" s="117">
        <v>0</v>
      </c>
      <c r="EI86" s="117">
        <v>0</v>
      </c>
      <c r="EJ86" s="49" t="s">
        <v>328</v>
      </c>
      <c r="EK86" s="55">
        <v>0.02</v>
      </c>
      <c r="EL86" s="55">
        <v>0</v>
      </c>
      <c r="EM86" s="55">
        <v>0</v>
      </c>
      <c r="EN86" s="55">
        <v>0</v>
      </c>
      <c r="EO86" s="122">
        <v>0</v>
      </c>
      <c r="EP86" s="117">
        <v>0</v>
      </c>
      <c r="EQ86" s="117">
        <v>0</v>
      </c>
      <c r="ER86" s="49"/>
      <c r="ES86" s="49"/>
      <c r="ET86" s="49"/>
      <c r="EU86" s="49"/>
    </row>
    <row r="87" customFormat="1" ht="22.5" customHeight="1" spans="1:151">
      <c r="A87" s="108">
        <v>12616</v>
      </c>
      <c r="B87" s="109" t="s">
        <v>403</v>
      </c>
      <c r="C87" s="110">
        <v>46141</v>
      </c>
      <c r="D87" s="111">
        <f>IF(_xlfn.XLOOKUP(A87,[1]分配表!J:J,[1]分配表!M:M)=0,"未出单",_xlfn.XLOOKUP(A87,[1]分配表!J:J,[1]分配表!M:M))</f>
        <v>46145</v>
      </c>
      <c r="E87" s="112" t="str">
        <f>_xlfn.XLOOKUP(A87,[1]分配表!A:A,[1]分配表!C:C)</f>
        <v>王偲涵</v>
      </c>
      <c r="F87" s="112" t="str">
        <f>IF(_xlfn.XLOOKUP($A87,[1]分配表!$A:$A,[1]分配表!D:D)=0,"未分类",_xlfn.XLOOKUP($A87,[1]分配表!$A:$A,[1]分配表!D:D))</f>
        <v>其他</v>
      </c>
      <c r="G87" s="112" t="str">
        <f>_xlfn.XLOOKUP(A87,[1]分配表!J:J,[1]分配表!I:I)</f>
        <v>原开品</v>
      </c>
      <c r="H87" s="49" t="s">
        <v>328</v>
      </c>
      <c r="I87" s="49" t="s">
        <v>328</v>
      </c>
      <c r="J87" s="49" t="s">
        <v>328</v>
      </c>
      <c r="K87" s="49" t="s">
        <v>328</v>
      </c>
      <c r="L87" s="49" t="s">
        <v>328</v>
      </c>
      <c r="M87" s="49" t="s">
        <v>328</v>
      </c>
      <c r="N87" s="49" t="s">
        <v>328</v>
      </c>
      <c r="O87" s="49">
        <v>0</v>
      </c>
      <c r="P87" s="49">
        <v>2</v>
      </c>
      <c r="Q87" s="49">
        <v>1</v>
      </c>
      <c r="R87" s="49">
        <v>0</v>
      </c>
      <c r="S87" s="49">
        <v>0</v>
      </c>
      <c r="T87" s="113">
        <f t="shared" si="2"/>
        <v>0</v>
      </c>
      <c r="U87" s="118"/>
      <c r="V87" s="49"/>
      <c r="W87" s="49"/>
      <c r="X87" s="49"/>
      <c r="Y87" s="49"/>
      <c r="Z87" s="49"/>
      <c r="AA87" s="115"/>
      <c r="AB87" s="116">
        <v>0</v>
      </c>
      <c r="AC87" s="117">
        <v>190</v>
      </c>
      <c r="AD87" s="117">
        <v>95</v>
      </c>
      <c r="AE87" s="117">
        <v>0</v>
      </c>
      <c r="AF87" s="117">
        <v>0</v>
      </c>
      <c r="AG87" s="115">
        <f t="shared" si="3"/>
        <v>0</v>
      </c>
      <c r="AH87" s="118"/>
      <c r="AI87" s="49"/>
      <c r="AJ87" s="49"/>
      <c r="AK87" s="49"/>
      <c r="AL87" s="49"/>
      <c r="AM87" s="49"/>
      <c r="AN87" s="49"/>
      <c r="AO87" s="49" t="e">
        <v>#N/A</v>
      </c>
      <c r="AP87" s="49">
        <v>0</v>
      </c>
      <c r="AQ87" s="49">
        <v>0</v>
      </c>
      <c r="AR87" s="49">
        <v>1</v>
      </c>
      <c r="AS87" s="49">
        <v>0</v>
      </c>
      <c r="AT87" s="118"/>
      <c r="AU87" s="49"/>
      <c r="AV87" s="49"/>
      <c r="AW87" s="49"/>
      <c r="AX87" s="49"/>
      <c r="AY87" s="49"/>
      <c r="AZ87" s="55"/>
      <c r="BA87" s="55" t="e">
        <v>#N/A</v>
      </c>
      <c r="BB87" s="55">
        <v>1</v>
      </c>
      <c r="BC87" s="55">
        <v>1</v>
      </c>
      <c r="BD87" s="55">
        <v>0</v>
      </c>
      <c r="BE87" s="55" t="s">
        <v>306</v>
      </c>
      <c r="BF87" s="118"/>
      <c r="BG87" s="49"/>
      <c r="BH87" s="49"/>
      <c r="BI87" s="49"/>
      <c r="BJ87" s="49"/>
      <c r="BK87" s="49"/>
      <c r="BL87" s="49"/>
      <c r="BM87" s="49" t="s">
        <v>308</v>
      </c>
      <c r="BN87" s="49">
        <v>6</v>
      </c>
      <c r="BO87" s="49">
        <v>1</v>
      </c>
      <c r="BP87" s="49">
        <v>8</v>
      </c>
      <c r="BQ87" s="120">
        <v>1</v>
      </c>
      <c r="BR87" s="49"/>
      <c r="BS87" s="126"/>
      <c r="BT87" s="126"/>
      <c r="BU87" s="126"/>
      <c r="BV87" s="126"/>
      <c r="BW87" s="126"/>
      <c r="BX87" s="115"/>
      <c r="BY87" s="115" t="s">
        <v>149</v>
      </c>
      <c r="BZ87" s="115" t="s">
        <v>49</v>
      </c>
      <c r="CA87" s="115" t="s">
        <v>49</v>
      </c>
      <c r="CB87" s="115" t="s">
        <v>49</v>
      </c>
      <c r="CC87" s="115" t="s">
        <v>49</v>
      </c>
      <c r="CD87" s="118"/>
      <c r="CE87" s="49"/>
      <c r="CF87" s="49"/>
      <c r="CG87" s="49"/>
      <c r="CH87" s="49"/>
      <c r="CI87" s="49"/>
      <c r="CJ87" s="115"/>
      <c r="CK87" s="115" t="s">
        <v>53</v>
      </c>
      <c r="CL87" s="115" t="s">
        <v>53</v>
      </c>
      <c r="CM87" s="115" t="s">
        <v>53</v>
      </c>
      <c r="CN87" s="115" t="s">
        <v>152</v>
      </c>
      <c r="CO87" s="121" t="s">
        <v>53</v>
      </c>
      <c r="CP87" s="49"/>
      <c r="CQ87" s="49"/>
      <c r="CR87" s="49"/>
      <c r="CS87" s="49"/>
      <c r="CT87" s="49"/>
      <c r="CU87" s="49"/>
      <c r="CV87" s="115"/>
      <c r="CW87" s="115" t="s">
        <v>152</v>
      </c>
      <c r="CX87" s="115" t="s">
        <v>152</v>
      </c>
      <c r="CY87" s="115" t="s">
        <v>53</v>
      </c>
      <c r="CZ87" s="115" t="s">
        <v>53</v>
      </c>
      <c r="DA87" s="115" t="s">
        <v>53</v>
      </c>
      <c r="DB87" s="118"/>
      <c r="DC87" s="49"/>
      <c r="DD87" s="49"/>
      <c r="DE87" s="49"/>
      <c r="DF87" s="49"/>
      <c r="DG87" s="49"/>
      <c r="DH87" s="49"/>
      <c r="DI87" s="49"/>
      <c r="DJ87" s="49" t="e">
        <v>#N/A</v>
      </c>
      <c r="DK87" s="49" t="s">
        <v>53</v>
      </c>
      <c r="DL87" s="49" t="s">
        <v>53</v>
      </c>
      <c r="DM87" s="49" t="s">
        <v>313</v>
      </c>
      <c r="DN87" s="49" t="s">
        <v>156</v>
      </c>
      <c r="DO87" s="118"/>
      <c r="DP87" s="49"/>
      <c r="DQ87" s="49"/>
      <c r="DR87" s="49"/>
      <c r="DS87" s="49"/>
      <c r="DT87" s="49"/>
      <c r="DU87" s="49"/>
      <c r="DV87" s="49" t="s">
        <v>328</v>
      </c>
      <c r="DW87" s="49" t="s">
        <v>310</v>
      </c>
      <c r="DX87" s="49" t="s">
        <v>159</v>
      </c>
      <c r="DY87" s="49" t="s">
        <v>58</v>
      </c>
      <c r="DZ87" s="49" t="s">
        <v>314</v>
      </c>
      <c r="EA87" s="118"/>
      <c r="EB87" s="49"/>
      <c r="EC87" s="49" t="s">
        <v>62</v>
      </c>
      <c r="ED87" s="49" t="s">
        <v>62</v>
      </c>
      <c r="EE87" s="49" t="s">
        <v>62</v>
      </c>
      <c r="EF87" s="49" t="s">
        <v>62</v>
      </c>
      <c r="EG87" s="120" t="s">
        <v>62</v>
      </c>
      <c r="EH87" s="117">
        <v>0</v>
      </c>
      <c r="EI87" s="117">
        <v>0</v>
      </c>
      <c r="EJ87" s="49" t="s">
        <v>328</v>
      </c>
      <c r="EK87" s="55">
        <v>0.02</v>
      </c>
      <c r="EL87" s="55">
        <v>0</v>
      </c>
      <c r="EM87" s="55">
        <v>0</v>
      </c>
      <c r="EN87" s="55">
        <v>0</v>
      </c>
      <c r="EO87" s="122">
        <v>0</v>
      </c>
      <c r="EP87" s="117">
        <v>0</v>
      </c>
      <c r="EQ87" s="117">
        <v>0</v>
      </c>
      <c r="ER87" s="49"/>
      <c r="ES87" s="49"/>
      <c r="ET87" s="49"/>
      <c r="EU87" s="49"/>
    </row>
    <row r="88" customFormat="1" ht="22.5" customHeight="1" spans="1:151">
      <c r="A88" s="108">
        <v>12572</v>
      </c>
      <c r="B88" s="109" t="s">
        <v>404</v>
      </c>
      <c r="C88" s="110">
        <v>46141</v>
      </c>
      <c r="D88" s="111">
        <f>IF(_xlfn.XLOOKUP(A88,[1]分配表!J:J,[1]分配表!M:M)=0,"未出单",_xlfn.XLOOKUP(A88,[1]分配表!J:J,[1]分配表!M:M))</f>
        <v>46147</v>
      </c>
      <c r="E88" s="112" t="str">
        <f>_xlfn.XLOOKUP(A88,[1]分配表!A:A,[1]分配表!C:C)</f>
        <v>胡煜星</v>
      </c>
      <c r="F88" s="112" t="str">
        <f>IF(_xlfn.XLOOKUP($A88,[1]分配表!$A:$A,[1]分配表!D:D)=0,"未分类",_xlfn.XLOOKUP($A88,[1]分配表!$A:$A,[1]分配表!D:D))</f>
        <v>其他</v>
      </c>
      <c r="G88" s="112" t="str">
        <f>_xlfn.XLOOKUP(A88,[1]分配表!J:J,[1]分配表!I:I)</f>
        <v>拓展品</v>
      </c>
      <c r="H88" s="49" t="s">
        <v>328</v>
      </c>
      <c r="I88" s="49" t="s">
        <v>328</v>
      </c>
      <c r="J88" s="49" t="s">
        <v>328</v>
      </c>
      <c r="K88" s="49" t="s">
        <v>328</v>
      </c>
      <c r="L88" s="49" t="s">
        <v>328</v>
      </c>
      <c r="M88" s="49" t="s">
        <v>328</v>
      </c>
      <c r="N88" s="49" t="s">
        <v>328</v>
      </c>
      <c r="O88" s="49">
        <v>0</v>
      </c>
      <c r="P88" s="49">
        <v>1</v>
      </c>
      <c r="Q88" s="49">
        <v>1</v>
      </c>
      <c r="R88" s="49">
        <v>0</v>
      </c>
      <c r="S88" s="49">
        <v>2</v>
      </c>
      <c r="T88" s="113">
        <f t="shared" si="2"/>
        <v>2</v>
      </c>
      <c r="U88" s="118"/>
      <c r="V88" s="49"/>
      <c r="W88" s="49"/>
      <c r="X88" s="49"/>
      <c r="Y88" s="49"/>
      <c r="Z88" s="49"/>
      <c r="AA88" s="115"/>
      <c r="AB88" s="116">
        <v>0</v>
      </c>
      <c r="AC88" s="117">
        <v>60</v>
      </c>
      <c r="AD88" s="117">
        <v>60</v>
      </c>
      <c r="AE88" s="117">
        <v>0</v>
      </c>
      <c r="AF88" s="117">
        <v>120</v>
      </c>
      <c r="AG88" s="115">
        <f t="shared" si="3"/>
        <v>120</v>
      </c>
      <c r="AH88" s="118"/>
      <c r="AI88" s="49"/>
      <c r="AJ88" s="49"/>
      <c r="AK88" s="49"/>
      <c r="AL88" s="49"/>
      <c r="AM88" s="49"/>
      <c r="AN88" s="49"/>
      <c r="AO88" s="49" t="e">
        <v>#N/A</v>
      </c>
      <c r="AP88" s="49">
        <v>0</v>
      </c>
      <c r="AQ88" s="49">
        <v>0</v>
      </c>
      <c r="AR88" s="49">
        <v>0</v>
      </c>
      <c r="AS88" s="49">
        <v>0</v>
      </c>
      <c r="AT88" s="118"/>
      <c r="AU88" s="49"/>
      <c r="AV88" s="49"/>
      <c r="AW88" s="49"/>
      <c r="AX88" s="49"/>
      <c r="AY88" s="49"/>
      <c r="AZ88" s="55"/>
      <c r="BA88" s="55" t="e">
        <v>#N/A</v>
      </c>
      <c r="BB88" s="55" t="s">
        <v>306</v>
      </c>
      <c r="BC88" s="55">
        <v>1</v>
      </c>
      <c r="BD88" s="55" t="s">
        <v>306</v>
      </c>
      <c r="BE88" s="55">
        <v>1</v>
      </c>
      <c r="BF88" s="118"/>
      <c r="BG88" s="49"/>
      <c r="BH88" s="49"/>
      <c r="BI88" s="49"/>
      <c r="BJ88" s="49"/>
      <c r="BK88" s="49"/>
      <c r="BL88" s="49"/>
      <c r="BM88" s="49" t="s">
        <v>308</v>
      </c>
      <c r="BN88" s="49">
        <v>0</v>
      </c>
      <c r="BO88" s="49">
        <v>7</v>
      </c>
      <c r="BP88" s="49">
        <v>14</v>
      </c>
      <c r="BQ88" s="120">
        <v>0</v>
      </c>
      <c r="BR88" s="49"/>
      <c r="BS88" s="126"/>
      <c r="BT88" s="126"/>
      <c r="BU88" s="126"/>
      <c r="BV88" s="126"/>
      <c r="BW88" s="126"/>
      <c r="BX88" s="115"/>
      <c r="BY88" s="115" t="s">
        <v>149</v>
      </c>
      <c r="BZ88" s="115" t="s">
        <v>149</v>
      </c>
      <c r="CA88" s="115" t="s">
        <v>49</v>
      </c>
      <c r="CB88" s="115" t="s">
        <v>49</v>
      </c>
      <c r="CC88" s="115" t="s">
        <v>49</v>
      </c>
      <c r="CD88" s="118"/>
      <c r="CE88" s="49"/>
      <c r="CF88" s="49"/>
      <c r="CG88" s="49"/>
      <c r="CH88" s="49"/>
      <c r="CI88" s="49"/>
      <c r="CJ88" s="115"/>
      <c r="CK88" s="115" t="s">
        <v>53</v>
      </c>
      <c r="CL88" s="115" t="s">
        <v>53</v>
      </c>
      <c r="CM88" s="115" t="s">
        <v>53</v>
      </c>
      <c r="CN88" s="115" t="s">
        <v>152</v>
      </c>
      <c r="CO88" s="121" t="s">
        <v>53</v>
      </c>
      <c r="CP88" s="49"/>
      <c r="CQ88" s="49"/>
      <c r="CR88" s="49"/>
      <c r="CS88" s="49"/>
      <c r="CT88" s="49"/>
      <c r="CU88" s="49"/>
      <c r="CV88" s="115"/>
      <c r="CW88" s="115" t="s">
        <v>152</v>
      </c>
      <c r="CX88" s="115" t="s">
        <v>53</v>
      </c>
      <c r="CY88" s="115" t="s">
        <v>53</v>
      </c>
      <c r="CZ88" s="115" t="s">
        <v>53</v>
      </c>
      <c r="DA88" s="115" t="s">
        <v>53</v>
      </c>
      <c r="DB88" s="118"/>
      <c r="DC88" s="49"/>
      <c r="DD88" s="49"/>
      <c r="DE88" s="49"/>
      <c r="DF88" s="49"/>
      <c r="DG88" s="49"/>
      <c r="DH88" s="49"/>
      <c r="DI88" s="49"/>
      <c r="DJ88" s="49" t="e">
        <v>#N/A</v>
      </c>
      <c r="DK88" s="49" t="s">
        <v>307</v>
      </c>
      <c r="DL88" s="49" t="s">
        <v>53</v>
      </c>
      <c r="DM88" s="49" t="s">
        <v>307</v>
      </c>
      <c r="DN88" s="49" t="s">
        <v>53</v>
      </c>
      <c r="DO88" s="118"/>
      <c r="DP88" s="49"/>
      <c r="DQ88" s="49"/>
      <c r="DR88" s="49"/>
      <c r="DS88" s="49"/>
      <c r="DT88" s="49"/>
      <c r="DU88" s="49"/>
      <c r="DV88" s="49" t="s">
        <v>328</v>
      </c>
      <c r="DW88" s="49" t="s">
        <v>310</v>
      </c>
      <c r="DX88" s="49" t="s">
        <v>58</v>
      </c>
      <c r="DY88" s="49" t="s">
        <v>58</v>
      </c>
      <c r="DZ88" s="49" t="s">
        <v>310</v>
      </c>
      <c r="EA88" s="118"/>
      <c r="EB88" s="49"/>
      <c r="EC88" s="49" t="s">
        <v>49</v>
      </c>
      <c r="ED88" s="49" t="s">
        <v>49</v>
      </c>
      <c r="EE88" s="49" t="s">
        <v>49</v>
      </c>
      <c r="EF88" s="49" t="s">
        <v>49</v>
      </c>
      <c r="EG88" s="120" t="s">
        <v>49</v>
      </c>
      <c r="EH88" s="117">
        <v>1.09</v>
      </c>
      <c r="EI88" s="117">
        <v>0</v>
      </c>
      <c r="EJ88" s="49" t="s">
        <v>328</v>
      </c>
      <c r="EK88" s="55">
        <v>0</v>
      </c>
      <c r="EL88" s="55">
        <v>0</v>
      </c>
      <c r="EM88" s="55">
        <v>0</v>
      </c>
      <c r="EN88" s="55">
        <v>0</v>
      </c>
      <c r="EO88" s="122">
        <v>0</v>
      </c>
      <c r="EP88" s="117">
        <v>0</v>
      </c>
      <c r="EQ88" s="117">
        <v>0</v>
      </c>
      <c r="ER88" s="49"/>
      <c r="ES88" s="49"/>
      <c r="ET88" s="49"/>
      <c r="EU88" s="49"/>
    </row>
    <row r="89" customFormat="1" ht="22.5" customHeight="1" spans="1:151">
      <c r="A89" s="108">
        <v>12573</v>
      </c>
      <c r="B89" s="109" t="s">
        <v>405</v>
      </c>
      <c r="C89" s="110">
        <v>46141</v>
      </c>
      <c r="D89" s="111">
        <f>IF(_xlfn.XLOOKUP(A89,[1]分配表!J:J,[1]分配表!M:M)=0,"未出单",_xlfn.XLOOKUP(A89,[1]分配表!J:J,[1]分配表!M:M))</f>
        <v>46152</v>
      </c>
      <c r="E89" s="112" t="str">
        <f>_xlfn.XLOOKUP(A89,[1]分配表!A:A,[1]分配表!C:C)</f>
        <v>胡煜星</v>
      </c>
      <c r="F89" s="112" t="str">
        <f>IF(_xlfn.XLOOKUP($A89,[1]分配表!$A:$A,[1]分配表!D:D)=0,"未分类",_xlfn.XLOOKUP($A89,[1]分配表!$A:$A,[1]分配表!D:D))</f>
        <v>其他</v>
      </c>
      <c r="G89" s="112" t="str">
        <f>_xlfn.XLOOKUP(A89,[1]分配表!J:J,[1]分配表!I:I)</f>
        <v>拓展品</v>
      </c>
      <c r="H89" s="49" t="s">
        <v>328</v>
      </c>
      <c r="I89" s="49" t="s">
        <v>328</v>
      </c>
      <c r="J89" s="49" t="s">
        <v>328</v>
      </c>
      <c r="K89" s="49" t="s">
        <v>328</v>
      </c>
      <c r="L89" s="49" t="s">
        <v>328</v>
      </c>
      <c r="M89" s="49" t="s">
        <v>328</v>
      </c>
      <c r="N89" s="49" t="s">
        <v>328</v>
      </c>
      <c r="O89" s="49">
        <v>0</v>
      </c>
      <c r="P89" s="49">
        <v>0</v>
      </c>
      <c r="Q89" s="49">
        <v>1</v>
      </c>
      <c r="R89" s="49">
        <v>1</v>
      </c>
      <c r="S89" s="49">
        <v>1</v>
      </c>
      <c r="T89" s="113">
        <f t="shared" si="2"/>
        <v>0</v>
      </c>
      <c r="U89" s="118"/>
      <c r="V89" s="49"/>
      <c r="W89" s="49"/>
      <c r="X89" s="49"/>
      <c r="Y89" s="49"/>
      <c r="Z89" s="49"/>
      <c r="AA89" s="115"/>
      <c r="AB89" s="116">
        <v>0</v>
      </c>
      <c r="AC89" s="117">
        <v>0</v>
      </c>
      <c r="AD89" s="117">
        <v>60</v>
      </c>
      <c r="AE89" s="117">
        <v>60</v>
      </c>
      <c r="AF89" s="117">
        <v>60</v>
      </c>
      <c r="AG89" s="115">
        <f t="shared" si="3"/>
        <v>0</v>
      </c>
      <c r="AH89" s="118"/>
      <c r="AI89" s="49"/>
      <c r="AJ89" s="49"/>
      <c r="AK89" s="49"/>
      <c r="AL89" s="49"/>
      <c r="AM89" s="49"/>
      <c r="AN89" s="49"/>
      <c r="AO89" s="49" t="e">
        <v>#N/A</v>
      </c>
      <c r="AP89" s="49">
        <v>0</v>
      </c>
      <c r="AQ89" s="49">
        <v>0</v>
      </c>
      <c r="AR89" s="49">
        <v>0</v>
      </c>
      <c r="AS89" s="49">
        <v>0</v>
      </c>
      <c r="AT89" s="118"/>
      <c r="AU89" s="49"/>
      <c r="AV89" s="49"/>
      <c r="AW89" s="49"/>
      <c r="AX89" s="49"/>
      <c r="AY89" s="49"/>
      <c r="AZ89" s="55"/>
      <c r="BA89" s="55" t="e">
        <v>#N/A</v>
      </c>
      <c r="BB89" s="55" t="s">
        <v>306</v>
      </c>
      <c r="BC89" s="55">
        <v>1</v>
      </c>
      <c r="BD89" s="55">
        <v>1</v>
      </c>
      <c r="BE89" s="55">
        <v>1</v>
      </c>
      <c r="BF89" s="118"/>
      <c r="BG89" s="49"/>
      <c r="BH89" s="49"/>
      <c r="BI89" s="49"/>
      <c r="BJ89" s="49"/>
      <c r="BK89" s="49"/>
      <c r="BL89" s="49"/>
      <c r="BM89" s="49" t="s">
        <v>308</v>
      </c>
      <c r="BN89" s="49">
        <v>0</v>
      </c>
      <c r="BO89" s="49">
        <v>7</v>
      </c>
      <c r="BP89" s="49">
        <v>14</v>
      </c>
      <c r="BQ89" s="120">
        <v>0</v>
      </c>
      <c r="BR89" s="49"/>
      <c r="BS89" s="126"/>
      <c r="BT89" s="126"/>
      <c r="BU89" s="126"/>
      <c r="BV89" s="126"/>
      <c r="BW89" s="126"/>
      <c r="BX89" s="115"/>
      <c r="BY89" s="115" t="s">
        <v>149</v>
      </c>
      <c r="BZ89" s="115" t="s">
        <v>149</v>
      </c>
      <c r="CA89" s="115" t="s">
        <v>62</v>
      </c>
      <c r="CB89" s="115" t="s">
        <v>62</v>
      </c>
      <c r="CC89" s="115" t="s">
        <v>62</v>
      </c>
      <c r="CD89" s="118"/>
      <c r="CE89" s="49"/>
      <c r="CF89" s="49"/>
      <c r="CG89" s="49"/>
      <c r="CH89" s="49"/>
      <c r="CI89" s="49"/>
      <c r="CJ89" s="115"/>
      <c r="CK89" s="115" t="s">
        <v>53</v>
      </c>
      <c r="CL89" s="115" t="s">
        <v>53</v>
      </c>
      <c r="CM89" s="115" t="s">
        <v>53</v>
      </c>
      <c r="CN89" s="115" t="s">
        <v>152</v>
      </c>
      <c r="CO89" s="121" t="s">
        <v>53</v>
      </c>
      <c r="CP89" s="49"/>
      <c r="CQ89" s="49"/>
      <c r="CR89" s="49"/>
      <c r="CS89" s="49"/>
      <c r="CT89" s="49"/>
      <c r="CU89" s="49"/>
      <c r="CV89" s="115"/>
      <c r="CW89" s="115" t="s">
        <v>152</v>
      </c>
      <c r="CX89" s="115" t="s">
        <v>53</v>
      </c>
      <c r="CY89" s="115" t="s">
        <v>53</v>
      </c>
      <c r="CZ89" s="115" t="s">
        <v>53</v>
      </c>
      <c r="DA89" s="115" t="s">
        <v>53</v>
      </c>
      <c r="DB89" s="118"/>
      <c r="DC89" s="49"/>
      <c r="DD89" s="49"/>
      <c r="DE89" s="49"/>
      <c r="DF89" s="49"/>
      <c r="DG89" s="49"/>
      <c r="DH89" s="49"/>
      <c r="DI89" s="49"/>
      <c r="DJ89" s="49" t="e">
        <v>#N/A</v>
      </c>
      <c r="DK89" s="49" t="s">
        <v>307</v>
      </c>
      <c r="DL89" s="49" t="s">
        <v>53</v>
      </c>
      <c r="DM89" s="49" t="s">
        <v>53</v>
      </c>
      <c r="DN89" s="49" t="s">
        <v>53</v>
      </c>
      <c r="DO89" s="118"/>
      <c r="DP89" s="49"/>
      <c r="DQ89" s="49"/>
      <c r="DR89" s="49"/>
      <c r="DS89" s="49"/>
      <c r="DT89" s="49"/>
      <c r="DU89" s="49"/>
      <c r="DV89" s="49" t="s">
        <v>328</v>
      </c>
      <c r="DW89" s="49" t="s">
        <v>314</v>
      </c>
      <c r="DX89" s="49" t="s">
        <v>58</v>
      </c>
      <c r="DY89" s="49" t="s">
        <v>58</v>
      </c>
      <c r="DZ89" s="49" t="s">
        <v>310</v>
      </c>
      <c r="EA89" s="118"/>
      <c r="EB89" s="49"/>
      <c r="EC89" s="49" t="s">
        <v>49</v>
      </c>
      <c r="ED89" s="49" t="s">
        <v>49</v>
      </c>
      <c r="EE89" s="49" t="s">
        <v>49</v>
      </c>
      <c r="EF89" s="49" t="s">
        <v>49</v>
      </c>
      <c r="EG89" s="120" t="s">
        <v>49</v>
      </c>
      <c r="EH89" s="117">
        <v>0.35</v>
      </c>
      <c r="EI89" s="117">
        <v>0</v>
      </c>
      <c r="EJ89" s="49" t="s">
        <v>328</v>
      </c>
      <c r="EK89" s="55">
        <v>0</v>
      </c>
      <c r="EL89" s="55">
        <v>0</v>
      </c>
      <c r="EM89" s="55">
        <v>0.02</v>
      </c>
      <c r="EN89" s="55">
        <v>0</v>
      </c>
      <c r="EO89" s="122">
        <v>0</v>
      </c>
      <c r="EP89" s="117">
        <v>1.91</v>
      </c>
      <c r="EQ89" s="117">
        <v>63.6</v>
      </c>
      <c r="ER89" s="49"/>
      <c r="ES89" s="49"/>
      <c r="ET89" s="49"/>
      <c r="EU89" s="49"/>
    </row>
    <row r="90" customFormat="1" ht="22.5" customHeight="1" spans="1:151">
      <c r="A90" s="108">
        <v>12650</v>
      </c>
      <c r="B90" s="109" t="s">
        <v>406</v>
      </c>
      <c r="C90" s="110">
        <v>46141</v>
      </c>
      <c r="D90" s="111">
        <f>IF(_xlfn.XLOOKUP(A90,[1]分配表!J:J,[1]分配表!M:M)=0,"未出单",_xlfn.XLOOKUP(A90,[1]分配表!J:J,[1]分配表!M:M))</f>
        <v>46158</v>
      </c>
      <c r="E90" s="112" t="str">
        <f>_xlfn.XLOOKUP(A90,[1]分配表!A:A,[1]分配表!C:C)</f>
        <v>张潇</v>
      </c>
      <c r="F90" s="112" t="str">
        <f>IF(_xlfn.XLOOKUP($A90,[1]分配表!$A:$A,[1]分配表!D:D)=0,"未分类",_xlfn.XLOOKUP($A90,[1]分配表!$A:$A,[1]分配表!D:D))</f>
        <v>其他</v>
      </c>
      <c r="G90" s="112" t="str">
        <f>_xlfn.XLOOKUP(A90,[1]分配表!J:J,[1]分配表!I:I)</f>
        <v>原开品</v>
      </c>
      <c r="H90" s="49" t="s">
        <v>328</v>
      </c>
      <c r="I90" s="49" t="s">
        <v>328</v>
      </c>
      <c r="J90" s="49" t="s">
        <v>328</v>
      </c>
      <c r="K90" s="49" t="s">
        <v>328</v>
      </c>
      <c r="L90" s="49" t="s">
        <v>328</v>
      </c>
      <c r="M90" s="49" t="s">
        <v>328</v>
      </c>
      <c r="N90" s="49" t="s">
        <v>328</v>
      </c>
      <c r="O90" s="49">
        <v>0</v>
      </c>
      <c r="P90" s="49">
        <v>0</v>
      </c>
      <c r="Q90" s="49">
        <v>0</v>
      </c>
      <c r="R90" s="49">
        <v>2</v>
      </c>
      <c r="S90" s="49">
        <v>0</v>
      </c>
      <c r="T90" s="113">
        <f t="shared" si="2"/>
        <v>-2</v>
      </c>
      <c r="U90" s="118"/>
      <c r="V90" s="49"/>
      <c r="W90" s="49"/>
      <c r="X90" s="49"/>
      <c r="Y90" s="49"/>
      <c r="Z90" s="49"/>
      <c r="AA90" s="115"/>
      <c r="AB90" s="116">
        <v>0</v>
      </c>
      <c r="AC90" s="117">
        <v>0</v>
      </c>
      <c r="AD90" s="117">
        <v>0</v>
      </c>
      <c r="AE90" s="117">
        <v>159.8</v>
      </c>
      <c r="AF90" s="117">
        <v>0</v>
      </c>
      <c r="AG90" s="115">
        <f t="shared" si="3"/>
        <v>-159.8</v>
      </c>
      <c r="AH90" s="118"/>
      <c r="AI90" s="49"/>
      <c r="AJ90" s="49"/>
      <c r="AK90" s="49"/>
      <c r="AL90" s="49"/>
      <c r="AM90" s="49"/>
      <c r="AN90" s="49"/>
      <c r="AO90" s="49" t="e">
        <v>#N/A</v>
      </c>
      <c r="AP90" s="49">
        <v>0</v>
      </c>
      <c r="AQ90" s="49">
        <v>0</v>
      </c>
      <c r="AR90" s="49">
        <v>0</v>
      </c>
      <c r="AS90" s="49">
        <v>0</v>
      </c>
      <c r="AT90" s="118"/>
      <c r="AU90" s="49"/>
      <c r="AV90" s="49"/>
      <c r="AW90" s="49"/>
      <c r="AX90" s="49"/>
      <c r="AY90" s="49"/>
      <c r="AZ90" s="55"/>
      <c r="BA90" s="55" t="e">
        <v>#N/A</v>
      </c>
      <c r="BB90" s="55" t="s">
        <v>306</v>
      </c>
      <c r="BC90" s="55" t="s">
        <v>306</v>
      </c>
      <c r="BD90" s="55">
        <v>1</v>
      </c>
      <c r="BE90" s="55" t="s">
        <v>306</v>
      </c>
      <c r="BF90" s="118"/>
      <c r="BG90" s="49"/>
      <c r="BH90" s="49"/>
      <c r="BI90" s="49"/>
      <c r="BJ90" s="49"/>
      <c r="BK90" s="49"/>
      <c r="BL90" s="49"/>
      <c r="BM90" s="49" t="s">
        <v>308</v>
      </c>
      <c r="BN90" s="49">
        <v>0</v>
      </c>
      <c r="BO90" s="49">
        <v>2</v>
      </c>
      <c r="BP90" s="49">
        <v>2</v>
      </c>
      <c r="BQ90" s="120">
        <v>9</v>
      </c>
      <c r="BR90" s="49"/>
      <c r="BS90" s="126"/>
      <c r="BT90" s="126"/>
      <c r="BU90" s="126"/>
      <c r="BV90" s="126"/>
      <c r="BW90" s="126"/>
      <c r="BX90" s="115"/>
      <c r="BY90" s="115" t="s">
        <v>149</v>
      </c>
      <c r="BZ90" s="115" t="s">
        <v>149</v>
      </c>
      <c r="CA90" s="115" t="s">
        <v>149</v>
      </c>
      <c r="CB90" s="115" t="s">
        <v>62</v>
      </c>
      <c r="CC90" s="115" t="s">
        <v>62</v>
      </c>
      <c r="CD90" s="118"/>
      <c r="CE90" s="49"/>
      <c r="CF90" s="49"/>
      <c r="CG90" s="49"/>
      <c r="CH90" s="49"/>
      <c r="CI90" s="49"/>
      <c r="CJ90" s="115"/>
      <c r="CK90" s="115" t="s">
        <v>53</v>
      </c>
      <c r="CL90" s="115" t="s">
        <v>53</v>
      </c>
      <c r="CM90" s="115" t="s">
        <v>53</v>
      </c>
      <c r="CN90" s="115" t="s">
        <v>53</v>
      </c>
      <c r="CO90" s="121" t="s">
        <v>152</v>
      </c>
      <c r="CP90" s="49"/>
      <c r="CQ90" s="49"/>
      <c r="CR90" s="49"/>
      <c r="CS90" s="49"/>
      <c r="CT90" s="49"/>
      <c r="CU90" s="49"/>
      <c r="CV90" s="115"/>
      <c r="CW90" s="115" t="s">
        <v>152</v>
      </c>
      <c r="CX90" s="115" t="s">
        <v>53</v>
      </c>
      <c r="CY90" s="115" t="s">
        <v>53</v>
      </c>
      <c r="CZ90" s="115" t="s">
        <v>53</v>
      </c>
      <c r="DA90" s="115" t="s">
        <v>53</v>
      </c>
      <c r="DB90" s="118"/>
      <c r="DC90" s="49"/>
      <c r="DD90" s="49"/>
      <c r="DE90" s="49"/>
      <c r="DF90" s="49"/>
      <c r="DG90" s="49"/>
      <c r="DH90" s="49"/>
      <c r="DI90" s="49"/>
      <c r="DJ90" s="49" t="e">
        <v>#N/A</v>
      </c>
      <c r="DK90" s="49" t="s">
        <v>307</v>
      </c>
      <c r="DL90" s="49" t="s">
        <v>307</v>
      </c>
      <c r="DM90" s="49" t="s">
        <v>53</v>
      </c>
      <c r="DN90" s="49" t="s">
        <v>307</v>
      </c>
      <c r="DO90" s="118"/>
      <c r="DP90" s="49"/>
      <c r="DQ90" s="49"/>
      <c r="DR90" s="49"/>
      <c r="DS90" s="49"/>
      <c r="DT90" s="49"/>
      <c r="DU90" s="49"/>
      <c r="DV90" s="49" t="s">
        <v>328</v>
      </c>
      <c r="DW90" s="49" t="s">
        <v>58</v>
      </c>
      <c r="DX90" s="49" t="s">
        <v>58</v>
      </c>
      <c r="DY90" s="49" t="s">
        <v>310</v>
      </c>
      <c r="DZ90" s="49" t="s">
        <v>58</v>
      </c>
      <c r="EA90" s="118"/>
      <c r="EB90" s="49"/>
      <c r="EC90" s="49" t="s">
        <v>49</v>
      </c>
      <c r="ED90" s="49" t="s">
        <v>49</v>
      </c>
      <c r="EE90" s="49" t="s">
        <v>49</v>
      </c>
      <c r="EF90" s="49" t="s">
        <v>49</v>
      </c>
      <c r="EG90" s="120" t="s">
        <v>49</v>
      </c>
      <c r="EH90" s="117">
        <v>10.29</v>
      </c>
      <c r="EI90" s="117">
        <v>84.29</v>
      </c>
      <c r="EJ90" s="49" t="s">
        <v>328</v>
      </c>
      <c r="EK90" s="55">
        <v>0</v>
      </c>
      <c r="EL90" s="55">
        <v>0</v>
      </c>
      <c r="EM90" s="55">
        <v>0.02</v>
      </c>
      <c r="EN90" s="55">
        <v>0.02</v>
      </c>
      <c r="EO90" s="122">
        <v>0.02</v>
      </c>
      <c r="EP90" s="117">
        <v>0</v>
      </c>
      <c r="EQ90" s="117">
        <v>0</v>
      </c>
      <c r="ER90" s="49"/>
      <c r="ES90" s="49"/>
      <c r="ET90" s="49"/>
      <c r="EU90" s="49"/>
    </row>
    <row r="91" customFormat="1" ht="22.5" customHeight="1" spans="1:151">
      <c r="A91" s="108">
        <v>12649</v>
      </c>
      <c r="B91" s="109" t="s">
        <v>407</v>
      </c>
      <c r="C91" s="110">
        <v>46141</v>
      </c>
      <c r="D91" s="111">
        <f>IF(_xlfn.XLOOKUP(A91,[1]分配表!J:J,[1]分配表!M:M)=0,"未出单",_xlfn.XLOOKUP(A91,[1]分配表!J:J,[1]分配表!M:M))</f>
        <v>46153</v>
      </c>
      <c r="E91" s="112" t="str">
        <f>_xlfn.XLOOKUP(A91,[1]分配表!A:A,[1]分配表!C:C)</f>
        <v>张潇</v>
      </c>
      <c r="F91" s="112" t="str">
        <f>IF(_xlfn.XLOOKUP($A91,[1]分配表!$A:$A,[1]分配表!D:D)=0,"未分类",_xlfn.XLOOKUP($A91,[1]分配表!$A:$A,[1]分配表!D:D))</f>
        <v>其他</v>
      </c>
      <c r="G91" s="112" t="str">
        <f>_xlfn.XLOOKUP(A91,[1]分配表!J:J,[1]分配表!I:I)</f>
        <v>原开品</v>
      </c>
      <c r="H91" s="49" t="s">
        <v>328</v>
      </c>
      <c r="I91" s="49" t="s">
        <v>328</v>
      </c>
      <c r="J91" s="49" t="s">
        <v>328</v>
      </c>
      <c r="K91" s="49" t="s">
        <v>328</v>
      </c>
      <c r="L91" s="49" t="s">
        <v>328</v>
      </c>
      <c r="M91" s="49" t="s">
        <v>328</v>
      </c>
      <c r="N91" s="49" t="s">
        <v>328</v>
      </c>
      <c r="O91" s="49">
        <v>0</v>
      </c>
      <c r="P91" s="49">
        <v>0</v>
      </c>
      <c r="Q91" s="49">
        <v>1</v>
      </c>
      <c r="R91" s="49">
        <v>0</v>
      </c>
      <c r="S91" s="49">
        <v>2</v>
      </c>
      <c r="T91" s="113">
        <f t="shared" si="2"/>
        <v>2</v>
      </c>
      <c r="U91" s="118"/>
      <c r="V91" s="49"/>
      <c r="W91" s="49"/>
      <c r="X91" s="49"/>
      <c r="Y91" s="49"/>
      <c r="Z91" s="49"/>
      <c r="AA91" s="115"/>
      <c r="AB91" s="116">
        <v>0</v>
      </c>
      <c r="AC91" s="117">
        <v>0</v>
      </c>
      <c r="AD91" s="117">
        <v>120</v>
      </c>
      <c r="AE91" s="117">
        <v>0</v>
      </c>
      <c r="AF91" s="117">
        <v>240</v>
      </c>
      <c r="AG91" s="115">
        <f t="shared" si="3"/>
        <v>240</v>
      </c>
      <c r="AH91" s="118"/>
      <c r="AI91" s="49"/>
      <c r="AJ91" s="49"/>
      <c r="AK91" s="49"/>
      <c r="AL91" s="49"/>
      <c r="AM91" s="49"/>
      <c r="AN91" s="49"/>
      <c r="AO91" s="49" t="e">
        <v>#N/A</v>
      </c>
      <c r="AP91" s="49">
        <v>0</v>
      </c>
      <c r="AQ91" s="49">
        <v>0</v>
      </c>
      <c r="AR91" s="49">
        <v>0</v>
      </c>
      <c r="AS91" s="49">
        <v>0</v>
      </c>
      <c r="AT91" s="118"/>
      <c r="AU91" s="49"/>
      <c r="AV91" s="49"/>
      <c r="AW91" s="49"/>
      <c r="AX91" s="49"/>
      <c r="AY91" s="49"/>
      <c r="AZ91" s="55"/>
      <c r="BA91" s="55" t="e">
        <v>#N/A</v>
      </c>
      <c r="BB91" s="55" t="s">
        <v>306</v>
      </c>
      <c r="BC91" s="55">
        <v>1</v>
      </c>
      <c r="BD91" s="55" t="s">
        <v>306</v>
      </c>
      <c r="BE91" s="55">
        <v>1</v>
      </c>
      <c r="BF91" s="118"/>
      <c r="BG91" s="49"/>
      <c r="BH91" s="49"/>
      <c r="BI91" s="49"/>
      <c r="BJ91" s="49"/>
      <c r="BK91" s="49"/>
      <c r="BL91" s="49"/>
      <c r="BM91" s="49" t="s">
        <v>308</v>
      </c>
      <c r="BN91" s="49">
        <v>0</v>
      </c>
      <c r="BO91" s="49">
        <v>2</v>
      </c>
      <c r="BP91" s="49">
        <v>2</v>
      </c>
      <c r="BQ91" s="120">
        <v>9</v>
      </c>
      <c r="BR91" s="49"/>
      <c r="BS91" s="126"/>
      <c r="BT91" s="126"/>
      <c r="BU91" s="126"/>
      <c r="BV91" s="126"/>
      <c r="BW91" s="126"/>
      <c r="BX91" s="115"/>
      <c r="BY91" s="115" t="s">
        <v>149</v>
      </c>
      <c r="BZ91" s="115" t="s">
        <v>149</v>
      </c>
      <c r="CA91" s="115" t="s">
        <v>62</v>
      </c>
      <c r="CB91" s="115" t="s">
        <v>62</v>
      </c>
      <c r="CC91" s="115" t="s">
        <v>62</v>
      </c>
      <c r="CD91" s="118"/>
      <c r="CE91" s="49"/>
      <c r="CF91" s="49"/>
      <c r="CG91" s="49"/>
      <c r="CH91" s="49"/>
      <c r="CI91" s="49"/>
      <c r="CJ91" s="115"/>
      <c r="CK91" s="115" t="s">
        <v>53</v>
      </c>
      <c r="CL91" s="115" t="s">
        <v>53</v>
      </c>
      <c r="CM91" s="115" t="s">
        <v>53</v>
      </c>
      <c r="CN91" s="115" t="s">
        <v>53</v>
      </c>
      <c r="CO91" s="121" t="s">
        <v>152</v>
      </c>
      <c r="CP91" s="49"/>
      <c r="CQ91" s="49"/>
      <c r="CR91" s="49"/>
      <c r="CS91" s="49"/>
      <c r="CT91" s="49"/>
      <c r="CU91" s="49"/>
      <c r="CV91" s="115"/>
      <c r="CW91" s="115" t="s">
        <v>152</v>
      </c>
      <c r="CX91" s="115" t="s">
        <v>53</v>
      </c>
      <c r="CY91" s="115" t="s">
        <v>53</v>
      </c>
      <c r="CZ91" s="115" t="s">
        <v>53</v>
      </c>
      <c r="DA91" s="115" t="s">
        <v>53</v>
      </c>
      <c r="DB91" s="118"/>
      <c r="DC91" s="49"/>
      <c r="DD91" s="49"/>
      <c r="DE91" s="49"/>
      <c r="DF91" s="49"/>
      <c r="DG91" s="49"/>
      <c r="DH91" s="49"/>
      <c r="DI91" s="49"/>
      <c r="DJ91" s="49" t="e">
        <v>#N/A</v>
      </c>
      <c r="DK91" s="49" t="s">
        <v>307</v>
      </c>
      <c r="DL91" s="49" t="s">
        <v>53</v>
      </c>
      <c r="DM91" s="49" t="s">
        <v>156</v>
      </c>
      <c r="DN91" s="49" t="s">
        <v>53</v>
      </c>
      <c r="DO91" s="118"/>
      <c r="DP91" s="49"/>
      <c r="DQ91" s="49"/>
      <c r="DR91" s="49"/>
      <c r="DS91" s="49"/>
      <c r="DT91" s="49"/>
      <c r="DU91" s="49"/>
      <c r="DV91" s="49" t="s">
        <v>328</v>
      </c>
      <c r="DW91" s="49" t="s">
        <v>58</v>
      </c>
      <c r="DX91" s="49" t="s">
        <v>58</v>
      </c>
      <c r="DY91" s="49" t="s">
        <v>58</v>
      </c>
      <c r="DZ91" s="49" t="s">
        <v>58</v>
      </c>
      <c r="EA91" s="118"/>
      <c r="EB91" s="49"/>
      <c r="EC91" s="49" t="s">
        <v>49</v>
      </c>
      <c r="ED91" s="49" t="s">
        <v>49</v>
      </c>
      <c r="EE91" s="49" t="s">
        <v>49</v>
      </c>
      <c r="EF91" s="49" t="s">
        <v>49</v>
      </c>
      <c r="EG91" s="120" t="s">
        <v>49</v>
      </c>
      <c r="EH91" s="117">
        <v>1.37</v>
      </c>
      <c r="EI91" s="117">
        <v>0</v>
      </c>
      <c r="EJ91" s="49" t="s">
        <v>328</v>
      </c>
      <c r="EK91" s="55">
        <v>0</v>
      </c>
      <c r="EL91" s="55">
        <v>0</v>
      </c>
      <c r="EM91" s="55">
        <v>0.02</v>
      </c>
      <c r="EN91" s="55">
        <v>0.02</v>
      </c>
      <c r="EO91" s="122">
        <v>0.02</v>
      </c>
      <c r="EP91" s="117">
        <v>2.57</v>
      </c>
      <c r="EQ91" s="117">
        <v>128.4</v>
      </c>
      <c r="ER91" s="49"/>
      <c r="ES91" s="49"/>
      <c r="ET91" s="49"/>
      <c r="EU91" s="49"/>
    </row>
    <row r="92" customFormat="1" ht="22.5" customHeight="1" spans="1:151">
      <c r="A92" s="108">
        <v>12632</v>
      </c>
      <c r="B92" s="109" t="s">
        <v>408</v>
      </c>
      <c r="C92" s="110">
        <v>46142</v>
      </c>
      <c r="D92" s="111" t="str">
        <f>IF(_xlfn.XLOOKUP(A92,[1]分配表!J:J,[1]分配表!M:M)=0,"未出单",_xlfn.XLOOKUP(A92,[1]分配表!J:J,[1]分配表!M:M))</f>
        <v>未出单</v>
      </c>
      <c r="E92" s="112" t="str">
        <f>_xlfn.XLOOKUP(A92,[1]分配表!A:A,[1]分配表!C:C)</f>
        <v>俞东旭</v>
      </c>
      <c r="F92" s="112" t="str">
        <f>IF(_xlfn.XLOOKUP($A92,[1]分配表!$A:$A,[1]分配表!D:D)=0,"未分类",_xlfn.XLOOKUP($A92,[1]分配表!$A:$A,[1]分配表!D:D))</f>
        <v>车门系统</v>
      </c>
      <c r="G92" s="112" t="str">
        <f>_xlfn.XLOOKUP(A92,[1]分配表!J:J,[1]分配表!I:I)</f>
        <v>拓展品</v>
      </c>
      <c r="H92" s="49" t="s">
        <v>328</v>
      </c>
      <c r="I92" s="49" t="s">
        <v>328</v>
      </c>
      <c r="J92" s="49" t="s">
        <v>328</v>
      </c>
      <c r="K92" s="49" t="s">
        <v>328</v>
      </c>
      <c r="L92" s="49" t="s">
        <v>328</v>
      </c>
      <c r="M92" s="49" t="s">
        <v>328</v>
      </c>
      <c r="N92" s="49" t="s">
        <v>328</v>
      </c>
      <c r="O92" s="49" t="s">
        <v>328</v>
      </c>
      <c r="P92" s="49">
        <v>0</v>
      </c>
      <c r="Q92" s="49">
        <v>0</v>
      </c>
      <c r="R92" s="49">
        <v>0</v>
      </c>
      <c r="S92" s="49">
        <v>0</v>
      </c>
      <c r="T92" s="113">
        <f t="shared" si="2"/>
        <v>0</v>
      </c>
      <c r="U92" s="118"/>
      <c r="V92" s="49"/>
      <c r="W92" s="49"/>
      <c r="X92" s="49"/>
      <c r="Y92" s="49"/>
      <c r="Z92" s="49"/>
      <c r="AA92" s="49" t="s">
        <v>328</v>
      </c>
      <c r="AB92" s="116" t="s">
        <v>328</v>
      </c>
      <c r="AC92" s="117">
        <v>0</v>
      </c>
      <c r="AD92" s="117">
        <v>0</v>
      </c>
      <c r="AE92" s="117">
        <v>0</v>
      </c>
      <c r="AF92" s="117">
        <v>0</v>
      </c>
      <c r="AG92" s="115">
        <f t="shared" si="3"/>
        <v>0</v>
      </c>
      <c r="AH92" s="118"/>
      <c r="AI92" s="49"/>
      <c r="AJ92" s="49"/>
      <c r="AK92" s="49"/>
      <c r="AL92" s="49"/>
      <c r="AM92" s="49" t="s">
        <v>328</v>
      </c>
      <c r="AN92" s="49" t="s">
        <v>328</v>
      </c>
      <c r="AO92" s="49" t="s">
        <v>328</v>
      </c>
      <c r="AP92" s="49">
        <v>0</v>
      </c>
      <c r="AQ92" s="49">
        <v>0</v>
      </c>
      <c r="AR92" s="49">
        <v>0</v>
      </c>
      <c r="AS92" s="49">
        <v>0</v>
      </c>
      <c r="AT92" s="118" t="s">
        <v>328</v>
      </c>
      <c r="AU92" s="49" t="s">
        <v>328</v>
      </c>
      <c r="AV92" s="49" t="s">
        <v>328</v>
      </c>
      <c r="AW92" s="49" t="s">
        <v>328</v>
      </c>
      <c r="AX92" s="49" t="s">
        <v>328</v>
      </c>
      <c r="AY92" s="49" t="s">
        <v>328</v>
      </c>
      <c r="AZ92" s="49" t="s">
        <v>328</v>
      </c>
      <c r="BA92" s="55" t="s">
        <v>328</v>
      </c>
      <c r="BB92" s="55" t="s">
        <v>306</v>
      </c>
      <c r="BC92" s="55" t="s">
        <v>306</v>
      </c>
      <c r="BD92" s="55" t="s">
        <v>306</v>
      </c>
      <c r="BE92" s="55" t="s">
        <v>306</v>
      </c>
      <c r="BF92" s="118" t="s">
        <v>328</v>
      </c>
      <c r="BG92" s="49" t="s">
        <v>328</v>
      </c>
      <c r="BH92" s="49" t="s">
        <v>328</v>
      </c>
      <c r="BI92" s="49" t="s">
        <v>328</v>
      </c>
      <c r="BJ92" s="49" t="s">
        <v>328</v>
      </c>
      <c r="BK92" s="49" t="s">
        <v>328</v>
      </c>
      <c r="BL92" s="49" t="s">
        <v>328</v>
      </c>
      <c r="BM92" s="49" t="s">
        <v>328</v>
      </c>
      <c r="BN92" s="49">
        <v>6</v>
      </c>
      <c r="BO92" s="49">
        <v>1</v>
      </c>
      <c r="BP92" s="49">
        <v>8</v>
      </c>
      <c r="BQ92" s="120">
        <v>15</v>
      </c>
      <c r="BR92" s="49" t="s">
        <v>328</v>
      </c>
      <c r="BS92" s="49" t="s">
        <v>328</v>
      </c>
      <c r="BT92" s="49" t="s">
        <v>328</v>
      </c>
      <c r="BU92" s="49" t="s">
        <v>328</v>
      </c>
      <c r="BV92" s="49" t="s">
        <v>328</v>
      </c>
      <c r="BW92" s="49" t="s">
        <v>328</v>
      </c>
      <c r="BX92" s="49" t="s">
        <v>328</v>
      </c>
      <c r="BY92" s="49" t="s">
        <v>328</v>
      </c>
      <c r="BZ92" s="115" t="s">
        <v>149</v>
      </c>
      <c r="CA92" s="115" t="s">
        <v>149</v>
      </c>
      <c r="CB92" s="115" t="s">
        <v>149</v>
      </c>
      <c r="CC92" s="115" t="s">
        <v>149</v>
      </c>
      <c r="CD92" s="118" t="s">
        <v>328</v>
      </c>
      <c r="CE92" s="49" t="s">
        <v>328</v>
      </c>
      <c r="CF92" s="49" t="s">
        <v>328</v>
      </c>
      <c r="CG92" s="49" t="s">
        <v>328</v>
      </c>
      <c r="CH92" s="49" t="s">
        <v>328</v>
      </c>
      <c r="CI92" s="49" t="s">
        <v>328</v>
      </c>
      <c r="CJ92" s="49" t="s">
        <v>328</v>
      </c>
      <c r="CK92" s="49" t="s">
        <v>328</v>
      </c>
      <c r="CL92" s="115" t="s">
        <v>53</v>
      </c>
      <c r="CM92" s="115" t="s">
        <v>53</v>
      </c>
      <c r="CN92" s="115" t="s">
        <v>152</v>
      </c>
      <c r="CO92" s="121" t="s">
        <v>152</v>
      </c>
      <c r="CP92" s="49" t="s">
        <v>328</v>
      </c>
      <c r="CQ92" s="49" t="s">
        <v>328</v>
      </c>
      <c r="CR92" s="49" t="s">
        <v>328</v>
      </c>
      <c r="CS92" s="49" t="s">
        <v>328</v>
      </c>
      <c r="CT92" s="49" t="s">
        <v>328</v>
      </c>
      <c r="CU92" s="49" t="s">
        <v>328</v>
      </c>
      <c r="CV92" s="49" t="s">
        <v>328</v>
      </c>
      <c r="CW92" s="49" t="s">
        <v>328</v>
      </c>
      <c r="CX92" s="115" t="s">
        <v>152</v>
      </c>
      <c r="CY92" s="115" t="s">
        <v>53</v>
      </c>
      <c r="CZ92" s="115" t="s">
        <v>53</v>
      </c>
      <c r="DA92" s="115" t="s">
        <v>53</v>
      </c>
      <c r="DB92" s="118" t="s">
        <v>328</v>
      </c>
      <c r="DC92" s="49" t="s">
        <v>328</v>
      </c>
      <c r="DD92" s="49" t="s">
        <v>328</v>
      </c>
      <c r="DE92" s="49" t="s">
        <v>328</v>
      </c>
      <c r="DF92" s="49" t="s">
        <v>328</v>
      </c>
      <c r="DG92" s="49" t="s">
        <v>328</v>
      </c>
      <c r="DH92" s="49" t="s">
        <v>328</v>
      </c>
      <c r="DI92" s="49" t="s">
        <v>328</v>
      </c>
      <c r="DJ92" s="49" t="s">
        <v>328</v>
      </c>
      <c r="DK92" s="49" t="s">
        <v>307</v>
      </c>
      <c r="DL92" s="49" t="s">
        <v>307</v>
      </c>
      <c r="DM92" s="49" t="s">
        <v>307</v>
      </c>
      <c r="DN92" s="49" t="s">
        <v>307</v>
      </c>
      <c r="DO92" s="118" t="s">
        <v>328</v>
      </c>
      <c r="DP92" s="49" t="s">
        <v>328</v>
      </c>
      <c r="DQ92" s="49" t="s">
        <v>328</v>
      </c>
      <c r="DR92" s="49" t="s">
        <v>328</v>
      </c>
      <c r="DS92" s="49" t="s">
        <v>328</v>
      </c>
      <c r="DT92" s="49" t="s">
        <v>328</v>
      </c>
      <c r="DU92" s="49" t="s">
        <v>328</v>
      </c>
      <c r="DV92" s="49" t="s">
        <v>328</v>
      </c>
      <c r="DW92" s="49" t="s">
        <v>58</v>
      </c>
      <c r="DX92" s="49" t="s">
        <v>331</v>
      </c>
      <c r="DY92" s="49" t="s">
        <v>58</v>
      </c>
      <c r="DZ92" s="49" t="s">
        <v>310</v>
      </c>
      <c r="EA92" s="118" t="s">
        <v>328</v>
      </c>
      <c r="EB92" s="49" t="s">
        <v>328</v>
      </c>
      <c r="EC92" s="49" t="s">
        <v>62</v>
      </c>
      <c r="ED92" s="49" t="s">
        <v>62</v>
      </c>
      <c r="EE92" s="49" t="s">
        <v>62</v>
      </c>
      <c r="EF92" s="49" t="s">
        <v>62</v>
      </c>
      <c r="EG92" s="120" t="s">
        <v>62</v>
      </c>
      <c r="EH92" s="117">
        <v>0</v>
      </c>
      <c r="EI92" s="117">
        <v>0</v>
      </c>
      <c r="EJ92" s="49" t="s">
        <v>328</v>
      </c>
      <c r="EK92" s="49" t="s">
        <v>328</v>
      </c>
      <c r="EL92" s="55">
        <v>0</v>
      </c>
      <c r="EM92" s="55">
        <v>0</v>
      </c>
      <c r="EN92" s="55">
        <v>0</v>
      </c>
      <c r="EO92" s="122">
        <v>0</v>
      </c>
      <c r="EP92" s="117">
        <v>0</v>
      </c>
      <c r="EQ92" s="117">
        <v>0</v>
      </c>
      <c r="ER92" s="49"/>
      <c r="ES92" s="49"/>
      <c r="ET92" s="49"/>
      <c r="EU92" s="49"/>
    </row>
    <row r="93" customFormat="1" ht="22.5" customHeight="1" spans="1:151">
      <c r="A93" s="108">
        <v>12631</v>
      </c>
      <c r="B93" s="109" t="s">
        <v>409</v>
      </c>
      <c r="C93" s="110">
        <v>46142</v>
      </c>
      <c r="D93" s="111">
        <f>IF(_xlfn.XLOOKUP(A93,[1]分配表!J:J,[1]分配表!M:M)=0,"未出单",_xlfn.XLOOKUP(A93,[1]分配表!J:J,[1]分配表!M:M))</f>
        <v>46142</v>
      </c>
      <c r="E93" s="112" t="str">
        <f>_xlfn.XLOOKUP(A93,[1]分配表!A:A,[1]分配表!C:C)</f>
        <v>俞东旭</v>
      </c>
      <c r="F93" s="112" t="str">
        <f>IF(_xlfn.XLOOKUP($A93,[1]分配表!$A:$A,[1]分配表!D:D)=0,"未分类",_xlfn.XLOOKUP($A93,[1]分配表!$A:$A,[1]分配表!D:D))</f>
        <v>车门系统</v>
      </c>
      <c r="G93" s="112" t="str">
        <f>_xlfn.XLOOKUP(A93,[1]分配表!J:J,[1]分配表!I:I)</f>
        <v>拓展品</v>
      </c>
      <c r="H93" s="49" t="s">
        <v>328</v>
      </c>
      <c r="I93" s="49" t="s">
        <v>328</v>
      </c>
      <c r="J93" s="49" t="s">
        <v>328</v>
      </c>
      <c r="K93" s="49" t="s">
        <v>328</v>
      </c>
      <c r="L93" s="49" t="s">
        <v>328</v>
      </c>
      <c r="M93" s="49" t="s">
        <v>328</v>
      </c>
      <c r="N93" s="49" t="s">
        <v>328</v>
      </c>
      <c r="O93" s="49" t="s">
        <v>328</v>
      </c>
      <c r="P93" s="49">
        <v>3</v>
      </c>
      <c r="Q93" s="49">
        <v>5</v>
      </c>
      <c r="R93" s="49">
        <v>6</v>
      </c>
      <c r="S93" s="49">
        <v>2</v>
      </c>
      <c r="T93" s="113">
        <f t="shared" si="2"/>
        <v>-4</v>
      </c>
      <c r="U93" s="118"/>
      <c r="V93" s="49"/>
      <c r="W93" s="49"/>
      <c r="X93" s="49"/>
      <c r="Y93" s="49"/>
      <c r="Z93" s="49"/>
      <c r="AA93" s="49" t="s">
        <v>328</v>
      </c>
      <c r="AB93" s="116" t="s">
        <v>328</v>
      </c>
      <c r="AC93" s="117">
        <v>375</v>
      </c>
      <c r="AD93" s="117">
        <v>625</v>
      </c>
      <c r="AE93" s="117">
        <v>750</v>
      </c>
      <c r="AF93" s="117">
        <v>250</v>
      </c>
      <c r="AG93" s="115">
        <f t="shared" si="3"/>
        <v>-500</v>
      </c>
      <c r="AH93" s="118"/>
      <c r="AI93" s="49"/>
      <c r="AJ93" s="49"/>
      <c r="AK93" s="49"/>
      <c r="AL93" s="49"/>
      <c r="AM93" s="49" t="s">
        <v>328</v>
      </c>
      <c r="AN93" s="49" t="s">
        <v>328</v>
      </c>
      <c r="AO93" s="49" t="s">
        <v>328</v>
      </c>
      <c r="AP93" s="49">
        <v>0</v>
      </c>
      <c r="AQ93" s="49">
        <v>0</v>
      </c>
      <c r="AR93" s="49">
        <v>0</v>
      </c>
      <c r="AS93" s="49">
        <v>0</v>
      </c>
      <c r="AT93" s="118" t="s">
        <v>328</v>
      </c>
      <c r="AU93" s="49" t="s">
        <v>328</v>
      </c>
      <c r="AV93" s="49" t="s">
        <v>328</v>
      </c>
      <c r="AW93" s="49" t="s">
        <v>328</v>
      </c>
      <c r="AX93" s="49" t="s">
        <v>328</v>
      </c>
      <c r="AY93" s="49" t="s">
        <v>328</v>
      </c>
      <c r="AZ93" s="49" t="s">
        <v>328</v>
      </c>
      <c r="BA93" s="55" t="s">
        <v>328</v>
      </c>
      <c r="BB93" s="55">
        <v>1</v>
      </c>
      <c r="BC93" s="55">
        <v>1</v>
      </c>
      <c r="BD93" s="55">
        <v>1</v>
      </c>
      <c r="BE93" s="55">
        <v>1</v>
      </c>
      <c r="BF93" s="118" t="s">
        <v>328</v>
      </c>
      <c r="BG93" s="49" t="s">
        <v>328</v>
      </c>
      <c r="BH93" s="49" t="s">
        <v>328</v>
      </c>
      <c r="BI93" s="49" t="s">
        <v>328</v>
      </c>
      <c r="BJ93" s="49" t="s">
        <v>328</v>
      </c>
      <c r="BK93" s="49" t="s">
        <v>328</v>
      </c>
      <c r="BL93" s="49" t="s">
        <v>328</v>
      </c>
      <c r="BM93" s="49" t="s">
        <v>328</v>
      </c>
      <c r="BN93" s="49">
        <v>6</v>
      </c>
      <c r="BO93" s="49">
        <v>1</v>
      </c>
      <c r="BP93" s="49">
        <v>8</v>
      </c>
      <c r="BQ93" s="120">
        <v>15</v>
      </c>
      <c r="BR93" s="49" t="s">
        <v>328</v>
      </c>
      <c r="BS93" s="49" t="s">
        <v>328</v>
      </c>
      <c r="BT93" s="49" t="s">
        <v>328</v>
      </c>
      <c r="BU93" s="49" t="s">
        <v>328</v>
      </c>
      <c r="BV93" s="49" t="s">
        <v>328</v>
      </c>
      <c r="BW93" s="49" t="s">
        <v>328</v>
      </c>
      <c r="BX93" s="49" t="s">
        <v>328</v>
      </c>
      <c r="BY93" s="49" t="s">
        <v>328</v>
      </c>
      <c r="BZ93" s="115" t="s">
        <v>49</v>
      </c>
      <c r="CA93" s="115" t="s">
        <v>49</v>
      </c>
      <c r="CB93" s="115" t="s">
        <v>49</v>
      </c>
      <c r="CC93" s="115" t="s">
        <v>49</v>
      </c>
      <c r="CD93" s="118" t="s">
        <v>328</v>
      </c>
      <c r="CE93" s="49" t="s">
        <v>328</v>
      </c>
      <c r="CF93" s="49" t="s">
        <v>328</v>
      </c>
      <c r="CG93" s="49" t="s">
        <v>328</v>
      </c>
      <c r="CH93" s="49" t="s">
        <v>328</v>
      </c>
      <c r="CI93" s="49" t="s">
        <v>328</v>
      </c>
      <c r="CJ93" s="49" t="s">
        <v>328</v>
      </c>
      <c r="CK93" s="49" t="s">
        <v>328</v>
      </c>
      <c r="CL93" s="115" t="s">
        <v>53</v>
      </c>
      <c r="CM93" s="115" t="s">
        <v>53</v>
      </c>
      <c r="CN93" s="115" t="s">
        <v>152</v>
      </c>
      <c r="CO93" s="121" t="s">
        <v>152</v>
      </c>
      <c r="CP93" s="49" t="s">
        <v>328</v>
      </c>
      <c r="CQ93" s="49" t="s">
        <v>328</v>
      </c>
      <c r="CR93" s="49" t="s">
        <v>328</v>
      </c>
      <c r="CS93" s="49" t="s">
        <v>328</v>
      </c>
      <c r="CT93" s="49" t="s">
        <v>328</v>
      </c>
      <c r="CU93" s="49" t="s">
        <v>328</v>
      </c>
      <c r="CV93" s="49" t="s">
        <v>328</v>
      </c>
      <c r="CW93" s="49" t="s">
        <v>328</v>
      </c>
      <c r="CX93" s="115" t="s">
        <v>152</v>
      </c>
      <c r="CY93" s="115" t="s">
        <v>53</v>
      </c>
      <c r="CZ93" s="115" t="s">
        <v>53</v>
      </c>
      <c r="DA93" s="115" t="s">
        <v>53</v>
      </c>
      <c r="DB93" s="118" t="s">
        <v>328</v>
      </c>
      <c r="DC93" s="49" t="s">
        <v>328</v>
      </c>
      <c r="DD93" s="49" t="s">
        <v>328</v>
      </c>
      <c r="DE93" s="49" t="s">
        <v>328</v>
      </c>
      <c r="DF93" s="49" t="s">
        <v>328</v>
      </c>
      <c r="DG93" s="49" t="s">
        <v>328</v>
      </c>
      <c r="DH93" s="49" t="s">
        <v>328</v>
      </c>
      <c r="DI93" s="49" t="s">
        <v>328</v>
      </c>
      <c r="DJ93" s="49" t="s">
        <v>328</v>
      </c>
      <c r="DK93" s="49" t="s">
        <v>53</v>
      </c>
      <c r="DL93" s="49" t="s">
        <v>53</v>
      </c>
      <c r="DM93" s="49" t="s">
        <v>53</v>
      </c>
      <c r="DN93" s="49" t="s">
        <v>53</v>
      </c>
      <c r="DO93" s="118" t="s">
        <v>328</v>
      </c>
      <c r="DP93" s="49" t="s">
        <v>328</v>
      </c>
      <c r="DQ93" s="49" t="s">
        <v>328</v>
      </c>
      <c r="DR93" s="49" t="s">
        <v>328</v>
      </c>
      <c r="DS93" s="49" t="s">
        <v>328</v>
      </c>
      <c r="DT93" s="49" t="s">
        <v>328</v>
      </c>
      <c r="DU93" s="49" t="s">
        <v>328</v>
      </c>
      <c r="DV93" s="49" t="s">
        <v>328</v>
      </c>
      <c r="DW93" s="49" t="s">
        <v>58</v>
      </c>
      <c r="DX93" s="49" t="s">
        <v>310</v>
      </c>
      <c r="DY93" s="49" t="s">
        <v>58</v>
      </c>
      <c r="DZ93" s="49" t="s">
        <v>310</v>
      </c>
      <c r="EA93" s="118" t="s">
        <v>328</v>
      </c>
      <c r="EB93" s="49" t="s">
        <v>328</v>
      </c>
      <c r="EC93" s="49" t="s">
        <v>62</v>
      </c>
      <c r="ED93" s="49" t="s">
        <v>62</v>
      </c>
      <c r="EE93" s="49" t="s">
        <v>62</v>
      </c>
      <c r="EF93" s="49" t="s">
        <v>62</v>
      </c>
      <c r="EG93" s="120" t="s">
        <v>62</v>
      </c>
      <c r="EH93" s="117">
        <v>0</v>
      </c>
      <c r="EI93" s="117">
        <v>0</v>
      </c>
      <c r="EJ93" s="49" t="s">
        <v>328</v>
      </c>
      <c r="EK93" s="49" t="s">
        <v>328</v>
      </c>
      <c r="EL93" s="55">
        <v>0</v>
      </c>
      <c r="EM93" s="55">
        <v>0</v>
      </c>
      <c r="EN93" s="55">
        <v>0</v>
      </c>
      <c r="EO93" s="122">
        <v>0</v>
      </c>
      <c r="EP93" s="117">
        <v>0</v>
      </c>
      <c r="EQ93" s="117">
        <v>0</v>
      </c>
      <c r="ER93" s="49"/>
      <c r="ES93" s="49"/>
      <c r="ET93" s="49"/>
      <c r="EU93" s="49"/>
    </row>
    <row r="94" customFormat="1" ht="22.5" customHeight="1" spans="1:151">
      <c r="A94" s="108">
        <v>12630</v>
      </c>
      <c r="B94" s="109" t="s">
        <v>410</v>
      </c>
      <c r="C94" s="110">
        <v>46142</v>
      </c>
      <c r="D94" s="111">
        <f>IF(_xlfn.XLOOKUP(A94,[1]分配表!J:J,[1]分配表!M:M)=0,"未出单",_xlfn.XLOOKUP(A94,[1]分配表!J:J,[1]分配表!M:M))</f>
        <v>46144</v>
      </c>
      <c r="E94" s="112" t="str">
        <f>_xlfn.XLOOKUP(A94,[1]分配表!A:A,[1]分配表!C:C)</f>
        <v>俞东旭</v>
      </c>
      <c r="F94" s="112" t="str">
        <f>IF(_xlfn.XLOOKUP($A94,[1]分配表!$A:$A,[1]分配表!D:D)=0,"未分类",_xlfn.XLOOKUP($A94,[1]分配表!$A:$A,[1]分配表!D:D))</f>
        <v>车门系统</v>
      </c>
      <c r="G94" s="112" t="str">
        <f>_xlfn.XLOOKUP(A94,[1]分配表!J:J,[1]分配表!I:I)</f>
        <v>原开品</v>
      </c>
      <c r="H94" s="49" t="s">
        <v>328</v>
      </c>
      <c r="I94" s="49" t="s">
        <v>328</v>
      </c>
      <c r="J94" s="49" t="s">
        <v>328</v>
      </c>
      <c r="K94" s="49" t="s">
        <v>328</v>
      </c>
      <c r="L94" s="49" t="s">
        <v>328</v>
      </c>
      <c r="M94" s="49" t="s">
        <v>328</v>
      </c>
      <c r="N94" s="49" t="s">
        <v>328</v>
      </c>
      <c r="O94" s="49" t="s">
        <v>328</v>
      </c>
      <c r="P94" s="49">
        <v>1</v>
      </c>
      <c r="Q94" s="49">
        <v>1</v>
      </c>
      <c r="R94" s="49">
        <v>0</v>
      </c>
      <c r="S94" s="49">
        <v>2</v>
      </c>
      <c r="T94" s="113">
        <f t="shared" si="2"/>
        <v>2</v>
      </c>
      <c r="U94" s="118"/>
      <c r="V94" s="49"/>
      <c r="W94" s="49"/>
      <c r="X94" s="49"/>
      <c r="Y94" s="49"/>
      <c r="Z94" s="49"/>
      <c r="AA94" s="49" t="s">
        <v>328</v>
      </c>
      <c r="AB94" s="116" t="s">
        <v>328</v>
      </c>
      <c r="AC94" s="117">
        <v>245</v>
      </c>
      <c r="AD94" s="117">
        <v>245</v>
      </c>
      <c r="AE94" s="117">
        <v>0</v>
      </c>
      <c r="AF94" s="117">
        <v>490</v>
      </c>
      <c r="AG94" s="115">
        <f t="shared" si="3"/>
        <v>490</v>
      </c>
      <c r="AH94" s="118"/>
      <c r="AI94" s="49"/>
      <c r="AJ94" s="49"/>
      <c r="AK94" s="49"/>
      <c r="AL94" s="49"/>
      <c r="AM94" s="49" t="s">
        <v>328</v>
      </c>
      <c r="AN94" s="49" t="s">
        <v>328</v>
      </c>
      <c r="AO94" s="49" t="s">
        <v>328</v>
      </c>
      <c r="AP94" s="49">
        <v>0</v>
      </c>
      <c r="AQ94" s="49">
        <v>0</v>
      </c>
      <c r="AR94" s="49">
        <v>0</v>
      </c>
      <c r="AS94" s="49">
        <v>0</v>
      </c>
      <c r="AT94" s="118" t="s">
        <v>328</v>
      </c>
      <c r="AU94" s="49" t="s">
        <v>328</v>
      </c>
      <c r="AV94" s="49" t="s">
        <v>328</v>
      </c>
      <c r="AW94" s="49" t="s">
        <v>328</v>
      </c>
      <c r="AX94" s="49" t="s">
        <v>328</v>
      </c>
      <c r="AY94" s="49" t="s">
        <v>328</v>
      </c>
      <c r="AZ94" s="49" t="s">
        <v>328</v>
      </c>
      <c r="BA94" s="55" t="s">
        <v>328</v>
      </c>
      <c r="BB94" s="55">
        <v>1</v>
      </c>
      <c r="BC94" s="55">
        <v>1</v>
      </c>
      <c r="BD94" s="55" t="s">
        <v>306</v>
      </c>
      <c r="BE94" s="55">
        <v>1</v>
      </c>
      <c r="BF94" s="118" t="s">
        <v>328</v>
      </c>
      <c r="BG94" s="49" t="s">
        <v>328</v>
      </c>
      <c r="BH94" s="49" t="s">
        <v>328</v>
      </c>
      <c r="BI94" s="49" t="s">
        <v>328</v>
      </c>
      <c r="BJ94" s="49" t="s">
        <v>328</v>
      </c>
      <c r="BK94" s="49" t="s">
        <v>328</v>
      </c>
      <c r="BL94" s="49" t="s">
        <v>328</v>
      </c>
      <c r="BM94" s="49" t="s">
        <v>328</v>
      </c>
      <c r="BN94" s="49">
        <v>6</v>
      </c>
      <c r="BO94" s="49">
        <v>1</v>
      </c>
      <c r="BP94" s="49">
        <v>8</v>
      </c>
      <c r="BQ94" s="120">
        <v>15</v>
      </c>
      <c r="BR94" s="49" t="s">
        <v>328</v>
      </c>
      <c r="BS94" s="49" t="s">
        <v>328</v>
      </c>
      <c r="BT94" s="49" t="s">
        <v>328</v>
      </c>
      <c r="BU94" s="49" t="s">
        <v>328</v>
      </c>
      <c r="BV94" s="49" t="s">
        <v>328</v>
      </c>
      <c r="BW94" s="49" t="s">
        <v>328</v>
      </c>
      <c r="BX94" s="49" t="s">
        <v>328</v>
      </c>
      <c r="BY94" s="49" t="s">
        <v>328</v>
      </c>
      <c r="BZ94" s="115" t="s">
        <v>49</v>
      </c>
      <c r="CA94" s="115" t="s">
        <v>49</v>
      </c>
      <c r="CB94" s="115" t="s">
        <v>49</v>
      </c>
      <c r="CC94" s="115" t="s">
        <v>49</v>
      </c>
      <c r="CD94" s="118" t="s">
        <v>328</v>
      </c>
      <c r="CE94" s="49" t="s">
        <v>328</v>
      </c>
      <c r="CF94" s="49" t="s">
        <v>328</v>
      </c>
      <c r="CG94" s="49" t="s">
        <v>328</v>
      </c>
      <c r="CH94" s="49" t="s">
        <v>328</v>
      </c>
      <c r="CI94" s="49" t="s">
        <v>328</v>
      </c>
      <c r="CJ94" s="49" t="s">
        <v>328</v>
      </c>
      <c r="CK94" s="49" t="s">
        <v>328</v>
      </c>
      <c r="CL94" s="115" t="s">
        <v>53</v>
      </c>
      <c r="CM94" s="115" t="s">
        <v>53</v>
      </c>
      <c r="CN94" s="115" t="s">
        <v>152</v>
      </c>
      <c r="CO94" s="121" t="s">
        <v>152</v>
      </c>
      <c r="CP94" s="49" t="s">
        <v>328</v>
      </c>
      <c r="CQ94" s="49" t="s">
        <v>328</v>
      </c>
      <c r="CR94" s="49" t="s">
        <v>328</v>
      </c>
      <c r="CS94" s="49" t="s">
        <v>328</v>
      </c>
      <c r="CT94" s="49" t="s">
        <v>328</v>
      </c>
      <c r="CU94" s="49" t="s">
        <v>328</v>
      </c>
      <c r="CV94" s="49" t="s">
        <v>328</v>
      </c>
      <c r="CW94" s="49" t="s">
        <v>328</v>
      </c>
      <c r="CX94" s="115" t="s">
        <v>152</v>
      </c>
      <c r="CY94" s="115" t="s">
        <v>53</v>
      </c>
      <c r="CZ94" s="115" t="s">
        <v>53</v>
      </c>
      <c r="DA94" s="115" t="s">
        <v>53</v>
      </c>
      <c r="DB94" s="118" t="s">
        <v>328</v>
      </c>
      <c r="DC94" s="49" t="s">
        <v>328</v>
      </c>
      <c r="DD94" s="49" t="s">
        <v>328</v>
      </c>
      <c r="DE94" s="49" t="s">
        <v>328</v>
      </c>
      <c r="DF94" s="49" t="s">
        <v>328</v>
      </c>
      <c r="DG94" s="49" t="s">
        <v>328</v>
      </c>
      <c r="DH94" s="49" t="s">
        <v>328</v>
      </c>
      <c r="DI94" s="49" t="s">
        <v>328</v>
      </c>
      <c r="DJ94" s="49" t="s">
        <v>328</v>
      </c>
      <c r="DK94" s="49" t="s">
        <v>53</v>
      </c>
      <c r="DL94" s="49" t="s">
        <v>53</v>
      </c>
      <c r="DM94" s="49" t="s">
        <v>307</v>
      </c>
      <c r="DN94" s="49" t="s">
        <v>53</v>
      </c>
      <c r="DO94" s="118" t="s">
        <v>328</v>
      </c>
      <c r="DP94" s="49" t="s">
        <v>328</v>
      </c>
      <c r="DQ94" s="49" t="s">
        <v>328</v>
      </c>
      <c r="DR94" s="49" t="s">
        <v>328</v>
      </c>
      <c r="DS94" s="49" t="s">
        <v>328</v>
      </c>
      <c r="DT94" s="49" t="s">
        <v>328</v>
      </c>
      <c r="DU94" s="49" t="s">
        <v>328</v>
      </c>
      <c r="DV94" s="49" t="s">
        <v>328</v>
      </c>
      <c r="DW94" s="49" t="s">
        <v>58</v>
      </c>
      <c r="DX94" s="49" t="s">
        <v>310</v>
      </c>
      <c r="DY94" s="49" t="s">
        <v>58</v>
      </c>
      <c r="DZ94" s="49" t="s">
        <v>310</v>
      </c>
      <c r="EA94" s="118" t="s">
        <v>328</v>
      </c>
      <c r="EB94" s="49" t="s">
        <v>328</v>
      </c>
      <c r="EC94" s="49" t="s">
        <v>62</v>
      </c>
      <c r="ED94" s="49" t="s">
        <v>62</v>
      </c>
      <c r="EE94" s="49" t="s">
        <v>62</v>
      </c>
      <c r="EF94" s="49" t="s">
        <v>62</v>
      </c>
      <c r="EG94" s="120" t="s">
        <v>62</v>
      </c>
      <c r="EH94" s="117">
        <v>0</v>
      </c>
      <c r="EI94" s="117">
        <v>0</v>
      </c>
      <c r="EJ94" s="49" t="s">
        <v>328</v>
      </c>
      <c r="EK94" s="49" t="s">
        <v>328</v>
      </c>
      <c r="EL94" s="55">
        <v>0</v>
      </c>
      <c r="EM94" s="55">
        <v>0</v>
      </c>
      <c r="EN94" s="55">
        <v>0</v>
      </c>
      <c r="EO94" s="122">
        <v>0</v>
      </c>
      <c r="EP94" s="117">
        <v>0</v>
      </c>
      <c r="EQ94" s="117">
        <v>0</v>
      </c>
      <c r="ER94" s="49"/>
      <c r="ES94" s="49"/>
      <c r="ET94" s="49"/>
      <c r="EU94" s="49"/>
    </row>
    <row r="95" customFormat="1" ht="22.5" customHeight="1" spans="1:151">
      <c r="A95" s="108">
        <v>12587</v>
      </c>
      <c r="B95" s="109" t="s">
        <v>411</v>
      </c>
      <c r="C95" s="110">
        <v>46142</v>
      </c>
      <c r="D95" s="111">
        <f>IF(_xlfn.XLOOKUP(A95,[1]分配表!J:J,[1]分配表!M:M)=0,"未出单",_xlfn.XLOOKUP(A95,[1]分配表!J:J,[1]分配表!M:M))</f>
        <v>46144</v>
      </c>
      <c r="E95" s="112" t="str">
        <f>_xlfn.XLOOKUP(A95,[1]分配表!A:A,[1]分配表!C:C)</f>
        <v>章鹏</v>
      </c>
      <c r="F95" s="112" t="str">
        <f>IF(_xlfn.XLOOKUP($A95,[1]分配表!$A:$A,[1]分配表!D:D)=0,"未分类",_xlfn.XLOOKUP($A95,[1]分配表!$A:$A,[1]分配表!D:D))</f>
        <v>饰条</v>
      </c>
      <c r="G95" s="112" t="str">
        <f>_xlfn.XLOOKUP(A95,[1]分配表!J:J,[1]分配表!I:I)</f>
        <v>拓展品</v>
      </c>
      <c r="H95" s="49" t="s">
        <v>328</v>
      </c>
      <c r="I95" s="49" t="s">
        <v>328</v>
      </c>
      <c r="J95" s="49" t="s">
        <v>328</v>
      </c>
      <c r="K95" s="49" t="s">
        <v>328</v>
      </c>
      <c r="L95" s="49" t="s">
        <v>328</v>
      </c>
      <c r="M95" s="49" t="s">
        <v>328</v>
      </c>
      <c r="N95" s="49" t="s">
        <v>328</v>
      </c>
      <c r="O95" s="49" t="s">
        <v>328</v>
      </c>
      <c r="P95" s="49">
        <v>4</v>
      </c>
      <c r="Q95" s="49">
        <v>3</v>
      </c>
      <c r="R95" s="49">
        <v>2</v>
      </c>
      <c r="S95" s="49">
        <v>3</v>
      </c>
      <c r="T95" s="113">
        <f t="shared" si="2"/>
        <v>1</v>
      </c>
      <c r="U95" s="118"/>
      <c r="V95" s="49"/>
      <c r="W95" s="49"/>
      <c r="X95" s="49"/>
      <c r="Y95" s="49"/>
      <c r="Z95" s="49"/>
      <c r="AA95" s="49" t="s">
        <v>328</v>
      </c>
      <c r="AB95" s="116" t="s">
        <v>328</v>
      </c>
      <c r="AC95" s="117">
        <v>152.89</v>
      </c>
      <c r="AD95" s="117">
        <v>121</v>
      </c>
      <c r="AE95" s="117">
        <v>90</v>
      </c>
      <c r="AF95" s="117">
        <v>142.98</v>
      </c>
      <c r="AG95" s="115">
        <f t="shared" si="3"/>
        <v>52.98</v>
      </c>
      <c r="AH95" s="118"/>
      <c r="AI95" s="49"/>
      <c r="AJ95" s="49"/>
      <c r="AK95" s="49"/>
      <c r="AL95" s="49"/>
      <c r="AM95" s="49" t="s">
        <v>328</v>
      </c>
      <c r="AN95" s="49" t="s">
        <v>328</v>
      </c>
      <c r="AO95" s="49" t="s">
        <v>328</v>
      </c>
      <c r="AP95" s="49">
        <v>2</v>
      </c>
      <c r="AQ95" s="49">
        <v>1</v>
      </c>
      <c r="AR95" s="49">
        <v>3</v>
      </c>
      <c r="AS95" s="49">
        <v>2</v>
      </c>
      <c r="AT95" s="118" t="s">
        <v>328</v>
      </c>
      <c r="AU95" s="49" t="s">
        <v>328</v>
      </c>
      <c r="AV95" s="49" t="s">
        <v>328</v>
      </c>
      <c r="AW95" s="49" t="s">
        <v>328</v>
      </c>
      <c r="AX95" s="49" t="s">
        <v>328</v>
      </c>
      <c r="AY95" s="49" t="s">
        <v>328</v>
      </c>
      <c r="AZ95" s="49" t="s">
        <v>328</v>
      </c>
      <c r="BA95" s="55" t="s">
        <v>328</v>
      </c>
      <c r="BB95" s="55">
        <v>0.6</v>
      </c>
      <c r="BC95" s="55">
        <v>0.75</v>
      </c>
      <c r="BD95" s="55">
        <v>0.4</v>
      </c>
      <c r="BE95" s="55">
        <v>0.5</v>
      </c>
      <c r="BF95" s="118" t="s">
        <v>328</v>
      </c>
      <c r="BG95" s="49" t="s">
        <v>328</v>
      </c>
      <c r="BH95" s="49" t="s">
        <v>328</v>
      </c>
      <c r="BI95" s="49" t="s">
        <v>328</v>
      </c>
      <c r="BJ95" s="49" t="s">
        <v>328</v>
      </c>
      <c r="BK95" s="49" t="s">
        <v>328</v>
      </c>
      <c r="BL95" s="49" t="s">
        <v>328</v>
      </c>
      <c r="BM95" s="49" t="s">
        <v>328</v>
      </c>
      <c r="BN95" s="49">
        <v>6</v>
      </c>
      <c r="BO95" s="49">
        <v>2</v>
      </c>
      <c r="BP95" s="49">
        <v>9</v>
      </c>
      <c r="BQ95" s="120">
        <v>5</v>
      </c>
      <c r="BR95" s="49" t="s">
        <v>328</v>
      </c>
      <c r="BS95" s="49" t="s">
        <v>328</v>
      </c>
      <c r="BT95" s="49" t="s">
        <v>328</v>
      </c>
      <c r="BU95" s="49" t="s">
        <v>328</v>
      </c>
      <c r="BV95" s="49" t="s">
        <v>328</v>
      </c>
      <c r="BW95" s="49" t="s">
        <v>328</v>
      </c>
      <c r="BX95" s="49" t="s">
        <v>328</v>
      </c>
      <c r="BY95" s="49" t="s">
        <v>328</v>
      </c>
      <c r="BZ95" s="115" t="s">
        <v>49</v>
      </c>
      <c r="CA95" s="115" t="s">
        <v>49</v>
      </c>
      <c r="CB95" s="115" t="s">
        <v>49</v>
      </c>
      <c r="CC95" s="115" t="s">
        <v>49</v>
      </c>
      <c r="CD95" s="118" t="s">
        <v>328</v>
      </c>
      <c r="CE95" s="49" t="s">
        <v>328</v>
      </c>
      <c r="CF95" s="49" t="s">
        <v>328</v>
      </c>
      <c r="CG95" s="49" t="s">
        <v>328</v>
      </c>
      <c r="CH95" s="49" t="s">
        <v>328</v>
      </c>
      <c r="CI95" s="49" t="s">
        <v>328</v>
      </c>
      <c r="CJ95" s="49" t="s">
        <v>328</v>
      </c>
      <c r="CK95" s="49" t="s">
        <v>328</v>
      </c>
      <c r="CL95" s="115" t="s">
        <v>53</v>
      </c>
      <c r="CM95" s="115" t="s">
        <v>53</v>
      </c>
      <c r="CN95" s="115" t="s">
        <v>152</v>
      </c>
      <c r="CO95" s="121" t="s">
        <v>53</v>
      </c>
      <c r="CP95" s="49" t="s">
        <v>328</v>
      </c>
      <c r="CQ95" s="49" t="s">
        <v>328</v>
      </c>
      <c r="CR95" s="49" t="s">
        <v>328</v>
      </c>
      <c r="CS95" s="49" t="s">
        <v>328</v>
      </c>
      <c r="CT95" s="49" t="s">
        <v>328</v>
      </c>
      <c r="CU95" s="49" t="s">
        <v>328</v>
      </c>
      <c r="CV95" s="49" t="s">
        <v>328</v>
      </c>
      <c r="CW95" s="49" t="s">
        <v>328</v>
      </c>
      <c r="CX95" s="115" t="s">
        <v>152</v>
      </c>
      <c r="CY95" s="115" t="s">
        <v>53</v>
      </c>
      <c r="CZ95" s="115" t="s">
        <v>53</v>
      </c>
      <c r="DA95" s="115" t="s">
        <v>53</v>
      </c>
      <c r="DB95" s="118" t="s">
        <v>328</v>
      </c>
      <c r="DC95" s="49" t="s">
        <v>328</v>
      </c>
      <c r="DD95" s="49" t="s">
        <v>328</v>
      </c>
      <c r="DE95" s="49" t="s">
        <v>328</v>
      </c>
      <c r="DF95" s="49" t="s">
        <v>328</v>
      </c>
      <c r="DG95" s="49" t="s">
        <v>328</v>
      </c>
      <c r="DH95" s="49" t="s">
        <v>328</v>
      </c>
      <c r="DI95" s="49" t="s">
        <v>328</v>
      </c>
      <c r="DJ95" s="49" t="s">
        <v>328</v>
      </c>
      <c r="DK95" s="49" t="s">
        <v>313</v>
      </c>
      <c r="DL95" s="49" t="s">
        <v>53</v>
      </c>
      <c r="DM95" s="49" t="s">
        <v>313</v>
      </c>
      <c r="DN95" s="49" t="s">
        <v>313</v>
      </c>
      <c r="DO95" s="118" t="s">
        <v>328</v>
      </c>
      <c r="DP95" s="49" t="s">
        <v>328</v>
      </c>
      <c r="DQ95" s="49" t="s">
        <v>328</v>
      </c>
      <c r="DR95" s="49" t="s">
        <v>328</v>
      </c>
      <c r="DS95" s="49" t="s">
        <v>328</v>
      </c>
      <c r="DT95" s="49" t="s">
        <v>328</v>
      </c>
      <c r="DU95" s="49" t="s">
        <v>328</v>
      </c>
      <c r="DV95" s="49" t="s">
        <v>328</v>
      </c>
      <c r="DW95" s="49" t="s">
        <v>58</v>
      </c>
      <c r="DX95" s="49" t="s">
        <v>159</v>
      </c>
      <c r="DY95" s="49" t="s">
        <v>58</v>
      </c>
      <c r="DZ95" s="49" t="s">
        <v>315</v>
      </c>
      <c r="EA95" s="118" t="s">
        <v>328</v>
      </c>
      <c r="EB95" s="49" t="s">
        <v>328</v>
      </c>
      <c r="EC95" s="49" t="s">
        <v>49</v>
      </c>
      <c r="ED95" s="49" t="s">
        <v>49</v>
      </c>
      <c r="EE95" s="49" t="s">
        <v>49</v>
      </c>
      <c r="EF95" s="49" t="s">
        <v>49</v>
      </c>
      <c r="EG95" s="120" t="s">
        <v>49</v>
      </c>
      <c r="EH95" s="117">
        <v>4.54</v>
      </c>
      <c r="EI95" s="117">
        <v>92.81</v>
      </c>
      <c r="EJ95" s="49" t="s">
        <v>328</v>
      </c>
      <c r="EK95" s="49" t="s">
        <v>328</v>
      </c>
      <c r="EL95" s="55">
        <v>0</v>
      </c>
      <c r="EM95" s="55">
        <v>0</v>
      </c>
      <c r="EN95" s="55">
        <v>0.02</v>
      </c>
      <c r="EO95" s="122">
        <v>0.02</v>
      </c>
      <c r="EP95" s="117">
        <v>0</v>
      </c>
      <c r="EQ95" s="117">
        <v>0</v>
      </c>
      <c r="ER95" s="49"/>
      <c r="ES95" s="49"/>
      <c r="ET95" s="49"/>
      <c r="EU95" s="49"/>
    </row>
    <row r="96" customFormat="1" ht="22.5" customHeight="1" spans="1:151">
      <c r="A96" s="108">
        <v>12569</v>
      </c>
      <c r="B96" s="109" t="s">
        <v>412</v>
      </c>
      <c r="C96" s="110">
        <v>46142</v>
      </c>
      <c r="D96" s="111" t="str">
        <f>IF(_xlfn.XLOOKUP(A96,[1]分配表!J:J,[1]分配表!M:M)=0,"未出单",_xlfn.XLOOKUP(A96,[1]分配表!J:J,[1]分配表!M:M))</f>
        <v>未出单</v>
      </c>
      <c r="E96" s="112" t="str">
        <f>_xlfn.XLOOKUP(A96,[1]分配表!A:A,[1]分配表!C:C)</f>
        <v>张潇</v>
      </c>
      <c r="F96" s="112" t="str">
        <f>IF(_xlfn.XLOOKUP($A96,[1]分配表!$A:$A,[1]分配表!D:D)=0,"未分类",_xlfn.XLOOKUP($A96,[1]分配表!$A:$A,[1]分配表!D:D))</f>
        <v>其他</v>
      </c>
      <c r="G96" s="112" t="str">
        <f>_xlfn.XLOOKUP(A96,[1]分配表!J:J,[1]分配表!I:I)</f>
        <v>原开品</v>
      </c>
      <c r="H96" s="49" t="s">
        <v>328</v>
      </c>
      <c r="I96" s="49" t="s">
        <v>328</v>
      </c>
      <c r="J96" s="49" t="s">
        <v>328</v>
      </c>
      <c r="K96" s="49" t="s">
        <v>328</v>
      </c>
      <c r="L96" s="49" t="s">
        <v>328</v>
      </c>
      <c r="M96" s="49" t="s">
        <v>328</v>
      </c>
      <c r="N96" s="49" t="s">
        <v>328</v>
      </c>
      <c r="O96" s="49" t="s">
        <v>328</v>
      </c>
      <c r="P96" s="49">
        <v>0</v>
      </c>
      <c r="Q96" s="49">
        <v>0</v>
      </c>
      <c r="R96" s="49">
        <v>0</v>
      </c>
      <c r="S96" s="49">
        <v>0</v>
      </c>
      <c r="T96" s="113">
        <f t="shared" si="2"/>
        <v>0</v>
      </c>
      <c r="U96" s="118"/>
      <c r="V96" s="49"/>
      <c r="W96" s="49"/>
      <c r="X96" s="49"/>
      <c r="Y96" s="49"/>
      <c r="Z96" s="49"/>
      <c r="AA96" s="49" t="s">
        <v>328</v>
      </c>
      <c r="AB96" s="116" t="s">
        <v>328</v>
      </c>
      <c r="AC96" s="117">
        <v>0</v>
      </c>
      <c r="AD96" s="117">
        <v>0</v>
      </c>
      <c r="AE96" s="117">
        <v>0</v>
      </c>
      <c r="AF96" s="117">
        <v>0</v>
      </c>
      <c r="AG96" s="115">
        <f t="shared" si="3"/>
        <v>0</v>
      </c>
      <c r="AH96" s="118"/>
      <c r="AI96" s="49"/>
      <c r="AJ96" s="49"/>
      <c r="AK96" s="49"/>
      <c r="AL96" s="49"/>
      <c r="AM96" s="49" t="s">
        <v>328</v>
      </c>
      <c r="AN96" s="49" t="s">
        <v>328</v>
      </c>
      <c r="AO96" s="49" t="s">
        <v>328</v>
      </c>
      <c r="AP96" s="49">
        <v>0</v>
      </c>
      <c r="AQ96" s="49">
        <v>0</v>
      </c>
      <c r="AR96" s="49">
        <v>3</v>
      </c>
      <c r="AS96" s="49">
        <v>1</v>
      </c>
      <c r="AT96" s="118" t="s">
        <v>328</v>
      </c>
      <c r="AU96" s="49" t="s">
        <v>328</v>
      </c>
      <c r="AV96" s="49" t="s">
        <v>328</v>
      </c>
      <c r="AW96" s="49" t="s">
        <v>328</v>
      </c>
      <c r="AX96" s="49" t="s">
        <v>328</v>
      </c>
      <c r="AY96" s="49" t="s">
        <v>328</v>
      </c>
      <c r="AZ96" s="49" t="s">
        <v>328</v>
      </c>
      <c r="BA96" s="55" t="s">
        <v>328</v>
      </c>
      <c r="BB96" s="55" t="s">
        <v>306</v>
      </c>
      <c r="BC96" s="55" t="s">
        <v>306</v>
      </c>
      <c r="BD96" s="55">
        <v>0</v>
      </c>
      <c r="BE96" s="55">
        <v>0</v>
      </c>
      <c r="BF96" s="118" t="s">
        <v>328</v>
      </c>
      <c r="BG96" s="49" t="s">
        <v>328</v>
      </c>
      <c r="BH96" s="49" t="s">
        <v>328</v>
      </c>
      <c r="BI96" s="49" t="s">
        <v>328</v>
      </c>
      <c r="BJ96" s="49" t="s">
        <v>328</v>
      </c>
      <c r="BK96" s="49" t="s">
        <v>328</v>
      </c>
      <c r="BL96" s="49" t="s">
        <v>328</v>
      </c>
      <c r="BM96" s="49" t="s">
        <v>328</v>
      </c>
      <c r="BN96" s="49">
        <v>0</v>
      </c>
      <c r="BO96" s="49">
        <v>2</v>
      </c>
      <c r="BP96" s="49">
        <v>2</v>
      </c>
      <c r="BQ96" s="120">
        <v>0</v>
      </c>
      <c r="BR96" s="49" t="s">
        <v>328</v>
      </c>
      <c r="BS96" s="49" t="s">
        <v>328</v>
      </c>
      <c r="BT96" s="49" t="s">
        <v>328</v>
      </c>
      <c r="BU96" s="49" t="s">
        <v>328</v>
      </c>
      <c r="BV96" s="49" t="s">
        <v>328</v>
      </c>
      <c r="BW96" s="49" t="s">
        <v>328</v>
      </c>
      <c r="BX96" s="49" t="s">
        <v>328</v>
      </c>
      <c r="BY96" s="49" t="s">
        <v>328</v>
      </c>
      <c r="BZ96" s="115" t="s">
        <v>149</v>
      </c>
      <c r="CA96" s="115" t="s">
        <v>149</v>
      </c>
      <c r="CB96" s="115" t="s">
        <v>149</v>
      </c>
      <c r="CC96" s="115" t="s">
        <v>149</v>
      </c>
      <c r="CD96" s="118" t="s">
        <v>328</v>
      </c>
      <c r="CE96" s="49" t="s">
        <v>328</v>
      </c>
      <c r="CF96" s="49" t="s">
        <v>328</v>
      </c>
      <c r="CG96" s="49" t="s">
        <v>328</v>
      </c>
      <c r="CH96" s="49" t="s">
        <v>328</v>
      </c>
      <c r="CI96" s="49" t="s">
        <v>328</v>
      </c>
      <c r="CJ96" s="49" t="s">
        <v>328</v>
      </c>
      <c r="CK96" s="49" t="s">
        <v>328</v>
      </c>
      <c r="CL96" s="115" t="s">
        <v>53</v>
      </c>
      <c r="CM96" s="115" t="s">
        <v>53</v>
      </c>
      <c r="CN96" s="115" t="s">
        <v>53</v>
      </c>
      <c r="CO96" s="121" t="s">
        <v>53</v>
      </c>
      <c r="CP96" s="49" t="s">
        <v>328</v>
      </c>
      <c r="CQ96" s="49" t="s">
        <v>328</v>
      </c>
      <c r="CR96" s="49" t="s">
        <v>328</v>
      </c>
      <c r="CS96" s="49" t="s">
        <v>328</v>
      </c>
      <c r="CT96" s="49" t="s">
        <v>328</v>
      </c>
      <c r="CU96" s="49" t="s">
        <v>328</v>
      </c>
      <c r="CV96" s="49" t="s">
        <v>328</v>
      </c>
      <c r="CW96" s="49" t="s">
        <v>328</v>
      </c>
      <c r="CX96" s="115" t="s">
        <v>53</v>
      </c>
      <c r="CY96" s="115" t="s">
        <v>53</v>
      </c>
      <c r="CZ96" s="115" t="s">
        <v>53</v>
      </c>
      <c r="DA96" s="115" t="s">
        <v>53</v>
      </c>
      <c r="DB96" s="118" t="s">
        <v>328</v>
      </c>
      <c r="DC96" s="49" t="s">
        <v>328</v>
      </c>
      <c r="DD96" s="49" t="s">
        <v>328</v>
      </c>
      <c r="DE96" s="49" t="s">
        <v>328</v>
      </c>
      <c r="DF96" s="49" t="s">
        <v>328</v>
      </c>
      <c r="DG96" s="49" t="s">
        <v>328</v>
      </c>
      <c r="DH96" s="49" t="s">
        <v>328</v>
      </c>
      <c r="DI96" s="49" t="s">
        <v>328</v>
      </c>
      <c r="DJ96" s="49" t="s">
        <v>328</v>
      </c>
      <c r="DK96" s="49" t="s">
        <v>307</v>
      </c>
      <c r="DL96" s="49" t="s">
        <v>307</v>
      </c>
      <c r="DM96" s="49" t="s">
        <v>313</v>
      </c>
      <c r="DN96" s="49" t="s">
        <v>313</v>
      </c>
      <c r="DO96" s="118" t="s">
        <v>328</v>
      </c>
      <c r="DP96" s="49" t="s">
        <v>328</v>
      </c>
      <c r="DQ96" s="49" t="s">
        <v>328</v>
      </c>
      <c r="DR96" s="49" t="s">
        <v>328</v>
      </c>
      <c r="DS96" s="49" t="s">
        <v>328</v>
      </c>
      <c r="DT96" s="49" t="s">
        <v>328</v>
      </c>
      <c r="DU96" s="49" t="s">
        <v>328</v>
      </c>
      <c r="DV96" s="49" t="s">
        <v>328</v>
      </c>
      <c r="DW96" s="49" t="s">
        <v>58</v>
      </c>
      <c r="DX96" s="49" t="s">
        <v>58</v>
      </c>
      <c r="DY96" s="49" t="s">
        <v>331</v>
      </c>
      <c r="DZ96" s="49" t="s">
        <v>315</v>
      </c>
      <c r="EA96" s="118" t="s">
        <v>328</v>
      </c>
      <c r="EB96" s="49" t="s">
        <v>328</v>
      </c>
      <c r="EC96" s="49" t="s">
        <v>49</v>
      </c>
      <c r="ED96" s="49" t="s">
        <v>49</v>
      </c>
      <c r="EE96" s="49" t="s">
        <v>49</v>
      </c>
      <c r="EF96" s="49" t="s">
        <v>49</v>
      </c>
      <c r="EG96" s="120" t="s">
        <v>49</v>
      </c>
      <c r="EH96" s="117">
        <v>13.13</v>
      </c>
      <c r="EI96" s="117">
        <v>0</v>
      </c>
      <c r="EJ96" s="49" t="s">
        <v>328</v>
      </c>
      <c r="EK96" s="49" t="s">
        <v>328</v>
      </c>
      <c r="EL96" s="55">
        <v>0</v>
      </c>
      <c r="EM96" s="55">
        <v>0.02</v>
      </c>
      <c r="EN96" s="55">
        <v>0.02</v>
      </c>
      <c r="EO96" s="122">
        <v>0.02</v>
      </c>
      <c r="EP96" s="117">
        <v>0</v>
      </c>
      <c r="EQ96" s="117">
        <v>0</v>
      </c>
      <c r="ER96" s="49"/>
      <c r="ES96" s="49"/>
      <c r="ET96" s="49"/>
      <c r="EU96" s="49"/>
    </row>
    <row r="97" customFormat="1" ht="22.5" customHeight="1" spans="1:151">
      <c r="A97" s="108">
        <v>12575</v>
      </c>
      <c r="B97" s="109" t="s">
        <v>413</v>
      </c>
      <c r="C97" s="110">
        <v>46142</v>
      </c>
      <c r="D97" s="111">
        <f>IF(_xlfn.XLOOKUP(A97,[1]分配表!J:J,[1]分配表!M:M)=0,"未出单",_xlfn.XLOOKUP(A97,[1]分配表!J:J,[1]分配表!M:M))</f>
        <v>46147</v>
      </c>
      <c r="E97" s="112" t="str">
        <f>_xlfn.XLOOKUP(A97,[1]分配表!A:A,[1]分配表!C:C)</f>
        <v>胡煜星</v>
      </c>
      <c r="F97" s="112" t="str">
        <f>IF(_xlfn.XLOOKUP($A97,[1]分配表!$A:$A,[1]分配表!D:D)=0,"未分类",_xlfn.XLOOKUP($A97,[1]分配表!$A:$A,[1]分配表!D:D))</f>
        <v>其他</v>
      </c>
      <c r="G97" s="112" t="str">
        <f>_xlfn.XLOOKUP(A97,[1]分配表!J:J,[1]分配表!I:I)</f>
        <v>拓展品</v>
      </c>
      <c r="H97" s="49" t="s">
        <v>328</v>
      </c>
      <c r="I97" s="49" t="s">
        <v>328</v>
      </c>
      <c r="J97" s="49" t="s">
        <v>328</v>
      </c>
      <c r="K97" s="49" t="s">
        <v>328</v>
      </c>
      <c r="L97" s="49" t="s">
        <v>328</v>
      </c>
      <c r="M97" s="49" t="s">
        <v>328</v>
      </c>
      <c r="N97" s="49" t="s">
        <v>328</v>
      </c>
      <c r="O97" s="49" t="s">
        <v>328</v>
      </c>
      <c r="P97" s="49">
        <v>1</v>
      </c>
      <c r="Q97" s="49">
        <v>0</v>
      </c>
      <c r="R97" s="49">
        <v>1</v>
      </c>
      <c r="S97" s="49">
        <v>0</v>
      </c>
      <c r="T97" s="113">
        <f t="shared" si="2"/>
        <v>-1</v>
      </c>
      <c r="U97" s="118"/>
      <c r="V97" s="49"/>
      <c r="W97" s="49"/>
      <c r="X97" s="49"/>
      <c r="Y97" s="49"/>
      <c r="Z97" s="49"/>
      <c r="AA97" s="49" t="s">
        <v>328</v>
      </c>
      <c r="AB97" s="116" t="s">
        <v>328</v>
      </c>
      <c r="AC97" s="117">
        <v>65</v>
      </c>
      <c r="AD97" s="117">
        <v>0</v>
      </c>
      <c r="AE97" s="117">
        <v>65</v>
      </c>
      <c r="AF97" s="117">
        <v>0</v>
      </c>
      <c r="AG97" s="115">
        <f t="shared" si="3"/>
        <v>-65</v>
      </c>
      <c r="AH97" s="118"/>
      <c r="AI97" s="49"/>
      <c r="AJ97" s="49"/>
      <c r="AK97" s="49"/>
      <c r="AL97" s="49"/>
      <c r="AM97" s="49" t="s">
        <v>328</v>
      </c>
      <c r="AN97" s="49" t="s">
        <v>328</v>
      </c>
      <c r="AO97" s="49" t="s">
        <v>328</v>
      </c>
      <c r="AP97" s="49">
        <v>0</v>
      </c>
      <c r="AQ97" s="49">
        <v>0</v>
      </c>
      <c r="AR97" s="49">
        <v>0</v>
      </c>
      <c r="AS97" s="49">
        <v>0</v>
      </c>
      <c r="AT97" s="118" t="s">
        <v>328</v>
      </c>
      <c r="AU97" s="49" t="s">
        <v>328</v>
      </c>
      <c r="AV97" s="49" t="s">
        <v>328</v>
      </c>
      <c r="AW97" s="49" t="s">
        <v>328</v>
      </c>
      <c r="AX97" s="49" t="s">
        <v>328</v>
      </c>
      <c r="AY97" s="49" t="s">
        <v>328</v>
      </c>
      <c r="AZ97" s="49" t="s">
        <v>328</v>
      </c>
      <c r="BA97" s="55" t="s">
        <v>328</v>
      </c>
      <c r="BB97" s="55" t="s">
        <v>306</v>
      </c>
      <c r="BC97" s="55">
        <v>1</v>
      </c>
      <c r="BD97" s="55">
        <v>1</v>
      </c>
      <c r="BE97" s="55" t="s">
        <v>306</v>
      </c>
      <c r="BF97" s="118" t="s">
        <v>328</v>
      </c>
      <c r="BG97" s="49" t="s">
        <v>328</v>
      </c>
      <c r="BH97" s="49" t="s">
        <v>328</v>
      </c>
      <c r="BI97" s="49" t="s">
        <v>328</v>
      </c>
      <c r="BJ97" s="49" t="s">
        <v>328</v>
      </c>
      <c r="BK97" s="49" t="s">
        <v>328</v>
      </c>
      <c r="BL97" s="49" t="s">
        <v>328</v>
      </c>
      <c r="BM97" s="49" t="s">
        <v>328</v>
      </c>
      <c r="BN97" s="49">
        <v>6</v>
      </c>
      <c r="BO97" s="49">
        <v>1</v>
      </c>
      <c r="BP97" s="49">
        <v>8</v>
      </c>
      <c r="BQ97" s="120">
        <v>0</v>
      </c>
      <c r="BR97" s="49" t="s">
        <v>328</v>
      </c>
      <c r="BS97" s="49" t="s">
        <v>328</v>
      </c>
      <c r="BT97" s="49" t="s">
        <v>328</v>
      </c>
      <c r="BU97" s="49" t="s">
        <v>328</v>
      </c>
      <c r="BV97" s="49" t="s">
        <v>328</v>
      </c>
      <c r="BW97" s="49" t="s">
        <v>328</v>
      </c>
      <c r="BX97" s="49" t="s">
        <v>328</v>
      </c>
      <c r="BY97" s="49" t="s">
        <v>328</v>
      </c>
      <c r="BZ97" s="115" t="s">
        <v>49</v>
      </c>
      <c r="CA97" s="115" t="s">
        <v>49</v>
      </c>
      <c r="CB97" s="115" t="s">
        <v>49</v>
      </c>
      <c r="CC97" s="115" t="s">
        <v>49</v>
      </c>
      <c r="CD97" s="118" t="s">
        <v>328</v>
      </c>
      <c r="CE97" s="49" t="s">
        <v>328</v>
      </c>
      <c r="CF97" s="49" t="s">
        <v>328</v>
      </c>
      <c r="CG97" s="49" t="s">
        <v>328</v>
      </c>
      <c r="CH97" s="49" t="s">
        <v>328</v>
      </c>
      <c r="CI97" s="49" t="s">
        <v>328</v>
      </c>
      <c r="CJ97" s="49" t="s">
        <v>328</v>
      </c>
      <c r="CK97" s="49" t="s">
        <v>328</v>
      </c>
      <c r="CL97" s="115" t="s">
        <v>53</v>
      </c>
      <c r="CM97" s="115" t="s">
        <v>53</v>
      </c>
      <c r="CN97" s="115" t="s">
        <v>152</v>
      </c>
      <c r="CO97" s="121" t="s">
        <v>53</v>
      </c>
      <c r="CP97" s="49" t="s">
        <v>328</v>
      </c>
      <c r="CQ97" s="49" t="s">
        <v>328</v>
      </c>
      <c r="CR97" s="49" t="s">
        <v>328</v>
      </c>
      <c r="CS97" s="49" t="s">
        <v>328</v>
      </c>
      <c r="CT97" s="49" t="s">
        <v>328</v>
      </c>
      <c r="CU97" s="49" t="s">
        <v>328</v>
      </c>
      <c r="CV97" s="49" t="s">
        <v>328</v>
      </c>
      <c r="CW97" s="49" t="s">
        <v>328</v>
      </c>
      <c r="CX97" s="115" t="s">
        <v>152</v>
      </c>
      <c r="CY97" s="115" t="s">
        <v>53</v>
      </c>
      <c r="CZ97" s="115" t="s">
        <v>53</v>
      </c>
      <c r="DA97" s="115" t="s">
        <v>53</v>
      </c>
      <c r="DB97" s="118" t="s">
        <v>328</v>
      </c>
      <c r="DC97" s="49" t="s">
        <v>328</v>
      </c>
      <c r="DD97" s="49" t="s">
        <v>328</v>
      </c>
      <c r="DE97" s="49" t="s">
        <v>328</v>
      </c>
      <c r="DF97" s="49" t="s">
        <v>328</v>
      </c>
      <c r="DG97" s="49" t="s">
        <v>328</v>
      </c>
      <c r="DH97" s="49" t="s">
        <v>328</v>
      </c>
      <c r="DI97" s="49" t="s">
        <v>328</v>
      </c>
      <c r="DJ97" s="49" t="s">
        <v>328</v>
      </c>
      <c r="DK97" s="49" t="s">
        <v>53</v>
      </c>
      <c r="DL97" s="49" t="s">
        <v>53</v>
      </c>
      <c r="DM97" s="49" t="s">
        <v>53</v>
      </c>
      <c r="DN97" s="49" t="s">
        <v>307</v>
      </c>
      <c r="DO97" s="118" t="s">
        <v>328</v>
      </c>
      <c r="DP97" s="49" t="s">
        <v>328</v>
      </c>
      <c r="DQ97" s="49" t="s">
        <v>328</v>
      </c>
      <c r="DR97" s="49" t="s">
        <v>328</v>
      </c>
      <c r="DS97" s="49" t="s">
        <v>328</v>
      </c>
      <c r="DT97" s="49" t="s">
        <v>328</v>
      </c>
      <c r="DU97" s="49" t="s">
        <v>328</v>
      </c>
      <c r="DV97" s="49" t="s">
        <v>328</v>
      </c>
      <c r="DW97" s="49" t="s">
        <v>58</v>
      </c>
      <c r="DX97" s="49" t="s">
        <v>310</v>
      </c>
      <c r="DY97" s="49" t="s">
        <v>58</v>
      </c>
      <c r="DZ97" s="49" t="s">
        <v>314</v>
      </c>
      <c r="EA97" s="118" t="s">
        <v>328</v>
      </c>
      <c r="EB97" s="49" t="s">
        <v>328</v>
      </c>
      <c r="EC97" s="49" t="s">
        <v>49</v>
      </c>
      <c r="ED97" s="49" t="s">
        <v>49</v>
      </c>
      <c r="EE97" s="49" t="s">
        <v>49</v>
      </c>
      <c r="EF97" s="49" t="s">
        <v>49</v>
      </c>
      <c r="EG97" s="120" t="s">
        <v>49</v>
      </c>
      <c r="EH97" s="117">
        <v>0.84</v>
      </c>
      <c r="EI97" s="117">
        <v>0</v>
      </c>
      <c r="EJ97" s="49" t="s">
        <v>328</v>
      </c>
      <c r="EK97" s="49" t="s">
        <v>328</v>
      </c>
      <c r="EL97" s="55">
        <v>0</v>
      </c>
      <c r="EM97" s="55">
        <v>0</v>
      </c>
      <c r="EN97" s="55">
        <v>0</v>
      </c>
      <c r="EO97" s="122">
        <v>0</v>
      </c>
      <c r="EP97" s="117">
        <v>0</v>
      </c>
      <c r="EQ97" s="117">
        <v>0</v>
      </c>
      <c r="ER97" s="49"/>
      <c r="ES97" s="49"/>
      <c r="ET97" s="49"/>
      <c r="EU97" s="49"/>
    </row>
    <row r="98" customFormat="1" ht="22.5" customHeight="1" spans="1:151">
      <c r="A98" s="108">
        <v>12574</v>
      </c>
      <c r="B98" s="109" t="s">
        <v>414</v>
      </c>
      <c r="C98" s="110">
        <v>46142</v>
      </c>
      <c r="D98" s="111">
        <f>IF(_xlfn.XLOOKUP(A98,[1]分配表!J:J,[1]分配表!M:M)=0,"未出单",_xlfn.XLOOKUP(A98,[1]分配表!J:J,[1]分配表!M:M))</f>
        <v>46157</v>
      </c>
      <c r="E98" s="112" t="str">
        <f>_xlfn.XLOOKUP(A98,[1]分配表!A:A,[1]分配表!C:C)</f>
        <v>胡煜星</v>
      </c>
      <c r="F98" s="112" t="str">
        <f>IF(_xlfn.XLOOKUP($A98,[1]分配表!$A:$A,[1]分配表!D:D)=0,"未分类",_xlfn.XLOOKUP($A98,[1]分配表!$A:$A,[1]分配表!D:D))</f>
        <v>其他</v>
      </c>
      <c r="G98" s="112" t="str">
        <f>_xlfn.XLOOKUP(A98,[1]分配表!J:J,[1]分配表!I:I)</f>
        <v>拓展品</v>
      </c>
      <c r="H98" s="49" t="s">
        <v>328</v>
      </c>
      <c r="I98" s="49" t="s">
        <v>328</v>
      </c>
      <c r="J98" s="49" t="s">
        <v>328</v>
      </c>
      <c r="K98" s="49" t="s">
        <v>328</v>
      </c>
      <c r="L98" s="49" t="s">
        <v>328</v>
      </c>
      <c r="M98" s="49" t="s">
        <v>328</v>
      </c>
      <c r="N98" s="49" t="s">
        <v>328</v>
      </c>
      <c r="O98" s="49" t="s">
        <v>328</v>
      </c>
      <c r="P98" s="49">
        <v>0</v>
      </c>
      <c r="Q98" s="49">
        <v>0</v>
      </c>
      <c r="R98" s="49">
        <v>2</v>
      </c>
      <c r="S98" s="49">
        <v>0</v>
      </c>
      <c r="T98" s="113">
        <f t="shared" si="2"/>
        <v>-2</v>
      </c>
      <c r="U98" s="118"/>
      <c r="V98" s="49"/>
      <c r="W98" s="49"/>
      <c r="X98" s="49"/>
      <c r="Y98" s="49"/>
      <c r="Z98" s="49"/>
      <c r="AA98" s="49" t="s">
        <v>328</v>
      </c>
      <c r="AB98" s="116" t="s">
        <v>328</v>
      </c>
      <c r="AC98" s="117">
        <v>0</v>
      </c>
      <c r="AD98" s="117">
        <v>0</v>
      </c>
      <c r="AE98" s="117">
        <v>130</v>
      </c>
      <c r="AF98" s="117">
        <v>0</v>
      </c>
      <c r="AG98" s="115">
        <f t="shared" si="3"/>
        <v>-130</v>
      </c>
      <c r="AH98" s="118"/>
      <c r="AI98" s="49"/>
      <c r="AJ98" s="49"/>
      <c r="AK98" s="49"/>
      <c r="AL98" s="49"/>
      <c r="AM98" s="49" t="s">
        <v>328</v>
      </c>
      <c r="AN98" s="49" t="s">
        <v>328</v>
      </c>
      <c r="AO98" s="49" t="s">
        <v>328</v>
      </c>
      <c r="AP98" s="49">
        <v>0</v>
      </c>
      <c r="AQ98" s="49">
        <v>0</v>
      </c>
      <c r="AR98" s="49">
        <v>0</v>
      </c>
      <c r="AS98" s="49">
        <v>0</v>
      </c>
      <c r="AT98" s="118" t="s">
        <v>328</v>
      </c>
      <c r="AU98" s="49" t="s">
        <v>328</v>
      </c>
      <c r="AV98" s="49" t="s">
        <v>328</v>
      </c>
      <c r="AW98" s="49" t="s">
        <v>328</v>
      </c>
      <c r="AX98" s="49" t="s">
        <v>328</v>
      </c>
      <c r="AY98" s="49" t="s">
        <v>328</v>
      </c>
      <c r="AZ98" s="49" t="s">
        <v>328</v>
      </c>
      <c r="BA98" s="55" t="s">
        <v>328</v>
      </c>
      <c r="BB98" s="55" t="s">
        <v>306</v>
      </c>
      <c r="BC98" s="55" t="s">
        <v>306</v>
      </c>
      <c r="BD98" s="55">
        <v>1</v>
      </c>
      <c r="BE98" s="55" t="s">
        <v>306</v>
      </c>
      <c r="BF98" s="118" t="s">
        <v>328</v>
      </c>
      <c r="BG98" s="49" t="s">
        <v>328</v>
      </c>
      <c r="BH98" s="49" t="s">
        <v>328</v>
      </c>
      <c r="BI98" s="49" t="s">
        <v>328</v>
      </c>
      <c r="BJ98" s="49" t="s">
        <v>328</v>
      </c>
      <c r="BK98" s="49" t="s">
        <v>328</v>
      </c>
      <c r="BL98" s="49" t="s">
        <v>328</v>
      </c>
      <c r="BM98" s="49" t="s">
        <v>328</v>
      </c>
      <c r="BN98" s="49">
        <v>6</v>
      </c>
      <c r="BO98" s="49">
        <v>1</v>
      </c>
      <c r="BP98" s="49">
        <v>2</v>
      </c>
      <c r="BQ98" s="120">
        <v>9</v>
      </c>
      <c r="BR98" s="49" t="s">
        <v>328</v>
      </c>
      <c r="BS98" s="49" t="s">
        <v>328</v>
      </c>
      <c r="BT98" s="49" t="s">
        <v>328</v>
      </c>
      <c r="BU98" s="49" t="s">
        <v>328</v>
      </c>
      <c r="BV98" s="49" t="s">
        <v>328</v>
      </c>
      <c r="BW98" s="49" t="s">
        <v>328</v>
      </c>
      <c r="BX98" s="49" t="s">
        <v>328</v>
      </c>
      <c r="BY98" s="49" t="s">
        <v>328</v>
      </c>
      <c r="BZ98" s="115" t="s">
        <v>149</v>
      </c>
      <c r="CA98" s="115" t="s">
        <v>149</v>
      </c>
      <c r="CB98" s="115" t="s">
        <v>62</v>
      </c>
      <c r="CC98" s="115" t="s">
        <v>62</v>
      </c>
      <c r="CD98" s="118" t="s">
        <v>328</v>
      </c>
      <c r="CE98" s="49" t="s">
        <v>328</v>
      </c>
      <c r="CF98" s="49" t="s">
        <v>328</v>
      </c>
      <c r="CG98" s="49" t="s">
        <v>328</v>
      </c>
      <c r="CH98" s="49" t="s">
        <v>328</v>
      </c>
      <c r="CI98" s="49" t="s">
        <v>328</v>
      </c>
      <c r="CJ98" s="49" t="s">
        <v>328</v>
      </c>
      <c r="CK98" s="49" t="s">
        <v>328</v>
      </c>
      <c r="CL98" s="115" t="s">
        <v>53</v>
      </c>
      <c r="CM98" s="115" t="s">
        <v>53</v>
      </c>
      <c r="CN98" s="115" t="s">
        <v>53</v>
      </c>
      <c r="CO98" s="121" t="s">
        <v>152</v>
      </c>
      <c r="CP98" s="49" t="s">
        <v>328</v>
      </c>
      <c r="CQ98" s="49" t="s">
        <v>328</v>
      </c>
      <c r="CR98" s="49" t="s">
        <v>328</v>
      </c>
      <c r="CS98" s="49" t="s">
        <v>328</v>
      </c>
      <c r="CT98" s="49" t="s">
        <v>328</v>
      </c>
      <c r="CU98" s="49" t="s">
        <v>328</v>
      </c>
      <c r="CV98" s="49" t="s">
        <v>328</v>
      </c>
      <c r="CW98" s="49" t="s">
        <v>328</v>
      </c>
      <c r="CX98" s="115" t="s">
        <v>152</v>
      </c>
      <c r="CY98" s="115" t="s">
        <v>53</v>
      </c>
      <c r="CZ98" s="115" t="s">
        <v>53</v>
      </c>
      <c r="DA98" s="115" t="s">
        <v>53</v>
      </c>
      <c r="DB98" s="118" t="s">
        <v>328</v>
      </c>
      <c r="DC98" s="49" t="s">
        <v>328</v>
      </c>
      <c r="DD98" s="49" t="s">
        <v>328</v>
      </c>
      <c r="DE98" s="49" t="s">
        <v>328</v>
      </c>
      <c r="DF98" s="49" t="s">
        <v>328</v>
      </c>
      <c r="DG98" s="49" t="s">
        <v>328</v>
      </c>
      <c r="DH98" s="49" t="s">
        <v>328</v>
      </c>
      <c r="DI98" s="49" t="s">
        <v>328</v>
      </c>
      <c r="DJ98" s="49" t="s">
        <v>328</v>
      </c>
      <c r="DK98" s="49" t="s">
        <v>307</v>
      </c>
      <c r="DL98" s="49" t="s">
        <v>156</v>
      </c>
      <c r="DM98" s="49" t="s">
        <v>53</v>
      </c>
      <c r="DN98" s="49" t="s">
        <v>307</v>
      </c>
      <c r="DO98" s="118" t="s">
        <v>328</v>
      </c>
      <c r="DP98" s="49" t="s">
        <v>328</v>
      </c>
      <c r="DQ98" s="49" t="s">
        <v>328</v>
      </c>
      <c r="DR98" s="49" t="s">
        <v>328</v>
      </c>
      <c r="DS98" s="49" t="s">
        <v>328</v>
      </c>
      <c r="DT98" s="49" t="s">
        <v>328</v>
      </c>
      <c r="DU98" s="49" t="s">
        <v>328</v>
      </c>
      <c r="DV98" s="49" t="s">
        <v>328</v>
      </c>
      <c r="DW98" s="49" t="s">
        <v>58</v>
      </c>
      <c r="DX98" s="49" t="s">
        <v>310</v>
      </c>
      <c r="DY98" s="49" t="s">
        <v>310</v>
      </c>
      <c r="DZ98" s="49" t="s">
        <v>58</v>
      </c>
      <c r="EA98" s="118" t="s">
        <v>328</v>
      </c>
      <c r="EB98" s="49" t="s">
        <v>328</v>
      </c>
      <c r="EC98" s="49" t="s">
        <v>49</v>
      </c>
      <c r="ED98" s="49" t="s">
        <v>49</v>
      </c>
      <c r="EE98" s="49" t="s">
        <v>49</v>
      </c>
      <c r="EF98" s="49" t="s">
        <v>49</v>
      </c>
      <c r="EG98" s="120" t="s">
        <v>49</v>
      </c>
      <c r="EH98" s="117">
        <v>1.19</v>
      </c>
      <c r="EI98" s="117">
        <v>0</v>
      </c>
      <c r="EJ98" s="49" t="s">
        <v>328</v>
      </c>
      <c r="EK98" s="49" t="s">
        <v>328</v>
      </c>
      <c r="EL98" s="55">
        <v>0</v>
      </c>
      <c r="EM98" s="55">
        <v>0</v>
      </c>
      <c r="EN98" s="55">
        <v>0</v>
      </c>
      <c r="EO98" s="122">
        <v>0</v>
      </c>
      <c r="EP98" s="117">
        <v>0</v>
      </c>
      <c r="EQ98" s="117">
        <v>0</v>
      </c>
      <c r="ER98" s="49"/>
      <c r="ES98" s="49"/>
      <c r="ET98" s="49"/>
      <c r="EU98" s="49"/>
    </row>
    <row r="99" customFormat="1" ht="22.5" customHeight="1" spans="1:151">
      <c r="A99" s="108">
        <v>12629</v>
      </c>
      <c r="B99" s="109" t="s">
        <v>415</v>
      </c>
      <c r="C99" s="110">
        <v>46142</v>
      </c>
      <c r="D99" s="111">
        <f>IF(_xlfn.XLOOKUP(A99,[1]分配表!J:J,[1]分配表!M:M)=0,"未出单",_xlfn.XLOOKUP(A99,[1]分配表!J:J,[1]分配表!M:M))</f>
        <v>46146</v>
      </c>
      <c r="E99" s="112" t="str">
        <f>_xlfn.XLOOKUP(A99,[1]分配表!A:A,[1]分配表!C:C)</f>
        <v>王偲涵</v>
      </c>
      <c r="F99" s="112" t="str">
        <f>IF(_xlfn.XLOOKUP($A99,[1]分配表!$A:$A,[1]分配表!D:D)=0,"未分类",_xlfn.XLOOKUP($A99,[1]分配表!$A:$A,[1]分配表!D:D))</f>
        <v>挡泥板</v>
      </c>
      <c r="G99" s="112" t="str">
        <f>_xlfn.XLOOKUP(A99,[1]分配表!J:J,[1]分配表!I:I)</f>
        <v>原开品</v>
      </c>
      <c r="H99" s="49" t="s">
        <v>328</v>
      </c>
      <c r="I99" s="49" t="s">
        <v>328</v>
      </c>
      <c r="J99" s="49" t="s">
        <v>328</v>
      </c>
      <c r="K99" s="49" t="s">
        <v>328</v>
      </c>
      <c r="L99" s="49" t="s">
        <v>328</v>
      </c>
      <c r="M99" s="49" t="s">
        <v>328</v>
      </c>
      <c r="N99" s="49" t="s">
        <v>328</v>
      </c>
      <c r="O99" s="49" t="s">
        <v>328</v>
      </c>
      <c r="P99" s="49">
        <v>1</v>
      </c>
      <c r="Q99" s="49">
        <v>2</v>
      </c>
      <c r="R99" s="49">
        <v>1</v>
      </c>
      <c r="S99" s="49">
        <v>0</v>
      </c>
      <c r="T99" s="113">
        <f t="shared" si="2"/>
        <v>-1</v>
      </c>
      <c r="U99" s="118"/>
      <c r="V99" s="49"/>
      <c r="W99" s="49"/>
      <c r="X99" s="49"/>
      <c r="Y99" s="49"/>
      <c r="Z99" s="49"/>
      <c r="AA99" s="49" t="s">
        <v>328</v>
      </c>
      <c r="AB99" s="116" t="s">
        <v>328</v>
      </c>
      <c r="AC99" s="117">
        <v>35</v>
      </c>
      <c r="AD99" s="117">
        <v>70</v>
      </c>
      <c r="AE99" s="117">
        <v>35</v>
      </c>
      <c r="AF99" s="117">
        <v>0</v>
      </c>
      <c r="AG99" s="115">
        <f t="shared" si="3"/>
        <v>-35</v>
      </c>
      <c r="AH99" s="118"/>
      <c r="AI99" s="49"/>
      <c r="AJ99" s="49"/>
      <c r="AK99" s="49"/>
      <c r="AL99" s="49"/>
      <c r="AM99" s="49" t="s">
        <v>328</v>
      </c>
      <c r="AN99" s="49" t="s">
        <v>328</v>
      </c>
      <c r="AO99" s="49" t="s">
        <v>328</v>
      </c>
      <c r="AP99" s="49">
        <v>9</v>
      </c>
      <c r="AQ99" s="49">
        <v>24</v>
      </c>
      <c r="AR99" s="49">
        <v>18</v>
      </c>
      <c r="AS99" s="49">
        <v>15</v>
      </c>
      <c r="AT99" s="118" t="s">
        <v>328</v>
      </c>
      <c r="AU99" s="49" t="s">
        <v>328</v>
      </c>
      <c r="AV99" s="49" t="s">
        <v>328</v>
      </c>
      <c r="AW99" s="49" t="s">
        <v>328</v>
      </c>
      <c r="AX99" s="49" t="s">
        <v>328</v>
      </c>
      <c r="AY99" s="49" t="s">
        <v>328</v>
      </c>
      <c r="AZ99" s="49" t="s">
        <v>328</v>
      </c>
      <c r="BA99" s="55" t="s">
        <v>328</v>
      </c>
      <c r="BB99" s="55">
        <v>0.1</v>
      </c>
      <c r="BC99" s="55">
        <v>0</v>
      </c>
      <c r="BD99" s="55">
        <v>0.1</v>
      </c>
      <c r="BE99" s="55">
        <v>0.0625</v>
      </c>
      <c r="BF99" s="118" t="s">
        <v>328</v>
      </c>
      <c r="BG99" s="49" t="s">
        <v>328</v>
      </c>
      <c r="BH99" s="49" t="s">
        <v>328</v>
      </c>
      <c r="BI99" s="49" t="s">
        <v>328</v>
      </c>
      <c r="BJ99" s="49" t="s">
        <v>328</v>
      </c>
      <c r="BK99" s="49" t="s">
        <v>328</v>
      </c>
      <c r="BL99" s="49" t="s">
        <v>328</v>
      </c>
      <c r="BM99" s="49" t="s">
        <v>328</v>
      </c>
      <c r="BN99" s="49">
        <v>6</v>
      </c>
      <c r="BO99" s="49">
        <v>1</v>
      </c>
      <c r="BP99" s="49">
        <v>8</v>
      </c>
      <c r="BQ99" s="120">
        <v>1</v>
      </c>
      <c r="BR99" s="49" t="s">
        <v>328</v>
      </c>
      <c r="BS99" s="49" t="s">
        <v>328</v>
      </c>
      <c r="BT99" s="49" t="s">
        <v>328</v>
      </c>
      <c r="BU99" s="49" t="s">
        <v>328</v>
      </c>
      <c r="BV99" s="49" t="s">
        <v>328</v>
      </c>
      <c r="BW99" s="49" t="s">
        <v>328</v>
      </c>
      <c r="BX99" s="49" t="s">
        <v>328</v>
      </c>
      <c r="BY99" s="49" t="s">
        <v>328</v>
      </c>
      <c r="BZ99" s="115" t="s">
        <v>49</v>
      </c>
      <c r="CA99" s="115" t="s">
        <v>49</v>
      </c>
      <c r="CB99" s="115" t="s">
        <v>49</v>
      </c>
      <c r="CC99" s="115" t="s">
        <v>49</v>
      </c>
      <c r="CD99" s="118" t="s">
        <v>328</v>
      </c>
      <c r="CE99" s="49" t="s">
        <v>328</v>
      </c>
      <c r="CF99" s="49" t="s">
        <v>328</v>
      </c>
      <c r="CG99" s="49" t="s">
        <v>328</v>
      </c>
      <c r="CH99" s="49" t="s">
        <v>328</v>
      </c>
      <c r="CI99" s="49" t="s">
        <v>328</v>
      </c>
      <c r="CJ99" s="49" t="s">
        <v>328</v>
      </c>
      <c r="CK99" s="49" t="s">
        <v>328</v>
      </c>
      <c r="CL99" s="115" t="s">
        <v>53</v>
      </c>
      <c r="CM99" s="115" t="s">
        <v>53</v>
      </c>
      <c r="CN99" s="115" t="s">
        <v>152</v>
      </c>
      <c r="CO99" s="121" t="s">
        <v>53</v>
      </c>
      <c r="CP99" s="49" t="s">
        <v>328</v>
      </c>
      <c r="CQ99" s="49" t="s">
        <v>328</v>
      </c>
      <c r="CR99" s="49" t="s">
        <v>328</v>
      </c>
      <c r="CS99" s="49" t="s">
        <v>328</v>
      </c>
      <c r="CT99" s="49" t="s">
        <v>328</v>
      </c>
      <c r="CU99" s="49" t="s">
        <v>328</v>
      </c>
      <c r="CV99" s="49" t="s">
        <v>328</v>
      </c>
      <c r="CW99" s="49" t="s">
        <v>328</v>
      </c>
      <c r="CX99" s="115" t="s">
        <v>152</v>
      </c>
      <c r="CY99" s="115" t="s">
        <v>53</v>
      </c>
      <c r="CZ99" s="115" t="s">
        <v>53</v>
      </c>
      <c r="DA99" s="115" t="s">
        <v>53</v>
      </c>
      <c r="DB99" s="118" t="s">
        <v>328</v>
      </c>
      <c r="DC99" s="49" t="s">
        <v>328</v>
      </c>
      <c r="DD99" s="49" t="s">
        <v>328</v>
      </c>
      <c r="DE99" s="49" t="s">
        <v>328</v>
      </c>
      <c r="DF99" s="49" t="s">
        <v>328</v>
      </c>
      <c r="DG99" s="49" t="s">
        <v>328</v>
      </c>
      <c r="DH99" s="49" t="s">
        <v>328</v>
      </c>
      <c r="DI99" s="49" t="s">
        <v>328</v>
      </c>
      <c r="DJ99" s="49" t="s">
        <v>328</v>
      </c>
      <c r="DK99" s="49" t="s">
        <v>313</v>
      </c>
      <c r="DL99" s="49" t="s">
        <v>313</v>
      </c>
      <c r="DM99" s="49" t="s">
        <v>313</v>
      </c>
      <c r="DN99" s="49" t="s">
        <v>313</v>
      </c>
      <c r="DO99" s="118" t="s">
        <v>328</v>
      </c>
      <c r="DP99" s="49" t="s">
        <v>328</v>
      </c>
      <c r="DQ99" s="49" t="s">
        <v>328</v>
      </c>
      <c r="DR99" s="49" t="s">
        <v>328</v>
      </c>
      <c r="DS99" s="49" t="s">
        <v>328</v>
      </c>
      <c r="DT99" s="49" t="s">
        <v>328</v>
      </c>
      <c r="DU99" s="49" t="s">
        <v>328</v>
      </c>
      <c r="DV99" s="49" t="s">
        <v>328</v>
      </c>
      <c r="DW99" s="49" t="s">
        <v>58</v>
      </c>
      <c r="DX99" s="49" t="s">
        <v>159</v>
      </c>
      <c r="DY99" s="49" t="s">
        <v>58</v>
      </c>
      <c r="DZ99" s="49" t="s">
        <v>365</v>
      </c>
      <c r="EA99" s="118" t="s">
        <v>328</v>
      </c>
      <c r="EB99" s="49" t="s">
        <v>328</v>
      </c>
      <c r="EC99" s="49" t="s">
        <v>49</v>
      </c>
      <c r="ED99" s="49" t="s">
        <v>49</v>
      </c>
      <c r="EE99" s="49" t="s">
        <v>49</v>
      </c>
      <c r="EF99" s="49" t="s">
        <v>49</v>
      </c>
      <c r="EG99" s="120" t="s">
        <v>49</v>
      </c>
      <c r="EH99" s="117">
        <v>3.54</v>
      </c>
      <c r="EI99" s="117">
        <v>0</v>
      </c>
      <c r="EJ99" s="49" t="s">
        <v>328</v>
      </c>
      <c r="EK99" s="49" t="s">
        <v>328</v>
      </c>
      <c r="EL99" s="55">
        <v>0</v>
      </c>
      <c r="EM99" s="55">
        <v>0</v>
      </c>
      <c r="EN99" s="55">
        <v>0</v>
      </c>
      <c r="EO99" s="122">
        <v>0.02</v>
      </c>
      <c r="EP99" s="117">
        <v>0</v>
      </c>
      <c r="EQ99" s="117">
        <v>0</v>
      </c>
      <c r="ER99" s="49"/>
      <c r="ES99" s="49"/>
      <c r="ET99" s="49"/>
      <c r="EU99" s="49"/>
    </row>
    <row r="100" customFormat="1" ht="22.5" customHeight="1" spans="1:151">
      <c r="A100" s="108">
        <v>12591</v>
      </c>
      <c r="B100" s="109" t="s">
        <v>416</v>
      </c>
      <c r="C100" s="110">
        <v>46142</v>
      </c>
      <c r="D100" s="111">
        <f>IF(_xlfn.XLOOKUP(A100,[1]分配表!J:J,[1]分配表!M:M)=0,"未出单",_xlfn.XLOOKUP(A100,[1]分配表!J:J,[1]分配表!M:M))</f>
        <v>46152</v>
      </c>
      <c r="E100" s="112" t="str">
        <f>_xlfn.XLOOKUP(A100,[1]分配表!A:A,[1]分配表!C:C)</f>
        <v>王偲涵</v>
      </c>
      <c r="F100" s="112" t="str">
        <f>IF(_xlfn.XLOOKUP($A100,[1]分配表!$A:$A,[1]分配表!D:D)=0,"未分类",_xlfn.XLOOKUP($A100,[1]分配表!$A:$A,[1]分配表!D:D))</f>
        <v>车身外扩件</v>
      </c>
      <c r="G100" s="112" t="str">
        <f>_xlfn.XLOOKUP(A100,[1]分配表!J:J,[1]分配表!I:I)</f>
        <v>原开品</v>
      </c>
      <c r="H100" s="49" t="s">
        <v>328</v>
      </c>
      <c r="I100" s="49" t="s">
        <v>328</v>
      </c>
      <c r="J100" s="49" t="s">
        <v>328</v>
      </c>
      <c r="K100" s="49" t="s">
        <v>328</v>
      </c>
      <c r="L100" s="49" t="s">
        <v>328</v>
      </c>
      <c r="M100" s="49" t="s">
        <v>328</v>
      </c>
      <c r="N100" s="49" t="s">
        <v>328</v>
      </c>
      <c r="O100" s="49" t="s">
        <v>328</v>
      </c>
      <c r="P100" s="49">
        <v>0</v>
      </c>
      <c r="Q100" s="49">
        <v>1</v>
      </c>
      <c r="R100" s="49">
        <v>4</v>
      </c>
      <c r="S100" s="49">
        <v>0</v>
      </c>
      <c r="T100" s="113">
        <f t="shared" si="2"/>
        <v>-4</v>
      </c>
      <c r="U100" s="118"/>
      <c r="V100" s="49"/>
      <c r="W100" s="49"/>
      <c r="X100" s="49"/>
      <c r="Y100" s="49"/>
      <c r="Z100" s="49"/>
      <c r="AA100" s="49" t="s">
        <v>328</v>
      </c>
      <c r="AB100" s="116" t="s">
        <v>328</v>
      </c>
      <c r="AC100" s="117">
        <v>0</v>
      </c>
      <c r="AD100" s="117">
        <v>125</v>
      </c>
      <c r="AE100" s="117">
        <v>500</v>
      </c>
      <c r="AF100" s="117">
        <v>0</v>
      </c>
      <c r="AG100" s="115">
        <f t="shared" si="3"/>
        <v>-500</v>
      </c>
      <c r="AH100" s="118"/>
      <c r="AI100" s="49"/>
      <c r="AJ100" s="49"/>
      <c r="AK100" s="49"/>
      <c r="AL100" s="49"/>
      <c r="AM100" s="49" t="s">
        <v>328</v>
      </c>
      <c r="AN100" s="49" t="s">
        <v>328</v>
      </c>
      <c r="AO100" s="49" t="s">
        <v>328</v>
      </c>
      <c r="AP100" s="49">
        <v>1</v>
      </c>
      <c r="AQ100" s="49">
        <v>2</v>
      </c>
      <c r="AR100" s="49">
        <v>1</v>
      </c>
      <c r="AS100" s="49">
        <v>1</v>
      </c>
      <c r="AT100" s="118" t="s">
        <v>328</v>
      </c>
      <c r="AU100" s="49" t="s">
        <v>328</v>
      </c>
      <c r="AV100" s="49" t="s">
        <v>328</v>
      </c>
      <c r="AW100" s="49" t="s">
        <v>328</v>
      </c>
      <c r="AX100" s="49" t="s">
        <v>328</v>
      </c>
      <c r="AY100" s="49" t="s">
        <v>328</v>
      </c>
      <c r="AZ100" s="49" t="s">
        <v>328</v>
      </c>
      <c r="BA100" s="55" t="s">
        <v>328</v>
      </c>
      <c r="BB100" s="55">
        <v>0</v>
      </c>
      <c r="BC100" s="55">
        <v>0.3333</v>
      </c>
      <c r="BD100" s="55">
        <v>0.8</v>
      </c>
      <c r="BE100" s="55">
        <v>0</v>
      </c>
      <c r="BF100" s="118" t="s">
        <v>328</v>
      </c>
      <c r="BG100" s="49" t="s">
        <v>328</v>
      </c>
      <c r="BH100" s="49" t="s">
        <v>328</v>
      </c>
      <c r="BI100" s="49" t="s">
        <v>328</v>
      </c>
      <c r="BJ100" s="49" t="s">
        <v>328</v>
      </c>
      <c r="BK100" s="49" t="s">
        <v>328</v>
      </c>
      <c r="BL100" s="49" t="s">
        <v>328</v>
      </c>
      <c r="BM100" s="49" t="s">
        <v>328</v>
      </c>
      <c r="BN100" s="49">
        <v>6</v>
      </c>
      <c r="BO100" s="49">
        <v>1</v>
      </c>
      <c r="BP100" s="49">
        <v>8</v>
      </c>
      <c r="BQ100" s="120">
        <v>1</v>
      </c>
      <c r="BR100" s="49" t="s">
        <v>328</v>
      </c>
      <c r="BS100" s="49" t="s">
        <v>328</v>
      </c>
      <c r="BT100" s="49" t="s">
        <v>328</v>
      </c>
      <c r="BU100" s="49" t="s">
        <v>328</v>
      </c>
      <c r="BV100" s="49" t="s">
        <v>328</v>
      </c>
      <c r="BW100" s="49" t="s">
        <v>328</v>
      </c>
      <c r="BX100" s="49" t="s">
        <v>328</v>
      </c>
      <c r="BY100" s="49" t="s">
        <v>328</v>
      </c>
      <c r="BZ100" s="115" t="s">
        <v>149</v>
      </c>
      <c r="CA100" s="115" t="s">
        <v>62</v>
      </c>
      <c r="CB100" s="115" t="s">
        <v>62</v>
      </c>
      <c r="CC100" s="115" t="s">
        <v>62</v>
      </c>
      <c r="CD100" s="118" t="s">
        <v>328</v>
      </c>
      <c r="CE100" s="49" t="s">
        <v>328</v>
      </c>
      <c r="CF100" s="49" t="s">
        <v>328</v>
      </c>
      <c r="CG100" s="49" t="s">
        <v>328</v>
      </c>
      <c r="CH100" s="49" t="s">
        <v>328</v>
      </c>
      <c r="CI100" s="49" t="s">
        <v>328</v>
      </c>
      <c r="CJ100" s="49" t="s">
        <v>328</v>
      </c>
      <c r="CK100" s="49" t="s">
        <v>328</v>
      </c>
      <c r="CL100" s="115" t="s">
        <v>53</v>
      </c>
      <c r="CM100" s="115" t="s">
        <v>53</v>
      </c>
      <c r="CN100" s="115" t="s">
        <v>152</v>
      </c>
      <c r="CO100" s="121" t="s">
        <v>53</v>
      </c>
      <c r="CP100" s="49" t="s">
        <v>328</v>
      </c>
      <c r="CQ100" s="49" t="s">
        <v>328</v>
      </c>
      <c r="CR100" s="49" t="s">
        <v>328</v>
      </c>
      <c r="CS100" s="49" t="s">
        <v>328</v>
      </c>
      <c r="CT100" s="49" t="s">
        <v>328</v>
      </c>
      <c r="CU100" s="49" t="s">
        <v>328</v>
      </c>
      <c r="CV100" s="49" t="s">
        <v>328</v>
      </c>
      <c r="CW100" s="49" t="s">
        <v>328</v>
      </c>
      <c r="CX100" s="115" t="s">
        <v>152</v>
      </c>
      <c r="CY100" s="115" t="s">
        <v>53</v>
      </c>
      <c r="CZ100" s="115" t="s">
        <v>53</v>
      </c>
      <c r="DA100" s="115" t="s">
        <v>53</v>
      </c>
      <c r="DB100" s="118" t="s">
        <v>328</v>
      </c>
      <c r="DC100" s="49" t="s">
        <v>328</v>
      </c>
      <c r="DD100" s="49" t="s">
        <v>328</v>
      </c>
      <c r="DE100" s="49" t="s">
        <v>328</v>
      </c>
      <c r="DF100" s="49" t="s">
        <v>328</v>
      </c>
      <c r="DG100" s="49" t="s">
        <v>328</v>
      </c>
      <c r="DH100" s="49" t="s">
        <v>328</v>
      </c>
      <c r="DI100" s="49" t="s">
        <v>328</v>
      </c>
      <c r="DJ100" s="49" t="s">
        <v>328</v>
      </c>
      <c r="DK100" s="49" t="s">
        <v>313</v>
      </c>
      <c r="DL100" s="49" t="s">
        <v>313</v>
      </c>
      <c r="DM100" s="49" t="s">
        <v>53</v>
      </c>
      <c r="DN100" s="49" t="s">
        <v>313</v>
      </c>
      <c r="DO100" s="118" t="s">
        <v>328</v>
      </c>
      <c r="DP100" s="49" t="s">
        <v>328</v>
      </c>
      <c r="DQ100" s="49" t="s">
        <v>328</v>
      </c>
      <c r="DR100" s="49" t="s">
        <v>328</v>
      </c>
      <c r="DS100" s="49" t="s">
        <v>328</v>
      </c>
      <c r="DT100" s="49" t="s">
        <v>328</v>
      </c>
      <c r="DU100" s="49" t="s">
        <v>328</v>
      </c>
      <c r="DV100" s="49" t="s">
        <v>328</v>
      </c>
      <c r="DW100" s="49" t="s">
        <v>58</v>
      </c>
      <c r="DX100" s="49" t="s">
        <v>310</v>
      </c>
      <c r="DY100" s="49" t="s">
        <v>58</v>
      </c>
      <c r="DZ100" s="49" t="s">
        <v>314</v>
      </c>
      <c r="EA100" s="118" t="s">
        <v>328</v>
      </c>
      <c r="EB100" s="49" t="s">
        <v>328</v>
      </c>
      <c r="EC100" s="49" t="s">
        <v>49</v>
      </c>
      <c r="ED100" s="49" t="s">
        <v>49</v>
      </c>
      <c r="EE100" s="49" t="s">
        <v>49</v>
      </c>
      <c r="EF100" s="49" t="s">
        <v>49</v>
      </c>
      <c r="EG100" s="120" t="s">
        <v>49</v>
      </c>
      <c r="EH100" s="117">
        <v>10.76</v>
      </c>
      <c r="EI100" s="117">
        <v>409.38</v>
      </c>
      <c r="EJ100" s="49" t="s">
        <v>328</v>
      </c>
      <c r="EK100" s="49" t="s">
        <v>328</v>
      </c>
      <c r="EL100" s="55">
        <v>0</v>
      </c>
      <c r="EM100" s="55">
        <v>0</v>
      </c>
      <c r="EN100" s="55">
        <v>0</v>
      </c>
      <c r="EO100" s="122">
        <v>0.02</v>
      </c>
      <c r="EP100" s="117">
        <v>0</v>
      </c>
      <c r="EQ100" s="117">
        <v>0</v>
      </c>
      <c r="ER100" s="49"/>
      <c r="ES100" s="49"/>
      <c r="ET100" s="49"/>
      <c r="EU100" s="49"/>
    </row>
    <row r="101" customFormat="1" ht="22.5" customHeight="1" spans="1:151">
      <c r="A101" s="108">
        <v>12606</v>
      </c>
      <c r="B101" s="109" t="s">
        <v>417</v>
      </c>
      <c r="C101" s="110">
        <v>46142</v>
      </c>
      <c r="D101" s="111" t="str">
        <f>IF(_xlfn.XLOOKUP(A101,[1]分配表!J:J,[1]分配表!M:M)=0,"未出单",_xlfn.XLOOKUP(A101,[1]分配表!J:J,[1]分配表!M:M))</f>
        <v>未出单</v>
      </c>
      <c r="E101" s="112" t="str">
        <f>_xlfn.XLOOKUP(A101,[1]分配表!A:A,[1]分配表!C:C)</f>
        <v>王偲涵</v>
      </c>
      <c r="F101" s="112" t="str">
        <f>IF(_xlfn.XLOOKUP($A101,[1]分配表!$A:$A,[1]分配表!D:D)=0,"未分类",_xlfn.XLOOKUP($A101,[1]分配表!$A:$A,[1]分配表!D:D))</f>
        <v>车身外扩件</v>
      </c>
      <c r="G101" s="112" t="str">
        <f>_xlfn.XLOOKUP(A101,[1]分配表!J:J,[1]分配表!I:I)</f>
        <v>原开品</v>
      </c>
      <c r="H101" s="49" t="s">
        <v>328</v>
      </c>
      <c r="I101" s="49" t="s">
        <v>328</v>
      </c>
      <c r="J101" s="49" t="s">
        <v>328</v>
      </c>
      <c r="K101" s="49" t="s">
        <v>328</v>
      </c>
      <c r="L101" s="49" t="s">
        <v>328</v>
      </c>
      <c r="M101" s="49" t="s">
        <v>328</v>
      </c>
      <c r="N101" s="49" t="s">
        <v>328</v>
      </c>
      <c r="O101" s="49" t="s">
        <v>328</v>
      </c>
      <c r="P101" s="49">
        <v>0</v>
      </c>
      <c r="Q101" s="49">
        <v>0</v>
      </c>
      <c r="R101" s="49">
        <v>0</v>
      </c>
      <c r="S101" s="49">
        <v>0</v>
      </c>
      <c r="T101" s="113">
        <f t="shared" si="2"/>
        <v>0</v>
      </c>
      <c r="U101" s="118"/>
      <c r="V101" s="49"/>
      <c r="W101" s="49"/>
      <c r="X101" s="49"/>
      <c r="Y101" s="49"/>
      <c r="Z101" s="49"/>
      <c r="AA101" s="49" t="s">
        <v>328</v>
      </c>
      <c r="AB101" s="116" t="s">
        <v>328</v>
      </c>
      <c r="AC101" s="117">
        <v>0</v>
      </c>
      <c r="AD101" s="117">
        <v>0</v>
      </c>
      <c r="AE101" s="117">
        <v>0</v>
      </c>
      <c r="AF101" s="117">
        <v>0</v>
      </c>
      <c r="AG101" s="115">
        <f t="shared" si="3"/>
        <v>0</v>
      </c>
      <c r="AH101" s="118"/>
      <c r="AI101" s="49"/>
      <c r="AJ101" s="49"/>
      <c r="AK101" s="49"/>
      <c r="AL101" s="49"/>
      <c r="AM101" s="49" t="s">
        <v>328</v>
      </c>
      <c r="AN101" s="49" t="s">
        <v>328</v>
      </c>
      <c r="AO101" s="49" t="s">
        <v>328</v>
      </c>
      <c r="AP101" s="49">
        <v>0</v>
      </c>
      <c r="AQ101" s="49">
        <v>0</v>
      </c>
      <c r="AR101" s="49">
        <v>0</v>
      </c>
      <c r="AS101" s="49">
        <v>0</v>
      </c>
      <c r="AT101" s="118" t="s">
        <v>328</v>
      </c>
      <c r="AU101" s="49" t="s">
        <v>328</v>
      </c>
      <c r="AV101" s="49" t="s">
        <v>328</v>
      </c>
      <c r="AW101" s="49" t="s">
        <v>328</v>
      </c>
      <c r="AX101" s="49" t="s">
        <v>328</v>
      </c>
      <c r="AY101" s="49" t="s">
        <v>328</v>
      </c>
      <c r="AZ101" s="49" t="s">
        <v>328</v>
      </c>
      <c r="BA101" s="55" t="s">
        <v>328</v>
      </c>
      <c r="BB101" s="55" t="s">
        <v>306</v>
      </c>
      <c r="BC101" s="55" t="s">
        <v>306</v>
      </c>
      <c r="BD101" s="55" t="s">
        <v>306</v>
      </c>
      <c r="BE101" s="55" t="s">
        <v>306</v>
      </c>
      <c r="BF101" s="118" t="s">
        <v>328</v>
      </c>
      <c r="BG101" s="49" t="s">
        <v>328</v>
      </c>
      <c r="BH101" s="49" t="s">
        <v>328</v>
      </c>
      <c r="BI101" s="49" t="s">
        <v>328</v>
      </c>
      <c r="BJ101" s="49" t="s">
        <v>328</v>
      </c>
      <c r="BK101" s="49" t="s">
        <v>328</v>
      </c>
      <c r="BL101" s="49" t="s">
        <v>328</v>
      </c>
      <c r="BM101" s="49" t="s">
        <v>328</v>
      </c>
      <c r="BN101" s="49">
        <v>6</v>
      </c>
      <c r="BO101" s="49">
        <v>1</v>
      </c>
      <c r="BP101" s="49">
        <v>2</v>
      </c>
      <c r="BQ101" s="120">
        <v>1</v>
      </c>
      <c r="BR101" s="49" t="s">
        <v>328</v>
      </c>
      <c r="BS101" s="49" t="s">
        <v>328</v>
      </c>
      <c r="BT101" s="49" t="s">
        <v>328</v>
      </c>
      <c r="BU101" s="49" t="s">
        <v>328</v>
      </c>
      <c r="BV101" s="49" t="s">
        <v>328</v>
      </c>
      <c r="BW101" s="49" t="s">
        <v>328</v>
      </c>
      <c r="BX101" s="49" t="s">
        <v>328</v>
      </c>
      <c r="BY101" s="49" t="s">
        <v>328</v>
      </c>
      <c r="BZ101" s="115" t="s">
        <v>149</v>
      </c>
      <c r="CA101" s="115" t="s">
        <v>149</v>
      </c>
      <c r="CB101" s="115" t="s">
        <v>149</v>
      </c>
      <c r="CC101" s="115" t="s">
        <v>149</v>
      </c>
      <c r="CD101" s="118" t="s">
        <v>328</v>
      </c>
      <c r="CE101" s="49" t="s">
        <v>328</v>
      </c>
      <c r="CF101" s="49" t="s">
        <v>328</v>
      </c>
      <c r="CG101" s="49" t="s">
        <v>328</v>
      </c>
      <c r="CH101" s="49" t="s">
        <v>328</v>
      </c>
      <c r="CI101" s="49" t="s">
        <v>328</v>
      </c>
      <c r="CJ101" s="49" t="s">
        <v>328</v>
      </c>
      <c r="CK101" s="49" t="s">
        <v>328</v>
      </c>
      <c r="CL101" s="115" t="s">
        <v>53</v>
      </c>
      <c r="CM101" s="115" t="s">
        <v>53</v>
      </c>
      <c r="CN101" s="115" t="s">
        <v>53</v>
      </c>
      <c r="CO101" s="121" t="s">
        <v>53</v>
      </c>
      <c r="CP101" s="49" t="s">
        <v>328</v>
      </c>
      <c r="CQ101" s="49" t="s">
        <v>328</v>
      </c>
      <c r="CR101" s="49" t="s">
        <v>328</v>
      </c>
      <c r="CS101" s="49" t="s">
        <v>328</v>
      </c>
      <c r="CT101" s="49" t="s">
        <v>328</v>
      </c>
      <c r="CU101" s="49" t="s">
        <v>328</v>
      </c>
      <c r="CV101" s="49" t="s">
        <v>328</v>
      </c>
      <c r="CW101" s="49" t="s">
        <v>328</v>
      </c>
      <c r="CX101" s="115" t="s">
        <v>152</v>
      </c>
      <c r="CY101" s="115" t="s">
        <v>53</v>
      </c>
      <c r="CZ101" s="115" t="s">
        <v>53</v>
      </c>
      <c r="DA101" s="115" t="s">
        <v>53</v>
      </c>
      <c r="DB101" s="118" t="s">
        <v>328</v>
      </c>
      <c r="DC101" s="49" t="s">
        <v>328</v>
      </c>
      <c r="DD101" s="49" t="s">
        <v>328</v>
      </c>
      <c r="DE101" s="49" t="s">
        <v>328</v>
      </c>
      <c r="DF101" s="49" t="s">
        <v>328</v>
      </c>
      <c r="DG101" s="49" t="s">
        <v>328</v>
      </c>
      <c r="DH101" s="49" t="s">
        <v>328</v>
      </c>
      <c r="DI101" s="49" t="s">
        <v>328</v>
      </c>
      <c r="DJ101" s="49" t="s">
        <v>328</v>
      </c>
      <c r="DK101" s="49" t="s">
        <v>307</v>
      </c>
      <c r="DL101" s="49" t="s">
        <v>307</v>
      </c>
      <c r="DM101" s="49" t="s">
        <v>307</v>
      </c>
      <c r="DN101" s="49" t="s">
        <v>156</v>
      </c>
      <c r="DO101" s="118" t="s">
        <v>328</v>
      </c>
      <c r="DP101" s="49" t="s">
        <v>328</v>
      </c>
      <c r="DQ101" s="49" t="s">
        <v>328</v>
      </c>
      <c r="DR101" s="49" t="s">
        <v>328</v>
      </c>
      <c r="DS101" s="49" t="s">
        <v>328</v>
      </c>
      <c r="DT101" s="49" t="s">
        <v>328</v>
      </c>
      <c r="DU101" s="49" t="s">
        <v>328</v>
      </c>
      <c r="DV101" s="49" t="s">
        <v>328</v>
      </c>
      <c r="DW101" s="49" t="s">
        <v>58</v>
      </c>
      <c r="DX101" s="49" t="s">
        <v>315</v>
      </c>
      <c r="DY101" s="49" t="s">
        <v>159</v>
      </c>
      <c r="DZ101" s="49" t="s">
        <v>315</v>
      </c>
      <c r="EA101" s="118" t="s">
        <v>328</v>
      </c>
      <c r="EB101" s="49" t="s">
        <v>328</v>
      </c>
      <c r="EC101" s="49" t="s">
        <v>49</v>
      </c>
      <c r="ED101" s="49" t="s">
        <v>49</v>
      </c>
      <c r="EE101" s="49" t="s">
        <v>49</v>
      </c>
      <c r="EF101" s="49" t="s">
        <v>49</v>
      </c>
      <c r="EG101" s="120" t="s">
        <v>49</v>
      </c>
      <c r="EH101" s="117">
        <v>0.38</v>
      </c>
      <c r="EI101" s="117">
        <v>0</v>
      </c>
      <c r="EJ101" s="49" t="s">
        <v>328</v>
      </c>
      <c r="EK101" s="49" t="s">
        <v>328</v>
      </c>
      <c r="EL101" s="55">
        <v>0</v>
      </c>
      <c r="EM101" s="55">
        <v>0</v>
      </c>
      <c r="EN101" s="55">
        <v>0</v>
      </c>
      <c r="EO101" s="122">
        <v>0</v>
      </c>
      <c r="EP101" s="117">
        <v>0</v>
      </c>
      <c r="EQ101" s="117">
        <v>0</v>
      </c>
      <c r="ER101" s="49"/>
      <c r="ES101" s="49"/>
      <c r="ET101" s="49"/>
      <c r="EU101" s="49"/>
    </row>
    <row r="102" customFormat="1" ht="22.5" customHeight="1" spans="1:151">
      <c r="A102" s="108">
        <v>12614</v>
      </c>
      <c r="B102" s="109" t="s">
        <v>418</v>
      </c>
      <c r="C102" s="110">
        <v>46142</v>
      </c>
      <c r="D102" s="111">
        <f>IF(_xlfn.XLOOKUP(A102,[1]分配表!J:J,[1]分配表!M:M)=0,"未出单",_xlfn.XLOOKUP(A102,[1]分配表!J:J,[1]分配表!M:M))</f>
        <v>46153</v>
      </c>
      <c r="E102" s="112" t="str">
        <f>_xlfn.XLOOKUP(A102,[1]分配表!A:A,[1]分配表!C:C)</f>
        <v>朱培源</v>
      </c>
      <c r="F102" s="112" t="str">
        <f>IF(_xlfn.XLOOKUP($A102,[1]分配表!$A:$A,[1]分配表!D:D)=0,"未分类",_xlfn.XLOOKUP($A102,[1]分配表!$A:$A,[1]分配表!D:D))</f>
        <v>挡泥板</v>
      </c>
      <c r="G102" s="112" t="str">
        <f>_xlfn.XLOOKUP(A102,[1]分配表!J:J,[1]分配表!I:I)</f>
        <v>原开品</v>
      </c>
      <c r="H102" s="49" t="s">
        <v>328</v>
      </c>
      <c r="I102" s="49" t="s">
        <v>328</v>
      </c>
      <c r="J102" s="49" t="s">
        <v>328</v>
      </c>
      <c r="K102" s="49" t="s">
        <v>328</v>
      </c>
      <c r="L102" s="49" t="s">
        <v>328</v>
      </c>
      <c r="M102" s="49" t="s">
        <v>328</v>
      </c>
      <c r="N102" s="49" t="s">
        <v>328</v>
      </c>
      <c r="O102" s="49" t="s">
        <v>328</v>
      </c>
      <c r="P102" s="49">
        <v>0</v>
      </c>
      <c r="Q102" s="49">
        <v>1</v>
      </c>
      <c r="R102" s="49">
        <v>5</v>
      </c>
      <c r="S102" s="49">
        <v>2</v>
      </c>
      <c r="T102" s="113">
        <f t="shared" si="2"/>
        <v>-3</v>
      </c>
      <c r="U102" s="118"/>
      <c r="V102" s="49"/>
      <c r="W102" s="49"/>
      <c r="X102" s="49"/>
      <c r="Y102" s="49"/>
      <c r="Z102" s="49"/>
      <c r="AA102" s="49" t="s">
        <v>328</v>
      </c>
      <c r="AB102" s="116" t="s">
        <v>328</v>
      </c>
      <c r="AC102" s="117">
        <v>0</v>
      </c>
      <c r="AD102" s="117">
        <v>129</v>
      </c>
      <c r="AE102" s="117">
        <v>645</v>
      </c>
      <c r="AF102" s="117">
        <v>258</v>
      </c>
      <c r="AG102" s="115">
        <f t="shared" si="3"/>
        <v>-387</v>
      </c>
      <c r="AH102" s="118"/>
      <c r="AI102" s="49"/>
      <c r="AJ102" s="49"/>
      <c r="AK102" s="49"/>
      <c r="AL102" s="49"/>
      <c r="AM102" s="49" t="s">
        <v>328</v>
      </c>
      <c r="AN102" s="49" t="s">
        <v>328</v>
      </c>
      <c r="AO102" s="49" t="s">
        <v>328</v>
      </c>
      <c r="AP102" s="49">
        <v>0</v>
      </c>
      <c r="AQ102" s="49">
        <v>0</v>
      </c>
      <c r="AR102" s="49">
        <v>0</v>
      </c>
      <c r="AS102" s="49">
        <v>0</v>
      </c>
      <c r="AT102" s="118" t="s">
        <v>328</v>
      </c>
      <c r="AU102" s="49" t="s">
        <v>328</v>
      </c>
      <c r="AV102" s="49" t="s">
        <v>328</v>
      </c>
      <c r="AW102" s="49" t="s">
        <v>328</v>
      </c>
      <c r="AX102" s="49" t="s">
        <v>328</v>
      </c>
      <c r="AY102" s="49" t="s">
        <v>328</v>
      </c>
      <c r="AZ102" s="49" t="s">
        <v>328</v>
      </c>
      <c r="BA102" s="55" t="s">
        <v>328</v>
      </c>
      <c r="BB102" s="55" t="s">
        <v>306</v>
      </c>
      <c r="BC102" s="55">
        <v>1</v>
      </c>
      <c r="BD102" s="55">
        <v>1</v>
      </c>
      <c r="BE102" s="55">
        <v>1</v>
      </c>
      <c r="BF102" s="118" t="s">
        <v>328</v>
      </c>
      <c r="BG102" s="49" t="s">
        <v>328</v>
      </c>
      <c r="BH102" s="49" t="s">
        <v>328</v>
      </c>
      <c r="BI102" s="49" t="s">
        <v>328</v>
      </c>
      <c r="BJ102" s="49" t="s">
        <v>328</v>
      </c>
      <c r="BK102" s="49" t="s">
        <v>328</v>
      </c>
      <c r="BL102" s="49" t="s">
        <v>328</v>
      </c>
      <c r="BM102" s="49" t="s">
        <v>328</v>
      </c>
      <c r="BN102" s="49">
        <v>6</v>
      </c>
      <c r="BO102" s="49">
        <v>0</v>
      </c>
      <c r="BP102" s="49">
        <v>7</v>
      </c>
      <c r="BQ102" s="120">
        <v>14</v>
      </c>
      <c r="BR102" s="49" t="s">
        <v>328</v>
      </c>
      <c r="BS102" s="49" t="s">
        <v>328</v>
      </c>
      <c r="BT102" s="49" t="s">
        <v>328</v>
      </c>
      <c r="BU102" s="49" t="s">
        <v>328</v>
      </c>
      <c r="BV102" s="49" t="s">
        <v>328</v>
      </c>
      <c r="BW102" s="49" t="s">
        <v>328</v>
      </c>
      <c r="BX102" s="49" t="s">
        <v>328</v>
      </c>
      <c r="BY102" s="49" t="s">
        <v>328</v>
      </c>
      <c r="BZ102" s="115" t="s">
        <v>149</v>
      </c>
      <c r="CA102" s="115" t="s">
        <v>62</v>
      </c>
      <c r="CB102" s="115" t="s">
        <v>62</v>
      </c>
      <c r="CC102" s="115" t="s">
        <v>62</v>
      </c>
      <c r="CD102" s="118" t="s">
        <v>328</v>
      </c>
      <c r="CE102" s="49" t="s">
        <v>328</v>
      </c>
      <c r="CF102" s="49" t="s">
        <v>328</v>
      </c>
      <c r="CG102" s="49" t="s">
        <v>328</v>
      </c>
      <c r="CH102" s="49" t="s">
        <v>328</v>
      </c>
      <c r="CI102" s="49" t="s">
        <v>328</v>
      </c>
      <c r="CJ102" s="49" t="s">
        <v>328</v>
      </c>
      <c r="CK102" s="49" t="s">
        <v>328</v>
      </c>
      <c r="CL102" s="115" t="s">
        <v>53</v>
      </c>
      <c r="CM102" s="115" t="s">
        <v>53</v>
      </c>
      <c r="CN102" s="115" t="s">
        <v>53</v>
      </c>
      <c r="CO102" s="121" t="s">
        <v>152</v>
      </c>
      <c r="CP102" s="49" t="s">
        <v>328</v>
      </c>
      <c r="CQ102" s="49" t="s">
        <v>328</v>
      </c>
      <c r="CR102" s="49" t="s">
        <v>328</v>
      </c>
      <c r="CS102" s="49" t="s">
        <v>328</v>
      </c>
      <c r="CT102" s="49" t="s">
        <v>328</v>
      </c>
      <c r="CU102" s="49" t="s">
        <v>328</v>
      </c>
      <c r="CV102" s="49" t="s">
        <v>328</v>
      </c>
      <c r="CW102" s="49" t="s">
        <v>328</v>
      </c>
      <c r="CX102" s="115" t="s">
        <v>152</v>
      </c>
      <c r="CY102" s="115" t="s">
        <v>53</v>
      </c>
      <c r="CZ102" s="115" t="s">
        <v>53</v>
      </c>
      <c r="DA102" s="115" t="s">
        <v>53</v>
      </c>
      <c r="DB102" s="118" t="s">
        <v>328</v>
      </c>
      <c r="DC102" s="49" t="s">
        <v>328</v>
      </c>
      <c r="DD102" s="49" t="s">
        <v>328</v>
      </c>
      <c r="DE102" s="49" t="s">
        <v>328</v>
      </c>
      <c r="DF102" s="49" t="s">
        <v>328</v>
      </c>
      <c r="DG102" s="49" t="s">
        <v>328</v>
      </c>
      <c r="DH102" s="49" t="s">
        <v>328</v>
      </c>
      <c r="DI102" s="49" t="s">
        <v>328</v>
      </c>
      <c r="DJ102" s="49" t="s">
        <v>328</v>
      </c>
      <c r="DK102" s="49" t="s">
        <v>307</v>
      </c>
      <c r="DL102" s="49" t="s">
        <v>53</v>
      </c>
      <c r="DM102" s="49" t="s">
        <v>53</v>
      </c>
      <c r="DN102" s="49" t="s">
        <v>53</v>
      </c>
      <c r="DO102" s="118" t="s">
        <v>328</v>
      </c>
      <c r="DP102" s="49" t="s">
        <v>328</v>
      </c>
      <c r="DQ102" s="49" t="s">
        <v>328</v>
      </c>
      <c r="DR102" s="49" t="s">
        <v>328</v>
      </c>
      <c r="DS102" s="49" t="s">
        <v>328</v>
      </c>
      <c r="DT102" s="49" t="s">
        <v>328</v>
      </c>
      <c r="DU102" s="49" t="s">
        <v>328</v>
      </c>
      <c r="DV102" s="49" t="s">
        <v>328</v>
      </c>
      <c r="DW102" s="49" t="s">
        <v>58</v>
      </c>
      <c r="DX102" s="49" t="s">
        <v>310</v>
      </c>
      <c r="DY102" s="49" t="s">
        <v>58</v>
      </c>
      <c r="DZ102" s="49" t="s">
        <v>58</v>
      </c>
      <c r="EA102" s="118" t="s">
        <v>328</v>
      </c>
      <c r="EB102" s="49" t="s">
        <v>328</v>
      </c>
      <c r="EC102" s="49" t="s">
        <v>49</v>
      </c>
      <c r="ED102" s="49" t="s">
        <v>49</v>
      </c>
      <c r="EE102" s="49" t="s">
        <v>49</v>
      </c>
      <c r="EF102" s="49" t="s">
        <v>49</v>
      </c>
      <c r="EG102" s="120" t="s">
        <v>49</v>
      </c>
      <c r="EH102" s="117">
        <v>0</v>
      </c>
      <c r="EI102" s="117">
        <v>0</v>
      </c>
      <c r="EJ102" s="49" t="s">
        <v>328</v>
      </c>
      <c r="EK102" s="49" t="s">
        <v>328</v>
      </c>
      <c r="EL102" s="55">
        <v>0</v>
      </c>
      <c r="EM102" s="55">
        <v>0</v>
      </c>
      <c r="EN102" s="55">
        <v>0</v>
      </c>
      <c r="EO102" s="122">
        <v>0</v>
      </c>
      <c r="EP102" s="117">
        <v>0</v>
      </c>
      <c r="EQ102" s="117">
        <v>0</v>
      </c>
      <c r="ER102" s="49"/>
      <c r="ES102" s="49"/>
      <c r="ET102" s="49"/>
      <c r="EU102" s="49"/>
    </row>
    <row r="103" customFormat="1" ht="22.5" customHeight="1" spans="1:151">
      <c r="A103" s="108">
        <v>12532</v>
      </c>
      <c r="B103" s="109" t="s">
        <v>419</v>
      </c>
      <c r="C103" s="110">
        <v>46151</v>
      </c>
      <c r="D103" s="111" t="str">
        <f>IF(_xlfn.XLOOKUP(A103,[1]分配表!J:J,[1]分配表!M:M)=0,"未出单",_xlfn.XLOOKUP(A103,[1]分配表!J:J,[1]分配表!M:M))</f>
        <v>未出单</v>
      </c>
      <c r="E103" s="112" t="str">
        <f>_xlfn.XLOOKUP(A103,[1]分配表!A:A,[1]分配表!C:C)</f>
        <v>朱培源</v>
      </c>
      <c r="F103" s="112" t="str">
        <f>IF(_xlfn.XLOOKUP($A103,[1]分配表!$A:$A,[1]分配表!D:D)=0,"未分类",_xlfn.XLOOKUP($A103,[1]分配表!$A:$A,[1]分配表!D:D))</f>
        <v>挡泥板</v>
      </c>
      <c r="G103" s="112" t="str">
        <f>_xlfn.XLOOKUP(A103,[1]分配表!J:J,[1]分配表!I:I)</f>
        <v>原开品</v>
      </c>
      <c r="H103" s="49"/>
      <c r="I103" s="49"/>
      <c r="J103" s="49"/>
      <c r="K103" s="49"/>
      <c r="L103" s="49"/>
      <c r="M103" s="49"/>
      <c r="N103" s="49"/>
      <c r="O103" s="49"/>
      <c r="P103" s="49" t="s">
        <v>328</v>
      </c>
      <c r="Q103" s="49">
        <v>0</v>
      </c>
      <c r="R103" s="49">
        <v>0</v>
      </c>
      <c r="S103" s="49">
        <v>0</v>
      </c>
      <c r="T103" s="113">
        <f t="shared" si="2"/>
        <v>0</v>
      </c>
      <c r="U103" s="118"/>
      <c r="V103" s="49"/>
      <c r="W103" s="49"/>
      <c r="X103" s="49"/>
      <c r="Y103" s="49"/>
      <c r="Z103" s="49"/>
      <c r="AA103" s="49"/>
      <c r="AB103" s="116"/>
      <c r="AC103" s="117" t="s">
        <v>328</v>
      </c>
      <c r="AD103" s="117">
        <v>0</v>
      </c>
      <c r="AE103" s="117">
        <v>0</v>
      </c>
      <c r="AF103" s="117">
        <v>0</v>
      </c>
      <c r="AG103" s="115">
        <f t="shared" si="3"/>
        <v>0</v>
      </c>
      <c r="AH103" s="118"/>
      <c r="AI103" s="49"/>
      <c r="AJ103" s="49"/>
      <c r="AK103" s="49"/>
      <c r="AL103" s="49"/>
      <c r="AM103" s="49"/>
      <c r="AN103" s="49"/>
      <c r="AO103" s="49" t="s">
        <v>328</v>
      </c>
      <c r="AP103" s="49" t="s">
        <v>328</v>
      </c>
      <c r="AQ103" s="49">
        <v>0</v>
      </c>
      <c r="AR103" s="49">
        <v>0</v>
      </c>
      <c r="AS103" s="49">
        <v>1</v>
      </c>
      <c r="AT103" s="118"/>
      <c r="AU103" s="49"/>
      <c r="AV103" s="49"/>
      <c r="AW103" s="49"/>
      <c r="AX103" s="49"/>
      <c r="AY103" s="49"/>
      <c r="AZ103" s="49"/>
      <c r="BA103" s="55"/>
      <c r="BB103" s="55" t="s">
        <v>328</v>
      </c>
      <c r="BC103" s="55" t="s">
        <v>306</v>
      </c>
      <c r="BD103" s="55" t="s">
        <v>306</v>
      </c>
      <c r="BE103" s="55">
        <v>0</v>
      </c>
      <c r="BF103" s="118"/>
      <c r="BG103" s="49"/>
      <c r="BH103" s="49"/>
      <c r="BI103" s="49"/>
      <c r="BJ103" s="49"/>
      <c r="BK103" s="49"/>
      <c r="BL103" s="49"/>
      <c r="BM103" s="49"/>
      <c r="BN103" s="49" t="s">
        <v>328</v>
      </c>
      <c r="BO103" s="49">
        <v>4</v>
      </c>
      <c r="BP103" s="49">
        <v>11</v>
      </c>
      <c r="BQ103" s="120">
        <v>0</v>
      </c>
      <c r="BR103" s="49"/>
      <c r="BS103" s="49"/>
      <c r="BT103" s="49"/>
      <c r="BU103" s="49"/>
      <c r="BV103" s="49"/>
      <c r="BW103" s="49"/>
      <c r="BX103" s="49"/>
      <c r="BY103" s="49"/>
      <c r="BZ103" s="115" t="s">
        <v>328</v>
      </c>
      <c r="CA103" s="115" t="s">
        <v>149</v>
      </c>
      <c r="CB103" s="115" t="s">
        <v>149</v>
      </c>
      <c r="CC103" s="115" t="s">
        <v>149</v>
      </c>
      <c r="CD103" s="118"/>
      <c r="CE103" s="49"/>
      <c r="CF103" s="49"/>
      <c r="CG103" s="49"/>
      <c r="CH103" s="49"/>
      <c r="CI103" s="49"/>
      <c r="CJ103" s="49"/>
      <c r="CK103" s="49"/>
      <c r="CL103" s="115" t="s">
        <v>328</v>
      </c>
      <c r="CM103" s="115" t="s">
        <v>53</v>
      </c>
      <c r="CN103" s="115" t="s">
        <v>152</v>
      </c>
      <c r="CO103" s="121" t="s">
        <v>53</v>
      </c>
      <c r="CP103" s="49"/>
      <c r="CQ103" s="49"/>
      <c r="CR103" s="49"/>
      <c r="CS103" s="49"/>
      <c r="CT103" s="49"/>
      <c r="CU103" s="49"/>
      <c r="CV103" s="49"/>
      <c r="CW103" s="49"/>
      <c r="CX103" s="115" t="s">
        <v>328</v>
      </c>
      <c r="CY103" s="115" t="s">
        <v>152</v>
      </c>
      <c r="CZ103" s="115" t="s">
        <v>53</v>
      </c>
      <c r="DA103" s="115" t="s">
        <v>53</v>
      </c>
      <c r="DB103" s="118"/>
      <c r="DC103" s="49"/>
      <c r="DD103" s="49"/>
      <c r="DE103" s="49"/>
      <c r="DF103" s="49"/>
      <c r="DG103" s="49"/>
      <c r="DH103" s="49"/>
      <c r="DI103" s="49"/>
      <c r="DJ103" s="49"/>
      <c r="DK103" s="49" t="s">
        <v>328</v>
      </c>
      <c r="DL103" s="49" t="s">
        <v>307</v>
      </c>
      <c r="DM103" s="49" t="s">
        <v>307</v>
      </c>
      <c r="DN103" s="49" t="s">
        <v>313</v>
      </c>
      <c r="DO103" s="118"/>
      <c r="DP103" s="49"/>
      <c r="DQ103" s="49"/>
      <c r="DR103" s="49"/>
      <c r="DS103" s="49"/>
      <c r="DT103" s="49"/>
      <c r="DU103" s="49"/>
      <c r="DV103" s="49"/>
      <c r="DW103" s="49" t="s">
        <v>328</v>
      </c>
      <c r="DX103" s="49" t="s">
        <v>328</v>
      </c>
      <c r="DY103" s="49" t="s">
        <v>314</v>
      </c>
      <c r="DZ103" s="49" t="s">
        <v>314</v>
      </c>
      <c r="EA103" s="118"/>
      <c r="EB103" s="49"/>
      <c r="EC103" s="49"/>
      <c r="ED103" s="49" t="s">
        <v>62</v>
      </c>
      <c r="EE103" s="49" t="s">
        <v>49</v>
      </c>
      <c r="EF103" s="49" t="s">
        <v>49</v>
      </c>
      <c r="EG103" s="120" t="s">
        <v>49</v>
      </c>
      <c r="EH103" s="117">
        <v>0</v>
      </c>
      <c r="EI103" s="117">
        <v>0</v>
      </c>
      <c r="EJ103" s="49"/>
      <c r="EK103" s="49"/>
      <c r="EL103" s="55" t="s">
        <v>328</v>
      </c>
      <c r="EM103" s="55">
        <v>0</v>
      </c>
      <c r="EN103" s="55">
        <v>0.05</v>
      </c>
      <c r="EO103" s="122">
        <v>0.05</v>
      </c>
      <c r="EP103" s="117">
        <v>0</v>
      </c>
      <c r="EQ103" s="117">
        <v>0</v>
      </c>
      <c r="ER103" s="49"/>
      <c r="ES103" s="49"/>
      <c r="ET103" s="49"/>
      <c r="EU103" s="49"/>
    </row>
    <row r="104" customFormat="1" ht="22.5" customHeight="1" spans="1:151">
      <c r="A104" s="108">
        <v>12713</v>
      </c>
      <c r="B104" s="109" t="s">
        <v>420</v>
      </c>
      <c r="C104" s="110">
        <v>46151</v>
      </c>
      <c r="D104" s="111">
        <f>IF(_xlfn.XLOOKUP(A104,[1]分配表!J:J,[1]分配表!M:M)=0,"未出单",_xlfn.XLOOKUP(A104,[1]分配表!J:J,[1]分配表!M:M))</f>
        <v>46153</v>
      </c>
      <c r="E104" s="112" t="str">
        <f>_xlfn.XLOOKUP(A104,[1]分配表!A:A,[1]分配表!C:C)</f>
        <v>朱培源</v>
      </c>
      <c r="F104" s="112" t="str">
        <f>IF(_xlfn.XLOOKUP($A104,[1]分配表!$A:$A,[1]分配表!D:D)=0,"未分类",_xlfn.XLOOKUP($A104,[1]分配表!$A:$A,[1]分配表!D:D))</f>
        <v>机盖及附件</v>
      </c>
      <c r="G104" s="112" t="str">
        <f>_xlfn.XLOOKUP(A104,[1]分配表!J:J,[1]分配表!I:I)</f>
        <v>原开品</v>
      </c>
      <c r="H104" s="49"/>
      <c r="I104" s="49"/>
      <c r="J104" s="49"/>
      <c r="K104" s="49"/>
      <c r="L104" s="49"/>
      <c r="M104" s="49"/>
      <c r="N104" s="49"/>
      <c r="O104" s="49"/>
      <c r="P104" s="49" t="s">
        <v>328</v>
      </c>
      <c r="Q104" s="49">
        <v>1</v>
      </c>
      <c r="R104" s="49">
        <v>2</v>
      </c>
      <c r="S104" s="49">
        <v>1</v>
      </c>
      <c r="T104" s="113">
        <f t="shared" si="2"/>
        <v>-1</v>
      </c>
      <c r="U104" s="118"/>
      <c r="V104" s="49"/>
      <c r="W104" s="49"/>
      <c r="X104" s="49"/>
      <c r="Y104" s="49"/>
      <c r="Z104" s="49"/>
      <c r="AA104" s="49"/>
      <c r="AB104" s="116"/>
      <c r="AC104" s="117" t="s">
        <v>328</v>
      </c>
      <c r="AD104" s="117">
        <v>139</v>
      </c>
      <c r="AE104" s="117">
        <v>278</v>
      </c>
      <c r="AF104" s="117">
        <v>139</v>
      </c>
      <c r="AG104" s="115">
        <f t="shared" si="3"/>
        <v>-139</v>
      </c>
      <c r="AH104" s="118"/>
      <c r="AI104" s="49"/>
      <c r="AJ104" s="49"/>
      <c r="AK104" s="49"/>
      <c r="AL104" s="49"/>
      <c r="AM104" s="49"/>
      <c r="AN104" s="49"/>
      <c r="AO104" s="49" t="s">
        <v>328</v>
      </c>
      <c r="AP104" s="49" t="s">
        <v>328</v>
      </c>
      <c r="AQ104" s="49">
        <v>1</v>
      </c>
      <c r="AR104" s="49">
        <v>1</v>
      </c>
      <c r="AS104" s="49">
        <v>0</v>
      </c>
      <c r="AT104" s="118"/>
      <c r="AU104" s="49"/>
      <c r="AV104" s="49"/>
      <c r="AW104" s="49"/>
      <c r="AX104" s="49"/>
      <c r="AY104" s="49"/>
      <c r="AZ104" s="49"/>
      <c r="BA104" s="55"/>
      <c r="BB104" s="55" t="s">
        <v>328</v>
      </c>
      <c r="BC104" s="55">
        <v>0.5</v>
      </c>
      <c r="BD104" s="55">
        <v>0.6667</v>
      </c>
      <c r="BE104" s="55" t="s">
        <v>306</v>
      </c>
      <c r="BF104" s="118"/>
      <c r="BG104" s="49"/>
      <c r="BH104" s="49"/>
      <c r="BI104" s="49"/>
      <c r="BJ104" s="49"/>
      <c r="BK104" s="49"/>
      <c r="BL104" s="49"/>
      <c r="BM104" s="49"/>
      <c r="BN104" s="49" t="s">
        <v>328</v>
      </c>
      <c r="BO104" s="49">
        <v>4</v>
      </c>
      <c r="BP104" s="49">
        <v>11</v>
      </c>
      <c r="BQ104" s="120">
        <v>0</v>
      </c>
      <c r="BR104" s="49"/>
      <c r="BS104" s="49"/>
      <c r="BT104" s="49"/>
      <c r="BU104" s="49"/>
      <c r="BV104" s="49"/>
      <c r="BW104" s="49"/>
      <c r="BX104" s="49"/>
      <c r="BY104" s="49"/>
      <c r="BZ104" s="115" t="s">
        <v>328</v>
      </c>
      <c r="CA104" s="115" t="s">
        <v>49</v>
      </c>
      <c r="CB104" s="115" t="s">
        <v>49</v>
      </c>
      <c r="CC104" s="115" t="s">
        <v>49</v>
      </c>
      <c r="CD104" s="118"/>
      <c r="CE104" s="49"/>
      <c r="CF104" s="49"/>
      <c r="CG104" s="49"/>
      <c r="CH104" s="49"/>
      <c r="CI104" s="49"/>
      <c r="CJ104" s="49"/>
      <c r="CK104" s="49"/>
      <c r="CL104" s="115" t="s">
        <v>328</v>
      </c>
      <c r="CM104" s="115" t="s">
        <v>53</v>
      </c>
      <c r="CN104" s="115" t="s">
        <v>152</v>
      </c>
      <c r="CO104" s="121" t="s">
        <v>53</v>
      </c>
      <c r="CP104" s="49"/>
      <c r="CQ104" s="49"/>
      <c r="CR104" s="49"/>
      <c r="CS104" s="49"/>
      <c r="CT104" s="49"/>
      <c r="CU104" s="49"/>
      <c r="CV104" s="49"/>
      <c r="CW104" s="49"/>
      <c r="CX104" s="115" t="s">
        <v>328</v>
      </c>
      <c r="CY104" s="115" t="s">
        <v>152</v>
      </c>
      <c r="CZ104" s="115" t="s">
        <v>53</v>
      </c>
      <c r="DA104" s="115" t="s">
        <v>53</v>
      </c>
      <c r="DB104" s="118"/>
      <c r="DC104" s="49"/>
      <c r="DD104" s="49"/>
      <c r="DE104" s="49"/>
      <c r="DF104" s="49"/>
      <c r="DG104" s="49"/>
      <c r="DH104" s="49"/>
      <c r="DI104" s="49"/>
      <c r="DJ104" s="49"/>
      <c r="DK104" s="49" t="s">
        <v>328</v>
      </c>
      <c r="DL104" s="49" t="s">
        <v>313</v>
      </c>
      <c r="DM104" s="49" t="s">
        <v>313</v>
      </c>
      <c r="DN104" s="49" t="s">
        <v>307</v>
      </c>
      <c r="DO104" s="118"/>
      <c r="DP104" s="49"/>
      <c r="DQ104" s="49"/>
      <c r="DR104" s="49"/>
      <c r="DS104" s="49"/>
      <c r="DT104" s="49"/>
      <c r="DU104" s="49"/>
      <c r="DV104" s="49"/>
      <c r="DW104" s="49" t="s">
        <v>328</v>
      </c>
      <c r="DX104" s="49" t="s">
        <v>328</v>
      </c>
      <c r="DY104" s="49" t="s">
        <v>314</v>
      </c>
      <c r="DZ104" s="49" t="s">
        <v>310</v>
      </c>
      <c r="EA104" s="118"/>
      <c r="EB104" s="49"/>
      <c r="EC104" s="49"/>
      <c r="ED104" s="49" t="s">
        <v>62</v>
      </c>
      <c r="EE104" s="49" t="s">
        <v>49</v>
      </c>
      <c r="EF104" s="49" t="s">
        <v>49</v>
      </c>
      <c r="EG104" s="120" t="s">
        <v>49</v>
      </c>
      <c r="EH104" s="117">
        <v>3.35</v>
      </c>
      <c r="EI104" s="117">
        <v>0</v>
      </c>
      <c r="EJ104" s="49"/>
      <c r="EK104" s="49"/>
      <c r="EL104" s="55" t="s">
        <v>328</v>
      </c>
      <c r="EM104" s="55">
        <v>0</v>
      </c>
      <c r="EN104" s="55">
        <v>0.02</v>
      </c>
      <c r="EO104" s="122">
        <v>0.02</v>
      </c>
      <c r="EP104" s="117">
        <v>0</v>
      </c>
      <c r="EQ104" s="117">
        <v>0</v>
      </c>
      <c r="ER104" s="49"/>
      <c r="ES104" s="49"/>
      <c r="ET104" s="49"/>
      <c r="EU104" s="49"/>
    </row>
    <row r="105" customFormat="1" ht="22.5" customHeight="1" spans="1:151">
      <c r="A105" s="108">
        <v>12732</v>
      </c>
      <c r="B105" s="109" t="s">
        <v>421</v>
      </c>
      <c r="C105" s="110">
        <v>46151</v>
      </c>
      <c r="D105" s="111">
        <f>IF(_xlfn.XLOOKUP(A105,[1]分配表!J:J,[1]分配表!M:M)=0,"未出单",_xlfn.XLOOKUP(A105,[1]分配表!J:J,[1]分配表!M:M))</f>
        <v>46160</v>
      </c>
      <c r="E105" s="112" t="str">
        <f>_xlfn.XLOOKUP(A105,[1]分配表!A:A,[1]分配表!C:C)</f>
        <v>章鹏</v>
      </c>
      <c r="F105" s="112" t="str">
        <f>IF(_xlfn.XLOOKUP($A105,[1]分配表!$A:$A,[1]分配表!D:D)=0,"未分类",_xlfn.XLOOKUP($A105,[1]分配表!$A:$A,[1]分配表!D:D))</f>
        <v>其他</v>
      </c>
      <c r="G105" s="112" t="str">
        <f>_xlfn.XLOOKUP(A105,[1]分配表!J:J,[1]分配表!I:I)</f>
        <v>原开品</v>
      </c>
      <c r="H105" s="49"/>
      <c r="I105" s="49"/>
      <c r="J105" s="49"/>
      <c r="K105" s="49"/>
      <c r="L105" s="49"/>
      <c r="M105" s="49"/>
      <c r="N105" s="49"/>
      <c r="O105" s="49"/>
      <c r="P105" s="49" t="s">
        <v>328</v>
      </c>
      <c r="Q105" s="49">
        <v>0</v>
      </c>
      <c r="R105" s="49">
        <v>1</v>
      </c>
      <c r="S105" s="49">
        <v>0</v>
      </c>
      <c r="T105" s="113">
        <f t="shared" si="2"/>
        <v>-1</v>
      </c>
      <c r="U105" s="118"/>
      <c r="V105" s="49"/>
      <c r="W105" s="49"/>
      <c r="X105" s="49"/>
      <c r="Y105" s="49"/>
      <c r="Z105" s="49"/>
      <c r="AA105" s="49"/>
      <c r="AB105" s="116"/>
      <c r="AC105" s="117" t="s">
        <v>328</v>
      </c>
      <c r="AD105" s="117">
        <v>0</v>
      </c>
      <c r="AE105" s="117">
        <v>109</v>
      </c>
      <c r="AF105" s="117">
        <v>0</v>
      </c>
      <c r="AG105" s="115">
        <f t="shared" si="3"/>
        <v>-109</v>
      </c>
      <c r="AH105" s="118"/>
      <c r="AI105" s="49"/>
      <c r="AJ105" s="49"/>
      <c r="AK105" s="49"/>
      <c r="AL105" s="49"/>
      <c r="AM105" s="49"/>
      <c r="AN105" s="49"/>
      <c r="AO105" s="49" t="s">
        <v>328</v>
      </c>
      <c r="AP105" s="49" t="s">
        <v>328</v>
      </c>
      <c r="AQ105" s="49">
        <v>0</v>
      </c>
      <c r="AR105" s="49">
        <v>0</v>
      </c>
      <c r="AS105" s="49">
        <v>0</v>
      </c>
      <c r="AT105" s="118"/>
      <c r="AU105" s="49"/>
      <c r="AV105" s="49"/>
      <c r="AW105" s="49"/>
      <c r="AX105" s="49"/>
      <c r="AY105" s="49"/>
      <c r="AZ105" s="49"/>
      <c r="BA105" s="55"/>
      <c r="BB105" s="55" t="s">
        <v>328</v>
      </c>
      <c r="BC105" s="55" t="s">
        <v>306</v>
      </c>
      <c r="BD105" s="55">
        <v>1</v>
      </c>
      <c r="BE105" s="55" t="s">
        <v>306</v>
      </c>
      <c r="BF105" s="118"/>
      <c r="BG105" s="49"/>
      <c r="BH105" s="49"/>
      <c r="BI105" s="49"/>
      <c r="BJ105" s="49"/>
      <c r="BK105" s="49"/>
      <c r="BL105" s="49"/>
      <c r="BM105" s="49"/>
      <c r="BN105" s="49" t="s">
        <v>328</v>
      </c>
      <c r="BO105" s="49">
        <v>4</v>
      </c>
      <c r="BP105" s="49">
        <v>5</v>
      </c>
      <c r="BQ105" s="120">
        <v>12</v>
      </c>
      <c r="BR105" s="49"/>
      <c r="BS105" s="49"/>
      <c r="BT105" s="49"/>
      <c r="BU105" s="49"/>
      <c r="BV105" s="49"/>
      <c r="BW105" s="49"/>
      <c r="BX105" s="49"/>
      <c r="BY105" s="49"/>
      <c r="BZ105" s="115" t="s">
        <v>328</v>
      </c>
      <c r="CA105" s="115" t="s">
        <v>149</v>
      </c>
      <c r="CB105" s="115" t="s">
        <v>62</v>
      </c>
      <c r="CC105" s="115" t="s">
        <v>62</v>
      </c>
      <c r="CD105" s="118"/>
      <c r="CE105" s="49"/>
      <c r="CF105" s="49"/>
      <c r="CG105" s="49"/>
      <c r="CH105" s="49"/>
      <c r="CI105" s="49"/>
      <c r="CJ105" s="49"/>
      <c r="CK105" s="49"/>
      <c r="CL105" s="115" t="s">
        <v>328</v>
      </c>
      <c r="CM105" s="115" t="s">
        <v>53</v>
      </c>
      <c r="CN105" s="115" t="s">
        <v>53</v>
      </c>
      <c r="CO105" s="121" t="s">
        <v>152</v>
      </c>
      <c r="CP105" s="49"/>
      <c r="CQ105" s="49"/>
      <c r="CR105" s="49"/>
      <c r="CS105" s="49"/>
      <c r="CT105" s="49"/>
      <c r="CU105" s="49"/>
      <c r="CV105" s="49"/>
      <c r="CW105" s="49"/>
      <c r="CX105" s="115" t="s">
        <v>328</v>
      </c>
      <c r="CY105" s="115" t="s">
        <v>152</v>
      </c>
      <c r="CZ105" s="115" t="s">
        <v>53</v>
      </c>
      <c r="DA105" s="115" t="s">
        <v>53</v>
      </c>
      <c r="DB105" s="118"/>
      <c r="DC105" s="49"/>
      <c r="DD105" s="49"/>
      <c r="DE105" s="49"/>
      <c r="DF105" s="49"/>
      <c r="DG105" s="49"/>
      <c r="DH105" s="49"/>
      <c r="DI105" s="49"/>
      <c r="DJ105" s="49"/>
      <c r="DK105" s="49" t="s">
        <v>328</v>
      </c>
      <c r="DL105" s="49" t="s">
        <v>307</v>
      </c>
      <c r="DM105" s="49" t="s">
        <v>53</v>
      </c>
      <c r="DN105" s="49" t="s">
        <v>307</v>
      </c>
      <c r="DO105" s="118"/>
      <c r="DP105" s="49"/>
      <c r="DQ105" s="49"/>
      <c r="DR105" s="49"/>
      <c r="DS105" s="49"/>
      <c r="DT105" s="49"/>
      <c r="DU105" s="49"/>
      <c r="DV105" s="49"/>
      <c r="DW105" s="49" t="s">
        <v>328</v>
      </c>
      <c r="DX105" s="49" t="s">
        <v>328</v>
      </c>
      <c r="DY105" s="49" t="s">
        <v>315</v>
      </c>
      <c r="DZ105" s="49" t="s">
        <v>58</v>
      </c>
      <c r="EA105" s="118"/>
      <c r="EB105" s="49"/>
      <c r="EC105" s="49"/>
      <c r="ED105" s="49" t="s">
        <v>62</v>
      </c>
      <c r="EE105" s="49" t="s">
        <v>49</v>
      </c>
      <c r="EF105" s="49" t="s">
        <v>49</v>
      </c>
      <c r="EG105" s="120" t="s">
        <v>49</v>
      </c>
      <c r="EH105" s="117">
        <v>1.39</v>
      </c>
      <c r="EI105" s="117">
        <v>0</v>
      </c>
      <c r="EJ105" s="49"/>
      <c r="EK105" s="49"/>
      <c r="EL105" s="55" t="s">
        <v>328</v>
      </c>
      <c r="EM105" s="55">
        <v>0</v>
      </c>
      <c r="EN105" s="55">
        <v>0.02</v>
      </c>
      <c r="EO105" s="122">
        <v>0.02</v>
      </c>
      <c r="EP105" s="117">
        <v>0</v>
      </c>
      <c r="EQ105" s="117">
        <v>0</v>
      </c>
      <c r="ER105" s="49"/>
      <c r="ES105" s="49"/>
      <c r="ET105" s="49"/>
      <c r="EU105" s="49"/>
    </row>
    <row r="106" customFormat="1" ht="22.5" customHeight="1" spans="1:151">
      <c r="A106" s="108">
        <v>12658</v>
      </c>
      <c r="B106" s="109" t="s">
        <v>422</v>
      </c>
      <c r="C106" s="110">
        <v>46151</v>
      </c>
      <c r="D106" s="111">
        <f>IF(_xlfn.XLOOKUP(A106,[1]分配表!J:J,[1]分配表!M:M)=0,"未出单",_xlfn.XLOOKUP(A106,[1]分配表!J:J,[1]分配表!M:M))</f>
        <v>46153</v>
      </c>
      <c r="E106" s="112" t="str">
        <f>_xlfn.XLOOKUP(A106,[1]分配表!A:A,[1]分配表!C:C)</f>
        <v>张潇</v>
      </c>
      <c r="F106" s="112" t="str">
        <f>IF(_xlfn.XLOOKUP($A106,[1]分配表!$A:$A,[1]分配表!D:D)=0,"未分类",_xlfn.XLOOKUP($A106,[1]分配表!$A:$A,[1]分配表!D:D))</f>
        <v>机盖及附件</v>
      </c>
      <c r="G106" s="112" t="str">
        <f>_xlfn.XLOOKUP(A106,[1]分配表!J:J,[1]分配表!I:I)</f>
        <v>拓展品</v>
      </c>
      <c r="H106" s="49"/>
      <c r="I106" s="49"/>
      <c r="J106" s="49"/>
      <c r="K106" s="49"/>
      <c r="L106" s="49"/>
      <c r="M106" s="49"/>
      <c r="N106" s="49"/>
      <c r="O106" s="49"/>
      <c r="P106" s="49" t="s">
        <v>328</v>
      </c>
      <c r="Q106" s="49">
        <v>1</v>
      </c>
      <c r="R106" s="49">
        <v>4</v>
      </c>
      <c r="S106" s="49">
        <v>2</v>
      </c>
      <c r="T106" s="113">
        <f t="shared" si="2"/>
        <v>-2</v>
      </c>
      <c r="U106" s="118"/>
      <c r="V106" s="49"/>
      <c r="W106" s="49"/>
      <c r="X106" s="49"/>
      <c r="Y106" s="49"/>
      <c r="Z106" s="49"/>
      <c r="AA106" s="49"/>
      <c r="AB106" s="116"/>
      <c r="AC106" s="117" t="s">
        <v>328</v>
      </c>
      <c r="AD106" s="117">
        <v>85</v>
      </c>
      <c r="AE106" s="117">
        <v>340</v>
      </c>
      <c r="AF106" s="117">
        <v>214</v>
      </c>
      <c r="AG106" s="115">
        <f t="shared" si="3"/>
        <v>-126</v>
      </c>
      <c r="AH106" s="118"/>
      <c r="AI106" s="49"/>
      <c r="AJ106" s="49"/>
      <c r="AK106" s="49"/>
      <c r="AL106" s="49"/>
      <c r="AM106" s="49"/>
      <c r="AN106" s="49"/>
      <c r="AO106" s="49" t="s">
        <v>328</v>
      </c>
      <c r="AP106" s="49" t="s">
        <v>328</v>
      </c>
      <c r="AQ106" s="49">
        <v>2</v>
      </c>
      <c r="AR106" s="49">
        <v>3</v>
      </c>
      <c r="AS106" s="49">
        <v>4</v>
      </c>
      <c r="AT106" s="118"/>
      <c r="AU106" s="49"/>
      <c r="AV106" s="49"/>
      <c r="AW106" s="49"/>
      <c r="AX106" s="49"/>
      <c r="AY106" s="49"/>
      <c r="AZ106" s="49"/>
      <c r="BA106" s="55"/>
      <c r="BB106" s="55" t="s">
        <v>328</v>
      </c>
      <c r="BC106" s="55">
        <v>0.3333</v>
      </c>
      <c r="BD106" s="55">
        <v>0.25</v>
      </c>
      <c r="BE106" s="55">
        <v>0.4286</v>
      </c>
      <c r="BF106" s="118"/>
      <c r="BG106" s="49"/>
      <c r="BH106" s="49"/>
      <c r="BI106" s="49"/>
      <c r="BJ106" s="49"/>
      <c r="BK106" s="49"/>
      <c r="BL106" s="49"/>
      <c r="BM106" s="49"/>
      <c r="BN106" s="49" t="s">
        <v>328</v>
      </c>
      <c r="BO106" s="49">
        <v>4</v>
      </c>
      <c r="BP106" s="49">
        <v>2</v>
      </c>
      <c r="BQ106" s="120">
        <v>9</v>
      </c>
      <c r="BR106" s="49"/>
      <c r="BS106" s="49"/>
      <c r="BT106" s="49"/>
      <c r="BU106" s="49"/>
      <c r="BV106" s="49"/>
      <c r="BW106" s="49"/>
      <c r="BX106" s="49"/>
      <c r="BY106" s="49"/>
      <c r="BZ106" s="115" t="s">
        <v>328</v>
      </c>
      <c r="CA106" s="115" t="s">
        <v>49</v>
      </c>
      <c r="CB106" s="115" t="s">
        <v>49</v>
      </c>
      <c r="CC106" s="115" t="s">
        <v>49</v>
      </c>
      <c r="CD106" s="118"/>
      <c r="CE106" s="49"/>
      <c r="CF106" s="49"/>
      <c r="CG106" s="49"/>
      <c r="CH106" s="49"/>
      <c r="CI106" s="49"/>
      <c r="CJ106" s="49"/>
      <c r="CK106" s="49"/>
      <c r="CL106" s="115" t="s">
        <v>328</v>
      </c>
      <c r="CM106" s="115" t="s">
        <v>53</v>
      </c>
      <c r="CN106" s="115" t="s">
        <v>53</v>
      </c>
      <c r="CO106" s="121" t="s">
        <v>152</v>
      </c>
      <c r="CP106" s="49"/>
      <c r="CQ106" s="49"/>
      <c r="CR106" s="49"/>
      <c r="CS106" s="49"/>
      <c r="CT106" s="49"/>
      <c r="CU106" s="49"/>
      <c r="CV106" s="49"/>
      <c r="CW106" s="49"/>
      <c r="CX106" s="115" t="s">
        <v>328</v>
      </c>
      <c r="CY106" s="115" t="s">
        <v>152</v>
      </c>
      <c r="CZ106" s="115" t="s">
        <v>53</v>
      </c>
      <c r="DA106" s="115" t="s">
        <v>53</v>
      </c>
      <c r="DB106" s="118"/>
      <c r="DC106" s="49"/>
      <c r="DD106" s="49"/>
      <c r="DE106" s="49"/>
      <c r="DF106" s="49"/>
      <c r="DG106" s="49"/>
      <c r="DH106" s="49"/>
      <c r="DI106" s="49"/>
      <c r="DJ106" s="49"/>
      <c r="DK106" s="49" t="s">
        <v>328</v>
      </c>
      <c r="DL106" s="49" t="s">
        <v>313</v>
      </c>
      <c r="DM106" s="49" t="s">
        <v>313</v>
      </c>
      <c r="DN106" s="49" t="s">
        <v>313</v>
      </c>
      <c r="DO106" s="118"/>
      <c r="DP106" s="49"/>
      <c r="DQ106" s="49"/>
      <c r="DR106" s="49"/>
      <c r="DS106" s="49"/>
      <c r="DT106" s="49"/>
      <c r="DU106" s="49"/>
      <c r="DV106" s="49"/>
      <c r="DW106" s="49" t="s">
        <v>328</v>
      </c>
      <c r="DX106" s="49" t="s">
        <v>328</v>
      </c>
      <c r="DY106" s="49" t="s">
        <v>315</v>
      </c>
      <c r="DZ106" s="49" t="s">
        <v>58</v>
      </c>
      <c r="EA106" s="118"/>
      <c r="EB106" s="49"/>
      <c r="EC106" s="49"/>
      <c r="ED106" s="49" t="s">
        <v>62</v>
      </c>
      <c r="EE106" s="49" t="s">
        <v>49</v>
      </c>
      <c r="EF106" s="49" t="s">
        <v>49</v>
      </c>
      <c r="EG106" s="120" t="s">
        <v>49</v>
      </c>
      <c r="EH106" s="117">
        <v>10.56</v>
      </c>
      <c r="EI106" s="117">
        <v>182.33</v>
      </c>
      <c r="EJ106" s="49"/>
      <c r="EK106" s="49"/>
      <c r="EL106" s="55" t="s">
        <v>328</v>
      </c>
      <c r="EM106" s="55">
        <v>0</v>
      </c>
      <c r="EN106" s="55">
        <v>0.035</v>
      </c>
      <c r="EO106" s="122">
        <v>0.035</v>
      </c>
      <c r="EP106" s="117">
        <v>0</v>
      </c>
      <c r="EQ106" s="117">
        <v>0</v>
      </c>
      <c r="ER106" s="49"/>
      <c r="ES106" s="49"/>
      <c r="ET106" s="49"/>
      <c r="EU106" s="49"/>
    </row>
    <row r="107" customFormat="1" ht="22.5" customHeight="1" spans="1:151">
      <c r="A107" s="108">
        <v>12741</v>
      </c>
      <c r="B107" s="109" t="s">
        <v>423</v>
      </c>
      <c r="C107" s="110">
        <v>46151</v>
      </c>
      <c r="D107" s="111">
        <f>IF(_xlfn.XLOOKUP(A107,[1]分配表!J:J,[1]分配表!M:M)=0,"未出单",_xlfn.XLOOKUP(A107,[1]分配表!J:J,[1]分配表!M:M))</f>
        <v>46163</v>
      </c>
      <c r="E107" s="112" t="str">
        <f>_xlfn.XLOOKUP(A107,[1]分配表!A:A,[1]分配表!C:C)</f>
        <v>胡煜星</v>
      </c>
      <c r="F107" s="112" t="str">
        <f>IF(_xlfn.XLOOKUP($A107,[1]分配表!$A:$A,[1]分配表!D:D)=0,"未分类",_xlfn.XLOOKUP($A107,[1]分配表!$A:$A,[1]分配表!D:D))</f>
        <v>其他</v>
      </c>
      <c r="G107" s="112" t="str">
        <f>_xlfn.XLOOKUP(A107,[1]分配表!J:J,[1]分配表!I:I)</f>
        <v>原开品</v>
      </c>
      <c r="H107" s="49"/>
      <c r="I107" s="49"/>
      <c r="J107" s="49"/>
      <c r="K107" s="49"/>
      <c r="L107" s="49"/>
      <c r="M107" s="49"/>
      <c r="N107" s="49"/>
      <c r="O107" s="49"/>
      <c r="P107" s="49" t="s">
        <v>328</v>
      </c>
      <c r="Q107" s="49">
        <v>0</v>
      </c>
      <c r="R107" s="49">
        <v>0</v>
      </c>
      <c r="S107" s="49">
        <v>1</v>
      </c>
      <c r="T107" s="113">
        <f t="shared" si="2"/>
        <v>1</v>
      </c>
      <c r="U107" s="118"/>
      <c r="V107" s="49"/>
      <c r="W107" s="49"/>
      <c r="X107" s="49"/>
      <c r="Y107" s="49"/>
      <c r="Z107" s="49"/>
      <c r="AA107" s="49"/>
      <c r="AB107" s="116"/>
      <c r="AC107" s="117" t="s">
        <v>328</v>
      </c>
      <c r="AD107" s="117">
        <v>0</v>
      </c>
      <c r="AE107" s="117">
        <v>0</v>
      </c>
      <c r="AF107" s="117">
        <v>96</v>
      </c>
      <c r="AG107" s="115">
        <f t="shared" si="3"/>
        <v>96</v>
      </c>
      <c r="AH107" s="118"/>
      <c r="AI107" s="49"/>
      <c r="AJ107" s="49"/>
      <c r="AK107" s="49"/>
      <c r="AL107" s="49"/>
      <c r="AM107" s="49"/>
      <c r="AN107" s="49"/>
      <c r="AO107" s="49" t="s">
        <v>328</v>
      </c>
      <c r="AP107" s="49" t="s">
        <v>328</v>
      </c>
      <c r="AQ107" s="49">
        <v>0</v>
      </c>
      <c r="AR107" s="49">
        <v>0</v>
      </c>
      <c r="AS107" s="49">
        <v>2</v>
      </c>
      <c r="AT107" s="118"/>
      <c r="AU107" s="49"/>
      <c r="AV107" s="49"/>
      <c r="AW107" s="49"/>
      <c r="AX107" s="49"/>
      <c r="AY107" s="49"/>
      <c r="AZ107" s="49"/>
      <c r="BA107" s="55"/>
      <c r="BB107" s="55" t="s">
        <v>328</v>
      </c>
      <c r="BC107" s="55" t="s">
        <v>306</v>
      </c>
      <c r="BD107" s="55" t="s">
        <v>306</v>
      </c>
      <c r="BE107" s="55">
        <v>0.3333</v>
      </c>
      <c r="BF107" s="118"/>
      <c r="BG107" s="49"/>
      <c r="BH107" s="49"/>
      <c r="BI107" s="49"/>
      <c r="BJ107" s="49"/>
      <c r="BK107" s="49"/>
      <c r="BL107" s="49"/>
      <c r="BM107" s="49"/>
      <c r="BN107" s="49" t="s">
        <v>328</v>
      </c>
      <c r="BO107" s="49">
        <v>4</v>
      </c>
      <c r="BP107" s="49">
        <v>2</v>
      </c>
      <c r="BQ107" s="120">
        <v>0</v>
      </c>
      <c r="BR107" s="49"/>
      <c r="BS107" s="49"/>
      <c r="BT107" s="49"/>
      <c r="BU107" s="49"/>
      <c r="BV107" s="49"/>
      <c r="BW107" s="49"/>
      <c r="BX107" s="49"/>
      <c r="BY107" s="49"/>
      <c r="BZ107" s="115" t="s">
        <v>328</v>
      </c>
      <c r="CA107" s="115" t="s">
        <v>149</v>
      </c>
      <c r="CB107" s="115" t="s">
        <v>149</v>
      </c>
      <c r="CC107" s="115" t="s">
        <v>62</v>
      </c>
      <c r="CD107" s="118"/>
      <c r="CE107" s="49"/>
      <c r="CF107" s="49"/>
      <c r="CG107" s="49"/>
      <c r="CH107" s="49"/>
      <c r="CI107" s="49"/>
      <c r="CJ107" s="49"/>
      <c r="CK107" s="49"/>
      <c r="CL107" s="115" t="s">
        <v>328</v>
      </c>
      <c r="CM107" s="115" t="s">
        <v>53</v>
      </c>
      <c r="CN107" s="115" t="s">
        <v>53</v>
      </c>
      <c r="CO107" s="121" t="s">
        <v>53</v>
      </c>
      <c r="CP107" s="49"/>
      <c r="CQ107" s="49"/>
      <c r="CR107" s="49"/>
      <c r="CS107" s="49"/>
      <c r="CT107" s="49"/>
      <c r="CU107" s="49"/>
      <c r="CV107" s="49"/>
      <c r="CW107" s="49"/>
      <c r="CX107" s="115" t="s">
        <v>328</v>
      </c>
      <c r="CY107" s="115" t="s">
        <v>152</v>
      </c>
      <c r="CZ107" s="115" t="s">
        <v>53</v>
      </c>
      <c r="DA107" s="115" t="s">
        <v>53</v>
      </c>
      <c r="DB107" s="118"/>
      <c r="DC107" s="49"/>
      <c r="DD107" s="49"/>
      <c r="DE107" s="49"/>
      <c r="DF107" s="49"/>
      <c r="DG107" s="49"/>
      <c r="DH107" s="49"/>
      <c r="DI107" s="49"/>
      <c r="DJ107" s="49"/>
      <c r="DK107" s="49" t="s">
        <v>328</v>
      </c>
      <c r="DL107" s="49" t="s">
        <v>307</v>
      </c>
      <c r="DM107" s="49" t="s">
        <v>307</v>
      </c>
      <c r="DN107" s="49" t="s">
        <v>313</v>
      </c>
      <c r="DO107" s="118"/>
      <c r="DP107" s="49"/>
      <c r="DQ107" s="49"/>
      <c r="DR107" s="49"/>
      <c r="DS107" s="49"/>
      <c r="DT107" s="49"/>
      <c r="DU107" s="49"/>
      <c r="DV107" s="49"/>
      <c r="DW107" s="49" t="s">
        <v>328</v>
      </c>
      <c r="DX107" s="49" t="s">
        <v>328</v>
      </c>
      <c r="DY107" s="49" t="s">
        <v>310</v>
      </c>
      <c r="DZ107" s="49" t="s">
        <v>314</v>
      </c>
      <c r="EA107" s="118"/>
      <c r="EB107" s="49"/>
      <c r="EC107" s="49"/>
      <c r="ED107" s="49" t="s">
        <v>62</v>
      </c>
      <c r="EE107" s="49" t="s">
        <v>49</v>
      </c>
      <c r="EF107" s="49" t="s">
        <v>49</v>
      </c>
      <c r="EG107" s="120" t="s">
        <v>49</v>
      </c>
      <c r="EH107" s="117">
        <v>3.39</v>
      </c>
      <c r="EI107" s="117">
        <v>0</v>
      </c>
      <c r="EJ107" s="49"/>
      <c r="EK107" s="49"/>
      <c r="EL107" s="55" t="s">
        <v>328</v>
      </c>
      <c r="EM107" s="55">
        <v>0</v>
      </c>
      <c r="EN107" s="55">
        <v>0</v>
      </c>
      <c r="EO107" s="122">
        <v>0</v>
      </c>
      <c r="EP107" s="117">
        <v>0</v>
      </c>
      <c r="EQ107" s="117">
        <v>0</v>
      </c>
      <c r="ER107" s="49"/>
      <c r="ES107" s="49"/>
      <c r="ET107" s="49"/>
      <c r="EU107" s="49"/>
    </row>
    <row r="108" customFormat="1" ht="22.5" customHeight="1" spans="1:151">
      <c r="A108" s="108">
        <v>12740</v>
      </c>
      <c r="B108" s="109" t="s">
        <v>424</v>
      </c>
      <c r="C108" s="110">
        <v>46151</v>
      </c>
      <c r="D108" s="111">
        <f>IF(_xlfn.XLOOKUP(A108,[1]分配表!J:J,[1]分配表!M:M)=0,"未出单",_xlfn.XLOOKUP(A108,[1]分配表!J:J,[1]分配表!M:M))</f>
        <v>46162</v>
      </c>
      <c r="E108" s="112" t="str">
        <f>_xlfn.XLOOKUP(A108,[1]分配表!A:A,[1]分配表!C:C)</f>
        <v>胡煜星</v>
      </c>
      <c r="F108" s="112" t="str">
        <f>IF(_xlfn.XLOOKUP($A108,[1]分配表!$A:$A,[1]分配表!D:D)=0,"未分类",_xlfn.XLOOKUP($A108,[1]分配表!$A:$A,[1]分配表!D:D))</f>
        <v>其他</v>
      </c>
      <c r="G108" s="112" t="str">
        <f>_xlfn.XLOOKUP(A108,[1]分配表!J:J,[1]分配表!I:I)</f>
        <v>原开品</v>
      </c>
      <c r="H108" s="49"/>
      <c r="I108" s="49"/>
      <c r="J108" s="49"/>
      <c r="K108" s="49"/>
      <c r="L108" s="49"/>
      <c r="M108" s="49"/>
      <c r="N108" s="49"/>
      <c r="O108" s="49"/>
      <c r="P108" s="49" t="s">
        <v>328</v>
      </c>
      <c r="Q108" s="49">
        <v>0</v>
      </c>
      <c r="R108" s="49">
        <v>1</v>
      </c>
      <c r="S108" s="49">
        <v>2</v>
      </c>
      <c r="T108" s="113">
        <f t="shared" si="2"/>
        <v>1</v>
      </c>
      <c r="U108" s="118"/>
      <c r="V108" s="49"/>
      <c r="W108" s="49"/>
      <c r="X108" s="49"/>
      <c r="Y108" s="49"/>
      <c r="Z108" s="49"/>
      <c r="AA108" s="49"/>
      <c r="AB108" s="116"/>
      <c r="AC108" s="117" t="s">
        <v>328</v>
      </c>
      <c r="AD108" s="117">
        <v>0</v>
      </c>
      <c r="AE108" s="117">
        <v>99</v>
      </c>
      <c r="AF108" s="117">
        <v>198</v>
      </c>
      <c r="AG108" s="115">
        <f t="shared" si="3"/>
        <v>99</v>
      </c>
      <c r="AH108" s="118"/>
      <c r="AI108" s="49"/>
      <c r="AJ108" s="49"/>
      <c r="AK108" s="49"/>
      <c r="AL108" s="49"/>
      <c r="AM108" s="49"/>
      <c r="AN108" s="49"/>
      <c r="AO108" s="49" t="s">
        <v>328</v>
      </c>
      <c r="AP108" s="49" t="s">
        <v>328</v>
      </c>
      <c r="AQ108" s="49">
        <v>0</v>
      </c>
      <c r="AR108" s="49">
        <v>0</v>
      </c>
      <c r="AS108" s="49">
        <v>0</v>
      </c>
      <c r="AT108" s="118"/>
      <c r="AU108" s="49"/>
      <c r="AV108" s="49"/>
      <c r="AW108" s="49"/>
      <c r="AX108" s="49"/>
      <c r="AY108" s="49"/>
      <c r="AZ108" s="49"/>
      <c r="BA108" s="55"/>
      <c r="BB108" s="55" t="s">
        <v>328</v>
      </c>
      <c r="BC108" s="55" t="s">
        <v>306</v>
      </c>
      <c r="BD108" s="55" t="s">
        <v>306</v>
      </c>
      <c r="BE108" s="55">
        <v>1</v>
      </c>
      <c r="BF108" s="118"/>
      <c r="BG108" s="49"/>
      <c r="BH108" s="49"/>
      <c r="BI108" s="49"/>
      <c r="BJ108" s="49"/>
      <c r="BK108" s="49"/>
      <c r="BL108" s="49"/>
      <c r="BM108" s="49"/>
      <c r="BN108" s="49" t="s">
        <v>328</v>
      </c>
      <c r="BO108" s="49">
        <v>4</v>
      </c>
      <c r="BP108" s="49">
        <v>2</v>
      </c>
      <c r="BQ108" s="120">
        <v>0</v>
      </c>
      <c r="BR108" s="49"/>
      <c r="BS108" s="49"/>
      <c r="BT108" s="49"/>
      <c r="BU108" s="49"/>
      <c r="BV108" s="49"/>
      <c r="BW108" s="49"/>
      <c r="BX108" s="49"/>
      <c r="BY108" s="49"/>
      <c r="BZ108" s="115" t="s">
        <v>328</v>
      </c>
      <c r="CA108" s="115" t="s">
        <v>149</v>
      </c>
      <c r="CB108" s="115" t="s">
        <v>149</v>
      </c>
      <c r="CC108" s="115" t="s">
        <v>62</v>
      </c>
      <c r="CD108" s="118"/>
      <c r="CE108" s="49"/>
      <c r="CF108" s="49"/>
      <c r="CG108" s="49"/>
      <c r="CH108" s="49"/>
      <c r="CI108" s="49"/>
      <c r="CJ108" s="49"/>
      <c r="CK108" s="49"/>
      <c r="CL108" s="115" t="s">
        <v>328</v>
      </c>
      <c r="CM108" s="115" t="s">
        <v>53</v>
      </c>
      <c r="CN108" s="115" t="s">
        <v>53</v>
      </c>
      <c r="CO108" s="121" t="s">
        <v>53</v>
      </c>
      <c r="CP108" s="49"/>
      <c r="CQ108" s="49"/>
      <c r="CR108" s="49"/>
      <c r="CS108" s="49"/>
      <c r="CT108" s="49"/>
      <c r="CU108" s="49"/>
      <c r="CV108" s="49"/>
      <c r="CW108" s="49"/>
      <c r="CX108" s="115" t="s">
        <v>328</v>
      </c>
      <c r="CY108" s="115" t="s">
        <v>152</v>
      </c>
      <c r="CZ108" s="115" t="s">
        <v>53</v>
      </c>
      <c r="DA108" s="115" t="s">
        <v>53</v>
      </c>
      <c r="DB108" s="118"/>
      <c r="DC108" s="49"/>
      <c r="DD108" s="49"/>
      <c r="DE108" s="49"/>
      <c r="DF108" s="49"/>
      <c r="DG108" s="49"/>
      <c r="DH108" s="49"/>
      <c r="DI108" s="49"/>
      <c r="DJ108" s="49"/>
      <c r="DK108" s="49" t="s">
        <v>328</v>
      </c>
      <c r="DL108" s="49" t="s">
        <v>307</v>
      </c>
      <c r="DM108" s="49" t="s">
        <v>307</v>
      </c>
      <c r="DN108" s="49" t="s">
        <v>53</v>
      </c>
      <c r="DO108" s="118"/>
      <c r="DP108" s="49"/>
      <c r="DQ108" s="49"/>
      <c r="DR108" s="49"/>
      <c r="DS108" s="49"/>
      <c r="DT108" s="49"/>
      <c r="DU108" s="49"/>
      <c r="DV108" s="49"/>
      <c r="DW108" s="49" t="s">
        <v>328</v>
      </c>
      <c r="DX108" s="49" t="s">
        <v>328</v>
      </c>
      <c r="DY108" s="49" t="s">
        <v>331</v>
      </c>
      <c r="DZ108" s="49" t="s">
        <v>314</v>
      </c>
      <c r="EA108" s="118"/>
      <c r="EB108" s="49"/>
      <c r="EC108" s="49"/>
      <c r="ED108" s="49" t="s">
        <v>62</v>
      </c>
      <c r="EE108" s="49" t="s">
        <v>49</v>
      </c>
      <c r="EF108" s="49" t="s">
        <v>49</v>
      </c>
      <c r="EG108" s="120" t="s">
        <v>49</v>
      </c>
      <c r="EH108" s="117">
        <v>0</v>
      </c>
      <c r="EI108" s="117">
        <v>0</v>
      </c>
      <c r="EJ108" s="49"/>
      <c r="EK108" s="49"/>
      <c r="EL108" s="55" t="s">
        <v>328</v>
      </c>
      <c r="EM108" s="55">
        <v>0</v>
      </c>
      <c r="EN108" s="55">
        <v>0</v>
      </c>
      <c r="EO108" s="122">
        <v>0</v>
      </c>
      <c r="EP108" s="117">
        <v>0</v>
      </c>
      <c r="EQ108" s="117">
        <v>0</v>
      </c>
      <c r="ER108" s="49"/>
      <c r="ES108" s="49"/>
      <c r="ET108" s="49"/>
      <c r="EU108" s="49"/>
    </row>
    <row r="109" customFormat="1" ht="22.5" customHeight="1" spans="1:151">
      <c r="A109" s="108">
        <v>12743</v>
      </c>
      <c r="B109" s="109" t="s">
        <v>425</v>
      </c>
      <c r="C109" s="110">
        <v>46151</v>
      </c>
      <c r="D109" s="111">
        <f>IF(_xlfn.XLOOKUP(A109,[1]分配表!J:J,[1]分配表!M:M)=0,"未出单",_xlfn.XLOOKUP(A109,[1]分配表!J:J,[1]分配表!M:M))</f>
        <v>46151</v>
      </c>
      <c r="E109" s="112" t="str">
        <f>_xlfn.XLOOKUP(A109,[1]分配表!A:A,[1]分配表!C:C)</f>
        <v>张潇</v>
      </c>
      <c r="F109" s="112" t="str">
        <f>IF(_xlfn.XLOOKUP($A109,[1]分配表!$A:$A,[1]分配表!D:D)=0,"未分类",_xlfn.XLOOKUP($A109,[1]分配表!$A:$A,[1]分配表!D:D))</f>
        <v>其他</v>
      </c>
      <c r="G109" s="112" t="str">
        <f>_xlfn.XLOOKUP(A109,[1]分配表!J:J,[1]分配表!I:I)</f>
        <v>原开品</v>
      </c>
      <c r="H109" s="49"/>
      <c r="I109" s="49"/>
      <c r="J109" s="49"/>
      <c r="K109" s="49"/>
      <c r="L109" s="49"/>
      <c r="M109" s="49"/>
      <c r="N109" s="49"/>
      <c r="O109" s="49"/>
      <c r="P109" s="49" t="s">
        <v>328</v>
      </c>
      <c r="Q109" s="49">
        <v>1</v>
      </c>
      <c r="R109" s="49">
        <v>1</v>
      </c>
      <c r="S109" s="49">
        <v>0</v>
      </c>
      <c r="T109" s="113">
        <f t="shared" si="2"/>
        <v>-1</v>
      </c>
      <c r="U109" s="118"/>
      <c r="V109" s="49"/>
      <c r="W109" s="49"/>
      <c r="X109" s="49"/>
      <c r="Y109" s="49"/>
      <c r="Z109" s="49"/>
      <c r="AA109" s="49"/>
      <c r="AB109" s="116"/>
      <c r="AC109" s="117" t="s">
        <v>328</v>
      </c>
      <c r="AD109" s="117">
        <v>120</v>
      </c>
      <c r="AE109" s="117">
        <v>120</v>
      </c>
      <c r="AF109" s="117">
        <v>0</v>
      </c>
      <c r="AG109" s="115">
        <f t="shared" si="3"/>
        <v>-120</v>
      </c>
      <c r="AH109" s="118"/>
      <c r="AI109" s="49"/>
      <c r="AJ109" s="49"/>
      <c r="AK109" s="49"/>
      <c r="AL109" s="49"/>
      <c r="AM109" s="49"/>
      <c r="AN109" s="49"/>
      <c r="AO109" s="49" t="s">
        <v>328</v>
      </c>
      <c r="AP109" s="49" t="s">
        <v>328</v>
      </c>
      <c r="AQ109" s="49">
        <v>0</v>
      </c>
      <c r="AR109" s="49">
        <v>0</v>
      </c>
      <c r="AS109" s="49">
        <v>0</v>
      </c>
      <c r="AT109" s="118"/>
      <c r="AU109" s="49"/>
      <c r="AV109" s="49"/>
      <c r="AW109" s="49"/>
      <c r="AX109" s="49"/>
      <c r="AY109" s="49"/>
      <c r="AZ109" s="49"/>
      <c r="BA109" s="55"/>
      <c r="BB109" s="55" t="s">
        <v>328</v>
      </c>
      <c r="BC109" s="55">
        <v>1</v>
      </c>
      <c r="BD109" s="55" t="s">
        <v>306</v>
      </c>
      <c r="BE109" s="55">
        <v>1</v>
      </c>
      <c r="BF109" s="118"/>
      <c r="BG109" s="49"/>
      <c r="BH109" s="49"/>
      <c r="BI109" s="49"/>
      <c r="BJ109" s="49"/>
      <c r="BK109" s="49"/>
      <c r="BL109" s="49"/>
      <c r="BM109" s="49"/>
      <c r="BN109" s="49" t="s">
        <v>328</v>
      </c>
      <c r="BO109" s="49">
        <v>4</v>
      </c>
      <c r="BP109" s="49">
        <v>2</v>
      </c>
      <c r="BQ109" s="120">
        <v>9</v>
      </c>
      <c r="BR109" s="49"/>
      <c r="BS109" s="49"/>
      <c r="BT109" s="49"/>
      <c r="BU109" s="49"/>
      <c r="BV109" s="49"/>
      <c r="BW109" s="49"/>
      <c r="BX109" s="49"/>
      <c r="BY109" s="49"/>
      <c r="BZ109" s="115" t="s">
        <v>328</v>
      </c>
      <c r="CA109" s="115" t="s">
        <v>49</v>
      </c>
      <c r="CB109" s="115" t="s">
        <v>49</v>
      </c>
      <c r="CC109" s="115" t="s">
        <v>49</v>
      </c>
      <c r="CD109" s="118"/>
      <c r="CE109" s="49"/>
      <c r="CF109" s="49"/>
      <c r="CG109" s="49"/>
      <c r="CH109" s="49"/>
      <c r="CI109" s="49"/>
      <c r="CJ109" s="49"/>
      <c r="CK109" s="49"/>
      <c r="CL109" s="115" t="s">
        <v>328</v>
      </c>
      <c r="CM109" s="115" t="s">
        <v>53</v>
      </c>
      <c r="CN109" s="115" t="s">
        <v>53</v>
      </c>
      <c r="CO109" s="121" t="s">
        <v>152</v>
      </c>
      <c r="CP109" s="49"/>
      <c r="CQ109" s="49"/>
      <c r="CR109" s="49"/>
      <c r="CS109" s="49"/>
      <c r="CT109" s="49"/>
      <c r="CU109" s="49"/>
      <c r="CV109" s="49"/>
      <c r="CW109" s="49"/>
      <c r="CX109" s="115" t="s">
        <v>328</v>
      </c>
      <c r="CY109" s="115" t="s">
        <v>152</v>
      </c>
      <c r="CZ109" s="115" t="s">
        <v>53</v>
      </c>
      <c r="DA109" s="115" t="s">
        <v>53</v>
      </c>
      <c r="DB109" s="118"/>
      <c r="DC109" s="49"/>
      <c r="DD109" s="49"/>
      <c r="DE109" s="49"/>
      <c r="DF109" s="49"/>
      <c r="DG109" s="49"/>
      <c r="DH109" s="49"/>
      <c r="DI109" s="49"/>
      <c r="DJ109" s="49"/>
      <c r="DK109" s="49" t="s">
        <v>328</v>
      </c>
      <c r="DL109" s="49" t="s">
        <v>53</v>
      </c>
      <c r="DM109" s="49" t="s">
        <v>307</v>
      </c>
      <c r="DN109" s="49" t="s">
        <v>53</v>
      </c>
      <c r="DO109" s="118"/>
      <c r="DP109" s="49"/>
      <c r="DQ109" s="49"/>
      <c r="DR109" s="49"/>
      <c r="DS109" s="49"/>
      <c r="DT109" s="49"/>
      <c r="DU109" s="49"/>
      <c r="DV109" s="49"/>
      <c r="DW109" s="49" t="s">
        <v>328</v>
      </c>
      <c r="DX109" s="49" t="s">
        <v>328</v>
      </c>
      <c r="DY109" s="49" t="s">
        <v>310</v>
      </c>
      <c r="DZ109" s="49" t="s">
        <v>58</v>
      </c>
      <c r="EA109" s="118"/>
      <c r="EB109" s="49"/>
      <c r="EC109" s="49"/>
      <c r="ED109" s="49" t="s">
        <v>62</v>
      </c>
      <c r="EE109" s="49" t="s">
        <v>62</v>
      </c>
      <c r="EF109" s="49" t="s">
        <v>62</v>
      </c>
      <c r="EG109" s="120" t="s">
        <v>62</v>
      </c>
      <c r="EH109" s="117">
        <v>0</v>
      </c>
      <c r="EI109" s="117">
        <v>0</v>
      </c>
      <c r="EJ109" s="49"/>
      <c r="EK109" s="49"/>
      <c r="EL109" s="55" t="s">
        <v>328</v>
      </c>
      <c r="EM109" s="55">
        <v>0</v>
      </c>
      <c r="EN109" s="55">
        <v>0</v>
      </c>
      <c r="EO109" s="122">
        <v>0.02</v>
      </c>
      <c r="EP109" s="117">
        <v>2.66</v>
      </c>
      <c r="EQ109" s="117">
        <v>132.9</v>
      </c>
      <c r="ER109" s="49"/>
      <c r="ES109" s="49"/>
      <c r="ET109" s="49"/>
      <c r="EU109" s="49"/>
    </row>
    <row r="110" customFormat="1" ht="22.5" customHeight="1" spans="1:151">
      <c r="A110" s="108">
        <v>12742</v>
      </c>
      <c r="B110" s="109" t="s">
        <v>426</v>
      </c>
      <c r="C110" s="110">
        <v>46151</v>
      </c>
      <c r="D110" s="111" t="str">
        <f>IF(_xlfn.XLOOKUP(A110,[1]分配表!J:J,[1]分配表!M:M)=0,"未出单",_xlfn.XLOOKUP(A110,[1]分配表!J:J,[1]分配表!M:M))</f>
        <v>未出单</v>
      </c>
      <c r="E110" s="112" t="str">
        <f>_xlfn.XLOOKUP(A110,[1]分配表!A:A,[1]分配表!C:C)</f>
        <v>张潇</v>
      </c>
      <c r="F110" s="112" t="str">
        <f>IF(_xlfn.XLOOKUP($A110,[1]分配表!$A:$A,[1]分配表!D:D)=0,"未分类",_xlfn.XLOOKUP($A110,[1]分配表!$A:$A,[1]分配表!D:D))</f>
        <v>其他</v>
      </c>
      <c r="G110" s="112" t="str">
        <f>_xlfn.XLOOKUP(A110,[1]分配表!J:J,[1]分配表!I:I)</f>
        <v>原开品</v>
      </c>
      <c r="H110" s="49"/>
      <c r="I110" s="49"/>
      <c r="J110" s="49"/>
      <c r="K110" s="49"/>
      <c r="L110" s="49"/>
      <c r="M110" s="49"/>
      <c r="N110" s="49"/>
      <c r="O110" s="49"/>
      <c r="P110" s="49" t="s">
        <v>328</v>
      </c>
      <c r="Q110" s="49">
        <v>0</v>
      </c>
      <c r="R110" s="49">
        <v>0</v>
      </c>
      <c r="S110" s="49">
        <v>0</v>
      </c>
      <c r="T110" s="113">
        <f t="shared" si="2"/>
        <v>0</v>
      </c>
      <c r="U110" s="118"/>
      <c r="V110" s="49"/>
      <c r="W110" s="49"/>
      <c r="X110" s="49"/>
      <c r="Y110" s="49"/>
      <c r="Z110" s="49"/>
      <c r="AA110" s="49"/>
      <c r="AB110" s="116"/>
      <c r="AC110" s="117" t="s">
        <v>328</v>
      </c>
      <c r="AD110" s="117">
        <v>0</v>
      </c>
      <c r="AE110" s="117">
        <v>0</v>
      </c>
      <c r="AF110" s="117">
        <v>0</v>
      </c>
      <c r="AG110" s="115">
        <f t="shared" si="3"/>
        <v>0</v>
      </c>
      <c r="AH110" s="118"/>
      <c r="AI110" s="49"/>
      <c r="AJ110" s="49"/>
      <c r="AK110" s="49"/>
      <c r="AL110" s="49"/>
      <c r="AM110" s="49"/>
      <c r="AN110" s="49"/>
      <c r="AO110" s="49" t="s">
        <v>328</v>
      </c>
      <c r="AP110" s="49" t="s">
        <v>328</v>
      </c>
      <c r="AQ110" s="49">
        <v>0</v>
      </c>
      <c r="AR110" s="49">
        <v>0</v>
      </c>
      <c r="AS110" s="49">
        <v>0</v>
      </c>
      <c r="AT110" s="118"/>
      <c r="AU110" s="49"/>
      <c r="AV110" s="49"/>
      <c r="AW110" s="49"/>
      <c r="AX110" s="49"/>
      <c r="AY110" s="49"/>
      <c r="AZ110" s="49"/>
      <c r="BA110" s="55"/>
      <c r="BB110" s="55" t="s">
        <v>328</v>
      </c>
      <c r="BC110" s="55" t="s">
        <v>306</v>
      </c>
      <c r="BD110" s="55" t="s">
        <v>306</v>
      </c>
      <c r="BE110" s="55" t="s">
        <v>306</v>
      </c>
      <c r="BF110" s="118"/>
      <c r="BG110" s="49"/>
      <c r="BH110" s="49"/>
      <c r="BI110" s="49"/>
      <c r="BJ110" s="49"/>
      <c r="BK110" s="49"/>
      <c r="BL110" s="49"/>
      <c r="BM110" s="49"/>
      <c r="BN110" s="49" t="s">
        <v>328</v>
      </c>
      <c r="BO110" s="49">
        <v>4</v>
      </c>
      <c r="BP110" s="49">
        <v>2</v>
      </c>
      <c r="BQ110" s="120">
        <v>2</v>
      </c>
      <c r="BR110" s="49"/>
      <c r="BS110" s="49"/>
      <c r="BT110" s="49"/>
      <c r="BU110" s="49"/>
      <c r="BV110" s="49"/>
      <c r="BW110" s="49"/>
      <c r="BX110" s="49"/>
      <c r="BY110" s="49"/>
      <c r="BZ110" s="115" t="s">
        <v>328</v>
      </c>
      <c r="CA110" s="115" t="s">
        <v>149</v>
      </c>
      <c r="CB110" s="115" t="s">
        <v>149</v>
      </c>
      <c r="CC110" s="115" t="s">
        <v>149</v>
      </c>
      <c r="CD110" s="118"/>
      <c r="CE110" s="49"/>
      <c r="CF110" s="49"/>
      <c r="CG110" s="49"/>
      <c r="CH110" s="49"/>
      <c r="CI110" s="49"/>
      <c r="CJ110" s="49"/>
      <c r="CK110" s="49"/>
      <c r="CL110" s="115" t="s">
        <v>328</v>
      </c>
      <c r="CM110" s="115" t="s">
        <v>53</v>
      </c>
      <c r="CN110" s="115" t="s">
        <v>53</v>
      </c>
      <c r="CO110" s="121" t="s">
        <v>53</v>
      </c>
      <c r="CP110" s="49"/>
      <c r="CQ110" s="49"/>
      <c r="CR110" s="49"/>
      <c r="CS110" s="49"/>
      <c r="CT110" s="49"/>
      <c r="CU110" s="49"/>
      <c r="CV110" s="49"/>
      <c r="CW110" s="49"/>
      <c r="CX110" s="115" t="s">
        <v>328</v>
      </c>
      <c r="CY110" s="115" t="s">
        <v>152</v>
      </c>
      <c r="CZ110" s="115" t="s">
        <v>53</v>
      </c>
      <c r="DA110" s="115" t="s">
        <v>53</v>
      </c>
      <c r="DB110" s="118"/>
      <c r="DC110" s="49"/>
      <c r="DD110" s="49"/>
      <c r="DE110" s="49"/>
      <c r="DF110" s="49"/>
      <c r="DG110" s="49"/>
      <c r="DH110" s="49"/>
      <c r="DI110" s="49"/>
      <c r="DJ110" s="49"/>
      <c r="DK110" s="49" t="s">
        <v>328</v>
      </c>
      <c r="DL110" s="49" t="s">
        <v>307</v>
      </c>
      <c r="DM110" s="49" t="s">
        <v>307</v>
      </c>
      <c r="DN110" s="49" t="s">
        <v>307</v>
      </c>
      <c r="DO110" s="118"/>
      <c r="DP110" s="49"/>
      <c r="DQ110" s="49"/>
      <c r="DR110" s="49"/>
      <c r="DS110" s="49"/>
      <c r="DT110" s="49"/>
      <c r="DU110" s="49"/>
      <c r="DV110" s="49"/>
      <c r="DW110" s="49" t="s">
        <v>328</v>
      </c>
      <c r="DX110" s="49" t="s">
        <v>328</v>
      </c>
      <c r="DY110" s="49" t="s">
        <v>315</v>
      </c>
      <c r="DZ110" s="49" t="s">
        <v>331</v>
      </c>
      <c r="EA110" s="118"/>
      <c r="EB110" s="49"/>
      <c r="EC110" s="49"/>
      <c r="ED110" s="49" t="s">
        <v>62</v>
      </c>
      <c r="EE110" s="49" t="s">
        <v>49</v>
      </c>
      <c r="EF110" s="49" t="s">
        <v>49</v>
      </c>
      <c r="EG110" s="120" t="s">
        <v>49</v>
      </c>
      <c r="EH110" s="117">
        <v>6.01</v>
      </c>
      <c r="EI110" s="117">
        <v>0</v>
      </c>
      <c r="EJ110" s="49"/>
      <c r="EK110" s="49"/>
      <c r="EL110" s="55" t="s">
        <v>328</v>
      </c>
      <c r="EM110" s="55">
        <v>0</v>
      </c>
      <c r="EN110" s="55">
        <v>0</v>
      </c>
      <c r="EO110" s="122">
        <v>0.02</v>
      </c>
      <c r="EP110" s="117">
        <v>0</v>
      </c>
      <c r="EQ110" s="117">
        <v>0</v>
      </c>
      <c r="ER110" s="49"/>
      <c r="ES110" s="49"/>
      <c r="ET110" s="49"/>
      <c r="EU110" s="49"/>
    </row>
    <row r="111" customFormat="1" ht="22.5" customHeight="1" spans="1:151">
      <c r="A111" s="108">
        <v>12595</v>
      </c>
      <c r="B111" s="109" t="s">
        <v>427</v>
      </c>
      <c r="C111" s="110">
        <v>46153</v>
      </c>
      <c r="D111" s="111">
        <f>IF(_xlfn.XLOOKUP(A111,[1]分配表!J:J,[1]分配表!M:M)=0,"未出单",_xlfn.XLOOKUP(A111,[1]分配表!J:J,[1]分配表!M:M))</f>
        <v>46156</v>
      </c>
      <c r="E111" s="112" t="str">
        <f>_xlfn.XLOOKUP(A111,[1]分配表!A:A,[1]分配表!C:C)</f>
        <v>王偲涵</v>
      </c>
      <c r="F111" s="112" t="str">
        <f>IF(_xlfn.XLOOKUP($A111,[1]分配表!$A:$A,[1]分配表!D:D)=0,"未分类",_xlfn.XLOOKUP($A111,[1]分配表!$A:$A,[1]分配表!D:D))</f>
        <v>车身外扩件</v>
      </c>
      <c r="G111" s="112" t="str">
        <f>_xlfn.XLOOKUP(A111,[1]分配表!J:J,[1]分配表!I:I)</f>
        <v>拓展品</v>
      </c>
      <c r="H111" s="49"/>
      <c r="I111" s="49"/>
      <c r="J111" s="49"/>
      <c r="K111" s="49"/>
      <c r="L111" s="49"/>
      <c r="M111" s="49"/>
      <c r="N111" s="49"/>
      <c r="O111" s="49"/>
      <c r="P111" s="49" t="s">
        <v>328</v>
      </c>
      <c r="Q111" s="49">
        <v>0</v>
      </c>
      <c r="R111" s="49">
        <v>2</v>
      </c>
      <c r="S111" s="49">
        <v>2</v>
      </c>
      <c r="T111" s="113">
        <f t="shared" si="2"/>
        <v>0</v>
      </c>
      <c r="U111" s="118"/>
      <c r="V111" s="49"/>
      <c r="W111" s="49"/>
      <c r="X111" s="49"/>
      <c r="Y111" s="49"/>
      <c r="Z111" s="49"/>
      <c r="AA111" s="49"/>
      <c r="AB111" s="116"/>
      <c r="AC111" s="49" t="s">
        <v>328</v>
      </c>
      <c r="AD111" s="117">
        <v>0</v>
      </c>
      <c r="AE111" s="117">
        <v>190</v>
      </c>
      <c r="AF111" s="117">
        <v>190</v>
      </c>
      <c r="AG111" s="115">
        <f t="shared" si="3"/>
        <v>0</v>
      </c>
      <c r="AH111" s="118"/>
      <c r="AI111" s="49"/>
      <c r="AJ111" s="49"/>
      <c r="AK111" s="49"/>
      <c r="AL111" s="49"/>
      <c r="AM111" s="49"/>
      <c r="AN111" s="49"/>
      <c r="AO111" s="49" t="s">
        <v>328</v>
      </c>
      <c r="AP111" s="49" t="s">
        <v>328</v>
      </c>
      <c r="AQ111" s="49">
        <v>0</v>
      </c>
      <c r="AR111" s="49">
        <v>1</v>
      </c>
      <c r="AS111" s="49">
        <v>1</v>
      </c>
      <c r="AT111" s="118"/>
      <c r="AU111" s="49"/>
      <c r="AV111" s="49"/>
      <c r="AW111" s="49"/>
      <c r="AX111" s="49"/>
      <c r="AY111" s="49"/>
      <c r="AZ111" s="49"/>
      <c r="BA111" s="55"/>
      <c r="BB111" s="55" t="s">
        <v>328</v>
      </c>
      <c r="BC111" s="55" t="s">
        <v>306</v>
      </c>
      <c r="BD111" s="55">
        <v>0.6667</v>
      </c>
      <c r="BE111" s="55">
        <v>0.5</v>
      </c>
      <c r="BF111" s="118"/>
      <c r="BG111" s="49"/>
      <c r="BH111" s="49"/>
      <c r="BI111" s="49"/>
      <c r="BJ111" s="49"/>
      <c r="BK111" s="49"/>
      <c r="BL111" s="49"/>
      <c r="BM111" s="49"/>
      <c r="BN111" s="55" t="s">
        <v>328</v>
      </c>
      <c r="BO111" s="49">
        <v>1</v>
      </c>
      <c r="BP111" s="49">
        <v>8</v>
      </c>
      <c r="BQ111" s="120">
        <v>1</v>
      </c>
      <c r="BR111" s="49"/>
      <c r="BS111" s="49"/>
      <c r="BT111" s="49"/>
      <c r="BU111" s="49"/>
      <c r="BV111" s="49"/>
      <c r="BW111" s="49"/>
      <c r="BX111" s="49"/>
      <c r="BY111" s="49"/>
      <c r="BZ111" s="55" t="s">
        <v>328</v>
      </c>
      <c r="CA111" s="115" t="s">
        <v>149</v>
      </c>
      <c r="CB111" s="115" t="s">
        <v>49</v>
      </c>
      <c r="CC111" s="115" t="s">
        <v>49</v>
      </c>
      <c r="CD111" s="118"/>
      <c r="CE111" s="49"/>
      <c r="CF111" s="49"/>
      <c r="CG111" s="49"/>
      <c r="CH111" s="49"/>
      <c r="CI111" s="49"/>
      <c r="CJ111" s="49"/>
      <c r="CK111" s="49"/>
      <c r="CL111" s="55" t="s">
        <v>328</v>
      </c>
      <c r="CM111" s="115" t="s">
        <v>53</v>
      </c>
      <c r="CN111" s="115" t="s">
        <v>152</v>
      </c>
      <c r="CO111" s="121" t="s">
        <v>53</v>
      </c>
      <c r="CP111" s="49"/>
      <c r="CQ111" s="49"/>
      <c r="CR111" s="49"/>
      <c r="CS111" s="49"/>
      <c r="CT111" s="49"/>
      <c r="CU111" s="49"/>
      <c r="CV111" s="49"/>
      <c r="CW111" s="49"/>
      <c r="CX111" s="55" t="s">
        <v>328</v>
      </c>
      <c r="CY111" s="115" t="s">
        <v>53</v>
      </c>
      <c r="CZ111" s="115" t="s">
        <v>53</v>
      </c>
      <c r="DA111" s="115" t="s">
        <v>53</v>
      </c>
      <c r="DB111" s="118"/>
      <c r="DC111" s="49"/>
      <c r="DD111" s="49"/>
      <c r="DE111" s="49"/>
      <c r="DF111" s="49"/>
      <c r="DG111" s="49"/>
      <c r="DH111" s="49"/>
      <c r="DI111" s="49"/>
      <c r="DJ111" s="49"/>
      <c r="DK111" s="55" t="s">
        <v>328</v>
      </c>
      <c r="DL111" s="49" t="s">
        <v>307</v>
      </c>
      <c r="DM111" s="49" t="s">
        <v>313</v>
      </c>
      <c r="DN111" s="49" t="s">
        <v>313</v>
      </c>
      <c r="DO111" s="118"/>
      <c r="DP111" s="49"/>
      <c r="DQ111" s="49"/>
      <c r="DR111" s="49"/>
      <c r="DS111" s="49"/>
      <c r="DT111" s="49"/>
      <c r="DU111" s="49"/>
      <c r="DV111" s="49"/>
      <c r="DW111" s="55" t="s">
        <v>328</v>
      </c>
      <c r="DX111" s="49" t="s">
        <v>328</v>
      </c>
      <c r="DY111" s="49" t="s">
        <v>58</v>
      </c>
      <c r="DZ111" s="49" t="s">
        <v>159</v>
      </c>
      <c r="EA111" s="118"/>
      <c r="EB111" s="49"/>
      <c r="EC111" s="49"/>
      <c r="ED111" s="55" t="s">
        <v>328</v>
      </c>
      <c r="EE111" s="49" t="s">
        <v>49</v>
      </c>
      <c r="EF111" s="49" t="s">
        <v>49</v>
      </c>
      <c r="EG111" s="120" t="s">
        <v>49</v>
      </c>
      <c r="EH111" s="117">
        <v>26.48</v>
      </c>
      <c r="EI111" s="117">
        <v>102.79</v>
      </c>
      <c r="EJ111" s="49"/>
      <c r="EK111" s="49"/>
      <c r="EL111" s="55" t="s">
        <v>328</v>
      </c>
      <c r="EM111" s="55">
        <v>0</v>
      </c>
      <c r="EN111" s="55">
        <v>0</v>
      </c>
      <c r="EO111" s="122">
        <v>0.02</v>
      </c>
      <c r="EP111" s="117">
        <v>0</v>
      </c>
      <c r="EQ111" s="117">
        <v>0</v>
      </c>
      <c r="ER111" s="49"/>
      <c r="ES111" s="49"/>
      <c r="ET111" s="49"/>
      <c r="EU111" s="49"/>
    </row>
    <row r="112" customFormat="1" ht="22.5" customHeight="1" spans="1:151">
      <c r="A112" s="108">
        <v>12588</v>
      </c>
      <c r="B112" s="109" t="s">
        <v>428</v>
      </c>
      <c r="C112" s="110">
        <v>46153</v>
      </c>
      <c r="D112" s="111">
        <f>IF(_xlfn.XLOOKUP(A112,[1]分配表!J:J,[1]分配表!M:M)=0,"未出单",_xlfn.XLOOKUP(A112,[1]分配表!J:J,[1]分配表!M:M))</f>
        <v>46168</v>
      </c>
      <c r="E112" s="112" t="str">
        <f>_xlfn.XLOOKUP(A112,[1]分配表!A:A,[1]分配表!C:C)</f>
        <v>王偲涵</v>
      </c>
      <c r="F112" s="112" t="str">
        <f>IF(_xlfn.XLOOKUP($A112,[1]分配表!$A:$A,[1]分配表!D:D)=0,"未分类",_xlfn.XLOOKUP($A112,[1]分配表!$A:$A,[1]分配表!D:D))</f>
        <v>车身外扩件</v>
      </c>
      <c r="G112" s="112" t="str">
        <f>_xlfn.XLOOKUP(A112,[1]分配表!J:J,[1]分配表!I:I)</f>
        <v>原开品</v>
      </c>
      <c r="H112" s="49"/>
      <c r="I112" s="49"/>
      <c r="J112" s="49"/>
      <c r="K112" s="49"/>
      <c r="L112" s="49"/>
      <c r="M112" s="49"/>
      <c r="N112" s="49"/>
      <c r="O112" s="49"/>
      <c r="P112" s="49" t="s">
        <v>328</v>
      </c>
      <c r="Q112" s="49">
        <v>0</v>
      </c>
      <c r="R112" s="49">
        <v>0</v>
      </c>
      <c r="S112" s="49">
        <v>1</v>
      </c>
      <c r="T112" s="113">
        <f t="shared" si="2"/>
        <v>1</v>
      </c>
      <c r="U112" s="118"/>
      <c r="V112" s="49"/>
      <c r="W112" s="49"/>
      <c r="X112" s="49"/>
      <c r="Y112" s="49"/>
      <c r="Z112" s="49"/>
      <c r="AA112" s="49"/>
      <c r="AB112" s="116"/>
      <c r="AC112" s="49" t="s">
        <v>328</v>
      </c>
      <c r="AD112" s="117">
        <v>0</v>
      </c>
      <c r="AE112" s="117">
        <v>0</v>
      </c>
      <c r="AF112" s="117">
        <v>105</v>
      </c>
      <c r="AG112" s="115">
        <f t="shared" si="3"/>
        <v>105</v>
      </c>
      <c r="AH112" s="118"/>
      <c r="AI112" s="49"/>
      <c r="AJ112" s="49"/>
      <c r="AK112" s="49"/>
      <c r="AL112" s="49"/>
      <c r="AM112" s="49"/>
      <c r="AN112" s="49"/>
      <c r="AO112" s="49" t="s">
        <v>328</v>
      </c>
      <c r="AP112" s="49" t="s">
        <v>328</v>
      </c>
      <c r="AQ112" s="49">
        <v>7</v>
      </c>
      <c r="AR112" s="49">
        <v>11</v>
      </c>
      <c r="AS112" s="49">
        <v>10</v>
      </c>
      <c r="AT112" s="118"/>
      <c r="AU112" s="49"/>
      <c r="AV112" s="49"/>
      <c r="AW112" s="49"/>
      <c r="AX112" s="49"/>
      <c r="AY112" s="49"/>
      <c r="AZ112" s="49"/>
      <c r="BA112" s="55"/>
      <c r="BB112" s="55" t="s">
        <v>328</v>
      </c>
      <c r="BC112" s="55">
        <v>0</v>
      </c>
      <c r="BD112" s="55">
        <v>0</v>
      </c>
      <c r="BE112" s="55">
        <v>0</v>
      </c>
      <c r="BF112" s="118"/>
      <c r="BG112" s="49"/>
      <c r="BH112" s="49"/>
      <c r="BI112" s="49"/>
      <c r="BJ112" s="49"/>
      <c r="BK112" s="49"/>
      <c r="BL112" s="49"/>
      <c r="BM112" s="49"/>
      <c r="BN112" s="55" t="s">
        <v>328</v>
      </c>
      <c r="BO112" s="49">
        <v>1</v>
      </c>
      <c r="BP112" s="49">
        <v>8</v>
      </c>
      <c r="BQ112" s="120">
        <v>1</v>
      </c>
      <c r="BR112" s="49"/>
      <c r="BS112" s="49"/>
      <c r="BT112" s="49"/>
      <c r="BU112" s="49"/>
      <c r="BV112" s="49"/>
      <c r="BW112" s="49"/>
      <c r="BX112" s="49"/>
      <c r="BY112" s="49"/>
      <c r="BZ112" s="55" t="s">
        <v>328</v>
      </c>
      <c r="CA112" s="115" t="s">
        <v>149</v>
      </c>
      <c r="CB112" s="115" t="s">
        <v>149</v>
      </c>
      <c r="CC112" s="115" t="s">
        <v>62</v>
      </c>
      <c r="CD112" s="118"/>
      <c r="CE112" s="49"/>
      <c r="CF112" s="49"/>
      <c r="CG112" s="49"/>
      <c r="CH112" s="49"/>
      <c r="CI112" s="49"/>
      <c r="CJ112" s="49"/>
      <c r="CK112" s="49"/>
      <c r="CL112" s="55" t="s">
        <v>328</v>
      </c>
      <c r="CM112" s="115" t="s">
        <v>53</v>
      </c>
      <c r="CN112" s="115" t="s">
        <v>152</v>
      </c>
      <c r="CO112" s="121" t="s">
        <v>53</v>
      </c>
      <c r="CP112" s="49"/>
      <c r="CQ112" s="49"/>
      <c r="CR112" s="49"/>
      <c r="CS112" s="49"/>
      <c r="CT112" s="49"/>
      <c r="CU112" s="49"/>
      <c r="CV112" s="49"/>
      <c r="CW112" s="49"/>
      <c r="CX112" s="55" t="s">
        <v>328</v>
      </c>
      <c r="CY112" s="115" t="s">
        <v>53</v>
      </c>
      <c r="CZ112" s="115" t="s">
        <v>53</v>
      </c>
      <c r="DA112" s="115" t="s">
        <v>53</v>
      </c>
      <c r="DB112" s="118"/>
      <c r="DC112" s="49"/>
      <c r="DD112" s="49"/>
      <c r="DE112" s="49"/>
      <c r="DF112" s="49"/>
      <c r="DG112" s="49"/>
      <c r="DH112" s="49"/>
      <c r="DI112" s="49"/>
      <c r="DJ112" s="49"/>
      <c r="DK112" s="55" t="s">
        <v>328</v>
      </c>
      <c r="DL112" s="49" t="s">
        <v>313</v>
      </c>
      <c r="DM112" s="49" t="s">
        <v>313</v>
      </c>
      <c r="DN112" s="49" t="s">
        <v>313</v>
      </c>
      <c r="DO112" s="118"/>
      <c r="DP112" s="49"/>
      <c r="DQ112" s="49"/>
      <c r="DR112" s="49"/>
      <c r="DS112" s="49"/>
      <c r="DT112" s="49"/>
      <c r="DU112" s="49"/>
      <c r="DV112" s="49"/>
      <c r="DW112" s="55" t="s">
        <v>328</v>
      </c>
      <c r="DX112" s="49" t="s">
        <v>328</v>
      </c>
      <c r="DY112" s="49" t="s">
        <v>58</v>
      </c>
      <c r="DZ112" s="49" t="s">
        <v>314</v>
      </c>
      <c r="EA112" s="118"/>
      <c r="EB112" s="49"/>
      <c r="EC112" s="49"/>
      <c r="ED112" s="55" t="s">
        <v>328</v>
      </c>
      <c r="EE112" s="49" t="s">
        <v>49</v>
      </c>
      <c r="EF112" s="49" t="s">
        <v>49</v>
      </c>
      <c r="EG112" s="120" t="s">
        <v>49</v>
      </c>
      <c r="EH112" s="117">
        <v>14.85</v>
      </c>
      <c r="EI112" s="117">
        <v>0</v>
      </c>
      <c r="EJ112" s="49"/>
      <c r="EK112" s="49"/>
      <c r="EL112" s="55" t="s">
        <v>328</v>
      </c>
      <c r="EM112" s="55">
        <v>0</v>
      </c>
      <c r="EN112" s="55">
        <v>0</v>
      </c>
      <c r="EO112" s="122">
        <v>0.03</v>
      </c>
      <c r="EP112" s="117">
        <v>0</v>
      </c>
      <c r="EQ112" s="117">
        <v>0</v>
      </c>
      <c r="ER112" s="49"/>
      <c r="ES112" s="49"/>
      <c r="ET112" s="49"/>
      <c r="EU112" s="49"/>
    </row>
    <row r="113" customFormat="1" ht="22.5" customHeight="1" spans="1:151">
      <c r="A113" s="108">
        <v>12596</v>
      </c>
      <c r="B113" s="109" t="s">
        <v>429</v>
      </c>
      <c r="C113" s="110">
        <v>46153</v>
      </c>
      <c r="D113" s="111">
        <f>IF(_xlfn.XLOOKUP(A113,[1]分配表!J:J,[1]分配表!M:M)=0,"未出单",_xlfn.XLOOKUP(A113,[1]分配表!J:J,[1]分配表!M:M))</f>
        <v>46157</v>
      </c>
      <c r="E113" s="112" t="str">
        <f>_xlfn.XLOOKUP(A113,[1]分配表!A:A,[1]分配表!C:C)</f>
        <v>俞东旭</v>
      </c>
      <c r="F113" s="112" t="str">
        <f>IF(_xlfn.XLOOKUP($A113,[1]分配表!$A:$A,[1]分配表!D:D)=0,"未分类",_xlfn.XLOOKUP($A113,[1]分配表!$A:$A,[1]分配表!D:D))</f>
        <v>车身外扩件</v>
      </c>
      <c r="G113" s="112" t="str">
        <f>_xlfn.XLOOKUP(A113,[1]分配表!J:J,[1]分配表!I:I)</f>
        <v>拓展品</v>
      </c>
      <c r="H113" s="49"/>
      <c r="I113" s="49"/>
      <c r="J113" s="49"/>
      <c r="K113" s="49"/>
      <c r="L113" s="49"/>
      <c r="M113" s="49"/>
      <c r="N113" s="49"/>
      <c r="O113" s="49"/>
      <c r="P113" s="49" t="s">
        <v>328</v>
      </c>
      <c r="Q113" s="49">
        <v>0</v>
      </c>
      <c r="R113" s="49">
        <v>2</v>
      </c>
      <c r="S113" s="49">
        <v>5</v>
      </c>
      <c r="T113" s="113">
        <f t="shared" si="2"/>
        <v>3</v>
      </c>
      <c r="U113" s="118"/>
      <c r="V113" s="49"/>
      <c r="W113" s="49"/>
      <c r="X113" s="49"/>
      <c r="Y113" s="49"/>
      <c r="Z113" s="49"/>
      <c r="AA113" s="49"/>
      <c r="AB113" s="116"/>
      <c r="AC113" s="49" t="s">
        <v>328</v>
      </c>
      <c r="AD113" s="117">
        <v>0</v>
      </c>
      <c r="AE113" s="117">
        <v>230</v>
      </c>
      <c r="AF113" s="117">
        <v>575</v>
      </c>
      <c r="AG113" s="115">
        <f t="shared" si="3"/>
        <v>345</v>
      </c>
      <c r="AH113" s="118"/>
      <c r="AI113" s="49"/>
      <c r="AJ113" s="49"/>
      <c r="AK113" s="49"/>
      <c r="AL113" s="49"/>
      <c r="AM113" s="49"/>
      <c r="AN113" s="49"/>
      <c r="AO113" s="49" t="s">
        <v>328</v>
      </c>
      <c r="AP113" s="49" t="s">
        <v>328</v>
      </c>
      <c r="AQ113" s="49">
        <v>0</v>
      </c>
      <c r="AR113" s="49">
        <v>1</v>
      </c>
      <c r="AS113" s="49">
        <v>2</v>
      </c>
      <c r="AT113" s="118"/>
      <c r="AU113" s="49"/>
      <c r="AV113" s="49"/>
      <c r="AW113" s="49"/>
      <c r="AX113" s="49"/>
      <c r="AY113" s="49"/>
      <c r="AZ113" s="49"/>
      <c r="BA113" s="55"/>
      <c r="BB113" s="55" t="s">
        <v>328</v>
      </c>
      <c r="BC113" s="55" t="s">
        <v>306</v>
      </c>
      <c r="BD113" s="55">
        <v>0.5</v>
      </c>
      <c r="BE113" s="55">
        <v>0.75</v>
      </c>
      <c r="BF113" s="118"/>
      <c r="BG113" s="49"/>
      <c r="BH113" s="49"/>
      <c r="BI113" s="49"/>
      <c r="BJ113" s="49"/>
      <c r="BK113" s="49"/>
      <c r="BL113" s="49"/>
      <c r="BM113" s="49"/>
      <c r="BN113" s="55" t="s">
        <v>328</v>
      </c>
      <c r="BO113" s="49">
        <v>1</v>
      </c>
      <c r="BP113" s="49">
        <v>8</v>
      </c>
      <c r="BQ113" s="120">
        <v>15</v>
      </c>
      <c r="BR113" s="49"/>
      <c r="BS113" s="49"/>
      <c r="BT113" s="49"/>
      <c r="BU113" s="49"/>
      <c r="BV113" s="49"/>
      <c r="BW113" s="49"/>
      <c r="BX113" s="49"/>
      <c r="BY113" s="49"/>
      <c r="BZ113" s="55" t="s">
        <v>328</v>
      </c>
      <c r="CA113" s="115" t="s">
        <v>149</v>
      </c>
      <c r="CB113" s="115" t="s">
        <v>49</v>
      </c>
      <c r="CC113" s="115" t="s">
        <v>49</v>
      </c>
      <c r="CD113" s="118"/>
      <c r="CE113" s="49"/>
      <c r="CF113" s="49"/>
      <c r="CG113" s="49"/>
      <c r="CH113" s="49"/>
      <c r="CI113" s="49"/>
      <c r="CJ113" s="49"/>
      <c r="CK113" s="49"/>
      <c r="CL113" s="55" t="s">
        <v>328</v>
      </c>
      <c r="CM113" s="115" t="s">
        <v>53</v>
      </c>
      <c r="CN113" s="115" t="s">
        <v>152</v>
      </c>
      <c r="CO113" s="121" t="s">
        <v>152</v>
      </c>
      <c r="CP113" s="49"/>
      <c r="CQ113" s="49"/>
      <c r="CR113" s="49"/>
      <c r="CS113" s="49"/>
      <c r="CT113" s="49"/>
      <c r="CU113" s="49"/>
      <c r="CV113" s="49"/>
      <c r="CW113" s="49"/>
      <c r="CX113" s="55" t="s">
        <v>328</v>
      </c>
      <c r="CY113" s="115" t="s">
        <v>53</v>
      </c>
      <c r="CZ113" s="115" t="s">
        <v>53</v>
      </c>
      <c r="DA113" s="115" t="s">
        <v>53</v>
      </c>
      <c r="DB113" s="118"/>
      <c r="DC113" s="49"/>
      <c r="DD113" s="49"/>
      <c r="DE113" s="49"/>
      <c r="DF113" s="49"/>
      <c r="DG113" s="49"/>
      <c r="DH113" s="49"/>
      <c r="DI113" s="49"/>
      <c r="DJ113" s="49"/>
      <c r="DK113" s="55" t="s">
        <v>328</v>
      </c>
      <c r="DL113" s="49" t="s">
        <v>307</v>
      </c>
      <c r="DM113" s="49" t="s">
        <v>313</v>
      </c>
      <c r="DN113" s="49" t="s">
        <v>53</v>
      </c>
      <c r="DO113" s="118"/>
      <c r="DP113" s="49"/>
      <c r="DQ113" s="49"/>
      <c r="DR113" s="49"/>
      <c r="DS113" s="49"/>
      <c r="DT113" s="49"/>
      <c r="DU113" s="49"/>
      <c r="DV113" s="49"/>
      <c r="DW113" s="55" t="s">
        <v>328</v>
      </c>
      <c r="DX113" s="49" t="s">
        <v>328</v>
      </c>
      <c r="DY113" s="49" t="s">
        <v>58</v>
      </c>
      <c r="DZ113" s="49" t="s">
        <v>159</v>
      </c>
      <c r="EA113" s="118"/>
      <c r="EB113" s="49"/>
      <c r="EC113" s="49"/>
      <c r="ED113" s="55" t="s">
        <v>328</v>
      </c>
      <c r="EE113" s="49" t="s">
        <v>49</v>
      </c>
      <c r="EF113" s="49" t="s">
        <v>49</v>
      </c>
      <c r="EG113" s="120" t="s">
        <v>49</v>
      </c>
      <c r="EH113" s="117">
        <v>31.53</v>
      </c>
      <c r="EI113" s="117">
        <v>370.5</v>
      </c>
      <c r="EJ113" s="49"/>
      <c r="EK113" s="49"/>
      <c r="EL113" s="55" t="s">
        <v>328</v>
      </c>
      <c r="EM113" s="55">
        <v>0</v>
      </c>
      <c r="EN113" s="55">
        <v>0</v>
      </c>
      <c r="EO113" s="122">
        <v>0</v>
      </c>
      <c r="EP113" s="117">
        <v>0</v>
      </c>
      <c r="EQ113" s="117">
        <v>0</v>
      </c>
      <c r="ER113" s="49"/>
      <c r="ES113" s="49"/>
      <c r="ET113" s="49"/>
      <c r="EU113" s="49"/>
    </row>
    <row r="114" customFormat="1" ht="22.5" customHeight="1" spans="1:151">
      <c r="A114" s="108">
        <v>12589</v>
      </c>
      <c r="B114" s="109" t="s">
        <v>430</v>
      </c>
      <c r="C114" s="110">
        <v>46153</v>
      </c>
      <c r="D114" s="111">
        <f>IF(_xlfn.XLOOKUP(A114,[1]分配表!J:J,[1]分配表!M:M)=0,"未出单",_xlfn.XLOOKUP(A114,[1]分配表!J:J,[1]分配表!M:M))</f>
        <v>46167</v>
      </c>
      <c r="E114" s="112" t="str">
        <f>_xlfn.XLOOKUP(A114,[1]分配表!A:A,[1]分配表!C:C)</f>
        <v>俞东旭</v>
      </c>
      <c r="F114" s="112" t="str">
        <f>IF(_xlfn.XLOOKUP($A114,[1]分配表!$A:$A,[1]分配表!D:D)=0,"未分类",_xlfn.XLOOKUP($A114,[1]分配表!$A:$A,[1]分配表!D:D))</f>
        <v>车身外扩件</v>
      </c>
      <c r="G114" s="112" t="str">
        <f>_xlfn.XLOOKUP(A114,[1]分配表!J:J,[1]分配表!I:I)</f>
        <v>原开品</v>
      </c>
      <c r="H114" s="49"/>
      <c r="I114" s="49"/>
      <c r="J114" s="49"/>
      <c r="K114" s="49"/>
      <c r="L114" s="49"/>
      <c r="M114" s="49"/>
      <c r="N114" s="49"/>
      <c r="O114" s="49"/>
      <c r="P114" s="49" t="s">
        <v>328</v>
      </c>
      <c r="Q114" s="49">
        <v>0</v>
      </c>
      <c r="R114" s="49">
        <v>0</v>
      </c>
      <c r="S114" s="49">
        <v>2</v>
      </c>
      <c r="T114" s="113">
        <f t="shared" si="2"/>
        <v>2</v>
      </c>
      <c r="U114" s="118"/>
      <c r="V114" s="49"/>
      <c r="W114" s="49"/>
      <c r="X114" s="49"/>
      <c r="Y114" s="49"/>
      <c r="Z114" s="49"/>
      <c r="AA114" s="49"/>
      <c r="AB114" s="116"/>
      <c r="AC114" s="49" t="s">
        <v>328</v>
      </c>
      <c r="AD114" s="117">
        <v>0</v>
      </c>
      <c r="AE114" s="117">
        <v>0</v>
      </c>
      <c r="AF114" s="117">
        <v>250</v>
      </c>
      <c r="AG114" s="115">
        <f t="shared" si="3"/>
        <v>250</v>
      </c>
      <c r="AH114" s="118"/>
      <c r="AI114" s="49"/>
      <c r="AJ114" s="49"/>
      <c r="AK114" s="49"/>
      <c r="AL114" s="49"/>
      <c r="AM114" s="49"/>
      <c r="AN114" s="49"/>
      <c r="AO114" s="49" t="s">
        <v>328</v>
      </c>
      <c r="AP114" s="49" t="s">
        <v>328</v>
      </c>
      <c r="AQ114" s="49">
        <v>1</v>
      </c>
      <c r="AR114" s="49">
        <v>3</v>
      </c>
      <c r="AS114" s="49">
        <v>0</v>
      </c>
      <c r="AT114" s="118"/>
      <c r="AU114" s="49"/>
      <c r="AV114" s="49"/>
      <c r="AW114" s="49"/>
      <c r="AX114" s="49"/>
      <c r="AY114" s="49"/>
      <c r="AZ114" s="49"/>
      <c r="BA114" s="55"/>
      <c r="BB114" s="55" t="s">
        <v>328</v>
      </c>
      <c r="BC114" s="55">
        <v>0</v>
      </c>
      <c r="BD114" s="55">
        <v>0</v>
      </c>
      <c r="BE114" s="55">
        <v>1</v>
      </c>
      <c r="BF114" s="118"/>
      <c r="BG114" s="49"/>
      <c r="BH114" s="49"/>
      <c r="BI114" s="49"/>
      <c r="BJ114" s="49"/>
      <c r="BK114" s="49"/>
      <c r="BL114" s="49"/>
      <c r="BM114" s="49"/>
      <c r="BN114" s="55" t="s">
        <v>328</v>
      </c>
      <c r="BO114" s="49">
        <v>1</v>
      </c>
      <c r="BP114" s="49">
        <v>8</v>
      </c>
      <c r="BQ114" s="120">
        <v>15</v>
      </c>
      <c r="BR114" s="49"/>
      <c r="BS114" s="49"/>
      <c r="BT114" s="49"/>
      <c r="BU114" s="49"/>
      <c r="BV114" s="49"/>
      <c r="BW114" s="49"/>
      <c r="BX114" s="49"/>
      <c r="BY114" s="49"/>
      <c r="BZ114" s="55" t="s">
        <v>328</v>
      </c>
      <c r="CA114" s="115" t="s">
        <v>149</v>
      </c>
      <c r="CB114" s="115" t="s">
        <v>149</v>
      </c>
      <c r="CC114" s="115" t="s">
        <v>62</v>
      </c>
      <c r="CD114" s="118"/>
      <c r="CE114" s="49"/>
      <c r="CF114" s="49"/>
      <c r="CG114" s="49"/>
      <c r="CH114" s="49"/>
      <c r="CI114" s="49"/>
      <c r="CJ114" s="49"/>
      <c r="CK114" s="49"/>
      <c r="CL114" s="55" t="s">
        <v>328</v>
      </c>
      <c r="CM114" s="115" t="s">
        <v>53</v>
      </c>
      <c r="CN114" s="115" t="s">
        <v>152</v>
      </c>
      <c r="CO114" s="121" t="s">
        <v>152</v>
      </c>
      <c r="CP114" s="49"/>
      <c r="CQ114" s="49"/>
      <c r="CR114" s="49"/>
      <c r="CS114" s="49"/>
      <c r="CT114" s="49"/>
      <c r="CU114" s="49"/>
      <c r="CV114" s="49"/>
      <c r="CW114" s="49"/>
      <c r="CX114" s="55" t="s">
        <v>328</v>
      </c>
      <c r="CY114" s="115" t="s">
        <v>53</v>
      </c>
      <c r="CZ114" s="115" t="s">
        <v>53</v>
      </c>
      <c r="DA114" s="115" t="s">
        <v>53</v>
      </c>
      <c r="DB114" s="118"/>
      <c r="DC114" s="49"/>
      <c r="DD114" s="49"/>
      <c r="DE114" s="49"/>
      <c r="DF114" s="49"/>
      <c r="DG114" s="49"/>
      <c r="DH114" s="49"/>
      <c r="DI114" s="49"/>
      <c r="DJ114" s="49"/>
      <c r="DK114" s="55" t="s">
        <v>328</v>
      </c>
      <c r="DL114" s="49" t="s">
        <v>313</v>
      </c>
      <c r="DM114" s="49" t="s">
        <v>313</v>
      </c>
      <c r="DN114" s="49" t="s">
        <v>53</v>
      </c>
      <c r="DO114" s="118"/>
      <c r="DP114" s="49"/>
      <c r="DQ114" s="49"/>
      <c r="DR114" s="49"/>
      <c r="DS114" s="49"/>
      <c r="DT114" s="49"/>
      <c r="DU114" s="49"/>
      <c r="DV114" s="49"/>
      <c r="DW114" s="55" t="s">
        <v>328</v>
      </c>
      <c r="DX114" s="49" t="s">
        <v>328</v>
      </c>
      <c r="DY114" s="49" t="s">
        <v>58</v>
      </c>
      <c r="DZ114" s="49" t="s">
        <v>159</v>
      </c>
      <c r="EA114" s="118"/>
      <c r="EB114" s="49"/>
      <c r="EC114" s="49"/>
      <c r="ED114" s="55" t="s">
        <v>328</v>
      </c>
      <c r="EE114" s="49" t="s">
        <v>49</v>
      </c>
      <c r="EF114" s="49" t="s">
        <v>49</v>
      </c>
      <c r="EG114" s="120" t="s">
        <v>49</v>
      </c>
      <c r="EH114" s="117">
        <v>17.18</v>
      </c>
      <c r="EI114" s="117">
        <v>0</v>
      </c>
      <c r="EJ114" s="49"/>
      <c r="EK114" s="49"/>
      <c r="EL114" s="55" t="s">
        <v>328</v>
      </c>
      <c r="EM114" s="55">
        <v>0</v>
      </c>
      <c r="EN114" s="55">
        <v>0</v>
      </c>
      <c r="EO114" s="122">
        <v>0</v>
      </c>
      <c r="EP114" s="117">
        <v>0</v>
      </c>
      <c r="EQ114" s="117">
        <v>0</v>
      </c>
      <c r="ER114" s="49"/>
      <c r="ES114" s="49"/>
      <c r="ET114" s="49"/>
      <c r="EU114" s="49"/>
    </row>
    <row r="115" customFormat="1" ht="22.5" customHeight="1" spans="1:151">
      <c r="A115" s="108">
        <v>12597</v>
      </c>
      <c r="B115" s="109" t="s">
        <v>431</v>
      </c>
      <c r="C115" s="110">
        <v>46153</v>
      </c>
      <c r="D115" s="111">
        <f>IF(_xlfn.XLOOKUP(A115,[1]分配表!J:J,[1]分配表!M:M)=0,"未出单",_xlfn.XLOOKUP(A115,[1]分配表!J:J,[1]分配表!M:M))</f>
        <v>46164</v>
      </c>
      <c r="E115" s="112" t="str">
        <f>_xlfn.XLOOKUP(A115,[1]分配表!A:A,[1]分配表!C:C)</f>
        <v>王偲涵</v>
      </c>
      <c r="F115" s="112" t="str">
        <f>IF(_xlfn.XLOOKUP($A115,[1]分配表!$A:$A,[1]分配表!D:D)=0,"未分类",_xlfn.XLOOKUP($A115,[1]分配表!$A:$A,[1]分配表!D:D))</f>
        <v>车身外扩件</v>
      </c>
      <c r="G115" s="112" t="str">
        <f>_xlfn.XLOOKUP(A115,[1]分配表!J:J,[1]分配表!I:I)</f>
        <v>拓展品</v>
      </c>
      <c r="H115" s="49"/>
      <c r="I115" s="49"/>
      <c r="J115" s="49"/>
      <c r="K115" s="49"/>
      <c r="L115" s="49"/>
      <c r="M115" s="49"/>
      <c r="N115" s="49"/>
      <c r="O115" s="49"/>
      <c r="P115" s="49" t="s">
        <v>328</v>
      </c>
      <c r="Q115" s="49">
        <v>0</v>
      </c>
      <c r="R115" s="49">
        <v>0</v>
      </c>
      <c r="S115" s="49">
        <v>2</v>
      </c>
      <c r="T115" s="113">
        <f t="shared" si="2"/>
        <v>2</v>
      </c>
      <c r="U115" s="118"/>
      <c r="V115" s="49"/>
      <c r="W115" s="49"/>
      <c r="X115" s="49"/>
      <c r="Y115" s="49"/>
      <c r="Z115" s="49"/>
      <c r="AA115" s="49"/>
      <c r="AB115" s="116"/>
      <c r="AC115" s="49" t="s">
        <v>328</v>
      </c>
      <c r="AD115" s="117">
        <v>0</v>
      </c>
      <c r="AE115" s="117">
        <v>0</v>
      </c>
      <c r="AF115" s="117">
        <v>230</v>
      </c>
      <c r="AG115" s="115">
        <f t="shared" si="3"/>
        <v>230</v>
      </c>
      <c r="AH115" s="118"/>
      <c r="AI115" s="49"/>
      <c r="AJ115" s="49"/>
      <c r="AK115" s="49"/>
      <c r="AL115" s="49"/>
      <c r="AM115" s="49"/>
      <c r="AN115" s="49"/>
      <c r="AO115" s="49" t="s">
        <v>328</v>
      </c>
      <c r="AP115" s="49" t="s">
        <v>328</v>
      </c>
      <c r="AQ115" s="49">
        <v>0</v>
      </c>
      <c r="AR115" s="49">
        <v>1</v>
      </c>
      <c r="AS115" s="49">
        <v>0</v>
      </c>
      <c r="AT115" s="118"/>
      <c r="AU115" s="49"/>
      <c r="AV115" s="49"/>
      <c r="AW115" s="49"/>
      <c r="AX115" s="49"/>
      <c r="AY115" s="49"/>
      <c r="AZ115" s="49"/>
      <c r="BA115" s="55"/>
      <c r="BB115" s="55" t="s">
        <v>328</v>
      </c>
      <c r="BC115" s="55" t="s">
        <v>306</v>
      </c>
      <c r="BD115" s="55">
        <v>0</v>
      </c>
      <c r="BE115" s="55">
        <v>1</v>
      </c>
      <c r="BF115" s="118"/>
      <c r="BG115" s="49"/>
      <c r="BH115" s="49"/>
      <c r="BI115" s="49"/>
      <c r="BJ115" s="49"/>
      <c r="BK115" s="49"/>
      <c r="BL115" s="49"/>
      <c r="BM115" s="49"/>
      <c r="BN115" s="55" t="s">
        <v>328</v>
      </c>
      <c r="BO115" s="49">
        <v>1</v>
      </c>
      <c r="BP115" s="49">
        <v>8</v>
      </c>
      <c r="BQ115" s="120">
        <v>1</v>
      </c>
      <c r="BR115" s="49"/>
      <c r="BS115" s="49"/>
      <c r="BT115" s="49"/>
      <c r="BU115" s="49"/>
      <c r="BV115" s="49"/>
      <c r="BW115" s="49"/>
      <c r="BX115" s="49"/>
      <c r="BY115" s="49"/>
      <c r="BZ115" s="55" t="s">
        <v>328</v>
      </c>
      <c r="CA115" s="115" t="s">
        <v>149</v>
      </c>
      <c r="CB115" s="115" t="s">
        <v>149</v>
      </c>
      <c r="CC115" s="115" t="s">
        <v>62</v>
      </c>
      <c r="CD115" s="118"/>
      <c r="CE115" s="49"/>
      <c r="CF115" s="49"/>
      <c r="CG115" s="49"/>
      <c r="CH115" s="49"/>
      <c r="CI115" s="49"/>
      <c r="CJ115" s="49"/>
      <c r="CK115" s="49"/>
      <c r="CL115" s="55" t="s">
        <v>328</v>
      </c>
      <c r="CM115" s="115" t="s">
        <v>53</v>
      </c>
      <c r="CN115" s="115" t="s">
        <v>152</v>
      </c>
      <c r="CO115" s="121" t="s">
        <v>53</v>
      </c>
      <c r="CP115" s="49"/>
      <c r="CQ115" s="49"/>
      <c r="CR115" s="49"/>
      <c r="CS115" s="49"/>
      <c r="CT115" s="49"/>
      <c r="CU115" s="49"/>
      <c r="CV115" s="49"/>
      <c r="CW115" s="49"/>
      <c r="CX115" s="55" t="s">
        <v>328</v>
      </c>
      <c r="CY115" s="115" t="s">
        <v>53</v>
      </c>
      <c r="CZ115" s="115" t="s">
        <v>53</v>
      </c>
      <c r="DA115" s="115" t="s">
        <v>53</v>
      </c>
      <c r="DB115" s="118"/>
      <c r="DC115" s="49"/>
      <c r="DD115" s="49"/>
      <c r="DE115" s="49"/>
      <c r="DF115" s="49"/>
      <c r="DG115" s="49"/>
      <c r="DH115" s="49"/>
      <c r="DI115" s="49"/>
      <c r="DJ115" s="49"/>
      <c r="DK115" s="55" t="s">
        <v>328</v>
      </c>
      <c r="DL115" s="49" t="s">
        <v>307</v>
      </c>
      <c r="DM115" s="49" t="s">
        <v>313</v>
      </c>
      <c r="DN115" s="49" t="s">
        <v>53</v>
      </c>
      <c r="DO115" s="118"/>
      <c r="DP115" s="49"/>
      <c r="DQ115" s="49"/>
      <c r="DR115" s="49"/>
      <c r="DS115" s="49"/>
      <c r="DT115" s="49"/>
      <c r="DU115" s="49"/>
      <c r="DV115" s="49"/>
      <c r="DW115" s="55" t="s">
        <v>328</v>
      </c>
      <c r="DX115" s="49" t="s">
        <v>328</v>
      </c>
      <c r="DY115" s="49" t="s">
        <v>58</v>
      </c>
      <c r="DZ115" s="49" t="s">
        <v>310</v>
      </c>
      <c r="EA115" s="118"/>
      <c r="EB115" s="49"/>
      <c r="EC115" s="49"/>
      <c r="ED115" s="55" t="s">
        <v>328</v>
      </c>
      <c r="EE115" s="49" t="s">
        <v>49</v>
      </c>
      <c r="EF115" s="49" t="s">
        <v>49</v>
      </c>
      <c r="EG115" s="120" t="s">
        <v>49</v>
      </c>
      <c r="EH115" s="117">
        <v>7.83</v>
      </c>
      <c r="EI115" s="117">
        <v>0</v>
      </c>
      <c r="EJ115" s="49"/>
      <c r="EK115" s="49"/>
      <c r="EL115" s="55" t="s">
        <v>328</v>
      </c>
      <c r="EM115" s="55">
        <v>0</v>
      </c>
      <c r="EN115" s="55">
        <v>0</v>
      </c>
      <c r="EO115" s="122">
        <v>0</v>
      </c>
      <c r="EP115" s="117">
        <v>0</v>
      </c>
      <c r="EQ115" s="117">
        <v>0</v>
      </c>
      <c r="ER115" s="49"/>
      <c r="ES115" s="49"/>
      <c r="ET115" s="49"/>
      <c r="EU115" s="49"/>
    </row>
    <row r="116" customFormat="1" ht="22.5" customHeight="1" spans="1:151">
      <c r="A116" s="108">
        <v>12598</v>
      </c>
      <c r="B116" s="109" t="s">
        <v>432</v>
      </c>
      <c r="C116" s="110">
        <v>46153</v>
      </c>
      <c r="D116" s="111">
        <f>IF(_xlfn.XLOOKUP(A116,[1]分配表!J:J,[1]分配表!M:M)=0,"未出单",_xlfn.XLOOKUP(A116,[1]分配表!J:J,[1]分配表!M:M))</f>
        <v>46168</v>
      </c>
      <c r="E116" s="112" t="str">
        <f>_xlfn.XLOOKUP(A116,[1]分配表!A:A,[1]分配表!C:C)</f>
        <v>王偲涵</v>
      </c>
      <c r="F116" s="112" t="str">
        <f>IF(_xlfn.XLOOKUP($A116,[1]分配表!$A:$A,[1]分配表!D:D)=0,"未分类",_xlfn.XLOOKUP($A116,[1]分配表!$A:$A,[1]分配表!D:D))</f>
        <v>车身外扩件</v>
      </c>
      <c r="G116" s="112" t="str">
        <f>_xlfn.XLOOKUP(A116,[1]分配表!J:J,[1]分配表!I:I)</f>
        <v>拓展品</v>
      </c>
      <c r="H116" s="49"/>
      <c r="I116" s="49"/>
      <c r="J116" s="49"/>
      <c r="K116" s="49"/>
      <c r="L116" s="49"/>
      <c r="M116" s="49"/>
      <c r="N116" s="49"/>
      <c r="O116" s="49"/>
      <c r="P116" s="49" t="s">
        <v>328</v>
      </c>
      <c r="Q116" s="49">
        <v>0</v>
      </c>
      <c r="R116" s="49">
        <v>0</v>
      </c>
      <c r="S116" s="49">
        <v>1</v>
      </c>
      <c r="T116" s="113">
        <f t="shared" si="2"/>
        <v>1</v>
      </c>
      <c r="U116" s="118"/>
      <c r="V116" s="49"/>
      <c r="W116" s="49"/>
      <c r="X116" s="49"/>
      <c r="Y116" s="49"/>
      <c r="Z116" s="49"/>
      <c r="AA116" s="49"/>
      <c r="AB116" s="116"/>
      <c r="AC116" s="49" t="s">
        <v>328</v>
      </c>
      <c r="AD116" s="117">
        <v>0</v>
      </c>
      <c r="AE116" s="117">
        <v>0</v>
      </c>
      <c r="AF116" s="117">
        <v>100</v>
      </c>
      <c r="AG116" s="115">
        <f t="shared" si="3"/>
        <v>100</v>
      </c>
      <c r="AH116" s="118"/>
      <c r="AI116" s="49"/>
      <c r="AJ116" s="49"/>
      <c r="AK116" s="49"/>
      <c r="AL116" s="49"/>
      <c r="AM116" s="49"/>
      <c r="AN116" s="49"/>
      <c r="AO116" s="49" t="s">
        <v>328</v>
      </c>
      <c r="AP116" s="49" t="s">
        <v>328</v>
      </c>
      <c r="AQ116" s="49">
        <v>0</v>
      </c>
      <c r="AR116" s="49">
        <v>4</v>
      </c>
      <c r="AS116" s="49">
        <v>4</v>
      </c>
      <c r="AT116" s="118"/>
      <c r="AU116" s="49"/>
      <c r="AV116" s="49"/>
      <c r="AW116" s="49"/>
      <c r="AX116" s="49"/>
      <c r="AY116" s="49"/>
      <c r="AZ116" s="49"/>
      <c r="BA116" s="55"/>
      <c r="BB116" s="55" t="s">
        <v>328</v>
      </c>
      <c r="BC116" s="55" t="s">
        <v>306</v>
      </c>
      <c r="BD116" s="55">
        <v>0</v>
      </c>
      <c r="BE116" s="55">
        <v>0</v>
      </c>
      <c r="BF116" s="118"/>
      <c r="BG116" s="49"/>
      <c r="BH116" s="49"/>
      <c r="BI116" s="49"/>
      <c r="BJ116" s="49"/>
      <c r="BK116" s="49"/>
      <c r="BL116" s="49"/>
      <c r="BM116" s="49"/>
      <c r="BN116" s="55" t="s">
        <v>328</v>
      </c>
      <c r="BO116" s="49">
        <v>1</v>
      </c>
      <c r="BP116" s="49">
        <v>8</v>
      </c>
      <c r="BQ116" s="120">
        <v>1</v>
      </c>
      <c r="BR116" s="49"/>
      <c r="BS116" s="49"/>
      <c r="BT116" s="49"/>
      <c r="BU116" s="49"/>
      <c r="BV116" s="49"/>
      <c r="BW116" s="49"/>
      <c r="BX116" s="49"/>
      <c r="BY116" s="49"/>
      <c r="BZ116" s="55" t="s">
        <v>328</v>
      </c>
      <c r="CA116" s="115" t="s">
        <v>149</v>
      </c>
      <c r="CB116" s="115" t="s">
        <v>149</v>
      </c>
      <c r="CC116" s="115" t="s">
        <v>62</v>
      </c>
      <c r="CD116" s="118"/>
      <c r="CE116" s="49"/>
      <c r="CF116" s="49"/>
      <c r="CG116" s="49"/>
      <c r="CH116" s="49"/>
      <c r="CI116" s="49"/>
      <c r="CJ116" s="49"/>
      <c r="CK116" s="49"/>
      <c r="CL116" s="55" t="s">
        <v>328</v>
      </c>
      <c r="CM116" s="115" t="s">
        <v>53</v>
      </c>
      <c r="CN116" s="115" t="s">
        <v>152</v>
      </c>
      <c r="CO116" s="121" t="s">
        <v>53</v>
      </c>
      <c r="CP116" s="49"/>
      <c r="CQ116" s="49"/>
      <c r="CR116" s="49"/>
      <c r="CS116" s="49"/>
      <c r="CT116" s="49"/>
      <c r="CU116" s="49"/>
      <c r="CV116" s="49"/>
      <c r="CW116" s="49"/>
      <c r="CX116" s="55" t="s">
        <v>328</v>
      </c>
      <c r="CY116" s="115" t="s">
        <v>53</v>
      </c>
      <c r="CZ116" s="115" t="s">
        <v>53</v>
      </c>
      <c r="DA116" s="115" t="s">
        <v>53</v>
      </c>
      <c r="DB116" s="118"/>
      <c r="DC116" s="49"/>
      <c r="DD116" s="49"/>
      <c r="DE116" s="49"/>
      <c r="DF116" s="49"/>
      <c r="DG116" s="49"/>
      <c r="DH116" s="49"/>
      <c r="DI116" s="49"/>
      <c r="DJ116" s="49"/>
      <c r="DK116" s="55" t="s">
        <v>328</v>
      </c>
      <c r="DL116" s="49" t="s">
        <v>307</v>
      </c>
      <c r="DM116" s="49" t="s">
        <v>313</v>
      </c>
      <c r="DN116" s="49" t="s">
        <v>313</v>
      </c>
      <c r="DO116" s="118"/>
      <c r="DP116" s="49"/>
      <c r="DQ116" s="49"/>
      <c r="DR116" s="49"/>
      <c r="DS116" s="49"/>
      <c r="DT116" s="49"/>
      <c r="DU116" s="49"/>
      <c r="DV116" s="49"/>
      <c r="DW116" s="55" t="s">
        <v>328</v>
      </c>
      <c r="DX116" s="49" t="s">
        <v>328</v>
      </c>
      <c r="DY116" s="49" t="s">
        <v>58</v>
      </c>
      <c r="DZ116" s="49" t="s">
        <v>314</v>
      </c>
      <c r="EA116" s="118"/>
      <c r="EB116" s="49"/>
      <c r="EC116" s="49"/>
      <c r="ED116" s="55" t="s">
        <v>328</v>
      </c>
      <c r="EE116" s="49" t="s">
        <v>49</v>
      </c>
      <c r="EF116" s="49" t="s">
        <v>49</v>
      </c>
      <c r="EG116" s="120" t="s">
        <v>49</v>
      </c>
      <c r="EH116" s="117">
        <v>0.82</v>
      </c>
      <c r="EI116" s="117">
        <v>0</v>
      </c>
      <c r="EJ116" s="49"/>
      <c r="EK116" s="49"/>
      <c r="EL116" s="55" t="s">
        <v>328</v>
      </c>
      <c r="EM116" s="55">
        <v>0</v>
      </c>
      <c r="EN116" s="55">
        <v>0</v>
      </c>
      <c r="EO116" s="122">
        <v>0.02</v>
      </c>
      <c r="EP116" s="117">
        <v>0</v>
      </c>
      <c r="EQ116" s="117">
        <v>0</v>
      </c>
      <c r="ER116" s="49"/>
      <c r="ES116" s="49"/>
      <c r="ET116" s="49"/>
      <c r="EU116" s="49"/>
    </row>
    <row r="117" customFormat="1" ht="22.5" customHeight="1" spans="1:151">
      <c r="A117" s="108">
        <v>12069</v>
      </c>
      <c r="B117" s="109" t="s">
        <v>433</v>
      </c>
      <c r="C117" s="110">
        <v>46155</v>
      </c>
      <c r="D117" s="111" t="str">
        <f>IF(_xlfn.XLOOKUP(A117,[1]分配表!J:J,[1]分配表!M:M)=0,"未出单",_xlfn.XLOOKUP(A117,[1]分配表!J:J,[1]分配表!M:M))</f>
        <v>未出单</v>
      </c>
      <c r="E117" s="112" t="str">
        <f>_xlfn.XLOOKUP(A117,[1]分配表!A:A,[1]分配表!C:C)</f>
        <v>朱培源</v>
      </c>
      <c r="F117" s="112" t="str">
        <f>IF(_xlfn.XLOOKUP($A117,[1]分配表!$A:$A,[1]分配表!D:D)=0,"未分类",_xlfn.XLOOKUP($A117,[1]分配表!$A:$A,[1]分配表!D:D))</f>
        <v>其他</v>
      </c>
      <c r="G117" s="112" t="str">
        <f>_xlfn.XLOOKUP(A117,[1]分配表!J:J,[1]分配表!I:I)</f>
        <v>原开品</v>
      </c>
      <c r="H117" s="49"/>
      <c r="I117" s="49"/>
      <c r="J117" s="49"/>
      <c r="K117" s="49"/>
      <c r="L117" s="49"/>
      <c r="M117" s="49"/>
      <c r="N117" s="49"/>
      <c r="O117" s="49"/>
      <c r="P117" s="49" t="s">
        <v>328</v>
      </c>
      <c r="Q117" s="49">
        <v>0</v>
      </c>
      <c r="R117" s="49">
        <v>0</v>
      </c>
      <c r="S117" s="49">
        <v>0</v>
      </c>
      <c r="T117" s="113">
        <f t="shared" si="2"/>
        <v>0</v>
      </c>
      <c r="U117" s="118"/>
      <c r="V117" s="49"/>
      <c r="W117" s="49"/>
      <c r="X117" s="49"/>
      <c r="Y117" s="49"/>
      <c r="Z117" s="49"/>
      <c r="AA117" s="49"/>
      <c r="AB117" s="116"/>
      <c r="AC117" s="49" t="s">
        <v>328</v>
      </c>
      <c r="AD117" s="117">
        <v>0</v>
      </c>
      <c r="AE117" s="117">
        <v>0</v>
      </c>
      <c r="AF117" s="117">
        <v>0</v>
      </c>
      <c r="AG117" s="115">
        <f t="shared" si="3"/>
        <v>0</v>
      </c>
      <c r="AH117" s="118"/>
      <c r="AI117" s="49"/>
      <c r="AJ117" s="49"/>
      <c r="AK117" s="49"/>
      <c r="AL117" s="49"/>
      <c r="AM117" s="49"/>
      <c r="AN117" s="49"/>
      <c r="AO117" s="49" t="s">
        <v>328</v>
      </c>
      <c r="AP117" s="49" t="s">
        <v>328</v>
      </c>
      <c r="AQ117" s="49">
        <v>0</v>
      </c>
      <c r="AR117" s="49">
        <v>0</v>
      </c>
      <c r="AS117" s="49">
        <v>0</v>
      </c>
      <c r="AT117" s="118"/>
      <c r="AU117" s="49"/>
      <c r="AV117" s="49"/>
      <c r="AW117" s="49"/>
      <c r="AX117" s="49"/>
      <c r="AY117" s="49"/>
      <c r="AZ117" s="49"/>
      <c r="BA117" s="55"/>
      <c r="BB117" s="55" t="s">
        <v>328</v>
      </c>
      <c r="BC117" s="55" t="s">
        <v>306</v>
      </c>
      <c r="BD117" s="55" t="s">
        <v>306</v>
      </c>
      <c r="BE117" s="55" t="s">
        <v>306</v>
      </c>
      <c r="BF117" s="118"/>
      <c r="BG117" s="49"/>
      <c r="BH117" s="49"/>
      <c r="BI117" s="49"/>
      <c r="BJ117" s="49"/>
      <c r="BK117" s="49"/>
      <c r="BL117" s="49"/>
      <c r="BM117" s="49"/>
      <c r="BN117" s="55" t="s">
        <v>328</v>
      </c>
      <c r="BO117" s="49">
        <v>0</v>
      </c>
      <c r="BP117" s="49">
        <v>7</v>
      </c>
      <c r="BQ117" s="120">
        <v>6</v>
      </c>
      <c r="BR117" s="49"/>
      <c r="BS117" s="49"/>
      <c r="BT117" s="49"/>
      <c r="BU117" s="49"/>
      <c r="BV117" s="49"/>
      <c r="BW117" s="49"/>
      <c r="BX117" s="49"/>
      <c r="BY117" s="49"/>
      <c r="BZ117" s="55" t="s">
        <v>328</v>
      </c>
      <c r="CA117" s="115" t="s">
        <v>149</v>
      </c>
      <c r="CB117" s="115" t="s">
        <v>149</v>
      </c>
      <c r="CC117" s="115" t="s">
        <v>149</v>
      </c>
      <c r="CD117" s="118"/>
      <c r="CE117" s="49"/>
      <c r="CF117" s="49"/>
      <c r="CG117" s="49"/>
      <c r="CH117" s="49"/>
      <c r="CI117" s="49"/>
      <c r="CJ117" s="49"/>
      <c r="CK117" s="49"/>
      <c r="CL117" s="55" t="s">
        <v>328</v>
      </c>
      <c r="CM117" s="115" t="s">
        <v>53</v>
      </c>
      <c r="CN117" s="115" t="s">
        <v>53</v>
      </c>
      <c r="CO117" s="121" t="s">
        <v>53</v>
      </c>
      <c r="CP117" s="49"/>
      <c r="CQ117" s="49"/>
      <c r="CR117" s="49"/>
      <c r="CS117" s="49"/>
      <c r="CT117" s="49"/>
      <c r="CU117" s="49"/>
      <c r="CV117" s="49"/>
      <c r="CW117" s="49"/>
      <c r="CX117" s="55" t="s">
        <v>328</v>
      </c>
      <c r="CY117" s="115" t="s">
        <v>53</v>
      </c>
      <c r="CZ117" s="115" t="s">
        <v>152</v>
      </c>
      <c r="DA117" s="115" t="s">
        <v>53</v>
      </c>
      <c r="DB117" s="118"/>
      <c r="DC117" s="49"/>
      <c r="DD117" s="49"/>
      <c r="DE117" s="49"/>
      <c r="DF117" s="49"/>
      <c r="DG117" s="49"/>
      <c r="DH117" s="49"/>
      <c r="DI117" s="49"/>
      <c r="DJ117" s="49"/>
      <c r="DK117" s="55" t="s">
        <v>328</v>
      </c>
      <c r="DL117" s="49" t="s">
        <v>307</v>
      </c>
      <c r="DM117" s="49" t="s">
        <v>307</v>
      </c>
      <c r="DN117" s="49" t="s">
        <v>307</v>
      </c>
      <c r="DO117" s="118"/>
      <c r="DP117" s="49"/>
      <c r="DQ117" s="49"/>
      <c r="DR117" s="49"/>
      <c r="DS117" s="49"/>
      <c r="DT117" s="49"/>
      <c r="DU117" s="49"/>
      <c r="DV117" s="49"/>
      <c r="DW117" s="55" t="s">
        <v>328</v>
      </c>
      <c r="DX117" s="49" t="s">
        <v>328</v>
      </c>
      <c r="DY117" s="49" t="s">
        <v>58</v>
      </c>
      <c r="DZ117" s="49" t="s">
        <v>331</v>
      </c>
      <c r="EA117" s="118"/>
      <c r="EB117" s="49"/>
      <c r="EC117" s="49"/>
      <c r="ED117" s="55" t="s">
        <v>328</v>
      </c>
      <c r="EE117" s="49" t="s">
        <v>62</v>
      </c>
      <c r="EF117" s="49" t="s">
        <v>62</v>
      </c>
      <c r="EG117" s="120" t="s">
        <v>62</v>
      </c>
      <c r="EH117" s="117">
        <v>0</v>
      </c>
      <c r="EI117" s="117">
        <v>0</v>
      </c>
      <c r="EJ117" s="49"/>
      <c r="EK117" s="49"/>
      <c r="EL117" s="55" t="s">
        <v>328</v>
      </c>
      <c r="EM117" s="55" t="e">
        <v>#N/A</v>
      </c>
      <c r="EN117" s="55">
        <v>0</v>
      </c>
      <c r="EO117" s="122">
        <v>0</v>
      </c>
      <c r="EP117" s="117">
        <v>0</v>
      </c>
      <c r="EQ117" s="117">
        <v>0</v>
      </c>
      <c r="ER117" s="49"/>
      <c r="ES117" s="49"/>
      <c r="ET117" s="49"/>
      <c r="EU117" s="49"/>
    </row>
    <row r="118" customFormat="1" ht="22.5" customHeight="1" spans="1:151">
      <c r="A118" s="108">
        <v>12833</v>
      </c>
      <c r="B118" s="109" t="s">
        <v>434</v>
      </c>
      <c r="C118" s="110">
        <v>46157</v>
      </c>
      <c r="D118" s="111">
        <f>IF(_xlfn.XLOOKUP(A118,[1]分配表!J:J,[1]分配表!M:M)=0,"未出单",_xlfn.XLOOKUP(A118,[1]分配表!J:J,[1]分配表!M:M))</f>
        <v>46158</v>
      </c>
      <c r="E118" s="112" t="str">
        <f>_xlfn.XLOOKUP(A118,[1]分配表!A:A,[1]分配表!C:C)</f>
        <v>朱培源</v>
      </c>
      <c r="F118" s="112" t="str">
        <f>IF(_xlfn.XLOOKUP($A118,[1]分配表!$A:$A,[1]分配表!D:D)=0,"未分类",_xlfn.XLOOKUP($A118,[1]分配表!$A:$A,[1]分配表!D:D))</f>
        <v>挡泥板</v>
      </c>
      <c r="G118" s="112" t="str">
        <f>_xlfn.XLOOKUP(A118,[1]分配表!J:J,[1]分配表!I:I)</f>
        <v>原开品</v>
      </c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>
        <v>8</v>
      </c>
      <c r="S118" s="49">
        <v>14</v>
      </c>
      <c r="T118" s="113">
        <f t="shared" si="2"/>
        <v>6</v>
      </c>
      <c r="U118" s="118"/>
      <c r="V118" s="49"/>
      <c r="W118" s="49"/>
      <c r="X118" s="49"/>
      <c r="Y118" s="49"/>
      <c r="Z118" s="49"/>
      <c r="AA118" s="49"/>
      <c r="AB118" s="116"/>
      <c r="AC118" s="49"/>
      <c r="AD118" s="117"/>
      <c r="AE118" s="117">
        <v>704</v>
      </c>
      <c r="AF118" s="117">
        <v>1232</v>
      </c>
      <c r="AG118" s="115">
        <f t="shared" si="3"/>
        <v>528</v>
      </c>
      <c r="AH118" s="11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>
        <v>0</v>
      </c>
      <c r="AS118" s="49">
        <v>0</v>
      </c>
      <c r="AT118" s="118"/>
      <c r="AU118" s="49"/>
      <c r="AV118" s="49"/>
      <c r="AW118" s="49"/>
      <c r="AX118" s="49"/>
      <c r="AY118" s="49"/>
      <c r="AZ118" s="49"/>
      <c r="BA118" s="55"/>
      <c r="BB118" s="55"/>
      <c r="BC118" s="55"/>
      <c r="BD118" s="55">
        <v>1</v>
      </c>
      <c r="BE118" s="55">
        <v>1</v>
      </c>
      <c r="BF118" s="118"/>
      <c r="BG118" s="49"/>
      <c r="BH118" s="49"/>
      <c r="BI118" s="49"/>
      <c r="BJ118" s="49"/>
      <c r="BK118" s="49"/>
      <c r="BL118" s="49"/>
      <c r="BM118" s="49"/>
      <c r="BN118" s="55"/>
      <c r="BO118" s="49"/>
      <c r="BP118" s="49">
        <v>2</v>
      </c>
      <c r="BQ118" s="120">
        <v>9</v>
      </c>
      <c r="BR118" s="49"/>
      <c r="BS118" s="49"/>
      <c r="BT118" s="49"/>
      <c r="BU118" s="49"/>
      <c r="BV118" s="49"/>
      <c r="BW118" s="49"/>
      <c r="BX118" s="49"/>
      <c r="BY118" s="49"/>
      <c r="BZ118" s="55"/>
      <c r="CA118" s="115"/>
      <c r="CB118" s="115" t="s">
        <v>49</v>
      </c>
      <c r="CC118" s="115" t="s">
        <v>49</v>
      </c>
      <c r="CD118" s="118"/>
      <c r="CE118" s="49"/>
      <c r="CF118" s="49"/>
      <c r="CG118" s="49"/>
      <c r="CH118" s="49"/>
      <c r="CI118" s="49"/>
      <c r="CJ118" s="49"/>
      <c r="CK118" s="49"/>
      <c r="CL118" s="55"/>
      <c r="CM118" s="115"/>
      <c r="CN118" s="115" t="s">
        <v>53</v>
      </c>
      <c r="CO118" s="121" t="s">
        <v>152</v>
      </c>
      <c r="CP118" s="49"/>
      <c r="CQ118" s="49"/>
      <c r="CR118" s="49"/>
      <c r="CS118" s="49"/>
      <c r="CT118" s="49"/>
      <c r="CU118" s="49"/>
      <c r="CV118" s="49"/>
      <c r="CW118" s="49"/>
      <c r="CX118" s="55"/>
      <c r="CY118" s="115"/>
      <c r="CZ118" s="115" t="s">
        <v>53</v>
      </c>
      <c r="DA118" s="115" t="s">
        <v>53</v>
      </c>
      <c r="DB118" s="118"/>
      <c r="DC118" s="49"/>
      <c r="DD118" s="49"/>
      <c r="DE118" s="49"/>
      <c r="DF118" s="49"/>
      <c r="DG118" s="49"/>
      <c r="DH118" s="49"/>
      <c r="DI118" s="49"/>
      <c r="DJ118" s="49"/>
      <c r="DK118" s="55"/>
      <c r="DL118" s="49"/>
      <c r="DM118" s="49" t="s">
        <v>53</v>
      </c>
      <c r="DN118" s="49" t="s">
        <v>53</v>
      </c>
      <c r="DO118" s="118"/>
      <c r="DP118" s="49"/>
      <c r="DQ118" s="49"/>
      <c r="DR118" s="49"/>
      <c r="DS118" s="49"/>
      <c r="DT118" s="49"/>
      <c r="DU118" s="49"/>
      <c r="DV118" s="49"/>
      <c r="DW118" s="55"/>
      <c r="DX118" s="49"/>
      <c r="DY118" s="49" t="s">
        <v>328</v>
      </c>
      <c r="DZ118" s="49" t="s">
        <v>58</v>
      </c>
      <c r="EA118" s="118"/>
      <c r="EB118" s="49"/>
      <c r="EC118" s="49"/>
      <c r="ED118" s="55"/>
      <c r="EE118" s="49"/>
      <c r="EF118" s="49" t="s">
        <v>49</v>
      </c>
      <c r="EG118" s="120" t="s">
        <v>49</v>
      </c>
      <c r="EH118" s="117">
        <v>9.63</v>
      </c>
      <c r="EI118" s="117">
        <v>0</v>
      </c>
      <c r="EJ118" s="49"/>
      <c r="EK118" s="49"/>
      <c r="EL118" s="55"/>
      <c r="EM118" s="55"/>
      <c r="EN118" s="55">
        <v>0</v>
      </c>
      <c r="EO118" s="122">
        <v>0</v>
      </c>
      <c r="EP118" s="117">
        <v>11.34</v>
      </c>
      <c r="EQ118" s="117">
        <v>566.39</v>
      </c>
      <c r="ER118" s="49"/>
      <c r="ES118" s="49"/>
      <c r="ET118" s="49"/>
      <c r="EU118" s="49"/>
    </row>
    <row r="119" customFormat="1" ht="22.5" customHeight="1" spans="1:151">
      <c r="A119" s="108">
        <v>12519</v>
      </c>
      <c r="B119" s="109" t="s">
        <v>435</v>
      </c>
      <c r="C119" s="110">
        <v>46160</v>
      </c>
      <c r="D119" s="111">
        <f>IF(_xlfn.XLOOKUP(A119,[1]分配表!J:J,[1]分配表!M:M)=0,"未出单",_xlfn.XLOOKUP(A119,[1]分配表!J:J,[1]分配表!M:M))</f>
        <v>46162</v>
      </c>
      <c r="E119" s="112" t="str">
        <f>_xlfn.XLOOKUP(A119,[1]分配表!A:A,[1]分配表!C:C)</f>
        <v>王偲涵</v>
      </c>
      <c r="F119" s="112" t="str">
        <f>IF(_xlfn.XLOOKUP($A119,[1]分配表!$A:$A,[1]分配表!D:D)=0,"未分类",_xlfn.XLOOKUP($A119,[1]分配表!$A:$A,[1]分配表!D:D))</f>
        <v>机盖及附件</v>
      </c>
      <c r="G119" s="112" t="str">
        <f>_xlfn.XLOOKUP(A119,[1]分配表!J:J,[1]分配表!I:I)</f>
        <v>原开品</v>
      </c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>
        <v>1</v>
      </c>
      <c r="S119" s="49">
        <v>2</v>
      </c>
      <c r="T119" s="113">
        <f t="shared" si="2"/>
        <v>1</v>
      </c>
      <c r="U119" s="118"/>
      <c r="V119" s="49"/>
      <c r="W119" s="49"/>
      <c r="X119" s="49"/>
      <c r="Y119" s="49"/>
      <c r="Z119" s="49"/>
      <c r="AA119" s="49"/>
      <c r="AB119" s="116"/>
      <c r="AC119" s="49"/>
      <c r="AD119" s="117"/>
      <c r="AE119" s="117">
        <v>109</v>
      </c>
      <c r="AF119" s="117">
        <v>218</v>
      </c>
      <c r="AG119" s="115">
        <f t="shared" si="3"/>
        <v>109</v>
      </c>
      <c r="AH119" s="11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>
        <v>0</v>
      </c>
      <c r="AS119" s="49">
        <v>0</v>
      </c>
      <c r="AT119" s="118"/>
      <c r="AU119" s="49"/>
      <c r="AV119" s="49"/>
      <c r="AW119" s="49"/>
      <c r="AX119" s="49"/>
      <c r="AY119" s="49"/>
      <c r="AZ119" s="49"/>
      <c r="BA119" s="55"/>
      <c r="BB119" s="55"/>
      <c r="BC119" s="55"/>
      <c r="BD119" s="55" t="s">
        <v>306</v>
      </c>
      <c r="BE119" s="55">
        <v>1</v>
      </c>
      <c r="BF119" s="118"/>
      <c r="BG119" s="49"/>
      <c r="BH119" s="49"/>
      <c r="BI119" s="49"/>
      <c r="BJ119" s="49"/>
      <c r="BK119" s="49"/>
      <c r="BL119" s="49"/>
      <c r="BM119" s="49"/>
      <c r="BN119" s="55"/>
      <c r="BO119" s="49"/>
      <c r="BP119" s="49">
        <v>0</v>
      </c>
      <c r="BQ119" s="120">
        <v>1</v>
      </c>
      <c r="BR119" s="49"/>
      <c r="BS119" s="49"/>
      <c r="BT119" s="49"/>
      <c r="BU119" s="49"/>
      <c r="BV119" s="49"/>
      <c r="BW119" s="49"/>
      <c r="BX119" s="49"/>
      <c r="BY119" s="49"/>
      <c r="BZ119" s="55"/>
      <c r="CA119" s="115"/>
      <c r="CB119" s="115" t="s">
        <v>49</v>
      </c>
      <c r="CC119" s="115" t="s">
        <v>49</v>
      </c>
      <c r="CD119" s="118"/>
      <c r="CE119" s="49"/>
      <c r="CF119" s="49"/>
      <c r="CG119" s="49"/>
      <c r="CH119" s="49"/>
      <c r="CI119" s="49"/>
      <c r="CJ119" s="49"/>
      <c r="CK119" s="49"/>
      <c r="CL119" s="55"/>
      <c r="CM119" s="115"/>
      <c r="CN119" s="115" t="s">
        <v>53</v>
      </c>
      <c r="CO119" s="121" t="s">
        <v>53</v>
      </c>
      <c r="CP119" s="49"/>
      <c r="CQ119" s="49"/>
      <c r="CR119" s="49"/>
      <c r="CS119" s="49"/>
      <c r="CT119" s="49"/>
      <c r="CU119" s="49"/>
      <c r="CV119" s="49"/>
      <c r="CW119" s="49"/>
      <c r="CX119" s="55"/>
      <c r="CY119" s="115"/>
      <c r="CZ119" s="115" t="s">
        <v>53</v>
      </c>
      <c r="DA119" s="115" t="s">
        <v>53</v>
      </c>
      <c r="DB119" s="118"/>
      <c r="DC119" s="49"/>
      <c r="DD119" s="49"/>
      <c r="DE119" s="49"/>
      <c r="DF119" s="49"/>
      <c r="DG119" s="49"/>
      <c r="DH119" s="49"/>
      <c r="DI119" s="49"/>
      <c r="DJ119" s="49"/>
      <c r="DK119" s="55"/>
      <c r="DL119" s="49"/>
      <c r="DM119" s="49" t="s">
        <v>307</v>
      </c>
      <c r="DN119" s="49" t="s">
        <v>53</v>
      </c>
      <c r="DO119" s="118"/>
      <c r="DP119" s="49"/>
      <c r="DQ119" s="49"/>
      <c r="DR119" s="49"/>
      <c r="DS119" s="49"/>
      <c r="DT119" s="49"/>
      <c r="DU119" s="49"/>
      <c r="DV119" s="49"/>
      <c r="DW119" s="55"/>
      <c r="DX119" s="49"/>
      <c r="DY119" s="49" t="s">
        <v>328</v>
      </c>
      <c r="DZ119" s="49" t="s">
        <v>58</v>
      </c>
      <c r="EA119" s="118"/>
      <c r="EB119" s="49"/>
      <c r="EC119" s="49"/>
      <c r="ED119" s="55"/>
      <c r="EE119" s="49"/>
      <c r="EF119" s="49" t="s">
        <v>62</v>
      </c>
      <c r="EG119" s="120" t="s">
        <v>62</v>
      </c>
      <c r="EH119" s="117">
        <v>0</v>
      </c>
      <c r="EI119" s="117">
        <v>0</v>
      </c>
      <c r="EJ119" s="49"/>
      <c r="EK119" s="49"/>
      <c r="EL119" s="55"/>
      <c r="EM119" s="55"/>
      <c r="EN119" s="55">
        <v>0</v>
      </c>
      <c r="EO119" s="122">
        <v>0</v>
      </c>
      <c r="EP119" s="117">
        <v>0</v>
      </c>
      <c r="EQ119" s="117">
        <v>0</v>
      </c>
      <c r="ER119" s="49"/>
      <c r="ES119" s="49"/>
      <c r="ET119" s="49"/>
      <c r="EU119" s="49"/>
    </row>
    <row r="120" customFormat="1" ht="22.5" customHeight="1" spans="1:151">
      <c r="A120" s="108">
        <v>12686</v>
      </c>
      <c r="B120" s="109" t="s">
        <v>436</v>
      </c>
      <c r="C120" s="110">
        <v>46160</v>
      </c>
      <c r="D120" s="111">
        <f>IF(_xlfn.XLOOKUP(A120,[1]分配表!J:J,[1]分配表!M:M)=0,"未出单",_xlfn.XLOOKUP(A120,[1]分配表!J:J,[1]分配表!M:M))</f>
        <v>46161</v>
      </c>
      <c r="E120" s="112" t="str">
        <f>_xlfn.XLOOKUP(A120,[1]分配表!A:A,[1]分配表!C:C)</f>
        <v>王偲涵</v>
      </c>
      <c r="F120" s="112" t="str">
        <f>IF(_xlfn.XLOOKUP($A120,[1]分配表!$A:$A,[1]分配表!D:D)=0,"未分类",_xlfn.XLOOKUP($A120,[1]分配表!$A:$A,[1]分配表!D:D))</f>
        <v>车门系统</v>
      </c>
      <c r="G120" s="112" t="str">
        <f>_xlfn.XLOOKUP(A120,[1]分配表!J:J,[1]分配表!I:I)</f>
        <v>原开品</v>
      </c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>
        <v>2</v>
      </c>
      <c r="S120" s="49">
        <v>3</v>
      </c>
      <c r="T120" s="113">
        <f t="shared" si="2"/>
        <v>1</v>
      </c>
      <c r="U120" s="118"/>
      <c r="V120" s="49"/>
      <c r="W120" s="49"/>
      <c r="X120" s="49"/>
      <c r="Y120" s="49"/>
      <c r="Z120" s="49"/>
      <c r="AA120" s="49"/>
      <c r="AB120" s="116"/>
      <c r="AC120" s="49"/>
      <c r="AD120" s="117"/>
      <c r="AE120" s="117">
        <v>110</v>
      </c>
      <c r="AF120" s="117">
        <v>165</v>
      </c>
      <c r="AG120" s="115">
        <f t="shared" si="3"/>
        <v>55</v>
      </c>
      <c r="AH120" s="11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>
        <v>0</v>
      </c>
      <c r="AS120" s="49">
        <v>0</v>
      </c>
      <c r="AT120" s="118"/>
      <c r="AU120" s="49"/>
      <c r="AV120" s="49"/>
      <c r="AW120" s="49"/>
      <c r="AX120" s="49"/>
      <c r="AY120" s="49"/>
      <c r="AZ120" s="49"/>
      <c r="BA120" s="55"/>
      <c r="BB120" s="55"/>
      <c r="BC120" s="55"/>
      <c r="BD120" s="55" t="s">
        <v>306</v>
      </c>
      <c r="BE120" s="55">
        <v>1</v>
      </c>
      <c r="BF120" s="118"/>
      <c r="BG120" s="49"/>
      <c r="BH120" s="49"/>
      <c r="BI120" s="49"/>
      <c r="BJ120" s="49"/>
      <c r="BK120" s="49"/>
      <c r="BL120" s="49"/>
      <c r="BM120" s="49"/>
      <c r="BN120" s="55"/>
      <c r="BO120" s="49"/>
      <c r="BP120" s="49">
        <v>0</v>
      </c>
      <c r="BQ120" s="120">
        <v>1</v>
      </c>
      <c r="BR120" s="49"/>
      <c r="BS120" s="49"/>
      <c r="BT120" s="49"/>
      <c r="BU120" s="49"/>
      <c r="BV120" s="49"/>
      <c r="BW120" s="49"/>
      <c r="BX120" s="49"/>
      <c r="BY120" s="49"/>
      <c r="BZ120" s="55"/>
      <c r="CA120" s="115"/>
      <c r="CB120" s="115" t="s">
        <v>49</v>
      </c>
      <c r="CC120" s="115" t="s">
        <v>49</v>
      </c>
      <c r="CD120" s="118"/>
      <c r="CE120" s="49"/>
      <c r="CF120" s="49"/>
      <c r="CG120" s="49"/>
      <c r="CH120" s="49"/>
      <c r="CI120" s="49"/>
      <c r="CJ120" s="49"/>
      <c r="CK120" s="49"/>
      <c r="CL120" s="55"/>
      <c r="CM120" s="115"/>
      <c r="CN120" s="115" t="s">
        <v>53</v>
      </c>
      <c r="CO120" s="121" t="s">
        <v>53</v>
      </c>
      <c r="CP120" s="49"/>
      <c r="CQ120" s="49"/>
      <c r="CR120" s="49"/>
      <c r="CS120" s="49"/>
      <c r="CT120" s="49"/>
      <c r="CU120" s="49"/>
      <c r="CV120" s="49"/>
      <c r="CW120" s="49"/>
      <c r="CX120" s="55"/>
      <c r="CY120" s="115"/>
      <c r="CZ120" s="115" t="s">
        <v>53</v>
      </c>
      <c r="DA120" s="115" t="s">
        <v>53</v>
      </c>
      <c r="DB120" s="118"/>
      <c r="DC120" s="49"/>
      <c r="DD120" s="49"/>
      <c r="DE120" s="49"/>
      <c r="DF120" s="49"/>
      <c r="DG120" s="49"/>
      <c r="DH120" s="49"/>
      <c r="DI120" s="49"/>
      <c r="DJ120" s="49"/>
      <c r="DK120" s="55"/>
      <c r="DL120" s="49"/>
      <c r="DM120" s="49" t="s">
        <v>307</v>
      </c>
      <c r="DN120" s="49" t="s">
        <v>53</v>
      </c>
      <c r="DO120" s="118"/>
      <c r="DP120" s="49"/>
      <c r="DQ120" s="49"/>
      <c r="DR120" s="49"/>
      <c r="DS120" s="49"/>
      <c r="DT120" s="49"/>
      <c r="DU120" s="49"/>
      <c r="DV120" s="49"/>
      <c r="DW120" s="55"/>
      <c r="DX120" s="49"/>
      <c r="DY120" s="49" t="s">
        <v>328</v>
      </c>
      <c r="DZ120" s="49" t="s">
        <v>58</v>
      </c>
      <c r="EA120" s="118"/>
      <c r="EB120" s="49"/>
      <c r="EC120" s="49"/>
      <c r="ED120" s="55"/>
      <c r="EE120" s="49"/>
      <c r="EF120" s="49" t="s">
        <v>62</v>
      </c>
      <c r="EG120" s="120" t="s">
        <v>62</v>
      </c>
      <c r="EH120" s="117">
        <v>0</v>
      </c>
      <c r="EI120" s="117">
        <v>0</v>
      </c>
      <c r="EJ120" s="49"/>
      <c r="EK120" s="49"/>
      <c r="EL120" s="55"/>
      <c r="EM120" s="55"/>
      <c r="EN120" s="55">
        <v>0</v>
      </c>
      <c r="EO120" s="122">
        <v>0</v>
      </c>
      <c r="EP120" s="117">
        <v>0</v>
      </c>
      <c r="EQ120" s="117">
        <v>0</v>
      </c>
      <c r="ER120" s="49"/>
      <c r="ES120" s="49"/>
      <c r="ET120" s="49"/>
      <c r="EU120" s="49"/>
    </row>
    <row r="121" customFormat="1" ht="22.5" customHeight="1" spans="1:151">
      <c r="A121" s="108">
        <v>12687</v>
      </c>
      <c r="B121" s="109" t="s">
        <v>437</v>
      </c>
      <c r="C121" s="110">
        <v>46160</v>
      </c>
      <c r="D121" s="111">
        <f>IF(_xlfn.XLOOKUP(A121,[1]分配表!J:J,[1]分配表!M:M)=0,"未出单",_xlfn.XLOOKUP(A121,[1]分配表!J:J,[1]分配表!M:M))</f>
        <v>46161</v>
      </c>
      <c r="E121" s="112" t="str">
        <f>_xlfn.XLOOKUP(A121,[1]分配表!A:A,[1]分配表!C:C)</f>
        <v>王偲涵</v>
      </c>
      <c r="F121" s="112" t="str">
        <f>IF(_xlfn.XLOOKUP($A121,[1]分配表!$A:$A,[1]分配表!D:D)=0,"未分类",_xlfn.XLOOKUP($A121,[1]分配表!$A:$A,[1]分配表!D:D))</f>
        <v>车门系统</v>
      </c>
      <c r="G121" s="112" t="str">
        <f>_xlfn.XLOOKUP(A121,[1]分配表!J:J,[1]分配表!I:I)</f>
        <v>原开品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>
        <v>1</v>
      </c>
      <c r="S121" s="49">
        <v>3</v>
      </c>
      <c r="T121" s="113">
        <f t="shared" si="2"/>
        <v>2</v>
      </c>
      <c r="U121" s="118"/>
      <c r="V121" s="49"/>
      <c r="W121" s="49"/>
      <c r="X121" s="49"/>
      <c r="Y121" s="49"/>
      <c r="Z121" s="49"/>
      <c r="AA121" s="49"/>
      <c r="AB121" s="116"/>
      <c r="AC121" s="49"/>
      <c r="AD121" s="117"/>
      <c r="AE121" s="117">
        <v>55</v>
      </c>
      <c r="AF121" s="117">
        <v>165</v>
      </c>
      <c r="AG121" s="115">
        <f t="shared" si="3"/>
        <v>110</v>
      </c>
      <c r="AH121" s="11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>
        <v>0</v>
      </c>
      <c r="AS121" s="49">
        <v>0</v>
      </c>
      <c r="AT121" s="118"/>
      <c r="AU121" s="49"/>
      <c r="AV121" s="49"/>
      <c r="AW121" s="49"/>
      <c r="AX121" s="49"/>
      <c r="AY121" s="49"/>
      <c r="AZ121" s="49"/>
      <c r="BA121" s="55"/>
      <c r="BB121" s="55"/>
      <c r="BC121" s="55"/>
      <c r="BD121" s="55" t="s">
        <v>306</v>
      </c>
      <c r="BE121" s="55">
        <v>1</v>
      </c>
      <c r="BF121" s="118"/>
      <c r="BG121" s="49"/>
      <c r="BH121" s="49"/>
      <c r="BI121" s="49"/>
      <c r="BJ121" s="49"/>
      <c r="BK121" s="49"/>
      <c r="BL121" s="49"/>
      <c r="BM121" s="49"/>
      <c r="BN121" s="55"/>
      <c r="BO121" s="49"/>
      <c r="BP121" s="49">
        <v>0</v>
      </c>
      <c r="BQ121" s="120">
        <v>1</v>
      </c>
      <c r="BR121" s="49"/>
      <c r="BS121" s="49"/>
      <c r="BT121" s="49"/>
      <c r="BU121" s="49"/>
      <c r="BV121" s="49"/>
      <c r="BW121" s="49"/>
      <c r="BX121" s="49"/>
      <c r="BY121" s="49"/>
      <c r="BZ121" s="55"/>
      <c r="CA121" s="115"/>
      <c r="CB121" s="115" t="s">
        <v>49</v>
      </c>
      <c r="CC121" s="115" t="s">
        <v>49</v>
      </c>
      <c r="CD121" s="118"/>
      <c r="CE121" s="49"/>
      <c r="CF121" s="49"/>
      <c r="CG121" s="49"/>
      <c r="CH121" s="49"/>
      <c r="CI121" s="49"/>
      <c r="CJ121" s="49"/>
      <c r="CK121" s="49"/>
      <c r="CL121" s="55"/>
      <c r="CM121" s="115"/>
      <c r="CN121" s="115" t="s">
        <v>53</v>
      </c>
      <c r="CO121" s="121" t="s">
        <v>53</v>
      </c>
      <c r="CP121" s="49"/>
      <c r="CQ121" s="49"/>
      <c r="CR121" s="49"/>
      <c r="CS121" s="49"/>
      <c r="CT121" s="49"/>
      <c r="CU121" s="49"/>
      <c r="CV121" s="49"/>
      <c r="CW121" s="49"/>
      <c r="CX121" s="55"/>
      <c r="CY121" s="115"/>
      <c r="CZ121" s="115" t="s">
        <v>53</v>
      </c>
      <c r="DA121" s="115" t="s">
        <v>53</v>
      </c>
      <c r="DB121" s="118"/>
      <c r="DC121" s="49"/>
      <c r="DD121" s="49"/>
      <c r="DE121" s="49"/>
      <c r="DF121" s="49"/>
      <c r="DG121" s="49"/>
      <c r="DH121" s="49"/>
      <c r="DI121" s="49"/>
      <c r="DJ121" s="49"/>
      <c r="DK121" s="55"/>
      <c r="DL121" s="49"/>
      <c r="DM121" s="49" t="s">
        <v>307</v>
      </c>
      <c r="DN121" s="49" t="s">
        <v>53</v>
      </c>
      <c r="DO121" s="118"/>
      <c r="DP121" s="49"/>
      <c r="DQ121" s="49"/>
      <c r="DR121" s="49"/>
      <c r="DS121" s="49"/>
      <c r="DT121" s="49"/>
      <c r="DU121" s="49"/>
      <c r="DV121" s="49"/>
      <c r="DW121" s="55"/>
      <c r="DX121" s="49"/>
      <c r="DY121" s="49" t="s">
        <v>328</v>
      </c>
      <c r="DZ121" s="49" t="s">
        <v>58</v>
      </c>
      <c r="EA121" s="118"/>
      <c r="EB121" s="49"/>
      <c r="EC121" s="49"/>
      <c r="ED121" s="55"/>
      <c r="EE121" s="49"/>
      <c r="EF121" s="49" t="s">
        <v>62</v>
      </c>
      <c r="EG121" s="120" t="s">
        <v>62</v>
      </c>
      <c r="EH121" s="117">
        <v>0</v>
      </c>
      <c r="EI121" s="117">
        <v>0</v>
      </c>
      <c r="EJ121" s="49"/>
      <c r="EK121" s="49"/>
      <c r="EL121" s="55"/>
      <c r="EM121" s="55"/>
      <c r="EN121" s="55">
        <v>0</v>
      </c>
      <c r="EO121" s="122">
        <v>0</v>
      </c>
      <c r="EP121" s="117">
        <v>0</v>
      </c>
      <c r="EQ121" s="117">
        <v>0</v>
      </c>
      <c r="ER121" s="49"/>
      <c r="ES121" s="49"/>
      <c r="ET121" s="49"/>
      <c r="EU121" s="49"/>
    </row>
    <row r="122" customFormat="1" ht="22.5" customHeight="1" spans="1:151">
      <c r="A122" s="108">
        <v>12701</v>
      </c>
      <c r="B122" s="109" t="s">
        <v>438</v>
      </c>
      <c r="C122" s="110">
        <v>46160</v>
      </c>
      <c r="D122" s="111">
        <f>IF(_xlfn.XLOOKUP(A122,[1]分配表!J:J,[1]分配表!M:M)=0,"未出单",_xlfn.XLOOKUP(A122,[1]分配表!J:J,[1]分配表!M:M))</f>
        <v>46161</v>
      </c>
      <c r="E122" s="112" t="str">
        <f>_xlfn.XLOOKUP(A122,[1]分配表!A:A,[1]分配表!C:C)</f>
        <v>章鹏</v>
      </c>
      <c r="F122" s="112" t="str">
        <f>IF(_xlfn.XLOOKUP($A122,[1]分配表!$A:$A,[1]分配表!D:D)=0,"未分类",_xlfn.XLOOKUP($A122,[1]分配表!$A:$A,[1]分配表!D:D))</f>
        <v>饰条</v>
      </c>
      <c r="G122" s="112" t="str">
        <f>_xlfn.XLOOKUP(A122,[1]分配表!J:J,[1]分配表!I:I)</f>
        <v>原开品</v>
      </c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>
        <v>1</v>
      </c>
      <c r="S122" s="49">
        <v>4</v>
      </c>
      <c r="T122" s="113">
        <f t="shared" si="2"/>
        <v>3</v>
      </c>
      <c r="U122" s="118"/>
      <c r="V122" s="49"/>
      <c r="W122" s="49"/>
      <c r="X122" s="49"/>
      <c r="Y122" s="49"/>
      <c r="Z122" s="49"/>
      <c r="AA122" s="49"/>
      <c r="AB122" s="116"/>
      <c r="AC122" s="49"/>
      <c r="AD122" s="117"/>
      <c r="AE122" s="117">
        <v>95</v>
      </c>
      <c r="AF122" s="117">
        <v>380</v>
      </c>
      <c r="AG122" s="115">
        <f t="shared" si="3"/>
        <v>285</v>
      </c>
      <c r="AH122" s="11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>
        <v>0</v>
      </c>
      <c r="AS122" s="49">
        <v>0</v>
      </c>
      <c r="AT122" s="118"/>
      <c r="AU122" s="49"/>
      <c r="AV122" s="49"/>
      <c r="AW122" s="49"/>
      <c r="AX122" s="49"/>
      <c r="AY122" s="49"/>
      <c r="AZ122" s="49"/>
      <c r="BA122" s="55"/>
      <c r="BB122" s="55"/>
      <c r="BC122" s="55"/>
      <c r="BD122" s="55" t="s">
        <v>306</v>
      </c>
      <c r="BE122" s="55">
        <v>1</v>
      </c>
      <c r="BF122" s="118"/>
      <c r="BG122" s="49"/>
      <c r="BH122" s="49"/>
      <c r="BI122" s="49"/>
      <c r="BJ122" s="49"/>
      <c r="BK122" s="49"/>
      <c r="BL122" s="49"/>
      <c r="BM122" s="49"/>
      <c r="BN122" s="55"/>
      <c r="BO122" s="49"/>
      <c r="BP122" s="49">
        <v>1</v>
      </c>
      <c r="BQ122" s="120">
        <v>8</v>
      </c>
      <c r="BR122" s="49"/>
      <c r="BS122" s="49"/>
      <c r="BT122" s="49"/>
      <c r="BU122" s="49"/>
      <c r="BV122" s="49"/>
      <c r="BW122" s="49"/>
      <c r="BX122" s="49"/>
      <c r="BY122" s="49"/>
      <c r="BZ122" s="55"/>
      <c r="CA122" s="115"/>
      <c r="CB122" s="115" t="s">
        <v>49</v>
      </c>
      <c r="CC122" s="115" t="s">
        <v>49</v>
      </c>
      <c r="CD122" s="118"/>
      <c r="CE122" s="49"/>
      <c r="CF122" s="49"/>
      <c r="CG122" s="49"/>
      <c r="CH122" s="49"/>
      <c r="CI122" s="49"/>
      <c r="CJ122" s="49"/>
      <c r="CK122" s="49"/>
      <c r="CL122" s="55"/>
      <c r="CM122" s="115"/>
      <c r="CN122" s="115" t="s">
        <v>53</v>
      </c>
      <c r="CO122" s="121" t="s">
        <v>152</v>
      </c>
      <c r="CP122" s="49"/>
      <c r="CQ122" s="49"/>
      <c r="CR122" s="49"/>
      <c r="CS122" s="49"/>
      <c r="CT122" s="49"/>
      <c r="CU122" s="49"/>
      <c r="CV122" s="49"/>
      <c r="CW122" s="49"/>
      <c r="CX122" s="55"/>
      <c r="CY122" s="115"/>
      <c r="CZ122" s="115" t="s">
        <v>53</v>
      </c>
      <c r="DA122" s="115" t="s">
        <v>53</v>
      </c>
      <c r="DB122" s="118"/>
      <c r="DC122" s="49"/>
      <c r="DD122" s="49"/>
      <c r="DE122" s="49"/>
      <c r="DF122" s="49"/>
      <c r="DG122" s="49"/>
      <c r="DH122" s="49"/>
      <c r="DI122" s="49"/>
      <c r="DJ122" s="49"/>
      <c r="DK122" s="55"/>
      <c r="DL122" s="49"/>
      <c r="DM122" s="49" t="s">
        <v>307</v>
      </c>
      <c r="DN122" s="49" t="s">
        <v>53</v>
      </c>
      <c r="DO122" s="118"/>
      <c r="DP122" s="49"/>
      <c r="DQ122" s="49"/>
      <c r="DR122" s="49"/>
      <c r="DS122" s="49"/>
      <c r="DT122" s="49"/>
      <c r="DU122" s="49"/>
      <c r="DV122" s="49"/>
      <c r="DW122" s="55"/>
      <c r="DX122" s="49"/>
      <c r="DY122" s="49" t="s">
        <v>328</v>
      </c>
      <c r="DZ122" s="49" t="s">
        <v>58</v>
      </c>
      <c r="EA122" s="118"/>
      <c r="EB122" s="49"/>
      <c r="EC122" s="49"/>
      <c r="ED122" s="55"/>
      <c r="EE122" s="49"/>
      <c r="EF122" s="49" t="s">
        <v>49</v>
      </c>
      <c r="EG122" s="120" t="s">
        <v>49</v>
      </c>
      <c r="EH122" s="117">
        <v>0.7</v>
      </c>
      <c r="EI122" s="117">
        <v>0</v>
      </c>
      <c r="EJ122" s="49"/>
      <c r="EK122" s="49"/>
      <c r="EL122" s="55"/>
      <c r="EM122" s="55"/>
      <c r="EN122" s="55">
        <v>0</v>
      </c>
      <c r="EO122" s="122">
        <v>0</v>
      </c>
      <c r="EP122" s="117">
        <v>0</v>
      </c>
      <c r="EQ122" s="117">
        <v>0</v>
      </c>
      <c r="ER122" s="49"/>
      <c r="ES122" s="49"/>
      <c r="ET122" s="49"/>
      <c r="EU122" s="49"/>
    </row>
    <row r="123" customFormat="1" ht="22.5" customHeight="1" spans="1:151">
      <c r="A123" s="108">
        <v>12700</v>
      </c>
      <c r="B123" s="109" t="s">
        <v>439</v>
      </c>
      <c r="C123" s="110">
        <v>46160</v>
      </c>
      <c r="D123" s="111">
        <f>IF(_xlfn.XLOOKUP(A123,[1]分配表!J:J,[1]分配表!M:M)=0,"未出单",_xlfn.XLOOKUP(A123,[1]分配表!J:J,[1]分配表!M:M))</f>
        <v>46161</v>
      </c>
      <c r="E123" s="112" t="str">
        <f>_xlfn.XLOOKUP(A123,[1]分配表!A:A,[1]分配表!C:C)</f>
        <v>章鹏</v>
      </c>
      <c r="F123" s="112" t="str">
        <f>IF(_xlfn.XLOOKUP($A123,[1]分配表!$A:$A,[1]分配表!D:D)=0,"未分类",_xlfn.XLOOKUP($A123,[1]分配表!$A:$A,[1]分配表!D:D))</f>
        <v>饰条</v>
      </c>
      <c r="G123" s="112" t="str">
        <f>_xlfn.XLOOKUP(A123,[1]分配表!J:J,[1]分配表!I:I)</f>
        <v>原开品</v>
      </c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>
        <v>1</v>
      </c>
      <c r="S123" s="49">
        <v>2</v>
      </c>
      <c r="T123" s="113">
        <f t="shared" si="2"/>
        <v>1</v>
      </c>
      <c r="U123" s="118"/>
      <c r="V123" s="49"/>
      <c r="W123" s="49"/>
      <c r="X123" s="49"/>
      <c r="Y123" s="49"/>
      <c r="Z123" s="49"/>
      <c r="AA123" s="49"/>
      <c r="AB123" s="116"/>
      <c r="AC123" s="49"/>
      <c r="AD123" s="117"/>
      <c r="AE123" s="117">
        <v>95</v>
      </c>
      <c r="AF123" s="117">
        <v>190</v>
      </c>
      <c r="AG123" s="115">
        <f t="shared" si="3"/>
        <v>95</v>
      </c>
      <c r="AH123" s="11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>
        <v>1</v>
      </c>
      <c r="AS123" s="49">
        <v>0</v>
      </c>
      <c r="AT123" s="118"/>
      <c r="AU123" s="49"/>
      <c r="AV123" s="49"/>
      <c r="AW123" s="49"/>
      <c r="AX123" s="49"/>
      <c r="AY123" s="49"/>
      <c r="AZ123" s="49"/>
      <c r="BA123" s="55"/>
      <c r="BB123" s="55"/>
      <c r="BC123" s="55"/>
      <c r="BD123" s="55">
        <v>0</v>
      </c>
      <c r="BE123" s="55">
        <v>1</v>
      </c>
      <c r="BF123" s="118"/>
      <c r="BG123" s="49"/>
      <c r="BH123" s="49"/>
      <c r="BI123" s="49"/>
      <c r="BJ123" s="49"/>
      <c r="BK123" s="49"/>
      <c r="BL123" s="49"/>
      <c r="BM123" s="49"/>
      <c r="BN123" s="55"/>
      <c r="BO123" s="49"/>
      <c r="BP123" s="49">
        <v>1</v>
      </c>
      <c r="BQ123" s="120">
        <v>8</v>
      </c>
      <c r="BR123" s="49"/>
      <c r="BS123" s="49"/>
      <c r="BT123" s="49"/>
      <c r="BU123" s="49"/>
      <c r="BV123" s="49"/>
      <c r="BW123" s="49"/>
      <c r="BX123" s="49"/>
      <c r="BY123" s="49"/>
      <c r="BZ123" s="55"/>
      <c r="CA123" s="115"/>
      <c r="CB123" s="115" t="s">
        <v>49</v>
      </c>
      <c r="CC123" s="115" t="s">
        <v>49</v>
      </c>
      <c r="CD123" s="118"/>
      <c r="CE123" s="49"/>
      <c r="CF123" s="49"/>
      <c r="CG123" s="49"/>
      <c r="CH123" s="49"/>
      <c r="CI123" s="49"/>
      <c r="CJ123" s="49"/>
      <c r="CK123" s="49"/>
      <c r="CL123" s="55"/>
      <c r="CM123" s="115"/>
      <c r="CN123" s="115" t="s">
        <v>53</v>
      </c>
      <c r="CO123" s="121" t="s">
        <v>152</v>
      </c>
      <c r="CP123" s="49"/>
      <c r="CQ123" s="49"/>
      <c r="CR123" s="49"/>
      <c r="CS123" s="49"/>
      <c r="CT123" s="49"/>
      <c r="CU123" s="49"/>
      <c r="CV123" s="49"/>
      <c r="CW123" s="49"/>
      <c r="CX123" s="55"/>
      <c r="CY123" s="115"/>
      <c r="CZ123" s="115" t="s">
        <v>53</v>
      </c>
      <c r="DA123" s="115" t="s">
        <v>53</v>
      </c>
      <c r="DB123" s="118"/>
      <c r="DC123" s="49"/>
      <c r="DD123" s="49"/>
      <c r="DE123" s="49"/>
      <c r="DF123" s="49"/>
      <c r="DG123" s="49"/>
      <c r="DH123" s="49"/>
      <c r="DI123" s="49"/>
      <c r="DJ123" s="49"/>
      <c r="DK123" s="55"/>
      <c r="DL123" s="49"/>
      <c r="DM123" s="49" t="s">
        <v>313</v>
      </c>
      <c r="DN123" s="49" t="s">
        <v>53</v>
      </c>
      <c r="DO123" s="118"/>
      <c r="DP123" s="49"/>
      <c r="DQ123" s="49"/>
      <c r="DR123" s="49"/>
      <c r="DS123" s="49"/>
      <c r="DT123" s="49"/>
      <c r="DU123" s="49"/>
      <c r="DV123" s="49"/>
      <c r="DW123" s="55"/>
      <c r="DX123" s="49"/>
      <c r="DY123" s="49" t="s">
        <v>328</v>
      </c>
      <c r="DZ123" s="49" t="s">
        <v>58</v>
      </c>
      <c r="EA123" s="118"/>
      <c r="EB123" s="49"/>
      <c r="EC123" s="49"/>
      <c r="ED123" s="55"/>
      <c r="EE123" s="49"/>
      <c r="EF123" s="49" t="s">
        <v>49</v>
      </c>
      <c r="EG123" s="120" t="s">
        <v>49</v>
      </c>
      <c r="EH123" s="117">
        <v>0.98</v>
      </c>
      <c r="EI123" s="117">
        <v>0</v>
      </c>
      <c r="EJ123" s="49"/>
      <c r="EK123" s="49"/>
      <c r="EL123" s="55"/>
      <c r="EM123" s="55"/>
      <c r="EN123" s="55">
        <v>0</v>
      </c>
      <c r="EO123" s="122">
        <v>0</v>
      </c>
      <c r="EP123" s="117">
        <v>0</v>
      </c>
      <c r="EQ123" s="117">
        <v>0</v>
      </c>
      <c r="ER123" s="49"/>
      <c r="ES123" s="49"/>
      <c r="ET123" s="49"/>
      <c r="EU123" s="49"/>
    </row>
    <row r="124" customFormat="1" ht="22.5" customHeight="1" spans="1:151">
      <c r="A124" s="108">
        <v>12779</v>
      </c>
      <c r="B124" s="109" t="s">
        <v>440</v>
      </c>
      <c r="C124" s="110">
        <v>46160</v>
      </c>
      <c r="D124" s="111" t="str">
        <f>IF(_xlfn.XLOOKUP(A124,[1]分配表!J:J,[1]分配表!M:M)=0,"未出单",_xlfn.XLOOKUP(A124,[1]分配表!J:J,[1]分配表!M:M))</f>
        <v>未出单</v>
      </c>
      <c r="E124" s="112" t="str">
        <f>_xlfn.XLOOKUP(A124,[1]分配表!A:A,[1]分配表!C:C)</f>
        <v>朱培源</v>
      </c>
      <c r="F124" s="112" t="str">
        <f>IF(_xlfn.XLOOKUP($A124,[1]分配表!$A:$A,[1]分配表!D:D)=0,"未分类",_xlfn.XLOOKUP($A124,[1]分配表!$A:$A,[1]分配表!D:D))</f>
        <v>挡泥板</v>
      </c>
      <c r="G124" s="112" t="str">
        <f>_xlfn.XLOOKUP(A124,[1]分配表!J:J,[1]分配表!I:I)</f>
        <v>原开品</v>
      </c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>
        <v>0</v>
      </c>
      <c r="S124" s="49">
        <v>0</v>
      </c>
      <c r="T124" s="113">
        <f t="shared" si="2"/>
        <v>0</v>
      </c>
      <c r="U124" s="118"/>
      <c r="V124" s="49"/>
      <c r="W124" s="49"/>
      <c r="X124" s="49"/>
      <c r="Y124" s="49"/>
      <c r="Z124" s="49"/>
      <c r="AA124" s="49"/>
      <c r="AB124" s="116"/>
      <c r="AC124" s="49"/>
      <c r="AD124" s="117"/>
      <c r="AE124" s="117">
        <v>0</v>
      </c>
      <c r="AF124" s="117">
        <v>0</v>
      </c>
      <c r="AG124" s="115">
        <f t="shared" si="3"/>
        <v>0</v>
      </c>
      <c r="AH124" s="11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>
        <v>0</v>
      </c>
      <c r="AS124" s="49">
        <v>0</v>
      </c>
      <c r="AT124" s="118"/>
      <c r="AU124" s="49"/>
      <c r="AV124" s="49"/>
      <c r="AW124" s="49"/>
      <c r="AX124" s="49"/>
      <c r="AY124" s="49"/>
      <c r="AZ124" s="49"/>
      <c r="BA124" s="55"/>
      <c r="BB124" s="55"/>
      <c r="BC124" s="55"/>
      <c r="BD124" s="55" t="s">
        <v>306</v>
      </c>
      <c r="BE124" s="55" t="s">
        <v>306</v>
      </c>
      <c r="BF124" s="118"/>
      <c r="BG124" s="49"/>
      <c r="BH124" s="49"/>
      <c r="BI124" s="49"/>
      <c r="BJ124" s="49"/>
      <c r="BK124" s="49"/>
      <c r="BL124" s="49"/>
      <c r="BM124" s="49"/>
      <c r="BN124" s="55"/>
      <c r="BO124" s="49"/>
      <c r="BP124" s="49">
        <v>0</v>
      </c>
      <c r="BQ124" s="120">
        <v>7</v>
      </c>
      <c r="BR124" s="49"/>
      <c r="BS124" s="49"/>
      <c r="BT124" s="49"/>
      <c r="BU124" s="49"/>
      <c r="BV124" s="49"/>
      <c r="BW124" s="49"/>
      <c r="BX124" s="49"/>
      <c r="BY124" s="49"/>
      <c r="BZ124" s="55"/>
      <c r="CA124" s="115"/>
      <c r="CB124" s="115" t="s">
        <v>149</v>
      </c>
      <c r="CC124" s="115" t="s">
        <v>149</v>
      </c>
      <c r="CD124" s="118"/>
      <c r="CE124" s="49"/>
      <c r="CF124" s="49"/>
      <c r="CG124" s="49"/>
      <c r="CH124" s="49"/>
      <c r="CI124" s="49"/>
      <c r="CJ124" s="49"/>
      <c r="CK124" s="49"/>
      <c r="CL124" s="55"/>
      <c r="CM124" s="115"/>
      <c r="CN124" s="115" t="s">
        <v>53</v>
      </c>
      <c r="CO124" s="121" t="s">
        <v>53</v>
      </c>
      <c r="CP124" s="49"/>
      <c r="CQ124" s="49"/>
      <c r="CR124" s="49"/>
      <c r="CS124" s="49"/>
      <c r="CT124" s="49"/>
      <c r="CU124" s="49"/>
      <c r="CV124" s="49"/>
      <c r="CW124" s="49"/>
      <c r="CX124" s="55"/>
      <c r="CY124" s="115"/>
      <c r="CZ124" s="115" t="s">
        <v>53</v>
      </c>
      <c r="DA124" s="115" t="s">
        <v>53</v>
      </c>
      <c r="DB124" s="118"/>
      <c r="DC124" s="49"/>
      <c r="DD124" s="49"/>
      <c r="DE124" s="49"/>
      <c r="DF124" s="49"/>
      <c r="DG124" s="49"/>
      <c r="DH124" s="49"/>
      <c r="DI124" s="49"/>
      <c r="DJ124" s="49"/>
      <c r="DK124" s="55"/>
      <c r="DL124" s="49"/>
      <c r="DM124" s="49" t="s">
        <v>307</v>
      </c>
      <c r="DN124" s="49" t="s">
        <v>156</v>
      </c>
      <c r="DO124" s="118"/>
      <c r="DP124" s="49"/>
      <c r="DQ124" s="49"/>
      <c r="DR124" s="49"/>
      <c r="DS124" s="49"/>
      <c r="DT124" s="49"/>
      <c r="DU124" s="49"/>
      <c r="DV124" s="49"/>
      <c r="DW124" s="55"/>
      <c r="DX124" s="49"/>
      <c r="DY124" s="49" t="s">
        <v>328</v>
      </c>
      <c r="DZ124" s="49" t="s">
        <v>58</v>
      </c>
      <c r="EA124" s="118"/>
      <c r="EB124" s="49"/>
      <c r="EC124" s="49"/>
      <c r="ED124" s="55"/>
      <c r="EE124" s="49"/>
      <c r="EF124" s="49" t="s">
        <v>49</v>
      </c>
      <c r="EG124" s="120" t="s">
        <v>49</v>
      </c>
      <c r="EH124" s="117">
        <v>1.07</v>
      </c>
      <c r="EI124" s="117">
        <v>0</v>
      </c>
      <c r="EJ124" s="49"/>
      <c r="EK124" s="49"/>
      <c r="EL124" s="55"/>
      <c r="EM124" s="55"/>
      <c r="EN124" s="55">
        <v>0</v>
      </c>
      <c r="EO124" s="122">
        <v>0</v>
      </c>
      <c r="EP124" s="117">
        <v>0</v>
      </c>
      <c r="EQ124" s="117">
        <v>0</v>
      </c>
      <c r="ER124" s="49"/>
      <c r="ES124" s="49"/>
      <c r="ET124" s="49"/>
      <c r="EU124" s="49"/>
    </row>
    <row r="125" customFormat="1" ht="22.5" customHeight="1" spans="1:151">
      <c r="A125" s="108">
        <v>12602</v>
      </c>
      <c r="B125" s="109" t="s">
        <v>441</v>
      </c>
      <c r="C125" s="110">
        <v>46162</v>
      </c>
      <c r="D125" s="111">
        <f>IF(_xlfn.XLOOKUP(A125,[1]分配表!J:J,[1]分配表!M:M)=0,"未出单",_xlfn.XLOOKUP(A125,[1]分配表!J:J,[1]分配表!M:M))</f>
        <v>46167</v>
      </c>
      <c r="E125" s="112" t="str">
        <f>_xlfn.XLOOKUP(A125,[1]分配表!A:A,[1]分配表!C:C)</f>
        <v>王偲涵</v>
      </c>
      <c r="F125" s="112" t="str">
        <f>IF(_xlfn.XLOOKUP($A125,[1]分配表!$A:$A,[1]分配表!D:D)=0,"未分类",_xlfn.XLOOKUP($A125,[1]分配表!$A:$A,[1]分配表!D:D))</f>
        <v>车身外扩件</v>
      </c>
      <c r="G125" s="112" t="str">
        <f>_xlfn.XLOOKUP(A125,[1]分配表!J:J,[1]分配表!I:I)</f>
        <v>原开品</v>
      </c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 t="s">
        <v>328</v>
      </c>
      <c r="S125" s="49">
        <v>1</v>
      </c>
      <c r="T125" s="113">
        <f t="shared" si="2"/>
        <v>1</v>
      </c>
      <c r="U125" s="118"/>
      <c r="V125" s="49"/>
      <c r="W125" s="49"/>
      <c r="X125" s="49"/>
      <c r="Y125" s="49"/>
      <c r="Z125" s="49"/>
      <c r="AA125" s="49"/>
      <c r="AB125" s="116"/>
      <c r="AC125" s="49"/>
      <c r="AD125" s="117"/>
      <c r="AE125" s="117" t="s">
        <v>328</v>
      </c>
      <c r="AF125" s="117">
        <v>120</v>
      </c>
      <c r="AG125" s="115">
        <f t="shared" si="3"/>
        <v>120</v>
      </c>
      <c r="AH125" s="118"/>
      <c r="AI125" s="49"/>
      <c r="AJ125" s="49"/>
      <c r="AK125" s="49"/>
      <c r="AL125" s="49"/>
      <c r="AM125" s="49"/>
      <c r="AN125" s="49"/>
      <c r="AO125" s="49"/>
      <c r="AP125" s="49"/>
      <c r="AQ125" s="49"/>
      <c r="AR125" s="117" t="s">
        <v>328</v>
      </c>
      <c r="AS125" s="49">
        <v>1</v>
      </c>
      <c r="AT125" s="118"/>
      <c r="AU125" s="49"/>
      <c r="AV125" s="49"/>
      <c r="AW125" s="49"/>
      <c r="AX125" s="49"/>
      <c r="AY125" s="49"/>
      <c r="AZ125" s="49"/>
      <c r="BA125" s="55"/>
      <c r="BB125" s="55"/>
      <c r="BC125" s="55"/>
      <c r="BD125" s="117" t="s">
        <v>328</v>
      </c>
      <c r="BE125" s="55">
        <v>0.5</v>
      </c>
      <c r="BF125" s="118"/>
      <c r="BG125" s="49"/>
      <c r="BH125" s="49"/>
      <c r="BI125" s="49"/>
      <c r="BJ125" s="49"/>
      <c r="BK125" s="49"/>
      <c r="BL125" s="49"/>
      <c r="BM125" s="49"/>
      <c r="BN125" s="55"/>
      <c r="BO125" s="49"/>
      <c r="BP125" s="49">
        <v>0</v>
      </c>
      <c r="BQ125" s="120">
        <v>1</v>
      </c>
      <c r="BR125" s="49"/>
      <c r="BS125" s="49"/>
      <c r="BT125" s="49"/>
      <c r="BU125" s="49"/>
      <c r="BV125" s="49"/>
      <c r="BW125" s="49"/>
      <c r="BX125" s="49"/>
      <c r="BY125" s="49"/>
      <c r="BZ125" s="55"/>
      <c r="CA125" s="115"/>
      <c r="CB125" s="115" t="s">
        <v>149</v>
      </c>
      <c r="CC125" s="115" t="s">
        <v>49</v>
      </c>
      <c r="CD125" s="118"/>
      <c r="CE125" s="49"/>
      <c r="CF125" s="49"/>
      <c r="CG125" s="49"/>
      <c r="CH125" s="49"/>
      <c r="CI125" s="49"/>
      <c r="CJ125" s="49"/>
      <c r="CK125" s="49"/>
      <c r="CL125" s="55"/>
      <c r="CM125" s="115"/>
      <c r="CN125" s="115" t="s">
        <v>53</v>
      </c>
      <c r="CO125" s="121" t="s">
        <v>53</v>
      </c>
      <c r="CP125" s="49"/>
      <c r="CQ125" s="49"/>
      <c r="CR125" s="49"/>
      <c r="CS125" s="49"/>
      <c r="CT125" s="49"/>
      <c r="CU125" s="49"/>
      <c r="CV125" s="49"/>
      <c r="CW125" s="49"/>
      <c r="CX125" s="55"/>
      <c r="CY125" s="115"/>
      <c r="CZ125" s="115" t="s">
        <v>53</v>
      </c>
      <c r="DA125" s="115" t="s">
        <v>53</v>
      </c>
      <c r="DB125" s="118"/>
      <c r="DC125" s="49"/>
      <c r="DD125" s="49"/>
      <c r="DE125" s="49"/>
      <c r="DF125" s="49"/>
      <c r="DG125" s="49"/>
      <c r="DH125" s="49"/>
      <c r="DI125" s="49"/>
      <c r="DJ125" s="49"/>
      <c r="DK125" s="55"/>
      <c r="DL125" s="49"/>
      <c r="DM125" s="49" t="s">
        <v>307</v>
      </c>
      <c r="DN125" s="49" t="s">
        <v>313</v>
      </c>
      <c r="DO125" s="118"/>
      <c r="DP125" s="49"/>
      <c r="DQ125" s="49"/>
      <c r="DR125" s="49"/>
      <c r="DS125" s="49"/>
      <c r="DT125" s="49"/>
      <c r="DU125" s="49"/>
      <c r="DV125" s="49"/>
      <c r="DW125" s="55"/>
      <c r="DX125" s="49"/>
      <c r="DY125" s="49" t="s">
        <v>328</v>
      </c>
      <c r="DZ125" s="49" t="s">
        <v>58</v>
      </c>
      <c r="EA125" s="118"/>
      <c r="EB125" s="49"/>
      <c r="EC125" s="49"/>
      <c r="ED125" s="55"/>
      <c r="EE125" s="49"/>
      <c r="EF125" s="49" t="s">
        <v>49</v>
      </c>
      <c r="EG125" s="120" t="s">
        <v>49</v>
      </c>
      <c r="EH125" s="117">
        <v>19.11</v>
      </c>
      <c r="EI125" s="117">
        <v>0</v>
      </c>
      <c r="EJ125" s="49"/>
      <c r="EK125" s="49"/>
      <c r="EL125" s="55"/>
      <c r="EM125" s="55"/>
      <c r="EN125" s="55">
        <v>0</v>
      </c>
      <c r="EO125" s="122">
        <v>0</v>
      </c>
      <c r="EP125" s="117">
        <v>0</v>
      </c>
      <c r="EQ125" s="117">
        <v>0</v>
      </c>
      <c r="ER125" s="49"/>
      <c r="ES125" s="49"/>
      <c r="ET125" s="49"/>
      <c r="EU125" s="49"/>
    </row>
    <row r="126" customFormat="1" ht="22.5" customHeight="1" spans="1:151">
      <c r="A126" s="108">
        <v>12786</v>
      </c>
      <c r="B126" s="109" t="s">
        <v>442</v>
      </c>
      <c r="C126" s="110">
        <v>46162</v>
      </c>
      <c r="D126" s="111">
        <f>IF(_xlfn.XLOOKUP(A126,[1]分配表!J:J,[1]分配表!M:M)=0,"未出单",_xlfn.XLOOKUP(A126,[1]分配表!J:J,[1]分配表!M:M))</f>
        <v>46164</v>
      </c>
      <c r="E126" s="112" t="str">
        <f>_xlfn.XLOOKUP(A126,[1]分配表!A:A,[1]分配表!C:C)</f>
        <v>胡煜星</v>
      </c>
      <c r="F126" s="112" t="str">
        <f>IF(_xlfn.XLOOKUP($A126,[1]分配表!$A:$A,[1]分配表!D:D)=0,"未分类",_xlfn.XLOOKUP($A126,[1]分配表!$A:$A,[1]分配表!D:D))</f>
        <v>车身外扩件</v>
      </c>
      <c r="G126" s="112" t="str">
        <f>_xlfn.XLOOKUP(A126,[1]分配表!J:J,[1]分配表!I:I)</f>
        <v>原开品</v>
      </c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 t="s">
        <v>328</v>
      </c>
      <c r="S126" s="49">
        <v>1</v>
      </c>
      <c r="T126" s="113">
        <f t="shared" si="2"/>
        <v>1</v>
      </c>
      <c r="U126" s="118"/>
      <c r="V126" s="49"/>
      <c r="W126" s="49"/>
      <c r="X126" s="49"/>
      <c r="Y126" s="49"/>
      <c r="Z126" s="49"/>
      <c r="AA126" s="49"/>
      <c r="AB126" s="116"/>
      <c r="AC126" s="49"/>
      <c r="AD126" s="117"/>
      <c r="AE126" s="117" t="s">
        <v>328</v>
      </c>
      <c r="AF126" s="117">
        <v>150</v>
      </c>
      <c r="AG126" s="115">
        <f t="shared" si="3"/>
        <v>150</v>
      </c>
      <c r="AH126" s="118"/>
      <c r="AI126" s="49"/>
      <c r="AJ126" s="49"/>
      <c r="AK126" s="49"/>
      <c r="AL126" s="49"/>
      <c r="AM126" s="49"/>
      <c r="AN126" s="49"/>
      <c r="AO126" s="49"/>
      <c r="AP126" s="49"/>
      <c r="AQ126" s="49"/>
      <c r="AR126" s="117" t="s">
        <v>328</v>
      </c>
      <c r="AS126" s="49">
        <v>0</v>
      </c>
      <c r="AT126" s="118"/>
      <c r="AU126" s="49"/>
      <c r="AV126" s="49"/>
      <c r="AW126" s="49"/>
      <c r="AX126" s="49"/>
      <c r="AY126" s="49"/>
      <c r="AZ126" s="49"/>
      <c r="BA126" s="55"/>
      <c r="BB126" s="55"/>
      <c r="BC126" s="55"/>
      <c r="BD126" s="117" t="s">
        <v>328</v>
      </c>
      <c r="BE126" s="55">
        <v>1</v>
      </c>
      <c r="BF126" s="118"/>
      <c r="BG126" s="49"/>
      <c r="BH126" s="49"/>
      <c r="BI126" s="49"/>
      <c r="BJ126" s="49"/>
      <c r="BK126" s="49"/>
      <c r="BL126" s="49"/>
      <c r="BM126" s="49"/>
      <c r="BN126" s="55"/>
      <c r="BO126" s="49"/>
      <c r="BP126" s="49">
        <v>0</v>
      </c>
      <c r="BQ126" s="120">
        <v>7</v>
      </c>
      <c r="BR126" s="49"/>
      <c r="BS126" s="49"/>
      <c r="BT126" s="49"/>
      <c r="BU126" s="49"/>
      <c r="BV126" s="49"/>
      <c r="BW126" s="49"/>
      <c r="BX126" s="49"/>
      <c r="BY126" s="49"/>
      <c r="BZ126" s="55"/>
      <c r="CA126" s="115"/>
      <c r="CB126" s="115" t="s">
        <v>149</v>
      </c>
      <c r="CC126" s="115" t="s">
        <v>49</v>
      </c>
      <c r="CD126" s="118"/>
      <c r="CE126" s="49"/>
      <c r="CF126" s="49"/>
      <c r="CG126" s="49"/>
      <c r="CH126" s="49"/>
      <c r="CI126" s="49"/>
      <c r="CJ126" s="49"/>
      <c r="CK126" s="49"/>
      <c r="CL126" s="55"/>
      <c r="CM126" s="115"/>
      <c r="CN126" s="115" t="s">
        <v>53</v>
      </c>
      <c r="CO126" s="121" t="s">
        <v>53</v>
      </c>
      <c r="CP126" s="49"/>
      <c r="CQ126" s="49"/>
      <c r="CR126" s="49"/>
      <c r="CS126" s="49"/>
      <c r="CT126" s="49"/>
      <c r="CU126" s="49"/>
      <c r="CV126" s="49"/>
      <c r="CW126" s="49"/>
      <c r="CX126" s="55"/>
      <c r="CY126" s="115"/>
      <c r="CZ126" s="115" t="s">
        <v>53</v>
      </c>
      <c r="DA126" s="115" t="s">
        <v>152</v>
      </c>
      <c r="DB126" s="118"/>
      <c r="DC126" s="49"/>
      <c r="DD126" s="49"/>
      <c r="DE126" s="49"/>
      <c r="DF126" s="49"/>
      <c r="DG126" s="49"/>
      <c r="DH126" s="49"/>
      <c r="DI126" s="49"/>
      <c r="DJ126" s="49"/>
      <c r="DK126" s="55"/>
      <c r="DL126" s="49"/>
      <c r="DM126" s="49" t="s">
        <v>307</v>
      </c>
      <c r="DN126" s="49" t="s">
        <v>53</v>
      </c>
      <c r="DO126" s="118"/>
      <c r="DP126" s="49"/>
      <c r="DQ126" s="49"/>
      <c r="DR126" s="49"/>
      <c r="DS126" s="49"/>
      <c r="DT126" s="49"/>
      <c r="DU126" s="49"/>
      <c r="DV126" s="49"/>
      <c r="DW126" s="55"/>
      <c r="DX126" s="49"/>
      <c r="DY126" s="49" t="s">
        <v>328</v>
      </c>
      <c r="DZ126" s="49" t="s">
        <v>58</v>
      </c>
      <c r="EA126" s="118"/>
      <c r="EB126" s="49"/>
      <c r="EC126" s="49"/>
      <c r="ED126" s="55"/>
      <c r="EE126" s="49"/>
      <c r="EF126" s="49" t="s">
        <v>49</v>
      </c>
      <c r="EG126" s="120" t="s">
        <v>49</v>
      </c>
      <c r="EH126" s="117">
        <v>2.31</v>
      </c>
      <c r="EI126" s="117">
        <v>0</v>
      </c>
      <c r="EJ126" s="49"/>
      <c r="EK126" s="49"/>
      <c r="EL126" s="55"/>
      <c r="EM126" s="55"/>
      <c r="EN126" s="55">
        <v>0</v>
      </c>
      <c r="EO126" s="122">
        <v>0</v>
      </c>
      <c r="EP126" s="117">
        <v>0</v>
      </c>
      <c r="EQ126" s="117">
        <v>0</v>
      </c>
      <c r="ER126" s="49"/>
      <c r="ES126" s="49"/>
      <c r="ET126" s="49"/>
      <c r="EU126" s="49"/>
    </row>
    <row r="127" customFormat="1" ht="22.5" customHeight="1" spans="1:151">
      <c r="A127" s="108">
        <v>12840</v>
      </c>
      <c r="B127" s="109" t="s">
        <v>443</v>
      </c>
      <c r="C127" s="110">
        <v>46162</v>
      </c>
      <c r="D127" s="111" t="str">
        <f>IF(_xlfn.XLOOKUP(A127,[1]分配表!J:J,[1]分配表!M:M)=0,"未出单",_xlfn.XLOOKUP(A127,[1]分配表!J:J,[1]分配表!M:M))</f>
        <v>未出单</v>
      </c>
      <c r="E127" s="112" t="str">
        <f>_xlfn.XLOOKUP(A127,[1]分配表!A:A,[1]分配表!C:C)</f>
        <v>胡煜星</v>
      </c>
      <c r="F127" s="112" t="str">
        <f>IF(_xlfn.XLOOKUP($A127,[1]分配表!$A:$A,[1]分配表!D:D)=0,"未分类",_xlfn.XLOOKUP($A127,[1]分配表!$A:$A,[1]分配表!D:D))</f>
        <v>车身外扩件</v>
      </c>
      <c r="G127" s="112" t="str">
        <f>_xlfn.XLOOKUP(A127,[1]分配表!J:J,[1]分配表!I:I)</f>
        <v>原开品</v>
      </c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 t="s">
        <v>328</v>
      </c>
      <c r="S127" s="49">
        <v>0</v>
      </c>
      <c r="T127" s="113">
        <f t="shared" si="2"/>
        <v>0</v>
      </c>
      <c r="U127" s="118"/>
      <c r="V127" s="49"/>
      <c r="W127" s="49"/>
      <c r="X127" s="49"/>
      <c r="Y127" s="49"/>
      <c r="Z127" s="49"/>
      <c r="AA127" s="49"/>
      <c r="AB127" s="116"/>
      <c r="AC127" s="49"/>
      <c r="AD127" s="117"/>
      <c r="AE127" s="117" t="s">
        <v>328</v>
      </c>
      <c r="AF127" s="117">
        <v>0</v>
      </c>
      <c r="AG127" s="115">
        <f t="shared" si="3"/>
        <v>0</v>
      </c>
      <c r="AH127" s="118"/>
      <c r="AI127" s="49"/>
      <c r="AJ127" s="49"/>
      <c r="AK127" s="49"/>
      <c r="AL127" s="49"/>
      <c r="AM127" s="49"/>
      <c r="AN127" s="49"/>
      <c r="AO127" s="49"/>
      <c r="AP127" s="49"/>
      <c r="AQ127" s="49"/>
      <c r="AR127" s="117" t="s">
        <v>328</v>
      </c>
      <c r="AS127" s="49">
        <v>0</v>
      </c>
      <c r="AT127" s="118"/>
      <c r="AU127" s="49"/>
      <c r="AV127" s="49"/>
      <c r="AW127" s="49"/>
      <c r="AX127" s="49"/>
      <c r="AY127" s="49"/>
      <c r="AZ127" s="49"/>
      <c r="BA127" s="55"/>
      <c r="BB127" s="55"/>
      <c r="BC127" s="55"/>
      <c r="BD127" s="117" t="s">
        <v>328</v>
      </c>
      <c r="BE127" s="55" t="s">
        <v>306</v>
      </c>
      <c r="BF127" s="118"/>
      <c r="BG127" s="49"/>
      <c r="BH127" s="49"/>
      <c r="BI127" s="49"/>
      <c r="BJ127" s="49"/>
      <c r="BK127" s="49"/>
      <c r="BL127" s="49"/>
      <c r="BM127" s="49"/>
      <c r="BN127" s="55"/>
      <c r="BO127" s="49"/>
      <c r="BP127" s="49">
        <v>0</v>
      </c>
      <c r="BQ127" s="120">
        <v>7</v>
      </c>
      <c r="BR127" s="49"/>
      <c r="BS127" s="49"/>
      <c r="BT127" s="49"/>
      <c r="BU127" s="49"/>
      <c r="BV127" s="49"/>
      <c r="BW127" s="49"/>
      <c r="BX127" s="49"/>
      <c r="BY127" s="49"/>
      <c r="BZ127" s="55"/>
      <c r="CA127" s="115"/>
      <c r="CB127" s="115" t="s">
        <v>149</v>
      </c>
      <c r="CC127" s="115" t="s">
        <v>149</v>
      </c>
      <c r="CD127" s="118"/>
      <c r="CE127" s="49"/>
      <c r="CF127" s="49"/>
      <c r="CG127" s="49"/>
      <c r="CH127" s="49"/>
      <c r="CI127" s="49"/>
      <c r="CJ127" s="49"/>
      <c r="CK127" s="49"/>
      <c r="CL127" s="55"/>
      <c r="CM127" s="115"/>
      <c r="CN127" s="115" t="s">
        <v>53</v>
      </c>
      <c r="CO127" s="121" t="s">
        <v>53</v>
      </c>
      <c r="CP127" s="49"/>
      <c r="CQ127" s="49"/>
      <c r="CR127" s="49"/>
      <c r="CS127" s="49"/>
      <c r="CT127" s="49"/>
      <c r="CU127" s="49"/>
      <c r="CV127" s="49"/>
      <c r="CW127" s="49"/>
      <c r="CX127" s="55"/>
      <c r="CY127" s="115"/>
      <c r="CZ127" s="115" t="s">
        <v>53</v>
      </c>
      <c r="DA127" s="115" t="s">
        <v>152</v>
      </c>
      <c r="DB127" s="118"/>
      <c r="DC127" s="49"/>
      <c r="DD127" s="49"/>
      <c r="DE127" s="49"/>
      <c r="DF127" s="49"/>
      <c r="DG127" s="49"/>
      <c r="DH127" s="49"/>
      <c r="DI127" s="49"/>
      <c r="DJ127" s="49"/>
      <c r="DK127" s="55"/>
      <c r="DL127" s="49"/>
      <c r="DM127" s="49" t="s">
        <v>307</v>
      </c>
      <c r="DN127" s="49" t="s">
        <v>307</v>
      </c>
      <c r="DO127" s="118"/>
      <c r="DP127" s="49"/>
      <c r="DQ127" s="49"/>
      <c r="DR127" s="49"/>
      <c r="DS127" s="49"/>
      <c r="DT127" s="49"/>
      <c r="DU127" s="49"/>
      <c r="DV127" s="49"/>
      <c r="DW127" s="55"/>
      <c r="DX127" s="49"/>
      <c r="DY127" s="49" t="s">
        <v>328</v>
      </c>
      <c r="DZ127" s="49" t="s">
        <v>58</v>
      </c>
      <c r="EA127" s="118"/>
      <c r="EB127" s="49"/>
      <c r="EC127" s="49"/>
      <c r="ED127" s="55"/>
      <c r="EE127" s="49"/>
      <c r="EF127" s="49" t="s">
        <v>49</v>
      </c>
      <c r="EG127" s="120" t="s">
        <v>49</v>
      </c>
      <c r="EH127" s="117">
        <v>7.54</v>
      </c>
      <c r="EI127" s="117">
        <v>0</v>
      </c>
      <c r="EJ127" s="49"/>
      <c r="EK127" s="49"/>
      <c r="EL127" s="55"/>
      <c r="EM127" s="55"/>
      <c r="EN127" s="55">
        <v>0</v>
      </c>
      <c r="EO127" s="122">
        <v>0</v>
      </c>
      <c r="EP127" s="117">
        <v>0</v>
      </c>
      <c r="EQ127" s="117">
        <v>0</v>
      </c>
      <c r="ER127" s="49"/>
      <c r="ES127" s="49"/>
      <c r="ET127" s="49"/>
      <c r="EU127" s="49"/>
    </row>
    <row r="128" customFormat="1" ht="22.5" customHeight="1" spans="1:151">
      <c r="A128" s="108">
        <v>12892</v>
      </c>
      <c r="B128" s="109" t="s">
        <v>444</v>
      </c>
      <c r="C128" s="110">
        <v>46162</v>
      </c>
      <c r="D128" s="111">
        <f>IF(_xlfn.XLOOKUP(A128,[1]分配表!J:J,[1]分配表!M:M)=0,"未出单",_xlfn.XLOOKUP(A128,[1]分配表!J:J,[1]分配表!M:M))</f>
        <v>46168</v>
      </c>
      <c r="E128" s="112" t="str">
        <f>_xlfn.XLOOKUP(A128,[1]分配表!A:A,[1]分配表!C:C)</f>
        <v>章鹏</v>
      </c>
      <c r="F128" s="112" t="str">
        <f>IF(_xlfn.XLOOKUP($A128,[1]分配表!$A:$A,[1]分配表!D:D)=0,"未分类",_xlfn.XLOOKUP($A128,[1]分配表!$A:$A,[1]分配表!D:D))</f>
        <v>挡泥板</v>
      </c>
      <c r="G128" s="112" t="str">
        <f>_xlfn.XLOOKUP(A128,[1]分配表!J:J,[1]分配表!I:I)</f>
        <v>拓展品</v>
      </c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 t="s">
        <v>328</v>
      </c>
      <c r="S128" s="49">
        <v>1</v>
      </c>
      <c r="T128" s="113">
        <f t="shared" si="2"/>
        <v>1</v>
      </c>
      <c r="U128" s="118"/>
      <c r="V128" s="49"/>
      <c r="W128" s="49"/>
      <c r="X128" s="49"/>
      <c r="Y128" s="49"/>
      <c r="Z128" s="49"/>
      <c r="AA128" s="49"/>
      <c r="AB128" s="116"/>
      <c r="AC128" s="49"/>
      <c r="AD128" s="117"/>
      <c r="AE128" s="117" t="s">
        <v>328</v>
      </c>
      <c r="AF128" s="117">
        <v>71</v>
      </c>
      <c r="AG128" s="115">
        <f t="shared" si="3"/>
        <v>71</v>
      </c>
      <c r="AH128" s="118"/>
      <c r="AI128" s="49"/>
      <c r="AJ128" s="49"/>
      <c r="AK128" s="49"/>
      <c r="AL128" s="49"/>
      <c r="AM128" s="49"/>
      <c r="AN128" s="49"/>
      <c r="AO128" s="49"/>
      <c r="AP128" s="49"/>
      <c r="AQ128" s="49"/>
      <c r="AR128" s="117" t="s">
        <v>328</v>
      </c>
      <c r="AS128" s="49">
        <v>2</v>
      </c>
      <c r="AT128" s="118"/>
      <c r="AU128" s="49"/>
      <c r="AV128" s="49"/>
      <c r="AW128" s="49"/>
      <c r="AX128" s="49"/>
      <c r="AY128" s="49"/>
      <c r="AZ128" s="49"/>
      <c r="BA128" s="55"/>
      <c r="BB128" s="55"/>
      <c r="BC128" s="55"/>
      <c r="BD128" s="117" t="s">
        <v>328</v>
      </c>
      <c r="BE128" s="55">
        <v>0</v>
      </c>
      <c r="BF128" s="118"/>
      <c r="BG128" s="49"/>
      <c r="BH128" s="49"/>
      <c r="BI128" s="49"/>
      <c r="BJ128" s="49"/>
      <c r="BK128" s="49"/>
      <c r="BL128" s="49"/>
      <c r="BM128" s="49"/>
      <c r="BN128" s="55"/>
      <c r="BO128" s="49"/>
      <c r="BP128" s="49" t="s">
        <v>308</v>
      </c>
      <c r="BQ128" s="120">
        <v>6</v>
      </c>
      <c r="BR128" s="49"/>
      <c r="BS128" s="49"/>
      <c r="BT128" s="49"/>
      <c r="BU128" s="49"/>
      <c r="BV128" s="49"/>
      <c r="BW128" s="49"/>
      <c r="BX128" s="49"/>
      <c r="BY128" s="49"/>
      <c r="BZ128" s="55"/>
      <c r="CA128" s="115"/>
      <c r="CB128" s="115" t="s">
        <v>149</v>
      </c>
      <c r="CC128" s="115" t="s">
        <v>49</v>
      </c>
      <c r="CD128" s="118"/>
      <c r="CE128" s="49"/>
      <c r="CF128" s="49"/>
      <c r="CG128" s="49"/>
      <c r="CH128" s="49"/>
      <c r="CI128" s="49"/>
      <c r="CJ128" s="49"/>
      <c r="CK128" s="49"/>
      <c r="CL128" s="55"/>
      <c r="CM128" s="115"/>
      <c r="CN128" s="115" t="s">
        <v>53</v>
      </c>
      <c r="CO128" s="121" t="s">
        <v>53</v>
      </c>
      <c r="CP128" s="49"/>
      <c r="CQ128" s="49"/>
      <c r="CR128" s="49"/>
      <c r="CS128" s="49"/>
      <c r="CT128" s="49"/>
      <c r="CU128" s="49"/>
      <c r="CV128" s="49"/>
      <c r="CW128" s="49"/>
      <c r="CX128" s="55"/>
      <c r="CY128" s="115"/>
      <c r="CZ128" s="115" t="s">
        <v>152</v>
      </c>
      <c r="DA128" s="115" t="s">
        <v>152</v>
      </c>
      <c r="DB128" s="118"/>
      <c r="DC128" s="49"/>
      <c r="DD128" s="49"/>
      <c r="DE128" s="49"/>
      <c r="DF128" s="49"/>
      <c r="DG128" s="49"/>
      <c r="DH128" s="49"/>
      <c r="DI128" s="49"/>
      <c r="DJ128" s="49"/>
      <c r="DK128" s="55"/>
      <c r="DL128" s="49"/>
      <c r="DM128" s="49" t="s">
        <v>307</v>
      </c>
      <c r="DN128" s="49" t="s">
        <v>313</v>
      </c>
      <c r="DO128" s="118"/>
      <c r="DP128" s="49"/>
      <c r="DQ128" s="49"/>
      <c r="DR128" s="49"/>
      <c r="DS128" s="49"/>
      <c r="DT128" s="49"/>
      <c r="DU128" s="49"/>
      <c r="DV128" s="49"/>
      <c r="DW128" s="55"/>
      <c r="DX128" s="49"/>
      <c r="DY128" s="49" t="s">
        <v>328</v>
      </c>
      <c r="DZ128" s="49" t="s">
        <v>159</v>
      </c>
      <c r="EA128" s="118"/>
      <c r="EB128" s="49"/>
      <c r="EC128" s="49"/>
      <c r="ED128" s="55"/>
      <c r="EE128" s="49"/>
      <c r="EF128" s="49" t="s">
        <v>62</v>
      </c>
      <c r="EG128" s="120" t="s">
        <v>49</v>
      </c>
      <c r="EH128" s="117">
        <v>0.56</v>
      </c>
      <c r="EI128" s="117">
        <v>0</v>
      </c>
      <c r="EJ128" s="49"/>
      <c r="EK128" s="49"/>
      <c r="EL128" s="55"/>
      <c r="EM128" s="55"/>
      <c r="EN128" s="55">
        <v>0</v>
      </c>
      <c r="EO128" s="122">
        <v>0</v>
      </c>
      <c r="EP128" s="117">
        <v>0</v>
      </c>
      <c r="EQ128" s="117">
        <v>0</v>
      </c>
      <c r="ER128" s="49"/>
      <c r="ES128" s="49"/>
      <c r="ET128" s="49"/>
      <c r="EU128" s="49"/>
    </row>
    <row r="129" customFormat="1" ht="22.5" customHeight="1" spans="1:151">
      <c r="A129" s="108">
        <v>12781</v>
      </c>
      <c r="B129" s="109" t="s">
        <v>445</v>
      </c>
      <c r="C129" s="110">
        <v>46162</v>
      </c>
      <c r="D129" s="111" t="str">
        <f>IF(_xlfn.XLOOKUP(A129,[1]分配表!J:J,[1]分配表!M:M)=0,"未出单",_xlfn.XLOOKUP(A129,[1]分配表!J:J,[1]分配表!M:M))</f>
        <v>未出单</v>
      </c>
      <c r="E129" s="112" t="str">
        <f>_xlfn.XLOOKUP(A129,[1]分配表!A:A,[1]分配表!C:C)</f>
        <v>王偲涵</v>
      </c>
      <c r="F129" s="112" t="str">
        <f>IF(_xlfn.XLOOKUP($A129,[1]分配表!$A:$A,[1]分配表!D:D)=0,"未分类",_xlfn.XLOOKUP($A129,[1]分配表!$A:$A,[1]分配表!D:D))</f>
        <v>车门系统</v>
      </c>
      <c r="G129" s="112" t="str">
        <f>_xlfn.XLOOKUP(A129,[1]分配表!J:J,[1]分配表!I:I)</f>
        <v>拓展品</v>
      </c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 t="s">
        <v>328</v>
      </c>
      <c r="S129" s="49">
        <v>0</v>
      </c>
      <c r="T129" s="113">
        <f t="shared" si="2"/>
        <v>0</v>
      </c>
      <c r="U129" s="118"/>
      <c r="V129" s="49"/>
      <c r="W129" s="49"/>
      <c r="X129" s="49"/>
      <c r="Y129" s="49"/>
      <c r="Z129" s="49"/>
      <c r="AA129" s="49"/>
      <c r="AB129" s="116"/>
      <c r="AC129" s="49"/>
      <c r="AD129" s="117"/>
      <c r="AE129" s="117" t="s">
        <v>328</v>
      </c>
      <c r="AF129" s="117">
        <v>0</v>
      </c>
      <c r="AG129" s="115">
        <f t="shared" si="3"/>
        <v>0</v>
      </c>
      <c r="AH129" s="118"/>
      <c r="AI129" s="49"/>
      <c r="AJ129" s="49"/>
      <c r="AK129" s="49"/>
      <c r="AL129" s="49"/>
      <c r="AM129" s="49"/>
      <c r="AN129" s="49"/>
      <c r="AO129" s="49"/>
      <c r="AP129" s="49"/>
      <c r="AQ129" s="49"/>
      <c r="AR129" s="117" t="s">
        <v>328</v>
      </c>
      <c r="AS129" s="49">
        <v>0</v>
      </c>
      <c r="AT129" s="118"/>
      <c r="AU129" s="49"/>
      <c r="AV129" s="49"/>
      <c r="AW129" s="49"/>
      <c r="AX129" s="49"/>
      <c r="AY129" s="49"/>
      <c r="AZ129" s="49"/>
      <c r="BA129" s="55"/>
      <c r="BB129" s="55"/>
      <c r="BC129" s="55"/>
      <c r="BD129" s="117" t="s">
        <v>328</v>
      </c>
      <c r="BE129" s="55" t="s">
        <v>306</v>
      </c>
      <c r="BF129" s="118"/>
      <c r="BG129" s="49"/>
      <c r="BH129" s="49"/>
      <c r="BI129" s="49"/>
      <c r="BJ129" s="49"/>
      <c r="BK129" s="49"/>
      <c r="BL129" s="49"/>
      <c r="BM129" s="49"/>
      <c r="BN129" s="55"/>
      <c r="BO129" s="49"/>
      <c r="BP129" s="49">
        <v>0</v>
      </c>
      <c r="BQ129" s="120">
        <v>1</v>
      </c>
      <c r="BR129" s="49"/>
      <c r="BS129" s="49"/>
      <c r="BT129" s="49"/>
      <c r="BU129" s="49"/>
      <c r="BV129" s="49"/>
      <c r="BW129" s="49"/>
      <c r="BX129" s="49"/>
      <c r="BY129" s="49"/>
      <c r="BZ129" s="55"/>
      <c r="CA129" s="115"/>
      <c r="CB129" s="115" t="s">
        <v>149</v>
      </c>
      <c r="CC129" s="115" t="s">
        <v>149</v>
      </c>
      <c r="CD129" s="118"/>
      <c r="CE129" s="49"/>
      <c r="CF129" s="49"/>
      <c r="CG129" s="49"/>
      <c r="CH129" s="49"/>
      <c r="CI129" s="49"/>
      <c r="CJ129" s="49"/>
      <c r="CK129" s="49"/>
      <c r="CL129" s="55"/>
      <c r="CM129" s="115"/>
      <c r="CN129" s="115" t="s">
        <v>53</v>
      </c>
      <c r="CO129" s="121" t="s">
        <v>53</v>
      </c>
      <c r="CP129" s="49"/>
      <c r="CQ129" s="49"/>
      <c r="CR129" s="49"/>
      <c r="CS129" s="49"/>
      <c r="CT129" s="49"/>
      <c r="CU129" s="49"/>
      <c r="CV129" s="49"/>
      <c r="CW129" s="49"/>
      <c r="CX129" s="55"/>
      <c r="CY129" s="115"/>
      <c r="CZ129" s="115" t="s">
        <v>53</v>
      </c>
      <c r="DA129" s="115" t="s">
        <v>53</v>
      </c>
      <c r="DB129" s="118"/>
      <c r="DC129" s="49"/>
      <c r="DD129" s="49"/>
      <c r="DE129" s="49"/>
      <c r="DF129" s="49"/>
      <c r="DG129" s="49"/>
      <c r="DH129" s="49"/>
      <c r="DI129" s="49"/>
      <c r="DJ129" s="49"/>
      <c r="DK129" s="55"/>
      <c r="DL129" s="49"/>
      <c r="DM129" s="49" t="s">
        <v>307</v>
      </c>
      <c r="DN129" s="49" t="s">
        <v>307</v>
      </c>
      <c r="DO129" s="118"/>
      <c r="DP129" s="49"/>
      <c r="DQ129" s="49"/>
      <c r="DR129" s="49"/>
      <c r="DS129" s="49"/>
      <c r="DT129" s="49"/>
      <c r="DU129" s="49"/>
      <c r="DV129" s="49"/>
      <c r="DW129" s="55"/>
      <c r="DX129" s="49"/>
      <c r="DY129" s="49" t="s">
        <v>328</v>
      </c>
      <c r="DZ129" s="49" t="s">
        <v>58</v>
      </c>
      <c r="EA129" s="118"/>
      <c r="EB129" s="49"/>
      <c r="EC129" s="49"/>
      <c r="ED129" s="55"/>
      <c r="EE129" s="49"/>
      <c r="EF129" s="49" t="s">
        <v>62</v>
      </c>
      <c r="EG129" s="120" t="s">
        <v>62</v>
      </c>
      <c r="EH129" s="117">
        <v>0</v>
      </c>
      <c r="EI129" s="117">
        <v>0</v>
      </c>
      <c r="EJ129" s="49"/>
      <c r="EK129" s="49"/>
      <c r="EL129" s="55"/>
      <c r="EM129" s="55"/>
      <c r="EN129" s="55">
        <v>0</v>
      </c>
      <c r="EO129" s="122">
        <v>0</v>
      </c>
      <c r="EP129" s="117">
        <v>0</v>
      </c>
      <c r="EQ129" s="117">
        <v>0</v>
      </c>
      <c r="ER129" s="49"/>
      <c r="ES129" s="49"/>
      <c r="ET129" s="49"/>
      <c r="EU129" s="49"/>
    </row>
    <row r="130" customFormat="1" ht="22.5" customHeight="1" spans="1:151">
      <c r="A130" s="108">
        <v>12778</v>
      </c>
      <c r="B130" s="109" t="s">
        <v>446</v>
      </c>
      <c r="C130" s="110">
        <v>46162</v>
      </c>
      <c r="D130" s="111" t="str">
        <f>IF(_xlfn.XLOOKUP(A130,[1]分配表!J:J,[1]分配表!M:M)=0,"未出单",_xlfn.XLOOKUP(A130,[1]分配表!J:J,[1]分配表!M:M))</f>
        <v>未出单</v>
      </c>
      <c r="E130" s="112" t="str">
        <f>_xlfn.XLOOKUP(A130,[1]分配表!A:A,[1]分配表!C:C)</f>
        <v>王偲涵</v>
      </c>
      <c r="F130" s="112" t="str">
        <f>IF(_xlfn.XLOOKUP($A130,[1]分配表!$A:$A,[1]分配表!D:D)=0,"未分类",_xlfn.XLOOKUP($A130,[1]分配表!$A:$A,[1]分配表!D:D))</f>
        <v>车门系统</v>
      </c>
      <c r="G130" s="112" t="str">
        <f>_xlfn.XLOOKUP(A130,[1]分配表!J:J,[1]分配表!I:I)</f>
        <v>拓展品</v>
      </c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 t="s">
        <v>328</v>
      </c>
      <c r="S130" s="49">
        <v>0</v>
      </c>
      <c r="T130" s="113">
        <f t="shared" ref="T130:T141" si="4">IFERROR(S130-R130,S130)</f>
        <v>0</v>
      </c>
      <c r="U130" s="118"/>
      <c r="V130" s="49"/>
      <c r="W130" s="49"/>
      <c r="X130" s="49"/>
      <c r="Y130" s="49"/>
      <c r="Z130" s="49"/>
      <c r="AA130" s="49"/>
      <c r="AB130" s="116"/>
      <c r="AC130" s="49"/>
      <c r="AD130" s="117"/>
      <c r="AE130" s="117" t="s">
        <v>328</v>
      </c>
      <c r="AF130" s="117">
        <v>0</v>
      </c>
      <c r="AG130" s="115">
        <f t="shared" ref="AG130:AG141" si="5">IFERROR(AF130-AE130,AF130)</f>
        <v>0</v>
      </c>
      <c r="AH130" s="118"/>
      <c r="AI130" s="49"/>
      <c r="AJ130" s="49"/>
      <c r="AK130" s="49"/>
      <c r="AL130" s="49"/>
      <c r="AM130" s="49"/>
      <c r="AN130" s="49"/>
      <c r="AO130" s="49"/>
      <c r="AP130" s="49"/>
      <c r="AQ130" s="49"/>
      <c r="AR130" s="117" t="s">
        <v>328</v>
      </c>
      <c r="AS130" s="49">
        <v>0</v>
      </c>
      <c r="AT130" s="118"/>
      <c r="AU130" s="49"/>
      <c r="AV130" s="49"/>
      <c r="AW130" s="49"/>
      <c r="AX130" s="49"/>
      <c r="AY130" s="49"/>
      <c r="AZ130" s="49"/>
      <c r="BA130" s="55"/>
      <c r="BB130" s="55"/>
      <c r="BC130" s="55"/>
      <c r="BD130" s="117" t="s">
        <v>328</v>
      </c>
      <c r="BE130" s="55" t="s">
        <v>306</v>
      </c>
      <c r="BF130" s="118"/>
      <c r="BG130" s="49"/>
      <c r="BH130" s="49"/>
      <c r="BI130" s="49"/>
      <c r="BJ130" s="49"/>
      <c r="BK130" s="49"/>
      <c r="BL130" s="49"/>
      <c r="BM130" s="49"/>
      <c r="BN130" s="55"/>
      <c r="BO130" s="49"/>
      <c r="BP130" s="49">
        <v>0</v>
      </c>
      <c r="BQ130" s="120">
        <v>1</v>
      </c>
      <c r="BR130" s="49"/>
      <c r="BS130" s="49"/>
      <c r="BT130" s="49"/>
      <c r="BU130" s="49"/>
      <c r="BV130" s="49"/>
      <c r="BW130" s="49"/>
      <c r="BX130" s="49"/>
      <c r="BY130" s="49"/>
      <c r="BZ130" s="55"/>
      <c r="CA130" s="115"/>
      <c r="CB130" s="115" t="s">
        <v>149</v>
      </c>
      <c r="CC130" s="115" t="s">
        <v>149</v>
      </c>
      <c r="CD130" s="118"/>
      <c r="CE130" s="49"/>
      <c r="CF130" s="49"/>
      <c r="CG130" s="49"/>
      <c r="CH130" s="49"/>
      <c r="CI130" s="49"/>
      <c r="CJ130" s="49"/>
      <c r="CK130" s="49"/>
      <c r="CL130" s="55"/>
      <c r="CM130" s="115"/>
      <c r="CN130" s="115" t="s">
        <v>53</v>
      </c>
      <c r="CO130" s="121" t="s">
        <v>53</v>
      </c>
      <c r="CP130" s="49"/>
      <c r="CQ130" s="49"/>
      <c r="CR130" s="49"/>
      <c r="CS130" s="49"/>
      <c r="CT130" s="49"/>
      <c r="CU130" s="49"/>
      <c r="CV130" s="49"/>
      <c r="CW130" s="49"/>
      <c r="CX130" s="55"/>
      <c r="CY130" s="115"/>
      <c r="CZ130" s="115" t="s">
        <v>53</v>
      </c>
      <c r="DA130" s="115" t="s">
        <v>53</v>
      </c>
      <c r="DB130" s="118"/>
      <c r="DC130" s="49"/>
      <c r="DD130" s="49"/>
      <c r="DE130" s="49"/>
      <c r="DF130" s="49"/>
      <c r="DG130" s="49"/>
      <c r="DH130" s="49"/>
      <c r="DI130" s="49"/>
      <c r="DJ130" s="49"/>
      <c r="DK130" s="55"/>
      <c r="DL130" s="49"/>
      <c r="DM130" s="49" t="s">
        <v>307</v>
      </c>
      <c r="DN130" s="49" t="s">
        <v>307</v>
      </c>
      <c r="DO130" s="118"/>
      <c r="DP130" s="49"/>
      <c r="DQ130" s="49"/>
      <c r="DR130" s="49"/>
      <c r="DS130" s="49"/>
      <c r="DT130" s="49"/>
      <c r="DU130" s="49"/>
      <c r="DV130" s="49"/>
      <c r="DW130" s="55"/>
      <c r="DX130" s="49"/>
      <c r="DY130" s="49" t="s">
        <v>328</v>
      </c>
      <c r="DZ130" s="49" t="s">
        <v>58</v>
      </c>
      <c r="EA130" s="118"/>
      <c r="EB130" s="49"/>
      <c r="EC130" s="49"/>
      <c r="ED130" s="55"/>
      <c r="EE130" s="49"/>
      <c r="EF130" s="49" t="s">
        <v>62</v>
      </c>
      <c r="EG130" s="120" t="s">
        <v>62</v>
      </c>
      <c r="EH130" s="117">
        <v>0</v>
      </c>
      <c r="EI130" s="117">
        <v>0</v>
      </c>
      <c r="EJ130" s="49"/>
      <c r="EK130" s="49"/>
      <c r="EL130" s="55"/>
      <c r="EM130" s="55"/>
      <c r="EN130" s="55">
        <v>0</v>
      </c>
      <c r="EO130" s="122">
        <v>0</v>
      </c>
      <c r="EP130" s="117">
        <v>0</v>
      </c>
      <c r="EQ130" s="117">
        <v>0</v>
      </c>
      <c r="ER130" s="49"/>
      <c r="ES130" s="49"/>
      <c r="ET130" s="49"/>
      <c r="EU130" s="49"/>
    </row>
    <row r="131" customFormat="1" ht="22.5" customHeight="1" spans="1:151">
      <c r="A131" s="108">
        <v>12714</v>
      </c>
      <c r="B131" s="109" t="s">
        <v>447</v>
      </c>
      <c r="C131" s="110">
        <v>46162</v>
      </c>
      <c r="D131" s="111">
        <f>IF(_xlfn.XLOOKUP(A131,[1]分配表!J:J,[1]分配表!M:M)=0,"未出单",_xlfn.XLOOKUP(A131,[1]分配表!J:J,[1]分配表!M:M))</f>
        <v>46164</v>
      </c>
      <c r="E131" s="112" t="str">
        <f>_xlfn.XLOOKUP(A131,[1]分配表!A:A,[1]分配表!C:C)</f>
        <v>章鹏</v>
      </c>
      <c r="F131" s="112" t="str">
        <f>IF(_xlfn.XLOOKUP($A131,[1]分配表!$A:$A,[1]分配表!D:D)=0,"未分类",_xlfn.XLOOKUP($A131,[1]分配表!$A:$A,[1]分配表!D:D))</f>
        <v>挡泥板</v>
      </c>
      <c r="G131" s="112" t="str">
        <f>_xlfn.XLOOKUP(A131,[1]分配表!J:J,[1]分配表!I:I)</f>
        <v>原开品</v>
      </c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 t="s">
        <v>328</v>
      </c>
      <c r="S131" s="49">
        <v>1</v>
      </c>
      <c r="T131" s="113">
        <f t="shared" si="4"/>
        <v>1</v>
      </c>
      <c r="U131" s="118"/>
      <c r="V131" s="49"/>
      <c r="W131" s="49"/>
      <c r="X131" s="49"/>
      <c r="Y131" s="49"/>
      <c r="Z131" s="49"/>
      <c r="AA131" s="49"/>
      <c r="AB131" s="116"/>
      <c r="AC131" s="49"/>
      <c r="AD131" s="117"/>
      <c r="AE131" s="117" t="s">
        <v>328</v>
      </c>
      <c r="AF131" s="117">
        <v>105</v>
      </c>
      <c r="AG131" s="115">
        <f t="shared" si="5"/>
        <v>105</v>
      </c>
      <c r="AH131" s="118"/>
      <c r="AI131" s="49"/>
      <c r="AJ131" s="49"/>
      <c r="AK131" s="49"/>
      <c r="AL131" s="49"/>
      <c r="AM131" s="49"/>
      <c r="AN131" s="49"/>
      <c r="AO131" s="49"/>
      <c r="AP131" s="49"/>
      <c r="AQ131" s="49"/>
      <c r="AR131" s="117" t="s">
        <v>328</v>
      </c>
      <c r="AS131" s="49">
        <v>0</v>
      </c>
      <c r="AT131" s="118"/>
      <c r="AU131" s="49"/>
      <c r="AV131" s="49"/>
      <c r="AW131" s="49"/>
      <c r="AX131" s="49"/>
      <c r="AY131" s="49"/>
      <c r="AZ131" s="49"/>
      <c r="BA131" s="55"/>
      <c r="BB131" s="55"/>
      <c r="BC131" s="55"/>
      <c r="BD131" s="117" t="s">
        <v>328</v>
      </c>
      <c r="BE131" s="55">
        <v>1</v>
      </c>
      <c r="BF131" s="118"/>
      <c r="BG131" s="49"/>
      <c r="BH131" s="49"/>
      <c r="BI131" s="49"/>
      <c r="BJ131" s="49"/>
      <c r="BK131" s="49"/>
      <c r="BL131" s="49"/>
      <c r="BM131" s="49"/>
      <c r="BN131" s="55"/>
      <c r="BO131" s="49"/>
      <c r="BP131" s="49" t="s">
        <v>308</v>
      </c>
      <c r="BQ131" s="120">
        <v>6</v>
      </c>
      <c r="BR131" s="49"/>
      <c r="BS131" s="49"/>
      <c r="BT131" s="49"/>
      <c r="BU131" s="49"/>
      <c r="BV131" s="49"/>
      <c r="BW131" s="49"/>
      <c r="BX131" s="49"/>
      <c r="BY131" s="49"/>
      <c r="BZ131" s="55"/>
      <c r="CA131" s="115"/>
      <c r="CB131" s="115" t="s">
        <v>149</v>
      </c>
      <c r="CC131" s="115" t="s">
        <v>49</v>
      </c>
      <c r="CD131" s="118"/>
      <c r="CE131" s="49"/>
      <c r="CF131" s="49"/>
      <c r="CG131" s="49"/>
      <c r="CH131" s="49"/>
      <c r="CI131" s="49"/>
      <c r="CJ131" s="49"/>
      <c r="CK131" s="49"/>
      <c r="CL131" s="55"/>
      <c r="CM131" s="115"/>
      <c r="CN131" s="115" t="s">
        <v>53</v>
      </c>
      <c r="CO131" s="121" t="s">
        <v>53</v>
      </c>
      <c r="CP131" s="49"/>
      <c r="CQ131" s="49"/>
      <c r="CR131" s="49"/>
      <c r="CS131" s="49"/>
      <c r="CT131" s="49"/>
      <c r="CU131" s="49"/>
      <c r="CV131" s="49"/>
      <c r="CW131" s="49"/>
      <c r="CX131" s="55"/>
      <c r="CY131" s="115"/>
      <c r="CZ131" s="115" t="s">
        <v>152</v>
      </c>
      <c r="DA131" s="115" t="s">
        <v>152</v>
      </c>
      <c r="DB131" s="118"/>
      <c r="DC131" s="49"/>
      <c r="DD131" s="49"/>
      <c r="DE131" s="49"/>
      <c r="DF131" s="49"/>
      <c r="DG131" s="49"/>
      <c r="DH131" s="49"/>
      <c r="DI131" s="49"/>
      <c r="DJ131" s="49"/>
      <c r="DK131" s="55"/>
      <c r="DL131" s="49"/>
      <c r="DM131" s="49" t="s">
        <v>307</v>
      </c>
      <c r="DN131" s="49" t="s">
        <v>53</v>
      </c>
      <c r="DO131" s="118"/>
      <c r="DP131" s="49"/>
      <c r="DQ131" s="49"/>
      <c r="DR131" s="49"/>
      <c r="DS131" s="49"/>
      <c r="DT131" s="49"/>
      <c r="DU131" s="49"/>
      <c r="DV131" s="49"/>
      <c r="DW131" s="55"/>
      <c r="DX131" s="49"/>
      <c r="DY131" s="49" t="s">
        <v>328</v>
      </c>
      <c r="DZ131" s="49" t="s">
        <v>159</v>
      </c>
      <c r="EA131" s="118"/>
      <c r="EB131" s="49"/>
      <c r="EC131" s="49"/>
      <c r="ED131" s="55"/>
      <c r="EE131" s="49"/>
      <c r="EF131" s="49" t="s">
        <v>62</v>
      </c>
      <c r="EG131" s="120" t="s">
        <v>49</v>
      </c>
      <c r="EH131" s="117">
        <v>5.14</v>
      </c>
      <c r="EI131" s="117">
        <v>0</v>
      </c>
      <c r="EJ131" s="49"/>
      <c r="EK131" s="49"/>
      <c r="EL131" s="55"/>
      <c r="EM131" s="55"/>
      <c r="EN131" s="55">
        <v>0</v>
      </c>
      <c r="EO131" s="122">
        <v>0</v>
      </c>
      <c r="EP131" s="117">
        <v>0</v>
      </c>
      <c r="EQ131" s="117">
        <v>0</v>
      </c>
      <c r="ER131" s="49"/>
      <c r="ES131" s="49"/>
      <c r="ET131" s="49"/>
      <c r="EU131" s="49"/>
    </row>
    <row r="132" customFormat="1" ht="22.5" customHeight="1" spans="1:151">
      <c r="A132" s="108">
        <v>12761</v>
      </c>
      <c r="B132" s="109" t="s">
        <v>448</v>
      </c>
      <c r="C132" s="110">
        <v>46162</v>
      </c>
      <c r="D132" s="111">
        <f>IF(_xlfn.XLOOKUP(A132,[1]分配表!J:J,[1]分配表!M:M)=0,"未出单",_xlfn.XLOOKUP(A132,[1]分配表!J:J,[1]分配表!M:M))</f>
        <v>46167</v>
      </c>
      <c r="E132" s="112" t="str">
        <f>_xlfn.XLOOKUP(A132,[1]分配表!A:A,[1]分配表!C:C)</f>
        <v>朱培源</v>
      </c>
      <c r="F132" s="112" t="str">
        <f>IF(_xlfn.XLOOKUP($A132,[1]分配表!$A:$A,[1]分配表!D:D)=0,"未分类",_xlfn.XLOOKUP($A132,[1]分配表!$A:$A,[1]分配表!D:D))</f>
        <v>挡泥板</v>
      </c>
      <c r="G132" s="112" t="str">
        <f>_xlfn.XLOOKUP(A132,[1]分配表!J:J,[1]分配表!I:I)</f>
        <v>原开品</v>
      </c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 t="s">
        <v>328</v>
      </c>
      <c r="S132" s="49">
        <v>3</v>
      </c>
      <c r="T132" s="113">
        <f t="shared" si="4"/>
        <v>3</v>
      </c>
      <c r="U132" s="118"/>
      <c r="V132" s="49"/>
      <c r="W132" s="49"/>
      <c r="X132" s="49"/>
      <c r="Y132" s="49"/>
      <c r="Z132" s="49"/>
      <c r="AA132" s="49"/>
      <c r="AB132" s="116"/>
      <c r="AC132" s="49"/>
      <c r="AD132" s="117"/>
      <c r="AE132" s="117" t="s">
        <v>328</v>
      </c>
      <c r="AF132" s="117">
        <v>450</v>
      </c>
      <c r="AG132" s="115">
        <f t="shared" si="5"/>
        <v>450</v>
      </c>
      <c r="AH132" s="118"/>
      <c r="AI132" s="49"/>
      <c r="AJ132" s="49"/>
      <c r="AK132" s="49"/>
      <c r="AL132" s="49"/>
      <c r="AM132" s="49"/>
      <c r="AN132" s="49"/>
      <c r="AO132" s="49"/>
      <c r="AP132" s="49"/>
      <c r="AQ132" s="49"/>
      <c r="AR132" s="117" t="s">
        <v>328</v>
      </c>
      <c r="AS132" s="49">
        <v>0</v>
      </c>
      <c r="AT132" s="118"/>
      <c r="AU132" s="49"/>
      <c r="AV132" s="49"/>
      <c r="AW132" s="49"/>
      <c r="AX132" s="49"/>
      <c r="AY132" s="49"/>
      <c r="AZ132" s="49"/>
      <c r="BA132" s="55"/>
      <c r="BB132" s="55"/>
      <c r="BC132" s="55"/>
      <c r="BD132" s="117" t="s">
        <v>328</v>
      </c>
      <c r="BE132" s="55">
        <v>1</v>
      </c>
      <c r="BF132" s="118"/>
      <c r="BG132" s="49"/>
      <c r="BH132" s="49"/>
      <c r="BI132" s="49"/>
      <c r="BJ132" s="49"/>
      <c r="BK132" s="49"/>
      <c r="BL132" s="49"/>
      <c r="BM132" s="49"/>
      <c r="BN132" s="55"/>
      <c r="BO132" s="49"/>
      <c r="BP132" s="49" t="s">
        <v>308</v>
      </c>
      <c r="BQ132" s="120">
        <v>6</v>
      </c>
      <c r="BR132" s="49"/>
      <c r="BS132" s="49"/>
      <c r="BT132" s="49"/>
      <c r="BU132" s="49"/>
      <c r="BV132" s="49"/>
      <c r="BW132" s="49"/>
      <c r="BX132" s="49"/>
      <c r="BY132" s="49"/>
      <c r="BZ132" s="55"/>
      <c r="CA132" s="115"/>
      <c r="CB132" s="115" t="s">
        <v>149</v>
      </c>
      <c r="CC132" s="115" t="s">
        <v>49</v>
      </c>
      <c r="CD132" s="118"/>
      <c r="CE132" s="49"/>
      <c r="CF132" s="49"/>
      <c r="CG132" s="49"/>
      <c r="CH132" s="49"/>
      <c r="CI132" s="49"/>
      <c r="CJ132" s="49"/>
      <c r="CK132" s="49"/>
      <c r="CL132" s="55"/>
      <c r="CM132" s="115"/>
      <c r="CN132" s="115" t="s">
        <v>53</v>
      </c>
      <c r="CO132" s="121" t="s">
        <v>53</v>
      </c>
      <c r="CP132" s="49"/>
      <c r="CQ132" s="49"/>
      <c r="CR132" s="49"/>
      <c r="CS132" s="49"/>
      <c r="CT132" s="49"/>
      <c r="CU132" s="49"/>
      <c r="CV132" s="49"/>
      <c r="CW132" s="49"/>
      <c r="CX132" s="55"/>
      <c r="CY132" s="115"/>
      <c r="CZ132" s="115" t="s">
        <v>152</v>
      </c>
      <c r="DA132" s="115" t="s">
        <v>152</v>
      </c>
      <c r="DB132" s="118"/>
      <c r="DC132" s="49"/>
      <c r="DD132" s="49"/>
      <c r="DE132" s="49"/>
      <c r="DF132" s="49"/>
      <c r="DG132" s="49"/>
      <c r="DH132" s="49"/>
      <c r="DI132" s="49"/>
      <c r="DJ132" s="49"/>
      <c r="DK132" s="55"/>
      <c r="DL132" s="49"/>
      <c r="DM132" s="49" t="s">
        <v>307</v>
      </c>
      <c r="DN132" s="49" t="s">
        <v>53</v>
      </c>
      <c r="DO132" s="118"/>
      <c r="DP132" s="49"/>
      <c r="DQ132" s="49"/>
      <c r="DR132" s="49"/>
      <c r="DS132" s="49"/>
      <c r="DT132" s="49"/>
      <c r="DU132" s="49"/>
      <c r="DV132" s="49"/>
      <c r="DW132" s="55"/>
      <c r="DX132" s="49"/>
      <c r="DY132" s="49" t="s">
        <v>328</v>
      </c>
      <c r="DZ132" s="49" t="s">
        <v>159</v>
      </c>
      <c r="EA132" s="118"/>
      <c r="EB132" s="49"/>
      <c r="EC132" s="49"/>
      <c r="ED132" s="55"/>
      <c r="EE132" s="49"/>
      <c r="EF132" s="49" t="s">
        <v>62</v>
      </c>
      <c r="EG132" s="120" t="s">
        <v>49</v>
      </c>
      <c r="EH132" s="117">
        <v>9.09</v>
      </c>
      <c r="EI132" s="117">
        <v>0</v>
      </c>
      <c r="EJ132" s="49"/>
      <c r="EK132" s="49"/>
      <c r="EL132" s="55"/>
      <c r="EM132" s="55"/>
      <c r="EN132" s="55">
        <v>0</v>
      </c>
      <c r="EO132" s="122">
        <v>0</v>
      </c>
      <c r="EP132" s="117">
        <v>0</v>
      </c>
      <c r="EQ132" s="117">
        <v>0</v>
      </c>
      <c r="ER132" s="49"/>
      <c r="ES132" s="49"/>
      <c r="ET132" s="49"/>
      <c r="EU132" s="49"/>
    </row>
    <row r="133" customFormat="1" ht="22.5" customHeight="1" spans="1:151">
      <c r="A133" s="108">
        <v>12771</v>
      </c>
      <c r="B133" s="109" t="s">
        <v>449</v>
      </c>
      <c r="C133" s="110">
        <v>46162</v>
      </c>
      <c r="D133" s="111">
        <f>IF(_xlfn.XLOOKUP(A133,[1]分配表!J:J,[1]分配表!M:M)=0,"未出单",_xlfn.XLOOKUP(A133,[1]分配表!J:J,[1]分配表!M:M))</f>
        <v>46169</v>
      </c>
      <c r="E133" s="112" t="str">
        <f>_xlfn.XLOOKUP(A133,[1]分配表!A:A,[1]分配表!C:C)</f>
        <v>朱培源</v>
      </c>
      <c r="F133" s="112" t="str">
        <f>IF(_xlfn.XLOOKUP($A133,[1]分配表!$A:$A,[1]分配表!D:D)=0,"未分类",_xlfn.XLOOKUP($A133,[1]分配表!$A:$A,[1]分配表!D:D))</f>
        <v>挡泥板</v>
      </c>
      <c r="G133" s="112" t="str">
        <f>_xlfn.XLOOKUP(A133,[1]分配表!J:J,[1]分配表!I:I)</f>
        <v>原开品</v>
      </c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 t="s">
        <v>328</v>
      </c>
      <c r="S133" s="49">
        <v>1</v>
      </c>
      <c r="T133" s="113">
        <f t="shared" si="4"/>
        <v>1</v>
      </c>
      <c r="U133" s="118"/>
      <c r="V133" s="49"/>
      <c r="W133" s="49"/>
      <c r="X133" s="49"/>
      <c r="Y133" s="49"/>
      <c r="Z133" s="49"/>
      <c r="AA133" s="49"/>
      <c r="AB133" s="116"/>
      <c r="AC133" s="49"/>
      <c r="AD133" s="117"/>
      <c r="AE133" s="117" t="s">
        <v>328</v>
      </c>
      <c r="AF133" s="117">
        <v>130</v>
      </c>
      <c r="AG133" s="115">
        <f t="shared" si="5"/>
        <v>130</v>
      </c>
      <c r="AH133" s="118"/>
      <c r="AI133" s="49"/>
      <c r="AJ133" s="49"/>
      <c r="AK133" s="49"/>
      <c r="AL133" s="49"/>
      <c r="AM133" s="49"/>
      <c r="AN133" s="49"/>
      <c r="AO133" s="49"/>
      <c r="AP133" s="49"/>
      <c r="AQ133" s="49"/>
      <c r="AR133" s="117" t="s">
        <v>328</v>
      </c>
      <c r="AS133" s="49">
        <v>0</v>
      </c>
      <c r="AT133" s="118"/>
      <c r="AU133" s="49"/>
      <c r="AV133" s="49"/>
      <c r="AW133" s="49"/>
      <c r="AX133" s="49"/>
      <c r="AY133" s="49"/>
      <c r="AZ133" s="49"/>
      <c r="BA133" s="55"/>
      <c r="BB133" s="55"/>
      <c r="BC133" s="55"/>
      <c r="BD133" s="117" t="s">
        <v>328</v>
      </c>
      <c r="BE133" s="55" t="s">
        <v>306</v>
      </c>
      <c r="BF133" s="118"/>
      <c r="BG133" s="49"/>
      <c r="BH133" s="49"/>
      <c r="BI133" s="49"/>
      <c r="BJ133" s="49"/>
      <c r="BK133" s="49"/>
      <c r="BL133" s="49"/>
      <c r="BM133" s="49"/>
      <c r="BN133" s="55"/>
      <c r="BO133" s="49"/>
      <c r="BP133" s="49" t="s">
        <v>308</v>
      </c>
      <c r="BQ133" s="120">
        <v>0</v>
      </c>
      <c r="BR133" s="49"/>
      <c r="BS133" s="49"/>
      <c r="BT133" s="49"/>
      <c r="BU133" s="49"/>
      <c r="BV133" s="49"/>
      <c r="BW133" s="49"/>
      <c r="BX133" s="49"/>
      <c r="BY133" s="49"/>
      <c r="BZ133" s="55"/>
      <c r="CA133" s="115"/>
      <c r="CB133" s="115" t="s">
        <v>149</v>
      </c>
      <c r="CC133" s="115" t="s">
        <v>49</v>
      </c>
      <c r="CD133" s="118"/>
      <c r="CE133" s="49"/>
      <c r="CF133" s="49"/>
      <c r="CG133" s="49"/>
      <c r="CH133" s="49"/>
      <c r="CI133" s="49"/>
      <c r="CJ133" s="49"/>
      <c r="CK133" s="49"/>
      <c r="CL133" s="55"/>
      <c r="CM133" s="115"/>
      <c r="CN133" s="115" t="s">
        <v>53</v>
      </c>
      <c r="CO133" s="121" t="s">
        <v>53</v>
      </c>
      <c r="CP133" s="49"/>
      <c r="CQ133" s="49"/>
      <c r="CR133" s="49"/>
      <c r="CS133" s="49"/>
      <c r="CT133" s="49"/>
      <c r="CU133" s="49"/>
      <c r="CV133" s="49"/>
      <c r="CW133" s="49"/>
      <c r="CX133" s="55"/>
      <c r="CY133" s="115"/>
      <c r="CZ133" s="115" t="s">
        <v>152</v>
      </c>
      <c r="DA133" s="115" t="s">
        <v>53</v>
      </c>
      <c r="DB133" s="118"/>
      <c r="DC133" s="49"/>
      <c r="DD133" s="49"/>
      <c r="DE133" s="49"/>
      <c r="DF133" s="49"/>
      <c r="DG133" s="49"/>
      <c r="DH133" s="49"/>
      <c r="DI133" s="49"/>
      <c r="DJ133" s="49"/>
      <c r="DK133" s="55"/>
      <c r="DL133" s="49"/>
      <c r="DM133" s="49" t="s">
        <v>307</v>
      </c>
      <c r="DN133" s="49" t="s">
        <v>307</v>
      </c>
      <c r="DO133" s="118"/>
      <c r="DP133" s="49"/>
      <c r="DQ133" s="49"/>
      <c r="DR133" s="49"/>
      <c r="DS133" s="49"/>
      <c r="DT133" s="49"/>
      <c r="DU133" s="49"/>
      <c r="DV133" s="49"/>
      <c r="DW133" s="55"/>
      <c r="DX133" s="49"/>
      <c r="DY133" s="49" t="s">
        <v>328</v>
      </c>
      <c r="DZ133" s="49" t="s">
        <v>331</v>
      </c>
      <c r="EA133" s="118"/>
      <c r="EB133" s="49"/>
      <c r="EC133" s="49"/>
      <c r="ED133" s="55"/>
      <c r="EE133" s="49"/>
      <c r="EF133" s="49" t="s">
        <v>62</v>
      </c>
      <c r="EG133" s="120" t="s">
        <v>49</v>
      </c>
      <c r="EH133" s="117">
        <v>0</v>
      </c>
      <c r="EI133" s="117">
        <v>0</v>
      </c>
      <c r="EJ133" s="49"/>
      <c r="EK133" s="49"/>
      <c r="EL133" s="55"/>
      <c r="EM133" s="55"/>
      <c r="EN133" s="55">
        <v>0</v>
      </c>
      <c r="EO133" s="122">
        <v>0</v>
      </c>
      <c r="EP133" s="117">
        <v>0</v>
      </c>
      <c r="EQ133" s="117">
        <v>0</v>
      </c>
      <c r="ER133" s="49"/>
      <c r="ES133" s="49"/>
      <c r="ET133" s="49"/>
      <c r="EU133" s="49"/>
    </row>
    <row r="134" customFormat="1" ht="22.5" customHeight="1" spans="1:151">
      <c r="A134" s="108">
        <v>12715</v>
      </c>
      <c r="B134" s="109" t="s">
        <v>450</v>
      </c>
      <c r="C134" s="110">
        <v>46162</v>
      </c>
      <c r="D134" s="111">
        <f>IF(_xlfn.XLOOKUP(A134,[1]分配表!J:J,[1]分配表!M:M)=0,"未出单",_xlfn.XLOOKUP(A134,[1]分配表!J:J,[1]分配表!M:M))</f>
        <v>46162</v>
      </c>
      <c r="E134" s="112" t="str">
        <f>_xlfn.XLOOKUP(A134,[1]分配表!A:A,[1]分配表!C:C)</f>
        <v>张潇</v>
      </c>
      <c r="F134" s="112" t="str">
        <f>IF(_xlfn.XLOOKUP($A134,[1]分配表!$A:$A,[1]分配表!D:D)=0,"未分类",_xlfn.XLOOKUP($A134,[1]分配表!$A:$A,[1]分配表!D:D))</f>
        <v>挡泥板</v>
      </c>
      <c r="G134" s="112" t="str">
        <f>_xlfn.XLOOKUP(A134,[1]分配表!J:J,[1]分配表!I:I)</f>
        <v>原开品</v>
      </c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 t="s">
        <v>328</v>
      </c>
      <c r="S134" s="49">
        <v>2</v>
      </c>
      <c r="T134" s="113">
        <f t="shared" si="4"/>
        <v>2</v>
      </c>
      <c r="U134" s="118"/>
      <c r="V134" s="49"/>
      <c r="W134" s="49"/>
      <c r="X134" s="49"/>
      <c r="Y134" s="49"/>
      <c r="Z134" s="49"/>
      <c r="AA134" s="49"/>
      <c r="AB134" s="116"/>
      <c r="AC134" s="49"/>
      <c r="AD134" s="117"/>
      <c r="AE134" s="117" t="s">
        <v>328</v>
      </c>
      <c r="AF134" s="117">
        <v>151.9</v>
      </c>
      <c r="AG134" s="115">
        <f t="shared" si="5"/>
        <v>151.9</v>
      </c>
      <c r="AH134" s="118"/>
      <c r="AI134" s="49"/>
      <c r="AJ134" s="49"/>
      <c r="AK134" s="49"/>
      <c r="AL134" s="49"/>
      <c r="AM134" s="49"/>
      <c r="AN134" s="49"/>
      <c r="AO134" s="49"/>
      <c r="AP134" s="49"/>
      <c r="AQ134" s="49"/>
      <c r="AR134" s="117" t="s">
        <v>328</v>
      </c>
      <c r="AS134" s="49">
        <v>0</v>
      </c>
      <c r="AT134" s="118"/>
      <c r="AU134" s="49"/>
      <c r="AV134" s="49"/>
      <c r="AW134" s="49"/>
      <c r="AX134" s="49"/>
      <c r="AY134" s="49"/>
      <c r="AZ134" s="49"/>
      <c r="BA134" s="55"/>
      <c r="BB134" s="55"/>
      <c r="BC134" s="55"/>
      <c r="BD134" s="117" t="s">
        <v>328</v>
      </c>
      <c r="BE134" s="55">
        <v>1</v>
      </c>
      <c r="BF134" s="118"/>
      <c r="BG134" s="49"/>
      <c r="BH134" s="49"/>
      <c r="BI134" s="49"/>
      <c r="BJ134" s="49"/>
      <c r="BK134" s="49"/>
      <c r="BL134" s="49"/>
      <c r="BM134" s="49"/>
      <c r="BN134" s="55"/>
      <c r="BO134" s="49"/>
      <c r="BP134" s="49">
        <v>0</v>
      </c>
      <c r="BQ134" s="120">
        <v>2</v>
      </c>
      <c r="BR134" s="49"/>
      <c r="BS134" s="49"/>
      <c r="BT134" s="49"/>
      <c r="BU134" s="49"/>
      <c r="BV134" s="49"/>
      <c r="BW134" s="49"/>
      <c r="BX134" s="49"/>
      <c r="BY134" s="49"/>
      <c r="BZ134" s="55"/>
      <c r="CA134" s="115"/>
      <c r="CB134" s="115" t="s">
        <v>49</v>
      </c>
      <c r="CC134" s="115" t="s">
        <v>49</v>
      </c>
      <c r="CD134" s="118"/>
      <c r="CE134" s="49"/>
      <c r="CF134" s="49"/>
      <c r="CG134" s="49"/>
      <c r="CH134" s="49"/>
      <c r="CI134" s="49"/>
      <c r="CJ134" s="49"/>
      <c r="CK134" s="49"/>
      <c r="CL134" s="55"/>
      <c r="CM134" s="115"/>
      <c r="CN134" s="115" t="s">
        <v>53</v>
      </c>
      <c r="CO134" s="121" t="s">
        <v>53</v>
      </c>
      <c r="CP134" s="49"/>
      <c r="CQ134" s="49"/>
      <c r="CR134" s="49"/>
      <c r="CS134" s="49"/>
      <c r="CT134" s="49"/>
      <c r="CU134" s="49"/>
      <c r="CV134" s="49"/>
      <c r="CW134" s="49"/>
      <c r="CX134" s="55"/>
      <c r="CY134" s="115"/>
      <c r="CZ134" s="115" t="s">
        <v>53</v>
      </c>
      <c r="DA134" s="115" t="s">
        <v>53</v>
      </c>
      <c r="DB134" s="118"/>
      <c r="DC134" s="49"/>
      <c r="DD134" s="49"/>
      <c r="DE134" s="49"/>
      <c r="DF134" s="49"/>
      <c r="DG134" s="49"/>
      <c r="DH134" s="49"/>
      <c r="DI134" s="49"/>
      <c r="DJ134" s="49"/>
      <c r="DK134" s="55"/>
      <c r="DL134" s="49"/>
      <c r="DM134" s="49" t="s">
        <v>307</v>
      </c>
      <c r="DN134" s="49" t="s">
        <v>53</v>
      </c>
      <c r="DO134" s="118"/>
      <c r="DP134" s="49"/>
      <c r="DQ134" s="49"/>
      <c r="DR134" s="49"/>
      <c r="DS134" s="49"/>
      <c r="DT134" s="49"/>
      <c r="DU134" s="49"/>
      <c r="DV134" s="49"/>
      <c r="DW134" s="55"/>
      <c r="DX134" s="49"/>
      <c r="DY134" s="49" t="s">
        <v>328</v>
      </c>
      <c r="DZ134" s="49" t="s">
        <v>58</v>
      </c>
      <c r="EA134" s="118"/>
      <c r="EB134" s="49"/>
      <c r="EC134" s="49"/>
      <c r="ED134" s="55"/>
      <c r="EE134" s="49"/>
      <c r="EF134" s="49" t="s">
        <v>49</v>
      </c>
      <c r="EG134" s="120" t="s">
        <v>49</v>
      </c>
      <c r="EH134" s="117">
        <v>18.84</v>
      </c>
      <c r="EI134" s="117">
        <v>87.64</v>
      </c>
      <c r="EJ134" s="49"/>
      <c r="EK134" s="49"/>
      <c r="EL134" s="55"/>
      <c r="EM134" s="55"/>
      <c r="EN134" s="55">
        <v>0</v>
      </c>
      <c r="EO134" s="122">
        <v>0</v>
      </c>
      <c r="EP134" s="117">
        <v>0</v>
      </c>
      <c r="EQ134" s="117">
        <v>0</v>
      </c>
      <c r="ER134" s="49"/>
      <c r="ES134" s="49"/>
      <c r="ET134" s="49"/>
      <c r="EU134" s="49"/>
    </row>
    <row r="135" customFormat="1" ht="22.5" customHeight="1" spans="1:151">
      <c r="A135" s="108">
        <v>12762</v>
      </c>
      <c r="B135" s="109" t="s">
        <v>451</v>
      </c>
      <c r="C135" s="110">
        <v>46162</v>
      </c>
      <c r="D135" s="111" t="str">
        <f>IF(_xlfn.XLOOKUP(A135,[1]分配表!J:J,[1]分配表!M:M)=0,"未出单",_xlfn.XLOOKUP(A135,[1]分配表!J:J,[1]分配表!M:M))</f>
        <v>未出单</v>
      </c>
      <c r="E135" s="112" t="str">
        <f>_xlfn.XLOOKUP(A135,[1]分配表!A:A,[1]分配表!C:C)</f>
        <v>张潇</v>
      </c>
      <c r="F135" s="112" t="str">
        <f>IF(_xlfn.XLOOKUP($A135,[1]分配表!$A:$A,[1]分配表!D:D)=0,"未分类",_xlfn.XLOOKUP($A135,[1]分配表!$A:$A,[1]分配表!D:D))</f>
        <v>挡泥板</v>
      </c>
      <c r="G135" s="112" t="str">
        <f>_xlfn.XLOOKUP(A135,[1]分配表!J:J,[1]分配表!I:I)</f>
        <v>原开品</v>
      </c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 t="s">
        <v>328</v>
      </c>
      <c r="S135" s="49">
        <v>0</v>
      </c>
      <c r="T135" s="113">
        <f t="shared" si="4"/>
        <v>0</v>
      </c>
      <c r="U135" s="118"/>
      <c r="V135" s="49"/>
      <c r="W135" s="49"/>
      <c r="X135" s="49"/>
      <c r="Y135" s="49"/>
      <c r="Z135" s="49"/>
      <c r="AA135" s="49"/>
      <c r="AB135" s="116"/>
      <c r="AC135" s="49"/>
      <c r="AD135" s="117"/>
      <c r="AE135" s="117" t="s">
        <v>328</v>
      </c>
      <c r="AF135" s="117">
        <v>0</v>
      </c>
      <c r="AG135" s="115">
        <f t="shared" si="5"/>
        <v>0</v>
      </c>
      <c r="AH135" s="118"/>
      <c r="AI135" s="49"/>
      <c r="AJ135" s="49"/>
      <c r="AK135" s="49"/>
      <c r="AL135" s="49"/>
      <c r="AM135" s="49"/>
      <c r="AN135" s="49"/>
      <c r="AO135" s="49"/>
      <c r="AP135" s="49"/>
      <c r="AQ135" s="49"/>
      <c r="AR135" s="117" t="s">
        <v>328</v>
      </c>
      <c r="AS135" s="49">
        <v>0</v>
      </c>
      <c r="AT135" s="118"/>
      <c r="AU135" s="49"/>
      <c r="AV135" s="49"/>
      <c r="AW135" s="49"/>
      <c r="AX135" s="49"/>
      <c r="AY135" s="49"/>
      <c r="AZ135" s="49"/>
      <c r="BA135" s="55"/>
      <c r="BB135" s="55"/>
      <c r="BC135" s="55"/>
      <c r="BD135" s="117" t="s">
        <v>328</v>
      </c>
      <c r="BE135" s="55" t="s">
        <v>306</v>
      </c>
      <c r="BF135" s="118"/>
      <c r="BG135" s="49"/>
      <c r="BH135" s="49"/>
      <c r="BI135" s="49"/>
      <c r="BJ135" s="49"/>
      <c r="BK135" s="49"/>
      <c r="BL135" s="49"/>
      <c r="BM135" s="49"/>
      <c r="BN135" s="55"/>
      <c r="BO135" s="49"/>
      <c r="BP135" s="49">
        <v>0</v>
      </c>
      <c r="BQ135" s="120">
        <v>2</v>
      </c>
      <c r="BR135" s="49"/>
      <c r="BS135" s="49"/>
      <c r="BT135" s="49"/>
      <c r="BU135" s="49"/>
      <c r="BV135" s="49"/>
      <c r="BW135" s="49"/>
      <c r="BX135" s="49"/>
      <c r="BY135" s="49"/>
      <c r="BZ135" s="55"/>
      <c r="CA135" s="115"/>
      <c r="CB135" s="115" t="s">
        <v>149</v>
      </c>
      <c r="CC135" s="115" t="s">
        <v>149</v>
      </c>
      <c r="CD135" s="118"/>
      <c r="CE135" s="49"/>
      <c r="CF135" s="49"/>
      <c r="CG135" s="49"/>
      <c r="CH135" s="49"/>
      <c r="CI135" s="49"/>
      <c r="CJ135" s="49"/>
      <c r="CK135" s="49"/>
      <c r="CL135" s="55"/>
      <c r="CM135" s="115"/>
      <c r="CN135" s="115" t="s">
        <v>53</v>
      </c>
      <c r="CO135" s="121" t="s">
        <v>53</v>
      </c>
      <c r="CP135" s="49"/>
      <c r="CQ135" s="49"/>
      <c r="CR135" s="49"/>
      <c r="CS135" s="49"/>
      <c r="CT135" s="49"/>
      <c r="CU135" s="49"/>
      <c r="CV135" s="49"/>
      <c r="CW135" s="49"/>
      <c r="CX135" s="55"/>
      <c r="CY135" s="115"/>
      <c r="CZ135" s="115" t="s">
        <v>53</v>
      </c>
      <c r="DA135" s="115" t="s">
        <v>53</v>
      </c>
      <c r="DB135" s="118"/>
      <c r="DC135" s="49"/>
      <c r="DD135" s="49"/>
      <c r="DE135" s="49"/>
      <c r="DF135" s="49"/>
      <c r="DG135" s="49"/>
      <c r="DH135" s="49"/>
      <c r="DI135" s="49"/>
      <c r="DJ135" s="49"/>
      <c r="DK135" s="55"/>
      <c r="DL135" s="49"/>
      <c r="DM135" s="49" t="s">
        <v>307</v>
      </c>
      <c r="DN135" s="49" t="s">
        <v>307</v>
      </c>
      <c r="DO135" s="118"/>
      <c r="DP135" s="49"/>
      <c r="DQ135" s="49"/>
      <c r="DR135" s="49"/>
      <c r="DS135" s="49"/>
      <c r="DT135" s="49"/>
      <c r="DU135" s="49"/>
      <c r="DV135" s="49"/>
      <c r="DW135" s="55"/>
      <c r="DX135" s="49"/>
      <c r="DY135" s="49" t="s">
        <v>328</v>
      </c>
      <c r="DZ135" s="49" t="s">
        <v>58</v>
      </c>
      <c r="EA135" s="118"/>
      <c r="EB135" s="49"/>
      <c r="EC135" s="49"/>
      <c r="ED135" s="55"/>
      <c r="EE135" s="49"/>
      <c r="EF135" s="49" t="s">
        <v>49</v>
      </c>
      <c r="EG135" s="120" t="s">
        <v>49</v>
      </c>
      <c r="EH135" s="117">
        <v>10.06</v>
      </c>
      <c r="EI135" s="117">
        <v>0</v>
      </c>
      <c r="EJ135" s="49"/>
      <c r="EK135" s="49"/>
      <c r="EL135" s="55"/>
      <c r="EM135" s="55"/>
      <c r="EN135" s="55">
        <v>0</v>
      </c>
      <c r="EO135" s="122">
        <v>0</v>
      </c>
      <c r="EP135" s="117">
        <v>0</v>
      </c>
      <c r="EQ135" s="117">
        <v>0</v>
      </c>
      <c r="ER135" s="49"/>
      <c r="ES135" s="49"/>
      <c r="ET135" s="49"/>
      <c r="EU135" s="49"/>
    </row>
    <row r="136" customFormat="1" ht="22.5" customHeight="1" spans="1:151">
      <c r="A136" s="108">
        <v>12726</v>
      </c>
      <c r="B136" s="109" t="s">
        <v>452</v>
      </c>
      <c r="C136" s="110">
        <v>46163</v>
      </c>
      <c r="D136" s="111" t="str">
        <f>IF(_xlfn.XLOOKUP(A136,[1]分配表!J:J,[1]分配表!M:M)=0,"未出单",_xlfn.XLOOKUP(A136,[1]分配表!J:J,[1]分配表!M:M))</f>
        <v>未出单</v>
      </c>
      <c r="E136" s="112" t="str">
        <f>_xlfn.XLOOKUP(A136,[1]分配表!A:A,[1]分配表!C:C)</f>
        <v>朱培源</v>
      </c>
      <c r="F136" s="112" t="str">
        <f>IF(_xlfn.XLOOKUP($A136,[1]分配表!$A:$A,[1]分配表!D:D)=0,"未分类",_xlfn.XLOOKUP($A136,[1]分配表!$A:$A,[1]分配表!D:D))</f>
        <v>车身外扩件</v>
      </c>
      <c r="G136" s="112" t="str">
        <f>_xlfn.XLOOKUP(A136,[1]分配表!J:J,[1]分配表!I:I)</f>
        <v>拓展品</v>
      </c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 t="s">
        <v>328</v>
      </c>
      <c r="S136" s="49">
        <v>0</v>
      </c>
      <c r="T136" s="113">
        <f t="shared" si="4"/>
        <v>0</v>
      </c>
      <c r="U136" s="118"/>
      <c r="V136" s="49"/>
      <c r="W136" s="49"/>
      <c r="X136" s="49"/>
      <c r="Y136" s="49"/>
      <c r="Z136" s="49"/>
      <c r="AA136" s="49"/>
      <c r="AB136" s="116"/>
      <c r="AC136" s="49"/>
      <c r="AD136" s="117"/>
      <c r="AE136" s="117" t="s">
        <v>328</v>
      </c>
      <c r="AF136" s="117">
        <v>0</v>
      </c>
      <c r="AG136" s="115">
        <f t="shared" si="5"/>
        <v>0</v>
      </c>
      <c r="AH136" s="118"/>
      <c r="AI136" s="49"/>
      <c r="AJ136" s="49"/>
      <c r="AK136" s="49"/>
      <c r="AL136" s="49"/>
      <c r="AM136" s="49"/>
      <c r="AN136" s="49"/>
      <c r="AO136" s="49"/>
      <c r="AP136" s="49"/>
      <c r="AQ136" s="49"/>
      <c r="AR136" s="117" t="s">
        <v>328</v>
      </c>
      <c r="AS136" s="49">
        <v>1</v>
      </c>
      <c r="AT136" s="118"/>
      <c r="AU136" s="49"/>
      <c r="AV136" s="49"/>
      <c r="AW136" s="49"/>
      <c r="AX136" s="49"/>
      <c r="AY136" s="49"/>
      <c r="AZ136" s="49"/>
      <c r="BA136" s="55"/>
      <c r="BB136" s="55"/>
      <c r="BC136" s="55"/>
      <c r="BD136" s="117" t="s">
        <v>328</v>
      </c>
      <c r="BE136" s="55">
        <v>0</v>
      </c>
      <c r="BF136" s="118"/>
      <c r="BG136" s="49"/>
      <c r="BH136" s="49"/>
      <c r="BI136" s="49"/>
      <c r="BJ136" s="49"/>
      <c r="BK136" s="49"/>
      <c r="BL136" s="49"/>
      <c r="BM136" s="49"/>
      <c r="BN136" s="55"/>
      <c r="BO136" s="49"/>
      <c r="BP136" s="49" t="s">
        <v>328</v>
      </c>
      <c r="BQ136" s="120">
        <v>6</v>
      </c>
      <c r="BR136" s="49"/>
      <c r="BS136" s="49"/>
      <c r="BT136" s="49"/>
      <c r="BU136" s="49"/>
      <c r="BV136" s="49"/>
      <c r="BW136" s="49"/>
      <c r="BX136" s="49"/>
      <c r="BY136" s="49"/>
      <c r="BZ136" s="55"/>
      <c r="CA136" s="115"/>
      <c r="CB136" s="115" t="s">
        <v>328</v>
      </c>
      <c r="CC136" s="115" t="s">
        <v>149</v>
      </c>
      <c r="CD136" s="118"/>
      <c r="CE136" s="49"/>
      <c r="CF136" s="49"/>
      <c r="CG136" s="49"/>
      <c r="CH136" s="49"/>
      <c r="CI136" s="49"/>
      <c r="CJ136" s="49"/>
      <c r="CK136" s="49"/>
      <c r="CL136" s="55"/>
      <c r="CM136" s="115"/>
      <c r="CN136" s="115" t="s">
        <v>328</v>
      </c>
      <c r="CO136" s="121" t="s">
        <v>53</v>
      </c>
      <c r="CP136" s="49"/>
      <c r="CQ136" s="49"/>
      <c r="CR136" s="49"/>
      <c r="CS136" s="49"/>
      <c r="CT136" s="49"/>
      <c r="CU136" s="49"/>
      <c r="CV136" s="49"/>
      <c r="CW136" s="49"/>
      <c r="CX136" s="55"/>
      <c r="CY136" s="115"/>
      <c r="CZ136" s="115" t="s">
        <v>328</v>
      </c>
      <c r="DA136" s="115" t="s">
        <v>152</v>
      </c>
      <c r="DB136" s="118"/>
      <c r="DC136" s="49"/>
      <c r="DD136" s="49"/>
      <c r="DE136" s="49"/>
      <c r="DF136" s="49"/>
      <c r="DG136" s="49"/>
      <c r="DH136" s="49"/>
      <c r="DI136" s="49"/>
      <c r="DJ136" s="49"/>
      <c r="DK136" s="55"/>
      <c r="DL136" s="49"/>
      <c r="DM136" s="49" t="s">
        <v>328</v>
      </c>
      <c r="DN136" s="49" t="s">
        <v>313</v>
      </c>
      <c r="DO136" s="118"/>
      <c r="DP136" s="49"/>
      <c r="DQ136" s="49"/>
      <c r="DR136" s="49"/>
      <c r="DS136" s="49"/>
      <c r="DT136" s="49"/>
      <c r="DU136" s="49"/>
      <c r="DV136" s="49"/>
      <c r="DW136" s="55"/>
      <c r="DX136" s="49"/>
      <c r="DY136" s="49" t="s">
        <v>328</v>
      </c>
      <c r="DZ136" s="49" t="s">
        <v>149</v>
      </c>
      <c r="EA136" s="118"/>
      <c r="EB136" s="49"/>
      <c r="EC136" s="49"/>
      <c r="ED136" s="55"/>
      <c r="EE136" s="49"/>
      <c r="EF136" s="49" t="s">
        <v>62</v>
      </c>
      <c r="EG136" s="120" t="s">
        <v>49</v>
      </c>
      <c r="EH136" s="117">
        <v>7.94</v>
      </c>
      <c r="EI136" s="117">
        <v>0</v>
      </c>
      <c r="EJ136" s="49"/>
      <c r="EK136" s="49"/>
      <c r="EL136" s="55"/>
      <c r="EM136" s="55"/>
      <c r="EN136" s="55">
        <v>0</v>
      </c>
      <c r="EO136" s="122">
        <v>0</v>
      </c>
      <c r="EP136" s="117">
        <v>0</v>
      </c>
      <c r="EQ136" s="117">
        <v>0</v>
      </c>
      <c r="ER136" s="49"/>
      <c r="ES136" s="49"/>
      <c r="ET136" s="49"/>
      <c r="EU136" s="49"/>
    </row>
    <row r="137" customFormat="1" ht="22.5" customHeight="1" spans="1:151">
      <c r="A137" s="108">
        <v>12605</v>
      </c>
      <c r="B137" s="109" t="s">
        <v>453</v>
      </c>
      <c r="C137" s="110">
        <v>46163</v>
      </c>
      <c r="D137" s="111">
        <f>IF(_xlfn.XLOOKUP(A137,[1]分配表!J:J,[1]分配表!M:M)=0,"未出单",_xlfn.XLOOKUP(A137,[1]分配表!J:J,[1]分配表!M:M))</f>
        <v>46166</v>
      </c>
      <c r="E137" s="112" t="str">
        <f>_xlfn.XLOOKUP(A137,[1]分配表!A:A,[1]分配表!C:C)</f>
        <v>王偲涵</v>
      </c>
      <c r="F137" s="112" t="str">
        <f>IF(_xlfn.XLOOKUP($A137,[1]分配表!$A:$A,[1]分配表!D:D)=0,"未分类",_xlfn.XLOOKUP($A137,[1]分配表!$A:$A,[1]分配表!D:D))</f>
        <v>车身外扩件</v>
      </c>
      <c r="G137" s="112" t="str">
        <f>_xlfn.XLOOKUP(A137,[1]分配表!J:J,[1]分配表!I:I)</f>
        <v>拓展品</v>
      </c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 t="s">
        <v>328</v>
      </c>
      <c r="S137" s="49">
        <v>1</v>
      </c>
      <c r="T137" s="113">
        <f t="shared" si="4"/>
        <v>1</v>
      </c>
      <c r="U137" s="118"/>
      <c r="V137" s="49"/>
      <c r="W137" s="49"/>
      <c r="X137" s="49"/>
      <c r="Y137" s="49"/>
      <c r="Z137" s="49"/>
      <c r="AA137" s="49"/>
      <c r="AB137" s="116"/>
      <c r="AC137" s="49"/>
      <c r="AD137" s="117"/>
      <c r="AE137" s="117" t="s">
        <v>328</v>
      </c>
      <c r="AF137" s="117">
        <v>180</v>
      </c>
      <c r="AG137" s="115">
        <f t="shared" si="5"/>
        <v>180</v>
      </c>
      <c r="AH137" s="118"/>
      <c r="AI137" s="49"/>
      <c r="AJ137" s="49"/>
      <c r="AK137" s="49"/>
      <c r="AL137" s="49"/>
      <c r="AM137" s="49"/>
      <c r="AN137" s="49"/>
      <c r="AO137" s="49"/>
      <c r="AP137" s="49"/>
      <c r="AQ137" s="49"/>
      <c r="AR137" s="117" t="s">
        <v>328</v>
      </c>
      <c r="AS137" s="49">
        <v>0</v>
      </c>
      <c r="AT137" s="118"/>
      <c r="AU137" s="49"/>
      <c r="AV137" s="49"/>
      <c r="AW137" s="49"/>
      <c r="AX137" s="49"/>
      <c r="AY137" s="49"/>
      <c r="AZ137" s="49"/>
      <c r="BA137" s="55"/>
      <c r="BB137" s="55"/>
      <c r="BC137" s="55"/>
      <c r="BD137" s="117" t="s">
        <v>328</v>
      </c>
      <c r="BE137" s="55">
        <v>1</v>
      </c>
      <c r="BF137" s="118"/>
      <c r="BG137" s="49"/>
      <c r="BH137" s="49"/>
      <c r="BI137" s="49"/>
      <c r="BJ137" s="49"/>
      <c r="BK137" s="49"/>
      <c r="BL137" s="49"/>
      <c r="BM137" s="49"/>
      <c r="BN137" s="55"/>
      <c r="BO137" s="49"/>
      <c r="BP137" s="49" t="s">
        <v>328</v>
      </c>
      <c r="BQ137" s="120" t="s">
        <v>308</v>
      </c>
      <c r="BR137" s="49"/>
      <c r="BS137" s="49"/>
      <c r="BT137" s="49"/>
      <c r="BU137" s="49"/>
      <c r="BV137" s="49"/>
      <c r="BW137" s="49"/>
      <c r="BX137" s="49"/>
      <c r="BY137" s="49"/>
      <c r="BZ137" s="55"/>
      <c r="CA137" s="115"/>
      <c r="CB137" s="115" t="s">
        <v>328</v>
      </c>
      <c r="CC137" s="115" t="s">
        <v>49</v>
      </c>
      <c r="CD137" s="118"/>
      <c r="CE137" s="49"/>
      <c r="CF137" s="49"/>
      <c r="CG137" s="49"/>
      <c r="CH137" s="49"/>
      <c r="CI137" s="49"/>
      <c r="CJ137" s="49"/>
      <c r="CK137" s="49"/>
      <c r="CL137" s="55"/>
      <c r="CM137" s="115"/>
      <c r="CN137" s="115" t="s">
        <v>328</v>
      </c>
      <c r="CO137" s="121" t="s">
        <v>152</v>
      </c>
      <c r="CP137" s="49"/>
      <c r="CQ137" s="49"/>
      <c r="CR137" s="49"/>
      <c r="CS137" s="49"/>
      <c r="CT137" s="49"/>
      <c r="CU137" s="49"/>
      <c r="CV137" s="49"/>
      <c r="CW137" s="49"/>
      <c r="CX137" s="55"/>
      <c r="CY137" s="115"/>
      <c r="CZ137" s="115" t="s">
        <v>328</v>
      </c>
      <c r="DA137" s="115" t="s">
        <v>152</v>
      </c>
      <c r="DB137" s="118"/>
      <c r="DC137" s="49"/>
      <c r="DD137" s="49"/>
      <c r="DE137" s="49"/>
      <c r="DF137" s="49"/>
      <c r="DG137" s="49"/>
      <c r="DH137" s="49"/>
      <c r="DI137" s="49"/>
      <c r="DJ137" s="49"/>
      <c r="DK137" s="55"/>
      <c r="DL137" s="49"/>
      <c r="DM137" s="49" t="s">
        <v>328</v>
      </c>
      <c r="DN137" s="49" t="s">
        <v>53</v>
      </c>
      <c r="DO137" s="118"/>
      <c r="DP137" s="49"/>
      <c r="DQ137" s="49"/>
      <c r="DR137" s="49"/>
      <c r="DS137" s="49"/>
      <c r="DT137" s="49"/>
      <c r="DU137" s="49"/>
      <c r="DV137" s="49"/>
      <c r="DW137" s="55"/>
      <c r="DX137" s="49"/>
      <c r="DY137" s="49" t="s">
        <v>328</v>
      </c>
      <c r="DZ137" s="49" t="s">
        <v>149</v>
      </c>
      <c r="EA137" s="118"/>
      <c r="EB137" s="49"/>
      <c r="EC137" s="49"/>
      <c r="ED137" s="55"/>
      <c r="EE137" s="49"/>
      <c r="EF137" s="49" t="s">
        <v>62</v>
      </c>
      <c r="EG137" s="120" t="s">
        <v>49</v>
      </c>
      <c r="EH137" s="117">
        <v>0</v>
      </c>
      <c r="EI137" s="117">
        <v>0</v>
      </c>
      <c r="EJ137" s="49"/>
      <c r="EK137" s="49"/>
      <c r="EL137" s="55"/>
      <c r="EM137" s="55"/>
      <c r="EN137" s="55">
        <v>0</v>
      </c>
      <c r="EO137" s="122">
        <v>0.02</v>
      </c>
      <c r="EP137" s="117">
        <v>0</v>
      </c>
      <c r="EQ137" s="117">
        <v>0</v>
      </c>
      <c r="ER137" s="49"/>
      <c r="ES137" s="49"/>
      <c r="ET137" s="49"/>
      <c r="EU137" s="49"/>
    </row>
    <row r="138" customFormat="1" ht="22.5" customHeight="1" spans="1:151">
      <c r="A138" s="108">
        <v>12708</v>
      </c>
      <c r="B138" s="109" t="s">
        <v>454</v>
      </c>
      <c r="C138" s="110">
        <v>46163</v>
      </c>
      <c r="D138" s="111" t="str">
        <f>IF(_xlfn.XLOOKUP(A138,[1]分配表!J:J,[1]分配表!M:M)=0,"未出单",_xlfn.XLOOKUP(A138,[1]分配表!J:J,[1]分配表!M:M))</f>
        <v>未出单</v>
      </c>
      <c r="E138" s="112" t="str">
        <f>_xlfn.XLOOKUP(A138,[1]分配表!A:A,[1]分配表!C:C)</f>
        <v>章鹏</v>
      </c>
      <c r="F138" s="112" t="str">
        <f>IF(_xlfn.XLOOKUP($A138,[1]分配表!$A:$A,[1]分配表!D:D)=0,"未分类",_xlfn.XLOOKUP($A138,[1]分配表!$A:$A,[1]分配表!D:D))</f>
        <v>车身外扩件</v>
      </c>
      <c r="G138" s="112" t="str">
        <f>_xlfn.XLOOKUP(A138,[1]分配表!J:J,[1]分配表!I:I)</f>
        <v>原开品</v>
      </c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 t="s">
        <v>328</v>
      </c>
      <c r="S138" s="49">
        <v>0</v>
      </c>
      <c r="T138" s="113">
        <f t="shared" si="4"/>
        <v>0</v>
      </c>
      <c r="U138" s="118"/>
      <c r="V138" s="49"/>
      <c r="W138" s="49"/>
      <c r="X138" s="49"/>
      <c r="Y138" s="49"/>
      <c r="Z138" s="49"/>
      <c r="AA138" s="49"/>
      <c r="AB138" s="116"/>
      <c r="AC138" s="49"/>
      <c r="AD138" s="117"/>
      <c r="AE138" s="117" t="s">
        <v>328</v>
      </c>
      <c r="AF138" s="117">
        <v>0</v>
      </c>
      <c r="AG138" s="115">
        <f t="shared" si="5"/>
        <v>0</v>
      </c>
      <c r="AH138" s="118"/>
      <c r="AI138" s="49"/>
      <c r="AJ138" s="49"/>
      <c r="AK138" s="49"/>
      <c r="AL138" s="49"/>
      <c r="AM138" s="49"/>
      <c r="AN138" s="49"/>
      <c r="AO138" s="49"/>
      <c r="AP138" s="49"/>
      <c r="AQ138" s="49"/>
      <c r="AR138" s="117" t="s">
        <v>328</v>
      </c>
      <c r="AS138" s="49">
        <v>2</v>
      </c>
      <c r="AT138" s="118"/>
      <c r="AU138" s="49"/>
      <c r="AV138" s="49"/>
      <c r="AW138" s="49"/>
      <c r="AX138" s="49"/>
      <c r="AY138" s="49"/>
      <c r="AZ138" s="49"/>
      <c r="BA138" s="55"/>
      <c r="BB138" s="55"/>
      <c r="BC138" s="55"/>
      <c r="BD138" s="117" t="s">
        <v>328</v>
      </c>
      <c r="BE138" s="55">
        <v>0</v>
      </c>
      <c r="BF138" s="118"/>
      <c r="BG138" s="49"/>
      <c r="BH138" s="49"/>
      <c r="BI138" s="49"/>
      <c r="BJ138" s="49"/>
      <c r="BK138" s="49"/>
      <c r="BL138" s="49"/>
      <c r="BM138" s="49"/>
      <c r="BN138" s="55"/>
      <c r="BO138" s="49"/>
      <c r="BP138" s="49" t="s">
        <v>328</v>
      </c>
      <c r="BQ138" s="120">
        <v>5</v>
      </c>
      <c r="BR138" s="49"/>
      <c r="BS138" s="49"/>
      <c r="BT138" s="49"/>
      <c r="BU138" s="49"/>
      <c r="BV138" s="49"/>
      <c r="BW138" s="49"/>
      <c r="BX138" s="49"/>
      <c r="BY138" s="49"/>
      <c r="BZ138" s="55"/>
      <c r="CA138" s="115"/>
      <c r="CB138" s="115" t="s">
        <v>328</v>
      </c>
      <c r="CC138" s="115" t="s">
        <v>149</v>
      </c>
      <c r="CD138" s="118"/>
      <c r="CE138" s="49"/>
      <c r="CF138" s="49"/>
      <c r="CG138" s="49"/>
      <c r="CH138" s="49"/>
      <c r="CI138" s="49"/>
      <c r="CJ138" s="49"/>
      <c r="CK138" s="49"/>
      <c r="CL138" s="55"/>
      <c r="CM138" s="115"/>
      <c r="CN138" s="115" t="s">
        <v>328</v>
      </c>
      <c r="CO138" s="121" t="s">
        <v>53</v>
      </c>
      <c r="CP138" s="49"/>
      <c r="CQ138" s="49"/>
      <c r="CR138" s="49"/>
      <c r="CS138" s="49"/>
      <c r="CT138" s="49"/>
      <c r="CU138" s="49"/>
      <c r="CV138" s="49"/>
      <c r="CW138" s="49"/>
      <c r="CX138" s="55"/>
      <c r="CY138" s="115"/>
      <c r="CZ138" s="115" t="s">
        <v>328</v>
      </c>
      <c r="DA138" s="115" t="s">
        <v>152</v>
      </c>
      <c r="DB138" s="118"/>
      <c r="DC138" s="49"/>
      <c r="DD138" s="49"/>
      <c r="DE138" s="49"/>
      <c r="DF138" s="49"/>
      <c r="DG138" s="49"/>
      <c r="DH138" s="49"/>
      <c r="DI138" s="49"/>
      <c r="DJ138" s="49"/>
      <c r="DK138" s="55"/>
      <c r="DL138" s="49"/>
      <c r="DM138" s="49" t="s">
        <v>328</v>
      </c>
      <c r="DN138" s="49" t="s">
        <v>313</v>
      </c>
      <c r="DO138" s="118"/>
      <c r="DP138" s="49"/>
      <c r="DQ138" s="49"/>
      <c r="DR138" s="49"/>
      <c r="DS138" s="49"/>
      <c r="DT138" s="49"/>
      <c r="DU138" s="49"/>
      <c r="DV138" s="49"/>
      <c r="DW138" s="55"/>
      <c r="DX138" s="49"/>
      <c r="DY138" s="49" t="s">
        <v>328</v>
      </c>
      <c r="DZ138" s="49" t="s">
        <v>149</v>
      </c>
      <c r="EA138" s="118"/>
      <c r="EB138" s="49"/>
      <c r="EC138" s="49"/>
      <c r="ED138" s="55"/>
      <c r="EE138" s="49"/>
      <c r="EF138" s="49" t="s">
        <v>62</v>
      </c>
      <c r="EG138" s="120" t="s">
        <v>49</v>
      </c>
      <c r="EH138" s="117">
        <v>0</v>
      </c>
      <c r="EI138" s="117">
        <v>0</v>
      </c>
      <c r="EJ138" s="49"/>
      <c r="EK138" s="49"/>
      <c r="EL138" s="55"/>
      <c r="EM138" s="55"/>
      <c r="EN138" s="55">
        <v>0</v>
      </c>
      <c r="EO138" s="122">
        <v>0</v>
      </c>
      <c r="EP138" s="117">
        <v>0</v>
      </c>
      <c r="EQ138" s="117">
        <v>0</v>
      </c>
      <c r="ER138" s="49"/>
      <c r="ES138" s="49"/>
      <c r="ET138" s="49"/>
      <c r="EU138" s="49"/>
    </row>
    <row r="139" customFormat="1" ht="22.5" customHeight="1" spans="1:151">
      <c r="A139" s="108">
        <v>12527</v>
      </c>
      <c r="B139" s="109" t="s">
        <v>455</v>
      </c>
      <c r="C139" s="110">
        <v>46163</v>
      </c>
      <c r="D139" s="111" t="str">
        <f>IF(_xlfn.XLOOKUP(A139,[1]分配表!J:J,[1]分配表!M:M)=0,"未出单",_xlfn.XLOOKUP(A139,[1]分配表!J:J,[1]分配表!M:M))</f>
        <v>未出单</v>
      </c>
      <c r="E139" s="112" t="str">
        <f>_xlfn.XLOOKUP(A139,[1]分配表!A:A,[1]分配表!C:C)</f>
        <v>章鹏</v>
      </c>
      <c r="F139" s="112" t="str">
        <f>IF(_xlfn.XLOOKUP($A139,[1]分配表!$A:$A,[1]分配表!D:D)=0,"未分类",_xlfn.XLOOKUP($A139,[1]分配表!$A:$A,[1]分配表!D:D))</f>
        <v>车身外扩件</v>
      </c>
      <c r="G139" s="112" t="str">
        <f>_xlfn.XLOOKUP(A139,[1]分配表!J:J,[1]分配表!I:I)</f>
        <v>原开品</v>
      </c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 t="s">
        <v>328</v>
      </c>
      <c r="S139" s="49">
        <v>0</v>
      </c>
      <c r="T139" s="113">
        <f t="shared" si="4"/>
        <v>0</v>
      </c>
      <c r="U139" s="118"/>
      <c r="V139" s="49"/>
      <c r="W139" s="49"/>
      <c r="X139" s="49"/>
      <c r="Y139" s="49"/>
      <c r="Z139" s="49"/>
      <c r="AA139" s="49"/>
      <c r="AB139" s="116"/>
      <c r="AC139" s="49"/>
      <c r="AD139" s="117"/>
      <c r="AE139" s="117" t="s">
        <v>328</v>
      </c>
      <c r="AF139" s="117">
        <v>0</v>
      </c>
      <c r="AG139" s="115">
        <f t="shared" si="5"/>
        <v>0</v>
      </c>
      <c r="AH139" s="118"/>
      <c r="AI139" s="49"/>
      <c r="AJ139" s="49"/>
      <c r="AK139" s="49"/>
      <c r="AL139" s="49"/>
      <c r="AM139" s="49"/>
      <c r="AN139" s="49"/>
      <c r="AO139" s="49"/>
      <c r="AP139" s="49"/>
      <c r="AQ139" s="49"/>
      <c r="AR139" s="117" t="s">
        <v>328</v>
      </c>
      <c r="AS139" s="49">
        <v>0</v>
      </c>
      <c r="AT139" s="118"/>
      <c r="AU139" s="49"/>
      <c r="AV139" s="49"/>
      <c r="AW139" s="49"/>
      <c r="AX139" s="49"/>
      <c r="AY139" s="49"/>
      <c r="AZ139" s="49"/>
      <c r="BA139" s="55"/>
      <c r="BB139" s="55"/>
      <c r="BC139" s="55"/>
      <c r="BD139" s="117" t="s">
        <v>328</v>
      </c>
      <c r="BE139" s="55" t="s">
        <v>306</v>
      </c>
      <c r="BF139" s="118"/>
      <c r="BG139" s="49"/>
      <c r="BH139" s="49"/>
      <c r="BI139" s="49"/>
      <c r="BJ139" s="49"/>
      <c r="BK139" s="49"/>
      <c r="BL139" s="49"/>
      <c r="BM139" s="49"/>
      <c r="BN139" s="55"/>
      <c r="BO139" s="49"/>
      <c r="BP139" s="49" t="s">
        <v>328</v>
      </c>
      <c r="BQ139" s="120">
        <v>5</v>
      </c>
      <c r="BR139" s="49"/>
      <c r="BS139" s="49"/>
      <c r="BT139" s="49"/>
      <c r="BU139" s="49"/>
      <c r="BV139" s="49"/>
      <c r="BW139" s="49"/>
      <c r="BX139" s="49"/>
      <c r="BY139" s="49"/>
      <c r="BZ139" s="55"/>
      <c r="CA139" s="115"/>
      <c r="CB139" s="115" t="s">
        <v>328</v>
      </c>
      <c r="CC139" s="115" t="s">
        <v>149</v>
      </c>
      <c r="CD139" s="118"/>
      <c r="CE139" s="49"/>
      <c r="CF139" s="49"/>
      <c r="CG139" s="49"/>
      <c r="CH139" s="49"/>
      <c r="CI139" s="49"/>
      <c r="CJ139" s="49"/>
      <c r="CK139" s="49"/>
      <c r="CL139" s="55"/>
      <c r="CM139" s="115"/>
      <c r="CN139" s="115" t="s">
        <v>328</v>
      </c>
      <c r="CO139" s="121" t="s">
        <v>53</v>
      </c>
      <c r="CP139" s="49"/>
      <c r="CQ139" s="49"/>
      <c r="CR139" s="49"/>
      <c r="CS139" s="49"/>
      <c r="CT139" s="49"/>
      <c r="CU139" s="49"/>
      <c r="CV139" s="49"/>
      <c r="CW139" s="49"/>
      <c r="CX139" s="55"/>
      <c r="CY139" s="115"/>
      <c r="CZ139" s="115" t="s">
        <v>328</v>
      </c>
      <c r="DA139" s="115" t="s">
        <v>152</v>
      </c>
      <c r="DB139" s="118"/>
      <c r="DC139" s="49"/>
      <c r="DD139" s="49"/>
      <c r="DE139" s="49"/>
      <c r="DF139" s="49"/>
      <c r="DG139" s="49"/>
      <c r="DH139" s="49"/>
      <c r="DI139" s="49"/>
      <c r="DJ139" s="49"/>
      <c r="DK139" s="55"/>
      <c r="DL139" s="49"/>
      <c r="DM139" s="49" t="s">
        <v>328</v>
      </c>
      <c r="DN139" s="49" t="s">
        <v>307</v>
      </c>
      <c r="DO139" s="118"/>
      <c r="DP139" s="49"/>
      <c r="DQ139" s="49"/>
      <c r="DR139" s="49"/>
      <c r="DS139" s="49"/>
      <c r="DT139" s="49"/>
      <c r="DU139" s="49"/>
      <c r="DV139" s="49"/>
      <c r="DW139" s="55"/>
      <c r="DX139" s="49"/>
      <c r="DY139" s="49" t="s">
        <v>328</v>
      </c>
      <c r="DZ139" s="49" t="s">
        <v>149</v>
      </c>
      <c r="EA139" s="118"/>
      <c r="EB139" s="49"/>
      <c r="EC139" s="49"/>
      <c r="ED139" s="55"/>
      <c r="EE139" s="49"/>
      <c r="EF139" s="49" t="s">
        <v>62</v>
      </c>
      <c r="EG139" s="120" t="s">
        <v>49</v>
      </c>
      <c r="EH139" s="117">
        <v>2.4</v>
      </c>
      <c r="EI139" s="117">
        <v>0</v>
      </c>
      <c r="EJ139" s="49"/>
      <c r="EK139" s="49"/>
      <c r="EL139" s="55"/>
      <c r="EM139" s="55"/>
      <c r="EN139" s="55">
        <v>0</v>
      </c>
      <c r="EO139" s="122">
        <v>0</v>
      </c>
      <c r="EP139" s="117">
        <v>0</v>
      </c>
      <c r="EQ139" s="117">
        <v>0</v>
      </c>
      <c r="ER139" s="49"/>
      <c r="ES139" s="49"/>
      <c r="ET139" s="49"/>
      <c r="EU139" s="49"/>
    </row>
    <row r="140" customFormat="1" ht="22.5" customHeight="1" spans="1:151">
      <c r="A140" s="108">
        <v>12839</v>
      </c>
      <c r="B140" s="109" t="s">
        <v>456</v>
      </c>
      <c r="C140" s="110">
        <v>46163</v>
      </c>
      <c r="D140" s="111" t="str">
        <f>IF(_xlfn.XLOOKUP(A140,[1]分配表!J:J,[1]分配表!M:M)=0,"未出单",_xlfn.XLOOKUP(A140,[1]分配表!J:J,[1]分配表!M:M))</f>
        <v>未出单</v>
      </c>
      <c r="E140" s="112" t="str">
        <f>_xlfn.XLOOKUP(A140,[1]分配表!A:A,[1]分配表!C:C)</f>
        <v>张潇</v>
      </c>
      <c r="F140" s="112" t="str">
        <f>IF(_xlfn.XLOOKUP($A140,[1]分配表!$A:$A,[1]分配表!D:D)=0,"未分类",_xlfn.XLOOKUP($A140,[1]分配表!$A:$A,[1]分配表!D:D))</f>
        <v>车门系统</v>
      </c>
      <c r="G140" s="112" t="str">
        <f>_xlfn.XLOOKUP(A140,[1]分配表!J:J,[1]分配表!I:I)</f>
        <v>原开品</v>
      </c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 t="s">
        <v>328</v>
      </c>
      <c r="S140" s="49">
        <v>0</v>
      </c>
      <c r="T140" s="113">
        <f t="shared" si="4"/>
        <v>0</v>
      </c>
      <c r="U140" s="118"/>
      <c r="V140" s="49"/>
      <c r="W140" s="49"/>
      <c r="X140" s="49"/>
      <c r="Y140" s="49"/>
      <c r="Z140" s="49"/>
      <c r="AA140" s="49"/>
      <c r="AB140" s="116"/>
      <c r="AC140" s="49"/>
      <c r="AD140" s="117"/>
      <c r="AE140" s="117" t="s">
        <v>328</v>
      </c>
      <c r="AF140" s="117">
        <v>0</v>
      </c>
      <c r="AG140" s="115">
        <f t="shared" si="5"/>
        <v>0</v>
      </c>
      <c r="AH140" s="118"/>
      <c r="AI140" s="49"/>
      <c r="AJ140" s="49"/>
      <c r="AK140" s="49"/>
      <c r="AL140" s="49"/>
      <c r="AM140" s="49"/>
      <c r="AN140" s="49"/>
      <c r="AO140" s="49"/>
      <c r="AP140" s="49"/>
      <c r="AQ140" s="49"/>
      <c r="AR140" s="117" t="s">
        <v>328</v>
      </c>
      <c r="AS140" s="49">
        <v>0</v>
      </c>
      <c r="AT140" s="118"/>
      <c r="AU140" s="49"/>
      <c r="AV140" s="49"/>
      <c r="AW140" s="49"/>
      <c r="AX140" s="49"/>
      <c r="AY140" s="49"/>
      <c r="AZ140" s="49"/>
      <c r="BA140" s="55"/>
      <c r="BB140" s="55"/>
      <c r="BC140" s="55"/>
      <c r="BD140" s="117" t="s">
        <v>328</v>
      </c>
      <c r="BE140" s="55" t="s">
        <v>306</v>
      </c>
      <c r="BF140" s="118"/>
      <c r="BG140" s="49"/>
      <c r="BH140" s="49"/>
      <c r="BI140" s="49"/>
      <c r="BJ140" s="49"/>
      <c r="BK140" s="49"/>
      <c r="BL140" s="49"/>
      <c r="BM140" s="49"/>
      <c r="BN140" s="55"/>
      <c r="BO140" s="49"/>
      <c r="BP140" s="49" t="s">
        <v>328</v>
      </c>
      <c r="BQ140" s="120">
        <v>2</v>
      </c>
      <c r="BR140" s="49"/>
      <c r="BS140" s="49"/>
      <c r="BT140" s="49"/>
      <c r="BU140" s="49"/>
      <c r="BV140" s="49"/>
      <c r="BW140" s="49"/>
      <c r="BX140" s="49"/>
      <c r="BY140" s="49"/>
      <c r="BZ140" s="55"/>
      <c r="CA140" s="115"/>
      <c r="CB140" s="115" t="s">
        <v>328</v>
      </c>
      <c r="CC140" s="115" t="s">
        <v>149</v>
      </c>
      <c r="CD140" s="118"/>
      <c r="CE140" s="49"/>
      <c r="CF140" s="49"/>
      <c r="CG140" s="49"/>
      <c r="CH140" s="49"/>
      <c r="CI140" s="49"/>
      <c r="CJ140" s="49"/>
      <c r="CK140" s="49"/>
      <c r="CL140" s="55"/>
      <c r="CM140" s="115"/>
      <c r="CN140" s="115" t="s">
        <v>328</v>
      </c>
      <c r="CO140" s="121" t="s">
        <v>53</v>
      </c>
      <c r="CP140" s="49"/>
      <c r="CQ140" s="49"/>
      <c r="CR140" s="49"/>
      <c r="CS140" s="49"/>
      <c r="CT140" s="49"/>
      <c r="CU140" s="49"/>
      <c r="CV140" s="49"/>
      <c r="CW140" s="49"/>
      <c r="CX140" s="55"/>
      <c r="CY140" s="115"/>
      <c r="CZ140" s="115" t="s">
        <v>328</v>
      </c>
      <c r="DA140" s="115" t="s">
        <v>53</v>
      </c>
      <c r="DB140" s="118"/>
      <c r="DC140" s="49"/>
      <c r="DD140" s="49"/>
      <c r="DE140" s="49"/>
      <c r="DF140" s="49"/>
      <c r="DG140" s="49"/>
      <c r="DH140" s="49"/>
      <c r="DI140" s="49"/>
      <c r="DJ140" s="49"/>
      <c r="DK140" s="55"/>
      <c r="DL140" s="49"/>
      <c r="DM140" s="49" t="s">
        <v>328</v>
      </c>
      <c r="DN140" s="49" t="s">
        <v>307</v>
      </c>
      <c r="DO140" s="118"/>
      <c r="DP140" s="49"/>
      <c r="DQ140" s="49"/>
      <c r="DR140" s="49"/>
      <c r="DS140" s="49"/>
      <c r="DT140" s="49"/>
      <c r="DU140" s="49"/>
      <c r="DV140" s="49"/>
      <c r="DW140" s="55"/>
      <c r="DX140" s="49"/>
      <c r="DY140" s="49" t="s">
        <v>328</v>
      </c>
      <c r="DZ140" s="49" t="s">
        <v>149</v>
      </c>
      <c r="EA140" s="118"/>
      <c r="EB140" s="49"/>
      <c r="EC140" s="49"/>
      <c r="ED140" s="55"/>
      <c r="EE140" s="49"/>
      <c r="EF140" s="49" t="s">
        <v>62</v>
      </c>
      <c r="EG140" s="120" t="s">
        <v>49</v>
      </c>
      <c r="EH140" s="117">
        <v>0</v>
      </c>
      <c r="EI140" s="117">
        <v>0</v>
      </c>
      <c r="EJ140" s="49"/>
      <c r="EK140" s="49"/>
      <c r="EL140" s="55"/>
      <c r="EM140" s="55"/>
      <c r="EN140" s="55">
        <v>0</v>
      </c>
      <c r="EO140" s="122">
        <v>0</v>
      </c>
      <c r="EP140" s="117">
        <v>0</v>
      </c>
      <c r="EQ140" s="117">
        <v>0</v>
      </c>
      <c r="ER140" s="49"/>
      <c r="ES140" s="49"/>
      <c r="ET140" s="49"/>
      <c r="EU140" s="49"/>
    </row>
    <row r="141" customFormat="1" ht="22.5" customHeight="1" spans="1:151">
      <c r="A141" s="108">
        <v>12795</v>
      </c>
      <c r="B141" s="109" t="s">
        <v>457</v>
      </c>
      <c r="C141" s="110">
        <v>46163</v>
      </c>
      <c r="D141" s="111" t="str">
        <f>IF(_xlfn.XLOOKUP(A141,[1]分配表!J:J,[1]分配表!M:M)=0,"未出单",_xlfn.XLOOKUP(A141,[1]分配表!J:J,[1]分配表!M:M))</f>
        <v>未出单</v>
      </c>
      <c r="E141" s="112" t="str">
        <f>_xlfn.XLOOKUP(A141,[1]分配表!A:A,[1]分配表!C:C)</f>
        <v>朱培源</v>
      </c>
      <c r="F141" s="112" t="str">
        <f>IF(_xlfn.XLOOKUP($A141,[1]分配表!$A:$A,[1]分配表!D:D)=0,"未分类",_xlfn.XLOOKUP($A141,[1]分配表!$A:$A,[1]分配表!D:D))</f>
        <v>牌照板支架</v>
      </c>
      <c r="G141" s="112" t="str">
        <f>_xlfn.XLOOKUP(A141,[1]分配表!J:J,[1]分配表!I:I)</f>
        <v>原开品</v>
      </c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 t="s">
        <v>328</v>
      </c>
      <c r="S141" s="49">
        <v>0</v>
      </c>
      <c r="T141" s="113">
        <f t="shared" si="4"/>
        <v>0</v>
      </c>
      <c r="U141" s="118"/>
      <c r="V141" s="49"/>
      <c r="W141" s="49"/>
      <c r="X141" s="49"/>
      <c r="Y141" s="49"/>
      <c r="Z141" s="49"/>
      <c r="AA141" s="49"/>
      <c r="AB141" s="116"/>
      <c r="AC141" s="49"/>
      <c r="AD141" s="117"/>
      <c r="AE141" s="117" t="s">
        <v>328</v>
      </c>
      <c r="AF141" s="117">
        <v>0</v>
      </c>
      <c r="AG141" s="115">
        <f t="shared" si="5"/>
        <v>0</v>
      </c>
      <c r="AH141" s="118"/>
      <c r="AI141" s="49"/>
      <c r="AJ141" s="49"/>
      <c r="AK141" s="49"/>
      <c r="AL141" s="49"/>
      <c r="AM141" s="49"/>
      <c r="AN141" s="49"/>
      <c r="AO141" s="49"/>
      <c r="AP141" s="49"/>
      <c r="AQ141" s="49"/>
      <c r="AR141" s="117" t="s">
        <v>328</v>
      </c>
      <c r="AS141" s="49">
        <v>0</v>
      </c>
      <c r="AT141" s="118"/>
      <c r="AU141" s="49"/>
      <c r="AV141" s="49"/>
      <c r="AW141" s="49"/>
      <c r="AX141" s="49"/>
      <c r="AY141" s="49"/>
      <c r="AZ141" s="49"/>
      <c r="BA141" s="55"/>
      <c r="BB141" s="55"/>
      <c r="BC141" s="55"/>
      <c r="BD141" s="117" t="s">
        <v>328</v>
      </c>
      <c r="BE141" s="55" t="s">
        <v>306</v>
      </c>
      <c r="BF141" s="118"/>
      <c r="BG141" s="49"/>
      <c r="BH141" s="49"/>
      <c r="BI141" s="49"/>
      <c r="BJ141" s="49"/>
      <c r="BK141" s="49"/>
      <c r="BL141" s="49"/>
      <c r="BM141" s="49"/>
      <c r="BN141" s="55"/>
      <c r="BO141" s="49"/>
      <c r="BP141" s="49" t="s">
        <v>328</v>
      </c>
      <c r="BQ141" s="120">
        <v>6</v>
      </c>
      <c r="BR141" s="49"/>
      <c r="BS141" s="49"/>
      <c r="BT141" s="49"/>
      <c r="BU141" s="49"/>
      <c r="BV141" s="49"/>
      <c r="BW141" s="49"/>
      <c r="BX141" s="49"/>
      <c r="BY141" s="49"/>
      <c r="BZ141" s="55"/>
      <c r="CA141" s="115"/>
      <c r="CB141" s="115" t="s">
        <v>328</v>
      </c>
      <c r="CC141" s="115" t="s">
        <v>149</v>
      </c>
      <c r="CD141" s="118"/>
      <c r="CE141" s="49"/>
      <c r="CF141" s="49"/>
      <c r="CG141" s="49"/>
      <c r="CH141" s="49"/>
      <c r="CI141" s="49"/>
      <c r="CJ141" s="49"/>
      <c r="CK141" s="49"/>
      <c r="CL141" s="55"/>
      <c r="CM141" s="115"/>
      <c r="CN141" s="115" t="s">
        <v>328</v>
      </c>
      <c r="CO141" s="121" t="s">
        <v>53</v>
      </c>
      <c r="CP141" s="49"/>
      <c r="CQ141" s="49"/>
      <c r="CR141" s="49"/>
      <c r="CS141" s="49"/>
      <c r="CT141" s="49"/>
      <c r="CU141" s="49"/>
      <c r="CV141" s="49"/>
      <c r="CW141" s="49"/>
      <c r="CX141" s="55"/>
      <c r="CY141" s="115"/>
      <c r="CZ141" s="115" t="s">
        <v>328</v>
      </c>
      <c r="DA141" s="115" t="s">
        <v>152</v>
      </c>
      <c r="DB141" s="118"/>
      <c r="DC141" s="49"/>
      <c r="DD141" s="49"/>
      <c r="DE141" s="49"/>
      <c r="DF141" s="49"/>
      <c r="DG141" s="49"/>
      <c r="DH141" s="49"/>
      <c r="DI141" s="49"/>
      <c r="DJ141" s="49"/>
      <c r="DK141" s="55"/>
      <c r="DL141" s="49"/>
      <c r="DM141" s="49" t="s">
        <v>328</v>
      </c>
      <c r="DN141" s="49" t="s">
        <v>307</v>
      </c>
      <c r="DO141" s="118"/>
      <c r="DP141" s="49"/>
      <c r="DQ141" s="49"/>
      <c r="DR141" s="49"/>
      <c r="DS141" s="49"/>
      <c r="DT141" s="49"/>
      <c r="DU141" s="49"/>
      <c r="DV141" s="49"/>
      <c r="DW141" s="55"/>
      <c r="DX141" s="49"/>
      <c r="DY141" s="49" t="s">
        <v>328</v>
      </c>
      <c r="DZ141" s="49" t="s">
        <v>149</v>
      </c>
      <c r="EA141" s="118"/>
      <c r="EB141" s="49"/>
      <c r="EC141" s="49"/>
      <c r="ED141" s="55"/>
      <c r="EE141" s="49"/>
      <c r="EF141" s="49" t="s">
        <v>62</v>
      </c>
      <c r="EG141" s="120" t="s">
        <v>49</v>
      </c>
      <c r="EH141" s="117">
        <v>0.45</v>
      </c>
      <c r="EI141" s="117">
        <v>0</v>
      </c>
      <c r="EJ141" s="49"/>
      <c r="EK141" s="49"/>
      <c r="EL141" s="55"/>
      <c r="EM141" s="55"/>
      <c r="EN141" s="55">
        <v>0</v>
      </c>
      <c r="EO141" s="122">
        <v>0</v>
      </c>
      <c r="EP141" s="117">
        <v>0</v>
      </c>
      <c r="EQ141" s="117">
        <v>0</v>
      </c>
      <c r="ER141" s="49"/>
      <c r="ES141" s="49"/>
      <c r="ET141" s="49"/>
      <c r="EU141" s="49"/>
    </row>
    <row r="142" customFormat="1" spans="1:151">
      <c r="A142" s="65"/>
      <c r="B142" s="66"/>
      <c r="C142" s="66"/>
      <c r="D142" s="66"/>
      <c r="E142" s="66"/>
      <c r="F142" s="66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 s="67"/>
      <c r="V142" s="68"/>
      <c r="W142" s="68"/>
      <c r="X142" s="68"/>
      <c r="Y142" s="68"/>
      <c r="Z142" s="68"/>
      <c r="AA142" s="68"/>
      <c r="AB142" s="69"/>
      <c r="AC142" s="69"/>
      <c r="AD142" s="69"/>
      <c r="AE142" s="69"/>
      <c r="AF142" s="69"/>
      <c r="AG142"/>
      <c r="AH142" s="70"/>
      <c r="AI142"/>
      <c r="AJ142"/>
      <c r="AK142"/>
      <c r="AL142"/>
      <c r="AM142"/>
      <c r="AN142"/>
      <c r="AO142"/>
      <c r="AP142"/>
      <c r="AQ142"/>
      <c r="AR142"/>
      <c r="AS142"/>
      <c r="AT142" s="71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0"/>
      <c r="BG142"/>
      <c r="BH142"/>
      <c r="BI142"/>
      <c r="BJ142"/>
      <c r="BK142"/>
      <c r="BL142"/>
      <c r="BM142"/>
      <c r="BN142"/>
      <c r="BO142"/>
      <c r="BP142"/>
      <c r="BQ142" s="73"/>
      <c r="BR142"/>
      <c r="BS142"/>
      <c r="BT142"/>
      <c r="BU142"/>
      <c r="BV142"/>
      <c r="BW142"/>
      <c r="BX142"/>
      <c r="BY142"/>
      <c r="BZ142"/>
      <c r="CA142"/>
      <c r="CB142"/>
      <c r="CC142"/>
      <c r="CD142" s="70"/>
      <c r="CE142"/>
      <c r="CF142"/>
      <c r="CG142"/>
      <c r="CH142"/>
      <c r="CI142"/>
      <c r="CJ142"/>
      <c r="CK142"/>
      <c r="CL142"/>
      <c r="CM142"/>
      <c r="CN142"/>
      <c r="CO142" s="73"/>
      <c r="CP142"/>
      <c r="CQ142"/>
      <c r="CR142"/>
      <c r="CS142"/>
      <c r="CT142"/>
      <c r="CU142"/>
      <c r="CV142"/>
      <c r="CW142"/>
      <c r="CX142"/>
      <c r="CY142"/>
      <c r="CZ142"/>
      <c r="DA142"/>
      <c r="DB142" s="70"/>
      <c r="DC142"/>
      <c r="DD142"/>
      <c r="DE142"/>
      <c r="DF142"/>
      <c r="DG142"/>
      <c r="DH142"/>
      <c r="DI142"/>
      <c r="DJ142"/>
      <c r="DK142"/>
      <c r="DL142"/>
      <c r="DM142"/>
      <c r="DN142"/>
      <c r="DO142" s="70"/>
      <c r="DP142"/>
      <c r="DQ142"/>
      <c r="DR142"/>
      <c r="DS142"/>
      <c r="DT142"/>
      <c r="DU142"/>
      <c r="DV142"/>
      <c r="DW142"/>
      <c r="DX142"/>
      <c r="DY142"/>
      <c r="DZ142"/>
      <c r="EA142" s="70"/>
      <c r="EB142"/>
      <c r="EC142"/>
      <c r="ED142"/>
      <c r="EE142"/>
      <c r="EF142"/>
      <c r="EG142" s="73"/>
      <c r="EH142"/>
      <c r="EI142"/>
      <c r="EJ142" s="25"/>
      <c r="EK142" s="25"/>
      <c r="EL142" s="25"/>
      <c r="EM142" s="25"/>
      <c r="EN142" s="25"/>
      <c r="EO142" s="74"/>
    </row>
  </sheetData>
  <autoFilter xmlns:etc="http://www.wps.cn/officeDocument/2017/etCustomData" ref="A1:EU141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48378"/>
  <sheetViews>
    <sheetView topLeftCell="A462" workbookViewId="0">
      <selection activeCell="A486" sqref="A486"/>
    </sheetView>
  </sheetViews>
  <sheetFormatPr defaultColWidth="8.8" defaultRowHeight="13.5"/>
  <cols>
    <col min="1" max="1" width="13.0083333333333" customWidth="1"/>
    <col min="2" max="2" width="33.275" customWidth="1"/>
    <col min="3" max="3" width="16.6333333333333" customWidth="1"/>
    <col min="4" max="4" width="16.6333333333333" style="23" customWidth="1"/>
    <col min="5" max="5" width="26.8166666666667" customWidth="1"/>
    <col min="6" max="6" width="14.6333333333333" customWidth="1"/>
    <col min="7" max="7" width="17.0083333333333" style="24" customWidth="1"/>
    <col min="8" max="8" width="17.0083333333333" customWidth="1"/>
    <col min="9" max="9" width="14.1" customWidth="1"/>
    <col min="10" max="10" width="9.00833333333333" customWidth="1"/>
    <col min="11" max="11" width="13.0083333333333" customWidth="1"/>
    <col min="12" max="14" width="15.0083333333333" customWidth="1"/>
    <col min="15" max="15" width="13.0083333333333" customWidth="1"/>
    <col min="16" max="17" width="15.0083333333333" customWidth="1"/>
    <col min="18" max="18" width="11.7333333333333" customWidth="1"/>
    <col min="19" max="19" width="12.4666666666667" customWidth="1"/>
    <col min="20" max="24" width="11.7333333333333" customWidth="1"/>
    <col min="25" max="25" width="11.7333333333333" style="25" customWidth="1"/>
    <col min="26" max="16384" width="8.8" customWidth="1"/>
  </cols>
  <sheetData>
    <row r="1" customFormat="1" ht="22.5" customHeight="1" spans="1:39">
      <c r="A1" s="26" t="s">
        <v>458</v>
      </c>
      <c r="B1" s="26" t="s">
        <v>459</v>
      </c>
      <c r="C1" s="27" t="s">
        <v>161</v>
      </c>
      <c r="D1" s="28" t="s">
        <v>460</v>
      </c>
      <c r="E1" s="29" t="s">
        <v>461</v>
      </c>
      <c r="F1" s="26" t="s">
        <v>462</v>
      </c>
      <c r="G1" s="30" t="s">
        <v>162</v>
      </c>
      <c r="H1" s="27" t="s">
        <v>163</v>
      </c>
      <c r="I1" s="27" t="s">
        <v>463</v>
      </c>
      <c r="J1" s="31" t="s">
        <v>165</v>
      </c>
      <c r="K1" s="31" t="s">
        <v>166</v>
      </c>
      <c r="L1" s="27" t="s">
        <v>464</v>
      </c>
      <c r="M1" s="27" t="s">
        <v>465</v>
      </c>
      <c r="N1" s="27" t="s">
        <v>466</v>
      </c>
      <c r="O1" s="32" t="s">
        <v>467</v>
      </c>
      <c r="P1" s="33" t="s">
        <v>468</v>
      </c>
      <c r="Q1" s="34" t="s">
        <v>469</v>
      </c>
      <c r="R1" s="26" t="s">
        <v>470</v>
      </c>
      <c r="S1" s="35" t="s">
        <v>471</v>
      </c>
      <c r="T1" s="35" t="s">
        <v>472</v>
      </c>
      <c r="U1" s="36" t="s">
        <v>473</v>
      </c>
      <c r="V1" s="36" t="s">
        <v>474</v>
      </c>
      <c r="W1" s="37" t="s">
        <v>475</v>
      </c>
      <c r="X1" s="37" t="s">
        <v>476</v>
      </c>
      <c r="Y1" s="37" t="s">
        <v>477</v>
      </c>
      <c r="Z1" s="38"/>
      <c r="AA1" s="38"/>
      <c r="AB1" s="39"/>
      <c r="AC1" s="38"/>
      <c r="AD1" s="38"/>
      <c r="AE1" s="38"/>
      <c r="AF1" s="38"/>
      <c r="AG1" s="38"/>
      <c r="AH1" s="38"/>
      <c r="AI1" s="38"/>
      <c r="AJ1" s="39"/>
      <c r="AK1" s="40"/>
      <c r="AL1" s="40"/>
      <c r="AM1" s="40"/>
    </row>
    <row r="2" customFormat="1" ht="22.5" customHeight="1" spans="1:39">
      <c r="A2" s="41" t="s">
        <v>478</v>
      </c>
      <c r="B2" s="42" t="s">
        <v>479</v>
      </c>
      <c r="C2" s="42" t="s">
        <v>480</v>
      </c>
      <c r="D2" s="43"/>
      <c r="E2" s="43"/>
      <c r="F2" s="42">
        <f>COUNTIF(B3:B58,"&lt;&gt;")</f>
        <v>56</v>
      </c>
      <c r="G2" s="43"/>
      <c r="H2" s="43"/>
      <c r="I2" s="43"/>
      <c r="J2" s="41" t="s">
        <v>481</v>
      </c>
      <c r="K2" s="43"/>
      <c r="L2" s="44">
        <f>SUM(L3:L58)</f>
        <v>96271</v>
      </c>
      <c r="M2" s="44">
        <f>SUM(M3:M58)</f>
        <v>458</v>
      </c>
      <c r="N2" s="44">
        <f>SUM(N3:N58)</f>
        <v>54</v>
      </c>
      <c r="O2" s="45">
        <f>SUM(O3:O58)</f>
        <v>212.88</v>
      </c>
      <c r="P2" s="45">
        <f>SUM(P3:P58)</f>
        <v>5581.27</v>
      </c>
      <c r="Q2" s="45"/>
      <c r="R2" s="46">
        <f t="shared" ref="R2:R65" si="0">P2/O2</f>
        <v>26.2179161969184</v>
      </c>
      <c r="S2" s="47">
        <f t="shared" ref="S2:S65" si="1">N2/M2</f>
        <v>0.117903930131004</v>
      </c>
      <c r="T2" s="47">
        <f t="shared" ref="T2:T65" si="2">M2/L2</f>
        <v>0.00475740357947876</v>
      </c>
      <c r="U2" s="46">
        <f t="shared" ref="U2:U65" si="3">O2/M2</f>
        <v>0.464803493449782</v>
      </c>
      <c r="V2" s="46">
        <f t="shared" ref="V2:V65" si="4">O2/N2</f>
        <v>3.94222222222222</v>
      </c>
      <c r="W2" s="47">
        <f t="shared" ref="W2:W65" si="5">O2/P2</f>
        <v>0.0381418566025295</v>
      </c>
      <c r="X2" s="48"/>
      <c r="Y2" s="48"/>
    </row>
    <row r="3" customFormat="1" ht="22.5" customHeight="1" spans="1:39">
      <c r="A3" s="49" t="s">
        <v>478</v>
      </c>
      <c r="B3" s="49" t="s">
        <v>482</v>
      </c>
      <c r="C3" s="49" t="s">
        <v>385</v>
      </c>
      <c r="D3" s="50">
        <v>177997475019</v>
      </c>
      <c r="E3" s="49" t="s">
        <v>483</v>
      </c>
      <c r="F3" s="51">
        <v>46114</v>
      </c>
      <c r="G3" s="52">
        <v>46108</v>
      </c>
      <c r="H3" s="52">
        <v>46114</v>
      </c>
      <c r="I3" s="52" t="s">
        <v>484</v>
      </c>
      <c r="J3" s="52" t="s">
        <v>485</v>
      </c>
      <c r="K3" s="52" t="s">
        <v>34</v>
      </c>
      <c r="L3" s="49">
        <v>845</v>
      </c>
      <c r="M3" s="49">
        <v>27</v>
      </c>
      <c r="N3" s="49">
        <v>12</v>
      </c>
      <c r="O3" s="53">
        <v>10.66</v>
      </c>
      <c r="P3" s="53">
        <v>454.26</v>
      </c>
      <c r="Q3" s="53"/>
      <c r="R3" s="54">
        <f t="shared" si="0"/>
        <v>42.6135084427767</v>
      </c>
      <c r="S3" s="55">
        <f t="shared" si="1"/>
        <v>0.444444444444444</v>
      </c>
      <c r="T3" s="55">
        <f t="shared" si="2"/>
        <v>0.0319526627218935</v>
      </c>
      <c r="U3" s="54">
        <f t="shared" si="3"/>
        <v>0.394814814814815</v>
      </c>
      <c r="V3" s="54">
        <f t="shared" si="4"/>
        <v>0.888333333333333</v>
      </c>
      <c r="W3" s="55">
        <f t="shared" si="5"/>
        <v>0.0234667371109057</v>
      </c>
      <c r="X3" s="55"/>
      <c r="Y3" s="55"/>
    </row>
    <row r="4" customFormat="1" ht="22.5" customHeight="1" spans="1:39">
      <c r="A4" s="49" t="s">
        <v>478</v>
      </c>
      <c r="B4" s="49" t="s">
        <v>486</v>
      </c>
      <c r="C4" s="49" t="s">
        <v>487</v>
      </c>
      <c r="D4" s="50">
        <v>227214980980</v>
      </c>
      <c r="E4" s="49" t="s">
        <v>488</v>
      </c>
      <c r="F4" s="51">
        <v>46077</v>
      </c>
      <c r="G4" s="52">
        <v>46066</v>
      </c>
      <c r="H4" s="52">
        <v>46070</v>
      </c>
      <c r="I4" s="52" t="s">
        <v>484</v>
      </c>
      <c r="J4" s="52" t="s">
        <v>489</v>
      </c>
      <c r="K4" s="52" t="s">
        <v>34</v>
      </c>
      <c r="L4" s="49">
        <v>5784</v>
      </c>
      <c r="M4" s="49">
        <v>18</v>
      </c>
      <c r="N4" s="49">
        <v>6</v>
      </c>
      <c r="O4" s="53">
        <v>8.26</v>
      </c>
      <c r="P4" s="53">
        <v>453.09</v>
      </c>
      <c r="Q4" s="53"/>
      <c r="R4" s="54">
        <f t="shared" si="0"/>
        <v>54.8535108958838</v>
      </c>
      <c r="S4" s="55">
        <f t="shared" si="1"/>
        <v>0.333333333333333</v>
      </c>
      <c r="T4" s="55">
        <f t="shared" si="2"/>
        <v>0.00311203319502075</v>
      </c>
      <c r="U4" s="54">
        <f t="shared" si="3"/>
        <v>0.458888888888889</v>
      </c>
      <c r="V4" s="54">
        <f t="shared" si="4"/>
        <v>1.37666666666667</v>
      </c>
      <c r="W4" s="55">
        <f t="shared" si="5"/>
        <v>0.0182303736564479</v>
      </c>
      <c r="X4" s="55"/>
      <c r="Y4" s="55"/>
    </row>
    <row r="5" customFormat="1" ht="22.5" customHeight="1" spans="1:39">
      <c r="A5" s="49" t="s">
        <v>478</v>
      </c>
      <c r="B5" s="49" t="s">
        <v>490</v>
      </c>
      <c r="C5" s="49" t="s">
        <v>491</v>
      </c>
      <c r="D5" s="50">
        <v>117032563600</v>
      </c>
      <c r="E5" s="49" t="s">
        <v>492</v>
      </c>
      <c r="F5" s="51">
        <v>46083</v>
      </c>
      <c r="G5" s="52">
        <v>46062</v>
      </c>
      <c r="H5" s="52">
        <v>46068</v>
      </c>
      <c r="I5" s="52" t="s">
        <v>484</v>
      </c>
      <c r="J5" s="52" t="s">
        <v>30</v>
      </c>
      <c r="K5" s="52" t="s">
        <v>493</v>
      </c>
      <c r="L5" s="49">
        <v>5333</v>
      </c>
      <c r="M5" s="49">
        <v>50</v>
      </c>
      <c r="N5" s="49">
        <v>4</v>
      </c>
      <c r="O5" s="53">
        <v>20.21</v>
      </c>
      <c r="P5" s="53">
        <v>211.69</v>
      </c>
      <c r="Q5" s="53"/>
      <c r="R5" s="54">
        <f t="shared" si="0"/>
        <v>10.4745175655616</v>
      </c>
      <c r="S5" s="55">
        <f t="shared" si="1"/>
        <v>0.08</v>
      </c>
      <c r="T5" s="55">
        <f t="shared" si="2"/>
        <v>0.00937558597412338</v>
      </c>
      <c r="U5" s="54">
        <f t="shared" si="3"/>
        <v>0.4042</v>
      </c>
      <c r="V5" s="54">
        <f t="shared" si="4"/>
        <v>5.0525</v>
      </c>
      <c r="W5" s="55">
        <f t="shared" si="5"/>
        <v>0.0954697907317304</v>
      </c>
      <c r="X5" s="55"/>
      <c r="Y5" s="55"/>
    </row>
    <row r="6" customFormat="1" ht="22.5" customHeight="1" spans="1:39">
      <c r="A6" s="49" t="s">
        <v>478</v>
      </c>
      <c r="B6" s="49" t="s">
        <v>486</v>
      </c>
      <c r="C6" s="49" t="s">
        <v>494</v>
      </c>
      <c r="D6" s="50">
        <v>227214967031</v>
      </c>
      <c r="E6" s="49" t="s">
        <v>488</v>
      </c>
      <c r="F6" s="51">
        <v>46077</v>
      </c>
      <c r="G6" s="52">
        <v>46066</v>
      </c>
      <c r="H6" s="52">
        <v>46077</v>
      </c>
      <c r="I6" s="52" t="s">
        <v>484</v>
      </c>
      <c r="J6" s="52" t="s">
        <v>489</v>
      </c>
      <c r="K6" s="52" t="s">
        <v>34</v>
      </c>
      <c r="L6" s="49">
        <v>8199</v>
      </c>
      <c r="M6" s="49">
        <v>20</v>
      </c>
      <c r="N6" s="49">
        <v>4</v>
      </c>
      <c r="O6" s="53">
        <v>8.52</v>
      </c>
      <c r="P6" s="53">
        <v>295.23</v>
      </c>
      <c r="Q6" s="53"/>
      <c r="R6" s="54">
        <f t="shared" si="0"/>
        <v>34.6514084507042</v>
      </c>
      <c r="S6" s="55">
        <f t="shared" si="1"/>
        <v>0.2</v>
      </c>
      <c r="T6" s="55">
        <f t="shared" si="2"/>
        <v>0.00243932186852055</v>
      </c>
      <c r="U6" s="54">
        <f t="shared" si="3"/>
        <v>0.426</v>
      </c>
      <c r="V6" s="54">
        <f t="shared" si="4"/>
        <v>2.13</v>
      </c>
      <c r="W6" s="55">
        <f t="shared" si="5"/>
        <v>0.0288588558073366</v>
      </c>
      <c r="X6" s="55"/>
      <c r="Y6" s="55"/>
    </row>
    <row r="7" customFormat="1" ht="22.5" customHeight="1" spans="1:39">
      <c r="A7" s="49" t="s">
        <v>478</v>
      </c>
      <c r="B7" s="49" t="s">
        <v>495</v>
      </c>
      <c r="C7" s="49" t="s">
        <v>326</v>
      </c>
      <c r="D7" s="50">
        <v>227241180103</v>
      </c>
      <c r="E7" s="49" t="s">
        <v>488</v>
      </c>
      <c r="F7" s="51">
        <v>46087</v>
      </c>
      <c r="G7" s="52">
        <v>46085</v>
      </c>
      <c r="H7" s="52">
        <v>46086</v>
      </c>
      <c r="I7" s="52" t="s">
        <v>496</v>
      </c>
      <c r="J7" s="52" t="s">
        <v>497</v>
      </c>
      <c r="K7" s="52" t="s">
        <v>34</v>
      </c>
      <c r="L7" s="49">
        <v>7336</v>
      </c>
      <c r="M7" s="49">
        <v>37</v>
      </c>
      <c r="N7" s="49">
        <v>3</v>
      </c>
      <c r="O7" s="53">
        <v>10.08</v>
      </c>
      <c r="P7" s="53">
        <v>279.53</v>
      </c>
      <c r="Q7" s="53"/>
      <c r="R7" s="54">
        <f t="shared" si="0"/>
        <v>27.7311507936508</v>
      </c>
      <c r="S7" s="55">
        <f t="shared" si="1"/>
        <v>0.0810810810810811</v>
      </c>
      <c r="T7" s="55">
        <f t="shared" si="2"/>
        <v>0.00504362050163577</v>
      </c>
      <c r="U7" s="54">
        <f t="shared" si="3"/>
        <v>0.272432432432432</v>
      </c>
      <c r="V7" s="54">
        <f t="shared" si="4"/>
        <v>3.36</v>
      </c>
      <c r="W7" s="55">
        <f t="shared" si="5"/>
        <v>0.036060530175652</v>
      </c>
      <c r="X7" s="55"/>
      <c r="Y7" s="55"/>
    </row>
    <row r="8" customFormat="1" ht="22.5" customHeight="1" spans="1:39">
      <c r="A8" s="49" t="s">
        <v>478</v>
      </c>
      <c r="B8" s="49" t="s">
        <v>498</v>
      </c>
      <c r="C8" s="49" t="s">
        <v>376</v>
      </c>
      <c r="D8" s="50">
        <v>177997411142</v>
      </c>
      <c r="E8" s="49" t="s">
        <v>483</v>
      </c>
      <c r="F8" s="51">
        <v>46109</v>
      </c>
      <c r="G8" s="52">
        <v>46108</v>
      </c>
      <c r="H8" s="52">
        <v>46116</v>
      </c>
      <c r="I8" s="52" t="s">
        <v>484</v>
      </c>
      <c r="J8" s="52" t="s">
        <v>489</v>
      </c>
      <c r="K8" s="52" t="s">
        <v>493</v>
      </c>
      <c r="L8" s="49">
        <v>1944</v>
      </c>
      <c r="M8" s="49">
        <v>11</v>
      </c>
      <c r="N8" s="49">
        <v>3</v>
      </c>
      <c r="O8" s="53">
        <v>4.47</v>
      </c>
      <c r="P8" s="53">
        <v>276.64</v>
      </c>
      <c r="Q8" s="53"/>
      <c r="R8" s="54">
        <f t="shared" si="0"/>
        <v>61.8881431767338</v>
      </c>
      <c r="S8" s="55">
        <f t="shared" si="1"/>
        <v>0.272727272727273</v>
      </c>
      <c r="T8" s="55">
        <f t="shared" si="2"/>
        <v>0.00565843621399177</v>
      </c>
      <c r="U8" s="54">
        <f t="shared" si="3"/>
        <v>0.406363636363636</v>
      </c>
      <c r="V8" s="54">
        <f t="shared" si="4"/>
        <v>1.49</v>
      </c>
      <c r="W8" s="55">
        <f t="shared" si="5"/>
        <v>0.0161581839213418</v>
      </c>
      <c r="X8" s="55"/>
      <c r="Y8" s="55"/>
    </row>
    <row r="9" customFormat="1" ht="22.5" customHeight="1" spans="1:39">
      <c r="A9" s="49" t="s">
        <v>478</v>
      </c>
      <c r="B9" s="49" t="s">
        <v>499</v>
      </c>
      <c r="C9" s="49" t="s">
        <v>362</v>
      </c>
      <c r="D9" s="50">
        <v>188171609056</v>
      </c>
      <c r="E9" s="49" t="s">
        <v>483</v>
      </c>
      <c r="F9" s="51">
        <v>46098</v>
      </c>
      <c r="G9" s="52">
        <v>46097</v>
      </c>
      <c r="H9" s="52">
        <v>46099</v>
      </c>
      <c r="I9" s="52" t="s">
        <v>26</v>
      </c>
      <c r="J9" s="52" t="s">
        <v>30</v>
      </c>
      <c r="K9" s="52" t="s">
        <v>34</v>
      </c>
      <c r="L9" s="49">
        <v>243</v>
      </c>
      <c r="M9" s="49">
        <v>14</v>
      </c>
      <c r="N9" s="49">
        <v>2</v>
      </c>
      <c r="O9" s="53">
        <v>13.58</v>
      </c>
      <c r="P9" s="53">
        <v>1252.73</v>
      </c>
      <c r="Q9" s="53"/>
      <c r="R9" s="54">
        <f t="shared" si="0"/>
        <v>92.2481590574374</v>
      </c>
      <c r="S9" s="55">
        <f t="shared" si="1"/>
        <v>0.142857142857143</v>
      </c>
      <c r="T9" s="55">
        <f t="shared" si="2"/>
        <v>0.0576131687242798</v>
      </c>
      <c r="U9" s="54">
        <f t="shared" si="3"/>
        <v>0.97</v>
      </c>
      <c r="V9" s="54">
        <f t="shared" si="4"/>
        <v>6.79</v>
      </c>
      <c r="W9" s="55">
        <f t="shared" si="5"/>
        <v>0.010840324730788</v>
      </c>
      <c r="X9" s="55"/>
      <c r="Y9" s="55"/>
    </row>
    <row r="10" customFormat="1" ht="22.5" customHeight="1" spans="1:39">
      <c r="A10" s="49" t="s">
        <v>478</v>
      </c>
      <c r="B10" s="49" t="s">
        <v>500</v>
      </c>
      <c r="C10" s="49" t="s">
        <v>501</v>
      </c>
      <c r="D10" s="50">
        <v>117053097094</v>
      </c>
      <c r="E10" s="49" t="s">
        <v>502</v>
      </c>
      <c r="F10" s="51">
        <v>46115</v>
      </c>
      <c r="G10" s="52">
        <v>46070</v>
      </c>
      <c r="H10" s="52">
        <v>46073</v>
      </c>
      <c r="I10" s="52" t="s">
        <v>503</v>
      </c>
      <c r="J10" s="52" t="s">
        <v>497</v>
      </c>
      <c r="K10" s="52" t="s">
        <v>34</v>
      </c>
      <c r="L10" s="49">
        <v>1656</v>
      </c>
      <c r="M10" s="49">
        <v>5</v>
      </c>
      <c r="N10" s="49">
        <v>2</v>
      </c>
      <c r="O10" s="53">
        <v>2.27</v>
      </c>
      <c r="P10" s="53">
        <v>43.5</v>
      </c>
      <c r="Q10" s="53"/>
      <c r="R10" s="54">
        <f t="shared" si="0"/>
        <v>19.1629955947137</v>
      </c>
      <c r="S10" s="55">
        <f t="shared" si="1"/>
        <v>0.4</v>
      </c>
      <c r="T10" s="55">
        <f t="shared" si="2"/>
        <v>0.00301932367149758</v>
      </c>
      <c r="U10" s="54">
        <f t="shared" si="3"/>
        <v>0.454</v>
      </c>
      <c r="V10" s="54">
        <f t="shared" si="4"/>
        <v>1.135</v>
      </c>
      <c r="W10" s="55">
        <f t="shared" si="5"/>
        <v>0.052183908045977</v>
      </c>
      <c r="X10" s="55"/>
      <c r="Y10" s="55"/>
    </row>
    <row r="11" customFormat="1" ht="22.5" customHeight="1" spans="1:39">
      <c r="A11" s="49" t="s">
        <v>478</v>
      </c>
      <c r="B11" s="49" t="s">
        <v>504</v>
      </c>
      <c r="C11" s="49" t="s">
        <v>341</v>
      </c>
      <c r="D11" s="50">
        <v>188144166107</v>
      </c>
      <c r="E11" s="49" t="s">
        <v>483</v>
      </c>
      <c r="F11" s="51">
        <v>46114</v>
      </c>
      <c r="G11" s="52">
        <v>46092</v>
      </c>
      <c r="H11" s="52">
        <v>46112</v>
      </c>
      <c r="I11" s="52" t="s">
        <v>505</v>
      </c>
      <c r="J11" s="52" t="s">
        <v>489</v>
      </c>
      <c r="K11" s="52" t="s">
        <v>493</v>
      </c>
      <c r="L11" s="49">
        <v>62</v>
      </c>
      <c r="M11" s="49">
        <v>2</v>
      </c>
      <c r="N11" s="49">
        <v>2</v>
      </c>
      <c r="O11" s="53">
        <v>0.74</v>
      </c>
      <c r="P11" s="53">
        <v>83.95</v>
      </c>
      <c r="Q11" s="53"/>
      <c r="R11" s="54">
        <f t="shared" si="0"/>
        <v>113.445945945946</v>
      </c>
      <c r="S11" s="55">
        <f t="shared" si="1"/>
        <v>1</v>
      </c>
      <c r="T11" s="55">
        <f t="shared" si="2"/>
        <v>0.032258064516129</v>
      </c>
      <c r="U11" s="54">
        <f t="shared" si="3"/>
        <v>0.37</v>
      </c>
      <c r="V11" s="54">
        <f t="shared" si="4"/>
        <v>0.37</v>
      </c>
      <c r="W11" s="55">
        <f t="shared" si="5"/>
        <v>0.00881477069684336</v>
      </c>
      <c r="X11" s="55"/>
      <c r="Y11" s="55"/>
    </row>
    <row r="12" customFormat="1" ht="22.5" customHeight="1" spans="1:39">
      <c r="A12" s="49" t="s">
        <v>478</v>
      </c>
      <c r="B12" s="49" t="s">
        <v>506</v>
      </c>
      <c r="C12" s="49" t="s">
        <v>342</v>
      </c>
      <c r="D12" s="50">
        <v>177947769950</v>
      </c>
      <c r="E12" s="49" t="s">
        <v>483</v>
      </c>
      <c r="F12" s="51">
        <v>46092</v>
      </c>
      <c r="G12" s="52">
        <v>46092</v>
      </c>
      <c r="H12" s="52">
        <v>46095</v>
      </c>
      <c r="I12" s="52" t="s">
        <v>484</v>
      </c>
      <c r="J12" s="52" t="s">
        <v>489</v>
      </c>
      <c r="K12" s="52" t="s">
        <v>34</v>
      </c>
      <c r="L12" s="49">
        <v>10215</v>
      </c>
      <c r="M12" s="49">
        <v>38</v>
      </c>
      <c r="N12" s="49">
        <v>1</v>
      </c>
      <c r="O12" s="53">
        <v>14.61</v>
      </c>
      <c r="P12" s="53">
        <v>123.46</v>
      </c>
      <c r="Q12" s="53"/>
      <c r="R12" s="54">
        <f t="shared" si="0"/>
        <v>8.45037645448323</v>
      </c>
      <c r="S12" s="55">
        <f t="shared" si="1"/>
        <v>0.0263157894736842</v>
      </c>
      <c r="T12" s="55">
        <f t="shared" si="2"/>
        <v>0.00372001957905042</v>
      </c>
      <c r="U12" s="54">
        <f t="shared" si="3"/>
        <v>0.384473684210526</v>
      </c>
      <c r="V12" s="54">
        <f t="shared" si="4"/>
        <v>14.61</v>
      </c>
      <c r="W12" s="55">
        <f t="shared" si="5"/>
        <v>0.118337923213996</v>
      </c>
      <c r="X12" s="55"/>
      <c r="Y12" s="55"/>
    </row>
    <row r="13" customFormat="1" ht="22.5" customHeight="1" spans="1:39">
      <c r="A13" s="49" t="s">
        <v>478</v>
      </c>
      <c r="B13" s="49" t="s">
        <v>507</v>
      </c>
      <c r="C13" s="49" t="s">
        <v>326</v>
      </c>
      <c r="D13" s="50">
        <v>117072634866</v>
      </c>
      <c r="E13" s="49" t="s">
        <v>502</v>
      </c>
      <c r="F13" s="51">
        <v>46095</v>
      </c>
      <c r="G13" s="52">
        <v>46085</v>
      </c>
      <c r="H13" s="52">
        <v>46086</v>
      </c>
      <c r="I13" s="52" t="s">
        <v>496</v>
      </c>
      <c r="J13" s="52" t="s">
        <v>497</v>
      </c>
      <c r="K13" s="52" t="s">
        <v>34</v>
      </c>
      <c r="L13" s="49">
        <v>852</v>
      </c>
      <c r="M13" s="49">
        <v>18</v>
      </c>
      <c r="N13" s="49">
        <v>1</v>
      </c>
      <c r="O13" s="53">
        <v>7.41</v>
      </c>
      <c r="P13" s="53">
        <v>87.41</v>
      </c>
      <c r="Q13" s="53"/>
      <c r="R13" s="54">
        <f t="shared" si="0"/>
        <v>11.7962213225371</v>
      </c>
      <c r="S13" s="55">
        <f t="shared" si="1"/>
        <v>0.0555555555555556</v>
      </c>
      <c r="T13" s="55">
        <f t="shared" si="2"/>
        <v>0.0211267605633803</v>
      </c>
      <c r="U13" s="54">
        <f t="shared" si="3"/>
        <v>0.411666666666667</v>
      </c>
      <c r="V13" s="54">
        <f t="shared" si="4"/>
        <v>7.41</v>
      </c>
      <c r="W13" s="55">
        <f t="shared" si="5"/>
        <v>0.0847729092781146</v>
      </c>
      <c r="X13" s="55"/>
      <c r="Y13" s="55"/>
    </row>
    <row r="14" customFormat="1" ht="22.5" customHeight="1" spans="1:39">
      <c r="A14" s="49" t="s">
        <v>478</v>
      </c>
      <c r="B14" s="49" t="s">
        <v>508</v>
      </c>
      <c r="C14" s="49" t="s">
        <v>325</v>
      </c>
      <c r="D14" s="50">
        <v>188126164114</v>
      </c>
      <c r="E14" s="49" t="s">
        <v>483</v>
      </c>
      <c r="F14" s="51">
        <v>46099</v>
      </c>
      <c r="G14" s="52">
        <v>46085</v>
      </c>
      <c r="H14" s="52">
        <v>46091</v>
      </c>
      <c r="I14" s="52" t="s">
        <v>496</v>
      </c>
      <c r="J14" s="52" t="s">
        <v>497</v>
      </c>
      <c r="K14" s="52" t="s">
        <v>34</v>
      </c>
      <c r="L14" s="49">
        <v>532</v>
      </c>
      <c r="M14" s="49">
        <v>15</v>
      </c>
      <c r="N14" s="49">
        <v>1</v>
      </c>
      <c r="O14" s="53">
        <v>7.63</v>
      </c>
      <c r="P14" s="53">
        <v>85</v>
      </c>
      <c r="Q14" s="53"/>
      <c r="R14" s="54">
        <f t="shared" si="0"/>
        <v>11.1402359108781</v>
      </c>
      <c r="S14" s="55">
        <f t="shared" si="1"/>
        <v>0.0666666666666667</v>
      </c>
      <c r="T14" s="55">
        <f t="shared" si="2"/>
        <v>0.0281954887218045</v>
      </c>
      <c r="U14" s="54">
        <f t="shared" si="3"/>
        <v>0.508666666666667</v>
      </c>
      <c r="V14" s="54">
        <f t="shared" si="4"/>
        <v>7.63</v>
      </c>
      <c r="W14" s="55">
        <f t="shared" si="5"/>
        <v>0.0897647058823529</v>
      </c>
      <c r="X14" s="55"/>
      <c r="Y14" s="55"/>
    </row>
    <row r="15" customFormat="1" ht="22.5" customHeight="1" spans="1:39">
      <c r="A15" s="49" t="s">
        <v>478</v>
      </c>
      <c r="B15" s="49" t="s">
        <v>509</v>
      </c>
      <c r="C15" s="49" t="s">
        <v>510</v>
      </c>
      <c r="D15" s="50">
        <v>287151502535</v>
      </c>
      <c r="E15" s="49" t="s">
        <v>511</v>
      </c>
      <c r="F15" s="51">
        <v>46087</v>
      </c>
      <c r="G15" s="52">
        <v>46070</v>
      </c>
      <c r="H15" s="52">
        <v>46086</v>
      </c>
      <c r="I15" s="52" t="s">
        <v>503</v>
      </c>
      <c r="J15" s="52" t="s">
        <v>497</v>
      </c>
      <c r="K15" s="52" t="s">
        <v>34</v>
      </c>
      <c r="L15" s="49">
        <v>1656</v>
      </c>
      <c r="M15" s="49">
        <v>13</v>
      </c>
      <c r="N15" s="49">
        <v>1</v>
      </c>
      <c r="O15" s="53">
        <v>5.32</v>
      </c>
      <c r="P15" s="53">
        <v>21.6</v>
      </c>
      <c r="Q15" s="53"/>
      <c r="R15" s="54">
        <f t="shared" si="0"/>
        <v>4.06015037593985</v>
      </c>
      <c r="S15" s="55">
        <f t="shared" si="1"/>
        <v>0.0769230769230769</v>
      </c>
      <c r="T15" s="55">
        <f t="shared" si="2"/>
        <v>0.00785024154589372</v>
      </c>
      <c r="U15" s="54">
        <f t="shared" si="3"/>
        <v>0.409230769230769</v>
      </c>
      <c r="V15" s="54">
        <f t="shared" si="4"/>
        <v>5.32</v>
      </c>
      <c r="W15" s="55">
        <f t="shared" si="5"/>
        <v>0.246296296296296</v>
      </c>
      <c r="X15" s="55"/>
      <c r="Y15" s="55"/>
    </row>
    <row r="16" customFormat="1" ht="22.5" customHeight="1" spans="1:39">
      <c r="A16" s="49" t="s">
        <v>478</v>
      </c>
      <c r="B16" s="49" t="s">
        <v>512</v>
      </c>
      <c r="C16" s="49" t="s">
        <v>510</v>
      </c>
      <c r="D16" s="50">
        <v>227221709911</v>
      </c>
      <c r="E16" s="49" t="s">
        <v>488</v>
      </c>
      <c r="F16" s="51">
        <v>46087</v>
      </c>
      <c r="G16" s="52">
        <v>46070</v>
      </c>
      <c r="H16" s="52">
        <v>46086</v>
      </c>
      <c r="I16" s="52" t="s">
        <v>503</v>
      </c>
      <c r="J16" s="52" t="s">
        <v>497</v>
      </c>
      <c r="K16" s="52" t="s">
        <v>34</v>
      </c>
      <c r="L16" s="49">
        <v>1825</v>
      </c>
      <c r="M16" s="49">
        <v>12</v>
      </c>
      <c r="N16" s="49">
        <v>1</v>
      </c>
      <c r="O16" s="53">
        <v>5.18</v>
      </c>
      <c r="P16" s="53">
        <v>21.25</v>
      </c>
      <c r="Q16" s="53"/>
      <c r="R16" s="54">
        <f t="shared" si="0"/>
        <v>4.1023166023166</v>
      </c>
      <c r="S16" s="55">
        <f t="shared" si="1"/>
        <v>0.0833333333333333</v>
      </c>
      <c r="T16" s="55">
        <f t="shared" si="2"/>
        <v>0.00657534246575343</v>
      </c>
      <c r="U16" s="54">
        <f t="shared" si="3"/>
        <v>0.431666666666667</v>
      </c>
      <c r="V16" s="54">
        <f t="shared" si="4"/>
        <v>5.18</v>
      </c>
      <c r="W16" s="55">
        <f t="shared" si="5"/>
        <v>0.243764705882353</v>
      </c>
      <c r="X16" s="55"/>
      <c r="Y16" s="55"/>
    </row>
    <row r="17" customFormat="1" ht="22.5" customHeight="1" spans="1:25">
      <c r="A17" s="49" t="s">
        <v>478</v>
      </c>
      <c r="B17" s="49" t="s">
        <v>513</v>
      </c>
      <c r="C17" s="49" t="s">
        <v>339</v>
      </c>
      <c r="D17" s="50">
        <v>117085059550</v>
      </c>
      <c r="E17" s="49" t="s">
        <v>502</v>
      </c>
      <c r="F17" s="51">
        <v>46104</v>
      </c>
      <c r="G17" s="52">
        <v>46092</v>
      </c>
      <c r="H17" s="52">
        <v>46104</v>
      </c>
      <c r="I17" s="52" t="s">
        <v>484</v>
      </c>
      <c r="J17" s="52" t="s">
        <v>489</v>
      </c>
      <c r="K17" s="52" t="s">
        <v>34</v>
      </c>
      <c r="L17" s="49">
        <v>1301</v>
      </c>
      <c r="M17" s="49">
        <v>12</v>
      </c>
      <c r="N17" s="49">
        <v>1</v>
      </c>
      <c r="O17" s="53">
        <v>3.59</v>
      </c>
      <c r="P17" s="53">
        <v>13.08</v>
      </c>
      <c r="Q17" s="53"/>
      <c r="R17" s="54">
        <f t="shared" si="0"/>
        <v>3.64345403899721</v>
      </c>
      <c r="S17" s="55">
        <f t="shared" si="1"/>
        <v>0.0833333333333333</v>
      </c>
      <c r="T17" s="55">
        <f t="shared" si="2"/>
        <v>0.00922367409684858</v>
      </c>
      <c r="U17" s="54">
        <f t="shared" si="3"/>
        <v>0.299166666666667</v>
      </c>
      <c r="V17" s="54">
        <f t="shared" si="4"/>
        <v>3.59</v>
      </c>
      <c r="W17" s="55">
        <f t="shared" si="5"/>
        <v>0.274464831804281</v>
      </c>
      <c r="X17" s="55"/>
      <c r="Y17" s="55"/>
    </row>
    <row r="18" customFormat="1" ht="22.5" customHeight="1" spans="1:25">
      <c r="A18" s="49" t="s">
        <v>478</v>
      </c>
      <c r="B18" s="49" t="s">
        <v>514</v>
      </c>
      <c r="C18" s="49" t="s">
        <v>487</v>
      </c>
      <c r="D18" s="50">
        <v>336471552121</v>
      </c>
      <c r="E18" s="49" t="s">
        <v>515</v>
      </c>
      <c r="F18" s="51">
        <v>46122</v>
      </c>
      <c r="G18" s="52">
        <v>46066</v>
      </c>
      <c r="H18" s="52">
        <v>46070</v>
      </c>
      <c r="I18" s="52" t="s">
        <v>484</v>
      </c>
      <c r="J18" s="52" t="s">
        <v>489</v>
      </c>
      <c r="K18" s="52" t="s">
        <v>34</v>
      </c>
      <c r="L18" s="49">
        <v>2664</v>
      </c>
      <c r="M18" s="49">
        <v>11</v>
      </c>
      <c r="N18" s="49">
        <v>1</v>
      </c>
      <c r="O18" s="53">
        <v>5.3</v>
      </c>
      <c r="P18" s="53">
        <v>56</v>
      </c>
      <c r="Q18" s="53"/>
      <c r="R18" s="54">
        <f t="shared" si="0"/>
        <v>10.5660377358491</v>
      </c>
      <c r="S18" s="55">
        <f t="shared" si="1"/>
        <v>0.0909090909090909</v>
      </c>
      <c r="T18" s="55">
        <f t="shared" si="2"/>
        <v>0.00412912912912913</v>
      </c>
      <c r="U18" s="54">
        <f t="shared" si="3"/>
        <v>0.481818181818182</v>
      </c>
      <c r="V18" s="54">
        <f t="shared" si="4"/>
        <v>5.3</v>
      </c>
      <c r="W18" s="55">
        <f t="shared" si="5"/>
        <v>0.0946428571428571</v>
      </c>
      <c r="X18" s="55"/>
      <c r="Y18" s="55"/>
    </row>
    <row r="19" customFormat="1" ht="22.5" customHeight="1" spans="1:25">
      <c r="A19" s="49" t="s">
        <v>478</v>
      </c>
      <c r="B19" s="49" t="s">
        <v>516</v>
      </c>
      <c r="C19" s="49" t="s">
        <v>517</v>
      </c>
      <c r="D19" s="50">
        <v>117032570263</v>
      </c>
      <c r="E19" s="49" t="s">
        <v>502</v>
      </c>
      <c r="F19" s="51">
        <v>46105</v>
      </c>
      <c r="G19" s="52">
        <v>46062</v>
      </c>
      <c r="H19" s="52">
        <v>46117</v>
      </c>
      <c r="I19" s="52" t="s">
        <v>496</v>
      </c>
      <c r="J19" s="52" t="s">
        <v>518</v>
      </c>
      <c r="K19" s="52" t="s">
        <v>34</v>
      </c>
      <c r="L19" s="49">
        <v>748</v>
      </c>
      <c r="M19" s="49">
        <v>10</v>
      </c>
      <c r="N19" s="49">
        <v>1</v>
      </c>
      <c r="O19" s="53">
        <v>7.09</v>
      </c>
      <c r="P19" s="53">
        <v>88.56</v>
      </c>
      <c r="Q19" s="53"/>
      <c r="R19" s="54">
        <f t="shared" si="0"/>
        <v>12.490832157969</v>
      </c>
      <c r="S19" s="55">
        <f t="shared" si="1"/>
        <v>0.1</v>
      </c>
      <c r="T19" s="55">
        <f t="shared" si="2"/>
        <v>0.0133689839572193</v>
      </c>
      <c r="U19" s="54">
        <f t="shared" si="3"/>
        <v>0.709</v>
      </c>
      <c r="V19" s="54">
        <f t="shared" si="4"/>
        <v>7.09</v>
      </c>
      <c r="W19" s="55">
        <f t="shared" si="5"/>
        <v>0.0800587172538392</v>
      </c>
      <c r="X19" s="55"/>
      <c r="Y19" s="55"/>
    </row>
    <row r="20" customFormat="1" ht="22.5" customHeight="1" spans="1:25">
      <c r="A20" s="49" t="s">
        <v>478</v>
      </c>
      <c r="B20" s="49" t="s">
        <v>519</v>
      </c>
      <c r="C20" s="49" t="s">
        <v>356</v>
      </c>
      <c r="D20" s="50">
        <v>177965595242</v>
      </c>
      <c r="E20" s="49" t="s">
        <v>483</v>
      </c>
      <c r="F20" s="51">
        <v>46100</v>
      </c>
      <c r="G20" s="52">
        <v>46097</v>
      </c>
      <c r="H20" s="52">
        <v>46100</v>
      </c>
      <c r="I20" s="52" t="s">
        <v>520</v>
      </c>
      <c r="J20" s="52" t="s">
        <v>521</v>
      </c>
      <c r="K20" s="52" t="s">
        <v>34</v>
      </c>
      <c r="L20" s="49">
        <v>1075</v>
      </c>
      <c r="M20" s="49">
        <v>9</v>
      </c>
      <c r="N20" s="49">
        <v>1</v>
      </c>
      <c r="O20" s="53">
        <v>6.45</v>
      </c>
      <c r="P20" s="53">
        <v>96.34</v>
      </c>
      <c r="Q20" s="53"/>
      <c r="R20" s="54">
        <f t="shared" si="0"/>
        <v>14.9364341085271</v>
      </c>
      <c r="S20" s="55">
        <f t="shared" si="1"/>
        <v>0.111111111111111</v>
      </c>
      <c r="T20" s="55">
        <f t="shared" si="2"/>
        <v>0.00837209302325581</v>
      </c>
      <c r="U20" s="54">
        <f t="shared" si="3"/>
        <v>0.716666666666667</v>
      </c>
      <c r="V20" s="54">
        <f t="shared" si="4"/>
        <v>6.45</v>
      </c>
      <c r="W20" s="55">
        <f t="shared" si="5"/>
        <v>0.0669503840564667</v>
      </c>
      <c r="X20" s="55"/>
      <c r="Y20" s="55"/>
    </row>
    <row r="21" customFormat="1" ht="22.5" customHeight="1" spans="1:25">
      <c r="A21" s="49" t="s">
        <v>478</v>
      </c>
      <c r="B21" s="49" t="s">
        <v>522</v>
      </c>
      <c r="C21" s="49" t="s">
        <v>523</v>
      </c>
      <c r="D21" s="50">
        <v>117043458011</v>
      </c>
      <c r="E21" s="49" t="s">
        <v>502</v>
      </c>
      <c r="F21" s="51">
        <v>46082</v>
      </c>
      <c r="G21" s="52">
        <v>46066</v>
      </c>
      <c r="H21" s="52">
        <v>46069</v>
      </c>
      <c r="I21" s="52" t="s">
        <v>26</v>
      </c>
      <c r="J21" s="52" t="s">
        <v>497</v>
      </c>
      <c r="K21" s="52" t="s">
        <v>34</v>
      </c>
      <c r="L21" s="49">
        <v>771</v>
      </c>
      <c r="M21" s="49">
        <v>9</v>
      </c>
      <c r="N21" s="49">
        <v>1</v>
      </c>
      <c r="O21" s="53">
        <v>3.4</v>
      </c>
      <c r="P21" s="53">
        <v>57.11</v>
      </c>
      <c r="Q21" s="53"/>
      <c r="R21" s="54">
        <f t="shared" si="0"/>
        <v>16.7970588235294</v>
      </c>
      <c r="S21" s="55">
        <f t="shared" si="1"/>
        <v>0.111111111111111</v>
      </c>
      <c r="T21" s="55">
        <f t="shared" si="2"/>
        <v>0.0116731517509728</v>
      </c>
      <c r="U21" s="54">
        <f t="shared" si="3"/>
        <v>0.377777777777778</v>
      </c>
      <c r="V21" s="54">
        <f t="shared" si="4"/>
        <v>3.4</v>
      </c>
      <c r="W21" s="55">
        <f t="shared" si="5"/>
        <v>0.0595342321835055</v>
      </c>
      <c r="X21" s="55"/>
      <c r="Y21" s="55"/>
    </row>
    <row r="22" customFormat="1" ht="22.5" customHeight="1" spans="1:25">
      <c r="A22" s="49" t="s">
        <v>478</v>
      </c>
      <c r="B22" s="49" t="s">
        <v>524</v>
      </c>
      <c r="C22" s="49" t="s">
        <v>525</v>
      </c>
      <c r="D22" s="50">
        <v>117042072978</v>
      </c>
      <c r="E22" s="49" t="s">
        <v>502</v>
      </c>
      <c r="F22" s="51">
        <v>46082</v>
      </c>
      <c r="G22" s="52">
        <v>46066</v>
      </c>
      <c r="H22" s="52">
        <v>46070</v>
      </c>
      <c r="I22" s="52" t="s">
        <v>520</v>
      </c>
      <c r="J22" s="52" t="s">
        <v>489</v>
      </c>
      <c r="K22" s="52" t="s">
        <v>493</v>
      </c>
      <c r="L22" s="49">
        <v>2610</v>
      </c>
      <c r="M22" s="49">
        <v>7</v>
      </c>
      <c r="N22" s="49">
        <v>1</v>
      </c>
      <c r="O22" s="53">
        <v>4.8</v>
      </c>
      <c r="P22" s="53">
        <v>95.68</v>
      </c>
      <c r="Q22" s="53"/>
      <c r="R22" s="54">
        <f t="shared" si="0"/>
        <v>19.9333333333333</v>
      </c>
      <c r="S22" s="55">
        <f t="shared" si="1"/>
        <v>0.142857142857143</v>
      </c>
      <c r="T22" s="55">
        <f t="shared" si="2"/>
        <v>0.00268199233716475</v>
      </c>
      <c r="U22" s="54">
        <f t="shared" si="3"/>
        <v>0.685714285714286</v>
      </c>
      <c r="V22" s="54">
        <f t="shared" si="4"/>
        <v>4.8</v>
      </c>
      <c r="W22" s="55">
        <f t="shared" si="5"/>
        <v>0.0501672240802676</v>
      </c>
      <c r="X22" s="55"/>
      <c r="Y22" s="55"/>
    </row>
    <row r="23" customFormat="1" ht="22.5" customHeight="1" spans="1:25">
      <c r="A23" s="49" t="s">
        <v>478</v>
      </c>
      <c r="B23" s="49" t="s">
        <v>499</v>
      </c>
      <c r="C23" s="49" t="s">
        <v>360</v>
      </c>
      <c r="D23" s="50">
        <v>188171589571</v>
      </c>
      <c r="E23" s="49" t="s">
        <v>483</v>
      </c>
      <c r="F23" s="51">
        <v>46098</v>
      </c>
      <c r="G23" s="52">
        <v>46097</v>
      </c>
      <c r="H23" s="52">
        <v>46099</v>
      </c>
      <c r="I23" s="52" t="s">
        <v>26</v>
      </c>
      <c r="J23" s="52" t="s">
        <v>30</v>
      </c>
      <c r="K23" s="52" t="s">
        <v>34</v>
      </c>
      <c r="L23" s="49">
        <v>135</v>
      </c>
      <c r="M23" s="49">
        <v>4</v>
      </c>
      <c r="N23" s="49">
        <v>1</v>
      </c>
      <c r="O23" s="53">
        <v>2.38</v>
      </c>
      <c r="P23" s="53">
        <v>588</v>
      </c>
      <c r="Q23" s="53"/>
      <c r="R23" s="54">
        <f t="shared" si="0"/>
        <v>247.058823529412</v>
      </c>
      <c r="S23" s="55">
        <f t="shared" si="1"/>
        <v>0.25</v>
      </c>
      <c r="T23" s="55">
        <f t="shared" si="2"/>
        <v>0.0296296296296296</v>
      </c>
      <c r="U23" s="54">
        <f t="shared" si="3"/>
        <v>0.595</v>
      </c>
      <c r="V23" s="54">
        <f t="shared" si="4"/>
        <v>2.38</v>
      </c>
      <c r="W23" s="55">
        <f t="shared" si="5"/>
        <v>0.00404761904761905</v>
      </c>
      <c r="X23" s="55"/>
      <c r="Y23" s="55"/>
    </row>
    <row r="24" customFormat="1" ht="22.5" customHeight="1" spans="1:25">
      <c r="A24" s="49" t="s">
        <v>478</v>
      </c>
      <c r="B24" s="49" t="s">
        <v>526</v>
      </c>
      <c r="C24" s="49" t="s">
        <v>348</v>
      </c>
      <c r="D24" s="50">
        <v>177951390007</v>
      </c>
      <c r="E24" s="49" t="s">
        <v>483</v>
      </c>
      <c r="F24" s="51">
        <v>46094</v>
      </c>
      <c r="G24" s="52">
        <v>46093</v>
      </c>
      <c r="H24" s="52">
        <v>46100</v>
      </c>
      <c r="I24" s="52" t="s">
        <v>484</v>
      </c>
      <c r="J24" s="52" t="s">
        <v>485</v>
      </c>
      <c r="K24" s="52" t="s">
        <v>34</v>
      </c>
      <c r="L24" s="49">
        <v>147</v>
      </c>
      <c r="M24" s="49">
        <v>3</v>
      </c>
      <c r="N24" s="49">
        <v>1</v>
      </c>
      <c r="O24" s="53">
        <v>1.04</v>
      </c>
      <c r="P24" s="53">
        <v>152.55</v>
      </c>
      <c r="Q24" s="53"/>
      <c r="R24" s="54">
        <f t="shared" si="0"/>
        <v>146.682692307692</v>
      </c>
      <c r="S24" s="55">
        <f t="shared" si="1"/>
        <v>0.333333333333333</v>
      </c>
      <c r="T24" s="55">
        <f t="shared" si="2"/>
        <v>0.0204081632653061</v>
      </c>
      <c r="U24" s="54">
        <f t="shared" si="3"/>
        <v>0.346666666666667</v>
      </c>
      <c r="V24" s="54">
        <f t="shared" si="4"/>
        <v>1.04</v>
      </c>
      <c r="W24" s="55">
        <f t="shared" si="5"/>
        <v>0.00681743690593248</v>
      </c>
      <c r="X24" s="55"/>
      <c r="Y24" s="55"/>
    </row>
    <row r="25" customFormat="1" ht="22.5" customHeight="1" spans="1:25">
      <c r="A25" s="49" t="s">
        <v>478</v>
      </c>
      <c r="B25" s="49" t="s">
        <v>527</v>
      </c>
      <c r="C25" s="49" t="s">
        <v>528</v>
      </c>
      <c r="D25" s="50">
        <v>227228792444</v>
      </c>
      <c r="E25" s="49" t="s">
        <v>488</v>
      </c>
      <c r="F25" s="51">
        <v>46078</v>
      </c>
      <c r="G25" s="52">
        <v>46076</v>
      </c>
      <c r="H25" s="52">
        <v>46084</v>
      </c>
      <c r="I25" s="52" t="s">
        <v>520</v>
      </c>
      <c r="J25" s="52" t="s">
        <v>521</v>
      </c>
      <c r="K25" s="52" t="s">
        <v>493</v>
      </c>
      <c r="L25" s="49">
        <v>659</v>
      </c>
      <c r="M25" s="49">
        <v>2</v>
      </c>
      <c r="N25" s="49">
        <v>1</v>
      </c>
      <c r="O25" s="53">
        <v>1.82</v>
      </c>
      <c r="P25" s="53">
        <v>55.12</v>
      </c>
      <c r="Q25" s="53"/>
      <c r="R25" s="54">
        <f t="shared" si="0"/>
        <v>30.2857142857143</v>
      </c>
      <c r="S25" s="55">
        <f t="shared" si="1"/>
        <v>0.5</v>
      </c>
      <c r="T25" s="55">
        <f t="shared" si="2"/>
        <v>0.00303490136570561</v>
      </c>
      <c r="U25" s="54">
        <f t="shared" si="3"/>
        <v>0.91</v>
      </c>
      <c r="V25" s="54">
        <f t="shared" si="4"/>
        <v>1.82</v>
      </c>
      <c r="W25" s="55">
        <f t="shared" si="5"/>
        <v>0.0330188679245283</v>
      </c>
      <c r="X25" s="55"/>
      <c r="Y25" s="55"/>
    </row>
    <row r="26" customFormat="1" ht="22.5" customHeight="1" spans="1:25">
      <c r="A26" s="49" t="s">
        <v>478</v>
      </c>
      <c r="B26" s="49" t="s">
        <v>529</v>
      </c>
      <c r="C26" s="49" t="s">
        <v>530</v>
      </c>
      <c r="D26" s="50">
        <v>287173607865</v>
      </c>
      <c r="E26" s="49" t="s">
        <v>511</v>
      </c>
      <c r="F26" s="51">
        <v>46087</v>
      </c>
      <c r="G26" s="52">
        <v>46081</v>
      </c>
      <c r="H26" s="52">
        <v>46101</v>
      </c>
      <c r="I26" s="52" t="s">
        <v>503</v>
      </c>
      <c r="J26" s="52" t="s">
        <v>497</v>
      </c>
      <c r="K26" s="52" t="s">
        <v>34</v>
      </c>
      <c r="L26" s="49">
        <v>480</v>
      </c>
      <c r="M26" s="49">
        <v>1</v>
      </c>
      <c r="N26" s="49">
        <v>1</v>
      </c>
      <c r="O26" s="53">
        <v>0.34</v>
      </c>
      <c r="P26" s="53">
        <v>62.08</v>
      </c>
      <c r="Q26" s="53"/>
      <c r="R26" s="54">
        <f t="shared" si="0"/>
        <v>182.588235294118</v>
      </c>
      <c r="S26" s="55">
        <f t="shared" si="1"/>
        <v>1</v>
      </c>
      <c r="T26" s="55">
        <f t="shared" si="2"/>
        <v>0.00208333333333333</v>
      </c>
      <c r="U26" s="54">
        <f t="shared" si="3"/>
        <v>0.34</v>
      </c>
      <c r="V26" s="54">
        <f t="shared" si="4"/>
        <v>0.34</v>
      </c>
      <c r="W26" s="55">
        <f t="shared" si="5"/>
        <v>0.00547680412371134</v>
      </c>
      <c r="X26" s="55"/>
      <c r="Y26" s="55"/>
    </row>
    <row r="27" customFormat="1" ht="22.5" customHeight="1" spans="1:25">
      <c r="A27" s="49" t="s">
        <v>478</v>
      </c>
      <c r="B27" s="49" t="s">
        <v>499</v>
      </c>
      <c r="C27" s="49" t="s">
        <v>353</v>
      </c>
      <c r="D27" s="50">
        <v>188167194511</v>
      </c>
      <c r="E27" s="49" t="s">
        <v>483</v>
      </c>
      <c r="F27" s="51">
        <v>46098</v>
      </c>
      <c r="G27" s="52">
        <v>46097</v>
      </c>
      <c r="H27" s="52">
        <v>46100</v>
      </c>
      <c r="I27" s="52" t="s">
        <v>26</v>
      </c>
      <c r="J27" s="52" t="s">
        <v>30</v>
      </c>
      <c r="K27" s="52" t="s">
        <v>34</v>
      </c>
      <c r="L27" s="49">
        <v>0</v>
      </c>
      <c r="M27" s="49">
        <v>0</v>
      </c>
      <c r="N27" s="49">
        <v>1</v>
      </c>
      <c r="O27" s="53">
        <v>0</v>
      </c>
      <c r="P27" s="53">
        <v>627.41</v>
      </c>
      <c r="Q27" s="53"/>
      <c r="R27" s="54" t="e">
        <f t="shared" si="0"/>
        <v>#DIV/0!</v>
      </c>
      <c r="S27" s="55" t="e">
        <f t="shared" si="1"/>
        <v>#DIV/0!</v>
      </c>
      <c r="T27" s="55" t="e">
        <f t="shared" si="2"/>
        <v>#DIV/0!</v>
      </c>
      <c r="U27" s="54" t="e">
        <f t="shared" si="3"/>
        <v>#DIV/0!</v>
      </c>
      <c r="V27" s="54">
        <f t="shared" si="4"/>
        <v>0</v>
      </c>
      <c r="W27" s="55">
        <f t="shared" si="5"/>
        <v>0</v>
      </c>
      <c r="X27" s="55"/>
      <c r="Y27" s="55"/>
    </row>
    <row r="28" customFormat="1" ht="22.5" customHeight="1" spans="1:25">
      <c r="A28" s="49" t="s">
        <v>478</v>
      </c>
      <c r="B28" s="49" t="s">
        <v>531</v>
      </c>
      <c r="C28" s="49" t="s">
        <v>368</v>
      </c>
      <c r="D28" s="50">
        <v>117105229897</v>
      </c>
      <c r="E28" s="49" t="s">
        <v>502</v>
      </c>
      <c r="F28" s="51">
        <v>46120</v>
      </c>
      <c r="G28" s="52">
        <v>46104</v>
      </c>
      <c r="H28" s="52" t="s">
        <v>149</v>
      </c>
      <c r="I28" s="52" t="s">
        <v>484</v>
      </c>
      <c r="J28" s="52" t="s">
        <v>521</v>
      </c>
      <c r="K28" s="52" t="s">
        <v>34</v>
      </c>
      <c r="L28" s="49">
        <v>5539</v>
      </c>
      <c r="M28" s="49">
        <v>21</v>
      </c>
      <c r="N28" s="49">
        <v>0</v>
      </c>
      <c r="O28" s="53">
        <v>9.77</v>
      </c>
      <c r="P28" s="53">
        <v>0</v>
      </c>
      <c r="Q28" s="53"/>
      <c r="R28" s="54">
        <f t="shared" si="0"/>
        <v>0</v>
      </c>
      <c r="S28" s="55">
        <f t="shared" si="1"/>
        <v>0</v>
      </c>
      <c r="T28" s="55">
        <f t="shared" si="2"/>
        <v>0.00379129806824337</v>
      </c>
      <c r="U28" s="54">
        <f t="shared" si="3"/>
        <v>0.465238095238095</v>
      </c>
      <c r="V28" s="54" t="e">
        <f t="shared" si="4"/>
        <v>#DIV/0!</v>
      </c>
      <c r="W28" s="55" t="e">
        <f t="shared" si="5"/>
        <v>#DIV/0!</v>
      </c>
      <c r="X28" s="55"/>
      <c r="Y28" s="55"/>
    </row>
    <row r="29" customFormat="1" ht="22.5" customHeight="1" spans="1:25">
      <c r="A29" s="49" t="s">
        <v>478</v>
      </c>
      <c r="B29" s="49" t="s">
        <v>532</v>
      </c>
      <c r="C29" s="49" t="s">
        <v>351</v>
      </c>
      <c r="D29" s="50">
        <v>336486052117</v>
      </c>
      <c r="E29" s="49" t="s">
        <v>515</v>
      </c>
      <c r="F29" s="51">
        <v>46098</v>
      </c>
      <c r="G29" s="52">
        <v>46097</v>
      </c>
      <c r="H29" s="52">
        <v>46103</v>
      </c>
      <c r="I29" s="52" t="s">
        <v>496</v>
      </c>
      <c r="J29" s="52" t="s">
        <v>30</v>
      </c>
      <c r="K29" s="52" t="s">
        <v>34</v>
      </c>
      <c r="L29" s="49">
        <v>13146</v>
      </c>
      <c r="M29" s="49">
        <v>12</v>
      </c>
      <c r="N29" s="49">
        <v>0</v>
      </c>
      <c r="O29" s="53">
        <v>5.59</v>
      </c>
      <c r="P29" s="53">
        <v>0</v>
      </c>
      <c r="Q29" s="53"/>
      <c r="R29" s="54">
        <f t="shared" si="0"/>
        <v>0</v>
      </c>
      <c r="S29" s="55">
        <f t="shared" si="1"/>
        <v>0</v>
      </c>
      <c r="T29" s="55">
        <f t="shared" si="2"/>
        <v>0.000912825193975354</v>
      </c>
      <c r="U29" s="54">
        <f t="shared" si="3"/>
        <v>0.465833333333333</v>
      </c>
      <c r="V29" s="54" t="e">
        <f t="shared" si="4"/>
        <v>#DIV/0!</v>
      </c>
      <c r="W29" s="55" t="e">
        <f t="shared" si="5"/>
        <v>#DIV/0!</v>
      </c>
      <c r="X29" s="55"/>
      <c r="Y29" s="55"/>
    </row>
    <row r="30" customFormat="1" ht="22.5" customHeight="1" spans="1:25">
      <c r="A30" s="49" t="s">
        <v>478</v>
      </c>
      <c r="B30" s="49" t="s">
        <v>524</v>
      </c>
      <c r="C30" s="49" t="s">
        <v>533</v>
      </c>
      <c r="D30" s="50">
        <v>117042068584</v>
      </c>
      <c r="E30" s="49" t="s">
        <v>502</v>
      </c>
      <c r="F30" s="51">
        <v>46082</v>
      </c>
      <c r="G30" s="52">
        <v>46066</v>
      </c>
      <c r="H30" s="52">
        <v>46068</v>
      </c>
      <c r="I30" s="52" t="s">
        <v>520</v>
      </c>
      <c r="J30" s="52" t="s">
        <v>489</v>
      </c>
      <c r="K30" s="52" t="s">
        <v>493</v>
      </c>
      <c r="L30" s="49">
        <v>3700</v>
      </c>
      <c r="M30" s="49">
        <v>10</v>
      </c>
      <c r="N30" s="49">
        <v>0</v>
      </c>
      <c r="O30" s="53">
        <v>5.77</v>
      </c>
      <c r="P30" s="53">
        <v>0</v>
      </c>
      <c r="Q30" s="53"/>
      <c r="R30" s="54">
        <f t="shared" si="0"/>
        <v>0</v>
      </c>
      <c r="S30" s="55">
        <f t="shared" si="1"/>
        <v>0</v>
      </c>
      <c r="T30" s="55">
        <f t="shared" si="2"/>
        <v>0.0027027027027027</v>
      </c>
      <c r="U30" s="54">
        <f t="shared" si="3"/>
        <v>0.577</v>
      </c>
      <c r="V30" s="54" t="e">
        <f t="shared" si="4"/>
        <v>#DIV/0!</v>
      </c>
      <c r="W30" s="55" t="e">
        <f t="shared" si="5"/>
        <v>#DIV/0!</v>
      </c>
      <c r="X30" s="55"/>
      <c r="Y30" s="55"/>
    </row>
    <row r="31" customFormat="1" ht="22.5" customHeight="1" spans="1:25">
      <c r="A31" s="49" t="s">
        <v>478</v>
      </c>
      <c r="B31" s="49" t="s">
        <v>534</v>
      </c>
      <c r="C31" s="49" t="s">
        <v>368</v>
      </c>
      <c r="D31" s="50">
        <v>188197007336</v>
      </c>
      <c r="E31" s="49" t="s">
        <v>483</v>
      </c>
      <c r="F31" s="51">
        <v>46104</v>
      </c>
      <c r="G31" s="52">
        <v>46104</v>
      </c>
      <c r="H31" s="52" t="s">
        <v>149</v>
      </c>
      <c r="I31" s="52" t="s">
        <v>484</v>
      </c>
      <c r="J31" s="52" t="s">
        <v>521</v>
      </c>
      <c r="K31" s="52" t="s">
        <v>34</v>
      </c>
      <c r="L31" s="49">
        <v>636</v>
      </c>
      <c r="M31" s="49">
        <v>9</v>
      </c>
      <c r="N31" s="49">
        <v>0</v>
      </c>
      <c r="O31" s="53">
        <v>7.79</v>
      </c>
      <c r="P31" s="53">
        <v>0</v>
      </c>
      <c r="Q31" s="53"/>
      <c r="R31" s="54">
        <f t="shared" si="0"/>
        <v>0</v>
      </c>
      <c r="S31" s="55">
        <f t="shared" si="1"/>
        <v>0</v>
      </c>
      <c r="T31" s="55">
        <f t="shared" si="2"/>
        <v>0.0141509433962264</v>
      </c>
      <c r="U31" s="54">
        <f t="shared" si="3"/>
        <v>0.865555555555556</v>
      </c>
      <c r="V31" s="54" t="e">
        <f t="shared" si="4"/>
        <v>#DIV/0!</v>
      </c>
      <c r="W31" s="55" t="e">
        <f t="shared" si="5"/>
        <v>#DIV/0!</v>
      </c>
      <c r="X31" s="55"/>
      <c r="Y31" s="55"/>
    </row>
    <row r="32" customFormat="1" ht="22.5" customHeight="1" spans="1:25">
      <c r="A32" s="49" t="s">
        <v>478</v>
      </c>
      <c r="B32" s="49" t="s">
        <v>535</v>
      </c>
      <c r="C32" s="49" t="s">
        <v>347</v>
      </c>
      <c r="D32" s="50">
        <v>117085067234</v>
      </c>
      <c r="E32" s="49" t="s">
        <v>502</v>
      </c>
      <c r="F32" s="51">
        <v>46123</v>
      </c>
      <c r="G32" s="52">
        <v>46092</v>
      </c>
      <c r="H32" s="52">
        <v>46096</v>
      </c>
      <c r="I32" s="52" t="s">
        <v>26</v>
      </c>
      <c r="J32" s="52" t="s">
        <v>30</v>
      </c>
      <c r="K32" s="52" t="s">
        <v>34</v>
      </c>
      <c r="L32" s="49">
        <v>96</v>
      </c>
      <c r="M32" s="49">
        <v>8</v>
      </c>
      <c r="N32" s="49">
        <v>0</v>
      </c>
      <c r="O32" s="53">
        <v>6.2</v>
      </c>
      <c r="P32" s="53">
        <v>0</v>
      </c>
      <c r="Q32" s="53"/>
      <c r="R32" s="54">
        <f t="shared" si="0"/>
        <v>0</v>
      </c>
      <c r="S32" s="55">
        <f t="shared" si="1"/>
        <v>0</v>
      </c>
      <c r="T32" s="55">
        <f t="shared" si="2"/>
        <v>0.0833333333333333</v>
      </c>
      <c r="U32" s="54">
        <f t="shared" si="3"/>
        <v>0.775</v>
      </c>
      <c r="V32" s="54" t="e">
        <f t="shared" si="4"/>
        <v>#DIV/0!</v>
      </c>
      <c r="W32" s="55" t="e">
        <f t="shared" si="5"/>
        <v>#DIV/0!</v>
      </c>
      <c r="X32" s="55"/>
      <c r="Y32" s="55"/>
    </row>
    <row r="33" customFormat="1" ht="22.5" customHeight="1" spans="1:25">
      <c r="A33" s="49" t="s">
        <v>478</v>
      </c>
      <c r="B33" s="49" t="s">
        <v>499</v>
      </c>
      <c r="C33" s="49" t="s">
        <v>361</v>
      </c>
      <c r="D33" s="50">
        <v>177967542795</v>
      </c>
      <c r="E33" s="49" t="s">
        <v>483</v>
      </c>
      <c r="F33" s="51">
        <v>46098</v>
      </c>
      <c r="G33" s="52">
        <v>46097</v>
      </c>
      <c r="H33" s="52">
        <v>46103</v>
      </c>
      <c r="I33" s="52" t="s">
        <v>26</v>
      </c>
      <c r="J33" s="52" t="s">
        <v>30</v>
      </c>
      <c r="K33" s="52" t="s">
        <v>34</v>
      </c>
      <c r="L33" s="49">
        <v>196</v>
      </c>
      <c r="M33" s="49">
        <v>7</v>
      </c>
      <c r="N33" s="49">
        <v>0</v>
      </c>
      <c r="O33" s="53">
        <v>6.29</v>
      </c>
      <c r="P33" s="53">
        <v>0</v>
      </c>
      <c r="Q33" s="53"/>
      <c r="R33" s="54">
        <f t="shared" si="0"/>
        <v>0</v>
      </c>
      <c r="S33" s="55">
        <f t="shared" si="1"/>
        <v>0</v>
      </c>
      <c r="T33" s="55">
        <f t="shared" si="2"/>
        <v>0.0357142857142857</v>
      </c>
      <c r="U33" s="54">
        <f t="shared" si="3"/>
        <v>0.898571428571429</v>
      </c>
      <c r="V33" s="54" t="e">
        <f t="shared" si="4"/>
        <v>#DIV/0!</v>
      </c>
      <c r="W33" s="55" t="e">
        <f t="shared" si="5"/>
        <v>#DIV/0!</v>
      </c>
      <c r="X33" s="55"/>
      <c r="Y33" s="55"/>
    </row>
    <row r="34" customFormat="1" ht="22.5" customHeight="1" spans="1:25">
      <c r="A34" s="49" t="s">
        <v>478</v>
      </c>
      <c r="B34" s="49" t="s">
        <v>536</v>
      </c>
      <c r="C34" s="49" t="s">
        <v>501</v>
      </c>
      <c r="D34" s="50">
        <v>227221720047</v>
      </c>
      <c r="E34" s="49" t="s">
        <v>488</v>
      </c>
      <c r="F34" s="51">
        <v>46115</v>
      </c>
      <c r="G34" s="52">
        <v>46070</v>
      </c>
      <c r="H34" s="52">
        <v>46073</v>
      </c>
      <c r="I34" s="52" t="s">
        <v>503</v>
      </c>
      <c r="J34" s="52" t="s">
        <v>497</v>
      </c>
      <c r="K34" s="52" t="s">
        <v>34</v>
      </c>
      <c r="L34" s="49">
        <v>1514</v>
      </c>
      <c r="M34" s="49">
        <v>6</v>
      </c>
      <c r="N34" s="49">
        <v>0</v>
      </c>
      <c r="O34" s="53">
        <v>2.39</v>
      </c>
      <c r="P34" s="53">
        <v>0</v>
      </c>
      <c r="Q34" s="53"/>
      <c r="R34" s="54">
        <f t="shared" si="0"/>
        <v>0</v>
      </c>
      <c r="S34" s="55">
        <f t="shared" si="1"/>
        <v>0</v>
      </c>
      <c r="T34" s="55">
        <f t="shared" si="2"/>
        <v>0.00396301188903567</v>
      </c>
      <c r="U34" s="54">
        <f t="shared" si="3"/>
        <v>0.398333333333333</v>
      </c>
      <c r="V34" s="54" t="e">
        <f t="shared" si="4"/>
        <v>#DIV/0!</v>
      </c>
      <c r="W34" s="55" t="e">
        <f t="shared" si="5"/>
        <v>#DIV/0!</v>
      </c>
      <c r="X34" s="55"/>
      <c r="Y34" s="55"/>
    </row>
    <row r="35" customFormat="1" ht="22.5" customHeight="1" spans="1:25">
      <c r="A35" s="49" t="s">
        <v>478</v>
      </c>
      <c r="B35" s="49" t="s">
        <v>537</v>
      </c>
      <c r="C35" s="49" t="s">
        <v>334</v>
      </c>
      <c r="D35" s="50">
        <v>117081148250</v>
      </c>
      <c r="E35" s="49" t="s">
        <v>502</v>
      </c>
      <c r="F35" s="51">
        <v>46099</v>
      </c>
      <c r="G35" s="52">
        <v>46091</v>
      </c>
      <c r="H35" s="52">
        <v>46106</v>
      </c>
      <c r="I35" s="52" t="s">
        <v>484</v>
      </c>
      <c r="J35" s="52" t="s">
        <v>489</v>
      </c>
      <c r="K35" s="52" t="s">
        <v>34</v>
      </c>
      <c r="L35" s="49">
        <v>1430</v>
      </c>
      <c r="M35" s="49">
        <v>6</v>
      </c>
      <c r="N35" s="49">
        <v>0</v>
      </c>
      <c r="O35" s="53">
        <v>2.22</v>
      </c>
      <c r="P35" s="53">
        <v>0</v>
      </c>
      <c r="Q35" s="53"/>
      <c r="R35" s="54">
        <f t="shared" si="0"/>
        <v>0</v>
      </c>
      <c r="S35" s="55">
        <f t="shared" si="1"/>
        <v>0</v>
      </c>
      <c r="T35" s="55">
        <f t="shared" si="2"/>
        <v>0.0041958041958042</v>
      </c>
      <c r="U35" s="54">
        <f t="shared" si="3"/>
        <v>0.37</v>
      </c>
      <c r="V35" s="54" t="e">
        <f t="shared" si="4"/>
        <v>#DIV/0!</v>
      </c>
      <c r="W35" s="55" t="e">
        <f t="shared" si="5"/>
        <v>#DIV/0!</v>
      </c>
      <c r="X35" s="55"/>
      <c r="Y35" s="55"/>
    </row>
    <row r="36" customFormat="1" ht="22.5" customHeight="1" spans="1:25">
      <c r="A36" s="49" t="s">
        <v>478</v>
      </c>
      <c r="B36" s="49" t="s">
        <v>538</v>
      </c>
      <c r="C36" s="49" t="s">
        <v>333</v>
      </c>
      <c r="D36" s="50">
        <v>188139762062</v>
      </c>
      <c r="E36" s="49" t="s">
        <v>483</v>
      </c>
      <c r="F36" s="51">
        <v>46092</v>
      </c>
      <c r="G36" s="52">
        <v>46091</v>
      </c>
      <c r="H36" s="52">
        <v>46101</v>
      </c>
      <c r="I36" s="52" t="s">
        <v>484</v>
      </c>
      <c r="J36" s="52" t="s">
        <v>489</v>
      </c>
      <c r="K36" s="52" t="s">
        <v>34</v>
      </c>
      <c r="L36" s="49">
        <v>1361</v>
      </c>
      <c r="M36" s="49">
        <v>6</v>
      </c>
      <c r="N36" s="49">
        <v>0</v>
      </c>
      <c r="O36" s="53">
        <v>1.54</v>
      </c>
      <c r="P36" s="53">
        <v>0</v>
      </c>
      <c r="Q36" s="53"/>
      <c r="R36" s="54">
        <f t="shared" si="0"/>
        <v>0</v>
      </c>
      <c r="S36" s="55">
        <f t="shared" si="1"/>
        <v>0</v>
      </c>
      <c r="T36" s="55">
        <f t="shared" si="2"/>
        <v>0.00440852314474651</v>
      </c>
      <c r="U36" s="54">
        <f t="shared" si="3"/>
        <v>0.256666666666667</v>
      </c>
      <c r="V36" s="54" t="e">
        <f t="shared" si="4"/>
        <v>#DIV/0!</v>
      </c>
      <c r="W36" s="55" t="e">
        <f t="shared" si="5"/>
        <v>#DIV/0!</v>
      </c>
      <c r="X36" s="55"/>
      <c r="Y36" s="55"/>
    </row>
    <row r="37" customFormat="1" ht="22.5" customHeight="1" spans="1:25">
      <c r="A37" s="49" t="s">
        <v>478</v>
      </c>
      <c r="B37" s="49" t="s">
        <v>539</v>
      </c>
      <c r="C37" s="49" t="s">
        <v>340</v>
      </c>
      <c r="D37" s="50">
        <v>117083102708</v>
      </c>
      <c r="E37" s="49" t="s">
        <v>502</v>
      </c>
      <c r="F37" s="51">
        <v>46121</v>
      </c>
      <c r="G37" s="52">
        <v>46092</v>
      </c>
      <c r="H37" s="52">
        <v>46096</v>
      </c>
      <c r="I37" s="52" t="s">
        <v>505</v>
      </c>
      <c r="J37" s="52" t="s">
        <v>489</v>
      </c>
      <c r="K37" s="52" t="s">
        <v>493</v>
      </c>
      <c r="L37" s="49">
        <v>988</v>
      </c>
      <c r="M37" s="49">
        <v>4</v>
      </c>
      <c r="N37" s="49">
        <v>0</v>
      </c>
      <c r="O37" s="53">
        <v>1.47</v>
      </c>
      <c r="P37" s="53">
        <v>0</v>
      </c>
      <c r="Q37" s="53"/>
      <c r="R37" s="54">
        <f t="shared" si="0"/>
        <v>0</v>
      </c>
      <c r="S37" s="55">
        <f t="shared" si="1"/>
        <v>0</v>
      </c>
      <c r="T37" s="55">
        <f t="shared" si="2"/>
        <v>0.00404858299595142</v>
      </c>
      <c r="U37" s="54">
        <f t="shared" si="3"/>
        <v>0.3675</v>
      </c>
      <c r="V37" s="54" t="e">
        <f t="shared" si="4"/>
        <v>#DIV/0!</v>
      </c>
      <c r="W37" s="55" t="e">
        <f t="shared" si="5"/>
        <v>#DIV/0!</v>
      </c>
      <c r="X37" s="55"/>
      <c r="Y37" s="55"/>
    </row>
    <row r="38" customFormat="1" ht="22.5" customHeight="1" spans="1:25">
      <c r="A38" s="49" t="s">
        <v>478</v>
      </c>
      <c r="B38" s="49" t="s">
        <v>539</v>
      </c>
      <c r="C38" s="49" t="s">
        <v>540</v>
      </c>
      <c r="D38" s="50">
        <v>117070939739</v>
      </c>
      <c r="E38" s="49" t="s">
        <v>502</v>
      </c>
      <c r="F38" s="51">
        <v>46121</v>
      </c>
      <c r="G38" s="52">
        <v>46081</v>
      </c>
      <c r="H38" s="52">
        <v>46082</v>
      </c>
      <c r="I38" s="52" t="s">
        <v>505</v>
      </c>
      <c r="J38" s="52" t="s">
        <v>489</v>
      </c>
      <c r="K38" s="52" t="s">
        <v>34</v>
      </c>
      <c r="L38" s="49">
        <v>1648</v>
      </c>
      <c r="M38" s="49">
        <v>3</v>
      </c>
      <c r="N38" s="49">
        <v>0</v>
      </c>
      <c r="O38" s="53">
        <v>1.11</v>
      </c>
      <c r="P38" s="53">
        <v>0</v>
      </c>
      <c r="Q38" s="53"/>
      <c r="R38" s="54">
        <f t="shared" si="0"/>
        <v>0</v>
      </c>
      <c r="S38" s="55">
        <f t="shared" si="1"/>
        <v>0</v>
      </c>
      <c r="T38" s="55">
        <f t="shared" si="2"/>
        <v>0.00182038834951456</v>
      </c>
      <c r="U38" s="54">
        <f t="shared" si="3"/>
        <v>0.37</v>
      </c>
      <c r="V38" s="54" t="e">
        <f t="shared" si="4"/>
        <v>#DIV/0!</v>
      </c>
      <c r="W38" s="55" t="e">
        <f t="shared" si="5"/>
        <v>#DIV/0!</v>
      </c>
      <c r="X38" s="55"/>
      <c r="Y38" s="55"/>
    </row>
    <row r="39" customFormat="1" ht="22.5" customHeight="1" spans="1:25">
      <c r="A39" s="49" t="s">
        <v>478</v>
      </c>
      <c r="B39" s="49" t="s">
        <v>541</v>
      </c>
      <c r="C39" s="49" t="s">
        <v>351</v>
      </c>
      <c r="D39" s="50">
        <v>188167162085</v>
      </c>
      <c r="E39" s="49" t="s">
        <v>483</v>
      </c>
      <c r="F39" s="51">
        <v>46098</v>
      </c>
      <c r="G39" s="52">
        <v>46097</v>
      </c>
      <c r="H39" s="52">
        <v>46103</v>
      </c>
      <c r="I39" s="52" t="s">
        <v>496</v>
      </c>
      <c r="J39" s="52" t="s">
        <v>30</v>
      </c>
      <c r="K39" s="52" t="s">
        <v>34</v>
      </c>
      <c r="L39" s="49">
        <v>1082</v>
      </c>
      <c r="M39" s="49">
        <v>3</v>
      </c>
      <c r="N39" s="49">
        <v>0</v>
      </c>
      <c r="O39" s="53">
        <v>1.16</v>
      </c>
      <c r="P39" s="53">
        <v>0</v>
      </c>
      <c r="Q39" s="53"/>
      <c r="R39" s="54">
        <f t="shared" si="0"/>
        <v>0</v>
      </c>
      <c r="S39" s="55">
        <f t="shared" si="1"/>
        <v>0</v>
      </c>
      <c r="T39" s="55">
        <f t="shared" si="2"/>
        <v>0.00277264325323475</v>
      </c>
      <c r="U39" s="54">
        <f t="shared" si="3"/>
        <v>0.386666666666667</v>
      </c>
      <c r="V39" s="54" t="e">
        <f t="shared" si="4"/>
        <v>#DIV/0!</v>
      </c>
      <c r="W39" s="55" t="e">
        <f t="shared" si="5"/>
        <v>#DIV/0!</v>
      </c>
      <c r="X39" s="55"/>
      <c r="Y39" s="55"/>
    </row>
    <row r="40" customFormat="1" ht="22.5" customHeight="1" spans="1:25">
      <c r="A40" s="49" t="s">
        <v>478</v>
      </c>
      <c r="B40" s="49" t="s">
        <v>542</v>
      </c>
      <c r="C40" s="49" t="s">
        <v>319</v>
      </c>
      <c r="D40" s="50">
        <v>287180832245</v>
      </c>
      <c r="E40" s="49" t="s">
        <v>511</v>
      </c>
      <c r="F40" s="51">
        <v>46097</v>
      </c>
      <c r="G40" s="52">
        <v>46085</v>
      </c>
      <c r="H40" s="52">
        <v>46100</v>
      </c>
      <c r="I40" s="52" t="s">
        <v>484</v>
      </c>
      <c r="J40" s="52" t="s">
        <v>30</v>
      </c>
      <c r="K40" s="52" t="s">
        <v>34</v>
      </c>
      <c r="L40" s="49">
        <v>449</v>
      </c>
      <c r="M40" s="49">
        <v>3</v>
      </c>
      <c r="N40" s="49">
        <v>0</v>
      </c>
      <c r="O40" s="53">
        <v>1.18</v>
      </c>
      <c r="P40" s="53">
        <v>0</v>
      </c>
      <c r="Q40" s="53"/>
      <c r="R40" s="54">
        <f t="shared" si="0"/>
        <v>0</v>
      </c>
      <c r="S40" s="55">
        <f t="shared" si="1"/>
        <v>0</v>
      </c>
      <c r="T40" s="55">
        <f t="shared" si="2"/>
        <v>0.0066815144766147</v>
      </c>
      <c r="U40" s="54">
        <f t="shared" si="3"/>
        <v>0.393333333333333</v>
      </c>
      <c r="V40" s="54" t="e">
        <f t="shared" si="4"/>
        <v>#DIV/0!</v>
      </c>
      <c r="W40" s="55" t="e">
        <f t="shared" si="5"/>
        <v>#DIV/0!</v>
      </c>
      <c r="X40" s="55"/>
      <c r="Y40" s="55"/>
    </row>
    <row r="41" customFormat="1" ht="22.5" customHeight="1" spans="1:25">
      <c r="A41" s="49" t="s">
        <v>478</v>
      </c>
      <c r="B41" s="49" t="s">
        <v>543</v>
      </c>
      <c r="C41" s="49" t="s">
        <v>319</v>
      </c>
      <c r="D41" s="50">
        <v>188126272697</v>
      </c>
      <c r="E41" s="49" t="s">
        <v>483</v>
      </c>
      <c r="F41" s="51">
        <v>46097</v>
      </c>
      <c r="G41" s="52">
        <v>46085</v>
      </c>
      <c r="H41" s="52">
        <v>46100</v>
      </c>
      <c r="I41" s="52" t="s">
        <v>484</v>
      </c>
      <c r="J41" s="52" t="s">
        <v>30</v>
      </c>
      <c r="K41" s="52" t="s">
        <v>34</v>
      </c>
      <c r="L41" s="49">
        <v>409</v>
      </c>
      <c r="M41" s="49">
        <v>2</v>
      </c>
      <c r="N41" s="49">
        <v>0</v>
      </c>
      <c r="O41" s="53">
        <v>0.72</v>
      </c>
      <c r="P41" s="53">
        <v>0</v>
      </c>
      <c r="Q41" s="53"/>
      <c r="R41" s="54">
        <f t="shared" si="0"/>
        <v>0</v>
      </c>
      <c r="S41" s="55">
        <f t="shared" si="1"/>
        <v>0</v>
      </c>
      <c r="T41" s="55">
        <f t="shared" si="2"/>
        <v>0.00488997555012225</v>
      </c>
      <c r="U41" s="54">
        <f t="shared" si="3"/>
        <v>0.36</v>
      </c>
      <c r="V41" s="54" t="e">
        <f t="shared" si="4"/>
        <v>#DIV/0!</v>
      </c>
      <c r="W41" s="55" t="e">
        <f t="shared" si="5"/>
        <v>#DIV/0!</v>
      </c>
      <c r="X41" s="55"/>
      <c r="Y41" s="55"/>
    </row>
    <row r="42" customFormat="1" ht="22.5" customHeight="1" spans="1:25">
      <c r="A42" s="49" t="s">
        <v>478</v>
      </c>
      <c r="B42" s="49" t="s">
        <v>524</v>
      </c>
      <c r="C42" s="49" t="s">
        <v>544</v>
      </c>
      <c r="D42" s="50">
        <v>117042077894</v>
      </c>
      <c r="E42" s="49" t="s">
        <v>502</v>
      </c>
      <c r="F42" s="51">
        <v>46082</v>
      </c>
      <c r="G42" s="52">
        <v>46066</v>
      </c>
      <c r="H42" s="52">
        <v>46084</v>
      </c>
      <c r="I42" s="52" t="s">
        <v>520</v>
      </c>
      <c r="J42" s="52" t="s">
        <v>489</v>
      </c>
      <c r="K42" s="52" t="s">
        <v>34</v>
      </c>
      <c r="L42" s="49">
        <v>383</v>
      </c>
      <c r="M42" s="49">
        <v>2</v>
      </c>
      <c r="N42" s="49">
        <v>0</v>
      </c>
      <c r="O42" s="53">
        <v>1.33</v>
      </c>
      <c r="P42" s="53">
        <v>0</v>
      </c>
      <c r="Q42" s="53"/>
      <c r="R42" s="54">
        <f t="shared" si="0"/>
        <v>0</v>
      </c>
      <c r="S42" s="55">
        <f t="shared" si="1"/>
        <v>0</v>
      </c>
      <c r="T42" s="55">
        <f t="shared" si="2"/>
        <v>0.00522193211488251</v>
      </c>
      <c r="U42" s="54">
        <f t="shared" si="3"/>
        <v>0.665</v>
      </c>
      <c r="V42" s="54" t="e">
        <f t="shared" si="4"/>
        <v>#DIV/0!</v>
      </c>
      <c r="W42" s="55" t="e">
        <f t="shared" si="5"/>
        <v>#DIV/0!</v>
      </c>
      <c r="X42" s="55"/>
      <c r="Y42" s="55"/>
    </row>
    <row r="43" customFormat="1" ht="22.5" customHeight="1" spans="1:25">
      <c r="A43" s="49" t="s">
        <v>478</v>
      </c>
      <c r="B43" s="49" t="s">
        <v>537</v>
      </c>
      <c r="C43" s="49" t="s">
        <v>333</v>
      </c>
      <c r="D43" s="50">
        <v>117081144249</v>
      </c>
      <c r="E43" s="49" t="s">
        <v>502</v>
      </c>
      <c r="F43" s="51">
        <v>46099</v>
      </c>
      <c r="G43" s="52">
        <v>46091</v>
      </c>
      <c r="H43" s="52">
        <v>46101</v>
      </c>
      <c r="I43" s="52" t="s">
        <v>484</v>
      </c>
      <c r="J43" s="52" t="s">
        <v>489</v>
      </c>
      <c r="K43" s="52" t="s">
        <v>34</v>
      </c>
      <c r="L43" s="49">
        <v>1332</v>
      </c>
      <c r="M43" s="49">
        <v>1</v>
      </c>
      <c r="N43" s="49">
        <v>0</v>
      </c>
      <c r="O43" s="53">
        <v>0.35</v>
      </c>
      <c r="P43" s="53">
        <v>0</v>
      </c>
      <c r="Q43" s="53"/>
      <c r="R43" s="54">
        <f t="shared" si="0"/>
        <v>0</v>
      </c>
      <c r="S43" s="55">
        <f t="shared" si="1"/>
        <v>0</v>
      </c>
      <c r="T43" s="55">
        <f t="shared" si="2"/>
        <v>0.000750750750750751</v>
      </c>
      <c r="U43" s="54">
        <f t="shared" si="3"/>
        <v>0.35</v>
      </c>
      <c r="V43" s="54" t="e">
        <f t="shared" si="4"/>
        <v>#DIV/0!</v>
      </c>
      <c r="W43" s="55" t="e">
        <f t="shared" si="5"/>
        <v>#DIV/0!</v>
      </c>
      <c r="X43" s="55"/>
      <c r="Y43" s="55"/>
    </row>
    <row r="44" customFormat="1" ht="22.5" customHeight="1" spans="1:25">
      <c r="A44" s="49" t="s">
        <v>478</v>
      </c>
      <c r="B44" s="49" t="s">
        <v>538</v>
      </c>
      <c r="C44" s="49" t="s">
        <v>334</v>
      </c>
      <c r="D44" s="50">
        <v>177944141581</v>
      </c>
      <c r="E44" s="49" t="s">
        <v>483</v>
      </c>
      <c r="F44" s="51">
        <v>46092</v>
      </c>
      <c r="G44" s="52">
        <v>46091</v>
      </c>
      <c r="H44" s="52">
        <v>46106</v>
      </c>
      <c r="I44" s="52" t="s">
        <v>484</v>
      </c>
      <c r="J44" s="52" t="s">
        <v>489</v>
      </c>
      <c r="K44" s="52" t="s">
        <v>34</v>
      </c>
      <c r="L44" s="49">
        <v>1221</v>
      </c>
      <c r="M44" s="49">
        <v>1</v>
      </c>
      <c r="N44" s="49">
        <v>0</v>
      </c>
      <c r="O44" s="53">
        <v>0.16</v>
      </c>
      <c r="P44" s="53">
        <v>0</v>
      </c>
      <c r="Q44" s="53"/>
      <c r="R44" s="54">
        <f t="shared" si="0"/>
        <v>0</v>
      </c>
      <c r="S44" s="55">
        <f t="shared" si="1"/>
        <v>0</v>
      </c>
      <c r="T44" s="55">
        <f t="shared" si="2"/>
        <v>0.000819000819000819</v>
      </c>
      <c r="U44" s="54">
        <f t="shared" si="3"/>
        <v>0.16</v>
      </c>
      <c r="V44" s="54" t="e">
        <f t="shared" si="4"/>
        <v>#DIV/0!</v>
      </c>
      <c r="W44" s="55" t="e">
        <f t="shared" si="5"/>
        <v>#DIV/0!</v>
      </c>
      <c r="X44" s="55"/>
      <c r="Y44" s="55"/>
    </row>
    <row r="45" customFormat="1" ht="22.5" customHeight="1" spans="1:25">
      <c r="A45" s="49" t="s">
        <v>478</v>
      </c>
      <c r="B45" s="49" t="s">
        <v>514</v>
      </c>
      <c r="C45" s="49" t="s">
        <v>494</v>
      </c>
      <c r="D45" s="50">
        <v>336471547458</v>
      </c>
      <c r="E45" s="49" t="s">
        <v>515</v>
      </c>
      <c r="F45" s="51">
        <v>46122</v>
      </c>
      <c r="G45" s="52">
        <v>46066</v>
      </c>
      <c r="H45" s="52">
        <v>46077</v>
      </c>
      <c r="I45" s="52" t="s">
        <v>484</v>
      </c>
      <c r="J45" s="52" t="s">
        <v>489</v>
      </c>
      <c r="K45" s="52" t="s">
        <v>34</v>
      </c>
      <c r="L45" s="49">
        <v>1002</v>
      </c>
      <c r="M45" s="49">
        <v>1</v>
      </c>
      <c r="N45" s="49">
        <v>0</v>
      </c>
      <c r="O45" s="53">
        <v>0.5</v>
      </c>
      <c r="P45" s="53">
        <v>0</v>
      </c>
      <c r="Q45" s="53"/>
      <c r="R45" s="54">
        <f t="shared" si="0"/>
        <v>0</v>
      </c>
      <c r="S45" s="55">
        <f t="shared" si="1"/>
        <v>0</v>
      </c>
      <c r="T45" s="55">
        <f t="shared" si="2"/>
        <v>0.000998003992015968</v>
      </c>
      <c r="U45" s="54">
        <f t="shared" si="3"/>
        <v>0.5</v>
      </c>
      <c r="V45" s="54" t="e">
        <f t="shared" si="4"/>
        <v>#DIV/0!</v>
      </c>
      <c r="W45" s="55" t="e">
        <f t="shared" si="5"/>
        <v>#DIV/0!</v>
      </c>
      <c r="X45" s="55"/>
      <c r="Y45" s="55"/>
    </row>
    <row r="46" customFormat="1" ht="22.5" customHeight="1" spans="1:25">
      <c r="A46" s="49" t="s">
        <v>478</v>
      </c>
      <c r="B46" s="49" t="s">
        <v>545</v>
      </c>
      <c r="C46" s="49" t="s">
        <v>501</v>
      </c>
      <c r="D46" s="50">
        <v>287151507245</v>
      </c>
      <c r="E46" s="49" t="s">
        <v>511</v>
      </c>
      <c r="F46" s="51">
        <v>46115</v>
      </c>
      <c r="G46" s="52">
        <v>46070</v>
      </c>
      <c r="H46" s="52">
        <v>46073</v>
      </c>
      <c r="I46" s="52" t="s">
        <v>503</v>
      </c>
      <c r="J46" s="52" t="s">
        <v>497</v>
      </c>
      <c r="K46" s="52" t="s">
        <v>34</v>
      </c>
      <c r="L46" s="49">
        <v>745</v>
      </c>
      <c r="M46" s="49">
        <v>1</v>
      </c>
      <c r="N46" s="49">
        <v>0</v>
      </c>
      <c r="O46" s="53">
        <v>0.27</v>
      </c>
      <c r="P46" s="53">
        <v>0</v>
      </c>
      <c r="Q46" s="53"/>
      <c r="R46" s="54">
        <f t="shared" si="0"/>
        <v>0</v>
      </c>
      <c r="S46" s="55">
        <f t="shared" si="1"/>
        <v>0</v>
      </c>
      <c r="T46" s="55">
        <f t="shared" si="2"/>
        <v>0.00134228187919463</v>
      </c>
      <c r="U46" s="54">
        <f t="shared" si="3"/>
        <v>0.27</v>
      </c>
      <c r="V46" s="54" t="e">
        <f t="shared" si="4"/>
        <v>#DIV/0!</v>
      </c>
      <c r="W46" s="55" t="e">
        <f t="shared" si="5"/>
        <v>#DIV/0!</v>
      </c>
      <c r="X46" s="55"/>
      <c r="Y46" s="55"/>
    </row>
    <row r="47" customFormat="1" ht="22.5" customHeight="1" spans="1:25">
      <c r="A47" s="49" t="s">
        <v>478</v>
      </c>
      <c r="B47" s="49" t="s">
        <v>539</v>
      </c>
      <c r="C47" s="49" t="s">
        <v>341</v>
      </c>
      <c r="D47" s="50">
        <v>117083115196</v>
      </c>
      <c r="E47" s="49" t="s">
        <v>502</v>
      </c>
      <c r="F47" s="51">
        <v>46121</v>
      </c>
      <c r="G47" s="52">
        <v>46092</v>
      </c>
      <c r="H47" s="52">
        <v>46112</v>
      </c>
      <c r="I47" s="52" t="s">
        <v>505</v>
      </c>
      <c r="J47" s="52" t="s">
        <v>489</v>
      </c>
      <c r="K47" s="52" t="s">
        <v>493</v>
      </c>
      <c r="L47" s="49">
        <v>724</v>
      </c>
      <c r="M47" s="49">
        <v>1</v>
      </c>
      <c r="N47" s="49">
        <v>0</v>
      </c>
      <c r="O47" s="53">
        <v>0.5</v>
      </c>
      <c r="P47" s="53">
        <v>0</v>
      </c>
      <c r="Q47" s="53"/>
      <c r="R47" s="54">
        <f t="shared" si="0"/>
        <v>0</v>
      </c>
      <c r="S47" s="55">
        <f t="shared" si="1"/>
        <v>0</v>
      </c>
      <c r="T47" s="55">
        <f t="shared" si="2"/>
        <v>0.00138121546961326</v>
      </c>
      <c r="U47" s="54">
        <f t="shared" si="3"/>
        <v>0.5</v>
      </c>
      <c r="V47" s="54" t="e">
        <f t="shared" si="4"/>
        <v>#DIV/0!</v>
      </c>
      <c r="W47" s="55" t="e">
        <f t="shared" si="5"/>
        <v>#DIV/0!</v>
      </c>
      <c r="X47" s="55"/>
      <c r="Y47" s="55"/>
    </row>
    <row r="48" customFormat="1" ht="22.5" customHeight="1" spans="1:25">
      <c r="A48" s="49" t="s">
        <v>478</v>
      </c>
      <c r="B48" s="49" t="s">
        <v>527</v>
      </c>
      <c r="C48" s="49" t="s">
        <v>546</v>
      </c>
      <c r="D48" s="50">
        <v>227228800260</v>
      </c>
      <c r="E48" s="49" t="s">
        <v>488</v>
      </c>
      <c r="F48" s="51">
        <v>46078</v>
      </c>
      <c r="G48" s="52">
        <v>46076</v>
      </c>
      <c r="H48" s="52">
        <v>46096</v>
      </c>
      <c r="I48" s="52" t="s">
        <v>520</v>
      </c>
      <c r="J48" s="52" t="s">
        <v>521</v>
      </c>
      <c r="K48" s="52" t="s">
        <v>493</v>
      </c>
      <c r="L48" s="49">
        <v>474</v>
      </c>
      <c r="M48" s="49">
        <v>1</v>
      </c>
      <c r="N48" s="49">
        <v>0</v>
      </c>
      <c r="O48" s="53">
        <v>0.36</v>
      </c>
      <c r="P48" s="53">
        <v>0</v>
      </c>
      <c r="Q48" s="53"/>
      <c r="R48" s="54">
        <f t="shared" si="0"/>
        <v>0</v>
      </c>
      <c r="S48" s="55">
        <f t="shared" si="1"/>
        <v>0</v>
      </c>
      <c r="T48" s="55">
        <f t="shared" si="2"/>
        <v>0.00210970464135021</v>
      </c>
      <c r="U48" s="54">
        <f t="shared" si="3"/>
        <v>0.36</v>
      </c>
      <c r="V48" s="54" t="e">
        <f t="shared" si="4"/>
        <v>#DIV/0!</v>
      </c>
      <c r="W48" s="55" t="e">
        <f t="shared" si="5"/>
        <v>#DIV/0!</v>
      </c>
      <c r="X48" s="55"/>
      <c r="Y48" s="55"/>
    </row>
    <row r="49" customFormat="1" ht="22.5" customHeight="1" spans="1:25">
      <c r="A49" s="49" t="s">
        <v>478</v>
      </c>
      <c r="B49" s="49" t="s">
        <v>527</v>
      </c>
      <c r="C49" s="49" t="s">
        <v>547</v>
      </c>
      <c r="D49" s="50">
        <v>227228697747</v>
      </c>
      <c r="E49" s="49" t="s">
        <v>488</v>
      </c>
      <c r="F49" s="51">
        <v>46078</v>
      </c>
      <c r="G49" s="52">
        <v>46076</v>
      </c>
      <c r="H49" s="52">
        <v>46082</v>
      </c>
      <c r="I49" s="52" t="s">
        <v>520</v>
      </c>
      <c r="J49" s="52" t="s">
        <v>521</v>
      </c>
      <c r="K49" s="52" t="s">
        <v>34</v>
      </c>
      <c r="L49" s="49">
        <v>365</v>
      </c>
      <c r="M49" s="49">
        <v>1</v>
      </c>
      <c r="N49" s="49">
        <v>0</v>
      </c>
      <c r="O49" s="53">
        <v>0.66</v>
      </c>
      <c r="P49" s="53">
        <v>0</v>
      </c>
      <c r="Q49" s="53"/>
      <c r="R49" s="54">
        <f t="shared" si="0"/>
        <v>0</v>
      </c>
      <c r="S49" s="55">
        <f t="shared" si="1"/>
        <v>0</v>
      </c>
      <c r="T49" s="55">
        <f t="shared" si="2"/>
        <v>0.00273972602739726</v>
      </c>
      <c r="U49" s="54">
        <f t="shared" si="3"/>
        <v>0.66</v>
      </c>
      <c r="V49" s="54" t="e">
        <f t="shared" si="4"/>
        <v>#DIV/0!</v>
      </c>
      <c r="W49" s="55" t="e">
        <f t="shared" si="5"/>
        <v>#DIV/0!</v>
      </c>
      <c r="X49" s="55"/>
      <c r="Y49" s="55"/>
    </row>
    <row r="50" customFormat="1" ht="22.5" customHeight="1" spans="1:25">
      <c r="A50" s="49" t="s">
        <v>478</v>
      </c>
      <c r="B50" s="49" t="s">
        <v>548</v>
      </c>
      <c r="C50" s="49" t="s">
        <v>510</v>
      </c>
      <c r="D50" s="50">
        <v>117053094251</v>
      </c>
      <c r="E50" s="49" t="s">
        <v>502</v>
      </c>
      <c r="F50" s="51">
        <v>46087</v>
      </c>
      <c r="G50" s="52">
        <v>46070</v>
      </c>
      <c r="H50" s="52">
        <v>46086</v>
      </c>
      <c r="I50" s="52" t="s">
        <v>503</v>
      </c>
      <c r="J50" s="52" t="s">
        <v>497</v>
      </c>
      <c r="K50" s="52" t="s">
        <v>34</v>
      </c>
      <c r="L50" s="49">
        <v>216</v>
      </c>
      <c r="M50" s="49">
        <v>1</v>
      </c>
      <c r="N50" s="49">
        <v>0</v>
      </c>
      <c r="O50" s="53">
        <v>0.4</v>
      </c>
      <c r="P50" s="53">
        <v>0</v>
      </c>
      <c r="Q50" s="53"/>
      <c r="R50" s="54">
        <f t="shared" si="0"/>
        <v>0</v>
      </c>
      <c r="S50" s="55">
        <f t="shared" si="1"/>
        <v>0</v>
      </c>
      <c r="T50" s="55">
        <f t="shared" si="2"/>
        <v>0.00462962962962963</v>
      </c>
      <c r="U50" s="54">
        <f t="shared" si="3"/>
        <v>0.4</v>
      </c>
      <c r="V50" s="54" t="e">
        <f t="shared" si="4"/>
        <v>#DIV/0!</v>
      </c>
      <c r="W50" s="55" t="e">
        <f t="shared" si="5"/>
        <v>#DIV/0!</v>
      </c>
      <c r="X50" s="55"/>
      <c r="Y50" s="55"/>
    </row>
    <row r="51" customFormat="1" ht="22.5" customHeight="1" spans="1:25">
      <c r="A51" s="49" t="s">
        <v>478</v>
      </c>
      <c r="B51" s="49" t="s">
        <v>549</v>
      </c>
      <c r="C51" s="49" t="s">
        <v>319</v>
      </c>
      <c r="D51" s="50">
        <v>227241168840</v>
      </c>
      <c r="E51" s="49" t="s">
        <v>488</v>
      </c>
      <c r="F51" s="51">
        <v>46097</v>
      </c>
      <c r="G51" s="52">
        <v>46085</v>
      </c>
      <c r="H51" s="52">
        <v>46100</v>
      </c>
      <c r="I51" s="52" t="s">
        <v>484</v>
      </c>
      <c r="J51" s="52" t="s">
        <v>30</v>
      </c>
      <c r="K51" s="52" t="s">
        <v>34</v>
      </c>
      <c r="L51" s="49">
        <v>454</v>
      </c>
      <c r="M51" s="49">
        <v>0</v>
      </c>
      <c r="N51" s="49">
        <v>0</v>
      </c>
      <c r="O51" s="53">
        <v>0</v>
      </c>
      <c r="P51" s="53">
        <v>0</v>
      </c>
      <c r="Q51" s="53"/>
      <c r="R51" s="54" t="e">
        <f t="shared" si="0"/>
        <v>#DIV/0!</v>
      </c>
      <c r="S51" s="55" t="e">
        <f t="shared" si="1"/>
        <v>#DIV/0!</v>
      </c>
      <c r="T51" s="55">
        <f t="shared" si="2"/>
        <v>0</v>
      </c>
      <c r="U51" s="54" t="e">
        <f t="shared" si="3"/>
        <v>#DIV/0!</v>
      </c>
      <c r="V51" s="54" t="e">
        <f t="shared" si="4"/>
        <v>#DIV/0!</v>
      </c>
      <c r="W51" s="55" t="e">
        <f t="shared" si="5"/>
        <v>#DIV/0!</v>
      </c>
      <c r="X51" s="55"/>
      <c r="Y51" s="55"/>
    </row>
    <row r="52" customFormat="1" ht="22.5" customHeight="1" spans="1:25">
      <c r="A52" s="49" t="s">
        <v>478</v>
      </c>
      <c r="B52" s="49" t="s">
        <v>504</v>
      </c>
      <c r="C52" s="49" t="s">
        <v>340</v>
      </c>
      <c r="D52" s="50">
        <v>177947728049</v>
      </c>
      <c r="E52" s="49" t="s">
        <v>483</v>
      </c>
      <c r="F52" s="51">
        <v>46114</v>
      </c>
      <c r="G52" s="52">
        <v>46092</v>
      </c>
      <c r="H52" s="52">
        <v>46096</v>
      </c>
      <c r="I52" s="52" t="s">
        <v>505</v>
      </c>
      <c r="J52" s="52" t="s">
        <v>489</v>
      </c>
      <c r="K52" s="52" t="s">
        <v>493</v>
      </c>
      <c r="L52" s="49">
        <v>51</v>
      </c>
      <c r="M52" s="49">
        <v>0</v>
      </c>
      <c r="N52" s="49">
        <v>0</v>
      </c>
      <c r="O52" s="53">
        <v>0</v>
      </c>
      <c r="P52" s="53">
        <v>0</v>
      </c>
      <c r="Q52" s="53"/>
      <c r="R52" s="54" t="e">
        <f t="shared" si="0"/>
        <v>#DIV/0!</v>
      </c>
      <c r="S52" s="55" t="e">
        <f t="shared" si="1"/>
        <v>#DIV/0!</v>
      </c>
      <c r="T52" s="55">
        <f t="shared" si="2"/>
        <v>0</v>
      </c>
      <c r="U52" s="54" t="e">
        <f t="shared" si="3"/>
        <v>#DIV/0!</v>
      </c>
      <c r="V52" s="54" t="e">
        <f t="shared" si="4"/>
        <v>#DIV/0!</v>
      </c>
      <c r="W52" s="55" t="e">
        <f t="shared" si="5"/>
        <v>#DIV/0!</v>
      </c>
      <c r="X52" s="55"/>
      <c r="Y52" s="55"/>
    </row>
    <row r="53" customFormat="1" ht="22.5" customHeight="1" spans="1:25">
      <c r="A53" s="49" t="s">
        <v>478</v>
      </c>
      <c r="B53" s="49" t="s">
        <v>550</v>
      </c>
      <c r="C53" s="49" t="s">
        <v>375</v>
      </c>
      <c r="D53" s="50">
        <v>117109082220</v>
      </c>
      <c r="E53" s="49" t="s">
        <v>502</v>
      </c>
      <c r="F53" s="51">
        <v>46120</v>
      </c>
      <c r="G53" s="52">
        <v>46105</v>
      </c>
      <c r="H53" s="52">
        <v>46125</v>
      </c>
      <c r="I53" s="52" t="s">
        <v>26</v>
      </c>
      <c r="J53" s="52" t="s">
        <v>518</v>
      </c>
      <c r="K53" s="52" t="s">
        <v>34</v>
      </c>
      <c r="L53" s="49">
        <v>20</v>
      </c>
      <c r="M53" s="49">
        <v>0</v>
      </c>
      <c r="N53" s="49">
        <v>0</v>
      </c>
      <c r="O53" s="53">
        <v>0</v>
      </c>
      <c r="P53" s="53">
        <v>0</v>
      </c>
      <c r="Q53" s="53"/>
      <c r="R53" s="54" t="e">
        <f t="shared" si="0"/>
        <v>#DIV/0!</v>
      </c>
      <c r="S53" s="55" t="e">
        <f t="shared" si="1"/>
        <v>#DIV/0!</v>
      </c>
      <c r="T53" s="55">
        <f t="shared" si="2"/>
        <v>0</v>
      </c>
      <c r="U53" s="54" t="e">
        <f t="shared" si="3"/>
        <v>#DIV/0!</v>
      </c>
      <c r="V53" s="54" t="e">
        <f t="shared" si="4"/>
        <v>#DIV/0!</v>
      </c>
      <c r="W53" s="55" t="e">
        <f t="shared" si="5"/>
        <v>#DIV/0!</v>
      </c>
      <c r="X53" s="55"/>
      <c r="Y53" s="55"/>
    </row>
    <row r="54" customFormat="1" ht="22.5" customHeight="1" spans="1:25">
      <c r="A54" s="49" t="s">
        <v>478</v>
      </c>
      <c r="B54" s="49" t="s">
        <v>551</v>
      </c>
      <c r="C54" s="49" t="s">
        <v>374</v>
      </c>
      <c r="D54" s="50">
        <v>117109033287</v>
      </c>
      <c r="E54" s="49" t="s">
        <v>502</v>
      </c>
      <c r="F54" s="51">
        <v>46120</v>
      </c>
      <c r="G54" s="52">
        <v>46105</v>
      </c>
      <c r="H54" s="52">
        <v>46125</v>
      </c>
      <c r="I54" s="52" t="s">
        <v>26</v>
      </c>
      <c r="J54" s="52" t="s">
        <v>518</v>
      </c>
      <c r="K54" s="52" t="s">
        <v>34</v>
      </c>
      <c r="L54" s="49">
        <v>18</v>
      </c>
      <c r="M54" s="49">
        <v>0</v>
      </c>
      <c r="N54" s="49">
        <v>0</v>
      </c>
      <c r="O54" s="53">
        <v>0</v>
      </c>
      <c r="P54" s="53">
        <v>0</v>
      </c>
      <c r="Q54" s="53"/>
      <c r="R54" s="54" t="e">
        <f t="shared" si="0"/>
        <v>#DIV/0!</v>
      </c>
      <c r="S54" s="55" t="e">
        <f t="shared" si="1"/>
        <v>#DIV/0!</v>
      </c>
      <c r="T54" s="55">
        <f t="shared" si="2"/>
        <v>0</v>
      </c>
      <c r="U54" s="54" t="e">
        <f t="shared" si="3"/>
        <v>#DIV/0!</v>
      </c>
      <c r="V54" s="54" t="e">
        <f t="shared" si="4"/>
        <v>#DIV/0!</v>
      </c>
      <c r="W54" s="55" t="e">
        <f t="shared" si="5"/>
        <v>#DIV/0!</v>
      </c>
      <c r="X54" s="55"/>
      <c r="Y54" s="55"/>
    </row>
    <row r="55" customFormat="1" ht="22.5" customHeight="1" spans="1:25">
      <c r="A55" s="49" t="s">
        <v>478</v>
      </c>
      <c r="B55" s="49" t="s">
        <v>552</v>
      </c>
      <c r="C55" s="49" t="s">
        <v>312</v>
      </c>
      <c r="D55" s="50">
        <v>227241156524</v>
      </c>
      <c r="E55" s="49" t="s">
        <v>488</v>
      </c>
      <c r="F55" s="51">
        <v>46087</v>
      </c>
      <c r="G55" s="52">
        <v>46085</v>
      </c>
      <c r="H55" s="52">
        <v>46089</v>
      </c>
      <c r="I55" s="52" t="s">
        <v>496</v>
      </c>
      <c r="J55" s="52" t="s">
        <v>30</v>
      </c>
      <c r="K55" s="52" t="s">
        <v>34</v>
      </c>
      <c r="L55" s="49">
        <v>0</v>
      </c>
      <c r="M55" s="49">
        <v>0</v>
      </c>
      <c r="N55" s="49">
        <v>0</v>
      </c>
      <c r="O55" s="53">
        <v>0</v>
      </c>
      <c r="P55" s="53">
        <v>0</v>
      </c>
      <c r="Q55" s="53"/>
      <c r="R55" s="54" t="e">
        <f t="shared" si="0"/>
        <v>#DIV/0!</v>
      </c>
      <c r="S55" s="55" t="e">
        <f t="shared" si="1"/>
        <v>#DIV/0!</v>
      </c>
      <c r="T55" s="55" t="e">
        <f t="shared" si="2"/>
        <v>#DIV/0!</v>
      </c>
      <c r="U55" s="54" t="e">
        <f t="shared" si="3"/>
        <v>#DIV/0!</v>
      </c>
      <c r="V55" s="54" t="e">
        <f t="shared" si="4"/>
        <v>#DIV/0!</v>
      </c>
      <c r="W55" s="55" t="e">
        <f t="shared" si="5"/>
        <v>#DIV/0!</v>
      </c>
      <c r="X55" s="55"/>
      <c r="Y55" s="55"/>
    </row>
    <row r="56" customFormat="1" ht="22.5" customHeight="1" spans="1:25">
      <c r="A56" s="49" t="s">
        <v>478</v>
      </c>
      <c r="B56" s="49" t="s">
        <v>552</v>
      </c>
      <c r="C56" s="49" t="s">
        <v>327</v>
      </c>
      <c r="D56" s="50">
        <v>227242599752</v>
      </c>
      <c r="E56" s="49" t="s">
        <v>488</v>
      </c>
      <c r="F56" s="51">
        <v>46087</v>
      </c>
      <c r="G56" s="52">
        <v>46086</v>
      </c>
      <c r="H56" s="52">
        <v>46089</v>
      </c>
      <c r="I56" s="52" t="s">
        <v>496</v>
      </c>
      <c r="J56" s="52" t="s">
        <v>30</v>
      </c>
      <c r="K56" s="52" t="s">
        <v>34</v>
      </c>
      <c r="L56" s="49">
        <v>0</v>
      </c>
      <c r="M56" s="49">
        <v>0</v>
      </c>
      <c r="N56" s="49">
        <v>0</v>
      </c>
      <c r="O56" s="53">
        <v>0</v>
      </c>
      <c r="P56" s="53">
        <v>0</v>
      </c>
      <c r="Q56" s="53"/>
      <c r="R56" s="54" t="e">
        <f t="shared" si="0"/>
        <v>#DIV/0!</v>
      </c>
      <c r="S56" s="55" t="e">
        <f t="shared" si="1"/>
        <v>#DIV/0!</v>
      </c>
      <c r="T56" s="55" t="e">
        <f t="shared" si="2"/>
        <v>#DIV/0!</v>
      </c>
      <c r="U56" s="54" t="e">
        <f t="shared" si="3"/>
        <v>#DIV/0!</v>
      </c>
      <c r="V56" s="54" t="e">
        <f t="shared" si="4"/>
        <v>#DIV/0!</v>
      </c>
      <c r="W56" s="55" t="e">
        <f t="shared" si="5"/>
        <v>#DIV/0!</v>
      </c>
    </row>
    <row r="57" customFormat="1" ht="22.5" customHeight="1" spans="1:25">
      <c r="A57" s="49" t="s">
        <v>478</v>
      </c>
      <c r="B57" s="49" t="s">
        <v>552</v>
      </c>
      <c r="C57" s="49" t="s">
        <v>329</v>
      </c>
      <c r="D57" s="50">
        <v>227242600308</v>
      </c>
      <c r="E57" s="49" t="s">
        <v>488</v>
      </c>
      <c r="F57" s="51">
        <v>46087</v>
      </c>
      <c r="G57" s="52">
        <v>46086</v>
      </c>
      <c r="H57" s="52">
        <v>46094</v>
      </c>
      <c r="I57" s="52" t="s">
        <v>496</v>
      </c>
      <c r="J57" s="52" t="s">
        <v>30</v>
      </c>
      <c r="K57" s="52" t="s">
        <v>34</v>
      </c>
      <c r="L57" s="49">
        <v>0</v>
      </c>
      <c r="M57" s="49">
        <v>0</v>
      </c>
      <c r="N57" s="49">
        <v>0</v>
      </c>
      <c r="O57" s="53">
        <v>0</v>
      </c>
      <c r="P57" s="53">
        <v>0</v>
      </c>
      <c r="Q57" s="53"/>
      <c r="R57" s="54" t="e">
        <f t="shared" si="0"/>
        <v>#DIV/0!</v>
      </c>
      <c r="S57" s="55" t="e">
        <f t="shared" si="1"/>
        <v>#DIV/0!</v>
      </c>
      <c r="T57" s="55" t="e">
        <f t="shared" si="2"/>
        <v>#DIV/0!</v>
      </c>
      <c r="U57" s="54" t="e">
        <f t="shared" si="3"/>
        <v>#DIV/0!</v>
      </c>
      <c r="V57" s="54" t="e">
        <f t="shared" si="4"/>
        <v>#DIV/0!</v>
      </c>
      <c r="W57" s="55" t="e">
        <f t="shared" si="5"/>
        <v>#DIV/0!</v>
      </c>
    </row>
    <row r="58" customFormat="1" ht="22.5" customHeight="1" spans="1:25">
      <c r="A58" s="49" t="s">
        <v>478</v>
      </c>
      <c r="B58" s="49" t="s">
        <v>553</v>
      </c>
      <c r="C58" s="49" t="s">
        <v>318</v>
      </c>
      <c r="D58" s="50">
        <v>117072676887</v>
      </c>
      <c r="E58" s="49" t="s">
        <v>502</v>
      </c>
      <c r="F58" s="51">
        <v>46099</v>
      </c>
      <c r="G58" s="52">
        <v>46085</v>
      </c>
      <c r="H58" s="52">
        <v>46089</v>
      </c>
      <c r="I58" s="52" t="s">
        <v>496</v>
      </c>
      <c r="J58" s="52" t="s">
        <v>497</v>
      </c>
      <c r="K58" s="52" t="s">
        <v>34</v>
      </c>
      <c r="L58" s="49">
        <v>0</v>
      </c>
      <c r="M58" s="49">
        <v>0</v>
      </c>
      <c r="N58" s="49">
        <v>0</v>
      </c>
      <c r="O58" s="53">
        <v>0</v>
      </c>
      <c r="P58" s="53">
        <v>0</v>
      </c>
      <c r="Q58" s="53"/>
      <c r="R58" s="54" t="e">
        <f t="shared" si="0"/>
        <v>#DIV/0!</v>
      </c>
      <c r="S58" s="55" t="e">
        <f t="shared" si="1"/>
        <v>#DIV/0!</v>
      </c>
      <c r="T58" s="55" t="e">
        <f t="shared" si="2"/>
        <v>#DIV/0!</v>
      </c>
      <c r="U58" s="54" t="e">
        <f t="shared" si="3"/>
        <v>#DIV/0!</v>
      </c>
      <c r="V58" s="54" t="e">
        <f t="shared" si="4"/>
        <v>#DIV/0!</v>
      </c>
      <c r="W58" s="55" t="e">
        <f t="shared" si="5"/>
        <v>#DIV/0!</v>
      </c>
    </row>
    <row r="59" customFormat="1" ht="22.5" customHeight="1" spans="1:25">
      <c r="A59" s="56" t="s">
        <v>554</v>
      </c>
      <c r="B59" s="57" t="s">
        <v>479</v>
      </c>
      <c r="C59" s="57" t="s">
        <v>480</v>
      </c>
      <c r="D59" s="58"/>
      <c r="E59" s="58"/>
      <c r="F59" s="57">
        <f>COUNTIF(B60:B119,"&lt;&gt;")</f>
        <v>60</v>
      </c>
      <c r="G59" s="58"/>
      <c r="H59" s="58"/>
      <c r="I59" s="58"/>
      <c r="J59" s="57" t="s">
        <v>481</v>
      </c>
      <c r="K59" s="58"/>
      <c r="L59" s="59">
        <f>SUM(L60:L119)</f>
        <v>126729</v>
      </c>
      <c r="M59" s="59">
        <f>SUM(M60:M119)</f>
        <v>381</v>
      </c>
      <c r="N59" s="59">
        <f>SUM(N60:N119)</f>
        <v>31</v>
      </c>
      <c r="O59" s="60">
        <f>SUM(O60:O119)</f>
        <v>170.17</v>
      </c>
      <c r="P59" s="60">
        <f>SUM(P60:P119)</f>
        <v>1872.84</v>
      </c>
      <c r="Q59" s="60"/>
      <c r="R59" s="61">
        <f t="shared" si="0"/>
        <v>11.0057001821708</v>
      </c>
      <c r="S59" s="62">
        <f t="shared" si="1"/>
        <v>0.0813648293963255</v>
      </c>
      <c r="T59" s="62">
        <f t="shared" si="2"/>
        <v>0.00300641526406742</v>
      </c>
      <c r="U59" s="61">
        <f t="shared" si="3"/>
        <v>0.446640419947507</v>
      </c>
      <c r="V59" s="61">
        <f t="shared" si="4"/>
        <v>5.48935483870968</v>
      </c>
      <c r="W59" s="48">
        <f t="shared" si="5"/>
        <v>0.0908620063646655</v>
      </c>
    </row>
    <row r="60" customFormat="1" ht="22.5" customHeight="1" spans="1:25">
      <c r="A60" s="49" t="s">
        <v>554</v>
      </c>
      <c r="B60" s="49" t="s">
        <v>486</v>
      </c>
      <c r="C60" s="49" t="s">
        <v>494</v>
      </c>
      <c r="D60" s="50">
        <v>227214967031</v>
      </c>
      <c r="E60" s="49" t="s">
        <v>488</v>
      </c>
      <c r="F60" s="51">
        <v>46077</v>
      </c>
      <c r="G60" s="52">
        <v>46066</v>
      </c>
      <c r="H60" s="52">
        <v>46077</v>
      </c>
      <c r="I60" s="52" t="s">
        <v>484</v>
      </c>
      <c r="J60" s="52" t="s">
        <v>489</v>
      </c>
      <c r="K60" s="52" t="s">
        <v>34</v>
      </c>
      <c r="L60" s="49">
        <v>6430</v>
      </c>
      <c r="M60" s="49">
        <v>25</v>
      </c>
      <c r="N60" s="49">
        <v>5</v>
      </c>
      <c r="O60" s="53">
        <v>10.81</v>
      </c>
      <c r="P60" s="53">
        <v>357.08</v>
      </c>
      <c r="Q60" s="53"/>
      <c r="R60" s="54">
        <f t="shared" si="0"/>
        <v>33.0323774283071</v>
      </c>
      <c r="S60" s="55">
        <f t="shared" si="1"/>
        <v>0.2</v>
      </c>
      <c r="T60" s="55">
        <f t="shared" si="2"/>
        <v>0.00388802488335925</v>
      </c>
      <c r="U60" s="54">
        <f t="shared" si="3"/>
        <v>0.4324</v>
      </c>
      <c r="V60" s="54">
        <f t="shared" si="4"/>
        <v>2.162</v>
      </c>
      <c r="W60" s="55">
        <f t="shared" si="5"/>
        <v>0.0302733281057466</v>
      </c>
    </row>
    <row r="61" customFormat="1" ht="22.5" customHeight="1" spans="1:25">
      <c r="A61" s="49" t="s">
        <v>554</v>
      </c>
      <c r="B61" s="49" t="s">
        <v>482</v>
      </c>
      <c r="C61" s="49" t="s">
        <v>385</v>
      </c>
      <c r="D61" s="50">
        <v>177997475019</v>
      </c>
      <c r="E61" s="49" t="s">
        <v>483</v>
      </c>
      <c r="F61" s="51">
        <v>46114</v>
      </c>
      <c r="G61" s="52">
        <v>46108</v>
      </c>
      <c r="H61" s="52">
        <v>46114</v>
      </c>
      <c r="I61" s="52" t="s">
        <v>484</v>
      </c>
      <c r="J61" s="52" t="s">
        <v>485</v>
      </c>
      <c r="K61" s="52" t="s">
        <v>34</v>
      </c>
      <c r="L61" s="49">
        <v>850</v>
      </c>
      <c r="M61" s="49">
        <v>21</v>
      </c>
      <c r="N61" s="49">
        <v>5</v>
      </c>
      <c r="O61" s="53">
        <v>8.07</v>
      </c>
      <c r="P61" s="53">
        <v>189.36</v>
      </c>
      <c r="Q61" s="53"/>
      <c r="R61" s="54">
        <f t="shared" si="0"/>
        <v>23.4646840148699</v>
      </c>
      <c r="S61" s="55">
        <f t="shared" si="1"/>
        <v>0.238095238095238</v>
      </c>
      <c r="T61" s="55">
        <f t="shared" si="2"/>
        <v>0.0247058823529412</v>
      </c>
      <c r="U61" s="54">
        <f t="shared" si="3"/>
        <v>0.384285714285714</v>
      </c>
      <c r="V61" s="54">
        <f t="shared" si="4"/>
        <v>1.614</v>
      </c>
      <c r="W61" s="55">
        <f t="shared" si="5"/>
        <v>0.042617237008872</v>
      </c>
    </row>
    <row r="62" customFormat="1" ht="22.5" customHeight="1" spans="1:25">
      <c r="A62" s="49" t="s">
        <v>554</v>
      </c>
      <c r="B62" s="49" t="s">
        <v>524</v>
      </c>
      <c r="C62" s="49" t="s">
        <v>525</v>
      </c>
      <c r="D62" s="50">
        <v>117042072978</v>
      </c>
      <c r="E62" s="49" t="s">
        <v>502</v>
      </c>
      <c r="F62" s="51">
        <v>46082</v>
      </c>
      <c r="G62" s="52">
        <v>46066</v>
      </c>
      <c r="H62" s="52">
        <v>46070</v>
      </c>
      <c r="I62" s="52" t="s">
        <v>520</v>
      </c>
      <c r="J62" s="52" t="s">
        <v>489</v>
      </c>
      <c r="K62" s="52" t="s">
        <v>493</v>
      </c>
      <c r="L62" s="49">
        <v>9035</v>
      </c>
      <c r="M62" s="49">
        <v>28</v>
      </c>
      <c r="N62" s="49">
        <v>3</v>
      </c>
      <c r="O62" s="53">
        <v>15.18</v>
      </c>
      <c r="P62" s="53">
        <v>280.08</v>
      </c>
      <c r="Q62" s="53"/>
      <c r="R62" s="54">
        <f t="shared" si="0"/>
        <v>18.4505928853755</v>
      </c>
      <c r="S62" s="55">
        <f t="shared" si="1"/>
        <v>0.107142857142857</v>
      </c>
      <c r="T62" s="55">
        <f t="shared" si="2"/>
        <v>0.00309905921416713</v>
      </c>
      <c r="U62" s="54">
        <f t="shared" si="3"/>
        <v>0.542142857142857</v>
      </c>
      <c r="V62" s="54">
        <f t="shared" si="4"/>
        <v>5.06</v>
      </c>
      <c r="W62" s="55">
        <f t="shared" si="5"/>
        <v>0.0541988003427592</v>
      </c>
    </row>
    <row r="63" customFormat="1" ht="22.5" customHeight="1" spans="1:25">
      <c r="A63" s="49" t="s">
        <v>554</v>
      </c>
      <c r="B63" s="49" t="s">
        <v>524</v>
      </c>
      <c r="C63" s="49" t="s">
        <v>533</v>
      </c>
      <c r="D63" s="50">
        <v>117042068584</v>
      </c>
      <c r="E63" s="49" t="s">
        <v>502</v>
      </c>
      <c r="F63" s="51">
        <v>46082</v>
      </c>
      <c r="G63" s="52">
        <v>46066</v>
      </c>
      <c r="H63" s="52">
        <v>46068</v>
      </c>
      <c r="I63" s="52" t="s">
        <v>520</v>
      </c>
      <c r="J63" s="52" t="s">
        <v>489</v>
      </c>
      <c r="K63" s="52" t="s">
        <v>493</v>
      </c>
      <c r="L63" s="49">
        <v>10429</v>
      </c>
      <c r="M63" s="49">
        <v>26</v>
      </c>
      <c r="N63" s="49">
        <v>2</v>
      </c>
      <c r="O63" s="53">
        <v>14.2</v>
      </c>
      <c r="P63" s="53">
        <v>171.57</v>
      </c>
      <c r="Q63" s="53"/>
      <c r="R63" s="54">
        <f t="shared" si="0"/>
        <v>12.0823943661972</v>
      </c>
      <c r="S63" s="55">
        <f t="shared" si="1"/>
        <v>0.0769230769230769</v>
      </c>
      <c r="T63" s="55">
        <f t="shared" si="2"/>
        <v>0.00249304823089462</v>
      </c>
      <c r="U63" s="54">
        <f t="shared" si="3"/>
        <v>0.546153846153846</v>
      </c>
      <c r="V63" s="54">
        <f t="shared" si="4"/>
        <v>7.1</v>
      </c>
      <c r="W63" s="55">
        <f t="shared" si="5"/>
        <v>0.082765052165297</v>
      </c>
    </row>
    <row r="64" customFormat="1" ht="22.5" customHeight="1" spans="1:25">
      <c r="A64" s="49" t="s">
        <v>554</v>
      </c>
      <c r="B64" s="49" t="s">
        <v>506</v>
      </c>
      <c r="C64" s="49" t="s">
        <v>342</v>
      </c>
      <c r="D64" s="50">
        <v>177947769950</v>
      </c>
      <c r="E64" s="49" t="s">
        <v>483</v>
      </c>
      <c r="F64" s="51">
        <v>46092</v>
      </c>
      <c r="G64" s="52">
        <v>46092</v>
      </c>
      <c r="H64" s="52">
        <v>46095</v>
      </c>
      <c r="I64" s="52" t="s">
        <v>484</v>
      </c>
      <c r="J64" s="52" t="s">
        <v>489</v>
      </c>
      <c r="K64" s="52" t="s">
        <v>34</v>
      </c>
      <c r="L64" s="49">
        <v>9291</v>
      </c>
      <c r="M64" s="49">
        <v>26</v>
      </c>
      <c r="N64" s="49">
        <v>2</v>
      </c>
      <c r="O64" s="53">
        <v>10.31</v>
      </c>
      <c r="P64" s="53">
        <v>242.82</v>
      </c>
      <c r="Q64" s="53"/>
      <c r="R64" s="54">
        <f t="shared" si="0"/>
        <v>23.5518913676043</v>
      </c>
      <c r="S64" s="55">
        <f t="shared" si="1"/>
        <v>0.0769230769230769</v>
      </c>
      <c r="T64" s="55">
        <f t="shared" si="2"/>
        <v>0.00279840706059628</v>
      </c>
      <c r="U64" s="54">
        <f t="shared" si="3"/>
        <v>0.396538461538462</v>
      </c>
      <c r="V64" s="54">
        <f t="shared" si="4"/>
        <v>5.155</v>
      </c>
      <c r="W64" s="55">
        <f t="shared" si="5"/>
        <v>0.0424594349724075</v>
      </c>
    </row>
    <row r="65" customFormat="1" ht="22.5" customHeight="1" spans="1:23">
      <c r="A65" s="49" t="s">
        <v>554</v>
      </c>
      <c r="B65" s="49" t="s">
        <v>513</v>
      </c>
      <c r="C65" s="49" t="s">
        <v>339</v>
      </c>
      <c r="D65" s="50">
        <v>117085059550</v>
      </c>
      <c r="E65" s="49" t="s">
        <v>502</v>
      </c>
      <c r="F65" s="51">
        <v>46104</v>
      </c>
      <c r="G65" s="52">
        <v>46092</v>
      </c>
      <c r="H65" s="52">
        <v>46104</v>
      </c>
      <c r="I65" s="52" t="s">
        <v>484</v>
      </c>
      <c r="J65" s="52" t="s">
        <v>489</v>
      </c>
      <c r="K65" s="52" t="s">
        <v>34</v>
      </c>
      <c r="L65" s="49">
        <v>747</v>
      </c>
      <c r="M65" s="49">
        <v>6</v>
      </c>
      <c r="N65" s="49">
        <v>2</v>
      </c>
      <c r="O65" s="53">
        <v>2.03</v>
      </c>
      <c r="P65" s="53">
        <v>26.13</v>
      </c>
      <c r="Q65" s="53"/>
      <c r="R65" s="54">
        <f t="shared" si="0"/>
        <v>12.871921182266</v>
      </c>
      <c r="S65" s="55">
        <f t="shared" si="1"/>
        <v>0.333333333333333</v>
      </c>
      <c r="T65" s="55">
        <f t="shared" si="2"/>
        <v>0.00803212851405622</v>
      </c>
      <c r="U65" s="54">
        <f t="shared" si="3"/>
        <v>0.338333333333333</v>
      </c>
      <c r="V65" s="54">
        <f t="shared" si="4"/>
        <v>1.015</v>
      </c>
      <c r="W65" s="55">
        <f t="shared" si="5"/>
        <v>0.0776884806735553</v>
      </c>
    </row>
    <row r="66" customFormat="1" ht="22.5" customHeight="1" spans="1:23">
      <c r="A66" s="49" t="s">
        <v>554</v>
      </c>
      <c r="B66" s="49" t="s">
        <v>490</v>
      </c>
      <c r="C66" s="49" t="s">
        <v>491</v>
      </c>
      <c r="D66" s="50">
        <v>117032563600</v>
      </c>
      <c r="E66" s="49" t="s">
        <v>492</v>
      </c>
      <c r="F66" s="51">
        <v>46083</v>
      </c>
      <c r="G66" s="52">
        <v>46062</v>
      </c>
      <c r="H66" s="52">
        <v>46068</v>
      </c>
      <c r="I66" s="52" t="s">
        <v>484</v>
      </c>
      <c r="J66" s="52" t="s">
        <v>30</v>
      </c>
      <c r="K66" s="52" t="s">
        <v>493</v>
      </c>
      <c r="L66" s="49">
        <v>4223</v>
      </c>
      <c r="M66" s="49">
        <v>27</v>
      </c>
      <c r="N66" s="49">
        <v>1</v>
      </c>
      <c r="O66" s="53">
        <v>10.55</v>
      </c>
      <c r="P66" s="53">
        <v>53.93</v>
      </c>
      <c r="Q66" s="53"/>
      <c r="R66" s="54">
        <f t="shared" ref="R66:R129" si="6">P66/O66</f>
        <v>5.11184834123223</v>
      </c>
      <c r="S66" s="55">
        <f t="shared" ref="S66:S129" si="7">N66/M66</f>
        <v>0.037037037037037</v>
      </c>
      <c r="T66" s="55">
        <f t="shared" ref="T66:T129" si="8">M66/L66</f>
        <v>0.00639355908122188</v>
      </c>
      <c r="U66" s="54">
        <f t="shared" ref="U66:U129" si="9">O66/M66</f>
        <v>0.390740740740741</v>
      </c>
      <c r="V66" s="54">
        <f t="shared" ref="V66:V129" si="10">O66/N66</f>
        <v>10.55</v>
      </c>
      <c r="W66" s="55">
        <f t="shared" ref="W66:W129" si="11">O66/P66</f>
        <v>0.195623956981272</v>
      </c>
    </row>
    <row r="67" customFormat="1" ht="22.5" customHeight="1" spans="1:23">
      <c r="A67" s="49" t="s">
        <v>554</v>
      </c>
      <c r="B67" s="49" t="s">
        <v>486</v>
      </c>
      <c r="C67" s="49" t="s">
        <v>487</v>
      </c>
      <c r="D67" s="50">
        <v>227214980980</v>
      </c>
      <c r="E67" s="49" t="s">
        <v>488</v>
      </c>
      <c r="F67" s="51">
        <v>46077</v>
      </c>
      <c r="G67" s="52">
        <v>46066</v>
      </c>
      <c r="H67" s="52">
        <v>46070</v>
      </c>
      <c r="I67" s="52" t="s">
        <v>484</v>
      </c>
      <c r="J67" s="52" t="s">
        <v>489</v>
      </c>
      <c r="K67" s="52" t="s">
        <v>34</v>
      </c>
      <c r="L67" s="49">
        <v>6904</v>
      </c>
      <c r="M67" s="49">
        <v>23</v>
      </c>
      <c r="N67" s="49">
        <v>1</v>
      </c>
      <c r="O67" s="53">
        <v>9.64</v>
      </c>
      <c r="P67" s="53">
        <v>76.37</v>
      </c>
      <c r="Q67" s="53"/>
      <c r="R67" s="54">
        <f t="shared" si="6"/>
        <v>7.92219917012448</v>
      </c>
      <c r="S67" s="55">
        <f t="shared" si="7"/>
        <v>0.0434782608695652</v>
      </c>
      <c r="T67" s="55">
        <f t="shared" si="8"/>
        <v>0.00333140208574739</v>
      </c>
      <c r="U67" s="54">
        <f t="shared" si="9"/>
        <v>0.419130434782609</v>
      </c>
      <c r="V67" s="54">
        <f t="shared" si="10"/>
        <v>9.64</v>
      </c>
      <c r="W67" s="55">
        <f t="shared" si="11"/>
        <v>0.126227576273406</v>
      </c>
    </row>
    <row r="68" customFormat="1" ht="22.5" customHeight="1" spans="1:23">
      <c r="A68" s="49" t="s">
        <v>554</v>
      </c>
      <c r="B68" s="49" t="s">
        <v>508</v>
      </c>
      <c r="C68" s="49" t="s">
        <v>325</v>
      </c>
      <c r="D68" s="50">
        <v>188126164114</v>
      </c>
      <c r="E68" s="49" t="s">
        <v>483</v>
      </c>
      <c r="F68" s="51">
        <v>46099</v>
      </c>
      <c r="G68" s="52">
        <v>46085</v>
      </c>
      <c r="H68" s="52">
        <v>46091</v>
      </c>
      <c r="I68" s="52" t="s">
        <v>496</v>
      </c>
      <c r="J68" s="52" t="s">
        <v>497</v>
      </c>
      <c r="K68" s="52" t="s">
        <v>34</v>
      </c>
      <c r="L68" s="49">
        <v>570</v>
      </c>
      <c r="M68" s="49">
        <v>16</v>
      </c>
      <c r="N68" s="49">
        <v>1</v>
      </c>
      <c r="O68" s="53">
        <v>7.7</v>
      </c>
      <c r="P68" s="53">
        <v>90.1</v>
      </c>
      <c r="Q68" s="53"/>
      <c r="R68" s="54">
        <f t="shared" si="6"/>
        <v>11.7012987012987</v>
      </c>
      <c r="S68" s="55">
        <f t="shared" si="7"/>
        <v>0.0625</v>
      </c>
      <c r="T68" s="55">
        <f t="shared" si="8"/>
        <v>0.0280701754385965</v>
      </c>
      <c r="U68" s="54">
        <f t="shared" si="9"/>
        <v>0.48125</v>
      </c>
      <c r="V68" s="54">
        <f t="shared" si="10"/>
        <v>7.7</v>
      </c>
      <c r="W68" s="55">
        <f t="shared" si="11"/>
        <v>0.0854605993340733</v>
      </c>
    </row>
    <row r="69" customFormat="1" ht="22.5" customHeight="1" spans="1:23">
      <c r="A69" s="49" t="s">
        <v>554</v>
      </c>
      <c r="B69" s="49" t="s">
        <v>536</v>
      </c>
      <c r="C69" s="49" t="s">
        <v>501</v>
      </c>
      <c r="D69" s="50">
        <v>227221720047</v>
      </c>
      <c r="E69" s="49" t="s">
        <v>488</v>
      </c>
      <c r="F69" s="51">
        <v>46115</v>
      </c>
      <c r="G69" s="52">
        <v>46070</v>
      </c>
      <c r="H69" s="52">
        <v>46073</v>
      </c>
      <c r="I69" s="52" t="s">
        <v>503</v>
      </c>
      <c r="J69" s="52" t="s">
        <v>497</v>
      </c>
      <c r="K69" s="52" t="s">
        <v>34</v>
      </c>
      <c r="L69" s="49">
        <v>1369</v>
      </c>
      <c r="M69" s="49">
        <v>7</v>
      </c>
      <c r="N69" s="49">
        <v>1</v>
      </c>
      <c r="O69" s="53">
        <v>2.65</v>
      </c>
      <c r="P69" s="53">
        <v>21.2</v>
      </c>
      <c r="Q69" s="53"/>
      <c r="R69" s="54">
        <f t="shared" si="6"/>
        <v>8</v>
      </c>
      <c r="S69" s="55">
        <f t="shared" si="7"/>
        <v>0.142857142857143</v>
      </c>
      <c r="T69" s="55">
        <f t="shared" si="8"/>
        <v>0.00511322132943755</v>
      </c>
      <c r="U69" s="54">
        <f t="shared" si="9"/>
        <v>0.378571428571429</v>
      </c>
      <c r="V69" s="54">
        <f t="shared" si="10"/>
        <v>2.65</v>
      </c>
      <c r="W69" s="55">
        <f t="shared" si="11"/>
        <v>0.125</v>
      </c>
    </row>
    <row r="70" customFormat="1" ht="22.5" customHeight="1" spans="1:23">
      <c r="A70" s="49" t="s">
        <v>554</v>
      </c>
      <c r="B70" s="49" t="s">
        <v>539</v>
      </c>
      <c r="C70" s="49" t="s">
        <v>540</v>
      </c>
      <c r="D70" s="50">
        <v>117070939739</v>
      </c>
      <c r="E70" s="49" t="s">
        <v>502</v>
      </c>
      <c r="F70" s="51">
        <v>46121</v>
      </c>
      <c r="G70" s="52">
        <v>46081</v>
      </c>
      <c r="H70" s="52">
        <v>46082</v>
      </c>
      <c r="I70" s="52" t="s">
        <v>505</v>
      </c>
      <c r="J70" s="52" t="s">
        <v>489</v>
      </c>
      <c r="K70" s="52" t="s">
        <v>34</v>
      </c>
      <c r="L70" s="49">
        <v>2771</v>
      </c>
      <c r="M70" s="49">
        <v>6</v>
      </c>
      <c r="N70" s="49">
        <v>1</v>
      </c>
      <c r="O70" s="53">
        <v>2.18</v>
      </c>
      <c r="P70" s="53">
        <v>67.58</v>
      </c>
      <c r="Q70" s="53"/>
      <c r="R70" s="54">
        <f t="shared" si="6"/>
        <v>31</v>
      </c>
      <c r="S70" s="55">
        <f t="shared" si="7"/>
        <v>0.166666666666667</v>
      </c>
      <c r="T70" s="55">
        <f t="shared" si="8"/>
        <v>0.0021652832912306</v>
      </c>
      <c r="U70" s="54">
        <f t="shared" si="9"/>
        <v>0.363333333333333</v>
      </c>
      <c r="V70" s="54">
        <f t="shared" si="10"/>
        <v>2.18</v>
      </c>
      <c r="W70" s="55">
        <f t="shared" si="11"/>
        <v>0.032258064516129</v>
      </c>
    </row>
    <row r="71" customFormat="1" ht="22.5" customHeight="1" spans="1:23">
      <c r="A71" s="49" t="s">
        <v>554</v>
      </c>
      <c r="B71" s="49" t="s">
        <v>512</v>
      </c>
      <c r="C71" s="49" t="s">
        <v>510</v>
      </c>
      <c r="D71" s="50">
        <v>227221709911</v>
      </c>
      <c r="E71" s="49" t="s">
        <v>488</v>
      </c>
      <c r="F71" s="51">
        <v>46087</v>
      </c>
      <c r="G71" s="52">
        <v>46070</v>
      </c>
      <c r="H71" s="52">
        <v>46086</v>
      </c>
      <c r="I71" s="52" t="s">
        <v>503</v>
      </c>
      <c r="J71" s="52" t="s">
        <v>497</v>
      </c>
      <c r="K71" s="52" t="s">
        <v>34</v>
      </c>
      <c r="L71" s="49">
        <v>1838</v>
      </c>
      <c r="M71" s="49">
        <v>6</v>
      </c>
      <c r="N71" s="49">
        <v>1</v>
      </c>
      <c r="O71" s="53">
        <v>1.99</v>
      </c>
      <c r="P71" s="53">
        <v>21.4</v>
      </c>
      <c r="Q71" s="53"/>
      <c r="R71" s="54">
        <f t="shared" si="6"/>
        <v>10.7537688442211</v>
      </c>
      <c r="S71" s="55">
        <f t="shared" si="7"/>
        <v>0.166666666666667</v>
      </c>
      <c r="T71" s="55">
        <f t="shared" si="8"/>
        <v>0.00326441784548422</v>
      </c>
      <c r="U71" s="54">
        <f t="shared" si="9"/>
        <v>0.331666666666667</v>
      </c>
      <c r="V71" s="54">
        <f t="shared" si="10"/>
        <v>1.99</v>
      </c>
      <c r="W71" s="55">
        <f t="shared" si="11"/>
        <v>0.0929906542056075</v>
      </c>
    </row>
    <row r="72" customFormat="1" ht="22.5" customHeight="1" spans="1:23">
      <c r="A72" s="49" t="s">
        <v>554</v>
      </c>
      <c r="B72" s="49" t="s">
        <v>514</v>
      </c>
      <c r="C72" s="49" t="s">
        <v>487</v>
      </c>
      <c r="D72" s="50">
        <v>336471552121</v>
      </c>
      <c r="E72" s="49" t="s">
        <v>515</v>
      </c>
      <c r="F72" s="51">
        <v>46122</v>
      </c>
      <c r="G72" s="52">
        <v>46066</v>
      </c>
      <c r="H72" s="52">
        <v>46070</v>
      </c>
      <c r="I72" s="52" t="s">
        <v>484</v>
      </c>
      <c r="J72" s="52" t="s">
        <v>489</v>
      </c>
      <c r="K72" s="52" t="s">
        <v>34</v>
      </c>
      <c r="L72" s="49">
        <v>5349</v>
      </c>
      <c r="M72" s="49">
        <v>5</v>
      </c>
      <c r="N72" s="49">
        <v>1</v>
      </c>
      <c r="O72" s="53">
        <v>1.98</v>
      </c>
      <c r="P72" s="53">
        <v>56</v>
      </c>
      <c r="Q72" s="53"/>
      <c r="R72" s="54">
        <f t="shared" si="6"/>
        <v>28.2828282828283</v>
      </c>
      <c r="S72" s="55">
        <f t="shared" si="7"/>
        <v>0.2</v>
      </c>
      <c r="T72" s="55">
        <f t="shared" si="8"/>
        <v>0.000934754159656011</v>
      </c>
      <c r="U72" s="54">
        <f t="shared" si="9"/>
        <v>0.396</v>
      </c>
      <c r="V72" s="54">
        <f t="shared" si="10"/>
        <v>1.98</v>
      </c>
      <c r="W72" s="55">
        <f t="shared" si="11"/>
        <v>0.0353571428571429</v>
      </c>
    </row>
    <row r="73" customFormat="1" ht="22.5" customHeight="1" spans="1:23">
      <c r="A73" s="49" t="s">
        <v>554</v>
      </c>
      <c r="B73" s="49" t="s">
        <v>538</v>
      </c>
      <c r="C73" s="49" t="s">
        <v>334</v>
      </c>
      <c r="D73" s="50">
        <v>177944141581</v>
      </c>
      <c r="E73" s="49" t="s">
        <v>483</v>
      </c>
      <c r="F73" s="51">
        <v>46092</v>
      </c>
      <c r="G73" s="52">
        <v>46091</v>
      </c>
      <c r="H73" s="52">
        <v>46106</v>
      </c>
      <c r="I73" s="52" t="s">
        <v>484</v>
      </c>
      <c r="J73" s="52" t="s">
        <v>489</v>
      </c>
      <c r="K73" s="52" t="s">
        <v>34</v>
      </c>
      <c r="L73" s="49">
        <v>1482</v>
      </c>
      <c r="M73" s="49">
        <v>4</v>
      </c>
      <c r="N73" s="49">
        <v>1</v>
      </c>
      <c r="O73" s="53">
        <v>1.5</v>
      </c>
      <c r="P73" s="53">
        <v>40.76</v>
      </c>
      <c r="Q73" s="53"/>
      <c r="R73" s="54">
        <f t="shared" si="6"/>
        <v>27.1733333333333</v>
      </c>
      <c r="S73" s="55">
        <f t="shared" si="7"/>
        <v>0.25</v>
      </c>
      <c r="T73" s="55">
        <f t="shared" si="8"/>
        <v>0.00269905533063428</v>
      </c>
      <c r="U73" s="54">
        <f t="shared" si="9"/>
        <v>0.375</v>
      </c>
      <c r="V73" s="54">
        <f t="shared" si="10"/>
        <v>1.5</v>
      </c>
      <c r="W73" s="55">
        <f t="shared" si="11"/>
        <v>0.0368007850834151</v>
      </c>
    </row>
    <row r="74" customFormat="1" ht="22.5" customHeight="1" spans="1:23">
      <c r="A74" s="49" t="s">
        <v>554</v>
      </c>
      <c r="B74" s="49" t="s">
        <v>542</v>
      </c>
      <c r="C74" s="49" t="s">
        <v>319</v>
      </c>
      <c r="D74" s="50">
        <v>287180832245</v>
      </c>
      <c r="E74" s="49" t="s">
        <v>511</v>
      </c>
      <c r="F74" s="51">
        <v>46097</v>
      </c>
      <c r="G74" s="52">
        <v>46085</v>
      </c>
      <c r="H74" s="52">
        <v>46100</v>
      </c>
      <c r="I74" s="52" t="s">
        <v>484</v>
      </c>
      <c r="J74" s="52" t="s">
        <v>30</v>
      </c>
      <c r="K74" s="52" t="s">
        <v>34</v>
      </c>
      <c r="L74" s="49">
        <v>558</v>
      </c>
      <c r="M74" s="49">
        <v>4</v>
      </c>
      <c r="N74" s="49">
        <v>1</v>
      </c>
      <c r="O74" s="53">
        <v>1.55</v>
      </c>
      <c r="P74" s="53">
        <v>34.24</v>
      </c>
      <c r="Q74" s="53"/>
      <c r="R74" s="54">
        <f t="shared" si="6"/>
        <v>22.0903225806452</v>
      </c>
      <c r="S74" s="55">
        <f t="shared" si="7"/>
        <v>0.25</v>
      </c>
      <c r="T74" s="55">
        <f t="shared" si="8"/>
        <v>0.00716845878136201</v>
      </c>
      <c r="U74" s="54">
        <f t="shared" si="9"/>
        <v>0.3875</v>
      </c>
      <c r="V74" s="54">
        <f t="shared" si="10"/>
        <v>1.55</v>
      </c>
      <c r="W74" s="55">
        <f t="shared" si="11"/>
        <v>0.045268691588785</v>
      </c>
    </row>
    <row r="75" customFormat="1" ht="22.5" customHeight="1" spans="1:23">
      <c r="A75" s="49" t="s">
        <v>554</v>
      </c>
      <c r="B75" s="49" t="s">
        <v>537</v>
      </c>
      <c r="C75" s="49" t="s">
        <v>333</v>
      </c>
      <c r="D75" s="50">
        <v>117081144249</v>
      </c>
      <c r="E75" s="49" t="s">
        <v>502</v>
      </c>
      <c r="F75" s="51">
        <v>46099</v>
      </c>
      <c r="G75" s="52">
        <v>46091</v>
      </c>
      <c r="H75" s="52">
        <v>46101</v>
      </c>
      <c r="I75" s="52" t="s">
        <v>484</v>
      </c>
      <c r="J75" s="52" t="s">
        <v>489</v>
      </c>
      <c r="K75" s="52" t="s">
        <v>34</v>
      </c>
      <c r="L75" s="49">
        <v>1173</v>
      </c>
      <c r="M75" s="49">
        <v>3</v>
      </c>
      <c r="N75" s="49">
        <v>1</v>
      </c>
      <c r="O75" s="53">
        <v>1.1</v>
      </c>
      <c r="P75" s="53">
        <v>42.28</v>
      </c>
      <c r="Q75" s="53"/>
      <c r="R75" s="54">
        <f t="shared" si="6"/>
        <v>38.4363636363636</v>
      </c>
      <c r="S75" s="55">
        <f t="shared" si="7"/>
        <v>0.333333333333333</v>
      </c>
      <c r="T75" s="55">
        <f t="shared" si="8"/>
        <v>0.00255754475703325</v>
      </c>
      <c r="U75" s="54">
        <f t="shared" si="9"/>
        <v>0.366666666666667</v>
      </c>
      <c r="V75" s="54">
        <f t="shared" si="10"/>
        <v>1.1</v>
      </c>
      <c r="W75" s="55">
        <f t="shared" si="11"/>
        <v>0.0260170293282876</v>
      </c>
    </row>
    <row r="76" customFormat="1" ht="22.5" customHeight="1" spans="1:23">
      <c r="A76" s="49" t="s">
        <v>554</v>
      </c>
      <c r="B76" s="49" t="s">
        <v>514</v>
      </c>
      <c r="C76" s="49" t="s">
        <v>494</v>
      </c>
      <c r="D76" s="50">
        <v>336471547458</v>
      </c>
      <c r="E76" s="49" t="s">
        <v>515</v>
      </c>
      <c r="F76" s="51">
        <v>46122</v>
      </c>
      <c r="G76" s="52">
        <v>46066</v>
      </c>
      <c r="H76" s="52">
        <v>46077</v>
      </c>
      <c r="I76" s="52" t="s">
        <v>484</v>
      </c>
      <c r="J76" s="52" t="s">
        <v>489</v>
      </c>
      <c r="K76" s="52" t="s">
        <v>34</v>
      </c>
      <c r="L76" s="49">
        <v>2821</v>
      </c>
      <c r="M76" s="49">
        <v>2</v>
      </c>
      <c r="N76" s="49">
        <v>1</v>
      </c>
      <c r="O76" s="53">
        <v>0.73</v>
      </c>
      <c r="P76" s="53">
        <v>66.9</v>
      </c>
      <c r="Q76" s="53"/>
      <c r="R76" s="54">
        <f t="shared" si="6"/>
        <v>91.6438356164384</v>
      </c>
      <c r="S76" s="55">
        <f t="shared" si="7"/>
        <v>0.5</v>
      </c>
      <c r="T76" s="55">
        <f t="shared" si="8"/>
        <v>0.000708968450903935</v>
      </c>
      <c r="U76" s="54">
        <f t="shared" si="9"/>
        <v>0.365</v>
      </c>
      <c r="V76" s="54">
        <f t="shared" si="10"/>
        <v>0.73</v>
      </c>
      <c r="W76" s="55">
        <f t="shared" si="11"/>
        <v>0.0109118086696562</v>
      </c>
    </row>
    <row r="77" customFormat="1" ht="22.5" customHeight="1" spans="1:23">
      <c r="A77" s="49" t="s">
        <v>554</v>
      </c>
      <c r="B77" s="49" t="s">
        <v>549</v>
      </c>
      <c r="C77" s="49" t="s">
        <v>319</v>
      </c>
      <c r="D77" s="50">
        <v>227241168840</v>
      </c>
      <c r="E77" s="49" t="s">
        <v>488</v>
      </c>
      <c r="F77" s="51">
        <v>46097</v>
      </c>
      <c r="G77" s="52">
        <v>46085</v>
      </c>
      <c r="H77" s="52">
        <v>46100</v>
      </c>
      <c r="I77" s="52" t="s">
        <v>484</v>
      </c>
      <c r="J77" s="52" t="s">
        <v>30</v>
      </c>
      <c r="K77" s="52" t="s">
        <v>34</v>
      </c>
      <c r="L77" s="49">
        <v>471</v>
      </c>
      <c r="M77" s="49">
        <v>2</v>
      </c>
      <c r="N77" s="49">
        <v>1</v>
      </c>
      <c r="O77" s="53">
        <v>0.74</v>
      </c>
      <c r="P77" s="53">
        <v>35.04</v>
      </c>
      <c r="Q77" s="53"/>
      <c r="R77" s="54">
        <f t="shared" si="6"/>
        <v>47.3513513513513</v>
      </c>
      <c r="S77" s="55">
        <f t="shared" si="7"/>
        <v>0.5</v>
      </c>
      <c r="T77" s="55">
        <f t="shared" si="8"/>
        <v>0.00424628450106157</v>
      </c>
      <c r="U77" s="54">
        <f t="shared" si="9"/>
        <v>0.37</v>
      </c>
      <c r="V77" s="54">
        <f t="shared" si="10"/>
        <v>0.74</v>
      </c>
      <c r="W77" s="55">
        <f t="shared" si="11"/>
        <v>0.0211187214611872</v>
      </c>
    </row>
    <row r="78" customFormat="1" ht="22.5" customHeight="1" spans="1:23">
      <c r="A78" s="49" t="s">
        <v>554</v>
      </c>
      <c r="B78" s="49" t="s">
        <v>495</v>
      </c>
      <c r="C78" s="49" t="s">
        <v>326</v>
      </c>
      <c r="D78" s="50">
        <v>227241180103</v>
      </c>
      <c r="E78" s="49" t="s">
        <v>488</v>
      </c>
      <c r="F78" s="51">
        <v>46087</v>
      </c>
      <c r="G78" s="52">
        <v>46085</v>
      </c>
      <c r="H78" s="52">
        <v>46086</v>
      </c>
      <c r="I78" s="52" t="s">
        <v>496</v>
      </c>
      <c r="J78" s="52" t="s">
        <v>497</v>
      </c>
      <c r="K78" s="52" t="s">
        <v>34</v>
      </c>
      <c r="L78" s="49">
        <v>7713</v>
      </c>
      <c r="M78" s="49">
        <v>28</v>
      </c>
      <c r="N78" s="49">
        <v>0</v>
      </c>
      <c r="O78" s="53">
        <v>8.33</v>
      </c>
      <c r="P78" s="53">
        <v>0</v>
      </c>
      <c r="Q78" s="53"/>
      <c r="R78" s="54">
        <f t="shared" si="6"/>
        <v>0</v>
      </c>
      <c r="S78" s="55">
        <f t="shared" si="7"/>
        <v>0</v>
      </c>
      <c r="T78" s="55">
        <f t="shared" si="8"/>
        <v>0.00363023466874109</v>
      </c>
      <c r="U78" s="54">
        <f t="shared" si="9"/>
        <v>0.2975</v>
      </c>
      <c r="V78" s="54" t="e">
        <f t="shared" si="10"/>
        <v>#DIV/0!</v>
      </c>
      <c r="W78" s="55" t="e">
        <f t="shared" si="11"/>
        <v>#DIV/0!</v>
      </c>
    </row>
    <row r="79" customFormat="1" ht="22.5" customHeight="1" spans="1:23">
      <c r="A79" s="49" t="s">
        <v>554</v>
      </c>
      <c r="B79" s="49" t="s">
        <v>532</v>
      </c>
      <c r="C79" s="49" t="s">
        <v>351</v>
      </c>
      <c r="D79" s="50">
        <v>336486052117</v>
      </c>
      <c r="E79" s="49" t="s">
        <v>515</v>
      </c>
      <c r="F79" s="51">
        <v>46098</v>
      </c>
      <c r="G79" s="52">
        <v>46097</v>
      </c>
      <c r="H79" s="52">
        <v>46103</v>
      </c>
      <c r="I79" s="52" t="s">
        <v>496</v>
      </c>
      <c r="J79" s="52" t="s">
        <v>30</v>
      </c>
      <c r="K79" s="52" t="s">
        <v>34</v>
      </c>
      <c r="L79" s="49">
        <v>25082</v>
      </c>
      <c r="M79" s="49">
        <v>23</v>
      </c>
      <c r="N79" s="49">
        <v>0</v>
      </c>
      <c r="O79" s="53">
        <v>10.89</v>
      </c>
      <c r="P79" s="53">
        <v>0</v>
      </c>
      <c r="Q79" s="53"/>
      <c r="R79" s="54">
        <f t="shared" si="6"/>
        <v>0</v>
      </c>
      <c r="S79" s="55">
        <f t="shared" si="7"/>
        <v>0</v>
      </c>
      <c r="T79" s="55">
        <f t="shared" si="8"/>
        <v>0.000916992265369588</v>
      </c>
      <c r="U79" s="54">
        <f t="shared" si="9"/>
        <v>0.473478260869565</v>
      </c>
      <c r="V79" s="54" t="e">
        <f t="shared" si="10"/>
        <v>#DIV/0!</v>
      </c>
      <c r="W79" s="55" t="e">
        <f t="shared" si="11"/>
        <v>#DIV/0!</v>
      </c>
    </row>
    <row r="80" customFormat="1" ht="22.5" customHeight="1" spans="1:23">
      <c r="A80" s="49" t="s">
        <v>554</v>
      </c>
      <c r="B80" s="49" t="s">
        <v>507</v>
      </c>
      <c r="C80" s="49" t="s">
        <v>326</v>
      </c>
      <c r="D80" s="50">
        <v>117072634866</v>
      </c>
      <c r="E80" s="49" t="s">
        <v>502</v>
      </c>
      <c r="F80" s="51">
        <v>46095</v>
      </c>
      <c r="G80" s="52">
        <v>46085</v>
      </c>
      <c r="H80" s="52">
        <v>46086</v>
      </c>
      <c r="I80" s="52" t="s">
        <v>496</v>
      </c>
      <c r="J80" s="52" t="s">
        <v>497</v>
      </c>
      <c r="K80" s="52" t="s">
        <v>34</v>
      </c>
      <c r="L80" s="49">
        <v>1572</v>
      </c>
      <c r="M80" s="49">
        <v>13</v>
      </c>
      <c r="N80" s="49">
        <v>0</v>
      </c>
      <c r="O80" s="53">
        <v>5.82</v>
      </c>
      <c r="P80" s="53">
        <v>0</v>
      </c>
      <c r="Q80" s="53"/>
      <c r="R80" s="54">
        <f t="shared" si="6"/>
        <v>0</v>
      </c>
      <c r="S80" s="55">
        <f t="shared" si="7"/>
        <v>0</v>
      </c>
      <c r="T80" s="55">
        <f t="shared" si="8"/>
        <v>0.00826972010178117</v>
      </c>
      <c r="U80" s="54">
        <f t="shared" si="9"/>
        <v>0.447692307692308</v>
      </c>
      <c r="V80" s="54" t="e">
        <f t="shared" si="10"/>
        <v>#DIV/0!</v>
      </c>
      <c r="W80" s="55" t="e">
        <f t="shared" si="11"/>
        <v>#DIV/0!</v>
      </c>
    </row>
    <row r="81" customFormat="1" ht="22.5" customHeight="1" spans="1:23">
      <c r="A81" s="49" t="s">
        <v>554</v>
      </c>
      <c r="B81" s="49" t="s">
        <v>498</v>
      </c>
      <c r="C81" s="49" t="s">
        <v>376</v>
      </c>
      <c r="D81" s="50">
        <v>177997411142</v>
      </c>
      <c r="E81" s="49" t="s">
        <v>483</v>
      </c>
      <c r="F81" s="51">
        <v>46109</v>
      </c>
      <c r="G81" s="52">
        <v>46108</v>
      </c>
      <c r="H81" s="52">
        <v>46116</v>
      </c>
      <c r="I81" s="52" t="s">
        <v>484</v>
      </c>
      <c r="J81" s="52" t="s">
        <v>489</v>
      </c>
      <c r="K81" s="52" t="s">
        <v>493</v>
      </c>
      <c r="L81" s="49">
        <v>3138</v>
      </c>
      <c r="M81" s="49">
        <v>11</v>
      </c>
      <c r="N81" s="49">
        <v>0</v>
      </c>
      <c r="O81" s="53">
        <v>4.46</v>
      </c>
      <c r="P81" s="53">
        <v>0</v>
      </c>
      <c r="Q81" s="53"/>
      <c r="R81" s="54">
        <f t="shared" si="6"/>
        <v>0</v>
      </c>
      <c r="S81" s="55">
        <f t="shared" si="7"/>
        <v>0</v>
      </c>
      <c r="T81" s="55">
        <f t="shared" si="8"/>
        <v>0.00350541746335245</v>
      </c>
      <c r="U81" s="54">
        <f t="shared" si="9"/>
        <v>0.405454545454545</v>
      </c>
      <c r="V81" s="54" t="e">
        <f t="shared" si="10"/>
        <v>#DIV/0!</v>
      </c>
      <c r="W81" s="55" t="e">
        <f t="shared" si="11"/>
        <v>#DIV/0!</v>
      </c>
    </row>
    <row r="82" customFormat="1" ht="22.5" customHeight="1" spans="1:23">
      <c r="A82" s="49" t="s">
        <v>554</v>
      </c>
      <c r="B82" s="49" t="s">
        <v>537</v>
      </c>
      <c r="C82" s="49" t="s">
        <v>334</v>
      </c>
      <c r="D82" s="50">
        <v>117081148250</v>
      </c>
      <c r="E82" s="49" t="s">
        <v>502</v>
      </c>
      <c r="F82" s="51">
        <v>46099</v>
      </c>
      <c r="G82" s="52">
        <v>46091</v>
      </c>
      <c r="H82" s="52">
        <v>46106</v>
      </c>
      <c r="I82" s="52" t="s">
        <v>484</v>
      </c>
      <c r="J82" s="52" t="s">
        <v>489</v>
      </c>
      <c r="K82" s="52" t="s">
        <v>34</v>
      </c>
      <c r="L82" s="49">
        <v>1621</v>
      </c>
      <c r="M82" s="49">
        <v>9</v>
      </c>
      <c r="N82" s="49">
        <v>0</v>
      </c>
      <c r="O82" s="53">
        <v>2.96</v>
      </c>
      <c r="P82" s="53">
        <v>0</v>
      </c>
      <c r="Q82" s="53"/>
      <c r="R82" s="54">
        <f t="shared" si="6"/>
        <v>0</v>
      </c>
      <c r="S82" s="55">
        <f t="shared" si="7"/>
        <v>0</v>
      </c>
      <c r="T82" s="55">
        <f t="shared" si="8"/>
        <v>0.00555212831585441</v>
      </c>
      <c r="U82" s="54">
        <f t="shared" si="9"/>
        <v>0.328888888888889</v>
      </c>
      <c r="V82" s="54" t="e">
        <f t="shared" si="10"/>
        <v>#DIV/0!</v>
      </c>
      <c r="W82" s="55" t="e">
        <f t="shared" si="11"/>
        <v>#DIV/0!</v>
      </c>
    </row>
    <row r="83" customFormat="1" ht="22.5" customHeight="1" spans="1:23">
      <c r="A83" s="49" t="s">
        <v>554</v>
      </c>
      <c r="B83" s="49" t="s">
        <v>535</v>
      </c>
      <c r="C83" s="49" t="s">
        <v>347</v>
      </c>
      <c r="D83" s="50">
        <v>117085067234</v>
      </c>
      <c r="E83" s="49" t="s">
        <v>502</v>
      </c>
      <c r="F83" s="51">
        <v>46123</v>
      </c>
      <c r="G83" s="52">
        <v>46092</v>
      </c>
      <c r="H83" s="52">
        <v>46096</v>
      </c>
      <c r="I83" s="52" t="s">
        <v>26</v>
      </c>
      <c r="J83" s="52" t="s">
        <v>30</v>
      </c>
      <c r="K83" s="52" t="s">
        <v>34</v>
      </c>
      <c r="L83" s="49">
        <v>321</v>
      </c>
      <c r="M83" s="49">
        <v>9</v>
      </c>
      <c r="N83" s="49">
        <v>0</v>
      </c>
      <c r="O83" s="53">
        <v>5.9</v>
      </c>
      <c r="P83" s="53">
        <v>0</v>
      </c>
      <c r="Q83" s="53"/>
      <c r="R83" s="54">
        <f t="shared" si="6"/>
        <v>0</v>
      </c>
      <c r="S83" s="55">
        <f t="shared" si="7"/>
        <v>0</v>
      </c>
      <c r="T83" s="55">
        <f t="shared" si="8"/>
        <v>0.0280373831775701</v>
      </c>
      <c r="U83" s="54">
        <f t="shared" si="9"/>
        <v>0.655555555555556</v>
      </c>
      <c r="V83" s="54" t="e">
        <f t="shared" si="10"/>
        <v>#DIV/0!</v>
      </c>
      <c r="W83" s="55" t="e">
        <f t="shared" si="11"/>
        <v>#DIV/0!</v>
      </c>
    </row>
    <row r="84" customFormat="1" ht="22.5" customHeight="1" spans="1:23">
      <c r="A84" s="49" t="s">
        <v>554</v>
      </c>
      <c r="B84" s="49" t="s">
        <v>524</v>
      </c>
      <c r="C84" s="49" t="s">
        <v>544</v>
      </c>
      <c r="D84" s="50">
        <v>117042077894</v>
      </c>
      <c r="E84" s="49" t="s">
        <v>502</v>
      </c>
      <c r="F84" s="51">
        <v>46082</v>
      </c>
      <c r="G84" s="52">
        <v>46066</v>
      </c>
      <c r="H84" s="52">
        <v>46084</v>
      </c>
      <c r="I84" s="52" t="s">
        <v>520</v>
      </c>
      <c r="J84" s="52" t="s">
        <v>489</v>
      </c>
      <c r="K84" s="52" t="s">
        <v>34</v>
      </c>
      <c r="L84" s="49">
        <v>1865</v>
      </c>
      <c r="M84" s="49">
        <v>8</v>
      </c>
      <c r="N84" s="49">
        <v>0</v>
      </c>
      <c r="O84" s="53">
        <v>3.66</v>
      </c>
      <c r="P84" s="53">
        <v>0</v>
      </c>
      <c r="Q84" s="53"/>
      <c r="R84" s="54">
        <f t="shared" si="6"/>
        <v>0</v>
      </c>
      <c r="S84" s="55">
        <f t="shared" si="7"/>
        <v>0</v>
      </c>
      <c r="T84" s="55">
        <f t="shared" si="8"/>
        <v>0.00428954423592493</v>
      </c>
      <c r="U84" s="54">
        <f t="shared" si="9"/>
        <v>0.4575</v>
      </c>
      <c r="V84" s="54" t="e">
        <f t="shared" si="10"/>
        <v>#DIV/0!</v>
      </c>
      <c r="W84" s="55" t="e">
        <f t="shared" si="11"/>
        <v>#DIV/0!</v>
      </c>
    </row>
    <row r="85" customFormat="1" ht="22.5" customHeight="1" spans="1:23">
      <c r="A85" s="49" t="s">
        <v>554</v>
      </c>
      <c r="B85" s="49" t="s">
        <v>522</v>
      </c>
      <c r="C85" s="49" t="s">
        <v>523</v>
      </c>
      <c r="D85" s="50">
        <v>117043458011</v>
      </c>
      <c r="E85" s="49" t="s">
        <v>502</v>
      </c>
      <c r="F85" s="51">
        <v>46082</v>
      </c>
      <c r="G85" s="52">
        <v>46066</v>
      </c>
      <c r="H85" s="52">
        <v>46069</v>
      </c>
      <c r="I85" s="52" t="s">
        <v>26</v>
      </c>
      <c r="J85" s="52" t="s">
        <v>497</v>
      </c>
      <c r="K85" s="52" t="s">
        <v>34</v>
      </c>
      <c r="L85" s="49">
        <v>1204</v>
      </c>
      <c r="M85" s="49">
        <v>8</v>
      </c>
      <c r="N85" s="49">
        <v>0</v>
      </c>
      <c r="O85" s="53">
        <v>2.34</v>
      </c>
      <c r="P85" s="53">
        <v>0</v>
      </c>
      <c r="Q85" s="53"/>
      <c r="R85" s="54">
        <f t="shared" si="6"/>
        <v>0</v>
      </c>
      <c r="S85" s="55">
        <f t="shared" si="7"/>
        <v>0</v>
      </c>
      <c r="T85" s="55">
        <f t="shared" si="8"/>
        <v>0.00664451827242525</v>
      </c>
      <c r="U85" s="54">
        <f t="shared" si="9"/>
        <v>0.2925</v>
      </c>
      <c r="V85" s="54" t="e">
        <f t="shared" si="10"/>
        <v>#DIV/0!</v>
      </c>
      <c r="W85" s="55" t="e">
        <f t="shared" si="11"/>
        <v>#DIV/0!</v>
      </c>
    </row>
    <row r="86" customFormat="1" ht="22.5" customHeight="1" spans="1:23">
      <c r="A86" s="49" t="s">
        <v>554</v>
      </c>
      <c r="B86" s="49" t="s">
        <v>529</v>
      </c>
      <c r="C86" s="49" t="s">
        <v>530</v>
      </c>
      <c r="D86" s="50">
        <v>287173607865</v>
      </c>
      <c r="E86" s="49" t="s">
        <v>511</v>
      </c>
      <c r="F86" s="51">
        <v>46087</v>
      </c>
      <c r="G86" s="52">
        <v>46081</v>
      </c>
      <c r="H86" s="52">
        <v>46101</v>
      </c>
      <c r="I86" s="52" t="s">
        <v>503</v>
      </c>
      <c r="J86" s="52" t="s">
        <v>497</v>
      </c>
      <c r="K86" s="52" t="s">
        <v>34</v>
      </c>
      <c r="L86" s="49">
        <v>463</v>
      </c>
      <c r="M86" s="49">
        <v>6</v>
      </c>
      <c r="N86" s="49">
        <v>0</v>
      </c>
      <c r="O86" s="53">
        <v>2.58</v>
      </c>
      <c r="P86" s="53">
        <v>0</v>
      </c>
      <c r="Q86" s="53"/>
      <c r="R86" s="54">
        <f t="shared" si="6"/>
        <v>0</v>
      </c>
      <c r="S86" s="55">
        <f t="shared" si="7"/>
        <v>0</v>
      </c>
      <c r="T86" s="55">
        <f t="shared" si="8"/>
        <v>0.0129589632829374</v>
      </c>
      <c r="U86" s="54">
        <f t="shared" si="9"/>
        <v>0.43</v>
      </c>
      <c r="V86" s="54" t="e">
        <f t="shared" si="10"/>
        <v>#DIV/0!</v>
      </c>
      <c r="W86" s="55" t="e">
        <f t="shared" si="11"/>
        <v>#DIV/0!</v>
      </c>
    </row>
    <row r="87" customFormat="1" ht="22.5" customHeight="1" spans="1:23">
      <c r="A87" s="49" t="s">
        <v>554</v>
      </c>
      <c r="B87" s="49" t="s">
        <v>516</v>
      </c>
      <c r="C87" s="49" t="s">
        <v>517</v>
      </c>
      <c r="D87" s="50">
        <v>117032570263</v>
      </c>
      <c r="E87" s="49" t="s">
        <v>502</v>
      </c>
      <c r="F87" s="51">
        <v>46105</v>
      </c>
      <c r="G87" s="52">
        <v>46062</v>
      </c>
      <c r="H87" s="52">
        <v>46117</v>
      </c>
      <c r="I87" s="52" t="s">
        <v>496</v>
      </c>
      <c r="J87" s="52" t="s">
        <v>518</v>
      </c>
      <c r="K87" s="52" t="s">
        <v>34</v>
      </c>
      <c r="L87" s="49">
        <v>513</v>
      </c>
      <c r="M87" s="49">
        <v>4</v>
      </c>
      <c r="N87" s="49">
        <v>0</v>
      </c>
      <c r="O87" s="53">
        <v>2.58</v>
      </c>
      <c r="P87" s="53">
        <v>0</v>
      </c>
      <c r="Q87" s="53"/>
      <c r="R87" s="54">
        <f t="shared" si="6"/>
        <v>0</v>
      </c>
      <c r="S87" s="55">
        <f t="shared" si="7"/>
        <v>0</v>
      </c>
      <c r="T87" s="55">
        <f t="shared" si="8"/>
        <v>0.00779727095516569</v>
      </c>
      <c r="U87" s="54">
        <f t="shared" si="9"/>
        <v>0.645</v>
      </c>
      <c r="V87" s="54" t="e">
        <f t="shared" si="10"/>
        <v>#DIV/0!</v>
      </c>
      <c r="W87" s="55" t="e">
        <f t="shared" si="11"/>
        <v>#DIV/0!</v>
      </c>
    </row>
    <row r="88" customFormat="1" ht="22.5" customHeight="1" spans="1:23">
      <c r="A88" s="49" t="s">
        <v>554</v>
      </c>
      <c r="B88" s="49" t="s">
        <v>555</v>
      </c>
      <c r="C88" s="49" t="s">
        <v>383</v>
      </c>
      <c r="D88" s="50">
        <v>117115651168</v>
      </c>
      <c r="E88" s="49" t="s">
        <v>502</v>
      </c>
      <c r="F88" s="51">
        <v>46135</v>
      </c>
      <c r="G88" s="52">
        <v>46108</v>
      </c>
      <c r="H88" s="52" t="s">
        <v>149</v>
      </c>
      <c r="I88" s="52" t="s">
        <v>26</v>
      </c>
      <c r="J88" s="52" t="s">
        <v>30</v>
      </c>
      <c r="K88" s="52" t="s">
        <v>493</v>
      </c>
      <c r="L88" s="49">
        <v>1967</v>
      </c>
      <c r="M88" s="49">
        <v>3</v>
      </c>
      <c r="N88" s="49">
        <v>0</v>
      </c>
      <c r="O88" s="53">
        <v>3.69</v>
      </c>
      <c r="P88" s="53">
        <v>0</v>
      </c>
      <c r="Q88" s="53"/>
      <c r="R88" s="54">
        <f t="shared" si="6"/>
        <v>0</v>
      </c>
      <c r="S88" s="55">
        <f t="shared" si="7"/>
        <v>0</v>
      </c>
      <c r="T88" s="55">
        <f t="shared" si="8"/>
        <v>0.00152516522623284</v>
      </c>
      <c r="U88" s="54">
        <f t="shared" si="9"/>
        <v>1.23</v>
      </c>
      <c r="V88" s="54" t="e">
        <f t="shared" si="10"/>
        <v>#DIV/0!</v>
      </c>
      <c r="W88" s="55" t="e">
        <f t="shared" si="11"/>
        <v>#DIV/0!</v>
      </c>
    </row>
    <row r="89" customFormat="1" ht="22.5" customHeight="1" spans="1:23">
      <c r="A89" s="49" t="s">
        <v>554</v>
      </c>
      <c r="B89" s="49" t="s">
        <v>534</v>
      </c>
      <c r="C89" s="49" t="s">
        <v>368</v>
      </c>
      <c r="D89" s="50">
        <v>188197007336</v>
      </c>
      <c r="E89" s="49" t="s">
        <v>483</v>
      </c>
      <c r="F89" s="51">
        <v>46104</v>
      </c>
      <c r="G89" s="52">
        <v>46104</v>
      </c>
      <c r="H89" s="52">
        <v>46134</v>
      </c>
      <c r="I89" s="52" t="s">
        <v>484</v>
      </c>
      <c r="J89" s="52" t="s">
        <v>521</v>
      </c>
      <c r="K89" s="52" t="s">
        <v>34</v>
      </c>
      <c r="L89" s="49">
        <v>778</v>
      </c>
      <c r="M89" s="49">
        <v>3</v>
      </c>
      <c r="N89" s="49">
        <v>0</v>
      </c>
      <c r="O89" s="53">
        <v>2.33</v>
      </c>
      <c r="P89" s="53">
        <v>0</v>
      </c>
      <c r="Q89" s="53"/>
      <c r="R89" s="54">
        <f t="shared" si="6"/>
        <v>0</v>
      </c>
      <c r="S89" s="55">
        <f t="shared" si="7"/>
        <v>0</v>
      </c>
      <c r="T89" s="55">
        <f t="shared" si="8"/>
        <v>0.0038560411311054</v>
      </c>
      <c r="U89" s="54">
        <f t="shared" si="9"/>
        <v>0.776666666666667</v>
      </c>
      <c r="V89" s="54" t="e">
        <f t="shared" si="10"/>
        <v>#DIV/0!</v>
      </c>
      <c r="W89" s="55" t="e">
        <f t="shared" si="11"/>
        <v>#DIV/0!</v>
      </c>
    </row>
    <row r="90" customFormat="1" ht="22.5" customHeight="1" spans="1:23">
      <c r="A90" s="49" t="s">
        <v>554</v>
      </c>
      <c r="B90" s="49" t="s">
        <v>527</v>
      </c>
      <c r="C90" s="49" t="s">
        <v>547</v>
      </c>
      <c r="D90" s="50">
        <v>227228697747</v>
      </c>
      <c r="E90" s="49" t="s">
        <v>488</v>
      </c>
      <c r="F90" s="51">
        <v>46078</v>
      </c>
      <c r="G90" s="52">
        <v>46076</v>
      </c>
      <c r="H90" s="52">
        <v>46082</v>
      </c>
      <c r="I90" s="52" t="s">
        <v>520</v>
      </c>
      <c r="J90" s="52" t="s">
        <v>521</v>
      </c>
      <c r="K90" s="52" t="s">
        <v>34</v>
      </c>
      <c r="L90" s="49">
        <v>722</v>
      </c>
      <c r="M90" s="49">
        <v>3</v>
      </c>
      <c r="N90" s="49">
        <v>0</v>
      </c>
      <c r="O90" s="53">
        <v>2.87</v>
      </c>
      <c r="P90" s="53">
        <v>0</v>
      </c>
      <c r="Q90" s="53"/>
      <c r="R90" s="54">
        <f t="shared" si="6"/>
        <v>0</v>
      </c>
      <c r="S90" s="55">
        <f t="shared" si="7"/>
        <v>0</v>
      </c>
      <c r="T90" s="55">
        <f t="shared" si="8"/>
        <v>0.00415512465373961</v>
      </c>
      <c r="U90" s="54">
        <f t="shared" si="9"/>
        <v>0.956666666666667</v>
      </c>
      <c r="V90" s="54" t="e">
        <f t="shared" si="10"/>
        <v>#DIV/0!</v>
      </c>
      <c r="W90" s="55" t="e">
        <f t="shared" si="11"/>
        <v>#DIV/0!</v>
      </c>
    </row>
    <row r="91" customFormat="1" ht="22.5" customHeight="1" spans="1:23">
      <c r="A91" s="49" t="s">
        <v>554</v>
      </c>
      <c r="B91" s="49" t="s">
        <v>509</v>
      </c>
      <c r="C91" s="49" t="s">
        <v>510</v>
      </c>
      <c r="D91" s="50">
        <v>287151502535</v>
      </c>
      <c r="E91" s="49" t="s">
        <v>511</v>
      </c>
      <c r="F91" s="51">
        <v>46087</v>
      </c>
      <c r="G91" s="52">
        <v>46070</v>
      </c>
      <c r="H91" s="52">
        <v>46086</v>
      </c>
      <c r="I91" s="52" t="s">
        <v>503</v>
      </c>
      <c r="J91" s="52" t="s">
        <v>497</v>
      </c>
      <c r="K91" s="52" t="s">
        <v>34</v>
      </c>
      <c r="L91" s="49">
        <v>1446</v>
      </c>
      <c r="M91" s="49">
        <v>2</v>
      </c>
      <c r="N91" s="49">
        <v>0</v>
      </c>
      <c r="O91" s="53">
        <v>0.59</v>
      </c>
      <c r="P91" s="53">
        <v>0</v>
      </c>
      <c r="Q91" s="53"/>
      <c r="R91" s="54">
        <f t="shared" si="6"/>
        <v>0</v>
      </c>
      <c r="S91" s="55">
        <f t="shared" si="7"/>
        <v>0</v>
      </c>
      <c r="T91" s="55">
        <f t="shared" si="8"/>
        <v>0.00138312586445367</v>
      </c>
      <c r="U91" s="54">
        <f t="shared" si="9"/>
        <v>0.295</v>
      </c>
      <c r="V91" s="54" t="e">
        <f t="shared" si="10"/>
        <v>#DIV/0!</v>
      </c>
      <c r="W91" s="55" t="e">
        <f t="shared" si="11"/>
        <v>#DIV/0!</v>
      </c>
    </row>
    <row r="92" customFormat="1" ht="22.5" customHeight="1" spans="1:23">
      <c r="A92" s="49" t="s">
        <v>554</v>
      </c>
      <c r="B92" s="49" t="s">
        <v>538</v>
      </c>
      <c r="C92" s="49" t="s">
        <v>333</v>
      </c>
      <c r="D92" s="50">
        <v>188139762062</v>
      </c>
      <c r="E92" s="49" t="s">
        <v>483</v>
      </c>
      <c r="F92" s="51">
        <v>46092</v>
      </c>
      <c r="G92" s="52">
        <v>46091</v>
      </c>
      <c r="H92" s="52">
        <v>46101</v>
      </c>
      <c r="I92" s="52" t="s">
        <v>484</v>
      </c>
      <c r="J92" s="52" t="s">
        <v>489</v>
      </c>
      <c r="K92" s="52" t="s">
        <v>34</v>
      </c>
      <c r="L92" s="49">
        <v>1288</v>
      </c>
      <c r="M92" s="49">
        <v>2</v>
      </c>
      <c r="N92" s="49">
        <v>0</v>
      </c>
      <c r="O92" s="53">
        <v>0.71</v>
      </c>
      <c r="P92" s="53">
        <v>0</v>
      </c>
      <c r="Q92" s="53"/>
      <c r="R92" s="54">
        <f t="shared" si="6"/>
        <v>0</v>
      </c>
      <c r="S92" s="55">
        <f t="shared" si="7"/>
        <v>0</v>
      </c>
      <c r="T92" s="55">
        <f t="shared" si="8"/>
        <v>0.0015527950310559</v>
      </c>
      <c r="U92" s="54">
        <f t="shared" si="9"/>
        <v>0.355</v>
      </c>
      <c r="V92" s="54" t="e">
        <f t="shared" si="10"/>
        <v>#DIV/0!</v>
      </c>
      <c r="W92" s="55" t="e">
        <f t="shared" si="11"/>
        <v>#DIV/0!</v>
      </c>
    </row>
    <row r="93" customFormat="1" ht="22.5" customHeight="1" spans="1:23">
      <c r="A93" s="49" t="s">
        <v>554</v>
      </c>
      <c r="B93" s="49" t="s">
        <v>527</v>
      </c>
      <c r="C93" s="49" t="s">
        <v>528</v>
      </c>
      <c r="D93" s="50">
        <v>227228792444</v>
      </c>
      <c r="E93" s="49" t="s">
        <v>488</v>
      </c>
      <c r="F93" s="51">
        <v>46078</v>
      </c>
      <c r="G93" s="52">
        <v>46076</v>
      </c>
      <c r="H93" s="52">
        <v>46084</v>
      </c>
      <c r="I93" s="52" t="s">
        <v>520</v>
      </c>
      <c r="J93" s="52" t="s">
        <v>521</v>
      </c>
      <c r="K93" s="52" t="s">
        <v>493</v>
      </c>
      <c r="L93" s="49">
        <v>1038</v>
      </c>
      <c r="M93" s="49">
        <v>2</v>
      </c>
      <c r="N93" s="49">
        <v>0</v>
      </c>
      <c r="O93" s="53">
        <v>2.12</v>
      </c>
      <c r="P93" s="53">
        <v>0</v>
      </c>
      <c r="Q93" s="53"/>
      <c r="R93" s="54">
        <f t="shared" si="6"/>
        <v>0</v>
      </c>
      <c r="S93" s="55">
        <f t="shared" si="7"/>
        <v>0</v>
      </c>
      <c r="T93" s="55">
        <f t="shared" si="8"/>
        <v>0.00192678227360308</v>
      </c>
      <c r="U93" s="54">
        <f t="shared" si="9"/>
        <v>1.06</v>
      </c>
      <c r="V93" s="54" t="e">
        <f t="shared" si="10"/>
        <v>#DIV/0!</v>
      </c>
      <c r="W93" s="55" t="e">
        <f t="shared" si="11"/>
        <v>#DIV/0!</v>
      </c>
    </row>
    <row r="94" customFormat="1" ht="22.5" customHeight="1" spans="1:23">
      <c r="A94" s="49" t="s">
        <v>554</v>
      </c>
      <c r="B94" s="49" t="s">
        <v>555</v>
      </c>
      <c r="C94" s="49" t="s">
        <v>384</v>
      </c>
      <c r="D94" s="50">
        <v>117115653271</v>
      </c>
      <c r="E94" s="49" t="s">
        <v>502</v>
      </c>
      <c r="F94" s="51">
        <v>46135</v>
      </c>
      <c r="G94" s="52">
        <v>46108</v>
      </c>
      <c r="H94" s="52" t="s">
        <v>149</v>
      </c>
      <c r="I94" s="52" t="s">
        <v>26</v>
      </c>
      <c r="J94" s="52" t="s">
        <v>30</v>
      </c>
      <c r="K94" s="52" t="s">
        <v>493</v>
      </c>
      <c r="L94" s="49">
        <v>1857</v>
      </c>
      <c r="M94" s="49">
        <v>1</v>
      </c>
      <c r="N94" s="49">
        <v>0</v>
      </c>
      <c r="O94" s="53">
        <v>0.76</v>
      </c>
      <c r="P94" s="53">
        <v>0</v>
      </c>
      <c r="Q94" s="53"/>
      <c r="R94" s="54">
        <f t="shared" si="6"/>
        <v>0</v>
      </c>
      <c r="S94" s="55">
        <f t="shared" si="7"/>
        <v>0</v>
      </c>
      <c r="T94" s="55">
        <f t="shared" si="8"/>
        <v>0.00053850296176629</v>
      </c>
      <c r="U94" s="54">
        <f t="shared" si="9"/>
        <v>0.76</v>
      </c>
      <c r="V94" s="54" t="e">
        <f t="shared" si="10"/>
        <v>#DIV/0!</v>
      </c>
      <c r="W94" s="55" t="e">
        <f t="shared" si="11"/>
        <v>#DIV/0!</v>
      </c>
    </row>
    <row r="95" customFormat="1" ht="22.5" customHeight="1" spans="1:23">
      <c r="A95" s="49" t="s">
        <v>554</v>
      </c>
      <c r="B95" s="49" t="s">
        <v>541</v>
      </c>
      <c r="C95" s="49" t="s">
        <v>351</v>
      </c>
      <c r="D95" s="50">
        <v>188167162085</v>
      </c>
      <c r="E95" s="49" t="s">
        <v>483</v>
      </c>
      <c r="F95" s="51">
        <v>46098</v>
      </c>
      <c r="G95" s="52">
        <v>46097</v>
      </c>
      <c r="H95" s="52">
        <v>46103</v>
      </c>
      <c r="I95" s="52" t="s">
        <v>496</v>
      </c>
      <c r="J95" s="52" t="s">
        <v>30</v>
      </c>
      <c r="K95" s="52" t="s">
        <v>34</v>
      </c>
      <c r="L95" s="49">
        <v>1677</v>
      </c>
      <c r="M95" s="49">
        <v>1</v>
      </c>
      <c r="N95" s="49">
        <v>0</v>
      </c>
      <c r="O95" s="53">
        <v>0.44</v>
      </c>
      <c r="P95" s="53">
        <v>0</v>
      </c>
      <c r="Q95" s="53"/>
      <c r="R95" s="54">
        <f t="shared" si="6"/>
        <v>0</v>
      </c>
      <c r="S95" s="55">
        <f t="shared" si="7"/>
        <v>0</v>
      </c>
      <c r="T95" s="55">
        <f t="shared" si="8"/>
        <v>0.000596302921884317</v>
      </c>
      <c r="U95" s="54">
        <f t="shared" si="9"/>
        <v>0.44</v>
      </c>
      <c r="V95" s="54" t="e">
        <f t="shared" si="10"/>
        <v>#DIV/0!</v>
      </c>
      <c r="W95" s="55" t="e">
        <f t="shared" si="11"/>
        <v>#DIV/0!</v>
      </c>
    </row>
    <row r="96" customFormat="1" ht="22.5" customHeight="1" spans="1:23">
      <c r="A96" s="49" t="s">
        <v>554</v>
      </c>
      <c r="B96" s="49" t="s">
        <v>527</v>
      </c>
      <c r="C96" s="49" t="s">
        <v>546</v>
      </c>
      <c r="D96" s="50">
        <v>227228800260</v>
      </c>
      <c r="E96" s="49" t="s">
        <v>488</v>
      </c>
      <c r="F96" s="51">
        <v>46078</v>
      </c>
      <c r="G96" s="52">
        <v>46076</v>
      </c>
      <c r="H96" s="52">
        <v>46096</v>
      </c>
      <c r="I96" s="52" t="s">
        <v>520</v>
      </c>
      <c r="J96" s="52" t="s">
        <v>521</v>
      </c>
      <c r="K96" s="52" t="s">
        <v>493</v>
      </c>
      <c r="L96" s="49">
        <v>1396</v>
      </c>
      <c r="M96" s="49">
        <v>1</v>
      </c>
      <c r="N96" s="49">
        <v>0</v>
      </c>
      <c r="O96" s="53">
        <v>1.13</v>
      </c>
      <c r="P96" s="53">
        <v>0</v>
      </c>
      <c r="Q96" s="53"/>
      <c r="R96" s="54">
        <f t="shared" si="6"/>
        <v>0</v>
      </c>
      <c r="S96" s="55">
        <f t="shared" si="7"/>
        <v>0</v>
      </c>
      <c r="T96" s="55">
        <f t="shared" si="8"/>
        <v>0.000716332378223496</v>
      </c>
      <c r="U96" s="54">
        <f t="shared" si="9"/>
        <v>1.13</v>
      </c>
      <c r="V96" s="54" t="e">
        <f t="shared" si="10"/>
        <v>#DIV/0!</v>
      </c>
      <c r="W96" s="55" t="e">
        <f t="shared" si="11"/>
        <v>#DIV/0!</v>
      </c>
    </row>
    <row r="97" customFormat="1" ht="22.5" customHeight="1" spans="1:23">
      <c r="A97" s="49" t="s">
        <v>554</v>
      </c>
      <c r="B97" s="49" t="s">
        <v>500</v>
      </c>
      <c r="C97" s="49" t="s">
        <v>501</v>
      </c>
      <c r="D97" s="50">
        <v>117053097094</v>
      </c>
      <c r="E97" s="49" t="s">
        <v>502</v>
      </c>
      <c r="F97" s="51">
        <v>46115</v>
      </c>
      <c r="G97" s="52">
        <v>46070</v>
      </c>
      <c r="H97" s="52">
        <v>46073</v>
      </c>
      <c r="I97" s="52" t="s">
        <v>503</v>
      </c>
      <c r="J97" s="52" t="s">
        <v>497</v>
      </c>
      <c r="K97" s="52" t="s">
        <v>34</v>
      </c>
      <c r="L97" s="49">
        <v>1049</v>
      </c>
      <c r="M97" s="49">
        <v>1</v>
      </c>
      <c r="N97" s="49">
        <v>0</v>
      </c>
      <c r="O97" s="53">
        <v>0.46</v>
      </c>
      <c r="P97" s="53">
        <v>0</v>
      </c>
      <c r="Q97" s="53"/>
      <c r="R97" s="54">
        <f t="shared" si="6"/>
        <v>0</v>
      </c>
      <c r="S97" s="55">
        <f t="shared" si="7"/>
        <v>0</v>
      </c>
      <c r="T97" s="55">
        <f t="shared" si="8"/>
        <v>0.000953288846520496</v>
      </c>
      <c r="U97" s="54">
        <f t="shared" si="9"/>
        <v>0.46</v>
      </c>
      <c r="V97" s="54" t="e">
        <f t="shared" si="10"/>
        <v>#DIV/0!</v>
      </c>
      <c r="W97" s="55" t="e">
        <f t="shared" si="11"/>
        <v>#DIV/0!</v>
      </c>
    </row>
    <row r="98" customFormat="1" ht="22.5" customHeight="1" spans="1:23">
      <c r="A98" s="49" t="s">
        <v>554</v>
      </c>
      <c r="B98" s="49" t="s">
        <v>545</v>
      </c>
      <c r="C98" s="49" t="s">
        <v>501</v>
      </c>
      <c r="D98" s="50">
        <v>287151507245</v>
      </c>
      <c r="E98" s="49" t="s">
        <v>511</v>
      </c>
      <c r="F98" s="51">
        <v>46115</v>
      </c>
      <c r="G98" s="52">
        <v>46070</v>
      </c>
      <c r="H98" s="52">
        <v>46073</v>
      </c>
      <c r="I98" s="52" t="s">
        <v>503</v>
      </c>
      <c r="J98" s="52" t="s">
        <v>497</v>
      </c>
      <c r="K98" s="52" t="s">
        <v>34</v>
      </c>
      <c r="L98" s="49">
        <v>853</v>
      </c>
      <c r="M98" s="49">
        <v>1</v>
      </c>
      <c r="N98" s="49">
        <v>0</v>
      </c>
      <c r="O98" s="53">
        <v>0.49</v>
      </c>
      <c r="P98" s="53">
        <v>0</v>
      </c>
      <c r="Q98" s="53"/>
      <c r="R98" s="54">
        <f t="shared" si="6"/>
        <v>0</v>
      </c>
      <c r="S98" s="55">
        <f t="shared" si="7"/>
        <v>0</v>
      </c>
      <c r="T98" s="55">
        <f t="shared" si="8"/>
        <v>0.00117233294255569</v>
      </c>
      <c r="U98" s="54">
        <f t="shared" si="9"/>
        <v>0.49</v>
      </c>
      <c r="V98" s="54" t="e">
        <f t="shared" si="10"/>
        <v>#DIV/0!</v>
      </c>
      <c r="W98" s="55" t="e">
        <f t="shared" si="11"/>
        <v>#DIV/0!</v>
      </c>
    </row>
    <row r="99" customFormat="1" ht="22.5" customHeight="1" spans="1:23">
      <c r="A99" s="49" t="s">
        <v>554</v>
      </c>
      <c r="B99" s="49" t="s">
        <v>556</v>
      </c>
      <c r="C99" s="49" t="s">
        <v>491</v>
      </c>
      <c r="D99" s="50">
        <v>188303032431</v>
      </c>
      <c r="E99" s="49" t="s">
        <v>483</v>
      </c>
      <c r="F99" s="51">
        <v>46134</v>
      </c>
      <c r="G99" s="52">
        <v>46062</v>
      </c>
      <c r="H99" s="52">
        <v>46068</v>
      </c>
      <c r="I99" s="52" t="s">
        <v>484</v>
      </c>
      <c r="J99" s="52" t="s">
        <v>30</v>
      </c>
      <c r="K99" s="52" t="s">
        <v>493</v>
      </c>
      <c r="L99" s="49">
        <v>289</v>
      </c>
      <c r="M99" s="49">
        <v>1</v>
      </c>
      <c r="N99" s="49">
        <v>0</v>
      </c>
      <c r="O99" s="53">
        <v>0.44</v>
      </c>
      <c r="P99" s="53">
        <v>0</v>
      </c>
      <c r="Q99" s="53"/>
      <c r="R99" s="54">
        <f t="shared" si="6"/>
        <v>0</v>
      </c>
      <c r="S99" s="55">
        <f t="shared" si="7"/>
        <v>0</v>
      </c>
      <c r="T99" s="55">
        <f t="shared" si="8"/>
        <v>0.00346020761245675</v>
      </c>
      <c r="U99" s="54">
        <f t="shared" si="9"/>
        <v>0.44</v>
      </c>
      <c r="V99" s="54" t="e">
        <f t="shared" si="10"/>
        <v>#DIV/0!</v>
      </c>
      <c r="W99" s="55" t="e">
        <f t="shared" si="11"/>
        <v>#DIV/0!</v>
      </c>
    </row>
    <row r="100" customFormat="1" ht="22.5" customHeight="1" spans="1:23">
      <c r="A100" s="49" t="s">
        <v>554</v>
      </c>
      <c r="B100" s="49" t="s">
        <v>504</v>
      </c>
      <c r="C100" s="49" t="s">
        <v>340</v>
      </c>
      <c r="D100" s="50">
        <v>177947728049</v>
      </c>
      <c r="E100" s="49" t="s">
        <v>483</v>
      </c>
      <c r="F100" s="51">
        <v>46114</v>
      </c>
      <c r="G100" s="52">
        <v>46092</v>
      </c>
      <c r="H100" s="52">
        <v>46096</v>
      </c>
      <c r="I100" s="52" t="s">
        <v>505</v>
      </c>
      <c r="J100" s="52" t="s">
        <v>489</v>
      </c>
      <c r="K100" s="52" t="s">
        <v>493</v>
      </c>
      <c r="L100" s="49">
        <v>56</v>
      </c>
      <c r="M100" s="49">
        <v>1</v>
      </c>
      <c r="N100" s="49">
        <v>0</v>
      </c>
      <c r="O100" s="53">
        <v>0.39</v>
      </c>
      <c r="P100" s="53">
        <v>0</v>
      </c>
      <c r="Q100" s="53"/>
      <c r="R100" s="54">
        <f t="shared" si="6"/>
        <v>0</v>
      </c>
      <c r="S100" s="55">
        <f t="shared" si="7"/>
        <v>0</v>
      </c>
      <c r="T100" s="55">
        <f t="shared" si="8"/>
        <v>0.0178571428571429</v>
      </c>
      <c r="U100" s="54">
        <f t="shared" si="9"/>
        <v>0.39</v>
      </c>
      <c r="V100" s="54" t="e">
        <f t="shared" si="10"/>
        <v>#DIV/0!</v>
      </c>
      <c r="W100" s="55" t="e">
        <f t="shared" si="11"/>
        <v>#DIV/0!</v>
      </c>
    </row>
    <row r="101" customFormat="1" ht="22.5" customHeight="1" spans="1:23">
      <c r="A101" s="49" t="s">
        <v>554</v>
      </c>
      <c r="B101" s="49" t="s">
        <v>526</v>
      </c>
      <c r="C101" s="49" t="s">
        <v>348</v>
      </c>
      <c r="D101" s="50">
        <v>177951390007</v>
      </c>
      <c r="E101" s="49" t="s">
        <v>483</v>
      </c>
      <c r="F101" s="51">
        <v>46094</v>
      </c>
      <c r="G101" s="52">
        <v>46093</v>
      </c>
      <c r="H101" s="52">
        <v>46100</v>
      </c>
      <c r="I101" s="52" t="s">
        <v>484</v>
      </c>
      <c r="J101" s="52" t="s">
        <v>485</v>
      </c>
      <c r="K101" s="52" t="s">
        <v>34</v>
      </c>
      <c r="L101" s="49">
        <v>44</v>
      </c>
      <c r="M101" s="49">
        <v>1</v>
      </c>
      <c r="N101" s="49">
        <v>0</v>
      </c>
      <c r="O101" s="53">
        <v>0.43</v>
      </c>
      <c r="P101" s="53">
        <v>0</v>
      </c>
      <c r="Q101" s="53"/>
      <c r="R101" s="54">
        <f t="shared" si="6"/>
        <v>0</v>
      </c>
      <c r="S101" s="55">
        <f t="shared" si="7"/>
        <v>0</v>
      </c>
      <c r="T101" s="55">
        <f t="shared" si="8"/>
        <v>0.0227272727272727</v>
      </c>
      <c r="U101" s="54">
        <f t="shared" si="9"/>
        <v>0.43</v>
      </c>
      <c r="V101" s="54" t="e">
        <f t="shared" si="10"/>
        <v>#DIV/0!</v>
      </c>
      <c r="W101" s="55" t="e">
        <f t="shared" si="11"/>
        <v>#DIV/0!</v>
      </c>
    </row>
    <row r="102" customFormat="1" ht="22.5" customHeight="1" spans="1:23">
      <c r="A102" s="49" t="s">
        <v>554</v>
      </c>
      <c r="B102" s="49" t="s">
        <v>551</v>
      </c>
      <c r="C102" s="49" t="s">
        <v>374</v>
      </c>
      <c r="D102" s="50">
        <v>117109033287</v>
      </c>
      <c r="E102" s="49" t="s">
        <v>502</v>
      </c>
      <c r="F102" s="51">
        <v>46120</v>
      </c>
      <c r="G102" s="52">
        <v>46105</v>
      </c>
      <c r="H102" s="52">
        <v>46125</v>
      </c>
      <c r="I102" s="52" t="s">
        <v>26</v>
      </c>
      <c r="J102" s="52" t="s">
        <v>518</v>
      </c>
      <c r="K102" s="52" t="s">
        <v>34</v>
      </c>
      <c r="L102" s="49">
        <v>43</v>
      </c>
      <c r="M102" s="49">
        <v>1</v>
      </c>
      <c r="N102" s="49">
        <v>0</v>
      </c>
      <c r="O102" s="53">
        <v>0.09</v>
      </c>
      <c r="P102" s="53">
        <v>0</v>
      </c>
      <c r="Q102" s="53"/>
      <c r="R102" s="54">
        <f t="shared" si="6"/>
        <v>0</v>
      </c>
      <c r="S102" s="55">
        <f t="shared" si="7"/>
        <v>0</v>
      </c>
      <c r="T102" s="55">
        <f t="shared" si="8"/>
        <v>0.0232558139534884</v>
      </c>
      <c r="U102" s="54">
        <f t="shared" si="9"/>
        <v>0.09</v>
      </c>
      <c r="V102" s="54" t="e">
        <f t="shared" si="10"/>
        <v>#DIV/0!</v>
      </c>
      <c r="W102" s="55" t="e">
        <f t="shared" si="11"/>
        <v>#DIV/0!</v>
      </c>
    </row>
    <row r="103" customFormat="1" ht="22.5" customHeight="1" spans="1:23">
      <c r="A103" s="49" t="s">
        <v>554</v>
      </c>
      <c r="B103" s="49" t="s">
        <v>519</v>
      </c>
      <c r="C103" s="49" t="s">
        <v>356</v>
      </c>
      <c r="D103" s="50">
        <v>177965595242</v>
      </c>
      <c r="E103" s="49" t="s">
        <v>483</v>
      </c>
      <c r="F103" s="51">
        <v>46100</v>
      </c>
      <c r="G103" s="52">
        <v>46097</v>
      </c>
      <c r="H103" s="52">
        <v>46100</v>
      </c>
      <c r="I103" s="52" t="s">
        <v>520</v>
      </c>
      <c r="J103" s="52" t="s">
        <v>521</v>
      </c>
      <c r="K103" s="52" t="s">
        <v>34</v>
      </c>
      <c r="L103" s="49">
        <v>32</v>
      </c>
      <c r="M103" s="49">
        <v>1</v>
      </c>
      <c r="N103" s="49">
        <v>0</v>
      </c>
      <c r="O103" s="53">
        <v>0.8</v>
      </c>
      <c r="P103" s="53">
        <v>0</v>
      </c>
      <c r="Q103" s="53"/>
      <c r="R103" s="54">
        <f t="shared" si="6"/>
        <v>0</v>
      </c>
      <c r="S103" s="55">
        <f t="shared" si="7"/>
        <v>0</v>
      </c>
      <c r="T103" s="55">
        <f t="shared" si="8"/>
        <v>0.03125</v>
      </c>
      <c r="U103" s="54">
        <f t="shared" si="9"/>
        <v>0.8</v>
      </c>
      <c r="V103" s="54" t="e">
        <f t="shared" si="10"/>
        <v>#DIV/0!</v>
      </c>
      <c r="W103" s="55" t="e">
        <f t="shared" si="11"/>
        <v>#DIV/0!</v>
      </c>
    </row>
    <row r="104" customFormat="1" ht="22.5" customHeight="1" spans="1:23">
      <c r="A104" s="49" t="s">
        <v>554</v>
      </c>
      <c r="B104" s="49" t="s">
        <v>539</v>
      </c>
      <c r="C104" s="49" t="s">
        <v>340</v>
      </c>
      <c r="D104" s="50">
        <v>117083102708</v>
      </c>
      <c r="E104" s="49" t="s">
        <v>502</v>
      </c>
      <c r="F104" s="51">
        <v>46121</v>
      </c>
      <c r="G104" s="52">
        <v>46092</v>
      </c>
      <c r="H104" s="52">
        <v>46096</v>
      </c>
      <c r="I104" s="52" t="s">
        <v>505</v>
      </c>
      <c r="J104" s="52" t="s">
        <v>489</v>
      </c>
      <c r="K104" s="52" t="s">
        <v>493</v>
      </c>
      <c r="L104" s="49">
        <v>1249</v>
      </c>
      <c r="M104" s="49">
        <v>0</v>
      </c>
      <c r="N104" s="49">
        <v>0</v>
      </c>
      <c r="O104" s="53">
        <v>0</v>
      </c>
      <c r="P104" s="53">
        <v>0</v>
      </c>
      <c r="Q104" s="53"/>
      <c r="R104" s="54" t="e">
        <f t="shared" si="6"/>
        <v>#DIV/0!</v>
      </c>
      <c r="S104" s="55" t="e">
        <f t="shared" si="7"/>
        <v>#DIV/0!</v>
      </c>
      <c r="T104" s="55">
        <f t="shared" si="8"/>
        <v>0</v>
      </c>
      <c r="U104" s="54" t="e">
        <f t="shared" si="9"/>
        <v>#DIV/0!</v>
      </c>
      <c r="V104" s="54" t="e">
        <f t="shared" si="10"/>
        <v>#DIV/0!</v>
      </c>
      <c r="W104" s="55" t="e">
        <f t="shared" si="11"/>
        <v>#DIV/0!</v>
      </c>
    </row>
    <row r="105" customFormat="1" ht="22.5" customHeight="1" spans="1:23">
      <c r="A105" s="49" t="s">
        <v>554</v>
      </c>
      <c r="B105" s="49" t="s">
        <v>539</v>
      </c>
      <c r="C105" s="49" t="s">
        <v>341</v>
      </c>
      <c r="D105" s="50">
        <v>117083115196</v>
      </c>
      <c r="E105" s="49" t="s">
        <v>502</v>
      </c>
      <c r="F105" s="51">
        <v>46121</v>
      </c>
      <c r="G105" s="52">
        <v>46092</v>
      </c>
      <c r="H105" s="52">
        <v>46112</v>
      </c>
      <c r="I105" s="52" t="s">
        <v>505</v>
      </c>
      <c r="J105" s="52" t="s">
        <v>489</v>
      </c>
      <c r="K105" s="52" t="s">
        <v>493</v>
      </c>
      <c r="L105" s="49">
        <v>762</v>
      </c>
      <c r="M105" s="49">
        <v>0</v>
      </c>
      <c r="N105" s="49">
        <v>0</v>
      </c>
      <c r="O105" s="53">
        <v>0</v>
      </c>
      <c r="P105" s="53">
        <v>0</v>
      </c>
      <c r="Q105" s="53"/>
      <c r="R105" s="54" t="e">
        <f t="shared" si="6"/>
        <v>#DIV/0!</v>
      </c>
      <c r="S105" s="55" t="e">
        <f t="shared" si="7"/>
        <v>#DIV/0!</v>
      </c>
      <c r="T105" s="55">
        <f t="shared" si="8"/>
        <v>0</v>
      </c>
      <c r="U105" s="54" t="e">
        <f t="shared" si="9"/>
        <v>#DIV/0!</v>
      </c>
      <c r="V105" s="54" t="e">
        <f t="shared" si="10"/>
        <v>#DIV/0!</v>
      </c>
      <c r="W105" s="55" t="e">
        <f t="shared" si="11"/>
        <v>#DIV/0!</v>
      </c>
    </row>
    <row r="106" customFormat="1" ht="22.5" customHeight="1" spans="1:23">
      <c r="A106" s="49" t="s">
        <v>554</v>
      </c>
      <c r="B106" s="49" t="s">
        <v>548</v>
      </c>
      <c r="C106" s="49" t="s">
        <v>510</v>
      </c>
      <c r="D106" s="50">
        <v>117053094251</v>
      </c>
      <c r="E106" s="49" t="s">
        <v>502</v>
      </c>
      <c r="F106" s="51">
        <v>46087</v>
      </c>
      <c r="G106" s="52">
        <v>46070</v>
      </c>
      <c r="H106" s="52">
        <v>46086</v>
      </c>
      <c r="I106" s="52" t="s">
        <v>503</v>
      </c>
      <c r="J106" s="52" t="s">
        <v>497</v>
      </c>
      <c r="K106" s="52" t="s">
        <v>34</v>
      </c>
      <c r="L106" s="49">
        <v>246</v>
      </c>
      <c r="M106" s="49">
        <v>0</v>
      </c>
      <c r="N106" s="49">
        <v>0</v>
      </c>
      <c r="O106" s="53">
        <v>0</v>
      </c>
      <c r="P106" s="53">
        <v>0</v>
      </c>
      <c r="Q106" s="53"/>
      <c r="R106" s="54" t="e">
        <f t="shared" si="6"/>
        <v>#DIV/0!</v>
      </c>
      <c r="S106" s="55" t="e">
        <f t="shared" si="7"/>
        <v>#DIV/0!</v>
      </c>
      <c r="T106" s="55">
        <f t="shared" si="8"/>
        <v>0</v>
      </c>
      <c r="U106" s="54" t="e">
        <f t="shared" si="9"/>
        <v>#DIV/0!</v>
      </c>
      <c r="V106" s="54" t="e">
        <f t="shared" si="10"/>
        <v>#DIV/0!</v>
      </c>
      <c r="W106" s="55" t="e">
        <f t="shared" si="11"/>
        <v>#DIV/0!</v>
      </c>
    </row>
    <row r="107" customFormat="1" ht="22.5" customHeight="1" spans="1:23">
      <c r="A107" s="49" t="s">
        <v>554</v>
      </c>
      <c r="B107" s="49" t="s">
        <v>504</v>
      </c>
      <c r="C107" s="49" t="s">
        <v>341</v>
      </c>
      <c r="D107" s="50">
        <v>188144166107</v>
      </c>
      <c r="E107" s="49" t="s">
        <v>483</v>
      </c>
      <c r="F107" s="51">
        <v>46114</v>
      </c>
      <c r="G107" s="52">
        <v>46092</v>
      </c>
      <c r="H107" s="52">
        <v>46112</v>
      </c>
      <c r="I107" s="52" t="s">
        <v>505</v>
      </c>
      <c r="J107" s="52" t="s">
        <v>489</v>
      </c>
      <c r="K107" s="52" t="s">
        <v>493</v>
      </c>
      <c r="L107" s="49">
        <v>88</v>
      </c>
      <c r="M107" s="49">
        <v>0</v>
      </c>
      <c r="N107" s="49">
        <v>0</v>
      </c>
      <c r="O107" s="53">
        <v>0</v>
      </c>
      <c r="P107" s="53">
        <v>0</v>
      </c>
      <c r="Q107" s="53"/>
      <c r="R107" s="54" t="e">
        <f t="shared" si="6"/>
        <v>#DIV/0!</v>
      </c>
      <c r="S107" s="55" t="e">
        <f t="shared" si="7"/>
        <v>#DIV/0!</v>
      </c>
      <c r="T107" s="55">
        <f t="shared" si="8"/>
        <v>0</v>
      </c>
      <c r="U107" s="54" t="e">
        <f t="shared" si="9"/>
        <v>#DIV/0!</v>
      </c>
      <c r="V107" s="54" t="e">
        <f t="shared" si="10"/>
        <v>#DIV/0!</v>
      </c>
      <c r="W107" s="55" t="e">
        <f t="shared" si="11"/>
        <v>#DIV/0!</v>
      </c>
    </row>
    <row r="108" customFormat="1" ht="22.5" customHeight="1" spans="1:23">
      <c r="A108" s="49" t="s">
        <v>554</v>
      </c>
      <c r="B108" s="49" t="s">
        <v>550</v>
      </c>
      <c r="C108" s="49" t="s">
        <v>375</v>
      </c>
      <c r="D108" s="50">
        <v>117109082220</v>
      </c>
      <c r="E108" s="49" t="s">
        <v>502</v>
      </c>
      <c r="F108" s="51">
        <v>46120</v>
      </c>
      <c r="G108" s="52">
        <v>46105</v>
      </c>
      <c r="H108" s="52">
        <v>46125</v>
      </c>
      <c r="I108" s="52" t="s">
        <v>26</v>
      </c>
      <c r="J108" s="52" t="s">
        <v>518</v>
      </c>
      <c r="K108" s="52" t="s">
        <v>34</v>
      </c>
      <c r="L108" s="49">
        <v>46</v>
      </c>
      <c r="M108" s="49">
        <v>0</v>
      </c>
      <c r="N108" s="49">
        <v>0</v>
      </c>
      <c r="O108" s="53">
        <v>0</v>
      </c>
      <c r="P108" s="53">
        <v>0</v>
      </c>
      <c r="Q108" s="53"/>
      <c r="R108" s="54" t="e">
        <f t="shared" si="6"/>
        <v>#DIV/0!</v>
      </c>
      <c r="S108" s="55" t="e">
        <f t="shared" si="7"/>
        <v>#DIV/0!</v>
      </c>
      <c r="T108" s="55">
        <f t="shared" si="8"/>
        <v>0</v>
      </c>
      <c r="U108" s="54" t="e">
        <f t="shared" si="9"/>
        <v>#DIV/0!</v>
      </c>
      <c r="V108" s="54" t="e">
        <f t="shared" si="10"/>
        <v>#DIV/0!</v>
      </c>
      <c r="W108" s="55" t="e">
        <f t="shared" si="11"/>
        <v>#DIV/0!</v>
      </c>
    </row>
    <row r="109" customFormat="1" ht="22.5" customHeight="1" spans="1:23">
      <c r="A109" s="49" t="s">
        <v>554</v>
      </c>
      <c r="B109" s="49" t="s">
        <v>553</v>
      </c>
      <c r="C109" s="49" t="s">
        <v>318</v>
      </c>
      <c r="D109" s="50">
        <v>117072676887</v>
      </c>
      <c r="E109" s="49" t="s">
        <v>502</v>
      </c>
      <c r="F109" s="51">
        <v>46099</v>
      </c>
      <c r="G109" s="52">
        <v>46085</v>
      </c>
      <c r="H109" s="52">
        <v>46089</v>
      </c>
      <c r="I109" s="52" t="s">
        <v>496</v>
      </c>
      <c r="J109" s="52" t="s">
        <v>497</v>
      </c>
      <c r="K109" s="52" t="s">
        <v>34</v>
      </c>
      <c r="L109" s="49">
        <v>0</v>
      </c>
      <c r="M109" s="49">
        <v>0</v>
      </c>
      <c r="N109" s="49">
        <v>0</v>
      </c>
      <c r="O109" s="53">
        <v>0</v>
      </c>
      <c r="P109" s="53">
        <v>0</v>
      </c>
      <c r="Q109" s="53"/>
      <c r="R109" s="54" t="e">
        <f t="shared" si="6"/>
        <v>#DIV/0!</v>
      </c>
      <c r="S109" s="55" t="e">
        <f t="shared" si="7"/>
        <v>#DIV/0!</v>
      </c>
      <c r="T109" s="55" t="e">
        <f t="shared" si="8"/>
        <v>#DIV/0!</v>
      </c>
      <c r="U109" s="54" t="e">
        <f t="shared" si="9"/>
        <v>#DIV/0!</v>
      </c>
      <c r="V109" s="54" t="e">
        <f t="shared" si="10"/>
        <v>#DIV/0!</v>
      </c>
      <c r="W109" s="55" t="e">
        <f t="shared" si="11"/>
        <v>#DIV/0!</v>
      </c>
    </row>
    <row r="110" customFormat="1" ht="22.5" customHeight="1" spans="1:23">
      <c r="A110" s="49" t="s">
        <v>554</v>
      </c>
      <c r="B110" s="49" t="s">
        <v>555</v>
      </c>
      <c r="C110" s="49" t="s">
        <v>367</v>
      </c>
      <c r="D110" s="50">
        <v>117105226831</v>
      </c>
      <c r="E110" s="49" t="s">
        <v>502</v>
      </c>
      <c r="F110" s="51">
        <v>46135</v>
      </c>
      <c r="G110" s="52">
        <v>46104</v>
      </c>
      <c r="H110" s="52" t="s">
        <v>149</v>
      </c>
      <c r="I110" s="52" t="s">
        <v>496</v>
      </c>
      <c r="J110" s="52" t="s">
        <v>30</v>
      </c>
      <c r="K110" s="52" t="s">
        <v>34</v>
      </c>
      <c r="L110" s="49">
        <v>0</v>
      </c>
      <c r="M110" s="49">
        <v>0</v>
      </c>
      <c r="N110" s="49">
        <v>0</v>
      </c>
      <c r="O110" s="53">
        <v>0</v>
      </c>
      <c r="P110" s="53">
        <v>0</v>
      </c>
      <c r="Q110" s="53"/>
      <c r="R110" s="54" t="e">
        <f t="shared" si="6"/>
        <v>#DIV/0!</v>
      </c>
      <c r="S110" s="55" t="e">
        <f t="shared" si="7"/>
        <v>#DIV/0!</v>
      </c>
      <c r="T110" s="55" t="e">
        <f t="shared" si="8"/>
        <v>#DIV/0!</v>
      </c>
      <c r="U110" s="54" t="e">
        <f t="shared" si="9"/>
        <v>#DIV/0!</v>
      </c>
      <c r="V110" s="54" t="e">
        <f t="shared" si="10"/>
        <v>#DIV/0!</v>
      </c>
      <c r="W110" s="55" t="e">
        <f t="shared" si="11"/>
        <v>#DIV/0!</v>
      </c>
    </row>
    <row r="111" customFormat="1" ht="22.5" customHeight="1" spans="1:23">
      <c r="A111" s="49" t="s">
        <v>554</v>
      </c>
      <c r="B111" s="49" t="s">
        <v>557</v>
      </c>
      <c r="C111" s="49" t="s">
        <v>388</v>
      </c>
      <c r="D111" s="50">
        <v>178071423591</v>
      </c>
      <c r="E111" s="49" t="s">
        <v>483</v>
      </c>
      <c r="F111" s="51">
        <v>46136</v>
      </c>
      <c r="G111" s="52">
        <v>46135</v>
      </c>
      <c r="H111" s="52" t="s">
        <v>149</v>
      </c>
      <c r="I111" s="52" t="s">
        <v>484</v>
      </c>
      <c r="J111" s="52" t="s">
        <v>558</v>
      </c>
      <c r="K111" s="52" t="s">
        <v>34</v>
      </c>
      <c r="L111" s="49">
        <v>0</v>
      </c>
      <c r="M111" s="49">
        <v>0</v>
      </c>
      <c r="N111" s="49">
        <v>0</v>
      </c>
      <c r="O111" s="53">
        <v>0</v>
      </c>
      <c r="P111" s="53">
        <v>0</v>
      </c>
      <c r="Q111" s="53"/>
      <c r="R111" s="54" t="e">
        <f t="shared" si="6"/>
        <v>#DIV/0!</v>
      </c>
      <c r="S111" s="55" t="e">
        <f t="shared" si="7"/>
        <v>#DIV/0!</v>
      </c>
      <c r="T111" s="55" t="e">
        <f t="shared" si="8"/>
        <v>#DIV/0!</v>
      </c>
      <c r="U111" s="54" t="e">
        <f t="shared" si="9"/>
        <v>#DIV/0!</v>
      </c>
      <c r="V111" s="54" t="e">
        <f t="shared" si="10"/>
        <v>#DIV/0!</v>
      </c>
      <c r="W111" s="55" t="e">
        <f t="shared" si="11"/>
        <v>#DIV/0!</v>
      </c>
    </row>
    <row r="112" customFormat="1" ht="22.5" customHeight="1" spans="1:23">
      <c r="A112" s="49" t="s">
        <v>554</v>
      </c>
      <c r="B112" s="49" t="s">
        <v>75</v>
      </c>
      <c r="C112" s="49" t="s">
        <v>78</v>
      </c>
      <c r="D112" s="50">
        <v>188307728772</v>
      </c>
      <c r="E112" s="49" t="s">
        <v>483</v>
      </c>
      <c r="F112" s="51">
        <v>46136</v>
      </c>
      <c r="G112" s="52">
        <v>46135</v>
      </c>
      <c r="H112" s="52" t="s">
        <v>149</v>
      </c>
      <c r="I112" s="52" t="s">
        <v>26</v>
      </c>
      <c r="J112" s="52" t="s">
        <v>558</v>
      </c>
      <c r="K112" s="52" t="s">
        <v>34</v>
      </c>
      <c r="L112" s="49">
        <v>0</v>
      </c>
      <c r="M112" s="49">
        <v>0</v>
      </c>
      <c r="N112" s="49">
        <v>0</v>
      </c>
      <c r="O112" s="53">
        <v>0</v>
      </c>
      <c r="P112" s="53">
        <v>0</v>
      </c>
      <c r="Q112" s="53"/>
      <c r="R112" s="54" t="e">
        <f t="shared" si="6"/>
        <v>#DIV/0!</v>
      </c>
      <c r="S112" s="55" t="e">
        <f t="shared" si="7"/>
        <v>#DIV/0!</v>
      </c>
      <c r="T112" s="55" t="e">
        <f t="shared" si="8"/>
        <v>#DIV/0!</v>
      </c>
      <c r="U112" s="54" t="e">
        <f t="shared" si="9"/>
        <v>#DIV/0!</v>
      </c>
      <c r="V112" s="54" t="e">
        <f t="shared" si="10"/>
        <v>#DIV/0!</v>
      </c>
      <c r="W112" s="55" t="e">
        <f t="shared" si="11"/>
        <v>#DIV/0!</v>
      </c>
    </row>
    <row r="113" customFormat="1" ht="22.5" customHeight="1" spans="1:23">
      <c r="A113" s="49" t="s">
        <v>554</v>
      </c>
      <c r="B113" s="49" t="s">
        <v>559</v>
      </c>
      <c r="C113" s="49" t="s">
        <v>389</v>
      </c>
      <c r="D113" s="50">
        <v>188306721459</v>
      </c>
      <c r="E113" s="49" t="s">
        <v>483</v>
      </c>
      <c r="F113" s="51">
        <v>46136</v>
      </c>
      <c r="G113" s="52">
        <v>46135</v>
      </c>
      <c r="H113" s="52" t="s">
        <v>149</v>
      </c>
      <c r="I113" s="52" t="s">
        <v>520</v>
      </c>
      <c r="J113" s="52" t="s">
        <v>558</v>
      </c>
      <c r="K113" s="52" t="s">
        <v>34</v>
      </c>
      <c r="L113" s="49">
        <v>0</v>
      </c>
      <c r="M113" s="49">
        <v>0</v>
      </c>
      <c r="N113" s="49">
        <v>0</v>
      </c>
      <c r="O113" s="53">
        <v>0</v>
      </c>
      <c r="P113" s="53">
        <v>0</v>
      </c>
      <c r="Q113" s="53"/>
      <c r="R113" s="54" t="e">
        <f t="shared" si="6"/>
        <v>#DIV/0!</v>
      </c>
      <c r="S113" s="55" t="e">
        <f t="shared" si="7"/>
        <v>#DIV/0!</v>
      </c>
      <c r="T113" s="55" t="e">
        <f t="shared" si="8"/>
        <v>#DIV/0!</v>
      </c>
      <c r="U113" s="54" t="e">
        <f t="shared" si="9"/>
        <v>#DIV/0!</v>
      </c>
      <c r="V113" s="54" t="e">
        <f t="shared" si="10"/>
        <v>#DIV/0!</v>
      </c>
      <c r="W113" s="55" t="e">
        <f t="shared" si="11"/>
        <v>#DIV/0!</v>
      </c>
    </row>
    <row r="114" customFormat="1" ht="22.5" customHeight="1" spans="1:23">
      <c r="A114" s="49" t="s">
        <v>554</v>
      </c>
      <c r="B114" s="49" t="s">
        <v>560</v>
      </c>
      <c r="C114" s="49" t="s">
        <v>391</v>
      </c>
      <c r="D114" s="50">
        <v>178072239367</v>
      </c>
      <c r="E114" s="49" t="s">
        <v>483</v>
      </c>
      <c r="F114" s="51">
        <v>46137</v>
      </c>
      <c r="G114" s="52">
        <v>46135</v>
      </c>
      <c r="H114" s="52" t="s">
        <v>149</v>
      </c>
      <c r="I114" s="52" t="s">
        <v>496</v>
      </c>
      <c r="J114" s="52" t="s">
        <v>558</v>
      </c>
      <c r="K114" s="52" t="s">
        <v>34</v>
      </c>
      <c r="L114" s="49">
        <v>0</v>
      </c>
      <c r="M114" s="49">
        <v>0</v>
      </c>
      <c r="N114" s="49">
        <v>0</v>
      </c>
      <c r="O114" s="53">
        <v>0</v>
      </c>
      <c r="P114" s="53">
        <v>0</v>
      </c>
      <c r="Q114" s="53"/>
      <c r="R114" s="54" t="e">
        <f t="shared" si="6"/>
        <v>#DIV/0!</v>
      </c>
      <c r="S114" s="55" t="e">
        <f t="shared" si="7"/>
        <v>#DIV/0!</v>
      </c>
      <c r="T114" s="55" t="e">
        <f t="shared" si="8"/>
        <v>#DIV/0!</v>
      </c>
      <c r="U114" s="54" t="e">
        <f t="shared" si="9"/>
        <v>#DIV/0!</v>
      </c>
      <c r="V114" s="54" t="e">
        <f t="shared" si="10"/>
        <v>#DIV/0!</v>
      </c>
      <c r="W114" s="55" t="e">
        <f t="shared" si="11"/>
        <v>#DIV/0!</v>
      </c>
    </row>
    <row r="115" customFormat="1" ht="22.5" customHeight="1" spans="1:23">
      <c r="A115" s="49" t="s">
        <v>554</v>
      </c>
      <c r="B115" s="49" t="s">
        <v>561</v>
      </c>
      <c r="C115" s="49" t="s">
        <v>392</v>
      </c>
      <c r="D115" s="50">
        <v>188307740950</v>
      </c>
      <c r="E115" s="49" t="s">
        <v>483</v>
      </c>
      <c r="F115" s="51">
        <v>46137</v>
      </c>
      <c r="G115" s="52">
        <v>46135</v>
      </c>
      <c r="H115" s="52" t="s">
        <v>149</v>
      </c>
      <c r="I115" s="52" t="s">
        <v>496</v>
      </c>
      <c r="J115" s="52" t="s">
        <v>558</v>
      </c>
      <c r="K115" s="52" t="s">
        <v>34</v>
      </c>
      <c r="L115" s="49">
        <v>0</v>
      </c>
      <c r="M115" s="49">
        <v>0</v>
      </c>
      <c r="N115" s="49">
        <v>0</v>
      </c>
      <c r="O115" s="53">
        <v>0</v>
      </c>
      <c r="P115" s="53">
        <v>0</v>
      </c>
      <c r="Q115" s="53"/>
      <c r="R115" s="54" t="e">
        <f t="shared" si="6"/>
        <v>#DIV/0!</v>
      </c>
      <c r="S115" s="55" t="e">
        <f t="shared" si="7"/>
        <v>#DIV/0!</v>
      </c>
      <c r="T115" s="55" t="e">
        <f t="shared" si="8"/>
        <v>#DIV/0!</v>
      </c>
      <c r="U115" s="54" t="e">
        <f t="shared" si="9"/>
        <v>#DIV/0!</v>
      </c>
      <c r="V115" s="54" t="e">
        <f t="shared" si="10"/>
        <v>#DIV/0!</v>
      </c>
      <c r="W115" s="55" t="e">
        <f t="shared" si="11"/>
        <v>#DIV/0!</v>
      </c>
    </row>
    <row r="116" customFormat="1" ht="22.5" customHeight="1" spans="1:23">
      <c r="A116" s="49" t="s">
        <v>554</v>
      </c>
      <c r="B116" s="49" t="s">
        <v>562</v>
      </c>
      <c r="C116" s="49" t="s">
        <v>393</v>
      </c>
      <c r="D116" s="50">
        <v>188307744865</v>
      </c>
      <c r="E116" s="49" t="s">
        <v>483</v>
      </c>
      <c r="F116" s="51">
        <v>46137</v>
      </c>
      <c r="G116" s="52">
        <v>46135</v>
      </c>
      <c r="H116" s="52" t="s">
        <v>149</v>
      </c>
      <c r="I116" s="52" t="s">
        <v>496</v>
      </c>
      <c r="J116" s="52" t="s">
        <v>558</v>
      </c>
      <c r="K116" s="52" t="s">
        <v>34</v>
      </c>
      <c r="L116" s="49">
        <v>0</v>
      </c>
      <c r="M116" s="49">
        <v>0</v>
      </c>
      <c r="N116" s="49">
        <v>0</v>
      </c>
      <c r="O116" s="53">
        <v>0</v>
      </c>
      <c r="P116" s="53">
        <v>0</v>
      </c>
      <c r="Q116" s="53"/>
      <c r="R116" s="54" t="e">
        <f t="shared" si="6"/>
        <v>#DIV/0!</v>
      </c>
      <c r="S116" s="55" t="e">
        <f t="shared" si="7"/>
        <v>#DIV/0!</v>
      </c>
      <c r="T116" s="55" t="e">
        <f t="shared" si="8"/>
        <v>#DIV/0!</v>
      </c>
      <c r="U116" s="54" t="e">
        <f t="shared" si="9"/>
        <v>#DIV/0!</v>
      </c>
      <c r="V116" s="54" t="e">
        <f t="shared" si="10"/>
        <v>#DIV/0!</v>
      </c>
      <c r="W116" s="55" t="e">
        <f t="shared" si="11"/>
        <v>#DIV/0!</v>
      </c>
    </row>
    <row r="117" customFormat="1" ht="22.5" customHeight="1" spans="1:23">
      <c r="A117" s="49" t="s">
        <v>554</v>
      </c>
      <c r="B117" s="49" t="s">
        <v>552</v>
      </c>
      <c r="C117" s="49" t="s">
        <v>312</v>
      </c>
      <c r="D117" s="50">
        <v>227241156524</v>
      </c>
      <c r="E117" s="49" t="s">
        <v>488</v>
      </c>
      <c r="F117" s="51">
        <v>46087</v>
      </c>
      <c r="G117" s="52">
        <v>46085</v>
      </c>
      <c r="H117" s="52">
        <v>46089</v>
      </c>
      <c r="I117" s="52" t="s">
        <v>496</v>
      </c>
      <c r="J117" s="52" t="s">
        <v>30</v>
      </c>
      <c r="K117" s="52" t="s">
        <v>34</v>
      </c>
      <c r="L117" s="49">
        <v>0</v>
      </c>
      <c r="M117" s="49">
        <v>0</v>
      </c>
      <c r="N117" s="49">
        <v>0</v>
      </c>
      <c r="O117" s="53">
        <v>0</v>
      </c>
      <c r="P117" s="53">
        <v>0</v>
      </c>
      <c r="Q117" s="53"/>
      <c r="R117" s="54" t="e">
        <f t="shared" si="6"/>
        <v>#DIV/0!</v>
      </c>
      <c r="S117" s="55" t="e">
        <f t="shared" si="7"/>
        <v>#DIV/0!</v>
      </c>
      <c r="T117" s="55" t="e">
        <f t="shared" si="8"/>
        <v>#DIV/0!</v>
      </c>
      <c r="U117" s="54" t="e">
        <f t="shared" si="9"/>
        <v>#DIV/0!</v>
      </c>
      <c r="V117" s="54" t="e">
        <f t="shared" si="10"/>
        <v>#DIV/0!</v>
      </c>
      <c r="W117" s="55" t="e">
        <f t="shared" si="11"/>
        <v>#DIV/0!</v>
      </c>
    </row>
    <row r="118" customFormat="1" ht="22.5" customHeight="1" spans="1:23">
      <c r="A118" s="49" t="s">
        <v>554</v>
      </c>
      <c r="B118" s="49" t="s">
        <v>552</v>
      </c>
      <c r="C118" s="49" t="s">
        <v>327</v>
      </c>
      <c r="D118" s="50">
        <v>227242599752</v>
      </c>
      <c r="E118" s="49" t="s">
        <v>488</v>
      </c>
      <c r="F118" s="51">
        <v>46087</v>
      </c>
      <c r="G118" s="52">
        <v>46086</v>
      </c>
      <c r="H118" s="52">
        <v>46089</v>
      </c>
      <c r="I118" s="52" t="s">
        <v>496</v>
      </c>
      <c r="J118" s="52" t="s">
        <v>30</v>
      </c>
      <c r="K118" s="52" t="s">
        <v>34</v>
      </c>
      <c r="L118" s="49">
        <v>0</v>
      </c>
      <c r="M118" s="49">
        <v>0</v>
      </c>
      <c r="N118" s="49">
        <v>0</v>
      </c>
      <c r="O118" s="53">
        <v>0</v>
      </c>
      <c r="P118" s="53">
        <v>0</v>
      </c>
      <c r="Q118" s="53"/>
      <c r="R118" s="54" t="e">
        <f t="shared" si="6"/>
        <v>#DIV/0!</v>
      </c>
      <c r="S118" s="55" t="e">
        <f t="shared" si="7"/>
        <v>#DIV/0!</v>
      </c>
      <c r="T118" s="55" t="e">
        <f t="shared" si="8"/>
        <v>#DIV/0!</v>
      </c>
      <c r="U118" s="54" t="e">
        <f t="shared" si="9"/>
        <v>#DIV/0!</v>
      </c>
      <c r="V118" s="54" t="e">
        <f t="shared" si="10"/>
        <v>#DIV/0!</v>
      </c>
      <c r="W118" s="55" t="e">
        <f t="shared" si="11"/>
        <v>#DIV/0!</v>
      </c>
    </row>
    <row r="119" customFormat="1" ht="22.5" customHeight="1" spans="1:23">
      <c r="A119" s="49" t="s">
        <v>554</v>
      </c>
      <c r="B119" s="49" t="s">
        <v>552</v>
      </c>
      <c r="C119" s="49" t="s">
        <v>329</v>
      </c>
      <c r="D119" s="50">
        <v>227242600308</v>
      </c>
      <c r="E119" s="49" t="s">
        <v>488</v>
      </c>
      <c r="F119" s="51">
        <v>46087</v>
      </c>
      <c r="G119" s="52">
        <v>46086</v>
      </c>
      <c r="H119" s="52">
        <v>46094</v>
      </c>
      <c r="I119" s="52" t="s">
        <v>496</v>
      </c>
      <c r="J119" s="52" t="s">
        <v>30</v>
      </c>
      <c r="K119" s="52" t="s">
        <v>34</v>
      </c>
      <c r="L119" s="49">
        <v>0</v>
      </c>
      <c r="M119" s="49">
        <v>0</v>
      </c>
      <c r="N119" s="49">
        <v>0</v>
      </c>
      <c r="O119" s="53">
        <v>0</v>
      </c>
      <c r="P119" s="53">
        <v>0</v>
      </c>
      <c r="Q119" s="53"/>
      <c r="R119" s="54" t="e">
        <f t="shared" si="6"/>
        <v>#DIV/0!</v>
      </c>
      <c r="S119" s="55" t="e">
        <f t="shared" si="7"/>
        <v>#DIV/0!</v>
      </c>
      <c r="T119" s="55" t="e">
        <f t="shared" si="8"/>
        <v>#DIV/0!</v>
      </c>
      <c r="U119" s="54" t="e">
        <f t="shared" si="9"/>
        <v>#DIV/0!</v>
      </c>
      <c r="V119" s="54" t="e">
        <f t="shared" si="10"/>
        <v>#DIV/0!</v>
      </c>
      <c r="W119" s="55" t="e">
        <f t="shared" si="11"/>
        <v>#DIV/0!</v>
      </c>
    </row>
    <row r="120" customFormat="1" ht="22.5" customHeight="1" spans="1:23">
      <c r="A120" s="56" t="s">
        <v>563</v>
      </c>
      <c r="B120" s="57" t="s">
        <v>479</v>
      </c>
      <c r="C120" s="57" t="s">
        <v>480</v>
      </c>
      <c r="D120" s="58"/>
      <c r="E120" s="58"/>
      <c r="F120" s="57">
        <f>COUNTIF(B121:B183,"&lt;&gt;")</f>
        <v>63</v>
      </c>
      <c r="G120" s="58"/>
      <c r="H120" s="58"/>
      <c r="I120" s="58"/>
      <c r="J120" s="57" t="s">
        <v>481</v>
      </c>
      <c r="K120" s="58"/>
      <c r="L120" s="59">
        <f t="shared" ref="L120:Q120" si="12">SUM(L121:L183)</f>
        <v>139169</v>
      </c>
      <c r="M120" s="59">
        <f t="shared" si="12"/>
        <v>425</v>
      </c>
      <c r="N120" s="59">
        <f t="shared" si="12"/>
        <v>40</v>
      </c>
      <c r="O120" s="60">
        <f t="shared" si="12"/>
        <v>240.26</v>
      </c>
      <c r="P120" s="60">
        <f t="shared" si="12"/>
        <v>3401.59</v>
      </c>
      <c r="Q120" s="60">
        <f t="shared" si="12"/>
        <v>9470.08</v>
      </c>
      <c r="R120" s="61">
        <f t="shared" si="6"/>
        <v>14.1579538832931</v>
      </c>
      <c r="S120" s="62">
        <f t="shared" si="7"/>
        <v>0.0941176470588235</v>
      </c>
      <c r="T120" s="62">
        <f t="shared" si="8"/>
        <v>0.00305384101344409</v>
      </c>
      <c r="U120" s="61">
        <f t="shared" si="9"/>
        <v>0.565317647058824</v>
      </c>
      <c r="V120" s="61">
        <f t="shared" si="10"/>
        <v>6.0065</v>
      </c>
      <c r="W120" s="48">
        <f t="shared" si="11"/>
        <v>0.0706316751871919</v>
      </c>
    </row>
    <row r="121" customFormat="1" ht="22.5" customHeight="1" spans="1:23">
      <c r="A121" s="49" t="s">
        <v>563</v>
      </c>
      <c r="B121" s="49" t="s">
        <v>535</v>
      </c>
      <c r="C121" s="49" t="s">
        <v>347</v>
      </c>
      <c r="D121" s="50">
        <v>117085067234</v>
      </c>
      <c r="E121" s="49" t="s">
        <v>502</v>
      </c>
      <c r="F121" s="51">
        <v>46123</v>
      </c>
      <c r="G121" s="52">
        <v>46092</v>
      </c>
      <c r="H121" s="52">
        <v>46096</v>
      </c>
      <c r="I121" s="52" t="s">
        <v>26</v>
      </c>
      <c r="J121" s="52" t="s">
        <v>30</v>
      </c>
      <c r="K121" s="52" t="s">
        <v>34</v>
      </c>
      <c r="L121" s="49">
        <v>196</v>
      </c>
      <c r="M121" s="49">
        <v>8</v>
      </c>
      <c r="N121" s="49">
        <v>1</v>
      </c>
      <c r="O121" s="53">
        <v>6.09</v>
      </c>
      <c r="P121" s="53">
        <v>478</v>
      </c>
      <c r="Q121" s="53">
        <f>_xlfn.XLOOKUP(C121,[2]Sheet1!$B:$B,[2]Sheet1!$AH:$AH)</f>
        <v>956</v>
      </c>
      <c r="R121" s="54">
        <f t="shared" si="6"/>
        <v>78.4893267651888</v>
      </c>
      <c r="S121" s="55">
        <f t="shared" si="7"/>
        <v>0.125</v>
      </c>
      <c r="T121" s="55">
        <f t="shared" si="8"/>
        <v>0.0408163265306122</v>
      </c>
      <c r="U121" s="54">
        <f t="shared" si="9"/>
        <v>0.76125</v>
      </c>
      <c r="V121" s="54">
        <f t="shared" si="10"/>
        <v>6.09</v>
      </c>
      <c r="W121" s="55">
        <f t="shared" si="11"/>
        <v>0.0127405857740586</v>
      </c>
    </row>
    <row r="122" customFormat="1" ht="22.5" customHeight="1" spans="1:23">
      <c r="A122" s="49" t="s">
        <v>563</v>
      </c>
      <c r="B122" s="49" t="s">
        <v>514</v>
      </c>
      <c r="C122" s="49" t="s">
        <v>487</v>
      </c>
      <c r="D122" s="50">
        <v>336471552121</v>
      </c>
      <c r="E122" s="49" t="s">
        <v>515</v>
      </c>
      <c r="F122" s="51">
        <v>46122</v>
      </c>
      <c r="G122" s="52">
        <v>46066</v>
      </c>
      <c r="H122" s="52">
        <v>46070</v>
      </c>
      <c r="I122" s="52" t="s">
        <v>484</v>
      </c>
      <c r="J122" s="52" t="s">
        <v>489</v>
      </c>
      <c r="K122" s="52" t="s">
        <v>34</v>
      </c>
      <c r="L122" s="49">
        <v>4575</v>
      </c>
      <c r="M122" s="49">
        <v>13</v>
      </c>
      <c r="N122" s="49">
        <v>7</v>
      </c>
      <c r="O122" s="53">
        <v>5.35</v>
      </c>
      <c r="P122" s="53">
        <v>427.28</v>
      </c>
      <c r="Q122" s="53">
        <f>_xlfn.XLOOKUP(C122,[2]Sheet1!$B:$B,[2]Sheet1!$AH:$AH)</f>
        <v>828.95</v>
      </c>
      <c r="R122" s="54">
        <f t="shared" si="6"/>
        <v>79.8654205607477</v>
      </c>
      <c r="S122" s="55">
        <f t="shared" si="7"/>
        <v>0.538461538461538</v>
      </c>
      <c r="T122" s="55">
        <f t="shared" si="8"/>
        <v>0.00284153005464481</v>
      </c>
      <c r="U122" s="54">
        <f t="shared" si="9"/>
        <v>0.411538461538462</v>
      </c>
      <c r="V122" s="54">
        <f t="shared" si="10"/>
        <v>0.764285714285714</v>
      </c>
      <c r="W122" s="55">
        <f t="shared" si="11"/>
        <v>0.0125210634712601</v>
      </c>
    </row>
    <row r="123" customFormat="1" ht="22.5" customHeight="1" spans="1:23">
      <c r="A123" s="49" t="s">
        <v>563</v>
      </c>
      <c r="B123" s="49" t="s">
        <v>75</v>
      </c>
      <c r="C123" s="49" t="s">
        <v>78</v>
      </c>
      <c r="D123" s="50">
        <v>188307728772</v>
      </c>
      <c r="E123" s="49" t="s">
        <v>483</v>
      </c>
      <c r="F123" s="51">
        <v>46136</v>
      </c>
      <c r="G123" s="52">
        <v>46135</v>
      </c>
      <c r="H123" s="52">
        <v>46135</v>
      </c>
      <c r="I123" s="52" t="s">
        <v>26</v>
      </c>
      <c r="J123" s="52" t="s">
        <v>518</v>
      </c>
      <c r="K123" s="52" t="s">
        <v>34</v>
      </c>
      <c r="L123" s="49">
        <v>24303</v>
      </c>
      <c r="M123" s="49">
        <v>57</v>
      </c>
      <c r="N123" s="49">
        <v>3</v>
      </c>
      <c r="O123" s="53">
        <v>58.38</v>
      </c>
      <c r="P123" s="53">
        <v>400.62</v>
      </c>
      <c r="Q123" s="53">
        <f>_xlfn.XLOOKUP(C123,[2]Sheet1!$B:$B,[2]Sheet1!$AH:$AH)</f>
        <v>625</v>
      </c>
      <c r="R123" s="54">
        <f t="shared" si="6"/>
        <v>6.8622816032888</v>
      </c>
      <c r="S123" s="55">
        <f t="shared" si="7"/>
        <v>0.0526315789473684</v>
      </c>
      <c r="T123" s="55">
        <f t="shared" si="8"/>
        <v>0.00234538945809159</v>
      </c>
      <c r="U123" s="54">
        <f t="shared" si="9"/>
        <v>1.02421052631579</v>
      </c>
      <c r="V123" s="54">
        <f t="shared" si="10"/>
        <v>19.46</v>
      </c>
      <c r="W123" s="55">
        <f t="shared" si="11"/>
        <v>0.145724127602217</v>
      </c>
    </row>
    <row r="124" customFormat="1" ht="22.5" customHeight="1" spans="1:23">
      <c r="A124" s="49" t="s">
        <v>563</v>
      </c>
      <c r="B124" s="49" t="s">
        <v>524</v>
      </c>
      <c r="C124" s="49" t="s">
        <v>525</v>
      </c>
      <c r="D124" s="50">
        <v>117042072978</v>
      </c>
      <c r="E124" s="49" t="s">
        <v>502</v>
      </c>
      <c r="F124" s="51">
        <v>46082</v>
      </c>
      <c r="G124" s="52">
        <v>46066</v>
      </c>
      <c r="H124" s="52">
        <v>46070</v>
      </c>
      <c r="I124" s="52" t="s">
        <v>520</v>
      </c>
      <c r="J124" s="52" t="s">
        <v>489</v>
      </c>
      <c r="K124" s="52" t="s">
        <v>493</v>
      </c>
      <c r="L124" s="49">
        <v>5616</v>
      </c>
      <c r="M124" s="49">
        <v>12</v>
      </c>
      <c r="N124" s="49">
        <v>4</v>
      </c>
      <c r="O124" s="53">
        <v>6.45</v>
      </c>
      <c r="P124" s="53">
        <v>361.91</v>
      </c>
      <c r="Q124" s="53">
        <f>_xlfn.XLOOKUP(C124,[2]Sheet1!$B:$B,[2]Sheet1!$AH:$AH)</f>
        <v>692.61</v>
      </c>
      <c r="R124" s="54">
        <f t="shared" si="6"/>
        <v>56.1100775193798</v>
      </c>
      <c r="S124" s="55">
        <f t="shared" si="7"/>
        <v>0.333333333333333</v>
      </c>
      <c r="T124" s="55">
        <f t="shared" si="8"/>
        <v>0.00213675213675214</v>
      </c>
      <c r="U124" s="54">
        <f t="shared" si="9"/>
        <v>0.5375</v>
      </c>
      <c r="V124" s="54">
        <f t="shared" si="10"/>
        <v>1.6125</v>
      </c>
      <c r="W124" s="55">
        <f t="shared" si="11"/>
        <v>0.0178221104694537</v>
      </c>
    </row>
    <row r="125" customFormat="1" ht="22.5" customHeight="1" spans="1:23">
      <c r="A125" s="49" t="s">
        <v>563</v>
      </c>
      <c r="B125" s="49" t="s">
        <v>498</v>
      </c>
      <c r="C125" s="49" t="s">
        <v>376</v>
      </c>
      <c r="D125" s="50">
        <v>177997411142</v>
      </c>
      <c r="E125" s="49" t="s">
        <v>483</v>
      </c>
      <c r="F125" s="51">
        <v>46109</v>
      </c>
      <c r="G125" s="52">
        <v>46108</v>
      </c>
      <c r="H125" s="52">
        <v>46116</v>
      </c>
      <c r="I125" s="52" t="s">
        <v>484</v>
      </c>
      <c r="J125" s="52" t="s">
        <v>489</v>
      </c>
      <c r="K125" s="52" t="s">
        <v>493</v>
      </c>
      <c r="L125" s="49">
        <v>1226</v>
      </c>
      <c r="M125" s="49">
        <v>11</v>
      </c>
      <c r="N125" s="49">
        <v>3</v>
      </c>
      <c r="O125" s="53">
        <v>3.81</v>
      </c>
      <c r="P125" s="53">
        <v>274.58</v>
      </c>
      <c r="Q125" s="53">
        <f>_xlfn.XLOOKUP(C125,[2]Sheet1!$B:$B,[2]Sheet1!$AH:$AH)</f>
        <v>513</v>
      </c>
      <c r="R125" s="54">
        <f t="shared" si="6"/>
        <v>72.0682414698163</v>
      </c>
      <c r="S125" s="55">
        <f t="shared" si="7"/>
        <v>0.272727272727273</v>
      </c>
      <c r="T125" s="55">
        <f t="shared" si="8"/>
        <v>0.00897226753670473</v>
      </c>
      <c r="U125" s="54">
        <f t="shared" si="9"/>
        <v>0.346363636363636</v>
      </c>
      <c r="V125" s="54">
        <f t="shared" si="10"/>
        <v>1.27</v>
      </c>
      <c r="W125" s="55">
        <f t="shared" si="11"/>
        <v>0.0138757374899847</v>
      </c>
    </row>
    <row r="126" customFormat="1" ht="22.5" customHeight="1" spans="1:23">
      <c r="A126" s="49" t="s">
        <v>563</v>
      </c>
      <c r="B126" s="49" t="s">
        <v>506</v>
      </c>
      <c r="C126" s="49" t="s">
        <v>342</v>
      </c>
      <c r="D126" s="50">
        <v>177947769950</v>
      </c>
      <c r="E126" s="49" t="s">
        <v>483</v>
      </c>
      <c r="F126" s="51">
        <v>46092</v>
      </c>
      <c r="G126" s="52">
        <v>46092</v>
      </c>
      <c r="H126" s="52">
        <v>46095</v>
      </c>
      <c r="I126" s="52" t="s">
        <v>484</v>
      </c>
      <c r="J126" s="52" t="s">
        <v>489</v>
      </c>
      <c r="K126" s="52" t="s">
        <v>34</v>
      </c>
      <c r="L126" s="49">
        <v>3892</v>
      </c>
      <c r="M126" s="49">
        <v>20</v>
      </c>
      <c r="N126" s="49">
        <v>2</v>
      </c>
      <c r="O126" s="53">
        <v>8</v>
      </c>
      <c r="P126" s="53">
        <v>246.67</v>
      </c>
      <c r="Q126" s="53">
        <f>_xlfn.XLOOKUP(C126,[2]Sheet1!$B:$B,[2]Sheet1!$AH:$AH)</f>
        <v>342</v>
      </c>
      <c r="R126" s="54">
        <f t="shared" si="6"/>
        <v>30.83375</v>
      </c>
      <c r="S126" s="55">
        <f t="shared" si="7"/>
        <v>0.1</v>
      </c>
      <c r="T126" s="55">
        <f t="shared" si="8"/>
        <v>0.00513874614594039</v>
      </c>
      <c r="U126" s="54">
        <f t="shared" si="9"/>
        <v>0.4</v>
      </c>
      <c r="V126" s="54">
        <f t="shared" si="10"/>
        <v>4</v>
      </c>
      <c r="W126" s="55">
        <f t="shared" si="11"/>
        <v>0.0324319941622411</v>
      </c>
    </row>
    <row r="127" customFormat="1" ht="22.5" customHeight="1" spans="1:23">
      <c r="A127" s="49" t="s">
        <v>563</v>
      </c>
      <c r="B127" s="49" t="s">
        <v>486</v>
      </c>
      <c r="C127" s="49" t="s">
        <v>487</v>
      </c>
      <c r="D127" s="50">
        <v>227214980980</v>
      </c>
      <c r="E127" s="49" t="s">
        <v>488</v>
      </c>
      <c r="F127" s="51">
        <v>46077</v>
      </c>
      <c r="G127" s="52">
        <v>46066</v>
      </c>
      <c r="H127" s="52">
        <v>46070</v>
      </c>
      <c r="I127" s="52" t="s">
        <v>484</v>
      </c>
      <c r="J127" s="52" t="s">
        <v>489</v>
      </c>
      <c r="K127" s="52" t="s">
        <v>34</v>
      </c>
      <c r="L127" s="49">
        <v>4426</v>
      </c>
      <c r="M127" s="49">
        <v>17</v>
      </c>
      <c r="N127" s="49">
        <v>3</v>
      </c>
      <c r="O127" s="53">
        <v>7.34</v>
      </c>
      <c r="P127" s="53">
        <v>213.01</v>
      </c>
      <c r="Q127" s="53">
        <f>_xlfn.XLOOKUP(C127,[2]Sheet1!$B:$B,[2]Sheet1!$AH:$AH)</f>
        <v>828.95</v>
      </c>
      <c r="R127" s="54">
        <f t="shared" si="6"/>
        <v>29.0204359673025</v>
      </c>
      <c r="S127" s="55">
        <f t="shared" si="7"/>
        <v>0.176470588235294</v>
      </c>
      <c r="T127" s="55">
        <f t="shared" si="8"/>
        <v>0.00384093990058744</v>
      </c>
      <c r="U127" s="54">
        <f t="shared" si="9"/>
        <v>0.431764705882353</v>
      </c>
      <c r="V127" s="54">
        <f t="shared" si="10"/>
        <v>2.44666666666667</v>
      </c>
      <c r="W127" s="55">
        <f t="shared" si="11"/>
        <v>0.0344584761278813</v>
      </c>
    </row>
    <row r="128" customFormat="1" ht="22.5" customHeight="1" spans="1:23">
      <c r="A128" s="49" t="s">
        <v>563</v>
      </c>
      <c r="B128" s="49" t="s">
        <v>482</v>
      </c>
      <c r="C128" s="49" t="s">
        <v>385</v>
      </c>
      <c r="D128" s="50">
        <v>177997475019</v>
      </c>
      <c r="E128" s="49" t="s">
        <v>483</v>
      </c>
      <c r="F128" s="51">
        <v>46114</v>
      </c>
      <c r="G128" s="52">
        <v>46108</v>
      </c>
      <c r="H128" s="52">
        <v>46114</v>
      </c>
      <c r="I128" s="52" t="s">
        <v>484</v>
      </c>
      <c r="J128" s="52" t="s">
        <v>485</v>
      </c>
      <c r="K128" s="52" t="s">
        <v>34</v>
      </c>
      <c r="L128" s="49">
        <v>1178</v>
      </c>
      <c r="M128" s="49">
        <v>32</v>
      </c>
      <c r="N128" s="49">
        <v>4</v>
      </c>
      <c r="O128" s="53">
        <v>11.79</v>
      </c>
      <c r="P128" s="53">
        <v>151.71</v>
      </c>
      <c r="Q128" s="53">
        <f>_xlfn.XLOOKUP(C128,[2]Sheet1!$B:$B,[2]Sheet1!$AH:$AH)</f>
        <v>315</v>
      </c>
      <c r="R128" s="54">
        <f t="shared" si="6"/>
        <v>12.8676844783715</v>
      </c>
      <c r="S128" s="55">
        <f t="shared" si="7"/>
        <v>0.125</v>
      </c>
      <c r="T128" s="55">
        <f t="shared" si="8"/>
        <v>0.0271646859083192</v>
      </c>
      <c r="U128" s="54">
        <f t="shared" si="9"/>
        <v>0.3684375</v>
      </c>
      <c r="V128" s="54">
        <f t="shared" si="10"/>
        <v>2.9475</v>
      </c>
      <c r="W128" s="55">
        <f t="shared" si="11"/>
        <v>0.0777140597192011</v>
      </c>
    </row>
    <row r="129" customFormat="1" ht="22.5" customHeight="1" spans="1:23">
      <c r="A129" s="49" t="s">
        <v>563</v>
      </c>
      <c r="B129" s="49" t="s">
        <v>526</v>
      </c>
      <c r="C129" s="49" t="s">
        <v>348</v>
      </c>
      <c r="D129" s="50">
        <v>177951390007</v>
      </c>
      <c r="E129" s="49" t="s">
        <v>483</v>
      </c>
      <c r="F129" s="51">
        <v>46094</v>
      </c>
      <c r="G129" s="52">
        <v>46093</v>
      </c>
      <c r="H129" s="52">
        <v>46100</v>
      </c>
      <c r="I129" s="52" t="s">
        <v>484</v>
      </c>
      <c r="J129" s="52" t="s">
        <v>485</v>
      </c>
      <c r="K129" s="52" t="s">
        <v>34</v>
      </c>
      <c r="L129" s="49">
        <v>42</v>
      </c>
      <c r="M129" s="49">
        <v>4</v>
      </c>
      <c r="N129" s="49">
        <v>1</v>
      </c>
      <c r="O129" s="53">
        <v>1.65</v>
      </c>
      <c r="P129" s="53">
        <v>147.34</v>
      </c>
      <c r="Q129" s="53">
        <f>_xlfn.XLOOKUP(C129,[2]Sheet1!$B:$B,[2]Sheet1!$AH:$AH)</f>
        <v>139</v>
      </c>
      <c r="R129" s="54">
        <f t="shared" si="6"/>
        <v>89.2969696969697</v>
      </c>
      <c r="S129" s="55">
        <f t="shared" si="7"/>
        <v>0.25</v>
      </c>
      <c r="T129" s="55">
        <f t="shared" si="8"/>
        <v>0.0952380952380952</v>
      </c>
      <c r="U129" s="54">
        <f t="shared" si="9"/>
        <v>0.4125</v>
      </c>
      <c r="V129" s="54">
        <f t="shared" si="10"/>
        <v>1.65</v>
      </c>
      <c r="W129" s="55">
        <f t="shared" si="11"/>
        <v>0.011198588299172</v>
      </c>
    </row>
    <row r="130" customFormat="1" ht="22.5" customHeight="1" spans="1:23">
      <c r="A130" s="49" t="s">
        <v>563</v>
      </c>
      <c r="B130" s="49" t="s">
        <v>556</v>
      </c>
      <c r="C130" s="49" t="s">
        <v>491</v>
      </c>
      <c r="D130" s="50">
        <v>188303032431</v>
      </c>
      <c r="E130" s="49" t="s">
        <v>483</v>
      </c>
      <c r="F130" s="51">
        <v>46134</v>
      </c>
      <c r="G130" s="52">
        <v>46062</v>
      </c>
      <c r="H130" s="52">
        <v>46068</v>
      </c>
      <c r="I130" s="52" t="s">
        <v>484</v>
      </c>
      <c r="J130" s="52" t="s">
        <v>30</v>
      </c>
      <c r="K130" s="52" t="s">
        <v>493</v>
      </c>
      <c r="L130" s="49">
        <v>2979</v>
      </c>
      <c r="M130" s="49">
        <v>12</v>
      </c>
      <c r="N130" s="49">
        <v>2</v>
      </c>
      <c r="O130" s="53">
        <v>4.31</v>
      </c>
      <c r="P130" s="53">
        <v>104.14</v>
      </c>
      <c r="Q130" s="53">
        <f>_xlfn.XLOOKUP(C130,[2]Sheet1!$B:$B,[2]Sheet1!$AH:$AH)</f>
        <v>248.09</v>
      </c>
      <c r="R130" s="54">
        <f t="shared" ref="R130:R193" si="13">P130/O130</f>
        <v>24.1624129930394</v>
      </c>
      <c r="S130" s="55">
        <f t="shared" ref="S130:S193" si="14">N130/M130</f>
        <v>0.166666666666667</v>
      </c>
      <c r="T130" s="55">
        <f t="shared" ref="T130:T193" si="15">M130/L130</f>
        <v>0.0040281973816717</v>
      </c>
      <c r="U130" s="54">
        <f t="shared" ref="U130:U193" si="16">O130/M130</f>
        <v>0.359166666666667</v>
      </c>
      <c r="V130" s="54">
        <f t="shared" ref="V130:V193" si="17">O130/N130</f>
        <v>2.155</v>
      </c>
      <c r="W130" s="55">
        <f t="shared" ref="W130:W193" si="18">O130/P130</f>
        <v>0.0413865949683119</v>
      </c>
    </row>
    <row r="131" customFormat="1" ht="22.5" customHeight="1" spans="1:23">
      <c r="A131" s="49" t="s">
        <v>563</v>
      </c>
      <c r="B131" s="49" t="s">
        <v>507</v>
      </c>
      <c r="C131" s="49" t="s">
        <v>326</v>
      </c>
      <c r="D131" s="50">
        <v>117072634866</v>
      </c>
      <c r="E131" s="49" t="s">
        <v>502</v>
      </c>
      <c r="F131" s="51">
        <v>46095</v>
      </c>
      <c r="G131" s="52">
        <v>46085</v>
      </c>
      <c r="H131" s="52">
        <v>46086</v>
      </c>
      <c r="I131" s="52" t="s">
        <v>496</v>
      </c>
      <c r="J131" s="52" t="s">
        <v>497</v>
      </c>
      <c r="K131" s="52" t="s">
        <v>34</v>
      </c>
      <c r="L131" s="49">
        <v>1423</v>
      </c>
      <c r="M131" s="49">
        <v>15</v>
      </c>
      <c r="N131" s="49">
        <v>1</v>
      </c>
      <c r="O131" s="53">
        <v>7.85</v>
      </c>
      <c r="P131" s="53">
        <v>92.97</v>
      </c>
      <c r="Q131" s="53">
        <f>_xlfn.XLOOKUP(C131,[2]Sheet1!$B:$B,[2]Sheet1!$AH:$AH)</f>
        <v>879</v>
      </c>
      <c r="R131" s="54">
        <f t="shared" si="13"/>
        <v>11.8433121019108</v>
      </c>
      <c r="S131" s="55">
        <f t="shared" si="14"/>
        <v>0.0666666666666667</v>
      </c>
      <c r="T131" s="55">
        <f t="shared" si="15"/>
        <v>0.0105411103302881</v>
      </c>
      <c r="U131" s="54">
        <f t="shared" si="16"/>
        <v>0.523333333333333</v>
      </c>
      <c r="V131" s="54">
        <f t="shared" si="17"/>
        <v>7.85</v>
      </c>
      <c r="W131" s="55">
        <f t="shared" si="18"/>
        <v>0.0844358395181241</v>
      </c>
    </row>
    <row r="132" customFormat="1" ht="22.5" customHeight="1" spans="1:23">
      <c r="A132" s="49" t="s">
        <v>563</v>
      </c>
      <c r="B132" s="49" t="s">
        <v>524</v>
      </c>
      <c r="C132" s="49" t="s">
        <v>544</v>
      </c>
      <c r="D132" s="50">
        <v>117042077894</v>
      </c>
      <c r="E132" s="49" t="s">
        <v>502</v>
      </c>
      <c r="F132" s="51">
        <v>46082</v>
      </c>
      <c r="G132" s="52">
        <v>46066</v>
      </c>
      <c r="H132" s="52">
        <v>46084</v>
      </c>
      <c r="I132" s="52" t="s">
        <v>520</v>
      </c>
      <c r="J132" s="52" t="s">
        <v>489</v>
      </c>
      <c r="K132" s="52" t="s">
        <v>34</v>
      </c>
      <c r="L132" s="49">
        <v>3655</v>
      </c>
      <c r="M132" s="49">
        <v>14</v>
      </c>
      <c r="N132" s="49">
        <v>1</v>
      </c>
      <c r="O132" s="53">
        <v>6.23</v>
      </c>
      <c r="P132" s="53">
        <v>88.57</v>
      </c>
      <c r="Q132" s="53">
        <f>_xlfn.XLOOKUP(C132,[2]Sheet1!$B:$B,[2]Sheet1!$AH:$AH)</f>
        <v>80</v>
      </c>
      <c r="R132" s="54">
        <f t="shared" si="13"/>
        <v>14.2166934189406</v>
      </c>
      <c r="S132" s="55">
        <f t="shared" si="14"/>
        <v>0.0714285714285714</v>
      </c>
      <c r="T132" s="55">
        <f t="shared" si="15"/>
        <v>0.00383036935704514</v>
      </c>
      <c r="U132" s="54">
        <f t="shared" si="16"/>
        <v>0.445</v>
      </c>
      <c r="V132" s="54">
        <f t="shared" si="17"/>
        <v>6.23</v>
      </c>
      <c r="W132" s="55">
        <f t="shared" si="18"/>
        <v>0.0703398441910354</v>
      </c>
    </row>
    <row r="133" customFormat="1" ht="22.5" customHeight="1" spans="1:23">
      <c r="A133" s="49" t="s">
        <v>563</v>
      </c>
      <c r="B133" s="49" t="s">
        <v>524</v>
      </c>
      <c r="C133" s="49" t="s">
        <v>533</v>
      </c>
      <c r="D133" s="50">
        <v>117042068584</v>
      </c>
      <c r="E133" s="49" t="s">
        <v>502</v>
      </c>
      <c r="F133" s="51">
        <v>46082</v>
      </c>
      <c r="G133" s="52">
        <v>46066</v>
      </c>
      <c r="H133" s="52">
        <v>46068</v>
      </c>
      <c r="I133" s="52" t="s">
        <v>520</v>
      </c>
      <c r="J133" s="52" t="s">
        <v>489</v>
      </c>
      <c r="K133" s="52" t="s">
        <v>493</v>
      </c>
      <c r="L133" s="49">
        <v>6136</v>
      </c>
      <c r="M133" s="49">
        <v>27</v>
      </c>
      <c r="N133" s="49">
        <v>1</v>
      </c>
      <c r="O133" s="53">
        <v>13.07</v>
      </c>
      <c r="P133" s="53">
        <v>80.69</v>
      </c>
      <c r="Q133" s="53">
        <f>_xlfn.XLOOKUP(C133,[2]Sheet1!$B:$B,[2]Sheet1!$AH:$AH)</f>
        <v>75.59</v>
      </c>
      <c r="R133" s="54">
        <f t="shared" si="13"/>
        <v>6.17368018362663</v>
      </c>
      <c r="S133" s="55">
        <f t="shared" si="14"/>
        <v>0.037037037037037</v>
      </c>
      <c r="T133" s="55">
        <f t="shared" si="15"/>
        <v>0.00440026075619296</v>
      </c>
      <c r="U133" s="54">
        <f t="shared" si="16"/>
        <v>0.484074074074074</v>
      </c>
      <c r="V133" s="54">
        <f t="shared" si="17"/>
        <v>13.07</v>
      </c>
      <c r="W133" s="55">
        <f t="shared" si="18"/>
        <v>0.161977940265213</v>
      </c>
    </row>
    <row r="134" customFormat="1" ht="22.5" customHeight="1" spans="1:23">
      <c r="A134" s="49" t="s">
        <v>563</v>
      </c>
      <c r="B134" s="49" t="s">
        <v>486</v>
      </c>
      <c r="C134" s="49" t="s">
        <v>494</v>
      </c>
      <c r="D134" s="50">
        <v>227214967031</v>
      </c>
      <c r="E134" s="49" t="s">
        <v>488</v>
      </c>
      <c r="F134" s="51">
        <v>46077</v>
      </c>
      <c r="G134" s="52">
        <v>46066</v>
      </c>
      <c r="H134" s="52">
        <v>46077</v>
      </c>
      <c r="I134" s="52" t="s">
        <v>484</v>
      </c>
      <c r="J134" s="52" t="s">
        <v>489</v>
      </c>
      <c r="K134" s="52" t="s">
        <v>34</v>
      </c>
      <c r="L134" s="49">
        <v>4805</v>
      </c>
      <c r="M134" s="49">
        <v>7</v>
      </c>
      <c r="N134" s="49">
        <v>1</v>
      </c>
      <c r="O134" s="53">
        <v>3.16</v>
      </c>
      <c r="P134" s="53">
        <v>71.55</v>
      </c>
      <c r="Q134" s="53">
        <f>_xlfn.XLOOKUP(C134,[2]Sheet1!$B:$B,[2]Sheet1!$AH:$AH)</f>
        <v>340</v>
      </c>
      <c r="R134" s="54">
        <f t="shared" si="13"/>
        <v>22.6424050632911</v>
      </c>
      <c r="S134" s="55">
        <f t="shared" si="14"/>
        <v>0.142857142857143</v>
      </c>
      <c r="T134" s="55">
        <f t="shared" si="15"/>
        <v>0.00145681581685744</v>
      </c>
      <c r="U134" s="54">
        <f t="shared" si="16"/>
        <v>0.451428571428571</v>
      </c>
      <c r="V134" s="54">
        <f t="shared" si="17"/>
        <v>3.16</v>
      </c>
      <c r="W134" s="55">
        <f t="shared" si="18"/>
        <v>0.0441649196366178</v>
      </c>
    </row>
    <row r="135" customFormat="1" ht="22.5" customHeight="1" spans="1:23">
      <c r="A135" s="49" t="s">
        <v>563</v>
      </c>
      <c r="B135" s="49" t="s">
        <v>539</v>
      </c>
      <c r="C135" s="49" t="s">
        <v>540</v>
      </c>
      <c r="D135" s="50">
        <v>117070939739</v>
      </c>
      <c r="E135" s="49" t="s">
        <v>502</v>
      </c>
      <c r="F135" s="51">
        <v>46121</v>
      </c>
      <c r="G135" s="52">
        <v>46081</v>
      </c>
      <c r="H135" s="52">
        <v>46082</v>
      </c>
      <c r="I135" s="52" t="s">
        <v>505</v>
      </c>
      <c r="J135" s="52" t="s">
        <v>489</v>
      </c>
      <c r="K135" s="52" t="s">
        <v>34</v>
      </c>
      <c r="L135" s="49">
        <v>1654</v>
      </c>
      <c r="M135" s="49">
        <v>10</v>
      </c>
      <c r="N135" s="49">
        <v>1</v>
      </c>
      <c r="O135" s="53">
        <v>3.01</v>
      </c>
      <c r="P135" s="53">
        <v>67.64</v>
      </c>
      <c r="Q135" s="53">
        <f>_xlfn.XLOOKUP(C135,[2]Sheet1!$B:$B,[2]Sheet1!$AH:$AH)</f>
        <v>119</v>
      </c>
      <c r="R135" s="54">
        <f t="shared" si="13"/>
        <v>22.4717607973422</v>
      </c>
      <c r="S135" s="55">
        <f t="shared" si="14"/>
        <v>0.1</v>
      </c>
      <c r="T135" s="55">
        <f t="shared" si="15"/>
        <v>0.0060459492140266</v>
      </c>
      <c r="U135" s="54">
        <f t="shared" si="16"/>
        <v>0.301</v>
      </c>
      <c r="V135" s="54">
        <f t="shared" si="17"/>
        <v>3.01</v>
      </c>
      <c r="W135" s="55">
        <f t="shared" si="18"/>
        <v>0.0445002956830278</v>
      </c>
    </row>
    <row r="136" customFormat="1" ht="22.5" customHeight="1" spans="1:23">
      <c r="A136" s="49" t="s">
        <v>563</v>
      </c>
      <c r="B136" s="49" t="s">
        <v>529</v>
      </c>
      <c r="C136" s="49" t="s">
        <v>530</v>
      </c>
      <c r="D136" s="50">
        <v>287173607865</v>
      </c>
      <c r="E136" s="49" t="s">
        <v>511</v>
      </c>
      <c r="F136" s="51">
        <v>46087</v>
      </c>
      <c r="G136" s="52">
        <v>46081</v>
      </c>
      <c r="H136" s="52">
        <v>46101</v>
      </c>
      <c r="I136" s="52" t="s">
        <v>503</v>
      </c>
      <c r="J136" s="52" t="s">
        <v>497</v>
      </c>
      <c r="K136" s="52" t="s">
        <v>34</v>
      </c>
      <c r="L136" s="49">
        <v>641</v>
      </c>
      <c r="M136" s="49">
        <v>7</v>
      </c>
      <c r="N136" s="49">
        <v>1</v>
      </c>
      <c r="O136" s="53">
        <v>2.58</v>
      </c>
      <c r="P136" s="53">
        <v>63.19</v>
      </c>
      <c r="Q136" s="53">
        <f>_xlfn.XLOOKUP(C136,[2]Sheet1!$B:$B,[2]Sheet1!$AH:$AH)</f>
        <v>59</v>
      </c>
      <c r="R136" s="54">
        <f t="shared" si="13"/>
        <v>24.4922480620155</v>
      </c>
      <c r="S136" s="55">
        <f t="shared" si="14"/>
        <v>0.142857142857143</v>
      </c>
      <c r="T136" s="55">
        <f t="shared" si="15"/>
        <v>0.0109204368174727</v>
      </c>
      <c r="U136" s="54">
        <f t="shared" si="16"/>
        <v>0.368571428571429</v>
      </c>
      <c r="V136" s="54">
        <f t="shared" si="17"/>
        <v>2.58</v>
      </c>
      <c r="W136" s="55">
        <f t="shared" si="18"/>
        <v>0.0408292451337237</v>
      </c>
    </row>
    <row r="137" customFormat="1" ht="22.5" customHeight="1" spans="1:23">
      <c r="A137" s="49" t="s">
        <v>563</v>
      </c>
      <c r="B137" s="49" t="s">
        <v>557</v>
      </c>
      <c r="C137" s="49" t="s">
        <v>388</v>
      </c>
      <c r="D137" s="50">
        <v>178071423591</v>
      </c>
      <c r="E137" s="49" t="s">
        <v>483</v>
      </c>
      <c r="F137" s="51">
        <v>46136</v>
      </c>
      <c r="G137" s="52">
        <v>46135</v>
      </c>
      <c r="H137" s="52">
        <v>46139</v>
      </c>
      <c r="I137" s="52" t="s">
        <v>484</v>
      </c>
      <c r="J137" s="52" t="s">
        <v>564</v>
      </c>
      <c r="K137" s="52" t="s">
        <v>34</v>
      </c>
      <c r="L137" s="49">
        <v>325</v>
      </c>
      <c r="M137" s="49">
        <v>4</v>
      </c>
      <c r="N137" s="49">
        <v>1</v>
      </c>
      <c r="O137" s="53">
        <v>1.88</v>
      </c>
      <c r="P137" s="53">
        <v>48.15</v>
      </c>
      <c r="Q137" s="53">
        <f>_xlfn.XLOOKUP(C137,[2]Sheet1!$B:$B,[2]Sheet1!$AH:$AH)</f>
        <v>45</v>
      </c>
      <c r="R137" s="54">
        <f t="shared" si="13"/>
        <v>25.6117021276596</v>
      </c>
      <c r="S137" s="55">
        <f t="shared" si="14"/>
        <v>0.25</v>
      </c>
      <c r="T137" s="55">
        <f t="shared" si="15"/>
        <v>0.0123076923076923</v>
      </c>
      <c r="U137" s="54">
        <f t="shared" si="16"/>
        <v>0.47</v>
      </c>
      <c r="V137" s="54">
        <f t="shared" si="17"/>
        <v>1.88</v>
      </c>
      <c r="W137" s="55">
        <f t="shared" si="18"/>
        <v>0.0390446521287643</v>
      </c>
    </row>
    <row r="138" customFormat="1" ht="22.5" customHeight="1" spans="1:23">
      <c r="A138" s="49" t="s">
        <v>563</v>
      </c>
      <c r="B138" s="49" t="s">
        <v>538</v>
      </c>
      <c r="C138" s="49" t="s">
        <v>334</v>
      </c>
      <c r="D138" s="50">
        <v>177944141581</v>
      </c>
      <c r="E138" s="49" t="s">
        <v>483</v>
      </c>
      <c r="F138" s="51">
        <v>46092</v>
      </c>
      <c r="G138" s="52">
        <v>46091</v>
      </c>
      <c r="H138" s="52">
        <v>46106</v>
      </c>
      <c r="I138" s="52" t="s">
        <v>484</v>
      </c>
      <c r="J138" s="52" t="s">
        <v>489</v>
      </c>
      <c r="K138" s="52" t="s">
        <v>34</v>
      </c>
      <c r="L138" s="49">
        <v>788</v>
      </c>
      <c r="M138" s="49">
        <v>7</v>
      </c>
      <c r="N138" s="49">
        <v>1</v>
      </c>
      <c r="O138" s="53">
        <v>2.22</v>
      </c>
      <c r="P138" s="53">
        <v>41.37</v>
      </c>
      <c r="Q138" s="53">
        <f>_xlfn.XLOOKUP(C138,[2]Sheet1!$B:$B,[2]Sheet1!$AH:$AH)</f>
        <v>38</v>
      </c>
      <c r="R138" s="54">
        <f t="shared" si="13"/>
        <v>18.6351351351351</v>
      </c>
      <c r="S138" s="55">
        <f t="shared" si="14"/>
        <v>0.142857142857143</v>
      </c>
      <c r="T138" s="55">
        <f t="shared" si="15"/>
        <v>0.00888324873096447</v>
      </c>
      <c r="U138" s="54">
        <f t="shared" si="16"/>
        <v>0.317142857142857</v>
      </c>
      <c r="V138" s="54">
        <f t="shared" si="17"/>
        <v>2.22</v>
      </c>
      <c r="W138" s="55">
        <f t="shared" si="18"/>
        <v>0.0536620739666425</v>
      </c>
    </row>
    <row r="139" customFormat="1" ht="22.5" customHeight="1" spans="1:23">
      <c r="A139" s="49" t="s">
        <v>563</v>
      </c>
      <c r="B139" s="49" t="s">
        <v>542</v>
      </c>
      <c r="C139" s="49" t="s">
        <v>319</v>
      </c>
      <c r="D139" s="50">
        <v>287180832245</v>
      </c>
      <c r="E139" s="49" t="s">
        <v>511</v>
      </c>
      <c r="F139" s="51">
        <v>46097</v>
      </c>
      <c r="G139" s="52">
        <v>46085</v>
      </c>
      <c r="H139" s="52">
        <v>46100</v>
      </c>
      <c r="I139" s="52" t="s">
        <v>484</v>
      </c>
      <c r="J139" s="52" t="s">
        <v>30</v>
      </c>
      <c r="K139" s="52" t="s">
        <v>34</v>
      </c>
      <c r="L139" s="49">
        <v>332</v>
      </c>
      <c r="M139" s="49">
        <v>8</v>
      </c>
      <c r="N139" s="49">
        <v>1</v>
      </c>
      <c r="O139" s="53">
        <v>3.54</v>
      </c>
      <c r="P139" s="53">
        <v>29.88</v>
      </c>
      <c r="Q139" s="53">
        <f>_xlfn.XLOOKUP(C139,[2]Sheet1!$B:$B,[2]Sheet1!$AH:$AH)</f>
        <v>112.76</v>
      </c>
      <c r="R139" s="54">
        <f t="shared" si="13"/>
        <v>8.44067796610169</v>
      </c>
      <c r="S139" s="55">
        <f t="shared" si="14"/>
        <v>0.125</v>
      </c>
      <c r="T139" s="55">
        <f t="shared" si="15"/>
        <v>0.0240963855421687</v>
      </c>
      <c r="U139" s="54">
        <f t="shared" si="16"/>
        <v>0.4425</v>
      </c>
      <c r="V139" s="54">
        <f t="shared" si="17"/>
        <v>3.54</v>
      </c>
      <c r="W139" s="55">
        <f t="shared" si="18"/>
        <v>0.118473895582329</v>
      </c>
    </row>
    <row r="140" customFormat="1" ht="22.5" customHeight="1" spans="1:23">
      <c r="A140" s="49" t="s">
        <v>563</v>
      </c>
      <c r="B140" s="49" t="s">
        <v>513</v>
      </c>
      <c r="C140" s="49" t="s">
        <v>339</v>
      </c>
      <c r="D140" s="50">
        <v>117085059550</v>
      </c>
      <c r="E140" s="49" t="s">
        <v>502</v>
      </c>
      <c r="F140" s="51">
        <v>46104</v>
      </c>
      <c r="G140" s="52">
        <v>46092</v>
      </c>
      <c r="H140" s="52">
        <v>46104</v>
      </c>
      <c r="I140" s="52" t="s">
        <v>484</v>
      </c>
      <c r="J140" s="52" t="s">
        <v>489</v>
      </c>
      <c r="K140" s="52" t="s">
        <v>34</v>
      </c>
      <c r="L140" s="49">
        <v>801</v>
      </c>
      <c r="M140" s="49">
        <v>7</v>
      </c>
      <c r="N140" s="49">
        <v>1</v>
      </c>
      <c r="O140" s="53">
        <v>2.05</v>
      </c>
      <c r="P140" s="53">
        <v>12.32</v>
      </c>
      <c r="Q140" s="53">
        <f>_xlfn.XLOOKUP(C140,[2]Sheet1!$B:$B,[2]Sheet1!$AH:$AH)</f>
        <v>23.08</v>
      </c>
      <c r="R140" s="54">
        <f t="shared" si="13"/>
        <v>6.00975609756098</v>
      </c>
      <c r="S140" s="55">
        <f t="shared" si="14"/>
        <v>0.142857142857143</v>
      </c>
      <c r="T140" s="55">
        <f t="shared" si="15"/>
        <v>0.00873907615480649</v>
      </c>
      <c r="U140" s="54">
        <f t="shared" si="16"/>
        <v>0.292857142857143</v>
      </c>
      <c r="V140" s="54">
        <f t="shared" si="17"/>
        <v>2.05</v>
      </c>
      <c r="W140" s="55">
        <f t="shared" si="18"/>
        <v>0.166396103896104</v>
      </c>
    </row>
    <row r="141" customFormat="1" ht="22.5" customHeight="1" spans="1:23">
      <c r="A141" s="49" t="s">
        <v>563</v>
      </c>
      <c r="B141" s="49" t="s">
        <v>490</v>
      </c>
      <c r="C141" s="49" t="s">
        <v>491</v>
      </c>
      <c r="D141" s="50">
        <v>117032563600</v>
      </c>
      <c r="E141" s="49" t="s">
        <v>565</v>
      </c>
      <c r="F141" s="51">
        <v>46083</v>
      </c>
      <c r="G141" s="52">
        <v>46062</v>
      </c>
      <c r="H141" s="52">
        <v>46068</v>
      </c>
      <c r="I141" s="52" t="s">
        <v>484</v>
      </c>
      <c r="J141" s="52" t="s">
        <v>30</v>
      </c>
      <c r="K141" s="52" t="s">
        <v>493</v>
      </c>
      <c r="L141" s="49">
        <v>2147</v>
      </c>
      <c r="M141" s="49">
        <v>7</v>
      </c>
      <c r="N141" s="49">
        <v>0</v>
      </c>
      <c r="O141" s="53">
        <v>2.21</v>
      </c>
      <c r="P141" s="53">
        <v>0</v>
      </c>
      <c r="Q141" s="53">
        <f>_xlfn.XLOOKUP(C141,[2]Sheet1!$B:$B,[2]Sheet1!$AH:$AH)</f>
        <v>248.09</v>
      </c>
      <c r="R141" s="54">
        <f t="shared" si="13"/>
        <v>0</v>
      </c>
      <c r="S141" s="55">
        <f t="shared" si="14"/>
        <v>0</v>
      </c>
      <c r="T141" s="55">
        <f t="shared" si="15"/>
        <v>0.00326036329762459</v>
      </c>
      <c r="U141" s="54">
        <f t="shared" si="16"/>
        <v>0.315714285714286</v>
      </c>
      <c r="V141" s="54" t="e">
        <f t="shared" si="17"/>
        <v>#DIV/0!</v>
      </c>
      <c r="W141" s="55" t="e">
        <f t="shared" si="18"/>
        <v>#DIV/0!</v>
      </c>
    </row>
    <row r="142" customFormat="1" ht="22.5" customHeight="1" spans="1:23">
      <c r="A142" s="49" t="s">
        <v>563</v>
      </c>
      <c r="B142" s="49" t="s">
        <v>522</v>
      </c>
      <c r="C142" s="49" t="s">
        <v>523</v>
      </c>
      <c r="D142" s="50">
        <v>117043458011</v>
      </c>
      <c r="E142" s="49" t="s">
        <v>502</v>
      </c>
      <c r="F142" s="51">
        <v>46082</v>
      </c>
      <c r="G142" s="52">
        <v>46066</v>
      </c>
      <c r="H142" s="52">
        <v>46069</v>
      </c>
      <c r="I142" s="52" t="s">
        <v>26</v>
      </c>
      <c r="J142" s="52" t="s">
        <v>497</v>
      </c>
      <c r="K142" s="52" t="s">
        <v>34</v>
      </c>
      <c r="L142" s="49">
        <v>665</v>
      </c>
      <c r="M142" s="49">
        <v>14</v>
      </c>
      <c r="N142" s="49">
        <v>0</v>
      </c>
      <c r="O142" s="53">
        <v>5.35</v>
      </c>
      <c r="P142" s="53">
        <v>0</v>
      </c>
      <c r="Q142" s="53">
        <f>_xlfn.XLOOKUP(C142,[2]Sheet1!$B:$B,[2]Sheet1!$AH:$AH)</f>
        <v>52</v>
      </c>
      <c r="R142" s="54">
        <f t="shared" si="13"/>
        <v>0</v>
      </c>
      <c r="S142" s="55">
        <f t="shared" si="14"/>
        <v>0</v>
      </c>
      <c r="T142" s="55">
        <f t="shared" si="15"/>
        <v>0.0210526315789474</v>
      </c>
      <c r="U142" s="54">
        <f t="shared" si="16"/>
        <v>0.382142857142857</v>
      </c>
      <c r="V142" s="54" t="e">
        <f t="shared" si="17"/>
        <v>#DIV/0!</v>
      </c>
      <c r="W142" s="55" t="e">
        <f t="shared" si="18"/>
        <v>#DIV/0!</v>
      </c>
    </row>
    <row r="143" customFormat="1" ht="22.5" customHeight="1" spans="1:23">
      <c r="A143" s="49" t="s">
        <v>563</v>
      </c>
      <c r="B143" s="49" t="s">
        <v>537</v>
      </c>
      <c r="C143" s="49" t="s">
        <v>333</v>
      </c>
      <c r="D143" s="50">
        <v>117081144249</v>
      </c>
      <c r="E143" s="49" t="s">
        <v>502</v>
      </c>
      <c r="F143" s="51">
        <v>46099</v>
      </c>
      <c r="G143" s="52">
        <v>46091</v>
      </c>
      <c r="H143" s="52">
        <v>46101</v>
      </c>
      <c r="I143" s="52" t="s">
        <v>484</v>
      </c>
      <c r="J143" s="52" t="s">
        <v>489</v>
      </c>
      <c r="K143" s="52" t="s">
        <v>34</v>
      </c>
      <c r="L143" s="49">
        <v>635</v>
      </c>
      <c r="M143" s="49">
        <v>5</v>
      </c>
      <c r="N143" s="49">
        <v>0</v>
      </c>
      <c r="O143" s="53">
        <v>1.86</v>
      </c>
      <c r="P143" s="53">
        <v>0</v>
      </c>
      <c r="Q143" s="53">
        <f>_xlfn.XLOOKUP(C143,[2]Sheet1!$B:$B,[2]Sheet1!$AH:$AH)</f>
        <v>0</v>
      </c>
      <c r="R143" s="54">
        <f t="shared" si="13"/>
        <v>0</v>
      </c>
      <c r="S143" s="55">
        <f t="shared" si="14"/>
        <v>0</v>
      </c>
      <c r="T143" s="55">
        <f t="shared" si="15"/>
        <v>0.0078740157480315</v>
      </c>
      <c r="U143" s="54">
        <f t="shared" si="16"/>
        <v>0.372</v>
      </c>
      <c r="V143" s="54" t="e">
        <f t="shared" si="17"/>
        <v>#DIV/0!</v>
      </c>
      <c r="W143" s="55" t="e">
        <f t="shared" si="18"/>
        <v>#DIV/0!</v>
      </c>
    </row>
    <row r="144" customFormat="1" ht="22.5" customHeight="1" spans="1:23">
      <c r="A144" s="49" t="s">
        <v>563</v>
      </c>
      <c r="B144" s="49" t="s">
        <v>537</v>
      </c>
      <c r="C144" s="49" t="s">
        <v>334</v>
      </c>
      <c r="D144" s="50">
        <v>117081148250</v>
      </c>
      <c r="E144" s="49" t="s">
        <v>502</v>
      </c>
      <c r="F144" s="51">
        <v>46099</v>
      </c>
      <c r="G144" s="52">
        <v>46091</v>
      </c>
      <c r="H144" s="52">
        <v>46106</v>
      </c>
      <c r="I144" s="52" t="s">
        <v>484</v>
      </c>
      <c r="J144" s="52" t="s">
        <v>489</v>
      </c>
      <c r="K144" s="52" t="s">
        <v>34</v>
      </c>
      <c r="L144" s="49">
        <v>1056</v>
      </c>
      <c r="M144" s="49">
        <v>8</v>
      </c>
      <c r="N144" s="49">
        <v>0</v>
      </c>
      <c r="O144" s="53">
        <v>2.73</v>
      </c>
      <c r="P144" s="53">
        <v>0</v>
      </c>
      <c r="Q144" s="53">
        <f>_xlfn.XLOOKUP(C144,[2]Sheet1!$B:$B,[2]Sheet1!$AH:$AH)</f>
        <v>38</v>
      </c>
      <c r="R144" s="54">
        <f t="shared" si="13"/>
        <v>0</v>
      </c>
      <c r="S144" s="55">
        <f t="shared" si="14"/>
        <v>0</v>
      </c>
      <c r="T144" s="55">
        <f t="shared" si="15"/>
        <v>0.00757575757575758</v>
      </c>
      <c r="U144" s="54">
        <f t="shared" si="16"/>
        <v>0.34125</v>
      </c>
      <c r="V144" s="54" t="e">
        <f t="shared" si="17"/>
        <v>#DIV/0!</v>
      </c>
      <c r="W144" s="55" t="e">
        <f t="shared" si="18"/>
        <v>#DIV/0!</v>
      </c>
    </row>
    <row r="145" customFormat="1" ht="22.5" customHeight="1" spans="1:23">
      <c r="A145" s="49" t="s">
        <v>563</v>
      </c>
      <c r="B145" s="49" t="s">
        <v>516</v>
      </c>
      <c r="C145" s="49" t="s">
        <v>517</v>
      </c>
      <c r="D145" s="50">
        <v>117032570263</v>
      </c>
      <c r="E145" s="49" t="s">
        <v>502</v>
      </c>
      <c r="F145" s="51">
        <v>46105</v>
      </c>
      <c r="G145" s="52">
        <v>46062</v>
      </c>
      <c r="H145" s="52">
        <v>46117</v>
      </c>
      <c r="I145" s="52" t="s">
        <v>496</v>
      </c>
      <c r="J145" s="52" t="s">
        <v>518</v>
      </c>
      <c r="K145" s="52" t="s">
        <v>34</v>
      </c>
      <c r="L145" s="49">
        <v>268</v>
      </c>
      <c r="M145" s="49">
        <v>4</v>
      </c>
      <c r="N145" s="49">
        <v>0</v>
      </c>
      <c r="O145" s="53">
        <v>2.36</v>
      </c>
      <c r="P145" s="53">
        <v>0</v>
      </c>
      <c r="Q145" s="53">
        <f>_xlfn.XLOOKUP(C145,[2]Sheet1!$B:$B,[2]Sheet1!$AH:$AH)</f>
        <v>0</v>
      </c>
      <c r="R145" s="54">
        <f t="shared" si="13"/>
        <v>0</v>
      </c>
      <c r="S145" s="55">
        <f t="shared" si="14"/>
        <v>0</v>
      </c>
      <c r="T145" s="55">
        <f t="shared" si="15"/>
        <v>0.0149253731343284</v>
      </c>
      <c r="U145" s="54">
        <f t="shared" si="16"/>
        <v>0.59</v>
      </c>
      <c r="V145" s="54" t="e">
        <f t="shared" si="17"/>
        <v>#DIV/0!</v>
      </c>
      <c r="W145" s="55" t="e">
        <f t="shared" si="18"/>
        <v>#DIV/0!</v>
      </c>
    </row>
    <row r="146" customFormat="1" ht="22.5" customHeight="1" spans="1:23">
      <c r="A146" s="49" t="s">
        <v>563</v>
      </c>
      <c r="B146" s="49" t="s">
        <v>500</v>
      </c>
      <c r="C146" s="49" t="s">
        <v>501</v>
      </c>
      <c r="D146" s="50">
        <v>117053097094</v>
      </c>
      <c r="E146" s="49" t="s">
        <v>502</v>
      </c>
      <c r="F146" s="51">
        <v>46115</v>
      </c>
      <c r="G146" s="52">
        <v>46070</v>
      </c>
      <c r="H146" s="52">
        <v>46073</v>
      </c>
      <c r="I146" s="52" t="s">
        <v>503</v>
      </c>
      <c r="J146" s="52" t="s">
        <v>497</v>
      </c>
      <c r="K146" s="52" t="s">
        <v>34</v>
      </c>
      <c r="L146" s="49">
        <v>693</v>
      </c>
      <c r="M146" s="49">
        <v>0</v>
      </c>
      <c r="N146" s="49">
        <v>0</v>
      </c>
      <c r="O146" s="53">
        <v>0</v>
      </c>
      <c r="P146" s="53">
        <v>0</v>
      </c>
      <c r="Q146" s="53">
        <f>_xlfn.XLOOKUP(C146,[2]Sheet1!$B:$B,[2]Sheet1!$AH:$AH)</f>
        <v>0</v>
      </c>
      <c r="R146" s="54" t="e">
        <f t="shared" si="13"/>
        <v>#DIV/0!</v>
      </c>
      <c r="S146" s="55" t="e">
        <f t="shared" si="14"/>
        <v>#DIV/0!</v>
      </c>
      <c r="T146" s="55">
        <f t="shared" si="15"/>
        <v>0</v>
      </c>
      <c r="U146" s="54" t="e">
        <f t="shared" si="16"/>
        <v>#DIV/0!</v>
      </c>
      <c r="V146" s="54" t="e">
        <f t="shared" si="17"/>
        <v>#DIV/0!</v>
      </c>
      <c r="W146" s="55" t="e">
        <f t="shared" si="18"/>
        <v>#DIV/0!</v>
      </c>
    </row>
    <row r="147" customFormat="1" ht="22.5" customHeight="1" spans="1:23">
      <c r="A147" s="49" t="s">
        <v>563</v>
      </c>
      <c r="B147" s="49" t="s">
        <v>550</v>
      </c>
      <c r="C147" s="49" t="s">
        <v>375</v>
      </c>
      <c r="D147" s="50">
        <v>117109082220</v>
      </c>
      <c r="E147" s="49" t="s">
        <v>502</v>
      </c>
      <c r="F147" s="51">
        <v>46120</v>
      </c>
      <c r="G147" s="52">
        <v>46105</v>
      </c>
      <c r="H147" s="52">
        <v>46125</v>
      </c>
      <c r="I147" s="52" t="s">
        <v>26</v>
      </c>
      <c r="J147" s="52" t="s">
        <v>518</v>
      </c>
      <c r="K147" s="52" t="s">
        <v>34</v>
      </c>
      <c r="L147" s="49">
        <v>49</v>
      </c>
      <c r="M147" s="49">
        <v>0</v>
      </c>
      <c r="N147" s="49">
        <v>0</v>
      </c>
      <c r="O147" s="53">
        <v>0</v>
      </c>
      <c r="P147" s="53">
        <v>0</v>
      </c>
      <c r="Q147" s="53">
        <f>_xlfn.XLOOKUP(C147,[2]Sheet1!$B:$B,[2]Sheet1!$AH:$AH)</f>
        <v>0</v>
      </c>
      <c r="R147" s="54" t="e">
        <f t="shared" si="13"/>
        <v>#DIV/0!</v>
      </c>
      <c r="S147" s="55" t="e">
        <f t="shared" si="14"/>
        <v>#DIV/0!</v>
      </c>
      <c r="T147" s="55">
        <f t="shared" si="15"/>
        <v>0</v>
      </c>
      <c r="U147" s="54" t="e">
        <f t="shared" si="16"/>
        <v>#DIV/0!</v>
      </c>
      <c r="V147" s="54" t="e">
        <f t="shared" si="17"/>
        <v>#DIV/0!</v>
      </c>
      <c r="W147" s="55" t="e">
        <f t="shared" si="18"/>
        <v>#DIV/0!</v>
      </c>
    </row>
    <row r="148" customFormat="1" ht="22.5" customHeight="1" spans="1:23">
      <c r="A148" s="49" t="s">
        <v>563</v>
      </c>
      <c r="B148" s="49" t="s">
        <v>539</v>
      </c>
      <c r="C148" s="49" t="s">
        <v>340</v>
      </c>
      <c r="D148" s="50">
        <v>117083102708</v>
      </c>
      <c r="E148" s="49" t="s">
        <v>502</v>
      </c>
      <c r="F148" s="51">
        <v>46121</v>
      </c>
      <c r="G148" s="52">
        <v>46092</v>
      </c>
      <c r="H148" s="52">
        <v>46096</v>
      </c>
      <c r="I148" s="52" t="s">
        <v>505</v>
      </c>
      <c r="J148" s="52" t="s">
        <v>489</v>
      </c>
      <c r="K148" s="52" t="s">
        <v>493</v>
      </c>
      <c r="L148" s="49">
        <v>886</v>
      </c>
      <c r="M148" s="49">
        <v>1</v>
      </c>
      <c r="N148" s="49">
        <v>0</v>
      </c>
      <c r="O148" s="53">
        <v>0.2</v>
      </c>
      <c r="P148" s="53">
        <v>0</v>
      </c>
      <c r="Q148" s="53">
        <f>_xlfn.XLOOKUP(C148,[2]Sheet1!$B:$B,[2]Sheet1!$AH:$AH)</f>
        <v>0</v>
      </c>
      <c r="R148" s="54">
        <f t="shared" si="13"/>
        <v>0</v>
      </c>
      <c r="S148" s="55">
        <f t="shared" si="14"/>
        <v>0</v>
      </c>
      <c r="T148" s="55">
        <f t="shared" si="15"/>
        <v>0.00112866817155756</v>
      </c>
      <c r="U148" s="54">
        <f t="shared" si="16"/>
        <v>0.2</v>
      </c>
      <c r="V148" s="54" t="e">
        <f t="shared" si="17"/>
        <v>#DIV/0!</v>
      </c>
      <c r="W148" s="55" t="e">
        <f t="shared" si="18"/>
        <v>#DIV/0!</v>
      </c>
    </row>
    <row r="149" customFormat="1" ht="22.5" customHeight="1" spans="1:23">
      <c r="A149" s="49" t="s">
        <v>563</v>
      </c>
      <c r="B149" s="49" t="s">
        <v>539</v>
      </c>
      <c r="C149" s="49" t="s">
        <v>341</v>
      </c>
      <c r="D149" s="50">
        <v>117083115196</v>
      </c>
      <c r="E149" s="49" t="s">
        <v>502</v>
      </c>
      <c r="F149" s="51">
        <v>46121</v>
      </c>
      <c r="G149" s="52">
        <v>46092</v>
      </c>
      <c r="H149" s="52">
        <v>46112</v>
      </c>
      <c r="I149" s="52" t="s">
        <v>505</v>
      </c>
      <c r="J149" s="52" t="s">
        <v>489</v>
      </c>
      <c r="K149" s="52" t="s">
        <v>493</v>
      </c>
      <c r="L149" s="49">
        <v>744</v>
      </c>
      <c r="M149" s="49">
        <v>0</v>
      </c>
      <c r="N149" s="49">
        <v>0</v>
      </c>
      <c r="O149" s="53">
        <v>0</v>
      </c>
      <c r="P149" s="53">
        <v>0</v>
      </c>
      <c r="Q149" s="53">
        <f>_xlfn.XLOOKUP(C149,[2]Sheet1!$B:$B,[2]Sheet1!$AH:$AH)</f>
        <v>0</v>
      </c>
      <c r="R149" s="54" t="e">
        <f t="shared" si="13"/>
        <v>#DIV/0!</v>
      </c>
      <c r="S149" s="55" t="e">
        <f t="shared" si="14"/>
        <v>#DIV/0!</v>
      </c>
      <c r="T149" s="55">
        <f t="shared" si="15"/>
        <v>0</v>
      </c>
      <c r="U149" s="54" t="e">
        <f t="shared" si="16"/>
        <v>#DIV/0!</v>
      </c>
      <c r="V149" s="54" t="e">
        <f t="shared" si="17"/>
        <v>#DIV/0!</v>
      </c>
      <c r="W149" s="55" t="e">
        <f t="shared" si="18"/>
        <v>#DIV/0!</v>
      </c>
    </row>
    <row r="150" customFormat="1" ht="22.5" customHeight="1" spans="1:23">
      <c r="A150" s="49" t="s">
        <v>563</v>
      </c>
      <c r="B150" s="49" t="s">
        <v>555</v>
      </c>
      <c r="C150" s="49" t="s">
        <v>367</v>
      </c>
      <c r="D150" s="50">
        <v>117105226831</v>
      </c>
      <c r="E150" s="49" t="s">
        <v>502</v>
      </c>
      <c r="F150" s="51">
        <v>46135</v>
      </c>
      <c r="G150" s="52">
        <v>46104</v>
      </c>
      <c r="H150" s="52" t="s">
        <v>149</v>
      </c>
      <c r="I150" s="52" t="s">
        <v>496</v>
      </c>
      <c r="J150" s="52" t="s">
        <v>30</v>
      </c>
      <c r="K150" s="52" t="s">
        <v>34</v>
      </c>
      <c r="L150" s="49">
        <v>29162</v>
      </c>
      <c r="M150" s="49">
        <v>35</v>
      </c>
      <c r="N150" s="49">
        <v>0</v>
      </c>
      <c r="O150" s="53">
        <v>28.88</v>
      </c>
      <c r="P150" s="53">
        <v>0</v>
      </c>
      <c r="Q150" s="53">
        <f>_xlfn.XLOOKUP(C150,[2]Sheet1!$B:$B,[2]Sheet1!$AH:$AH)</f>
        <v>0</v>
      </c>
      <c r="R150" s="54">
        <f t="shared" si="13"/>
        <v>0</v>
      </c>
      <c r="S150" s="55">
        <f t="shared" si="14"/>
        <v>0</v>
      </c>
      <c r="T150" s="55">
        <f t="shared" si="15"/>
        <v>0.00120019203072492</v>
      </c>
      <c r="U150" s="54">
        <f t="shared" si="16"/>
        <v>0.825142857142857</v>
      </c>
      <c r="V150" s="54" t="e">
        <f t="shared" si="17"/>
        <v>#DIV/0!</v>
      </c>
      <c r="W150" s="55" t="e">
        <f t="shared" si="18"/>
        <v>#DIV/0!</v>
      </c>
    </row>
    <row r="151" customFormat="1" ht="22.5" customHeight="1" spans="1:23">
      <c r="A151" s="49" t="s">
        <v>563</v>
      </c>
      <c r="B151" s="49" t="s">
        <v>555</v>
      </c>
      <c r="C151" s="49" t="s">
        <v>383</v>
      </c>
      <c r="D151" s="50">
        <v>117115651168</v>
      </c>
      <c r="E151" s="49" t="s">
        <v>502</v>
      </c>
      <c r="F151" s="51">
        <v>46135</v>
      </c>
      <c r="G151" s="52">
        <v>46108</v>
      </c>
      <c r="H151" s="52" t="s">
        <v>149</v>
      </c>
      <c r="I151" s="52" t="s">
        <v>26</v>
      </c>
      <c r="J151" s="52" t="s">
        <v>30</v>
      </c>
      <c r="K151" s="52" t="s">
        <v>493</v>
      </c>
      <c r="L151" s="49">
        <v>6074</v>
      </c>
      <c r="M151" s="49">
        <v>1</v>
      </c>
      <c r="N151" s="49">
        <v>0</v>
      </c>
      <c r="O151" s="53">
        <v>0.41</v>
      </c>
      <c r="P151" s="53">
        <v>0</v>
      </c>
      <c r="Q151" s="53">
        <f>_xlfn.XLOOKUP(C151,[2]Sheet1!$B:$B,[2]Sheet1!$AH:$AH)</f>
        <v>0</v>
      </c>
      <c r="R151" s="54">
        <f t="shared" si="13"/>
        <v>0</v>
      </c>
      <c r="S151" s="55">
        <f t="shared" si="14"/>
        <v>0</v>
      </c>
      <c r="T151" s="55">
        <f t="shared" si="15"/>
        <v>0.00016463615409944</v>
      </c>
      <c r="U151" s="54">
        <f t="shared" si="16"/>
        <v>0.41</v>
      </c>
      <c r="V151" s="54" t="e">
        <f t="shared" si="17"/>
        <v>#DIV/0!</v>
      </c>
      <c r="W151" s="55" t="e">
        <f t="shared" si="18"/>
        <v>#DIV/0!</v>
      </c>
    </row>
    <row r="152" customFormat="1" ht="22.5" customHeight="1" spans="1:23">
      <c r="A152" s="49" t="s">
        <v>563</v>
      </c>
      <c r="B152" s="49" t="s">
        <v>555</v>
      </c>
      <c r="C152" s="49" t="s">
        <v>384</v>
      </c>
      <c r="D152" s="50">
        <v>117115653271</v>
      </c>
      <c r="E152" s="49" t="s">
        <v>502</v>
      </c>
      <c r="F152" s="51">
        <v>46135</v>
      </c>
      <c r="G152" s="52">
        <v>46108</v>
      </c>
      <c r="H152" s="52">
        <v>46141</v>
      </c>
      <c r="I152" s="52" t="s">
        <v>26</v>
      </c>
      <c r="J152" s="52" t="s">
        <v>30</v>
      </c>
      <c r="K152" s="52" t="s">
        <v>493</v>
      </c>
      <c r="L152" s="49">
        <v>7224</v>
      </c>
      <c r="M152" s="49">
        <v>9</v>
      </c>
      <c r="N152" s="49">
        <v>0</v>
      </c>
      <c r="O152" s="53">
        <v>4.9</v>
      </c>
      <c r="P152" s="53">
        <v>0</v>
      </c>
      <c r="Q152" s="53">
        <f>_xlfn.XLOOKUP(C152,[2]Sheet1!$B:$B,[2]Sheet1!$AH:$AH)</f>
        <v>250</v>
      </c>
      <c r="R152" s="54">
        <f t="shared" si="13"/>
        <v>0</v>
      </c>
      <c r="S152" s="55">
        <f t="shared" si="14"/>
        <v>0</v>
      </c>
      <c r="T152" s="55">
        <f t="shared" si="15"/>
        <v>0.00124584717607973</v>
      </c>
      <c r="U152" s="54">
        <f t="shared" si="16"/>
        <v>0.544444444444445</v>
      </c>
      <c r="V152" s="54" t="e">
        <f t="shared" si="17"/>
        <v>#DIV/0!</v>
      </c>
      <c r="W152" s="55" t="e">
        <f t="shared" si="18"/>
        <v>#DIV/0!</v>
      </c>
    </row>
    <row r="153" customFormat="1" ht="22.5" customHeight="1" spans="1:23">
      <c r="A153" s="49" t="s">
        <v>563</v>
      </c>
      <c r="B153" s="49" t="s">
        <v>566</v>
      </c>
      <c r="C153" s="49" t="s">
        <v>378</v>
      </c>
      <c r="D153" s="50">
        <v>117115641168</v>
      </c>
      <c r="E153" s="49" t="s">
        <v>502</v>
      </c>
      <c r="F153" s="51">
        <v>46140</v>
      </c>
      <c r="G153" s="52">
        <v>46108</v>
      </c>
      <c r="H153" s="52" t="s">
        <v>149</v>
      </c>
      <c r="I153" s="52" t="s">
        <v>26</v>
      </c>
      <c r="J153" s="52" t="s">
        <v>30</v>
      </c>
      <c r="K153" s="52" t="s">
        <v>493</v>
      </c>
      <c r="L153" s="49">
        <v>9084</v>
      </c>
      <c r="M153" s="49">
        <v>9</v>
      </c>
      <c r="N153" s="49">
        <v>0</v>
      </c>
      <c r="O153" s="53">
        <v>9.87</v>
      </c>
      <c r="P153" s="53">
        <v>0</v>
      </c>
      <c r="Q153" s="53">
        <f>_xlfn.XLOOKUP(C153,[2]Sheet1!$B:$B,[2]Sheet1!$AH:$AH)</f>
        <v>0</v>
      </c>
      <c r="R153" s="54">
        <f t="shared" si="13"/>
        <v>0</v>
      </c>
      <c r="S153" s="55">
        <f t="shared" si="14"/>
        <v>0</v>
      </c>
      <c r="T153" s="55">
        <f t="shared" si="15"/>
        <v>0.000990752972258917</v>
      </c>
      <c r="U153" s="54">
        <f t="shared" si="16"/>
        <v>1.09666666666667</v>
      </c>
      <c r="V153" s="54" t="e">
        <f t="shared" si="17"/>
        <v>#DIV/0!</v>
      </c>
      <c r="W153" s="55" t="e">
        <f t="shared" si="18"/>
        <v>#DIV/0!</v>
      </c>
    </row>
    <row r="154" customFormat="1" ht="22.5" customHeight="1" spans="1:23">
      <c r="A154" s="49" t="s">
        <v>563</v>
      </c>
      <c r="B154" s="49" t="s">
        <v>567</v>
      </c>
      <c r="C154" s="49" t="s">
        <v>568</v>
      </c>
      <c r="D154" s="50">
        <v>117032554270</v>
      </c>
      <c r="E154" s="49" t="s">
        <v>502</v>
      </c>
      <c r="F154" s="51">
        <v>46141</v>
      </c>
      <c r="G154" s="52">
        <v>46062</v>
      </c>
      <c r="H154" s="52">
        <v>46063</v>
      </c>
      <c r="I154" s="52" t="s">
        <v>26</v>
      </c>
      <c r="J154" s="52" t="s">
        <v>30</v>
      </c>
      <c r="K154" s="52" t="s">
        <v>34</v>
      </c>
      <c r="L154" s="49">
        <v>13</v>
      </c>
      <c r="M154" s="49">
        <v>0</v>
      </c>
      <c r="N154" s="49">
        <v>0</v>
      </c>
      <c r="O154" s="53">
        <v>0</v>
      </c>
      <c r="P154" s="53">
        <v>0</v>
      </c>
      <c r="Q154" s="53">
        <f>_xlfn.XLOOKUP(C154,[2]Sheet1!$B:$B,[2]Sheet1!$AH:$AH)</f>
        <v>158</v>
      </c>
      <c r="R154" s="54" t="e">
        <f t="shared" si="13"/>
        <v>#DIV/0!</v>
      </c>
      <c r="S154" s="55" t="e">
        <f t="shared" si="14"/>
        <v>#DIV/0!</v>
      </c>
      <c r="T154" s="55">
        <f t="shared" si="15"/>
        <v>0</v>
      </c>
      <c r="U154" s="54" t="e">
        <f t="shared" si="16"/>
        <v>#DIV/0!</v>
      </c>
      <c r="V154" s="54" t="e">
        <f t="shared" si="17"/>
        <v>#DIV/0!</v>
      </c>
      <c r="W154" s="55" t="e">
        <f t="shared" si="18"/>
        <v>#DIV/0!</v>
      </c>
    </row>
    <row r="155" customFormat="1" ht="22.5" customHeight="1" spans="1:23">
      <c r="A155" s="49" t="s">
        <v>563</v>
      </c>
      <c r="B155" s="49" t="s">
        <v>569</v>
      </c>
      <c r="C155" s="49" t="s">
        <v>359</v>
      </c>
      <c r="D155" s="50">
        <v>117093803059</v>
      </c>
      <c r="E155" s="49" t="s">
        <v>502</v>
      </c>
      <c r="F155" s="51">
        <v>46141</v>
      </c>
      <c r="G155" s="52">
        <v>46097</v>
      </c>
      <c r="H155" s="52">
        <v>46104</v>
      </c>
      <c r="I155" s="52" t="s">
        <v>496</v>
      </c>
      <c r="J155" s="52" t="s">
        <v>497</v>
      </c>
      <c r="K155" s="52" t="s">
        <v>34</v>
      </c>
      <c r="L155" s="49">
        <v>55</v>
      </c>
      <c r="M155" s="49">
        <v>3</v>
      </c>
      <c r="N155" s="49">
        <v>0</v>
      </c>
      <c r="O155" s="53">
        <v>1.36</v>
      </c>
      <c r="P155" s="53">
        <v>0</v>
      </c>
      <c r="Q155" s="53">
        <f>_xlfn.XLOOKUP(C155,[2]Sheet1!$B:$B,[2]Sheet1!$AH:$AH)</f>
        <v>190</v>
      </c>
      <c r="R155" s="54">
        <f t="shared" si="13"/>
        <v>0</v>
      </c>
      <c r="S155" s="55">
        <f t="shared" si="14"/>
        <v>0</v>
      </c>
      <c r="T155" s="55">
        <f t="shared" si="15"/>
        <v>0.0545454545454545</v>
      </c>
      <c r="U155" s="54">
        <f t="shared" si="16"/>
        <v>0.453333333333333</v>
      </c>
      <c r="V155" s="54" t="e">
        <f t="shared" si="17"/>
        <v>#DIV/0!</v>
      </c>
      <c r="W155" s="55" t="e">
        <f t="shared" si="18"/>
        <v>#DIV/0!</v>
      </c>
    </row>
    <row r="156" customFormat="1" ht="22.5" customHeight="1" spans="1:23">
      <c r="A156" s="49" t="s">
        <v>563</v>
      </c>
      <c r="B156" s="49" t="s">
        <v>514</v>
      </c>
      <c r="C156" s="49" t="s">
        <v>494</v>
      </c>
      <c r="D156" s="50">
        <v>336471547458</v>
      </c>
      <c r="E156" s="49" t="s">
        <v>515</v>
      </c>
      <c r="F156" s="51">
        <v>46122</v>
      </c>
      <c r="G156" s="52">
        <v>46066</v>
      </c>
      <c r="H156" s="52">
        <v>46077</v>
      </c>
      <c r="I156" s="52" t="s">
        <v>484</v>
      </c>
      <c r="J156" s="52" t="s">
        <v>489</v>
      </c>
      <c r="K156" s="52" t="s">
        <v>34</v>
      </c>
      <c r="L156" s="49">
        <v>1894</v>
      </c>
      <c r="M156" s="49">
        <v>2</v>
      </c>
      <c r="N156" s="49">
        <v>0</v>
      </c>
      <c r="O156" s="53">
        <v>0.95</v>
      </c>
      <c r="P156" s="53">
        <v>0</v>
      </c>
      <c r="Q156" s="53">
        <f>_xlfn.XLOOKUP(C156,[2]Sheet1!$B:$B,[2]Sheet1!$AH:$AH)</f>
        <v>340</v>
      </c>
      <c r="R156" s="54">
        <f t="shared" si="13"/>
        <v>0</v>
      </c>
      <c r="S156" s="55">
        <f t="shared" si="14"/>
        <v>0</v>
      </c>
      <c r="T156" s="55">
        <f t="shared" si="15"/>
        <v>0.00105596620908131</v>
      </c>
      <c r="U156" s="54">
        <f t="shared" si="16"/>
        <v>0.475</v>
      </c>
      <c r="V156" s="54" t="e">
        <f t="shared" si="17"/>
        <v>#DIV/0!</v>
      </c>
      <c r="W156" s="55" t="e">
        <f t="shared" si="18"/>
        <v>#DIV/0!</v>
      </c>
    </row>
    <row r="157" customFormat="1" ht="22.5" customHeight="1" spans="1:23">
      <c r="A157" s="49" t="s">
        <v>563</v>
      </c>
      <c r="B157" s="49" t="s">
        <v>538</v>
      </c>
      <c r="C157" s="49" t="s">
        <v>333</v>
      </c>
      <c r="D157" s="50">
        <v>188139762062</v>
      </c>
      <c r="E157" s="49" t="s">
        <v>483</v>
      </c>
      <c r="F157" s="51">
        <v>46092</v>
      </c>
      <c r="G157" s="52">
        <v>46091</v>
      </c>
      <c r="H157" s="52">
        <v>46101</v>
      </c>
      <c r="I157" s="52" t="s">
        <v>484</v>
      </c>
      <c r="J157" s="52" t="s">
        <v>489</v>
      </c>
      <c r="K157" s="52" t="s">
        <v>34</v>
      </c>
      <c r="L157" s="49">
        <v>785</v>
      </c>
      <c r="M157" s="49">
        <v>1</v>
      </c>
      <c r="N157" s="49">
        <v>0</v>
      </c>
      <c r="O157" s="53">
        <v>0.38</v>
      </c>
      <c r="P157" s="53">
        <v>0</v>
      </c>
      <c r="Q157" s="53">
        <f>_xlfn.XLOOKUP(C157,[2]Sheet1!$B:$B,[2]Sheet1!$AH:$AH)</f>
        <v>0</v>
      </c>
      <c r="R157" s="54">
        <f t="shared" si="13"/>
        <v>0</v>
      </c>
      <c r="S157" s="55">
        <f t="shared" si="14"/>
        <v>0</v>
      </c>
      <c r="T157" s="55">
        <f t="shared" si="15"/>
        <v>0.00127388535031847</v>
      </c>
      <c r="U157" s="54">
        <f t="shared" si="16"/>
        <v>0.38</v>
      </c>
      <c r="V157" s="54" t="e">
        <f t="shared" si="17"/>
        <v>#DIV/0!</v>
      </c>
      <c r="W157" s="55" t="e">
        <f t="shared" si="18"/>
        <v>#DIV/0!</v>
      </c>
    </row>
    <row r="158" customFormat="1" ht="22.5" customHeight="1" spans="1:23">
      <c r="A158" s="49" t="s">
        <v>563</v>
      </c>
      <c r="B158" s="49" t="s">
        <v>541</v>
      </c>
      <c r="C158" s="49" t="s">
        <v>351</v>
      </c>
      <c r="D158" s="50">
        <v>188167162085</v>
      </c>
      <c r="E158" s="49" t="s">
        <v>483</v>
      </c>
      <c r="F158" s="51">
        <v>46098</v>
      </c>
      <c r="G158" s="52">
        <v>46097</v>
      </c>
      <c r="H158" s="52">
        <v>46103</v>
      </c>
      <c r="I158" s="52" t="s">
        <v>496</v>
      </c>
      <c r="J158" s="52" t="s">
        <v>30</v>
      </c>
      <c r="K158" s="52" t="s">
        <v>34</v>
      </c>
      <c r="L158" s="49">
        <v>1033</v>
      </c>
      <c r="M158" s="49">
        <v>5</v>
      </c>
      <c r="N158" s="49">
        <v>0</v>
      </c>
      <c r="O158" s="53">
        <v>1.81</v>
      </c>
      <c r="P158" s="53">
        <v>0</v>
      </c>
      <c r="Q158" s="53">
        <f>_xlfn.XLOOKUP(C158,[2]Sheet1!$B:$B,[2]Sheet1!$AH:$AH)</f>
        <v>0</v>
      </c>
      <c r="R158" s="54">
        <f t="shared" si="13"/>
        <v>0</v>
      </c>
      <c r="S158" s="55">
        <f t="shared" si="14"/>
        <v>0</v>
      </c>
      <c r="T158" s="55">
        <f t="shared" si="15"/>
        <v>0.00484027105517909</v>
      </c>
      <c r="U158" s="54">
        <f t="shared" si="16"/>
        <v>0.362</v>
      </c>
      <c r="V158" s="54" t="e">
        <f t="shared" si="17"/>
        <v>#DIV/0!</v>
      </c>
      <c r="W158" s="55" t="e">
        <f t="shared" si="18"/>
        <v>#DIV/0!</v>
      </c>
    </row>
    <row r="159" customFormat="1" ht="22.5" customHeight="1" spans="1:23">
      <c r="A159" s="49" t="s">
        <v>563</v>
      </c>
      <c r="B159" s="49" t="s">
        <v>519</v>
      </c>
      <c r="C159" s="49" t="s">
        <v>356</v>
      </c>
      <c r="D159" s="50">
        <v>177965595242</v>
      </c>
      <c r="E159" s="49" t="s">
        <v>483</v>
      </c>
      <c r="F159" s="51">
        <v>46100</v>
      </c>
      <c r="G159" s="52">
        <v>46097</v>
      </c>
      <c r="H159" s="52">
        <v>46100</v>
      </c>
      <c r="I159" s="52" t="s">
        <v>520</v>
      </c>
      <c r="J159" s="52" t="s">
        <v>521</v>
      </c>
      <c r="K159" s="52" t="s">
        <v>34</v>
      </c>
      <c r="L159" s="49">
        <v>62</v>
      </c>
      <c r="M159" s="49">
        <v>0</v>
      </c>
      <c r="N159" s="49">
        <v>0</v>
      </c>
      <c r="O159" s="53">
        <v>0</v>
      </c>
      <c r="P159" s="53">
        <v>0</v>
      </c>
      <c r="Q159" s="53">
        <f>_xlfn.XLOOKUP(C159,[2]Sheet1!$B:$B,[2]Sheet1!$AH:$AH)</f>
        <v>0</v>
      </c>
      <c r="R159" s="54" t="e">
        <f t="shared" si="13"/>
        <v>#DIV/0!</v>
      </c>
      <c r="S159" s="55" t="e">
        <f t="shared" si="14"/>
        <v>#DIV/0!</v>
      </c>
      <c r="T159" s="55">
        <f t="shared" si="15"/>
        <v>0</v>
      </c>
      <c r="U159" s="54" t="e">
        <f t="shared" si="16"/>
        <v>#DIV/0!</v>
      </c>
      <c r="V159" s="54" t="e">
        <f t="shared" si="17"/>
        <v>#DIV/0!</v>
      </c>
      <c r="W159" s="55" t="e">
        <f t="shared" si="18"/>
        <v>#DIV/0!</v>
      </c>
    </row>
    <row r="160" customFormat="1" ht="22.5" customHeight="1" spans="1:23">
      <c r="A160" s="49" t="s">
        <v>563</v>
      </c>
      <c r="B160" s="49" t="s">
        <v>534</v>
      </c>
      <c r="C160" s="49" t="s">
        <v>368</v>
      </c>
      <c r="D160" s="50">
        <v>188197007336</v>
      </c>
      <c r="E160" s="49" t="s">
        <v>483</v>
      </c>
      <c r="F160" s="51">
        <v>46104</v>
      </c>
      <c r="G160" s="52">
        <v>46104</v>
      </c>
      <c r="H160" s="52">
        <v>46134</v>
      </c>
      <c r="I160" s="52" t="s">
        <v>484</v>
      </c>
      <c r="J160" s="52" t="s">
        <v>521</v>
      </c>
      <c r="K160" s="52" t="s">
        <v>34</v>
      </c>
      <c r="L160" s="49">
        <v>263</v>
      </c>
      <c r="M160" s="49">
        <v>6</v>
      </c>
      <c r="N160" s="49">
        <v>0</v>
      </c>
      <c r="O160" s="53">
        <v>4.73</v>
      </c>
      <c r="P160" s="53">
        <v>0</v>
      </c>
      <c r="Q160" s="53">
        <f>_xlfn.XLOOKUP(C160,[2]Sheet1!$B:$B,[2]Sheet1!$AH:$AH)</f>
        <v>0</v>
      </c>
      <c r="R160" s="54">
        <f t="shared" si="13"/>
        <v>0</v>
      </c>
      <c r="S160" s="55">
        <f t="shared" si="14"/>
        <v>0</v>
      </c>
      <c r="T160" s="55">
        <f t="shared" si="15"/>
        <v>0.0228136882129278</v>
      </c>
      <c r="U160" s="54">
        <f t="shared" si="16"/>
        <v>0.788333333333333</v>
      </c>
      <c r="V160" s="54" t="e">
        <f t="shared" si="17"/>
        <v>#DIV/0!</v>
      </c>
      <c r="W160" s="55" t="e">
        <f t="shared" si="18"/>
        <v>#DIV/0!</v>
      </c>
    </row>
    <row r="161" customFormat="1" ht="22.5" customHeight="1" spans="1:23">
      <c r="A161" s="49" t="s">
        <v>563</v>
      </c>
      <c r="B161" s="49" t="s">
        <v>504</v>
      </c>
      <c r="C161" s="49" t="s">
        <v>340</v>
      </c>
      <c r="D161" s="50">
        <v>177947728049</v>
      </c>
      <c r="E161" s="49" t="s">
        <v>483</v>
      </c>
      <c r="F161" s="51">
        <v>46114</v>
      </c>
      <c r="G161" s="52">
        <v>46092</v>
      </c>
      <c r="H161" s="52">
        <v>46096</v>
      </c>
      <c r="I161" s="52" t="s">
        <v>505</v>
      </c>
      <c r="J161" s="52" t="s">
        <v>489</v>
      </c>
      <c r="K161" s="52" t="s">
        <v>493</v>
      </c>
      <c r="L161" s="49">
        <v>45</v>
      </c>
      <c r="M161" s="49">
        <v>0</v>
      </c>
      <c r="N161" s="49">
        <v>0</v>
      </c>
      <c r="O161" s="53">
        <v>0</v>
      </c>
      <c r="P161" s="53">
        <v>0</v>
      </c>
      <c r="Q161" s="53">
        <f>_xlfn.XLOOKUP(C161,[2]Sheet1!$B:$B,[2]Sheet1!$AH:$AH)</f>
        <v>0</v>
      </c>
      <c r="R161" s="54" t="e">
        <f t="shared" si="13"/>
        <v>#DIV/0!</v>
      </c>
      <c r="S161" s="55" t="e">
        <f t="shared" si="14"/>
        <v>#DIV/0!</v>
      </c>
      <c r="T161" s="55">
        <f t="shared" si="15"/>
        <v>0</v>
      </c>
      <c r="U161" s="54" t="e">
        <f t="shared" si="16"/>
        <v>#DIV/0!</v>
      </c>
      <c r="V161" s="54" t="e">
        <f t="shared" si="17"/>
        <v>#DIV/0!</v>
      </c>
      <c r="W161" s="55" t="e">
        <f t="shared" si="18"/>
        <v>#DIV/0!</v>
      </c>
    </row>
    <row r="162" customFormat="1" ht="22.5" customHeight="1" spans="1:23">
      <c r="A162" s="49" t="s">
        <v>563</v>
      </c>
      <c r="B162" s="49" t="s">
        <v>504</v>
      </c>
      <c r="C162" s="49" t="s">
        <v>341</v>
      </c>
      <c r="D162" s="50">
        <v>188144166107</v>
      </c>
      <c r="E162" s="49" t="s">
        <v>483</v>
      </c>
      <c r="F162" s="51">
        <v>46114</v>
      </c>
      <c r="G162" s="52">
        <v>46092</v>
      </c>
      <c r="H162" s="52">
        <v>46112</v>
      </c>
      <c r="I162" s="52" t="s">
        <v>505</v>
      </c>
      <c r="J162" s="52" t="s">
        <v>489</v>
      </c>
      <c r="K162" s="52" t="s">
        <v>493</v>
      </c>
      <c r="L162" s="49">
        <v>53</v>
      </c>
      <c r="M162" s="49">
        <v>0</v>
      </c>
      <c r="N162" s="49">
        <v>0</v>
      </c>
      <c r="O162" s="53">
        <v>0</v>
      </c>
      <c r="P162" s="53">
        <v>0</v>
      </c>
      <c r="Q162" s="53">
        <f>_xlfn.XLOOKUP(C162,[2]Sheet1!$B:$B,[2]Sheet1!$AH:$AH)</f>
        <v>0</v>
      </c>
      <c r="R162" s="54" t="e">
        <f t="shared" si="13"/>
        <v>#DIV/0!</v>
      </c>
      <c r="S162" s="55" t="e">
        <f t="shared" si="14"/>
        <v>#DIV/0!</v>
      </c>
      <c r="T162" s="55">
        <f t="shared" si="15"/>
        <v>0</v>
      </c>
      <c r="U162" s="54" t="e">
        <f t="shared" si="16"/>
        <v>#DIV/0!</v>
      </c>
      <c r="V162" s="54" t="e">
        <f t="shared" si="17"/>
        <v>#DIV/0!</v>
      </c>
      <c r="W162" s="55" t="e">
        <f t="shared" si="18"/>
        <v>#DIV/0!</v>
      </c>
    </row>
    <row r="163" customFormat="1" ht="22.5" customHeight="1" spans="1:23">
      <c r="A163" s="49" t="s">
        <v>563</v>
      </c>
      <c r="B163" s="49" t="s">
        <v>559</v>
      </c>
      <c r="C163" s="49" t="s">
        <v>389</v>
      </c>
      <c r="D163" s="50">
        <v>188306721459</v>
      </c>
      <c r="E163" s="49" t="s">
        <v>483</v>
      </c>
      <c r="F163" s="51">
        <v>46136</v>
      </c>
      <c r="G163" s="52">
        <v>46135</v>
      </c>
      <c r="H163" s="52" t="s">
        <v>149</v>
      </c>
      <c r="I163" s="52" t="s">
        <v>520</v>
      </c>
      <c r="J163" s="52" t="s">
        <v>521</v>
      </c>
      <c r="K163" s="52" t="s">
        <v>34</v>
      </c>
      <c r="L163" s="49">
        <v>579</v>
      </c>
      <c r="M163" s="49">
        <v>3</v>
      </c>
      <c r="N163" s="49">
        <v>0</v>
      </c>
      <c r="O163" s="53">
        <v>2.18</v>
      </c>
      <c r="P163" s="53">
        <v>0</v>
      </c>
      <c r="Q163" s="53">
        <f>_xlfn.XLOOKUP(C163,[2]Sheet1!$B:$B,[2]Sheet1!$AH:$AH)</f>
        <v>0</v>
      </c>
      <c r="R163" s="54">
        <f t="shared" si="13"/>
        <v>0</v>
      </c>
      <c r="S163" s="55">
        <f t="shared" si="14"/>
        <v>0</v>
      </c>
      <c r="T163" s="55">
        <f t="shared" si="15"/>
        <v>0.00518134715025907</v>
      </c>
      <c r="U163" s="54">
        <f t="shared" si="16"/>
        <v>0.726666666666667</v>
      </c>
      <c r="V163" s="54" t="e">
        <f t="shared" si="17"/>
        <v>#DIV/0!</v>
      </c>
      <c r="W163" s="55" t="e">
        <f t="shared" si="18"/>
        <v>#DIV/0!</v>
      </c>
    </row>
    <row r="164" customFormat="1" ht="22.5" customHeight="1" spans="1:23">
      <c r="A164" s="49" t="s">
        <v>563</v>
      </c>
      <c r="B164" s="49" t="s">
        <v>560</v>
      </c>
      <c r="C164" s="49" t="s">
        <v>391</v>
      </c>
      <c r="D164" s="50">
        <v>178072239367</v>
      </c>
      <c r="E164" s="49" t="s">
        <v>483</v>
      </c>
      <c r="F164" s="51">
        <v>46137</v>
      </c>
      <c r="G164" s="52">
        <v>46135</v>
      </c>
      <c r="H164" s="52" t="s">
        <v>149</v>
      </c>
      <c r="I164" s="52" t="s">
        <v>496</v>
      </c>
      <c r="J164" s="52" t="s">
        <v>497</v>
      </c>
      <c r="K164" s="52" t="s">
        <v>34</v>
      </c>
      <c r="L164" s="49">
        <v>890</v>
      </c>
      <c r="M164" s="49">
        <v>1</v>
      </c>
      <c r="N164" s="49">
        <v>0</v>
      </c>
      <c r="O164" s="53">
        <v>0.44</v>
      </c>
      <c r="P164" s="53">
        <v>0</v>
      </c>
      <c r="Q164" s="53">
        <f>_xlfn.XLOOKUP(C164,[2]Sheet1!$B:$B,[2]Sheet1!$AH:$AH)</f>
        <v>0</v>
      </c>
      <c r="R164" s="54">
        <f t="shared" si="13"/>
        <v>0</v>
      </c>
      <c r="S164" s="55">
        <f t="shared" si="14"/>
        <v>0</v>
      </c>
      <c r="T164" s="55">
        <f t="shared" si="15"/>
        <v>0.00112359550561798</v>
      </c>
      <c r="U164" s="54">
        <f t="shared" si="16"/>
        <v>0.44</v>
      </c>
      <c r="V164" s="54" t="e">
        <f t="shared" si="17"/>
        <v>#DIV/0!</v>
      </c>
      <c r="W164" s="55" t="e">
        <f t="shared" si="18"/>
        <v>#DIV/0!</v>
      </c>
    </row>
    <row r="165" customFormat="1" ht="22.5" customHeight="1" spans="1:23">
      <c r="A165" s="49" t="s">
        <v>563</v>
      </c>
      <c r="B165" s="49" t="s">
        <v>561</v>
      </c>
      <c r="C165" s="49" t="s">
        <v>392</v>
      </c>
      <c r="D165" s="50">
        <v>188307740950</v>
      </c>
      <c r="E165" s="49" t="s">
        <v>483</v>
      </c>
      <c r="F165" s="51">
        <v>46137</v>
      </c>
      <c r="G165" s="52">
        <v>46135</v>
      </c>
      <c r="H165" s="52">
        <v>46140</v>
      </c>
      <c r="I165" s="52" t="s">
        <v>496</v>
      </c>
      <c r="J165" s="52" t="s">
        <v>497</v>
      </c>
      <c r="K165" s="52" t="s">
        <v>34</v>
      </c>
      <c r="L165" s="49">
        <v>1557</v>
      </c>
      <c r="M165" s="49">
        <v>4</v>
      </c>
      <c r="N165" s="49">
        <v>0</v>
      </c>
      <c r="O165" s="53">
        <v>2.47</v>
      </c>
      <c r="P165" s="53">
        <v>0</v>
      </c>
      <c r="Q165" s="53">
        <f>_xlfn.XLOOKUP(C165,[2]Sheet1!$B:$B,[2]Sheet1!$AH:$AH)</f>
        <v>150</v>
      </c>
      <c r="R165" s="54">
        <f t="shared" si="13"/>
        <v>0</v>
      </c>
      <c r="S165" s="55">
        <f t="shared" si="14"/>
        <v>0</v>
      </c>
      <c r="T165" s="55">
        <f t="shared" si="15"/>
        <v>0.00256904303147078</v>
      </c>
      <c r="U165" s="54">
        <f t="shared" si="16"/>
        <v>0.6175</v>
      </c>
      <c r="V165" s="54" t="e">
        <f t="shared" si="17"/>
        <v>#DIV/0!</v>
      </c>
      <c r="W165" s="55" t="e">
        <f t="shared" si="18"/>
        <v>#DIV/0!</v>
      </c>
    </row>
    <row r="166" customFormat="1" ht="22.5" customHeight="1" spans="1:23">
      <c r="A166" s="49" t="s">
        <v>563</v>
      </c>
      <c r="B166" s="49" t="s">
        <v>562</v>
      </c>
      <c r="C166" s="49" t="s">
        <v>393</v>
      </c>
      <c r="D166" s="50">
        <v>188307744865</v>
      </c>
      <c r="E166" s="49" t="s">
        <v>483</v>
      </c>
      <c r="F166" s="51">
        <v>46137</v>
      </c>
      <c r="G166" s="52">
        <v>46135</v>
      </c>
      <c r="H166" s="52" t="s">
        <v>149</v>
      </c>
      <c r="I166" s="52" t="s">
        <v>496</v>
      </c>
      <c r="J166" s="52" t="s">
        <v>497</v>
      </c>
      <c r="K166" s="52" t="s">
        <v>34</v>
      </c>
      <c r="L166" s="49">
        <v>407</v>
      </c>
      <c r="M166" s="49">
        <v>3</v>
      </c>
      <c r="N166" s="49">
        <v>0</v>
      </c>
      <c r="O166" s="53">
        <v>2.08</v>
      </c>
      <c r="P166" s="53">
        <v>0</v>
      </c>
      <c r="Q166" s="53">
        <f>_xlfn.XLOOKUP(C166,[2]Sheet1!$B:$B,[2]Sheet1!$AH:$AH)</f>
        <v>0</v>
      </c>
      <c r="R166" s="54">
        <f t="shared" si="13"/>
        <v>0</v>
      </c>
      <c r="S166" s="55">
        <f t="shared" si="14"/>
        <v>0</v>
      </c>
      <c r="T166" s="55">
        <f t="shared" si="15"/>
        <v>0.00737100737100737</v>
      </c>
      <c r="U166" s="54">
        <f t="shared" si="16"/>
        <v>0.693333333333333</v>
      </c>
      <c r="V166" s="54" t="e">
        <f t="shared" si="17"/>
        <v>#DIV/0!</v>
      </c>
      <c r="W166" s="55" t="e">
        <f t="shared" si="18"/>
        <v>#DIV/0!</v>
      </c>
    </row>
    <row r="167" customFormat="1" ht="22.5" customHeight="1" spans="1:23">
      <c r="A167" s="49" t="s">
        <v>563</v>
      </c>
      <c r="B167" s="49" t="s">
        <v>570</v>
      </c>
      <c r="C167" s="49" t="s">
        <v>397</v>
      </c>
      <c r="D167" s="50">
        <v>178087818624</v>
      </c>
      <c r="E167" s="49" t="s">
        <v>483</v>
      </c>
      <c r="F167" s="51">
        <v>46141</v>
      </c>
      <c r="G167" s="52">
        <v>46140</v>
      </c>
      <c r="H167" s="52">
        <v>46142</v>
      </c>
      <c r="I167" s="52" t="s">
        <v>484</v>
      </c>
      <c r="J167" s="52" t="s">
        <v>485</v>
      </c>
      <c r="K167" s="52" t="s">
        <v>34</v>
      </c>
      <c r="L167" s="49">
        <v>10</v>
      </c>
      <c r="M167" s="49">
        <v>0</v>
      </c>
      <c r="N167" s="49">
        <v>0</v>
      </c>
      <c r="O167" s="53">
        <v>0</v>
      </c>
      <c r="P167" s="53">
        <v>0</v>
      </c>
      <c r="Q167" s="53">
        <f>_xlfn.XLOOKUP(C167,[2]Sheet1!$B:$B,[2]Sheet1!$AH:$AH)</f>
        <v>0</v>
      </c>
      <c r="R167" s="54" t="e">
        <f t="shared" si="13"/>
        <v>#DIV/0!</v>
      </c>
      <c r="S167" s="55" t="e">
        <f t="shared" si="14"/>
        <v>#DIV/0!</v>
      </c>
      <c r="T167" s="55">
        <f t="shared" si="15"/>
        <v>0</v>
      </c>
      <c r="U167" s="54" t="e">
        <f t="shared" si="16"/>
        <v>#DIV/0!</v>
      </c>
      <c r="V167" s="54" t="e">
        <f t="shared" si="17"/>
        <v>#DIV/0!</v>
      </c>
      <c r="W167" s="55" t="e">
        <f t="shared" si="18"/>
        <v>#DIV/0!</v>
      </c>
    </row>
    <row r="168" customFormat="1" ht="22.5" customHeight="1" spans="1:23">
      <c r="A168" s="49" t="s">
        <v>563</v>
      </c>
      <c r="B168" s="49" t="s">
        <v>571</v>
      </c>
      <c r="C168" s="49" t="s">
        <v>406</v>
      </c>
      <c r="D168" s="50">
        <v>188328132045</v>
      </c>
      <c r="E168" s="49" t="s">
        <v>483</v>
      </c>
      <c r="F168" s="51">
        <v>46142</v>
      </c>
      <c r="G168" s="52">
        <v>46141</v>
      </c>
      <c r="H168" s="52" t="s">
        <v>149</v>
      </c>
      <c r="I168" s="52" t="s">
        <v>484</v>
      </c>
      <c r="J168" s="52" t="s">
        <v>497</v>
      </c>
      <c r="K168" s="52" t="s">
        <v>34</v>
      </c>
      <c r="L168" s="49">
        <v>0</v>
      </c>
      <c r="M168" s="49">
        <v>0</v>
      </c>
      <c r="N168" s="49">
        <v>0</v>
      </c>
      <c r="O168" s="53">
        <v>0</v>
      </c>
      <c r="P168" s="53">
        <v>0</v>
      </c>
      <c r="Q168" s="53">
        <f>_xlfn.XLOOKUP(C168,[2]Sheet1!$B:$B,[2]Sheet1!$AH:$AH)</f>
        <v>0</v>
      </c>
      <c r="R168" s="54" t="e">
        <f t="shared" si="13"/>
        <v>#DIV/0!</v>
      </c>
      <c r="S168" s="55" t="e">
        <f t="shared" si="14"/>
        <v>#DIV/0!</v>
      </c>
      <c r="T168" s="55" t="e">
        <f t="shared" si="15"/>
        <v>#DIV/0!</v>
      </c>
      <c r="U168" s="54" t="e">
        <f t="shared" si="16"/>
        <v>#DIV/0!</v>
      </c>
      <c r="V168" s="54" t="e">
        <f t="shared" si="17"/>
        <v>#DIV/0!</v>
      </c>
      <c r="W168" s="55" t="e">
        <f t="shared" si="18"/>
        <v>#DIV/0!</v>
      </c>
    </row>
    <row r="169" customFormat="1" ht="22.5" customHeight="1" spans="1:23">
      <c r="A169" s="49" t="s">
        <v>563</v>
      </c>
      <c r="B169" s="49" t="s">
        <v>572</v>
      </c>
      <c r="C169" s="49" t="s">
        <v>401</v>
      </c>
      <c r="D169" s="50">
        <v>188328090540</v>
      </c>
      <c r="E169" s="49" t="s">
        <v>483</v>
      </c>
      <c r="F169" s="51">
        <v>46142</v>
      </c>
      <c r="G169" s="52">
        <v>46141</v>
      </c>
      <c r="H169" s="52">
        <v>46142</v>
      </c>
      <c r="I169" s="52" t="s">
        <v>520</v>
      </c>
      <c r="J169" s="52" t="s">
        <v>485</v>
      </c>
      <c r="K169" s="52" t="s">
        <v>34</v>
      </c>
      <c r="L169" s="49">
        <v>0</v>
      </c>
      <c r="M169" s="49">
        <v>0</v>
      </c>
      <c r="N169" s="49">
        <v>0</v>
      </c>
      <c r="O169" s="53">
        <v>0</v>
      </c>
      <c r="P169" s="53">
        <v>0</v>
      </c>
      <c r="Q169" s="53">
        <f>_xlfn.XLOOKUP(C169,[2]Sheet1!$B:$B,[2]Sheet1!$AH:$AH)</f>
        <v>0</v>
      </c>
      <c r="R169" s="54" t="e">
        <f t="shared" si="13"/>
        <v>#DIV/0!</v>
      </c>
      <c r="S169" s="55" t="e">
        <f t="shared" si="14"/>
        <v>#DIV/0!</v>
      </c>
      <c r="T169" s="55" t="e">
        <f t="shared" si="15"/>
        <v>#DIV/0!</v>
      </c>
      <c r="U169" s="54" t="e">
        <f t="shared" si="16"/>
        <v>#DIV/0!</v>
      </c>
      <c r="V169" s="54" t="e">
        <f t="shared" si="17"/>
        <v>#DIV/0!</v>
      </c>
      <c r="W169" s="55" t="e">
        <f t="shared" si="18"/>
        <v>#DIV/0!</v>
      </c>
    </row>
    <row r="170" customFormat="1" ht="22.5" customHeight="1" spans="1:23">
      <c r="A170" s="49" t="s">
        <v>563</v>
      </c>
      <c r="B170" s="49" t="s">
        <v>573</v>
      </c>
      <c r="C170" s="49" t="s">
        <v>382</v>
      </c>
      <c r="D170" s="50">
        <v>177997447464</v>
      </c>
      <c r="E170" s="49" t="s">
        <v>483</v>
      </c>
      <c r="F170" s="51">
        <v>46142</v>
      </c>
      <c r="G170" s="52">
        <v>46108</v>
      </c>
      <c r="H170" s="52">
        <v>46111</v>
      </c>
      <c r="I170" s="52" t="s">
        <v>496</v>
      </c>
      <c r="J170" s="52" t="s">
        <v>497</v>
      </c>
      <c r="K170" s="52" t="s">
        <v>34</v>
      </c>
      <c r="L170" s="49">
        <v>2</v>
      </c>
      <c r="M170" s="49">
        <v>0</v>
      </c>
      <c r="N170" s="49">
        <v>0</v>
      </c>
      <c r="O170" s="53">
        <v>0</v>
      </c>
      <c r="P170" s="53">
        <v>0</v>
      </c>
      <c r="Q170" s="53">
        <f>_xlfn.XLOOKUP(C170,[2]Sheet1!$B:$B,[2]Sheet1!$AH:$AH)</f>
        <v>222</v>
      </c>
      <c r="R170" s="54" t="e">
        <f t="shared" si="13"/>
        <v>#DIV/0!</v>
      </c>
      <c r="S170" s="55" t="e">
        <f t="shared" si="14"/>
        <v>#DIV/0!</v>
      </c>
      <c r="T170" s="55">
        <f t="shared" si="15"/>
        <v>0</v>
      </c>
      <c r="U170" s="54" t="e">
        <f t="shared" si="16"/>
        <v>#DIV/0!</v>
      </c>
      <c r="V170" s="54" t="e">
        <f t="shared" si="17"/>
        <v>#DIV/0!</v>
      </c>
      <c r="W170" s="55" t="e">
        <f t="shared" si="18"/>
        <v>#DIV/0!</v>
      </c>
    </row>
    <row r="171" customFormat="1" ht="22.5" customHeight="1" spans="1:23">
      <c r="A171" s="49" t="s">
        <v>563</v>
      </c>
      <c r="B171" s="49" t="s">
        <v>573</v>
      </c>
      <c r="C171" s="49" t="s">
        <v>404</v>
      </c>
      <c r="D171" s="50">
        <v>188328121506</v>
      </c>
      <c r="E171" s="49" t="s">
        <v>483</v>
      </c>
      <c r="F171" s="51">
        <v>46142</v>
      </c>
      <c r="G171" s="52">
        <v>46141</v>
      </c>
      <c r="H171" s="52" t="s">
        <v>149</v>
      </c>
      <c r="I171" s="52" t="s">
        <v>496</v>
      </c>
      <c r="J171" s="52" t="s">
        <v>497</v>
      </c>
      <c r="K171" s="52" t="s">
        <v>493</v>
      </c>
      <c r="L171" s="49">
        <v>5</v>
      </c>
      <c r="M171" s="49">
        <v>0</v>
      </c>
      <c r="N171" s="49">
        <v>0</v>
      </c>
      <c r="O171" s="53">
        <v>0</v>
      </c>
      <c r="P171" s="53">
        <v>0</v>
      </c>
      <c r="Q171" s="53">
        <f>_xlfn.XLOOKUP(C171,[2]Sheet1!$B:$B,[2]Sheet1!$AH:$AH)</f>
        <v>0</v>
      </c>
      <c r="R171" s="54" t="e">
        <f t="shared" si="13"/>
        <v>#DIV/0!</v>
      </c>
      <c r="S171" s="55" t="e">
        <f t="shared" si="14"/>
        <v>#DIV/0!</v>
      </c>
      <c r="T171" s="55">
        <f t="shared" si="15"/>
        <v>0</v>
      </c>
      <c r="U171" s="54" t="e">
        <f t="shared" si="16"/>
        <v>#DIV/0!</v>
      </c>
      <c r="V171" s="54" t="e">
        <f t="shared" si="17"/>
        <v>#DIV/0!</v>
      </c>
      <c r="W171" s="55" t="e">
        <f t="shared" si="18"/>
        <v>#DIV/0!</v>
      </c>
    </row>
    <row r="172" customFormat="1" ht="22.5" customHeight="1" spans="1:23">
      <c r="A172" s="49" t="s">
        <v>563</v>
      </c>
      <c r="B172" s="49" t="s">
        <v>573</v>
      </c>
      <c r="C172" s="49" t="s">
        <v>405</v>
      </c>
      <c r="D172" s="50">
        <v>188328124623</v>
      </c>
      <c r="E172" s="49" t="s">
        <v>483</v>
      </c>
      <c r="F172" s="51">
        <v>46142</v>
      </c>
      <c r="G172" s="52">
        <v>46141</v>
      </c>
      <c r="H172" s="52" t="s">
        <v>149</v>
      </c>
      <c r="I172" s="52" t="s">
        <v>496</v>
      </c>
      <c r="J172" s="52" t="s">
        <v>497</v>
      </c>
      <c r="K172" s="52" t="s">
        <v>493</v>
      </c>
      <c r="L172" s="49">
        <v>5</v>
      </c>
      <c r="M172" s="49">
        <v>0</v>
      </c>
      <c r="N172" s="49">
        <v>0</v>
      </c>
      <c r="O172" s="53">
        <v>0</v>
      </c>
      <c r="P172" s="53">
        <v>0</v>
      </c>
      <c r="Q172" s="53">
        <f>_xlfn.XLOOKUP(C172,[2]Sheet1!$B:$B,[2]Sheet1!$AH:$AH)</f>
        <v>0</v>
      </c>
      <c r="R172" s="54" t="e">
        <f t="shared" si="13"/>
        <v>#DIV/0!</v>
      </c>
      <c r="S172" s="55" t="e">
        <f t="shared" si="14"/>
        <v>#DIV/0!</v>
      </c>
      <c r="T172" s="55">
        <f t="shared" si="15"/>
        <v>0</v>
      </c>
      <c r="U172" s="54" t="e">
        <f t="shared" si="16"/>
        <v>#DIV/0!</v>
      </c>
      <c r="V172" s="54" t="e">
        <f t="shared" si="17"/>
        <v>#DIV/0!</v>
      </c>
      <c r="W172" s="55" t="e">
        <f t="shared" si="18"/>
        <v>#DIV/0!</v>
      </c>
    </row>
    <row r="173" customFormat="1" ht="22.5" customHeight="1" spans="1:23">
      <c r="A173" s="49" t="s">
        <v>563</v>
      </c>
      <c r="B173" s="49" t="s">
        <v>574</v>
      </c>
      <c r="C173" s="49" t="s">
        <v>407</v>
      </c>
      <c r="D173" s="50">
        <v>178088538756</v>
      </c>
      <c r="E173" s="49" t="s">
        <v>483</v>
      </c>
      <c r="F173" s="51">
        <v>46142</v>
      </c>
      <c r="G173" s="52">
        <v>46141</v>
      </c>
      <c r="H173" s="52" t="s">
        <v>149</v>
      </c>
      <c r="I173" s="52" t="s">
        <v>484</v>
      </c>
      <c r="J173" s="52" t="s">
        <v>497</v>
      </c>
      <c r="K173" s="52" t="s">
        <v>34</v>
      </c>
      <c r="L173" s="49">
        <v>2</v>
      </c>
      <c r="M173" s="49">
        <v>0</v>
      </c>
      <c r="N173" s="49">
        <v>0</v>
      </c>
      <c r="O173" s="53">
        <v>0</v>
      </c>
      <c r="P173" s="53">
        <v>0</v>
      </c>
      <c r="Q173" s="53">
        <f>_xlfn.XLOOKUP(C173,[2]Sheet1!$B:$B,[2]Sheet1!$AH:$AH)</f>
        <v>0</v>
      </c>
      <c r="R173" s="54" t="e">
        <f t="shared" si="13"/>
        <v>#DIV/0!</v>
      </c>
      <c r="S173" s="55" t="e">
        <f t="shared" si="14"/>
        <v>#DIV/0!</v>
      </c>
      <c r="T173" s="55">
        <f t="shared" si="15"/>
        <v>0</v>
      </c>
      <c r="U173" s="54" t="e">
        <f t="shared" si="16"/>
        <v>#DIV/0!</v>
      </c>
      <c r="V173" s="54" t="e">
        <f t="shared" si="17"/>
        <v>#DIV/0!</v>
      </c>
      <c r="W173" s="55" t="e">
        <f t="shared" si="18"/>
        <v>#DIV/0!</v>
      </c>
    </row>
    <row r="174" customFormat="1" ht="22.5" customHeight="1" spans="1:23">
      <c r="A174" s="49" t="s">
        <v>563</v>
      </c>
      <c r="B174" s="49" t="s">
        <v>574</v>
      </c>
      <c r="C174" s="49" t="s">
        <v>395</v>
      </c>
      <c r="D174" s="50">
        <v>188307751556</v>
      </c>
      <c r="E174" s="49" t="s">
        <v>483</v>
      </c>
      <c r="F174" s="51">
        <v>46142</v>
      </c>
      <c r="G174" s="52">
        <v>46135</v>
      </c>
      <c r="H174" s="52">
        <v>46142</v>
      </c>
      <c r="I174" s="52" t="s">
        <v>484</v>
      </c>
      <c r="J174" s="52" t="s">
        <v>497</v>
      </c>
      <c r="K174" s="52" t="s">
        <v>34</v>
      </c>
      <c r="L174" s="49">
        <v>37</v>
      </c>
      <c r="M174" s="49">
        <v>1</v>
      </c>
      <c r="N174" s="49">
        <v>0</v>
      </c>
      <c r="O174" s="53">
        <v>0.41</v>
      </c>
      <c r="P174" s="53">
        <v>0</v>
      </c>
      <c r="Q174" s="53">
        <f>_xlfn.XLOOKUP(C174,[2]Sheet1!$B:$B,[2]Sheet1!$AH:$AH)</f>
        <v>0</v>
      </c>
      <c r="R174" s="54">
        <f t="shared" si="13"/>
        <v>0</v>
      </c>
      <c r="S174" s="55">
        <f t="shared" si="14"/>
        <v>0</v>
      </c>
      <c r="T174" s="55">
        <f t="shared" si="15"/>
        <v>0.027027027027027</v>
      </c>
      <c r="U174" s="54">
        <f t="shared" si="16"/>
        <v>0.41</v>
      </c>
      <c r="V174" s="54" t="e">
        <f t="shared" si="17"/>
        <v>#DIV/0!</v>
      </c>
      <c r="W174" s="55" t="e">
        <f t="shared" si="18"/>
        <v>#DIV/0!</v>
      </c>
    </row>
    <row r="175" customFormat="1" ht="22.5" customHeight="1" spans="1:23">
      <c r="A175" s="49" t="s">
        <v>563</v>
      </c>
      <c r="B175" s="49" t="s">
        <v>575</v>
      </c>
      <c r="C175" s="49" t="s">
        <v>396</v>
      </c>
      <c r="D175" s="50">
        <v>178087821129</v>
      </c>
      <c r="E175" s="49" t="s">
        <v>483</v>
      </c>
      <c r="F175" s="51">
        <v>46142</v>
      </c>
      <c r="G175" s="52">
        <v>46140</v>
      </c>
      <c r="H175" s="52" t="s">
        <v>149</v>
      </c>
      <c r="I175" s="52" t="s">
        <v>503</v>
      </c>
      <c r="J175" s="52" t="s">
        <v>521</v>
      </c>
      <c r="K175" s="52" t="s">
        <v>34</v>
      </c>
      <c r="L175" s="49">
        <v>2</v>
      </c>
      <c r="M175" s="49">
        <v>0</v>
      </c>
      <c r="N175" s="49">
        <v>0</v>
      </c>
      <c r="O175" s="53">
        <v>0</v>
      </c>
      <c r="P175" s="53">
        <v>0</v>
      </c>
      <c r="Q175" s="53">
        <f>_xlfn.XLOOKUP(C175,[2]Sheet1!$B:$B,[2]Sheet1!$AH:$AH)</f>
        <v>0</v>
      </c>
      <c r="R175" s="54" t="e">
        <f t="shared" si="13"/>
        <v>#DIV/0!</v>
      </c>
      <c r="S175" s="55" t="e">
        <f t="shared" si="14"/>
        <v>#DIV/0!</v>
      </c>
      <c r="T175" s="55">
        <f t="shared" si="15"/>
        <v>0</v>
      </c>
      <c r="U175" s="54" t="e">
        <f t="shared" si="16"/>
        <v>#DIV/0!</v>
      </c>
      <c r="V175" s="54" t="e">
        <f t="shared" si="17"/>
        <v>#DIV/0!</v>
      </c>
      <c r="W175" s="55" t="e">
        <f t="shared" si="18"/>
        <v>#DIV/0!</v>
      </c>
    </row>
    <row r="176" customFormat="1" ht="22.5" customHeight="1" spans="1:23">
      <c r="A176" s="49" t="s">
        <v>563</v>
      </c>
      <c r="B176" s="49" t="s">
        <v>576</v>
      </c>
      <c r="C176" s="49" t="s">
        <v>381</v>
      </c>
      <c r="D176" s="50">
        <v>177997435750</v>
      </c>
      <c r="E176" s="49" t="s">
        <v>483</v>
      </c>
      <c r="F176" s="51">
        <v>46142</v>
      </c>
      <c r="G176" s="52">
        <v>46108</v>
      </c>
      <c r="H176" s="52">
        <v>46111</v>
      </c>
      <c r="I176" s="52" t="s">
        <v>496</v>
      </c>
      <c r="J176" s="52" t="s">
        <v>497</v>
      </c>
      <c r="K176" s="52" t="s">
        <v>34</v>
      </c>
      <c r="L176" s="49">
        <v>7</v>
      </c>
      <c r="M176" s="49">
        <v>0</v>
      </c>
      <c r="N176" s="49">
        <v>0</v>
      </c>
      <c r="O176" s="53">
        <v>0</v>
      </c>
      <c r="P176" s="53">
        <v>0</v>
      </c>
      <c r="Q176" s="53">
        <f>_xlfn.XLOOKUP(C176,[2]Sheet1!$B:$B,[2]Sheet1!$AH:$AH)</f>
        <v>362.7</v>
      </c>
      <c r="R176" s="54" t="e">
        <f t="shared" si="13"/>
        <v>#DIV/0!</v>
      </c>
      <c r="S176" s="55" t="e">
        <f t="shared" si="14"/>
        <v>#DIV/0!</v>
      </c>
      <c r="T176" s="55">
        <f t="shared" si="15"/>
        <v>0</v>
      </c>
      <c r="U176" s="54" t="e">
        <f t="shared" si="16"/>
        <v>#DIV/0!</v>
      </c>
      <c r="V176" s="54" t="e">
        <f t="shared" si="17"/>
        <v>#DIV/0!</v>
      </c>
      <c r="W176" s="55" t="e">
        <f t="shared" si="18"/>
        <v>#DIV/0!</v>
      </c>
    </row>
    <row r="177" customFormat="1" ht="22.5" customHeight="1" spans="1:25">
      <c r="A177" s="49" t="s">
        <v>563</v>
      </c>
      <c r="B177" s="49" t="s">
        <v>577</v>
      </c>
      <c r="C177" s="49" t="s">
        <v>398</v>
      </c>
      <c r="D177" s="50">
        <v>188328077040</v>
      </c>
      <c r="E177" s="49" t="s">
        <v>483</v>
      </c>
      <c r="F177" s="51">
        <v>46143</v>
      </c>
      <c r="G177" s="52">
        <v>46141</v>
      </c>
      <c r="H177" s="52" t="s">
        <v>149</v>
      </c>
      <c r="I177" s="52" t="s">
        <v>505</v>
      </c>
      <c r="J177" s="52" t="s">
        <v>518</v>
      </c>
      <c r="K177" s="52" t="s">
        <v>34</v>
      </c>
      <c r="L177" s="49">
        <v>0</v>
      </c>
      <c r="M177" s="49">
        <v>0</v>
      </c>
      <c r="N177" s="49">
        <v>0</v>
      </c>
      <c r="O177" s="53">
        <v>0</v>
      </c>
      <c r="P177" s="53">
        <v>0</v>
      </c>
      <c r="Q177" s="53">
        <f>_xlfn.XLOOKUP(C177,[2]Sheet1!$B:$B,[2]Sheet1!$AH:$AH)</f>
        <v>0</v>
      </c>
      <c r="R177" s="54" t="e">
        <f t="shared" si="13"/>
        <v>#DIV/0!</v>
      </c>
      <c r="S177" s="55" t="e">
        <f t="shared" si="14"/>
        <v>#DIV/0!</v>
      </c>
      <c r="T177" s="55" t="e">
        <f t="shared" si="15"/>
        <v>#DIV/0!</v>
      </c>
      <c r="U177" s="54" t="e">
        <f t="shared" si="16"/>
        <v>#DIV/0!</v>
      </c>
      <c r="V177" s="54" t="e">
        <f t="shared" si="17"/>
        <v>#DIV/0!</v>
      </c>
      <c r="W177" s="55" t="e">
        <f t="shared" si="18"/>
        <v>#DIV/0!</v>
      </c>
    </row>
    <row r="178" customFormat="1" ht="22.5" customHeight="1" spans="1:25">
      <c r="A178" s="49" t="s">
        <v>563</v>
      </c>
      <c r="B178" s="49" t="s">
        <v>578</v>
      </c>
      <c r="C178" s="49" t="s">
        <v>399</v>
      </c>
      <c r="D178" s="50">
        <v>178088440364</v>
      </c>
      <c r="E178" s="49" t="s">
        <v>483</v>
      </c>
      <c r="F178" s="51">
        <v>46143</v>
      </c>
      <c r="G178" s="52">
        <v>46141</v>
      </c>
      <c r="H178" s="52" t="s">
        <v>149</v>
      </c>
      <c r="I178" s="52" t="s">
        <v>505</v>
      </c>
      <c r="J178" s="52" t="s">
        <v>518</v>
      </c>
      <c r="K178" s="52" t="s">
        <v>34</v>
      </c>
      <c r="L178" s="49">
        <v>0</v>
      </c>
      <c r="M178" s="49">
        <v>0</v>
      </c>
      <c r="N178" s="49">
        <v>0</v>
      </c>
      <c r="O178" s="53">
        <v>0</v>
      </c>
      <c r="P178" s="53">
        <v>0</v>
      </c>
      <c r="Q178" s="53">
        <f>_xlfn.XLOOKUP(C178,[2]Sheet1!$B:$B,[2]Sheet1!$AH:$AH)</f>
        <v>0</v>
      </c>
      <c r="R178" s="54" t="e">
        <f t="shared" si="13"/>
        <v>#DIV/0!</v>
      </c>
      <c r="S178" s="55" t="e">
        <f t="shared" si="14"/>
        <v>#DIV/0!</v>
      </c>
      <c r="T178" s="55" t="e">
        <f t="shared" si="15"/>
        <v>#DIV/0!</v>
      </c>
      <c r="U178" s="54" t="e">
        <f t="shared" si="16"/>
        <v>#DIV/0!</v>
      </c>
      <c r="V178" s="54" t="e">
        <f t="shared" si="17"/>
        <v>#DIV/0!</v>
      </c>
      <c r="W178" s="55" t="e">
        <f t="shared" si="18"/>
        <v>#DIV/0!</v>
      </c>
    </row>
    <row r="179" customFormat="1" ht="22.5" customHeight="1" spans="1:25">
      <c r="A179" s="49" t="s">
        <v>563</v>
      </c>
      <c r="B179" s="49" t="s">
        <v>579</v>
      </c>
      <c r="C179" s="49" t="s">
        <v>400</v>
      </c>
      <c r="D179" s="50">
        <v>178088445830</v>
      </c>
      <c r="E179" s="49" t="s">
        <v>483</v>
      </c>
      <c r="F179" s="51">
        <v>46143</v>
      </c>
      <c r="G179" s="52">
        <v>46141</v>
      </c>
      <c r="H179" s="52">
        <v>46143</v>
      </c>
      <c r="I179" s="52" t="s">
        <v>505</v>
      </c>
      <c r="J179" s="52" t="s">
        <v>518</v>
      </c>
      <c r="K179" s="52" t="s">
        <v>34</v>
      </c>
      <c r="L179" s="49">
        <v>0</v>
      </c>
      <c r="M179" s="49">
        <v>0</v>
      </c>
      <c r="N179" s="49">
        <v>0</v>
      </c>
      <c r="O179" s="53">
        <v>0</v>
      </c>
      <c r="P179" s="53">
        <v>0</v>
      </c>
      <c r="Q179" s="53">
        <f>_xlfn.XLOOKUP(C179,[2]Sheet1!$B:$B,[2]Sheet1!$AH:$AH)</f>
        <v>0</v>
      </c>
      <c r="R179" s="54" t="e">
        <f t="shared" si="13"/>
        <v>#DIV/0!</v>
      </c>
      <c r="S179" s="55" t="e">
        <f t="shared" si="14"/>
        <v>#DIV/0!</v>
      </c>
      <c r="T179" s="55" t="e">
        <f t="shared" si="15"/>
        <v>#DIV/0!</v>
      </c>
      <c r="U179" s="54" t="e">
        <f t="shared" si="16"/>
        <v>#DIV/0!</v>
      </c>
      <c r="V179" s="54" t="e">
        <f t="shared" si="17"/>
        <v>#DIV/0!</v>
      </c>
      <c r="W179" s="55" t="e">
        <f t="shared" si="18"/>
        <v>#DIV/0!</v>
      </c>
    </row>
    <row r="180" customFormat="1" ht="22.5" customHeight="1" spans="1:25">
      <c r="A180" s="49" t="s">
        <v>563</v>
      </c>
      <c r="B180" s="49" t="s">
        <v>527</v>
      </c>
      <c r="C180" s="49" t="s">
        <v>547</v>
      </c>
      <c r="D180" s="50">
        <v>227228697747</v>
      </c>
      <c r="E180" s="49" t="s">
        <v>488</v>
      </c>
      <c r="F180" s="51">
        <v>46078</v>
      </c>
      <c r="G180" s="52">
        <v>46076</v>
      </c>
      <c r="H180" s="52">
        <v>46082</v>
      </c>
      <c r="I180" s="52" t="s">
        <v>520</v>
      </c>
      <c r="J180" s="52" t="s">
        <v>521</v>
      </c>
      <c r="K180" s="52" t="s">
        <v>34</v>
      </c>
      <c r="L180" s="49">
        <v>793</v>
      </c>
      <c r="M180" s="49">
        <v>0</v>
      </c>
      <c r="N180" s="49">
        <v>0</v>
      </c>
      <c r="O180" s="53">
        <v>0</v>
      </c>
      <c r="P180" s="53">
        <v>0</v>
      </c>
      <c r="Q180" s="53">
        <f>_xlfn.XLOOKUP(C180,[2]Sheet1!$B:$B,[2]Sheet1!$AH:$AH)</f>
        <v>86.5</v>
      </c>
      <c r="R180" s="54" t="e">
        <f t="shared" si="13"/>
        <v>#DIV/0!</v>
      </c>
      <c r="S180" s="55" t="e">
        <f t="shared" si="14"/>
        <v>#DIV/0!</v>
      </c>
      <c r="T180" s="55">
        <f t="shared" si="15"/>
        <v>0</v>
      </c>
      <c r="U180" s="54" t="e">
        <f t="shared" si="16"/>
        <v>#DIV/0!</v>
      </c>
      <c r="V180" s="54" t="e">
        <f t="shared" si="17"/>
        <v>#DIV/0!</v>
      </c>
      <c r="W180" s="55" t="e">
        <f t="shared" si="18"/>
        <v>#DIV/0!</v>
      </c>
    </row>
    <row r="181" customFormat="1" ht="22.5" customHeight="1" spans="1:25">
      <c r="A181" s="49" t="s">
        <v>563</v>
      </c>
      <c r="B181" s="49" t="s">
        <v>527</v>
      </c>
      <c r="C181" s="49" t="s">
        <v>528</v>
      </c>
      <c r="D181" s="50">
        <v>227228792444</v>
      </c>
      <c r="E181" s="49" t="s">
        <v>488</v>
      </c>
      <c r="F181" s="51">
        <v>46078</v>
      </c>
      <c r="G181" s="52">
        <v>46076</v>
      </c>
      <c r="H181" s="52">
        <v>46084</v>
      </c>
      <c r="I181" s="52" t="s">
        <v>520</v>
      </c>
      <c r="J181" s="52" t="s">
        <v>521</v>
      </c>
      <c r="K181" s="52" t="s">
        <v>493</v>
      </c>
      <c r="L181" s="49">
        <v>1143</v>
      </c>
      <c r="M181" s="49">
        <v>1</v>
      </c>
      <c r="N181" s="49">
        <v>0</v>
      </c>
      <c r="O181" s="53">
        <v>0.46</v>
      </c>
      <c r="P181" s="53">
        <v>0</v>
      </c>
      <c r="Q181" s="53">
        <f>_xlfn.XLOOKUP(C181,[2]Sheet1!$B:$B,[2]Sheet1!$AH:$AH)</f>
        <v>0</v>
      </c>
      <c r="R181" s="54">
        <f t="shared" si="13"/>
        <v>0</v>
      </c>
      <c r="S181" s="55">
        <f t="shared" si="14"/>
        <v>0</v>
      </c>
      <c r="T181" s="55">
        <f t="shared" si="15"/>
        <v>0.000874890638670166</v>
      </c>
      <c r="U181" s="54">
        <f t="shared" si="16"/>
        <v>0.46</v>
      </c>
      <c r="V181" s="54" t="e">
        <f t="shared" si="17"/>
        <v>#DIV/0!</v>
      </c>
      <c r="W181" s="55" t="e">
        <f t="shared" si="18"/>
        <v>#DIV/0!</v>
      </c>
    </row>
    <row r="182" customFormat="1" ht="22.5" customHeight="1" spans="1:25">
      <c r="A182" s="49" t="s">
        <v>563</v>
      </c>
      <c r="B182" s="49" t="s">
        <v>527</v>
      </c>
      <c r="C182" s="49" t="s">
        <v>546</v>
      </c>
      <c r="D182" s="50">
        <v>227228800260</v>
      </c>
      <c r="E182" s="49" t="s">
        <v>488</v>
      </c>
      <c r="F182" s="51">
        <v>46078</v>
      </c>
      <c r="G182" s="52">
        <v>46076</v>
      </c>
      <c r="H182" s="52">
        <v>46096</v>
      </c>
      <c r="I182" s="52" t="s">
        <v>520</v>
      </c>
      <c r="J182" s="52" t="s">
        <v>521</v>
      </c>
      <c r="K182" s="52" t="s">
        <v>493</v>
      </c>
      <c r="L182" s="49">
        <v>1509</v>
      </c>
      <c r="M182" s="49">
        <v>3</v>
      </c>
      <c r="N182" s="49">
        <v>0</v>
      </c>
      <c r="O182" s="53">
        <v>2.52</v>
      </c>
      <c r="P182" s="53">
        <v>0</v>
      </c>
      <c r="Q182" s="53">
        <f>_xlfn.XLOOKUP(C182,[2]Sheet1!$B:$B,[2]Sheet1!$AH:$AH)</f>
        <v>0</v>
      </c>
      <c r="R182" s="54">
        <f t="shared" si="13"/>
        <v>0</v>
      </c>
      <c r="S182" s="55">
        <f t="shared" si="14"/>
        <v>0</v>
      </c>
      <c r="T182" s="55">
        <f t="shared" si="15"/>
        <v>0.00198807157057654</v>
      </c>
      <c r="U182" s="54">
        <f t="shared" si="16"/>
        <v>0.84</v>
      </c>
      <c r="V182" s="54" t="e">
        <f t="shared" si="17"/>
        <v>#DIV/0!</v>
      </c>
      <c r="W182" s="55" t="e">
        <f t="shared" si="18"/>
        <v>#DIV/0!</v>
      </c>
    </row>
    <row r="183" customFormat="1" ht="22.5" customHeight="1" spans="1:25">
      <c r="A183" s="49" t="s">
        <v>563</v>
      </c>
      <c r="B183" s="49" t="s">
        <v>549</v>
      </c>
      <c r="C183" s="49" t="s">
        <v>319</v>
      </c>
      <c r="D183" s="50">
        <v>227241168840</v>
      </c>
      <c r="E183" s="49" t="s">
        <v>488</v>
      </c>
      <c r="F183" s="51">
        <v>46097</v>
      </c>
      <c r="G183" s="52">
        <v>46085</v>
      </c>
      <c r="H183" s="52">
        <v>46100</v>
      </c>
      <c r="I183" s="52" t="s">
        <v>484</v>
      </c>
      <c r="J183" s="52" t="s">
        <v>30</v>
      </c>
      <c r="K183" s="52" t="s">
        <v>34</v>
      </c>
      <c r="L183" s="49">
        <v>338</v>
      </c>
      <c r="M183" s="49">
        <v>7</v>
      </c>
      <c r="N183" s="49">
        <v>0</v>
      </c>
      <c r="O183" s="53">
        <v>2.94</v>
      </c>
      <c r="P183" s="53">
        <v>0</v>
      </c>
      <c r="Q183" s="53">
        <f>_xlfn.XLOOKUP(C183,[2]Sheet1!$B:$B,[2]Sheet1!$AH:$AH)</f>
        <v>112.76</v>
      </c>
      <c r="R183" s="54">
        <f t="shared" si="13"/>
        <v>0</v>
      </c>
      <c r="S183" s="55">
        <f t="shared" si="14"/>
        <v>0</v>
      </c>
      <c r="T183" s="55">
        <f t="shared" si="15"/>
        <v>0.0207100591715976</v>
      </c>
      <c r="U183" s="54">
        <f t="shared" si="16"/>
        <v>0.42</v>
      </c>
      <c r="V183" s="54" t="e">
        <f t="shared" si="17"/>
        <v>#DIV/0!</v>
      </c>
      <c r="W183" s="55" t="e">
        <f t="shared" si="18"/>
        <v>#DIV/0!</v>
      </c>
    </row>
    <row r="184" customFormat="1" ht="22.5" customHeight="1" spans="1:25">
      <c r="A184" s="56" t="s">
        <v>580</v>
      </c>
      <c r="B184" s="57" t="s">
        <v>479</v>
      </c>
      <c r="C184" s="57" t="s">
        <v>480</v>
      </c>
      <c r="D184" s="58"/>
      <c r="E184" s="58"/>
      <c r="F184" s="57">
        <f>COUNTIF(B185:B237,"&lt;&gt;")</f>
        <v>53</v>
      </c>
      <c r="G184" s="58"/>
      <c r="H184" s="58"/>
      <c r="I184" s="58"/>
      <c r="J184" s="57" t="s">
        <v>481</v>
      </c>
      <c r="K184" s="58"/>
      <c r="L184" s="59">
        <f t="shared" ref="L184:Q184" si="19">SUM(L185:L237)</f>
        <v>119686</v>
      </c>
      <c r="M184" s="59">
        <f t="shared" si="19"/>
        <v>429</v>
      </c>
      <c r="N184" s="59">
        <f t="shared" si="19"/>
        <v>27</v>
      </c>
      <c r="O184" s="60">
        <f t="shared" si="19"/>
        <v>272.56</v>
      </c>
      <c r="P184" s="60">
        <f t="shared" si="19"/>
        <v>1754.44</v>
      </c>
      <c r="Q184" s="60">
        <f t="shared" si="19"/>
        <v>6955.73</v>
      </c>
      <c r="R184" s="61">
        <f t="shared" si="13"/>
        <v>6.43689462870561</v>
      </c>
      <c r="S184" s="62">
        <f t="shared" si="14"/>
        <v>0.0629370629370629</v>
      </c>
      <c r="T184" s="62">
        <f t="shared" si="15"/>
        <v>0.00358437912537807</v>
      </c>
      <c r="U184" s="61">
        <f t="shared" si="16"/>
        <v>0.635337995337995</v>
      </c>
      <c r="V184" s="61">
        <f t="shared" si="17"/>
        <v>10.0948148148148</v>
      </c>
      <c r="W184" s="48">
        <f t="shared" si="18"/>
        <v>0.155354415084015</v>
      </c>
      <c r="X184" s="48">
        <f t="shared" ref="X184:X247" si="20">O184/Q184</f>
        <v>0.0391849597382302</v>
      </c>
      <c r="Y184" s="25"/>
    </row>
    <row r="185" customFormat="1" ht="22.5" customHeight="1" spans="1:25">
      <c r="A185" s="49" t="s">
        <v>580</v>
      </c>
      <c r="B185" s="49" t="s">
        <v>482</v>
      </c>
      <c r="C185" s="49" t="s">
        <v>385</v>
      </c>
      <c r="D185" s="50">
        <v>177997475019</v>
      </c>
      <c r="E185" s="49" t="s">
        <v>483</v>
      </c>
      <c r="F185" s="51">
        <v>46114</v>
      </c>
      <c r="G185" s="52">
        <v>46108</v>
      </c>
      <c r="H185" s="52">
        <v>46114</v>
      </c>
      <c r="I185" s="52" t="s">
        <v>484</v>
      </c>
      <c r="J185" s="52" t="s">
        <v>485</v>
      </c>
      <c r="K185" s="52" t="s">
        <v>34</v>
      </c>
      <c r="L185" s="49">
        <v>1587</v>
      </c>
      <c r="M185" s="49">
        <v>46</v>
      </c>
      <c r="N185" s="49">
        <v>9</v>
      </c>
      <c r="O185" s="53">
        <v>16.13</v>
      </c>
      <c r="P185" s="53">
        <v>342.19</v>
      </c>
      <c r="Q185" s="53">
        <v>630</v>
      </c>
      <c r="R185" s="54">
        <f t="shared" si="13"/>
        <v>21.2145071295722</v>
      </c>
      <c r="S185" s="55">
        <f t="shared" si="14"/>
        <v>0.195652173913043</v>
      </c>
      <c r="T185" s="55">
        <f t="shared" si="15"/>
        <v>0.0289855072463768</v>
      </c>
      <c r="U185" s="54">
        <f t="shared" si="16"/>
        <v>0.350652173913043</v>
      </c>
      <c r="V185" s="54">
        <f t="shared" si="17"/>
        <v>1.79222222222222</v>
      </c>
      <c r="W185" s="55">
        <f t="shared" si="18"/>
        <v>0.0471375551594144</v>
      </c>
      <c r="X185" s="55">
        <f t="shared" si="20"/>
        <v>0.0256031746031746</v>
      </c>
      <c r="Y185" s="55" t="s">
        <v>62</v>
      </c>
    </row>
    <row r="186" customFormat="1" ht="22.5" customHeight="1" spans="1:25">
      <c r="A186" s="49" t="s">
        <v>580</v>
      </c>
      <c r="B186" s="49" t="s">
        <v>581</v>
      </c>
      <c r="C186" s="49" t="s">
        <v>411</v>
      </c>
      <c r="D186" s="50">
        <v>188330683250</v>
      </c>
      <c r="E186" s="49" t="s">
        <v>483</v>
      </c>
      <c r="F186" s="51">
        <v>46142</v>
      </c>
      <c r="G186" s="52">
        <v>46142</v>
      </c>
      <c r="H186" s="52">
        <v>46144</v>
      </c>
      <c r="I186" s="52" t="s">
        <v>503</v>
      </c>
      <c r="J186" s="52" t="s">
        <v>489</v>
      </c>
      <c r="K186" s="52" t="s">
        <v>493</v>
      </c>
      <c r="L186" s="49">
        <v>2177</v>
      </c>
      <c r="M186" s="49">
        <v>12</v>
      </c>
      <c r="N186" s="49">
        <v>3</v>
      </c>
      <c r="O186" s="53">
        <v>3.99</v>
      </c>
      <c r="P186" s="53">
        <v>119.42</v>
      </c>
      <c r="Q186" s="53">
        <v>152.89</v>
      </c>
      <c r="R186" s="54">
        <f t="shared" si="13"/>
        <v>29.9298245614035</v>
      </c>
      <c r="S186" s="55">
        <f t="shared" si="14"/>
        <v>0.25</v>
      </c>
      <c r="T186" s="55">
        <f t="shared" si="15"/>
        <v>0.00551217271474506</v>
      </c>
      <c r="U186" s="54">
        <f t="shared" si="16"/>
        <v>0.3325</v>
      </c>
      <c r="V186" s="54">
        <f t="shared" si="17"/>
        <v>1.33</v>
      </c>
      <c r="W186" s="55">
        <f t="shared" si="18"/>
        <v>0.033411488862837</v>
      </c>
      <c r="X186" s="55">
        <f t="shared" si="20"/>
        <v>0.0260971940610897</v>
      </c>
      <c r="Y186" s="55" t="s">
        <v>62</v>
      </c>
    </row>
    <row r="187" customFormat="1" ht="22.5" customHeight="1" spans="1:25">
      <c r="A187" s="49" t="s">
        <v>580</v>
      </c>
      <c r="B187" s="49" t="s">
        <v>513</v>
      </c>
      <c r="C187" s="49" t="s">
        <v>339</v>
      </c>
      <c r="D187" s="50">
        <v>117085059550</v>
      </c>
      <c r="E187" s="49" t="s">
        <v>502</v>
      </c>
      <c r="F187" s="51">
        <v>46104</v>
      </c>
      <c r="G187" s="52">
        <v>46092</v>
      </c>
      <c r="H187" s="52">
        <v>46104</v>
      </c>
      <c r="I187" s="52" t="s">
        <v>484</v>
      </c>
      <c r="J187" s="52" t="s">
        <v>489</v>
      </c>
      <c r="K187" s="52" t="s">
        <v>34</v>
      </c>
      <c r="L187" s="49">
        <v>584</v>
      </c>
      <c r="M187" s="49">
        <v>11</v>
      </c>
      <c r="N187" s="49">
        <v>3</v>
      </c>
      <c r="O187" s="53">
        <v>3.27</v>
      </c>
      <c r="P187" s="53">
        <v>37.43</v>
      </c>
      <c r="Q187" s="53">
        <v>69.04</v>
      </c>
      <c r="R187" s="54">
        <f t="shared" si="13"/>
        <v>11.4464831804281</v>
      </c>
      <c r="S187" s="55">
        <f t="shared" si="14"/>
        <v>0.272727272727273</v>
      </c>
      <c r="T187" s="55">
        <f t="shared" si="15"/>
        <v>0.0188356164383562</v>
      </c>
      <c r="U187" s="54">
        <f t="shared" si="16"/>
        <v>0.297272727272727</v>
      </c>
      <c r="V187" s="54">
        <f t="shared" si="17"/>
        <v>1.09</v>
      </c>
      <c r="W187" s="55">
        <f t="shared" si="18"/>
        <v>0.0873630777451242</v>
      </c>
      <c r="X187" s="55">
        <f t="shared" si="20"/>
        <v>0.0473638470451912</v>
      </c>
      <c r="Y187" s="55" t="s">
        <v>62</v>
      </c>
    </row>
    <row r="188" customFormat="1" ht="22.5" customHeight="1" spans="1:25">
      <c r="A188" s="49" t="s">
        <v>580</v>
      </c>
      <c r="B188" s="49" t="s">
        <v>542</v>
      </c>
      <c r="C188" s="49" t="s">
        <v>319</v>
      </c>
      <c r="D188" s="50">
        <v>287180832245</v>
      </c>
      <c r="E188" s="49" t="s">
        <v>511</v>
      </c>
      <c r="F188" s="51">
        <v>46097</v>
      </c>
      <c r="G188" s="52">
        <v>46085</v>
      </c>
      <c r="H188" s="52">
        <v>46100</v>
      </c>
      <c r="I188" s="52" t="s">
        <v>484</v>
      </c>
      <c r="J188" s="52" t="s">
        <v>30</v>
      </c>
      <c r="K188" s="52" t="s">
        <v>34</v>
      </c>
      <c r="L188" s="49">
        <v>426</v>
      </c>
      <c r="M188" s="49">
        <v>7</v>
      </c>
      <c r="N188" s="49">
        <v>2</v>
      </c>
      <c r="O188" s="53">
        <v>2.9</v>
      </c>
      <c r="P188" s="53">
        <v>79.32</v>
      </c>
      <c r="Q188" s="53">
        <v>140.95</v>
      </c>
      <c r="R188" s="54">
        <f t="shared" si="13"/>
        <v>27.351724137931</v>
      </c>
      <c r="S188" s="55">
        <f t="shared" si="14"/>
        <v>0.285714285714286</v>
      </c>
      <c r="T188" s="55">
        <f t="shared" si="15"/>
        <v>0.0164319248826291</v>
      </c>
      <c r="U188" s="54">
        <f t="shared" si="16"/>
        <v>0.414285714285714</v>
      </c>
      <c r="V188" s="54">
        <f t="shared" si="17"/>
        <v>1.45</v>
      </c>
      <c r="W188" s="55">
        <f t="shared" si="18"/>
        <v>0.0365607665153807</v>
      </c>
      <c r="X188" s="55">
        <f t="shared" si="20"/>
        <v>0.0205746718694573</v>
      </c>
      <c r="Y188" s="55" t="s">
        <v>62</v>
      </c>
    </row>
    <row r="189" customFormat="1" ht="22.5" customHeight="1" spans="1:25">
      <c r="A189" s="49" t="s">
        <v>580</v>
      </c>
      <c r="B189" s="49" t="s">
        <v>526</v>
      </c>
      <c r="C189" s="49" t="s">
        <v>348</v>
      </c>
      <c r="D189" s="50">
        <v>177951390007</v>
      </c>
      <c r="E189" s="49" t="s">
        <v>483</v>
      </c>
      <c r="F189" s="51">
        <v>46094</v>
      </c>
      <c r="G189" s="52">
        <v>46093</v>
      </c>
      <c r="H189" s="52">
        <v>46100</v>
      </c>
      <c r="I189" s="52" t="s">
        <v>484</v>
      </c>
      <c r="J189" s="52" t="s">
        <v>485</v>
      </c>
      <c r="K189" s="52" t="s">
        <v>34</v>
      </c>
      <c r="L189" s="49">
        <v>59</v>
      </c>
      <c r="M189" s="49">
        <v>2</v>
      </c>
      <c r="N189" s="49">
        <v>2</v>
      </c>
      <c r="O189" s="53">
        <v>0.73</v>
      </c>
      <c r="P189" s="53">
        <v>303.19</v>
      </c>
      <c r="Q189" s="53">
        <v>278</v>
      </c>
      <c r="R189" s="54">
        <f t="shared" si="13"/>
        <v>415.328767123288</v>
      </c>
      <c r="S189" s="55">
        <f t="shared" si="14"/>
        <v>1</v>
      </c>
      <c r="T189" s="55">
        <f t="shared" si="15"/>
        <v>0.0338983050847458</v>
      </c>
      <c r="U189" s="54">
        <f t="shared" si="16"/>
        <v>0.365</v>
      </c>
      <c r="V189" s="54">
        <f t="shared" si="17"/>
        <v>0.365</v>
      </c>
      <c r="W189" s="55">
        <f t="shared" si="18"/>
        <v>0.00240773112569676</v>
      </c>
      <c r="X189" s="55">
        <f t="shared" si="20"/>
        <v>0.00262589928057554</v>
      </c>
      <c r="Y189" s="55" t="s">
        <v>62</v>
      </c>
    </row>
    <row r="190" customFormat="1" ht="22.5" customHeight="1" spans="1:25">
      <c r="A190" s="49" t="s">
        <v>580</v>
      </c>
      <c r="B190" s="49" t="s">
        <v>579</v>
      </c>
      <c r="C190" s="49" t="s">
        <v>400</v>
      </c>
      <c r="D190" s="50">
        <v>178088445830</v>
      </c>
      <c r="E190" s="49" t="s">
        <v>483</v>
      </c>
      <c r="F190" s="51">
        <v>46143</v>
      </c>
      <c r="G190" s="52">
        <v>46141</v>
      </c>
      <c r="H190" s="52">
        <v>46143</v>
      </c>
      <c r="I190" s="52" t="s">
        <v>505</v>
      </c>
      <c r="J190" s="52" t="s">
        <v>518</v>
      </c>
      <c r="K190" s="52" t="s">
        <v>34</v>
      </c>
      <c r="L190" s="49">
        <v>1571</v>
      </c>
      <c r="M190" s="49">
        <v>33</v>
      </c>
      <c r="N190" s="49">
        <v>1</v>
      </c>
      <c r="O190" s="53">
        <v>28.49</v>
      </c>
      <c r="P190" s="53">
        <v>135.31</v>
      </c>
      <c r="Q190" s="53">
        <v>125</v>
      </c>
      <c r="R190" s="54">
        <f t="shared" si="13"/>
        <v>4.74938574938575</v>
      </c>
      <c r="S190" s="55">
        <f t="shared" si="14"/>
        <v>0.0303030303030303</v>
      </c>
      <c r="T190" s="55">
        <f t="shared" si="15"/>
        <v>0.0210057288351369</v>
      </c>
      <c r="U190" s="54">
        <f t="shared" si="16"/>
        <v>0.863333333333333</v>
      </c>
      <c r="V190" s="54">
        <f t="shared" si="17"/>
        <v>28.49</v>
      </c>
      <c r="W190" s="55">
        <f t="shared" si="18"/>
        <v>0.210553543714433</v>
      </c>
      <c r="X190" s="55">
        <f t="shared" si="20"/>
        <v>0.22792</v>
      </c>
      <c r="Y190" s="55" t="s">
        <v>62</v>
      </c>
    </row>
    <row r="191" customFormat="1" ht="22.5" customHeight="1" spans="1:25">
      <c r="A191" s="49" t="s">
        <v>580</v>
      </c>
      <c r="B191" s="49" t="s">
        <v>561</v>
      </c>
      <c r="C191" s="49" t="s">
        <v>392</v>
      </c>
      <c r="D191" s="50">
        <v>188307740950</v>
      </c>
      <c r="E191" s="49" t="s">
        <v>483</v>
      </c>
      <c r="F191" s="51">
        <v>46137</v>
      </c>
      <c r="G191" s="52">
        <v>46135</v>
      </c>
      <c r="H191" s="52">
        <v>46140</v>
      </c>
      <c r="I191" s="52" t="s">
        <v>496</v>
      </c>
      <c r="J191" s="52" t="s">
        <v>497</v>
      </c>
      <c r="K191" s="52" t="s">
        <v>34</v>
      </c>
      <c r="L191" s="49">
        <v>1964</v>
      </c>
      <c r="M191" s="49">
        <v>17</v>
      </c>
      <c r="N191" s="49">
        <v>1</v>
      </c>
      <c r="O191" s="53">
        <v>9.22</v>
      </c>
      <c r="P191" s="53">
        <v>159</v>
      </c>
      <c r="Q191" s="53">
        <v>450</v>
      </c>
      <c r="R191" s="54">
        <f t="shared" si="13"/>
        <v>17.2451193058568</v>
      </c>
      <c r="S191" s="55">
        <f t="shared" si="14"/>
        <v>0.0588235294117647</v>
      </c>
      <c r="T191" s="55">
        <f t="shared" si="15"/>
        <v>0.00865580448065173</v>
      </c>
      <c r="U191" s="54">
        <f t="shared" si="16"/>
        <v>0.542352941176471</v>
      </c>
      <c r="V191" s="54">
        <f t="shared" si="17"/>
        <v>9.22</v>
      </c>
      <c r="W191" s="55">
        <f t="shared" si="18"/>
        <v>0.0579874213836478</v>
      </c>
      <c r="X191" s="55">
        <f t="shared" si="20"/>
        <v>0.0204888888888889</v>
      </c>
      <c r="Y191" s="55" t="s">
        <v>62</v>
      </c>
    </row>
    <row r="192" customFormat="1" ht="22.5" customHeight="1" spans="1:25">
      <c r="A192" s="49" t="s">
        <v>580</v>
      </c>
      <c r="B192" s="49" t="s">
        <v>506</v>
      </c>
      <c r="C192" s="49" t="s">
        <v>342</v>
      </c>
      <c r="D192" s="50">
        <v>177947769950</v>
      </c>
      <c r="E192" s="49" t="s">
        <v>483</v>
      </c>
      <c r="F192" s="51">
        <v>46092</v>
      </c>
      <c r="G192" s="52">
        <v>46092</v>
      </c>
      <c r="H192" s="52">
        <v>46095</v>
      </c>
      <c r="I192" s="52" t="s">
        <v>484</v>
      </c>
      <c r="J192" s="52" t="s">
        <v>489</v>
      </c>
      <c r="K192" s="52" t="s">
        <v>34</v>
      </c>
      <c r="L192" s="49">
        <v>2753</v>
      </c>
      <c r="M192" s="49">
        <v>13</v>
      </c>
      <c r="N192" s="49">
        <v>1</v>
      </c>
      <c r="O192" s="53">
        <v>5.38</v>
      </c>
      <c r="P192" s="53">
        <v>123.98</v>
      </c>
      <c r="Q192" s="53">
        <v>228</v>
      </c>
      <c r="R192" s="54">
        <f t="shared" si="13"/>
        <v>23.0446096654275</v>
      </c>
      <c r="S192" s="55">
        <f t="shared" si="14"/>
        <v>0.0769230769230769</v>
      </c>
      <c r="T192" s="55">
        <f t="shared" si="15"/>
        <v>0.00472212132219397</v>
      </c>
      <c r="U192" s="54">
        <f t="shared" si="16"/>
        <v>0.413846153846154</v>
      </c>
      <c r="V192" s="54">
        <f t="shared" si="17"/>
        <v>5.38</v>
      </c>
      <c r="W192" s="55">
        <f t="shared" si="18"/>
        <v>0.0433940958219068</v>
      </c>
      <c r="X192" s="55">
        <f t="shared" si="20"/>
        <v>0.0235964912280702</v>
      </c>
      <c r="Y192" s="55" t="s">
        <v>62</v>
      </c>
    </row>
    <row r="193" customFormat="1" ht="22.5" customHeight="1" spans="1:25">
      <c r="A193" s="49" t="s">
        <v>580</v>
      </c>
      <c r="B193" s="49" t="s">
        <v>557</v>
      </c>
      <c r="C193" s="49" t="s">
        <v>388</v>
      </c>
      <c r="D193" s="50">
        <v>178071423591</v>
      </c>
      <c r="E193" s="49" t="s">
        <v>483</v>
      </c>
      <c r="F193" s="51">
        <v>46136</v>
      </c>
      <c r="G193" s="52">
        <v>46135</v>
      </c>
      <c r="H193" s="52">
        <v>46139</v>
      </c>
      <c r="I193" s="52" t="s">
        <v>484</v>
      </c>
      <c r="J193" s="52" t="s">
        <v>564</v>
      </c>
      <c r="K193" s="52" t="s">
        <v>34</v>
      </c>
      <c r="L193" s="49">
        <v>527</v>
      </c>
      <c r="M193" s="49">
        <v>6</v>
      </c>
      <c r="N193" s="49">
        <v>1</v>
      </c>
      <c r="O193" s="53">
        <v>2.32</v>
      </c>
      <c r="P193" s="53">
        <v>48.71</v>
      </c>
      <c r="Q193" s="53">
        <v>45</v>
      </c>
      <c r="R193" s="54">
        <f t="shared" si="13"/>
        <v>20.9956896551724</v>
      </c>
      <c r="S193" s="55">
        <f t="shared" si="14"/>
        <v>0.166666666666667</v>
      </c>
      <c r="T193" s="55">
        <f t="shared" si="15"/>
        <v>0.0113851992409867</v>
      </c>
      <c r="U193" s="54">
        <f t="shared" si="16"/>
        <v>0.386666666666667</v>
      </c>
      <c r="V193" s="54">
        <f t="shared" si="17"/>
        <v>2.32</v>
      </c>
      <c r="W193" s="55">
        <f t="shared" si="18"/>
        <v>0.0476288236501745</v>
      </c>
      <c r="X193" s="55">
        <f t="shared" si="20"/>
        <v>0.0515555555555555</v>
      </c>
      <c r="Y193" s="55" t="s">
        <v>62</v>
      </c>
    </row>
    <row r="194" customFormat="1" ht="22.5" customHeight="1" spans="1:25">
      <c r="A194" s="49" t="s">
        <v>580</v>
      </c>
      <c r="B194" s="49" t="s">
        <v>574</v>
      </c>
      <c r="C194" s="49" t="s">
        <v>395</v>
      </c>
      <c r="D194" s="50">
        <v>188307751556</v>
      </c>
      <c r="E194" s="49" t="s">
        <v>483</v>
      </c>
      <c r="F194" s="51">
        <v>46142</v>
      </c>
      <c r="G194" s="52">
        <v>46135</v>
      </c>
      <c r="H194" s="52">
        <v>46142</v>
      </c>
      <c r="I194" s="52" t="s">
        <v>484</v>
      </c>
      <c r="J194" s="52" t="s">
        <v>497</v>
      </c>
      <c r="K194" s="52" t="s">
        <v>34</v>
      </c>
      <c r="L194" s="49">
        <v>776</v>
      </c>
      <c r="M194" s="49">
        <v>4</v>
      </c>
      <c r="N194" s="49">
        <v>1</v>
      </c>
      <c r="O194" s="53">
        <v>1.84</v>
      </c>
      <c r="P194" s="53">
        <v>161.06</v>
      </c>
      <c r="Q194" s="53">
        <v>750</v>
      </c>
      <c r="R194" s="54">
        <f t="shared" ref="R194:R257" si="21">P194/O194</f>
        <v>87.5326086956522</v>
      </c>
      <c r="S194" s="55">
        <f t="shared" ref="S194:S257" si="22">N194/M194</f>
        <v>0.25</v>
      </c>
      <c r="T194" s="55">
        <f t="shared" ref="T194:T257" si="23">M194/L194</f>
        <v>0.00515463917525773</v>
      </c>
      <c r="U194" s="54">
        <f t="shared" ref="U194:U257" si="24">O194/M194</f>
        <v>0.46</v>
      </c>
      <c r="V194" s="54">
        <f t="shared" ref="V194:V257" si="25">O194/N194</f>
        <v>1.84</v>
      </c>
      <c r="W194" s="55">
        <f t="shared" ref="W194:W257" si="26">O194/P194</f>
        <v>0.0114243139202782</v>
      </c>
      <c r="X194" s="55">
        <f t="shared" si="20"/>
        <v>0.00245333333333333</v>
      </c>
      <c r="Y194" s="55" t="s">
        <v>62</v>
      </c>
    </row>
    <row r="195" customFormat="1" ht="22.5" customHeight="1" spans="1:25">
      <c r="A195" s="49" t="s">
        <v>580</v>
      </c>
      <c r="B195" s="49" t="s">
        <v>534</v>
      </c>
      <c r="C195" s="49" t="s">
        <v>368</v>
      </c>
      <c r="D195" s="50">
        <v>188197007336</v>
      </c>
      <c r="E195" s="49" t="s">
        <v>483</v>
      </c>
      <c r="F195" s="51">
        <v>46104</v>
      </c>
      <c r="G195" s="52">
        <v>46104</v>
      </c>
      <c r="H195" s="52">
        <v>46134</v>
      </c>
      <c r="I195" s="52" t="s">
        <v>484</v>
      </c>
      <c r="J195" s="52" t="s">
        <v>521</v>
      </c>
      <c r="K195" s="52" t="s">
        <v>34</v>
      </c>
      <c r="L195" s="49">
        <v>198</v>
      </c>
      <c r="M195" s="49">
        <v>4</v>
      </c>
      <c r="N195" s="49">
        <v>1</v>
      </c>
      <c r="O195" s="53">
        <v>2.76</v>
      </c>
      <c r="P195" s="53">
        <v>129</v>
      </c>
      <c r="Q195" s="53">
        <v>258</v>
      </c>
      <c r="R195" s="54">
        <f t="shared" si="21"/>
        <v>46.7391304347826</v>
      </c>
      <c r="S195" s="55">
        <f t="shared" si="22"/>
        <v>0.25</v>
      </c>
      <c r="T195" s="55">
        <f t="shared" si="23"/>
        <v>0.0202020202020202</v>
      </c>
      <c r="U195" s="54">
        <f t="shared" si="24"/>
        <v>0.69</v>
      </c>
      <c r="V195" s="54">
        <f t="shared" si="25"/>
        <v>2.76</v>
      </c>
      <c r="W195" s="55">
        <f t="shared" si="26"/>
        <v>0.0213953488372093</v>
      </c>
      <c r="X195" s="55">
        <f t="shared" si="20"/>
        <v>0.0106976744186046</v>
      </c>
      <c r="Y195" s="55" t="s">
        <v>62</v>
      </c>
    </row>
    <row r="196" customFormat="1" ht="22.5" customHeight="1" spans="1:25">
      <c r="A196" s="49" t="s">
        <v>580</v>
      </c>
      <c r="B196" s="49" t="s">
        <v>538</v>
      </c>
      <c r="C196" s="49" t="s">
        <v>334</v>
      </c>
      <c r="D196" s="50">
        <v>177944141581</v>
      </c>
      <c r="E196" s="49" t="s">
        <v>483</v>
      </c>
      <c r="F196" s="51">
        <v>46092</v>
      </c>
      <c r="G196" s="52">
        <v>46091</v>
      </c>
      <c r="H196" s="52">
        <v>46106</v>
      </c>
      <c r="I196" s="52" t="s">
        <v>484</v>
      </c>
      <c r="J196" s="52" t="s">
        <v>489</v>
      </c>
      <c r="K196" s="52" t="s">
        <v>34</v>
      </c>
      <c r="L196" s="49">
        <v>598</v>
      </c>
      <c r="M196" s="49">
        <v>1</v>
      </c>
      <c r="N196" s="49">
        <v>1</v>
      </c>
      <c r="O196" s="53">
        <v>0.37</v>
      </c>
      <c r="P196" s="53">
        <v>40.23</v>
      </c>
      <c r="Q196" s="53">
        <v>38</v>
      </c>
      <c r="R196" s="54">
        <f t="shared" si="21"/>
        <v>108.72972972973</v>
      </c>
      <c r="S196" s="55">
        <f t="shared" si="22"/>
        <v>1</v>
      </c>
      <c r="T196" s="55">
        <f t="shared" si="23"/>
        <v>0.00167224080267559</v>
      </c>
      <c r="U196" s="54">
        <f t="shared" si="24"/>
        <v>0.37</v>
      </c>
      <c r="V196" s="54">
        <f t="shared" si="25"/>
        <v>0.37</v>
      </c>
      <c r="W196" s="55">
        <f t="shared" si="26"/>
        <v>0.00919711657966692</v>
      </c>
      <c r="X196" s="55">
        <f t="shared" si="20"/>
        <v>0.00973684210526316</v>
      </c>
      <c r="Y196" s="55" t="s">
        <v>62</v>
      </c>
    </row>
    <row r="197" customFormat="1" ht="22.5" customHeight="1" spans="1:25">
      <c r="A197" s="49" t="s">
        <v>580</v>
      </c>
      <c r="B197" s="49" t="s">
        <v>572</v>
      </c>
      <c r="C197" s="49" t="s">
        <v>401</v>
      </c>
      <c r="D197" s="50">
        <v>188328090540</v>
      </c>
      <c r="E197" s="49" t="s">
        <v>483</v>
      </c>
      <c r="F197" s="51">
        <v>46142</v>
      </c>
      <c r="G197" s="52">
        <v>46141</v>
      </c>
      <c r="H197" s="52">
        <v>46142</v>
      </c>
      <c r="I197" s="52" t="s">
        <v>520</v>
      </c>
      <c r="J197" s="52" t="s">
        <v>485</v>
      </c>
      <c r="K197" s="52" t="s">
        <v>34</v>
      </c>
      <c r="L197" s="49">
        <v>1</v>
      </c>
      <c r="M197" s="49">
        <v>1</v>
      </c>
      <c r="N197" s="49">
        <v>1</v>
      </c>
      <c r="O197" s="53">
        <v>0.35</v>
      </c>
      <c r="P197" s="53">
        <v>75.6</v>
      </c>
      <c r="Q197" s="53">
        <v>140</v>
      </c>
      <c r="R197" s="54">
        <f t="shared" si="21"/>
        <v>216</v>
      </c>
      <c r="S197" s="55">
        <f t="shared" si="22"/>
        <v>1</v>
      </c>
      <c r="T197" s="55">
        <f t="shared" si="23"/>
        <v>1</v>
      </c>
      <c r="U197" s="54">
        <f t="shared" si="24"/>
        <v>0.35</v>
      </c>
      <c r="V197" s="54">
        <f t="shared" si="25"/>
        <v>0.35</v>
      </c>
      <c r="W197" s="55">
        <f t="shared" si="26"/>
        <v>0.00462962962962963</v>
      </c>
      <c r="X197" s="55">
        <f t="shared" si="20"/>
        <v>0.0025</v>
      </c>
      <c r="Y197" s="55" t="s">
        <v>62</v>
      </c>
    </row>
    <row r="198" customFormat="1" ht="22.5" customHeight="1" spans="1:25">
      <c r="A198" s="49" t="s">
        <v>580</v>
      </c>
      <c r="B198" s="49" t="s">
        <v>75</v>
      </c>
      <c r="C198" s="49" t="s">
        <v>78</v>
      </c>
      <c r="D198" s="50">
        <v>188307728772</v>
      </c>
      <c r="E198" s="49" t="s">
        <v>483</v>
      </c>
      <c r="F198" s="51">
        <v>46136</v>
      </c>
      <c r="G198" s="52">
        <v>46135</v>
      </c>
      <c r="H198" s="52">
        <v>46135</v>
      </c>
      <c r="I198" s="52" t="s">
        <v>26</v>
      </c>
      <c r="J198" s="52" t="s">
        <v>518</v>
      </c>
      <c r="K198" s="52" t="s">
        <v>34</v>
      </c>
      <c r="L198" s="49">
        <v>32735</v>
      </c>
      <c r="M198" s="49">
        <v>67</v>
      </c>
      <c r="N198" s="49">
        <v>0</v>
      </c>
      <c r="O198" s="53">
        <v>64.17</v>
      </c>
      <c r="P198" s="53">
        <v>0</v>
      </c>
      <c r="Q198" s="53">
        <v>0</v>
      </c>
      <c r="R198" s="54">
        <f t="shared" si="21"/>
        <v>0</v>
      </c>
      <c r="S198" s="55">
        <f t="shared" si="22"/>
        <v>0</v>
      </c>
      <c r="T198" s="55">
        <f t="shared" si="23"/>
        <v>0.00204673896441118</v>
      </c>
      <c r="U198" s="54">
        <f t="shared" si="24"/>
        <v>0.957761194029851</v>
      </c>
      <c r="V198" s="54" t="e">
        <f t="shared" si="25"/>
        <v>#DIV/0!</v>
      </c>
      <c r="W198" s="55" t="e">
        <f t="shared" si="26"/>
        <v>#DIV/0!</v>
      </c>
      <c r="X198" s="55" t="e">
        <f t="shared" si="20"/>
        <v>#DIV/0!</v>
      </c>
      <c r="Y198" s="55" t="s">
        <v>49</v>
      </c>
    </row>
    <row r="199" customFormat="1" ht="22.5" customHeight="1" spans="1:25">
      <c r="A199" s="49" t="s">
        <v>580</v>
      </c>
      <c r="B199" s="49" t="s">
        <v>566</v>
      </c>
      <c r="C199" s="49" t="s">
        <v>378</v>
      </c>
      <c r="D199" s="50">
        <v>117115641168</v>
      </c>
      <c r="E199" s="49" t="s">
        <v>502</v>
      </c>
      <c r="F199" s="51">
        <v>46140</v>
      </c>
      <c r="G199" s="52">
        <v>46108</v>
      </c>
      <c r="H199" s="52" t="s">
        <v>149</v>
      </c>
      <c r="I199" s="52" t="s">
        <v>26</v>
      </c>
      <c r="J199" s="52" t="s">
        <v>30</v>
      </c>
      <c r="K199" s="52" t="s">
        <v>493</v>
      </c>
      <c r="L199" s="49">
        <v>31487</v>
      </c>
      <c r="M199" s="49">
        <v>39</v>
      </c>
      <c r="N199" s="49">
        <v>0</v>
      </c>
      <c r="O199" s="53">
        <v>27.74</v>
      </c>
      <c r="P199" s="53">
        <v>0</v>
      </c>
      <c r="Q199" s="53">
        <v>0</v>
      </c>
      <c r="R199" s="54">
        <f t="shared" si="21"/>
        <v>0</v>
      </c>
      <c r="S199" s="55">
        <f t="shared" si="22"/>
        <v>0</v>
      </c>
      <c r="T199" s="55">
        <f t="shared" si="23"/>
        <v>0.00123860640899419</v>
      </c>
      <c r="U199" s="54">
        <f t="shared" si="24"/>
        <v>0.711282051282051</v>
      </c>
      <c r="V199" s="54" t="e">
        <f t="shared" si="25"/>
        <v>#DIV/0!</v>
      </c>
      <c r="W199" s="55" t="e">
        <f t="shared" si="26"/>
        <v>#DIV/0!</v>
      </c>
      <c r="X199" s="55" t="e">
        <f t="shared" si="20"/>
        <v>#DIV/0!</v>
      </c>
      <c r="Y199" s="55" t="s">
        <v>49</v>
      </c>
    </row>
    <row r="200" customFormat="1" ht="22.5" customHeight="1" spans="1:25">
      <c r="A200" s="49" t="s">
        <v>580</v>
      </c>
      <c r="B200" s="49" t="s">
        <v>555</v>
      </c>
      <c r="C200" s="49" t="s">
        <v>367</v>
      </c>
      <c r="D200" s="50">
        <v>117105226831</v>
      </c>
      <c r="E200" s="49" t="s">
        <v>502</v>
      </c>
      <c r="F200" s="51">
        <v>46135</v>
      </c>
      <c r="G200" s="52">
        <v>46104</v>
      </c>
      <c r="H200" s="52" t="s">
        <v>149</v>
      </c>
      <c r="I200" s="52" t="s">
        <v>496</v>
      </c>
      <c r="J200" s="52" t="s">
        <v>30</v>
      </c>
      <c r="K200" s="52" t="s">
        <v>34</v>
      </c>
      <c r="L200" s="49">
        <v>31421</v>
      </c>
      <c r="M200" s="49">
        <v>23</v>
      </c>
      <c r="N200" s="49">
        <v>0</v>
      </c>
      <c r="O200" s="53">
        <v>22.65</v>
      </c>
      <c r="P200" s="53">
        <v>0</v>
      </c>
      <c r="Q200" s="53">
        <v>0</v>
      </c>
      <c r="R200" s="54">
        <f t="shared" si="21"/>
        <v>0</v>
      </c>
      <c r="S200" s="55">
        <f t="shared" si="22"/>
        <v>0</v>
      </c>
      <c r="T200" s="55">
        <f t="shared" si="23"/>
        <v>0.00073199452595398</v>
      </c>
      <c r="U200" s="54">
        <f t="shared" si="24"/>
        <v>0.984782608695652</v>
      </c>
      <c r="V200" s="54" t="e">
        <f t="shared" si="25"/>
        <v>#DIV/0!</v>
      </c>
      <c r="W200" s="55" t="e">
        <f t="shared" si="26"/>
        <v>#DIV/0!</v>
      </c>
      <c r="X200" s="55" t="e">
        <f t="shared" si="20"/>
        <v>#DIV/0!</v>
      </c>
      <c r="Y200" s="55" t="s">
        <v>49</v>
      </c>
    </row>
    <row r="201" customFormat="1" ht="22.5" customHeight="1" spans="1:25">
      <c r="A201" s="49" t="s">
        <v>580</v>
      </c>
      <c r="B201" s="49" t="s">
        <v>569</v>
      </c>
      <c r="C201" s="49" t="s">
        <v>359</v>
      </c>
      <c r="D201" s="50">
        <v>117093803059</v>
      </c>
      <c r="E201" s="49" t="s">
        <v>502</v>
      </c>
      <c r="F201" s="51">
        <v>46141</v>
      </c>
      <c r="G201" s="52">
        <v>46097</v>
      </c>
      <c r="H201" s="52">
        <v>46104</v>
      </c>
      <c r="I201" s="52" t="s">
        <v>496</v>
      </c>
      <c r="J201" s="52" t="s">
        <v>497</v>
      </c>
      <c r="K201" s="52" t="s">
        <v>34</v>
      </c>
      <c r="L201" s="49">
        <v>219</v>
      </c>
      <c r="M201" s="49">
        <v>17</v>
      </c>
      <c r="N201" s="49">
        <v>0</v>
      </c>
      <c r="O201" s="53">
        <v>7.88</v>
      </c>
      <c r="P201" s="53">
        <v>0</v>
      </c>
      <c r="Q201" s="53">
        <v>95</v>
      </c>
      <c r="R201" s="54">
        <f t="shared" si="21"/>
        <v>0</v>
      </c>
      <c r="S201" s="55">
        <f t="shared" si="22"/>
        <v>0</v>
      </c>
      <c r="T201" s="55">
        <f t="shared" si="23"/>
        <v>0.0776255707762557</v>
      </c>
      <c r="U201" s="54">
        <f t="shared" si="24"/>
        <v>0.463529411764706</v>
      </c>
      <c r="V201" s="54" t="e">
        <f t="shared" si="25"/>
        <v>#DIV/0!</v>
      </c>
      <c r="W201" s="55" t="e">
        <f t="shared" si="26"/>
        <v>#DIV/0!</v>
      </c>
      <c r="X201" s="55">
        <f t="shared" si="20"/>
        <v>0.0829473684210526</v>
      </c>
      <c r="Y201" s="55" t="s">
        <v>62</v>
      </c>
    </row>
    <row r="202" customFormat="1" ht="22.5" customHeight="1" spans="1:25">
      <c r="A202" s="49" t="s">
        <v>580</v>
      </c>
      <c r="B202" s="49" t="s">
        <v>578</v>
      </c>
      <c r="C202" s="49" t="s">
        <v>399</v>
      </c>
      <c r="D202" s="50">
        <v>178088440364</v>
      </c>
      <c r="E202" s="49" t="s">
        <v>483</v>
      </c>
      <c r="F202" s="51">
        <v>46143</v>
      </c>
      <c r="G202" s="52">
        <v>46141</v>
      </c>
      <c r="H202" s="52" t="s">
        <v>149</v>
      </c>
      <c r="I202" s="52" t="s">
        <v>505</v>
      </c>
      <c r="J202" s="52" t="s">
        <v>518</v>
      </c>
      <c r="K202" s="52" t="s">
        <v>34</v>
      </c>
      <c r="L202" s="49">
        <v>1398</v>
      </c>
      <c r="M202" s="49">
        <v>15</v>
      </c>
      <c r="N202" s="49">
        <v>0</v>
      </c>
      <c r="O202" s="53">
        <v>10.68</v>
      </c>
      <c r="P202" s="53">
        <v>0</v>
      </c>
      <c r="Q202" s="53">
        <v>0</v>
      </c>
      <c r="R202" s="54">
        <f t="shared" si="21"/>
        <v>0</v>
      </c>
      <c r="S202" s="55">
        <f t="shared" si="22"/>
        <v>0</v>
      </c>
      <c r="T202" s="55">
        <f t="shared" si="23"/>
        <v>0.0107296137339056</v>
      </c>
      <c r="U202" s="54">
        <f t="shared" si="24"/>
        <v>0.712</v>
      </c>
      <c r="V202" s="54" t="e">
        <f t="shared" si="25"/>
        <v>#DIV/0!</v>
      </c>
      <c r="W202" s="55" t="e">
        <f t="shared" si="26"/>
        <v>#DIV/0!</v>
      </c>
      <c r="X202" s="55" t="e">
        <f t="shared" si="20"/>
        <v>#DIV/0!</v>
      </c>
      <c r="Y202" s="55" t="s">
        <v>62</v>
      </c>
    </row>
    <row r="203" customFormat="1" ht="22.5" customHeight="1" spans="1:25">
      <c r="A203" s="49" t="s">
        <v>580</v>
      </c>
      <c r="B203" s="49" t="s">
        <v>582</v>
      </c>
      <c r="C203" s="49" t="s">
        <v>415</v>
      </c>
      <c r="D203" s="50">
        <v>188330701630</v>
      </c>
      <c r="E203" s="49" t="s">
        <v>483</v>
      </c>
      <c r="F203" s="51">
        <v>46143</v>
      </c>
      <c r="G203" s="52">
        <v>46142</v>
      </c>
      <c r="H203" s="52">
        <v>46146</v>
      </c>
      <c r="I203" s="52" t="s">
        <v>505</v>
      </c>
      <c r="J203" s="52" t="s">
        <v>518</v>
      </c>
      <c r="K203" s="52" t="s">
        <v>34</v>
      </c>
      <c r="L203" s="49">
        <v>319</v>
      </c>
      <c r="M203" s="49">
        <v>15</v>
      </c>
      <c r="N203" s="49">
        <v>0</v>
      </c>
      <c r="O203" s="53">
        <v>7.14</v>
      </c>
      <c r="P203" s="53">
        <v>0</v>
      </c>
      <c r="Q203" s="53">
        <v>35</v>
      </c>
      <c r="R203" s="54">
        <f t="shared" si="21"/>
        <v>0</v>
      </c>
      <c r="S203" s="55">
        <f t="shared" si="22"/>
        <v>0</v>
      </c>
      <c r="T203" s="55">
        <f t="shared" si="23"/>
        <v>0.0470219435736677</v>
      </c>
      <c r="U203" s="54">
        <f t="shared" si="24"/>
        <v>0.476</v>
      </c>
      <c r="V203" s="54" t="e">
        <f t="shared" si="25"/>
        <v>#DIV/0!</v>
      </c>
      <c r="W203" s="55" t="e">
        <f t="shared" si="26"/>
        <v>#DIV/0!</v>
      </c>
      <c r="X203" s="55">
        <f t="shared" si="20"/>
        <v>0.204</v>
      </c>
      <c r="Y203" s="55" t="s">
        <v>62</v>
      </c>
    </row>
    <row r="204" customFormat="1" ht="22.5" customHeight="1" spans="1:25">
      <c r="A204" s="49" t="s">
        <v>580</v>
      </c>
      <c r="B204" s="49" t="s">
        <v>535</v>
      </c>
      <c r="C204" s="49" t="s">
        <v>347</v>
      </c>
      <c r="D204" s="50">
        <v>117085067234</v>
      </c>
      <c r="E204" s="49" t="s">
        <v>502</v>
      </c>
      <c r="F204" s="51">
        <v>46123</v>
      </c>
      <c r="G204" s="52">
        <v>46092</v>
      </c>
      <c r="H204" s="52">
        <v>46096</v>
      </c>
      <c r="I204" s="52" t="s">
        <v>26</v>
      </c>
      <c r="J204" s="52" t="s">
        <v>30</v>
      </c>
      <c r="K204" s="52" t="s">
        <v>34</v>
      </c>
      <c r="L204" s="49">
        <v>228</v>
      </c>
      <c r="M204" s="49">
        <v>12</v>
      </c>
      <c r="N204" s="49">
        <v>0</v>
      </c>
      <c r="O204" s="53">
        <v>6.81</v>
      </c>
      <c r="P204" s="53">
        <v>0</v>
      </c>
      <c r="Q204" s="53">
        <v>478</v>
      </c>
      <c r="R204" s="54">
        <f t="shared" si="21"/>
        <v>0</v>
      </c>
      <c r="S204" s="55">
        <f t="shared" si="22"/>
        <v>0</v>
      </c>
      <c r="T204" s="55">
        <f t="shared" si="23"/>
        <v>0.0526315789473684</v>
      </c>
      <c r="U204" s="54">
        <f t="shared" si="24"/>
        <v>0.5675</v>
      </c>
      <c r="V204" s="54" t="e">
        <f t="shared" si="25"/>
        <v>#DIV/0!</v>
      </c>
      <c r="W204" s="55" t="e">
        <f t="shared" si="26"/>
        <v>#DIV/0!</v>
      </c>
      <c r="X204" s="55">
        <f t="shared" si="20"/>
        <v>0.0142468619246862</v>
      </c>
      <c r="Y204" s="55" t="s">
        <v>62</v>
      </c>
    </row>
    <row r="205" customFormat="1" ht="22.5" customHeight="1" spans="1:25">
      <c r="A205" s="49" t="s">
        <v>580</v>
      </c>
      <c r="B205" s="49" t="s">
        <v>562</v>
      </c>
      <c r="C205" s="49" t="s">
        <v>393</v>
      </c>
      <c r="D205" s="50">
        <v>188307744865</v>
      </c>
      <c r="E205" s="49" t="s">
        <v>483</v>
      </c>
      <c r="F205" s="51">
        <v>46137</v>
      </c>
      <c r="G205" s="52">
        <v>46135</v>
      </c>
      <c r="H205" s="52" t="s">
        <v>149</v>
      </c>
      <c r="I205" s="52" t="s">
        <v>496</v>
      </c>
      <c r="J205" s="52" t="s">
        <v>497</v>
      </c>
      <c r="K205" s="52" t="s">
        <v>34</v>
      </c>
      <c r="L205" s="49">
        <v>893</v>
      </c>
      <c r="M205" s="49">
        <v>8</v>
      </c>
      <c r="N205" s="49">
        <v>0</v>
      </c>
      <c r="O205" s="53">
        <v>7.89</v>
      </c>
      <c r="P205" s="53">
        <v>0</v>
      </c>
      <c r="Q205" s="53">
        <v>0</v>
      </c>
      <c r="R205" s="54">
        <f t="shared" si="21"/>
        <v>0</v>
      </c>
      <c r="S205" s="55">
        <f t="shared" si="22"/>
        <v>0</v>
      </c>
      <c r="T205" s="55">
        <f t="shared" si="23"/>
        <v>0.00895856662933931</v>
      </c>
      <c r="U205" s="54">
        <f t="shared" si="24"/>
        <v>0.98625</v>
      </c>
      <c r="V205" s="54" t="e">
        <f t="shared" si="25"/>
        <v>#DIV/0!</v>
      </c>
      <c r="W205" s="55" t="e">
        <f t="shared" si="26"/>
        <v>#DIV/0!</v>
      </c>
      <c r="X205" s="55" t="e">
        <f t="shared" si="20"/>
        <v>#DIV/0!</v>
      </c>
      <c r="Y205" s="55" t="s">
        <v>62</v>
      </c>
    </row>
    <row r="206" customFormat="1" ht="22.5" customHeight="1" spans="1:25">
      <c r="A206" s="49" t="s">
        <v>580</v>
      </c>
      <c r="B206" s="49" t="s">
        <v>559</v>
      </c>
      <c r="C206" s="49" t="s">
        <v>389</v>
      </c>
      <c r="D206" s="50">
        <v>188306721459</v>
      </c>
      <c r="E206" s="49" t="s">
        <v>483</v>
      </c>
      <c r="F206" s="51">
        <v>46136</v>
      </c>
      <c r="G206" s="52">
        <v>46135</v>
      </c>
      <c r="H206" s="52" t="s">
        <v>149</v>
      </c>
      <c r="I206" s="52" t="s">
        <v>520</v>
      </c>
      <c r="J206" s="52" t="s">
        <v>521</v>
      </c>
      <c r="K206" s="52" t="s">
        <v>34</v>
      </c>
      <c r="L206" s="49">
        <v>982</v>
      </c>
      <c r="M206" s="49">
        <v>7</v>
      </c>
      <c r="N206" s="49">
        <v>0</v>
      </c>
      <c r="O206" s="53">
        <v>5.4</v>
      </c>
      <c r="P206" s="53">
        <v>0</v>
      </c>
      <c r="Q206" s="53">
        <v>0</v>
      </c>
      <c r="R206" s="54">
        <f t="shared" si="21"/>
        <v>0</v>
      </c>
      <c r="S206" s="55">
        <f t="shared" si="22"/>
        <v>0</v>
      </c>
      <c r="T206" s="55">
        <f t="shared" si="23"/>
        <v>0.00712830957230143</v>
      </c>
      <c r="U206" s="54">
        <f t="shared" si="24"/>
        <v>0.771428571428571</v>
      </c>
      <c r="V206" s="54" t="e">
        <f t="shared" si="25"/>
        <v>#DIV/0!</v>
      </c>
      <c r="W206" s="55" t="e">
        <f t="shared" si="26"/>
        <v>#DIV/0!</v>
      </c>
      <c r="X206" s="55" t="e">
        <f t="shared" si="20"/>
        <v>#DIV/0!</v>
      </c>
      <c r="Y206" s="55" t="s">
        <v>62</v>
      </c>
    </row>
    <row r="207" customFormat="1" ht="22.5" customHeight="1" spans="1:25">
      <c r="A207" s="49" t="s">
        <v>580</v>
      </c>
      <c r="B207" s="49" t="s">
        <v>560</v>
      </c>
      <c r="C207" s="49" t="s">
        <v>391</v>
      </c>
      <c r="D207" s="50">
        <v>178072239367</v>
      </c>
      <c r="E207" s="49" t="s">
        <v>483</v>
      </c>
      <c r="F207" s="51">
        <v>46137</v>
      </c>
      <c r="G207" s="52">
        <v>46135</v>
      </c>
      <c r="H207" s="52" t="s">
        <v>149</v>
      </c>
      <c r="I207" s="52" t="s">
        <v>496</v>
      </c>
      <c r="J207" s="52" t="s">
        <v>497</v>
      </c>
      <c r="K207" s="52" t="s">
        <v>34</v>
      </c>
      <c r="L207" s="49">
        <v>1639</v>
      </c>
      <c r="M207" s="49">
        <v>6</v>
      </c>
      <c r="N207" s="49">
        <v>0</v>
      </c>
      <c r="O207" s="53">
        <v>4.21</v>
      </c>
      <c r="P207" s="53">
        <v>0</v>
      </c>
      <c r="Q207" s="53">
        <v>0</v>
      </c>
      <c r="R207" s="54">
        <f t="shared" si="21"/>
        <v>0</v>
      </c>
      <c r="S207" s="55">
        <f t="shared" si="22"/>
        <v>0</v>
      </c>
      <c r="T207" s="55">
        <f t="shared" si="23"/>
        <v>0.0036607687614399</v>
      </c>
      <c r="U207" s="54">
        <f t="shared" si="24"/>
        <v>0.701666666666667</v>
      </c>
      <c r="V207" s="54" t="e">
        <f t="shared" si="25"/>
        <v>#DIV/0!</v>
      </c>
      <c r="W207" s="55" t="e">
        <f t="shared" si="26"/>
        <v>#DIV/0!</v>
      </c>
      <c r="X207" s="55" t="e">
        <f t="shared" si="20"/>
        <v>#DIV/0!</v>
      </c>
      <c r="Y207" s="55" t="s">
        <v>62</v>
      </c>
    </row>
    <row r="208" customFormat="1" ht="22.5" customHeight="1" spans="1:25">
      <c r="A208" s="49" t="s">
        <v>580</v>
      </c>
      <c r="B208" s="49" t="s">
        <v>498</v>
      </c>
      <c r="C208" s="49" t="s">
        <v>376</v>
      </c>
      <c r="D208" s="50">
        <v>177997411142</v>
      </c>
      <c r="E208" s="49" t="s">
        <v>483</v>
      </c>
      <c r="F208" s="51">
        <v>46109</v>
      </c>
      <c r="G208" s="52">
        <v>46108</v>
      </c>
      <c r="H208" s="52">
        <v>46116</v>
      </c>
      <c r="I208" s="52" t="s">
        <v>484</v>
      </c>
      <c r="J208" s="52" t="s">
        <v>489</v>
      </c>
      <c r="K208" s="52" t="s">
        <v>493</v>
      </c>
      <c r="L208" s="49">
        <v>701</v>
      </c>
      <c r="M208" s="49">
        <v>6</v>
      </c>
      <c r="N208" s="49">
        <v>0</v>
      </c>
      <c r="O208" s="53">
        <v>2.45</v>
      </c>
      <c r="P208" s="53">
        <v>0</v>
      </c>
      <c r="Q208" s="53">
        <v>171</v>
      </c>
      <c r="R208" s="54">
        <f t="shared" si="21"/>
        <v>0</v>
      </c>
      <c r="S208" s="55">
        <f t="shared" si="22"/>
        <v>0</v>
      </c>
      <c r="T208" s="55">
        <f t="shared" si="23"/>
        <v>0.00855920114122682</v>
      </c>
      <c r="U208" s="54">
        <f t="shared" si="24"/>
        <v>0.408333333333333</v>
      </c>
      <c r="V208" s="54" t="e">
        <f t="shared" si="25"/>
        <v>#DIV/0!</v>
      </c>
      <c r="W208" s="55" t="e">
        <f t="shared" si="26"/>
        <v>#DIV/0!</v>
      </c>
      <c r="X208" s="55">
        <f t="shared" si="20"/>
        <v>0.014327485380117</v>
      </c>
      <c r="Y208" s="55" t="s">
        <v>62</v>
      </c>
    </row>
    <row r="209" customFormat="1" ht="22.5" customHeight="1" spans="1:25">
      <c r="A209" s="49" t="s">
        <v>580</v>
      </c>
      <c r="B209" s="49" t="s">
        <v>549</v>
      </c>
      <c r="C209" s="49" t="s">
        <v>319</v>
      </c>
      <c r="D209" s="50">
        <v>227241168840</v>
      </c>
      <c r="E209" s="49" t="s">
        <v>488</v>
      </c>
      <c r="F209" s="51">
        <v>46097</v>
      </c>
      <c r="G209" s="52">
        <v>46085</v>
      </c>
      <c r="H209" s="52">
        <v>46100</v>
      </c>
      <c r="I209" s="52" t="s">
        <v>484</v>
      </c>
      <c r="J209" s="52" t="s">
        <v>30</v>
      </c>
      <c r="K209" s="52" t="s">
        <v>34</v>
      </c>
      <c r="L209" s="49">
        <v>450</v>
      </c>
      <c r="M209" s="49">
        <v>5</v>
      </c>
      <c r="N209" s="49">
        <v>0</v>
      </c>
      <c r="O209" s="53">
        <v>2.05</v>
      </c>
      <c r="P209" s="53">
        <v>0</v>
      </c>
      <c r="Q209" s="53">
        <v>140.95</v>
      </c>
      <c r="R209" s="54">
        <f t="shared" si="21"/>
        <v>0</v>
      </c>
      <c r="S209" s="55">
        <f t="shared" si="22"/>
        <v>0</v>
      </c>
      <c r="T209" s="55">
        <f t="shared" si="23"/>
        <v>0.0111111111111111</v>
      </c>
      <c r="U209" s="54">
        <f t="shared" si="24"/>
        <v>0.41</v>
      </c>
      <c r="V209" s="54" t="e">
        <f t="shared" si="25"/>
        <v>#DIV/0!</v>
      </c>
      <c r="W209" s="55" t="e">
        <f t="shared" si="26"/>
        <v>#DIV/0!</v>
      </c>
      <c r="X209" s="55">
        <f t="shared" si="20"/>
        <v>0.014544164597375</v>
      </c>
      <c r="Y209" s="55" t="s">
        <v>62</v>
      </c>
    </row>
    <row r="210" customFormat="1" ht="22.5" customHeight="1" spans="1:25">
      <c r="A210" s="49" t="s">
        <v>580</v>
      </c>
      <c r="B210" s="49" t="s">
        <v>583</v>
      </c>
      <c r="C210" s="49" t="s">
        <v>416</v>
      </c>
      <c r="D210" s="50">
        <v>188330738159</v>
      </c>
      <c r="E210" s="49" t="s">
        <v>483</v>
      </c>
      <c r="F210" s="51">
        <v>46143</v>
      </c>
      <c r="G210" s="52">
        <v>46142</v>
      </c>
      <c r="H210" s="52" t="s">
        <v>149</v>
      </c>
      <c r="I210" s="52" t="s">
        <v>505</v>
      </c>
      <c r="J210" s="52" t="s">
        <v>518</v>
      </c>
      <c r="K210" s="52" t="s">
        <v>34</v>
      </c>
      <c r="L210" s="49">
        <v>302</v>
      </c>
      <c r="M210" s="49">
        <v>5</v>
      </c>
      <c r="N210" s="49">
        <v>0</v>
      </c>
      <c r="O210" s="53">
        <v>2.3</v>
      </c>
      <c r="P210" s="53">
        <v>0</v>
      </c>
      <c r="Q210" s="53">
        <v>0</v>
      </c>
      <c r="R210" s="54">
        <f t="shared" si="21"/>
        <v>0</v>
      </c>
      <c r="S210" s="55">
        <f t="shared" si="22"/>
        <v>0</v>
      </c>
      <c r="T210" s="55">
        <f t="shared" si="23"/>
        <v>0.0165562913907285</v>
      </c>
      <c r="U210" s="54">
        <f t="shared" si="24"/>
        <v>0.46</v>
      </c>
      <c r="V210" s="54" t="e">
        <f t="shared" si="25"/>
        <v>#DIV/0!</v>
      </c>
      <c r="W210" s="55" t="e">
        <f t="shared" si="26"/>
        <v>#DIV/0!</v>
      </c>
      <c r="X210" s="55" t="e">
        <f t="shared" si="20"/>
        <v>#DIV/0!</v>
      </c>
      <c r="Y210" s="55" t="s">
        <v>62</v>
      </c>
    </row>
    <row r="211" customFormat="1" ht="22.5" customHeight="1" spans="1:25">
      <c r="A211" s="49" t="s">
        <v>580</v>
      </c>
      <c r="B211" s="49" t="s">
        <v>507</v>
      </c>
      <c r="C211" s="49" t="s">
        <v>326</v>
      </c>
      <c r="D211" s="50">
        <v>117072634866</v>
      </c>
      <c r="E211" s="49" t="s">
        <v>502</v>
      </c>
      <c r="F211" s="51">
        <v>46095</v>
      </c>
      <c r="G211" s="52">
        <v>46085</v>
      </c>
      <c r="H211" s="52">
        <v>46086</v>
      </c>
      <c r="I211" s="52" t="s">
        <v>496</v>
      </c>
      <c r="J211" s="52" t="s">
        <v>497</v>
      </c>
      <c r="K211" s="52" t="s">
        <v>34</v>
      </c>
      <c r="L211" s="49">
        <v>115</v>
      </c>
      <c r="M211" s="49">
        <v>5</v>
      </c>
      <c r="N211" s="49">
        <v>0</v>
      </c>
      <c r="O211" s="53">
        <v>2.11</v>
      </c>
      <c r="P211" s="53">
        <v>0</v>
      </c>
      <c r="Q211" s="53">
        <v>833.5</v>
      </c>
      <c r="R211" s="54">
        <f t="shared" si="21"/>
        <v>0</v>
      </c>
      <c r="S211" s="55">
        <f t="shared" si="22"/>
        <v>0</v>
      </c>
      <c r="T211" s="55">
        <f t="shared" si="23"/>
        <v>0.0434782608695652</v>
      </c>
      <c r="U211" s="54">
        <f t="shared" si="24"/>
        <v>0.422</v>
      </c>
      <c r="V211" s="54" t="e">
        <f t="shared" si="25"/>
        <v>#DIV/0!</v>
      </c>
      <c r="W211" s="55" t="e">
        <f t="shared" si="26"/>
        <v>#DIV/0!</v>
      </c>
      <c r="X211" s="55">
        <f t="shared" si="20"/>
        <v>0.00253149370125975</v>
      </c>
      <c r="Y211" s="55" t="s">
        <v>62</v>
      </c>
    </row>
    <row r="212" customFormat="1" ht="22.5" customHeight="1" spans="1:25">
      <c r="A212" s="49" t="s">
        <v>580</v>
      </c>
      <c r="B212" s="49" t="s">
        <v>574</v>
      </c>
      <c r="C212" s="49" t="s">
        <v>407</v>
      </c>
      <c r="D212" s="50">
        <v>178088538756</v>
      </c>
      <c r="E212" s="49" t="s">
        <v>483</v>
      </c>
      <c r="F212" s="51">
        <v>46142</v>
      </c>
      <c r="G212" s="52">
        <v>46141</v>
      </c>
      <c r="H212" s="52" t="s">
        <v>149</v>
      </c>
      <c r="I212" s="52" t="s">
        <v>484</v>
      </c>
      <c r="J212" s="52" t="s">
        <v>497</v>
      </c>
      <c r="K212" s="52" t="s">
        <v>34</v>
      </c>
      <c r="L212" s="49">
        <v>76</v>
      </c>
      <c r="M212" s="49">
        <v>5</v>
      </c>
      <c r="N212" s="49">
        <v>0</v>
      </c>
      <c r="O212" s="53">
        <v>2.21</v>
      </c>
      <c r="P212" s="53">
        <v>0</v>
      </c>
      <c r="Q212" s="53">
        <v>0</v>
      </c>
      <c r="R212" s="54">
        <f t="shared" si="21"/>
        <v>0</v>
      </c>
      <c r="S212" s="55">
        <f t="shared" si="22"/>
        <v>0</v>
      </c>
      <c r="T212" s="55">
        <f t="shared" si="23"/>
        <v>0.0657894736842105</v>
      </c>
      <c r="U212" s="54">
        <f t="shared" si="24"/>
        <v>0.442</v>
      </c>
      <c r="V212" s="54" t="e">
        <f t="shared" si="25"/>
        <v>#DIV/0!</v>
      </c>
      <c r="W212" s="55" t="e">
        <f t="shared" si="26"/>
        <v>#DIV/0!</v>
      </c>
      <c r="X212" s="55" t="e">
        <f t="shared" si="20"/>
        <v>#DIV/0!</v>
      </c>
      <c r="Y212" s="55" t="s">
        <v>62</v>
      </c>
    </row>
    <row r="213" customFormat="1" ht="22.5" customHeight="1" spans="1:25">
      <c r="A213" s="49" t="s">
        <v>580</v>
      </c>
      <c r="B213" s="49" t="s">
        <v>541</v>
      </c>
      <c r="C213" s="49" t="s">
        <v>351</v>
      </c>
      <c r="D213" s="50">
        <v>188167162085</v>
      </c>
      <c r="E213" s="49" t="s">
        <v>483</v>
      </c>
      <c r="F213" s="51">
        <v>46098</v>
      </c>
      <c r="G213" s="52">
        <v>46097</v>
      </c>
      <c r="H213" s="52">
        <v>46103</v>
      </c>
      <c r="I213" s="52" t="s">
        <v>496</v>
      </c>
      <c r="J213" s="52" t="s">
        <v>30</v>
      </c>
      <c r="K213" s="52" t="s">
        <v>34</v>
      </c>
      <c r="L213" s="49">
        <v>55</v>
      </c>
      <c r="M213" s="49">
        <v>5</v>
      </c>
      <c r="N213" s="49">
        <v>0</v>
      </c>
      <c r="O213" s="53">
        <v>1.94</v>
      </c>
      <c r="P213" s="53">
        <v>0</v>
      </c>
      <c r="Q213" s="53">
        <v>460</v>
      </c>
      <c r="R213" s="54">
        <f t="shared" si="21"/>
        <v>0</v>
      </c>
      <c r="S213" s="55">
        <f t="shared" si="22"/>
        <v>0</v>
      </c>
      <c r="T213" s="55">
        <f t="shared" si="23"/>
        <v>0.0909090909090909</v>
      </c>
      <c r="U213" s="54">
        <f t="shared" si="24"/>
        <v>0.388</v>
      </c>
      <c r="V213" s="54" t="e">
        <f t="shared" si="25"/>
        <v>#DIV/0!</v>
      </c>
      <c r="W213" s="55" t="e">
        <f t="shared" si="26"/>
        <v>#DIV/0!</v>
      </c>
      <c r="X213" s="55">
        <f t="shared" si="20"/>
        <v>0.00421739130434783</v>
      </c>
      <c r="Y213" s="55" t="s">
        <v>62</v>
      </c>
    </row>
    <row r="214" customFormat="1" ht="22.5" customHeight="1" spans="1:25">
      <c r="A214" s="49" t="s">
        <v>580</v>
      </c>
      <c r="B214" s="49" t="s">
        <v>537</v>
      </c>
      <c r="C214" s="49" t="s">
        <v>333</v>
      </c>
      <c r="D214" s="50">
        <v>117081144249</v>
      </c>
      <c r="E214" s="49" t="s">
        <v>502</v>
      </c>
      <c r="F214" s="51">
        <v>46099</v>
      </c>
      <c r="G214" s="52">
        <v>46091</v>
      </c>
      <c r="H214" s="52">
        <v>46101</v>
      </c>
      <c r="I214" s="52" t="s">
        <v>484</v>
      </c>
      <c r="J214" s="52" t="s">
        <v>489</v>
      </c>
      <c r="K214" s="52" t="s">
        <v>34</v>
      </c>
      <c r="L214" s="49">
        <v>344</v>
      </c>
      <c r="M214" s="49">
        <v>4</v>
      </c>
      <c r="N214" s="49">
        <v>0</v>
      </c>
      <c r="O214" s="53">
        <v>1.45</v>
      </c>
      <c r="P214" s="53">
        <v>0</v>
      </c>
      <c r="Q214" s="53">
        <v>0</v>
      </c>
      <c r="R214" s="54">
        <f t="shared" si="21"/>
        <v>0</v>
      </c>
      <c r="S214" s="55">
        <f t="shared" si="22"/>
        <v>0</v>
      </c>
      <c r="T214" s="55">
        <f t="shared" si="23"/>
        <v>0.0116279069767442</v>
      </c>
      <c r="U214" s="54">
        <f t="shared" si="24"/>
        <v>0.3625</v>
      </c>
      <c r="V214" s="54" t="e">
        <f t="shared" si="25"/>
        <v>#DIV/0!</v>
      </c>
      <c r="W214" s="55" t="e">
        <f t="shared" si="26"/>
        <v>#DIV/0!</v>
      </c>
      <c r="X214" s="55" t="e">
        <f t="shared" si="20"/>
        <v>#DIV/0!</v>
      </c>
      <c r="Y214" s="55" t="s">
        <v>62</v>
      </c>
    </row>
    <row r="215" customFormat="1" ht="22.5" customHeight="1" spans="1:25">
      <c r="A215" s="49" t="s">
        <v>580</v>
      </c>
      <c r="B215" s="49" t="s">
        <v>571</v>
      </c>
      <c r="C215" s="49" t="s">
        <v>406</v>
      </c>
      <c r="D215" s="50">
        <v>188328132045</v>
      </c>
      <c r="E215" s="49" t="s">
        <v>483</v>
      </c>
      <c r="F215" s="51">
        <v>46142</v>
      </c>
      <c r="G215" s="52">
        <v>46141</v>
      </c>
      <c r="H215" s="52" t="s">
        <v>149</v>
      </c>
      <c r="I215" s="52" t="s">
        <v>484</v>
      </c>
      <c r="J215" s="52" t="s">
        <v>497</v>
      </c>
      <c r="K215" s="52" t="s">
        <v>34</v>
      </c>
      <c r="L215" s="49">
        <v>92</v>
      </c>
      <c r="M215" s="49">
        <v>4</v>
      </c>
      <c r="N215" s="49">
        <v>0</v>
      </c>
      <c r="O215" s="53">
        <v>2.48</v>
      </c>
      <c r="P215" s="53">
        <v>0</v>
      </c>
      <c r="Q215" s="53">
        <v>0</v>
      </c>
      <c r="R215" s="54">
        <f t="shared" si="21"/>
        <v>0</v>
      </c>
      <c r="S215" s="55">
        <f t="shared" si="22"/>
        <v>0</v>
      </c>
      <c r="T215" s="55">
        <f t="shared" si="23"/>
        <v>0.0434782608695652</v>
      </c>
      <c r="U215" s="54">
        <f t="shared" si="24"/>
        <v>0.62</v>
      </c>
      <c r="V215" s="54" t="e">
        <f t="shared" si="25"/>
        <v>#DIV/0!</v>
      </c>
      <c r="W215" s="55" t="e">
        <f t="shared" si="26"/>
        <v>#DIV/0!</v>
      </c>
      <c r="X215" s="55" t="e">
        <f t="shared" si="20"/>
        <v>#DIV/0!</v>
      </c>
      <c r="Y215" s="55" t="s">
        <v>62</v>
      </c>
    </row>
    <row r="216" customFormat="1" ht="22.5" customHeight="1" spans="1:25">
      <c r="A216" s="49" t="s">
        <v>580</v>
      </c>
      <c r="B216" s="49" t="s">
        <v>576</v>
      </c>
      <c r="C216" s="49" t="s">
        <v>381</v>
      </c>
      <c r="D216" s="50">
        <v>177997435750</v>
      </c>
      <c r="E216" s="49" t="s">
        <v>483</v>
      </c>
      <c r="F216" s="51">
        <v>46142</v>
      </c>
      <c r="G216" s="52">
        <v>46108</v>
      </c>
      <c r="H216" s="52">
        <v>46111</v>
      </c>
      <c r="I216" s="52" t="s">
        <v>496</v>
      </c>
      <c r="J216" s="52" t="s">
        <v>497</v>
      </c>
      <c r="K216" s="52" t="s">
        <v>34</v>
      </c>
      <c r="L216" s="49">
        <v>325</v>
      </c>
      <c r="M216" s="49">
        <v>3</v>
      </c>
      <c r="N216" s="49">
        <v>0</v>
      </c>
      <c r="O216" s="53">
        <v>1.34</v>
      </c>
      <c r="P216" s="53">
        <v>0</v>
      </c>
      <c r="Q216" s="53">
        <v>257.4</v>
      </c>
      <c r="R216" s="54">
        <f t="shared" si="21"/>
        <v>0</v>
      </c>
      <c r="S216" s="55">
        <f t="shared" si="22"/>
        <v>0</v>
      </c>
      <c r="T216" s="55">
        <f t="shared" si="23"/>
        <v>0.00923076923076923</v>
      </c>
      <c r="U216" s="54">
        <f t="shared" si="24"/>
        <v>0.446666666666667</v>
      </c>
      <c r="V216" s="54" t="e">
        <f t="shared" si="25"/>
        <v>#DIV/0!</v>
      </c>
      <c r="W216" s="55" t="e">
        <f t="shared" si="26"/>
        <v>#DIV/0!</v>
      </c>
      <c r="X216" s="55">
        <f t="shared" si="20"/>
        <v>0.00520590520590521</v>
      </c>
      <c r="Y216" s="55" t="s">
        <v>49</v>
      </c>
    </row>
    <row r="217" customFormat="1" ht="22.5" customHeight="1" spans="1:25">
      <c r="A217" s="49" t="s">
        <v>580</v>
      </c>
      <c r="B217" s="49" t="s">
        <v>573</v>
      </c>
      <c r="C217" s="49" t="s">
        <v>405</v>
      </c>
      <c r="D217" s="50">
        <v>188328124623</v>
      </c>
      <c r="E217" s="49" t="s">
        <v>483</v>
      </c>
      <c r="F217" s="51">
        <v>46142</v>
      </c>
      <c r="G217" s="52">
        <v>46141</v>
      </c>
      <c r="H217" s="52" t="s">
        <v>149</v>
      </c>
      <c r="I217" s="52" t="s">
        <v>496</v>
      </c>
      <c r="J217" s="52" t="s">
        <v>497</v>
      </c>
      <c r="K217" s="52" t="s">
        <v>493</v>
      </c>
      <c r="L217" s="49">
        <v>201</v>
      </c>
      <c r="M217" s="49">
        <v>3</v>
      </c>
      <c r="N217" s="49">
        <v>0</v>
      </c>
      <c r="O217" s="53">
        <v>1.99</v>
      </c>
      <c r="P217" s="53">
        <v>0</v>
      </c>
      <c r="Q217" s="53">
        <v>0</v>
      </c>
      <c r="R217" s="54">
        <f t="shared" si="21"/>
        <v>0</v>
      </c>
      <c r="S217" s="55">
        <f t="shared" si="22"/>
        <v>0</v>
      </c>
      <c r="T217" s="55">
        <f t="shared" si="23"/>
        <v>0.0149253731343284</v>
      </c>
      <c r="U217" s="54">
        <f t="shared" si="24"/>
        <v>0.663333333333333</v>
      </c>
      <c r="V217" s="54" t="e">
        <f t="shared" si="25"/>
        <v>#DIV/0!</v>
      </c>
      <c r="W217" s="55" t="e">
        <f t="shared" si="26"/>
        <v>#DIV/0!</v>
      </c>
      <c r="X217" s="55" t="e">
        <f t="shared" si="20"/>
        <v>#DIV/0!</v>
      </c>
      <c r="Y217" s="55" t="s">
        <v>49</v>
      </c>
    </row>
    <row r="218" customFormat="1" ht="22.5" customHeight="1" spans="1:25">
      <c r="A218" s="49" t="s">
        <v>580</v>
      </c>
      <c r="B218" s="49" t="s">
        <v>584</v>
      </c>
      <c r="C218" s="49" t="s">
        <v>412</v>
      </c>
      <c r="D218" s="50">
        <v>178090479710</v>
      </c>
      <c r="E218" s="49" t="s">
        <v>483</v>
      </c>
      <c r="F218" s="51">
        <v>46142</v>
      </c>
      <c r="G218" s="52">
        <v>46142</v>
      </c>
      <c r="H218" s="52" t="s">
        <v>149</v>
      </c>
      <c r="I218" s="52" t="s">
        <v>484</v>
      </c>
      <c r="J218" s="52" t="s">
        <v>497</v>
      </c>
      <c r="K218" s="52" t="s">
        <v>34</v>
      </c>
      <c r="L218" s="49">
        <v>186</v>
      </c>
      <c r="M218" s="49">
        <v>3</v>
      </c>
      <c r="N218" s="49">
        <v>0</v>
      </c>
      <c r="O218" s="53">
        <v>1.81</v>
      </c>
      <c r="P218" s="53">
        <v>0</v>
      </c>
      <c r="Q218" s="53">
        <v>0</v>
      </c>
      <c r="R218" s="54">
        <f t="shared" si="21"/>
        <v>0</v>
      </c>
      <c r="S218" s="55">
        <f t="shared" si="22"/>
        <v>0</v>
      </c>
      <c r="T218" s="55">
        <f t="shared" si="23"/>
        <v>0.0161290322580645</v>
      </c>
      <c r="U218" s="54">
        <f t="shared" si="24"/>
        <v>0.603333333333333</v>
      </c>
      <c r="V218" s="54" t="e">
        <f t="shared" si="25"/>
        <v>#DIV/0!</v>
      </c>
      <c r="W218" s="55" t="e">
        <f t="shared" si="26"/>
        <v>#DIV/0!</v>
      </c>
      <c r="X218" s="55" t="e">
        <f t="shared" si="20"/>
        <v>#DIV/0!</v>
      </c>
      <c r="Y218" s="55" t="s">
        <v>62</v>
      </c>
    </row>
    <row r="219" customFormat="1" ht="22.5" customHeight="1" spans="1:25">
      <c r="A219" s="49" t="s">
        <v>580</v>
      </c>
      <c r="B219" s="49" t="s">
        <v>555</v>
      </c>
      <c r="C219" s="49" t="s">
        <v>384</v>
      </c>
      <c r="D219" s="50">
        <v>117115653271</v>
      </c>
      <c r="E219" s="49" t="s">
        <v>502</v>
      </c>
      <c r="F219" s="51">
        <v>46135</v>
      </c>
      <c r="G219" s="52">
        <v>46108</v>
      </c>
      <c r="H219" s="52">
        <v>46141</v>
      </c>
      <c r="I219" s="52" t="s">
        <v>26</v>
      </c>
      <c r="J219" s="52" t="s">
        <v>30</v>
      </c>
      <c r="K219" s="52" t="s">
        <v>493</v>
      </c>
      <c r="L219" s="49">
        <v>124</v>
      </c>
      <c r="M219" s="49">
        <v>3</v>
      </c>
      <c r="N219" s="49">
        <v>0</v>
      </c>
      <c r="O219" s="53">
        <v>1.22</v>
      </c>
      <c r="P219" s="53">
        <v>0</v>
      </c>
      <c r="Q219" s="53">
        <v>0</v>
      </c>
      <c r="R219" s="54">
        <f t="shared" si="21"/>
        <v>0</v>
      </c>
      <c r="S219" s="55">
        <f t="shared" si="22"/>
        <v>0</v>
      </c>
      <c r="T219" s="55">
        <f t="shared" si="23"/>
        <v>0.0241935483870968</v>
      </c>
      <c r="U219" s="54">
        <f t="shared" si="24"/>
        <v>0.406666666666667</v>
      </c>
      <c r="V219" s="54" t="e">
        <f t="shared" si="25"/>
        <v>#DIV/0!</v>
      </c>
      <c r="W219" s="55" t="e">
        <f t="shared" si="26"/>
        <v>#DIV/0!</v>
      </c>
      <c r="X219" s="55" t="e">
        <f t="shared" si="20"/>
        <v>#DIV/0!</v>
      </c>
      <c r="Y219" s="55" t="s">
        <v>62</v>
      </c>
    </row>
    <row r="220" customFormat="1" ht="22.5" customHeight="1" spans="1:25">
      <c r="A220" s="49" t="s">
        <v>580</v>
      </c>
      <c r="B220" s="49" t="s">
        <v>573</v>
      </c>
      <c r="C220" s="49" t="s">
        <v>382</v>
      </c>
      <c r="D220" s="50">
        <v>177997447464</v>
      </c>
      <c r="E220" s="49" t="s">
        <v>483</v>
      </c>
      <c r="F220" s="51">
        <v>46142</v>
      </c>
      <c r="G220" s="52">
        <v>46108</v>
      </c>
      <c r="H220" s="52">
        <v>46111</v>
      </c>
      <c r="I220" s="52" t="s">
        <v>496</v>
      </c>
      <c r="J220" s="52" t="s">
        <v>497</v>
      </c>
      <c r="K220" s="52" t="s">
        <v>34</v>
      </c>
      <c r="L220" s="49">
        <v>35</v>
      </c>
      <c r="M220" s="49">
        <v>3</v>
      </c>
      <c r="N220" s="49">
        <v>0</v>
      </c>
      <c r="O220" s="53">
        <v>1.44</v>
      </c>
      <c r="P220" s="53">
        <v>0</v>
      </c>
      <c r="Q220" s="53">
        <v>232</v>
      </c>
      <c r="R220" s="54">
        <f t="shared" si="21"/>
        <v>0</v>
      </c>
      <c r="S220" s="55">
        <f t="shared" si="22"/>
        <v>0</v>
      </c>
      <c r="T220" s="55">
        <f t="shared" si="23"/>
        <v>0.0857142857142857</v>
      </c>
      <c r="U220" s="54">
        <f t="shared" si="24"/>
        <v>0.48</v>
      </c>
      <c r="V220" s="54" t="e">
        <f t="shared" si="25"/>
        <v>#DIV/0!</v>
      </c>
      <c r="W220" s="55" t="e">
        <f t="shared" si="26"/>
        <v>#DIV/0!</v>
      </c>
      <c r="X220" s="55">
        <f t="shared" si="20"/>
        <v>0.00620689655172414</v>
      </c>
      <c r="Y220" s="55" t="s">
        <v>62</v>
      </c>
    </row>
    <row r="221" customFormat="1" ht="22.5" customHeight="1" spans="1:25">
      <c r="A221" s="49" t="s">
        <v>580</v>
      </c>
      <c r="B221" s="49" t="s">
        <v>577</v>
      </c>
      <c r="C221" s="49" t="s">
        <v>398</v>
      </c>
      <c r="D221" s="50">
        <v>188328077040</v>
      </c>
      <c r="E221" s="49" t="s">
        <v>483</v>
      </c>
      <c r="F221" s="51">
        <v>46143</v>
      </c>
      <c r="G221" s="52">
        <v>46141</v>
      </c>
      <c r="H221" s="52" t="s">
        <v>149</v>
      </c>
      <c r="I221" s="52" t="s">
        <v>505</v>
      </c>
      <c r="J221" s="52" t="s">
        <v>518</v>
      </c>
      <c r="K221" s="52" t="s">
        <v>34</v>
      </c>
      <c r="L221" s="49">
        <v>323</v>
      </c>
      <c r="M221" s="49">
        <v>2</v>
      </c>
      <c r="N221" s="49">
        <v>0</v>
      </c>
      <c r="O221" s="53">
        <v>2.21</v>
      </c>
      <c r="P221" s="53">
        <v>0</v>
      </c>
      <c r="Q221" s="53">
        <v>0</v>
      </c>
      <c r="R221" s="54">
        <f t="shared" si="21"/>
        <v>0</v>
      </c>
      <c r="S221" s="55">
        <f t="shared" si="22"/>
        <v>0</v>
      </c>
      <c r="T221" s="55">
        <f t="shared" si="23"/>
        <v>0.00619195046439629</v>
      </c>
      <c r="U221" s="54">
        <f t="shared" si="24"/>
        <v>1.105</v>
      </c>
      <c r="V221" s="54" t="e">
        <f t="shared" si="25"/>
        <v>#DIV/0!</v>
      </c>
      <c r="W221" s="55" t="e">
        <f t="shared" si="26"/>
        <v>#DIV/0!</v>
      </c>
      <c r="X221" s="55" t="e">
        <f t="shared" si="20"/>
        <v>#DIV/0!</v>
      </c>
      <c r="Y221" s="55" t="s">
        <v>62</v>
      </c>
    </row>
    <row r="222" customFormat="1" ht="22.5" customHeight="1" spans="1:25">
      <c r="A222" s="49" t="s">
        <v>580</v>
      </c>
      <c r="B222" s="49" t="s">
        <v>504</v>
      </c>
      <c r="C222" s="49" t="s">
        <v>341</v>
      </c>
      <c r="D222" s="50">
        <v>188144166107</v>
      </c>
      <c r="E222" s="49" t="s">
        <v>483</v>
      </c>
      <c r="F222" s="51">
        <v>46114</v>
      </c>
      <c r="G222" s="52">
        <v>46092</v>
      </c>
      <c r="H222" s="52">
        <v>46112</v>
      </c>
      <c r="I222" s="52" t="s">
        <v>505</v>
      </c>
      <c r="J222" s="52" t="s">
        <v>489</v>
      </c>
      <c r="K222" s="52" t="s">
        <v>493</v>
      </c>
      <c r="L222" s="49">
        <v>134</v>
      </c>
      <c r="M222" s="49">
        <v>2</v>
      </c>
      <c r="N222" s="49">
        <v>0</v>
      </c>
      <c r="O222" s="53">
        <v>0.74</v>
      </c>
      <c r="P222" s="53">
        <v>0</v>
      </c>
      <c r="Q222" s="53">
        <v>0</v>
      </c>
      <c r="R222" s="54">
        <f t="shared" si="21"/>
        <v>0</v>
      </c>
      <c r="S222" s="55">
        <f t="shared" si="22"/>
        <v>0</v>
      </c>
      <c r="T222" s="55">
        <f t="shared" si="23"/>
        <v>0.0149253731343284</v>
      </c>
      <c r="U222" s="54">
        <f t="shared" si="24"/>
        <v>0.37</v>
      </c>
      <c r="V222" s="54" t="e">
        <f t="shared" si="25"/>
        <v>#DIV/0!</v>
      </c>
      <c r="W222" s="55" t="e">
        <f t="shared" si="26"/>
        <v>#DIV/0!</v>
      </c>
      <c r="X222" s="55" t="e">
        <f t="shared" si="20"/>
        <v>#DIV/0!</v>
      </c>
      <c r="Y222" s="55" t="s">
        <v>49</v>
      </c>
    </row>
    <row r="223" customFormat="1" ht="22.5" customHeight="1" spans="1:25">
      <c r="A223" s="49" t="s">
        <v>580</v>
      </c>
      <c r="B223" s="49" t="s">
        <v>539</v>
      </c>
      <c r="C223" s="49" t="s">
        <v>340</v>
      </c>
      <c r="D223" s="50">
        <v>117083102708</v>
      </c>
      <c r="E223" s="49" t="s">
        <v>502</v>
      </c>
      <c r="F223" s="51">
        <v>46121</v>
      </c>
      <c r="G223" s="52">
        <v>46092</v>
      </c>
      <c r="H223" s="52">
        <v>46096</v>
      </c>
      <c r="I223" s="52" t="s">
        <v>505</v>
      </c>
      <c r="J223" s="52" t="s">
        <v>489</v>
      </c>
      <c r="K223" s="52" t="s">
        <v>493</v>
      </c>
      <c r="L223" s="49">
        <v>284</v>
      </c>
      <c r="M223" s="49">
        <v>1</v>
      </c>
      <c r="N223" s="49">
        <v>0</v>
      </c>
      <c r="O223" s="53">
        <v>0.36</v>
      </c>
      <c r="P223" s="53">
        <v>0</v>
      </c>
      <c r="Q223" s="53">
        <v>78</v>
      </c>
      <c r="R223" s="54">
        <f t="shared" si="21"/>
        <v>0</v>
      </c>
      <c r="S223" s="55">
        <f t="shared" si="22"/>
        <v>0</v>
      </c>
      <c r="T223" s="55">
        <f t="shared" si="23"/>
        <v>0.00352112676056338</v>
      </c>
      <c r="U223" s="54">
        <f t="shared" si="24"/>
        <v>0.36</v>
      </c>
      <c r="V223" s="54" t="e">
        <f t="shared" si="25"/>
        <v>#DIV/0!</v>
      </c>
      <c r="W223" s="55" t="e">
        <f t="shared" si="26"/>
        <v>#DIV/0!</v>
      </c>
      <c r="X223" s="55">
        <f t="shared" si="20"/>
        <v>0.00461538461538461</v>
      </c>
      <c r="Y223" s="55" t="s">
        <v>62</v>
      </c>
    </row>
    <row r="224" customFormat="1" ht="22.5" customHeight="1" spans="1:25">
      <c r="A224" s="49" t="s">
        <v>580</v>
      </c>
      <c r="B224" s="49" t="s">
        <v>585</v>
      </c>
      <c r="C224" s="49" t="s">
        <v>417</v>
      </c>
      <c r="D224" s="50">
        <v>178090479690</v>
      </c>
      <c r="E224" s="49" t="s">
        <v>483</v>
      </c>
      <c r="F224" s="51">
        <v>46143</v>
      </c>
      <c r="G224" s="52">
        <v>46142</v>
      </c>
      <c r="H224" s="52" t="s">
        <v>149</v>
      </c>
      <c r="I224" s="52" t="s">
        <v>505</v>
      </c>
      <c r="J224" s="52" t="s">
        <v>518</v>
      </c>
      <c r="K224" s="52" t="s">
        <v>34</v>
      </c>
      <c r="L224" s="49">
        <v>130</v>
      </c>
      <c r="M224" s="49">
        <v>1</v>
      </c>
      <c r="N224" s="49">
        <v>0</v>
      </c>
      <c r="O224" s="53">
        <v>0.39</v>
      </c>
      <c r="P224" s="53">
        <v>0</v>
      </c>
      <c r="Q224" s="53">
        <v>0</v>
      </c>
      <c r="R224" s="54">
        <f t="shared" si="21"/>
        <v>0</v>
      </c>
      <c r="S224" s="55">
        <f t="shared" si="22"/>
        <v>0</v>
      </c>
      <c r="T224" s="55">
        <f t="shared" si="23"/>
        <v>0.00769230769230769</v>
      </c>
      <c r="U224" s="54">
        <f t="shared" si="24"/>
        <v>0.39</v>
      </c>
      <c r="V224" s="54" t="e">
        <f t="shared" si="25"/>
        <v>#DIV/0!</v>
      </c>
      <c r="W224" s="55" t="e">
        <f t="shared" si="26"/>
        <v>#DIV/0!</v>
      </c>
      <c r="X224" s="55" t="e">
        <f t="shared" si="20"/>
        <v>#DIV/0!</v>
      </c>
      <c r="Y224" s="55" t="s">
        <v>62</v>
      </c>
    </row>
    <row r="225" customFormat="1" ht="22.5" customHeight="1" spans="1:25">
      <c r="A225" s="49" t="s">
        <v>580</v>
      </c>
      <c r="B225" s="49" t="s">
        <v>573</v>
      </c>
      <c r="C225" s="49" t="s">
        <v>404</v>
      </c>
      <c r="D225" s="50">
        <v>188328121506</v>
      </c>
      <c r="E225" s="49" t="s">
        <v>483</v>
      </c>
      <c r="F225" s="51">
        <v>46142</v>
      </c>
      <c r="G225" s="52">
        <v>46141</v>
      </c>
      <c r="H225" s="52">
        <v>46147</v>
      </c>
      <c r="I225" s="52" t="s">
        <v>496</v>
      </c>
      <c r="J225" s="52" t="s">
        <v>497</v>
      </c>
      <c r="K225" s="52" t="s">
        <v>493</v>
      </c>
      <c r="L225" s="49">
        <v>105</v>
      </c>
      <c r="M225" s="49">
        <v>1</v>
      </c>
      <c r="N225" s="49">
        <v>0</v>
      </c>
      <c r="O225" s="53">
        <v>0.76</v>
      </c>
      <c r="P225" s="53">
        <v>0</v>
      </c>
      <c r="Q225" s="53">
        <v>60</v>
      </c>
      <c r="R225" s="54">
        <f t="shared" si="21"/>
        <v>0</v>
      </c>
      <c r="S225" s="55">
        <f t="shared" si="22"/>
        <v>0</v>
      </c>
      <c r="T225" s="55">
        <f t="shared" si="23"/>
        <v>0.00952380952380952</v>
      </c>
      <c r="U225" s="54">
        <f t="shared" si="24"/>
        <v>0.76</v>
      </c>
      <c r="V225" s="54" t="e">
        <f t="shared" si="25"/>
        <v>#DIV/0!</v>
      </c>
      <c r="W225" s="55" t="e">
        <f t="shared" si="26"/>
        <v>#DIV/0!</v>
      </c>
      <c r="X225" s="55">
        <f t="shared" si="20"/>
        <v>0.0126666666666667</v>
      </c>
      <c r="Y225" s="55" t="s">
        <v>62</v>
      </c>
    </row>
    <row r="226" customFormat="1" ht="22.5" customHeight="1" spans="1:25">
      <c r="A226" s="49" t="s">
        <v>580</v>
      </c>
      <c r="B226" s="49" t="s">
        <v>519</v>
      </c>
      <c r="C226" s="49" t="s">
        <v>356</v>
      </c>
      <c r="D226" s="50">
        <v>177965595242</v>
      </c>
      <c r="E226" s="49" t="s">
        <v>483</v>
      </c>
      <c r="F226" s="51">
        <v>46100</v>
      </c>
      <c r="G226" s="52">
        <v>46097</v>
      </c>
      <c r="H226" s="52">
        <v>46100</v>
      </c>
      <c r="I226" s="52" t="s">
        <v>520</v>
      </c>
      <c r="J226" s="52" t="s">
        <v>521</v>
      </c>
      <c r="K226" s="52" t="s">
        <v>34</v>
      </c>
      <c r="L226" s="49">
        <v>32</v>
      </c>
      <c r="M226" s="49">
        <v>1</v>
      </c>
      <c r="N226" s="49">
        <v>0</v>
      </c>
      <c r="O226" s="53">
        <v>0.65</v>
      </c>
      <c r="P226" s="53">
        <v>0</v>
      </c>
      <c r="Q226" s="53">
        <v>95</v>
      </c>
      <c r="R226" s="54">
        <f t="shared" si="21"/>
        <v>0</v>
      </c>
      <c r="S226" s="55">
        <f t="shared" si="22"/>
        <v>0</v>
      </c>
      <c r="T226" s="55">
        <f t="shared" si="23"/>
        <v>0.03125</v>
      </c>
      <c r="U226" s="54">
        <f t="shared" si="24"/>
        <v>0.65</v>
      </c>
      <c r="V226" s="54" t="e">
        <f t="shared" si="25"/>
        <v>#DIV/0!</v>
      </c>
      <c r="W226" s="55" t="e">
        <f t="shared" si="26"/>
        <v>#DIV/0!</v>
      </c>
      <c r="X226" s="55">
        <f t="shared" si="20"/>
        <v>0.0068421052631579</v>
      </c>
      <c r="Y226" s="55" t="s">
        <v>49</v>
      </c>
    </row>
    <row r="227" customFormat="1" ht="22.5" customHeight="1" spans="1:25">
      <c r="A227" s="49" t="s">
        <v>580</v>
      </c>
      <c r="B227" s="49" t="s">
        <v>576</v>
      </c>
      <c r="C227" s="49" t="s">
        <v>414</v>
      </c>
      <c r="D227" s="50">
        <v>188330766999</v>
      </c>
      <c r="E227" s="49" t="s">
        <v>483</v>
      </c>
      <c r="F227" s="51">
        <v>46142</v>
      </c>
      <c r="G227" s="52">
        <v>46142</v>
      </c>
      <c r="H227" s="52" t="s">
        <v>149</v>
      </c>
      <c r="I227" s="52" t="s">
        <v>496</v>
      </c>
      <c r="J227" s="52" t="s">
        <v>497</v>
      </c>
      <c r="K227" s="52" t="s">
        <v>493</v>
      </c>
      <c r="L227" s="49">
        <v>22</v>
      </c>
      <c r="M227" s="49">
        <v>1</v>
      </c>
      <c r="N227" s="49">
        <v>0</v>
      </c>
      <c r="O227" s="53">
        <v>0.34</v>
      </c>
      <c r="P227" s="53">
        <v>0</v>
      </c>
      <c r="Q227" s="53">
        <v>0</v>
      </c>
      <c r="R227" s="54">
        <f t="shared" si="21"/>
        <v>0</v>
      </c>
      <c r="S227" s="55">
        <f t="shared" si="22"/>
        <v>0</v>
      </c>
      <c r="T227" s="55">
        <f t="shared" si="23"/>
        <v>0.0454545454545455</v>
      </c>
      <c r="U227" s="54">
        <f t="shared" si="24"/>
        <v>0.34</v>
      </c>
      <c r="V227" s="54" t="e">
        <f t="shared" si="25"/>
        <v>#DIV/0!</v>
      </c>
      <c r="W227" s="55" t="e">
        <f t="shared" si="26"/>
        <v>#DIV/0!</v>
      </c>
      <c r="X227" s="55" t="e">
        <f t="shared" si="20"/>
        <v>#DIV/0!</v>
      </c>
      <c r="Y227" s="55" t="s">
        <v>62</v>
      </c>
    </row>
    <row r="228" customFormat="1" ht="22.5" customHeight="1" spans="1:25">
      <c r="A228" s="49" t="s">
        <v>580</v>
      </c>
      <c r="B228" s="49" t="s">
        <v>539</v>
      </c>
      <c r="C228" s="49" t="s">
        <v>341</v>
      </c>
      <c r="D228" s="50">
        <v>117083115196</v>
      </c>
      <c r="E228" s="49" t="s">
        <v>502</v>
      </c>
      <c r="F228" s="51">
        <v>46121</v>
      </c>
      <c r="G228" s="52">
        <v>46092</v>
      </c>
      <c r="H228" s="52">
        <v>46112</v>
      </c>
      <c r="I228" s="52" t="s">
        <v>505</v>
      </c>
      <c r="J228" s="52" t="s">
        <v>489</v>
      </c>
      <c r="K228" s="52" t="s">
        <v>493</v>
      </c>
      <c r="L228" s="49">
        <v>619</v>
      </c>
      <c r="M228" s="49">
        <v>0</v>
      </c>
      <c r="N228" s="49">
        <v>0</v>
      </c>
      <c r="O228" s="53">
        <v>0</v>
      </c>
      <c r="P228" s="53">
        <v>0</v>
      </c>
      <c r="Q228" s="53">
        <v>0</v>
      </c>
      <c r="R228" s="54" t="e">
        <f t="shared" si="21"/>
        <v>#DIV/0!</v>
      </c>
      <c r="S228" s="55" t="e">
        <f t="shared" si="22"/>
        <v>#DIV/0!</v>
      </c>
      <c r="T228" s="55">
        <f t="shared" si="23"/>
        <v>0</v>
      </c>
      <c r="U228" s="54" t="e">
        <f t="shared" si="24"/>
        <v>#DIV/0!</v>
      </c>
      <c r="V228" s="54" t="e">
        <f t="shared" si="25"/>
        <v>#DIV/0!</v>
      </c>
      <c r="W228" s="55" t="e">
        <f t="shared" si="26"/>
        <v>#DIV/0!</v>
      </c>
      <c r="X228" s="55" t="e">
        <f t="shared" si="20"/>
        <v>#DIV/0!</v>
      </c>
      <c r="Y228" s="55" t="s">
        <v>49</v>
      </c>
    </row>
    <row r="229" customFormat="1" ht="22.5" customHeight="1" spans="1:25">
      <c r="A229" s="49" t="s">
        <v>580</v>
      </c>
      <c r="B229" s="49" t="s">
        <v>538</v>
      </c>
      <c r="C229" s="49" t="s">
        <v>333</v>
      </c>
      <c r="D229" s="50">
        <v>188139762062</v>
      </c>
      <c r="E229" s="49" t="s">
        <v>483</v>
      </c>
      <c r="F229" s="51">
        <v>46092</v>
      </c>
      <c r="G229" s="52">
        <v>46091</v>
      </c>
      <c r="H229" s="52">
        <v>46101</v>
      </c>
      <c r="I229" s="52" t="s">
        <v>484</v>
      </c>
      <c r="J229" s="52" t="s">
        <v>489</v>
      </c>
      <c r="K229" s="52" t="s">
        <v>34</v>
      </c>
      <c r="L229" s="49">
        <v>131</v>
      </c>
      <c r="M229" s="49">
        <v>0</v>
      </c>
      <c r="N229" s="49">
        <v>0</v>
      </c>
      <c r="O229" s="53">
        <v>0</v>
      </c>
      <c r="P229" s="53">
        <v>0</v>
      </c>
      <c r="Q229" s="53">
        <v>0</v>
      </c>
      <c r="R229" s="54" t="e">
        <f t="shared" si="21"/>
        <v>#DIV/0!</v>
      </c>
      <c r="S229" s="55" t="e">
        <f t="shared" si="22"/>
        <v>#DIV/0!</v>
      </c>
      <c r="T229" s="55">
        <f t="shared" si="23"/>
        <v>0</v>
      </c>
      <c r="U229" s="54" t="e">
        <f t="shared" si="24"/>
        <v>#DIV/0!</v>
      </c>
      <c r="V229" s="54" t="e">
        <f t="shared" si="25"/>
        <v>#DIV/0!</v>
      </c>
      <c r="W229" s="55" t="e">
        <f t="shared" si="26"/>
        <v>#DIV/0!</v>
      </c>
      <c r="X229" s="55" t="e">
        <f t="shared" si="20"/>
        <v>#DIV/0!</v>
      </c>
      <c r="Y229" s="55" t="s">
        <v>62</v>
      </c>
    </row>
    <row r="230" customFormat="1" ht="22.5" customHeight="1" spans="1:25">
      <c r="A230" s="49" t="s">
        <v>580</v>
      </c>
      <c r="B230" s="49" t="s">
        <v>555</v>
      </c>
      <c r="C230" s="49" t="s">
        <v>383</v>
      </c>
      <c r="D230" s="50">
        <v>117115651168</v>
      </c>
      <c r="E230" s="49" t="s">
        <v>502</v>
      </c>
      <c r="F230" s="51">
        <v>46135</v>
      </c>
      <c r="G230" s="52">
        <v>46108</v>
      </c>
      <c r="H230" s="52" t="s">
        <v>149</v>
      </c>
      <c r="I230" s="52" t="s">
        <v>26</v>
      </c>
      <c r="J230" s="52" t="s">
        <v>30</v>
      </c>
      <c r="K230" s="52" t="s">
        <v>493</v>
      </c>
      <c r="L230" s="49">
        <v>93</v>
      </c>
      <c r="M230" s="49">
        <v>0</v>
      </c>
      <c r="N230" s="49">
        <v>0</v>
      </c>
      <c r="O230" s="53">
        <v>0</v>
      </c>
      <c r="P230" s="53">
        <v>0</v>
      </c>
      <c r="Q230" s="53">
        <v>0</v>
      </c>
      <c r="R230" s="54" t="e">
        <f t="shared" si="21"/>
        <v>#DIV/0!</v>
      </c>
      <c r="S230" s="55" t="e">
        <f t="shared" si="22"/>
        <v>#DIV/0!</v>
      </c>
      <c r="T230" s="55">
        <f t="shared" si="23"/>
        <v>0</v>
      </c>
      <c r="U230" s="54" t="e">
        <f t="shared" si="24"/>
        <v>#DIV/0!</v>
      </c>
      <c r="V230" s="54" t="e">
        <f t="shared" si="25"/>
        <v>#DIV/0!</v>
      </c>
      <c r="W230" s="55" t="e">
        <f t="shared" si="26"/>
        <v>#DIV/0!</v>
      </c>
      <c r="X230" s="55" t="e">
        <f t="shared" si="20"/>
        <v>#DIV/0!</v>
      </c>
      <c r="Y230" s="55" t="s">
        <v>62</v>
      </c>
    </row>
    <row r="231" customFormat="1" ht="22.5" customHeight="1" spans="1:25">
      <c r="A231" s="49" t="s">
        <v>580</v>
      </c>
      <c r="B231" s="49" t="s">
        <v>586</v>
      </c>
      <c r="C231" s="49" t="s">
        <v>397</v>
      </c>
      <c r="D231" s="50">
        <v>178087818624</v>
      </c>
      <c r="E231" s="49" t="s">
        <v>483</v>
      </c>
      <c r="F231" s="51">
        <v>46141</v>
      </c>
      <c r="G231" s="52">
        <v>46140</v>
      </c>
      <c r="H231" s="52">
        <v>46142</v>
      </c>
      <c r="I231" s="52" t="s">
        <v>484</v>
      </c>
      <c r="J231" s="52" t="s">
        <v>485</v>
      </c>
      <c r="K231" s="52" t="s">
        <v>34</v>
      </c>
      <c r="L231" s="49">
        <v>74</v>
      </c>
      <c r="M231" s="49">
        <v>0</v>
      </c>
      <c r="N231" s="49">
        <v>0</v>
      </c>
      <c r="O231" s="53">
        <v>0</v>
      </c>
      <c r="P231" s="53">
        <v>0</v>
      </c>
      <c r="Q231" s="53">
        <v>267</v>
      </c>
      <c r="R231" s="54" t="e">
        <f t="shared" si="21"/>
        <v>#DIV/0!</v>
      </c>
      <c r="S231" s="55" t="e">
        <f t="shared" si="22"/>
        <v>#DIV/0!</v>
      </c>
      <c r="T231" s="55">
        <f t="shared" si="23"/>
        <v>0</v>
      </c>
      <c r="U231" s="54" t="e">
        <f t="shared" si="24"/>
        <v>#DIV/0!</v>
      </c>
      <c r="V231" s="54" t="e">
        <f t="shared" si="25"/>
        <v>#DIV/0!</v>
      </c>
      <c r="W231" s="55" t="e">
        <f t="shared" si="26"/>
        <v>#DIV/0!</v>
      </c>
      <c r="X231" s="55">
        <f t="shared" si="20"/>
        <v>0</v>
      </c>
      <c r="Y231" s="55" t="s">
        <v>62</v>
      </c>
    </row>
    <row r="232" customFormat="1" ht="22.5" customHeight="1" spans="1:25">
      <c r="A232" s="49" t="s">
        <v>580</v>
      </c>
      <c r="B232" s="49" t="s">
        <v>587</v>
      </c>
      <c r="C232" s="49" t="s">
        <v>397</v>
      </c>
      <c r="D232" s="50">
        <v>117169587615</v>
      </c>
      <c r="E232" s="49" t="s">
        <v>502</v>
      </c>
      <c r="F232" s="51">
        <v>46148</v>
      </c>
      <c r="G232" s="52">
        <v>46140</v>
      </c>
      <c r="H232" s="52">
        <v>46142</v>
      </c>
      <c r="I232" s="52" t="s">
        <v>484</v>
      </c>
      <c r="J232" s="52" t="s">
        <v>485</v>
      </c>
      <c r="K232" s="52" t="s">
        <v>34</v>
      </c>
      <c r="L232" s="49">
        <v>67</v>
      </c>
      <c r="M232" s="49">
        <v>0</v>
      </c>
      <c r="N232" s="49">
        <v>0</v>
      </c>
      <c r="O232" s="53">
        <v>0</v>
      </c>
      <c r="P232" s="53">
        <v>0</v>
      </c>
      <c r="Q232" s="53">
        <v>267</v>
      </c>
      <c r="R232" s="54" t="e">
        <f t="shared" si="21"/>
        <v>#DIV/0!</v>
      </c>
      <c r="S232" s="55" t="e">
        <f t="shared" si="22"/>
        <v>#DIV/0!</v>
      </c>
      <c r="T232" s="55">
        <f t="shared" si="23"/>
        <v>0</v>
      </c>
      <c r="U232" s="54" t="e">
        <f t="shared" si="24"/>
        <v>#DIV/0!</v>
      </c>
      <c r="V232" s="54" t="e">
        <f t="shared" si="25"/>
        <v>#DIV/0!</v>
      </c>
      <c r="W232" s="55" t="e">
        <f t="shared" si="26"/>
        <v>#DIV/0!</v>
      </c>
      <c r="X232" s="55">
        <f t="shared" si="20"/>
        <v>0</v>
      </c>
      <c r="Y232" s="55" t="s">
        <v>62</v>
      </c>
    </row>
    <row r="233" customFormat="1" ht="22.5" customHeight="1" spans="1:25">
      <c r="A233" s="49" t="s">
        <v>580</v>
      </c>
      <c r="B233" s="49" t="s">
        <v>504</v>
      </c>
      <c r="C233" s="49" t="s">
        <v>340</v>
      </c>
      <c r="D233" s="50">
        <v>177947728049</v>
      </c>
      <c r="E233" s="49" t="s">
        <v>483</v>
      </c>
      <c r="F233" s="51">
        <v>46114</v>
      </c>
      <c r="G233" s="52">
        <v>46092</v>
      </c>
      <c r="H233" s="52">
        <v>46096</v>
      </c>
      <c r="I233" s="52" t="s">
        <v>505</v>
      </c>
      <c r="J233" s="52" t="s">
        <v>489</v>
      </c>
      <c r="K233" s="52" t="s">
        <v>493</v>
      </c>
      <c r="L233" s="49">
        <v>51</v>
      </c>
      <c r="M233" s="49">
        <v>0</v>
      </c>
      <c r="N233" s="49">
        <v>0</v>
      </c>
      <c r="O233" s="53">
        <v>0</v>
      </c>
      <c r="P233" s="53">
        <v>0</v>
      </c>
      <c r="Q233" s="53">
        <v>78</v>
      </c>
      <c r="R233" s="54" t="e">
        <f t="shared" si="21"/>
        <v>#DIV/0!</v>
      </c>
      <c r="S233" s="55" t="e">
        <f t="shared" si="22"/>
        <v>#DIV/0!</v>
      </c>
      <c r="T233" s="55">
        <f t="shared" si="23"/>
        <v>0</v>
      </c>
      <c r="U233" s="54" t="e">
        <f t="shared" si="24"/>
        <v>#DIV/0!</v>
      </c>
      <c r="V233" s="54" t="e">
        <f t="shared" si="25"/>
        <v>#DIV/0!</v>
      </c>
      <c r="W233" s="55" t="e">
        <f t="shared" si="26"/>
        <v>#DIV/0!</v>
      </c>
      <c r="X233" s="55">
        <f t="shared" si="20"/>
        <v>0</v>
      </c>
      <c r="Y233" s="55" t="s">
        <v>62</v>
      </c>
    </row>
    <row r="234" customFormat="1" ht="22.5" customHeight="1" spans="1:25">
      <c r="A234" s="49" t="s">
        <v>580</v>
      </c>
      <c r="B234" s="49" t="s">
        <v>575</v>
      </c>
      <c r="C234" s="49" t="s">
        <v>396</v>
      </c>
      <c r="D234" s="50">
        <v>178087821129</v>
      </c>
      <c r="E234" s="49" t="s">
        <v>483</v>
      </c>
      <c r="F234" s="51">
        <v>46142</v>
      </c>
      <c r="G234" s="52">
        <v>46140</v>
      </c>
      <c r="H234" s="52" t="s">
        <v>149</v>
      </c>
      <c r="I234" s="52" t="s">
        <v>503</v>
      </c>
      <c r="J234" s="52" t="s">
        <v>521</v>
      </c>
      <c r="K234" s="52" t="s">
        <v>34</v>
      </c>
      <c r="L234" s="49">
        <v>47</v>
      </c>
      <c r="M234" s="49">
        <v>0</v>
      </c>
      <c r="N234" s="49">
        <v>0</v>
      </c>
      <c r="O234" s="53">
        <v>0</v>
      </c>
      <c r="P234" s="53">
        <v>0</v>
      </c>
      <c r="Q234" s="53">
        <v>0</v>
      </c>
      <c r="R234" s="54" t="e">
        <f t="shared" si="21"/>
        <v>#DIV/0!</v>
      </c>
      <c r="S234" s="55" t="e">
        <f t="shared" si="22"/>
        <v>#DIV/0!</v>
      </c>
      <c r="T234" s="55">
        <f t="shared" si="23"/>
        <v>0</v>
      </c>
      <c r="U234" s="54" t="e">
        <f t="shared" si="24"/>
        <v>#DIV/0!</v>
      </c>
      <c r="V234" s="54" t="e">
        <f t="shared" si="25"/>
        <v>#DIV/0!</v>
      </c>
      <c r="W234" s="55" t="e">
        <f t="shared" si="26"/>
        <v>#DIV/0!</v>
      </c>
      <c r="X234" s="55" t="e">
        <f t="shared" si="20"/>
        <v>#DIV/0!</v>
      </c>
      <c r="Y234" s="55" t="s">
        <v>62</v>
      </c>
    </row>
    <row r="235" customFormat="1" ht="22.5" customHeight="1" spans="1:25">
      <c r="A235" s="49" t="s">
        <v>580</v>
      </c>
      <c r="B235" s="49" t="s">
        <v>576</v>
      </c>
      <c r="C235" s="49" t="s">
        <v>413</v>
      </c>
      <c r="D235" s="50">
        <v>178090483656</v>
      </c>
      <c r="E235" s="49" t="s">
        <v>483</v>
      </c>
      <c r="F235" s="51">
        <v>46142</v>
      </c>
      <c r="G235" s="52">
        <v>46142</v>
      </c>
      <c r="H235" s="52">
        <v>46147</v>
      </c>
      <c r="I235" s="52" t="s">
        <v>496</v>
      </c>
      <c r="J235" s="52" t="s">
        <v>497</v>
      </c>
      <c r="K235" s="52" t="s">
        <v>493</v>
      </c>
      <c r="L235" s="49">
        <v>26</v>
      </c>
      <c r="M235" s="49">
        <v>0</v>
      </c>
      <c r="N235" s="49">
        <v>0</v>
      </c>
      <c r="O235" s="53">
        <v>0</v>
      </c>
      <c r="P235" s="53">
        <v>0</v>
      </c>
      <c r="Q235" s="53">
        <v>65</v>
      </c>
      <c r="R235" s="54" t="e">
        <f t="shared" si="21"/>
        <v>#DIV/0!</v>
      </c>
      <c r="S235" s="55" t="e">
        <f t="shared" si="22"/>
        <v>#DIV/0!</v>
      </c>
      <c r="T235" s="55">
        <f t="shared" si="23"/>
        <v>0</v>
      </c>
      <c r="U235" s="54" t="e">
        <f t="shared" si="24"/>
        <v>#DIV/0!</v>
      </c>
      <c r="V235" s="54" t="e">
        <f t="shared" si="25"/>
        <v>#DIV/0!</v>
      </c>
      <c r="W235" s="55" t="e">
        <f t="shared" si="26"/>
        <v>#DIV/0!</v>
      </c>
      <c r="X235" s="55">
        <f t="shared" si="20"/>
        <v>0</v>
      </c>
      <c r="Y235" s="55" t="s">
        <v>62</v>
      </c>
    </row>
    <row r="236" customFormat="1" ht="22.5" customHeight="1" spans="1:25">
      <c r="A236" s="49" t="s">
        <v>580</v>
      </c>
      <c r="B236" s="49" t="s">
        <v>537</v>
      </c>
      <c r="C236" s="49" t="s">
        <v>334</v>
      </c>
      <c r="D236" s="50">
        <v>117081148250</v>
      </c>
      <c r="E236" s="49" t="s">
        <v>502</v>
      </c>
      <c r="F236" s="51">
        <v>46099</v>
      </c>
      <c r="G236" s="52">
        <v>46091</v>
      </c>
      <c r="H236" s="52">
        <v>46106</v>
      </c>
      <c r="I236" s="52" t="s">
        <v>484</v>
      </c>
      <c r="J236" s="52" t="s">
        <v>489</v>
      </c>
      <c r="K236" s="52" t="s">
        <v>34</v>
      </c>
      <c r="L236" s="49">
        <v>0</v>
      </c>
      <c r="M236" s="49">
        <v>0</v>
      </c>
      <c r="N236" s="49">
        <v>0</v>
      </c>
      <c r="O236" s="53">
        <v>0</v>
      </c>
      <c r="P236" s="53">
        <v>0</v>
      </c>
      <c r="Q236" s="53">
        <v>38</v>
      </c>
      <c r="R236" s="54" t="e">
        <f t="shared" si="21"/>
        <v>#DIV/0!</v>
      </c>
      <c r="S236" s="55" t="e">
        <f t="shared" si="22"/>
        <v>#DIV/0!</v>
      </c>
      <c r="T236" s="55" t="e">
        <f t="shared" si="23"/>
        <v>#DIV/0!</v>
      </c>
      <c r="U236" s="54" t="e">
        <f t="shared" si="24"/>
        <v>#DIV/0!</v>
      </c>
      <c r="V236" s="54" t="e">
        <f t="shared" si="25"/>
        <v>#DIV/0!</v>
      </c>
      <c r="W236" s="55" t="e">
        <f t="shared" si="26"/>
        <v>#DIV/0!</v>
      </c>
      <c r="X236" s="55">
        <f t="shared" si="20"/>
        <v>0</v>
      </c>
      <c r="Y236" s="55" t="s">
        <v>49</v>
      </c>
    </row>
    <row r="237" customFormat="1" ht="22.5" customHeight="1" spans="1:25">
      <c r="A237" s="49" t="s">
        <v>580</v>
      </c>
      <c r="B237" s="49" t="s">
        <v>588</v>
      </c>
      <c r="C237" s="49" t="s">
        <v>418</v>
      </c>
      <c r="D237" s="50">
        <v>188330773414</v>
      </c>
      <c r="E237" s="49" t="s">
        <v>483</v>
      </c>
      <c r="F237" s="51">
        <v>46147</v>
      </c>
      <c r="G237" s="52">
        <v>46142</v>
      </c>
      <c r="H237" s="52" t="s">
        <v>149</v>
      </c>
      <c r="I237" s="52" t="s">
        <v>520</v>
      </c>
      <c r="J237" s="52" t="s">
        <v>521</v>
      </c>
      <c r="K237" s="52" t="s">
        <v>34</v>
      </c>
      <c r="L237" s="49">
        <v>0</v>
      </c>
      <c r="M237" s="49">
        <v>0</v>
      </c>
      <c r="N237" s="49">
        <v>0</v>
      </c>
      <c r="O237" s="53">
        <v>0</v>
      </c>
      <c r="P237" s="53">
        <v>0</v>
      </c>
      <c r="Q237" s="53">
        <v>0</v>
      </c>
      <c r="R237" s="54" t="e">
        <f t="shared" si="21"/>
        <v>#DIV/0!</v>
      </c>
      <c r="S237" s="55" t="e">
        <f t="shared" si="22"/>
        <v>#DIV/0!</v>
      </c>
      <c r="T237" s="55" t="e">
        <f t="shared" si="23"/>
        <v>#DIV/0!</v>
      </c>
      <c r="U237" s="54" t="e">
        <f t="shared" si="24"/>
        <v>#DIV/0!</v>
      </c>
      <c r="V237" s="54" t="e">
        <f t="shared" si="25"/>
        <v>#DIV/0!</v>
      </c>
      <c r="W237" s="55" t="e">
        <f t="shared" si="26"/>
        <v>#DIV/0!</v>
      </c>
      <c r="X237" s="55" t="e">
        <f t="shared" si="20"/>
        <v>#DIV/0!</v>
      </c>
      <c r="Y237" s="55" t="s">
        <v>62</v>
      </c>
    </row>
    <row r="238" customFormat="1" ht="22.5" customHeight="1" spans="1:25">
      <c r="A238" s="56" t="s">
        <v>589</v>
      </c>
      <c r="B238" s="57" t="s">
        <v>479</v>
      </c>
      <c r="C238" s="57" t="s">
        <v>480</v>
      </c>
      <c r="D238" s="58"/>
      <c r="E238" s="58"/>
      <c r="F238" s="57">
        <f>COUNTIF(B239:B308,"&lt;&gt;")</f>
        <v>70</v>
      </c>
      <c r="G238" s="58"/>
      <c r="H238" s="58"/>
      <c r="I238" s="58"/>
      <c r="J238" s="57" t="s">
        <v>481</v>
      </c>
      <c r="K238" s="58"/>
      <c r="L238" s="59">
        <f>SUM(L239:L308)</f>
        <v>85869</v>
      </c>
      <c r="M238" s="59">
        <f>SUM(M239:M308)</f>
        <v>424</v>
      </c>
      <c r="N238" s="59">
        <f>SUM(N239:N308)</f>
        <v>27</v>
      </c>
      <c r="O238" s="60">
        <f>SUM(O239:O308)</f>
        <v>263.89</v>
      </c>
      <c r="P238" s="60">
        <f>SUM(P239:P308)</f>
        <v>1840.7</v>
      </c>
      <c r="Q238" s="60">
        <f>SUM(Q239:Q291)</f>
        <v>6358.63</v>
      </c>
      <c r="R238" s="61">
        <f t="shared" si="21"/>
        <v>6.97525484103225</v>
      </c>
      <c r="S238" s="62">
        <f t="shared" si="22"/>
        <v>0.0636792452830189</v>
      </c>
      <c r="T238" s="62">
        <f t="shared" si="23"/>
        <v>0.00493775402065938</v>
      </c>
      <c r="U238" s="61">
        <f t="shared" si="24"/>
        <v>0.622382075471698</v>
      </c>
      <c r="V238" s="61">
        <f t="shared" si="25"/>
        <v>9.77370370370371</v>
      </c>
      <c r="W238" s="62">
        <f t="shared" si="26"/>
        <v>0.143363937632422</v>
      </c>
      <c r="X238" s="62">
        <f t="shared" si="20"/>
        <v>0.0415010780624128</v>
      </c>
      <c r="Y238" s="63">
        <f>COUNTIF(Y239:Y308,"Y")</f>
        <v>13</v>
      </c>
    </row>
    <row r="239" customFormat="1" ht="22.5" customHeight="1" spans="1:25">
      <c r="A239" s="49" t="s">
        <v>589</v>
      </c>
      <c r="B239" s="49" t="s">
        <v>482</v>
      </c>
      <c r="C239" s="49" t="s">
        <v>385</v>
      </c>
      <c r="D239" s="50">
        <v>177997475019</v>
      </c>
      <c r="E239" s="49" t="s">
        <v>483</v>
      </c>
      <c r="F239" s="51">
        <v>46114</v>
      </c>
      <c r="G239" s="52">
        <v>46108</v>
      </c>
      <c r="H239" s="52">
        <v>46114</v>
      </c>
      <c r="I239" s="52" t="s">
        <v>484</v>
      </c>
      <c r="J239" s="52" t="s">
        <v>485</v>
      </c>
      <c r="K239" s="52" t="s">
        <v>34</v>
      </c>
      <c r="L239" s="49">
        <v>1316</v>
      </c>
      <c r="M239" s="49">
        <v>37</v>
      </c>
      <c r="N239" s="49">
        <v>5</v>
      </c>
      <c r="O239" s="53">
        <v>13.19</v>
      </c>
      <c r="P239" s="53">
        <v>190.8</v>
      </c>
      <c r="Q239" s="53">
        <v>490</v>
      </c>
      <c r="R239" s="54">
        <f t="shared" si="21"/>
        <v>14.4655041698256</v>
      </c>
      <c r="S239" s="55">
        <f t="shared" si="22"/>
        <v>0.135135135135135</v>
      </c>
      <c r="T239" s="55">
        <f t="shared" si="23"/>
        <v>0.0281155015197568</v>
      </c>
      <c r="U239" s="54">
        <f t="shared" si="24"/>
        <v>0.356486486486486</v>
      </c>
      <c r="V239" s="54">
        <f t="shared" si="25"/>
        <v>2.638</v>
      </c>
      <c r="W239" s="55">
        <f t="shared" si="26"/>
        <v>0.0691299790356394</v>
      </c>
      <c r="X239" s="55">
        <f t="shared" si="20"/>
        <v>0.0269183673469388</v>
      </c>
      <c r="Y239" s="55" t="s">
        <v>62</v>
      </c>
    </row>
    <row r="240" customFormat="1" ht="22.5" customHeight="1" spans="1:25">
      <c r="A240" s="49" t="s">
        <v>589</v>
      </c>
      <c r="B240" s="49" t="s">
        <v>513</v>
      </c>
      <c r="C240" s="49" t="s">
        <v>339</v>
      </c>
      <c r="D240" s="50">
        <v>117085059550</v>
      </c>
      <c r="E240" s="49" t="s">
        <v>502</v>
      </c>
      <c r="F240" s="51">
        <v>46104</v>
      </c>
      <c r="G240" s="52">
        <v>46092</v>
      </c>
      <c r="H240" s="52">
        <v>46104</v>
      </c>
      <c r="I240" s="52" t="s">
        <v>484</v>
      </c>
      <c r="J240" s="52" t="s">
        <v>489</v>
      </c>
      <c r="K240" s="52" t="s">
        <v>34</v>
      </c>
      <c r="L240" s="49">
        <v>743</v>
      </c>
      <c r="M240" s="49">
        <v>18</v>
      </c>
      <c r="N240" s="49">
        <v>4</v>
      </c>
      <c r="O240" s="53">
        <v>5.3</v>
      </c>
      <c r="P240" s="53">
        <v>49.15</v>
      </c>
      <c r="Q240" s="53">
        <v>92.02</v>
      </c>
      <c r="R240" s="54">
        <f t="shared" si="21"/>
        <v>9.27358490566038</v>
      </c>
      <c r="S240" s="55">
        <f t="shared" si="22"/>
        <v>0.222222222222222</v>
      </c>
      <c r="T240" s="55">
        <f t="shared" si="23"/>
        <v>0.0242261103633917</v>
      </c>
      <c r="U240" s="54">
        <f t="shared" si="24"/>
        <v>0.294444444444444</v>
      </c>
      <c r="V240" s="54">
        <f t="shared" si="25"/>
        <v>1.325</v>
      </c>
      <c r="W240" s="55">
        <f t="shared" si="26"/>
        <v>0.107833163784334</v>
      </c>
      <c r="X240" s="55">
        <f t="shared" si="20"/>
        <v>0.0575961747446207</v>
      </c>
      <c r="Y240" s="55" t="s">
        <v>62</v>
      </c>
    </row>
    <row r="241" customFormat="1" ht="22.5" customHeight="1" spans="1:25">
      <c r="A241" s="49" t="s">
        <v>589</v>
      </c>
      <c r="B241" s="49" t="s">
        <v>581</v>
      </c>
      <c r="C241" s="49" t="s">
        <v>411</v>
      </c>
      <c r="D241" s="50">
        <v>188330683250</v>
      </c>
      <c r="E241" s="49" t="s">
        <v>483</v>
      </c>
      <c r="F241" s="51">
        <v>46142</v>
      </c>
      <c r="G241" s="52">
        <v>46142</v>
      </c>
      <c r="H241" s="52">
        <v>46144</v>
      </c>
      <c r="I241" s="52" t="s">
        <v>503</v>
      </c>
      <c r="J241" s="52" t="s">
        <v>489</v>
      </c>
      <c r="K241" s="52" t="s">
        <v>493</v>
      </c>
      <c r="L241" s="49">
        <v>1408</v>
      </c>
      <c r="M241" s="49">
        <v>10</v>
      </c>
      <c r="N241" s="49">
        <v>3</v>
      </c>
      <c r="O241" s="53">
        <v>3.42</v>
      </c>
      <c r="P241" s="53">
        <v>120.51</v>
      </c>
      <c r="Q241" s="53">
        <v>152.89</v>
      </c>
      <c r="R241" s="54">
        <f t="shared" si="21"/>
        <v>35.2368421052632</v>
      </c>
      <c r="S241" s="55">
        <f t="shared" si="22"/>
        <v>0.3</v>
      </c>
      <c r="T241" s="55">
        <f t="shared" si="23"/>
        <v>0.00710227272727273</v>
      </c>
      <c r="U241" s="54">
        <f t="shared" si="24"/>
        <v>0.342</v>
      </c>
      <c r="V241" s="54">
        <f t="shared" si="25"/>
        <v>1.14</v>
      </c>
      <c r="W241" s="55">
        <f t="shared" si="26"/>
        <v>0.0283793876026886</v>
      </c>
      <c r="X241" s="55">
        <f t="shared" si="20"/>
        <v>0.022369023480934</v>
      </c>
      <c r="Y241" s="55" t="s">
        <v>62</v>
      </c>
    </row>
    <row r="242" customFormat="1" ht="22.5" customHeight="1" spans="1:25">
      <c r="A242" s="49" t="s">
        <v>589</v>
      </c>
      <c r="B242" s="49" t="s">
        <v>75</v>
      </c>
      <c r="C242" s="49" t="s">
        <v>78</v>
      </c>
      <c r="D242" s="50">
        <v>188307728772</v>
      </c>
      <c r="E242" s="49" t="s">
        <v>483</v>
      </c>
      <c r="F242" s="51">
        <v>46136</v>
      </c>
      <c r="G242" s="52">
        <v>46135</v>
      </c>
      <c r="H242" s="52">
        <v>46135</v>
      </c>
      <c r="I242" s="52" t="s">
        <v>26</v>
      </c>
      <c r="J242" s="52" t="s">
        <v>518</v>
      </c>
      <c r="K242" s="52" t="s">
        <v>34</v>
      </c>
      <c r="L242" s="49">
        <v>28454</v>
      </c>
      <c r="M242" s="49">
        <v>58</v>
      </c>
      <c r="N242" s="49">
        <v>2</v>
      </c>
      <c r="O242" s="53">
        <v>59.48</v>
      </c>
      <c r="P242" s="53">
        <v>269.53</v>
      </c>
      <c r="Q242" s="53">
        <v>250</v>
      </c>
      <c r="R242" s="54">
        <f t="shared" si="21"/>
        <v>4.53143913920646</v>
      </c>
      <c r="S242" s="55">
        <f t="shared" si="22"/>
        <v>0.0344827586206897</v>
      </c>
      <c r="T242" s="55">
        <f t="shared" si="23"/>
        <v>0.00203837773248049</v>
      </c>
      <c r="U242" s="54">
        <f t="shared" si="24"/>
        <v>1.02551724137931</v>
      </c>
      <c r="V242" s="54">
        <f t="shared" si="25"/>
        <v>29.74</v>
      </c>
      <c r="W242" s="55">
        <f t="shared" si="26"/>
        <v>0.220680443735391</v>
      </c>
      <c r="X242" s="55">
        <f t="shared" si="20"/>
        <v>0.23792</v>
      </c>
      <c r="Y242" s="55" t="s">
        <v>49</v>
      </c>
    </row>
    <row r="243" customFormat="1" ht="22.5" customHeight="1" spans="1:25">
      <c r="A243" s="49" t="s">
        <v>589</v>
      </c>
      <c r="B243" s="49" t="s">
        <v>579</v>
      </c>
      <c r="C243" s="49" t="s">
        <v>400</v>
      </c>
      <c r="D243" s="50">
        <v>178088445830</v>
      </c>
      <c r="E243" s="49" t="s">
        <v>483</v>
      </c>
      <c r="F243" s="51">
        <v>46143</v>
      </c>
      <c r="G243" s="52">
        <v>46141</v>
      </c>
      <c r="H243" s="52">
        <v>46143</v>
      </c>
      <c r="I243" s="52" t="s">
        <v>505</v>
      </c>
      <c r="J243" s="52" t="s">
        <v>518</v>
      </c>
      <c r="K243" s="52" t="s">
        <v>34</v>
      </c>
      <c r="L243" s="49">
        <v>1575</v>
      </c>
      <c r="M243" s="49">
        <v>30</v>
      </c>
      <c r="N243" s="49">
        <v>1</v>
      </c>
      <c r="O243" s="53">
        <v>20.9</v>
      </c>
      <c r="P243" s="53">
        <v>135.31</v>
      </c>
      <c r="Q243" s="53">
        <v>125</v>
      </c>
      <c r="R243" s="54">
        <f t="shared" si="21"/>
        <v>6.47416267942584</v>
      </c>
      <c r="S243" s="55">
        <f t="shared" si="22"/>
        <v>0.0333333333333333</v>
      </c>
      <c r="T243" s="55">
        <f t="shared" si="23"/>
        <v>0.019047619047619</v>
      </c>
      <c r="U243" s="54">
        <f t="shared" si="24"/>
        <v>0.696666666666667</v>
      </c>
      <c r="V243" s="54">
        <f t="shared" si="25"/>
        <v>20.9</v>
      </c>
      <c r="W243" s="55">
        <f t="shared" si="26"/>
        <v>0.1544601285936</v>
      </c>
      <c r="X243" s="55">
        <f t="shared" si="20"/>
        <v>0.1672</v>
      </c>
      <c r="Y243" s="55" t="s">
        <v>62</v>
      </c>
    </row>
    <row r="244" customFormat="1" ht="22.5" customHeight="1" spans="1:25">
      <c r="A244" s="49" t="s">
        <v>589</v>
      </c>
      <c r="B244" s="49" t="s">
        <v>507</v>
      </c>
      <c r="C244" s="49" t="s">
        <v>326</v>
      </c>
      <c r="D244" s="50">
        <v>117072634866</v>
      </c>
      <c r="E244" s="49" t="s">
        <v>502</v>
      </c>
      <c r="F244" s="51">
        <v>46095</v>
      </c>
      <c r="G244" s="52">
        <v>46085</v>
      </c>
      <c r="H244" s="52">
        <v>46086</v>
      </c>
      <c r="I244" s="52" t="s">
        <v>496</v>
      </c>
      <c r="J244" s="52" t="s">
        <v>497</v>
      </c>
      <c r="K244" s="52" t="s">
        <v>34</v>
      </c>
      <c r="L244" s="49">
        <v>171</v>
      </c>
      <c r="M244" s="49">
        <v>22</v>
      </c>
      <c r="N244" s="49">
        <v>1</v>
      </c>
      <c r="O244" s="53">
        <v>9.4</v>
      </c>
      <c r="P244" s="53">
        <v>93.28</v>
      </c>
      <c r="Q244" s="53">
        <v>1207</v>
      </c>
      <c r="R244" s="54">
        <f t="shared" si="21"/>
        <v>9.92340425531915</v>
      </c>
      <c r="S244" s="55">
        <f t="shared" si="22"/>
        <v>0.0454545454545455</v>
      </c>
      <c r="T244" s="55">
        <f t="shared" si="23"/>
        <v>0.128654970760234</v>
      </c>
      <c r="U244" s="54">
        <f t="shared" si="24"/>
        <v>0.427272727272727</v>
      </c>
      <c r="V244" s="54">
        <f t="shared" si="25"/>
        <v>9.4</v>
      </c>
      <c r="W244" s="55">
        <f t="shared" si="26"/>
        <v>0.100771869639794</v>
      </c>
      <c r="X244" s="55">
        <f t="shared" si="20"/>
        <v>0.00778790389395195</v>
      </c>
      <c r="Y244" s="55" t="s">
        <v>62</v>
      </c>
    </row>
    <row r="245" customFormat="1" ht="22.5" customHeight="1" spans="1:25">
      <c r="A245" s="49" t="s">
        <v>589</v>
      </c>
      <c r="B245" s="49" t="s">
        <v>583</v>
      </c>
      <c r="C245" s="49" t="s">
        <v>416</v>
      </c>
      <c r="D245" s="50">
        <v>188330738159</v>
      </c>
      <c r="E245" s="49" t="s">
        <v>483</v>
      </c>
      <c r="F245" s="51">
        <v>46143</v>
      </c>
      <c r="G245" s="52">
        <v>46142</v>
      </c>
      <c r="H245" s="52">
        <v>46152</v>
      </c>
      <c r="I245" s="52" t="s">
        <v>505</v>
      </c>
      <c r="J245" s="52" t="s">
        <v>518</v>
      </c>
      <c r="K245" s="52" t="s">
        <v>34</v>
      </c>
      <c r="L245" s="49">
        <v>544</v>
      </c>
      <c r="M245" s="49">
        <v>13</v>
      </c>
      <c r="N245" s="49">
        <v>1</v>
      </c>
      <c r="O245" s="53">
        <v>5.94</v>
      </c>
      <c r="P245" s="53">
        <v>135</v>
      </c>
      <c r="Q245" s="53">
        <v>125</v>
      </c>
      <c r="R245" s="54">
        <f t="shared" si="21"/>
        <v>22.7272727272727</v>
      </c>
      <c r="S245" s="55">
        <f t="shared" si="22"/>
        <v>0.0769230769230769</v>
      </c>
      <c r="T245" s="55">
        <f t="shared" si="23"/>
        <v>0.0238970588235294</v>
      </c>
      <c r="U245" s="54">
        <f t="shared" si="24"/>
        <v>0.456923076923077</v>
      </c>
      <c r="V245" s="54">
        <f t="shared" si="25"/>
        <v>5.94</v>
      </c>
      <c r="W245" s="55">
        <f t="shared" si="26"/>
        <v>0.044</v>
      </c>
      <c r="X245" s="55">
        <f t="shared" si="20"/>
        <v>0.04752</v>
      </c>
      <c r="Y245" s="55" t="s">
        <v>62</v>
      </c>
    </row>
    <row r="246" customFormat="1" ht="22.5" customHeight="1" spans="1:25">
      <c r="A246" s="49" t="s">
        <v>589</v>
      </c>
      <c r="B246" s="49" t="s">
        <v>569</v>
      </c>
      <c r="C246" s="49" t="s">
        <v>359</v>
      </c>
      <c r="D246" s="50">
        <v>117093803059</v>
      </c>
      <c r="E246" s="49" t="s">
        <v>502</v>
      </c>
      <c r="F246" s="51">
        <v>46141</v>
      </c>
      <c r="G246" s="52">
        <v>46097</v>
      </c>
      <c r="H246" s="52">
        <v>46104</v>
      </c>
      <c r="I246" s="52" t="s">
        <v>496</v>
      </c>
      <c r="J246" s="52" t="s">
        <v>497</v>
      </c>
      <c r="K246" s="52" t="s">
        <v>34</v>
      </c>
      <c r="L246" s="49">
        <v>85</v>
      </c>
      <c r="M246" s="49">
        <v>13</v>
      </c>
      <c r="N246" s="49">
        <v>1</v>
      </c>
      <c r="O246" s="53">
        <v>8.05</v>
      </c>
      <c r="P246" s="53">
        <v>101.65</v>
      </c>
      <c r="Q246" s="53">
        <v>190</v>
      </c>
      <c r="R246" s="54">
        <f t="shared" si="21"/>
        <v>12.6273291925466</v>
      </c>
      <c r="S246" s="55">
        <f t="shared" si="22"/>
        <v>0.0769230769230769</v>
      </c>
      <c r="T246" s="55">
        <f t="shared" si="23"/>
        <v>0.152941176470588</v>
      </c>
      <c r="U246" s="54">
        <f t="shared" si="24"/>
        <v>0.619230769230769</v>
      </c>
      <c r="V246" s="54">
        <f t="shared" si="25"/>
        <v>8.05</v>
      </c>
      <c r="W246" s="55">
        <f t="shared" si="26"/>
        <v>0.0791933103787506</v>
      </c>
      <c r="X246" s="55">
        <f t="shared" si="20"/>
        <v>0.0423684210526316</v>
      </c>
      <c r="Y246" s="55" t="s">
        <v>62</v>
      </c>
    </row>
    <row r="247" customFormat="1" ht="22.5" customHeight="1" spans="1:25">
      <c r="A247" s="49" t="s">
        <v>589</v>
      </c>
      <c r="B247" s="49" t="s">
        <v>549</v>
      </c>
      <c r="C247" s="49" t="s">
        <v>319</v>
      </c>
      <c r="D247" s="50">
        <v>227241168840</v>
      </c>
      <c r="E247" s="49" t="s">
        <v>488</v>
      </c>
      <c r="F247" s="51">
        <v>46097</v>
      </c>
      <c r="G247" s="52">
        <v>46085</v>
      </c>
      <c r="H247" s="52">
        <v>46100</v>
      </c>
      <c r="I247" s="52" t="s">
        <v>484</v>
      </c>
      <c r="J247" s="52" t="s">
        <v>30</v>
      </c>
      <c r="K247" s="52" t="s">
        <v>34</v>
      </c>
      <c r="L247" s="49">
        <v>571</v>
      </c>
      <c r="M247" s="49">
        <v>10</v>
      </c>
      <c r="N247" s="49">
        <v>1</v>
      </c>
      <c r="O247" s="53">
        <v>4.51</v>
      </c>
      <c r="P247" s="53">
        <v>30.16</v>
      </c>
      <c r="Q247" s="53">
        <v>112.76</v>
      </c>
      <c r="R247" s="54">
        <f t="shared" si="21"/>
        <v>6.68736141906874</v>
      </c>
      <c r="S247" s="55">
        <f t="shared" si="22"/>
        <v>0.1</v>
      </c>
      <c r="T247" s="55">
        <f t="shared" si="23"/>
        <v>0.0175131348511384</v>
      </c>
      <c r="U247" s="54">
        <f t="shared" si="24"/>
        <v>0.451</v>
      </c>
      <c r="V247" s="54">
        <f t="shared" si="25"/>
        <v>4.51</v>
      </c>
      <c r="W247" s="55">
        <f t="shared" si="26"/>
        <v>0.149535809018568</v>
      </c>
      <c r="X247" s="55">
        <f t="shared" si="20"/>
        <v>0.0399964526427811</v>
      </c>
      <c r="Y247" s="55" t="s">
        <v>62</v>
      </c>
    </row>
    <row r="248" customFormat="1" ht="22.5" customHeight="1" spans="1:25">
      <c r="A248" s="49" t="s">
        <v>589</v>
      </c>
      <c r="B248" s="49" t="s">
        <v>561</v>
      </c>
      <c r="C248" s="49" t="s">
        <v>392</v>
      </c>
      <c r="D248" s="50">
        <v>188307740950</v>
      </c>
      <c r="E248" s="49" t="s">
        <v>483</v>
      </c>
      <c r="F248" s="51">
        <v>46137</v>
      </c>
      <c r="G248" s="52">
        <v>46135</v>
      </c>
      <c r="H248" s="52">
        <v>46140</v>
      </c>
      <c r="I248" s="52" t="s">
        <v>496</v>
      </c>
      <c r="J248" s="52" t="s">
        <v>497</v>
      </c>
      <c r="K248" s="52" t="s">
        <v>34</v>
      </c>
      <c r="L248" s="49">
        <v>667</v>
      </c>
      <c r="M248" s="49">
        <v>8</v>
      </c>
      <c r="N248" s="49">
        <v>1</v>
      </c>
      <c r="O248" s="53">
        <v>4.15</v>
      </c>
      <c r="P248" s="53">
        <v>159</v>
      </c>
      <c r="Q248" s="53">
        <v>750</v>
      </c>
      <c r="R248" s="54">
        <f t="shared" si="21"/>
        <v>38.3132530120482</v>
      </c>
      <c r="S248" s="55">
        <f t="shared" si="22"/>
        <v>0.125</v>
      </c>
      <c r="T248" s="55">
        <f t="shared" si="23"/>
        <v>0.0119940029985007</v>
      </c>
      <c r="U248" s="54">
        <f t="shared" si="24"/>
        <v>0.51875</v>
      </c>
      <c r="V248" s="54">
        <f t="shared" si="25"/>
        <v>4.15</v>
      </c>
      <c r="W248" s="55">
        <f t="shared" si="26"/>
        <v>0.0261006289308176</v>
      </c>
      <c r="X248" s="55">
        <f t="shared" ref="X248:X311" si="27">O248/Q248</f>
        <v>0.00553333333333333</v>
      </c>
      <c r="Y248" s="55" t="s">
        <v>62</v>
      </c>
    </row>
    <row r="249" customFormat="1" ht="22.5" customHeight="1" spans="1:25">
      <c r="A249" s="49" t="s">
        <v>589</v>
      </c>
      <c r="B249" s="49" t="s">
        <v>557</v>
      </c>
      <c r="C249" s="49" t="s">
        <v>388</v>
      </c>
      <c r="D249" s="50">
        <v>178071423591</v>
      </c>
      <c r="E249" s="49" t="s">
        <v>483</v>
      </c>
      <c r="F249" s="51">
        <v>46136</v>
      </c>
      <c r="G249" s="52">
        <v>46135</v>
      </c>
      <c r="H249" s="52">
        <v>46139</v>
      </c>
      <c r="I249" s="52" t="s">
        <v>484</v>
      </c>
      <c r="J249" s="52" t="s">
        <v>564</v>
      </c>
      <c r="K249" s="52" t="s">
        <v>34</v>
      </c>
      <c r="L249" s="49">
        <v>424</v>
      </c>
      <c r="M249" s="49">
        <v>8</v>
      </c>
      <c r="N249" s="49">
        <v>1</v>
      </c>
      <c r="O249" s="53">
        <v>3.11</v>
      </c>
      <c r="P249" s="53">
        <v>48.71</v>
      </c>
      <c r="Q249" s="53">
        <v>45</v>
      </c>
      <c r="R249" s="54">
        <f t="shared" si="21"/>
        <v>15.6623794212219</v>
      </c>
      <c r="S249" s="55">
        <f t="shared" si="22"/>
        <v>0.125</v>
      </c>
      <c r="T249" s="55">
        <f t="shared" si="23"/>
        <v>0.0188679245283019</v>
      </c>
      <c r="U249" s="54">
        <f t="shared" si="24"/>
        <v>0.38875</v>
      </c>
      <c r="V249" s="54">
        <f t="shared" si="25"/>
        <v>3.11</v>
      </c>
      <c r="W249" s="55">
        <f t="shared" si="26"/>
        <v>0.0638472592896736</v>
      </c>
      <c r="X249" s="55">
        <f t="shared" si="27"/>
        <v>0.0691111111111111</v>
      </c>
      <c r="Y249" s="55" t="s">
        <v>62</v>
      </c>
    </row>
    <row r="250" customFormat="1" ht="22.5" customHeight="1" spans="1:25">
      <c r="A250" s="49" t="s">
        <v>589</v>
      </c>
      <c r="B250" s="49" t="s">
        <v>542</v>
      </c>
      <c r="C250" s="49" t="s">
        <v>319</v>
      </c>
      <c r="D250" s="50">
        <v>287180832245</v>
      </c>
      <c r="E250" s="49" t="s">
        <v>511</v>
      </c>
      <c r="F250" s="51">
        <v>46097</v>
      </c>
      <c r="G250" s="52">
        <v>46085</v>
      </c>
      <c r="H250" s="52">
        <v>46100</v>
      </c>
      <c r="I250" s="52" t="s">
        <v>484</v>
      </c>
      <c r="J250" s="52" t="s">
        <v>30</v>
      </c>
      <c r="K250" s="52" t="s">
        <v>34</v>
      </c>
      <c r="L250" s="49">
        <v>463</v>
      </c>
      <c r="M250" s="49">
        <v>6</v>
      </c>
      <c r="N250" s="49">
        <v>1</v>
      </c>
      <c r="O250" s="53">
        <v>2.45</v>
      </c>
      <c r="P250" s="53">
        <v>28.19</v>
      </c>
      <c r="Q250" s="53">
        <v>112.76</v>
      </c>
      <c r="R250" s="54">
        <f t="shared" si="21"/>
        <v>11.5061224489796</v>
      </c>
      <c r="S250" s="55">
        <f t="shared" si="22"/>
        <v>0.166666666666667</v>
      </c>
      <c r="T250" s="55">
        <f t="shared" si="23"/>
        <v>0.0129589632829374</v>
      </c>
      <c r="U250" s="54">
        <f t="shared" si="24"/>
        <v>0.408333333333333</v>
      </c>
      <c r="V250" s="54">
        <f t="shared" si="25"/>
        <v>2.45</v>
      </c>
      <c r="W250" s="55">
        <f t="shared" si="26"/>
        <v>0.0869102518623625</v>
      </c>
      <c r="X250" s="55">
        <f t="shared" si="27"/>
        <v>0.0217275629655906</v>
      </c>
      <c r="Y250" s="55" t="s">
        <v>62</v>
      </c>
    </row>
    <row r="251" customFormat="1" ht="22.5" customHeight="1" spans="1:25">
      <c r="A251" s="49" t="s">
        <v>589</v>
      </c>
      <c r="B251" s="49" t="s">
        <v>573</v>
      </c>
      <c r="C251" s="49" t="s">
        <v>404</v>
      </c>
      <c r="D251" s="50">
        <v>188328121506</v>
      </c>
      <c r="E251" s="49" t="s">
        <v>483</v>
      </c>
      <c r="F251" s="51">
        <v>46142</v>
      </c>
      <c r="G251" s="52">
        <v>46141</v>
      </c>
      <c r="H251" s="52">
        <v>46147</v>
      </c>
      <c r="I251" s="52" t="s">
        <v>496</v>
      </c>
      <c r="J251" s="52" t="s">
        <v>497</v>
      </c>
      <c r="K251" s="52" t="s">
        <v>493</v>
      </c>
      <c r="L251" s="49">
        <v>118</v>
      </c>
      <c r="M251" s="49">
        <v>5</v>
      </c>
      <c r="N251" s="49">
        <v>1</v>
      </c>
      <c r="O251" s="53">
        <v>1.93</v>
      </c>
      <c r="P251" s="53">
        <v>64.95</v>
      </c>
      <c r="Q251" s="53">
        <v>120</v>
      </c>
      <c r="R251" s="54">
        <f t="shared" si="21"/>
        <v>33.6528497409326</v>
      </c>
      <c r="S251" s="55">
        <f t="shared" si="22"/>
        <v>0.2</v>
      </c>
      <c r="T251" s="55">
        <f t="shared" si="23"/>
        <v>0.0423728813559322</v>
      </c>
      <c r="U251" s="54">
        <f t="shared" si="24"/>
        <v>0.386</v>
      </c>
      <c r="V251" s="54">
        <f t="shared" si="25"/>
        <v>1.93</v>
      </c>
      <c r="W251" s="55">
        <f t="shared" si="26"/>
        <v>0.0297151655119323</v>
      </c>
      <c r="X251" s="55">
        <f t="shared" si="27"/>
        <v>0.0160833333333333</v>
      </c>
      <c r="Y251" s="55" t="s">
        <v>62</v>
      </c>
    </row>
    <row r="252" customFormat="1" ht="22.5" customHeight="1" spans="1:25">
      <c r="A252" s="49" t="s">
        <v>589</v>
      </c>
      <c r="B252" s="49" t="s">
        <v>574</v>
      </c>
      <c r="C252" s="49" t="s">
        <v>395</v>
      </c>
      <c r="D252" s="50">
        <v>188307751556</v>
      </c>
      <c r="E252" s="49" t="s">
        <v>483</v>
      </c>
      <c r="F252" s="51">
        <v>46142</v>
      </c>
      <c r="G252" s="52">
        <v>46135</v>
      </c>
      <c r="H252" s="52">
        <v>46142</v>
      </c>
      <c r="I252" s="52" t="s">
        <v>484</v>
      </c>
      <c r="J252" s="52" t="s">
        <v>497</v>
      </c>
      <c r="K252" s="52" t="s">
        <v>34</v>
      </c>
      <c r="L252" s="49">
        <v>301</v>
      </c>
      <c r="M252" s="49">
        <v>3</v>
      </c>
      <c r="N252" s="49">
        <v>1</v>
      </c>
      <c r="O252" s="53">
        <v>1.23</v>
      </c>
      <c r="P252" s="53">
        <v>161.06</v>
      </c>
      <c r="Q252" s="53">
        <v>600</v>
      </c>
      <c r="R252" s="54">
        <f t="shared" si="21"/>
        <v>130.943089430894</v>
      </c>
      <c r="S252" s="55">
        <f t="shared" si="22"/>
        <v>0.333333333333333</v>
      </c>
      <c r="T252" s="55">
        <f t="shared" si="23"/>
        <v>0.00996677740863787</v>
      </c>
      <c r="U252" s="54">
        <f t="shared" si="24"/>
        <v>0.41</v>
      </c>
      <c r="V252" s="54">
        <f t="shared" si="25"/>
        <v>1.23</v>
      </c>
      <c r="W252" s="55">
        <f t="shared" si="26"/>
        <v>0.00763690550105551</v>
      </c>
      <c r="X252" s="55">
        <f t="shared" si="27"/>
        <v>0.00205</v>
      </c>
      <c r="Y252" s="55" t="s">
        <v>62</v>
      </c>
    </row>
    <row r="253" customFormat="1" ht="22.5" customHeight="1" spans="1:25">
      <c r="A253" s="49" t="s">
        <v>589</v>
      </c>
      <c r="B253" s="49" t="s">
        <v>573</v>
      </c>
      <c r="C253" s="49" t="s">
        <v>405</v>
      </c>
      <c r="D253" s="50">
        <v>188328124623</v>
      </c>
      <c r="E253" s="49" t="s">
        <v>483</v>
      </c>
      <c r="F253" s="51">
        <v>46142</v>
      </c>
      <c r="G253" s="52">
        <v>46141</v>
      </c>
      <c r="H253" s="52">
        <v>46152</v>
      </c>
      <c r="I253" s="52" t="s">
        <v>496</v>
      </c>
      <c r="J253" s="52" t="s">
        <v>497</v>
      </c>
      <c r="K253" s="52" t="s">
        <v>493</v>
      </c>
      <c r="L253" s="49">
        <v>615</v>
      </c>
      <c r="M253" s="49">
        <v>2</v>
      </c>
      <c r="N253" s="49">
        <v>1</v>
      </c>
      <c r="O253" s="53">
        <v>0.69</v>
      </c>
      <c r="P253" s="53">
        <v>63.75</v>
      </c>
      <c r="Q253" s="53">
        <v>60</v>
      </c>
      <c r="R253" s="54">
        <f t="shared" si="21"/>
        <v>92.3913043478261</v>
      </c>
      <c r="S253" s="55">
        <f t="shared" si="22"/>
        <v>0.5</v>
      </c>
      <c r="T253" s="55">
        <f t="shared" si="23"/>
        <v>0.0032520325203252</v>
      </c>
      <c r="U253" s="54">
        <f t="shared" si="24"/>
        <v>0.345</v>
      </c>
      <c r="V253" s="54">
        <f t="shared" si="25"/>
        <v>0.69</v>
      </c>
      <c r="W253" s="55">
        <f t="shared" si="26"/>
        <v>0.0108235294117647</v>
      </c>
      <c r="X253" s="55">
        <f t="shared" si="27"/>
        <v>0.0115</v>
      </c>
      <c r="Y253" s="55" t="s">
        <v>49</v>
      </c>
    </row>
    <row r="254" customFormat="1" ht="22.5" customHeight="1" spans="1:25">
      <c r="A254" s="49" t="s">
        <v>589</v>
      </c>
      <c r="B254" s="49" t="s">
        <v>538</v>
      </c>
      <c r="C254" s="49" t="s">
        <v>334</v>
      </c>
      <c r="D254" s="50">
        <v>177944141581</v>
      </c>
      <c r="E254" s="49" t="s">
        <v>483</v>
      </c>
      <c r="F254" s="51">
        <v>46092</v>
      </c>
      <c r="G254" s="52">
        <v>46091</v>
      </c>
      <c r="H254" s="52">
        <v>46106</v>
      </c>
      <c r="I254" s="52" t="s">
        <v>484</v>
      </c>
      <c r="J254" s="52" t="s">
        <v>489</v>
      </c>
      <c r="K254" s="52" t="s">
        <v>34</v>
      </c>
      <c r="L254" s="49">
        <v>550</v>
      </c>
      <c r="M254" s="49">
        <v>2</v>
      </c>
      <c r="N254" s="49">
        <v>1</v>
      </c>
      <c r="O254" s="53">
        <v>0.62</v>
      </c>
      <c r="P254" s="53">
        <v>38</v>
      </c>
      <c r="Q254" s="53">
        <v>38</v>
      </c>
      <c r="R254" s="54">
        <f t="shared" si="21"/>
        <v>61.2903225806452</v>
      </c>
      <c r="S254" s="55">
        <f t="shared" si="22"/>
        <v>0.5</v>
      </c>
      <c r="T254" s="55">
        <f t="shared" si="23"/>
        <v>0.00363636363636364</v>
      </c>
      <c r="U254" s="54">
        <f t="shared" si="24"/>
        <v>0.31</v>
      </c>
      <c r="V254" s="54">
        <f t="shared" si="25"/>
        <v>0.62</v>
      </c>
      <c r="W254" s="55">
        <f t="shared" si="26"/>
        <v>0.0163157894736842</v>
      </c>
      <c r="X254" s="55">
        <f t="shared" si="27"/>
        <v>0.0163157894736842</v>
      </c>
      <c r="Y254" s="55" t="s">
        <v>62</v>
      </c>
    </row>
    <row r="255" customFormat="1" ht="22.5" customHeight="1" spans="1:25">
      <c r="A255" s="49" t="s">
        <v>589</v>
      </c>
      <c r="B255" s="49" t="s">
        <v>526</v>
      </c>
      <c r="C255" s="49" t="s">
        <v>348</v>
      </c>
      <c r="D255" s="50">
        <v>177951390007</v>
      </c>
      <c r="E255" s="49" t="s">
        <v>483</v>
      </c>
      <c r="F255" s="51">
        <v>46094</v>
      </c>
      <c r="G255" s="52">
        <v>46093</v>
      </c>
      <c r="H255" s="52">
        <v>46100</v>
      </c>
      <c r="I255" s="52" t="s">
        <v>484</v>
      </c>
      <c r="J255" s="52" t="s">
        <v>485</v>
      </c>
      <c r="K255" s="52" t="s">
        <v>34</v>
      </c>
      <c r="L255" s="49">
        <v>50</v>
      </c>
      <c r="M255" s="49">
        <v>1</v>
      </c>
      <c r="N255" s="49">
        <v>1</v>
      </c>
      <c r="O255" s="53">
        <v>0.35</v>
      </c>
      <c r="P255" s="53">
        <v>151.65</v>
      </c>
      <c r="Q255" s="53">
        <v>139</v>
      </c>
      <c r="R255" s="54">
        <f t="shared" si="21"/>
        <v>433.285714285714</v>
      </c>
      <c r="S255" s="55">
        <f t="shared" si="22"/>
        <v>1</v>
      </c>
      <c r="T255" s="55">
        <f t="shared" si="23"/>
        <v>0.02</v>
      </c>
      <c r="U255" s="54">
        <f t="shared" si="24"/>
        <v>0.35</v>
      </c>
      <c r="V255" s="54">
        <f t="shared" si="25"/>
        <v>0.35</v>
      </c>
      <c r="W255" s="55">
        <f t="shared" si="26"/>
        <v>0.00230794592812397</v>
      </c>
      <c r="X255" s="55">
        <f t="shared" si="27"/>
        <v>0.00251798561151079</v>
      </c>
      <c r="Y255" s="55" t="s">
        <v>62</v>
      </c>
    </row>
    <row r="256" customFormat="1" ht="22.5" customHeight="1" spans="1:25">
      <c r="A256" s="49" t="s">
        <v>589</v>
      </c>
      <c r="B256" s="49" t="s">
        <v>566</v>
      </c>
      <c r="C256" s="49" t="s">
        <v>378</v>
      </c>
      <c r="D256" s="50">
        <v>117115641168</v>
      </c>
      <c r="E256" s="49" t="s">
        <v>502</v>
      </c>
      <c r="F256" s="51">
        <v>46140</v>
      </c>
      <c r="G256" s="52">
        <v>46108</v>
      </c>
      <c r="H256" s="52" t="s">
        <v>149</v>
      </c>
      <c r="I256" s="52" t="s">
        <v>26</v>
      </c>
      <c r="J256" s="52" t="s">
        <v>30</v>
      </c>
      <c r="K256" s="52" t="s">
        <v>493</v>
      </c>
      <c r="L256" s="49">
        <v>23890</v>
      </c>
      <c r="M256" s="49">
        <v>32</v>
      </c>
      <c r="N256" s="49">
        <v>0</v>
      </c>
      <c r="O256" s="53">
        <v>27.7</v>
      </c>
      <c r="P256" s="53">
        <v>0</v>
      </c>
      <c r="Q256" s="53">
        <v>0</v>
      </c>
      <c r="R256" s="54">
        <f t="shared" si="21"/>
        <v>0</v>
      </c>
      <c r="S256" s="55">
        <f t="shared" si="22"/>
        <v>0</v>
      </c>
      <c r="T256" s="55">
        <f t="shared" si="23"/>
        <v>0.00133947258267057</v>
      </c>
      <c r="U256" s="54">
        <f t="shared" si="24"/>
        <v>0.865625</v>
      </c>
      <c r="V256" s="54" t="e">
        <f t="shared" si="25"/>
        <v>#DIV/0!</v>
      </c>
      <c r="W256" s="55" t="e">
        <f t="shared" si="26"/>
        <v>#DIV/0!</v>
      </c>
      <c r="X256" s="55" t="e">
        <f t="shared" si="27"/>
        <v>#DIV/0!</v>
      </c>
      <c r="Y256" s="55" t="s">
        <v>49</v>
      </c>
    </row>
    <row r="257" customFormat="1" ht="22.5" customHeight="1" spans="1:25">
      <c r="A257" s="49" t="s">
        <v>589</v>
      </c>
      <c r="B257" s="49" t="s">
        <v>506</v>
      </c>
      <c r="C257" s="49" t="s">
        <v>342</v>
      </c>
      <c r="D257" s="50">
        <v>177947769950</v>
      </c>
      <c r="E257" s="49" t="s">
        <v>483</v>
      </c>
      <c r="F257" s="51">
        <v>46092</v>
      </c>
      <c r="G257" s="52">
        <v>46092</v>
      </c>
      <c r="H257" s="52">
        <v>46095</v>
      </c>
      <c r="I257" s="52" t="s">
        <v>484</v>
      </c>
      <c r="J257" s="52" t="s">
        <v>489</v>
      </c>
      <c r="K257" s="52" t="s">
        <v>34</v>
      </c>
      <c r="L257" s="49">
        <v>2904</v>
      </c>
      <c r="M257" s="49">
        <v>23</v>
      </c>
      <c r="N257" s="49">
        <v>0</v>
      </c>
      <c r="O257" s="53">
        <v>9.3</v>
      </c>
      <c r="P257" s="53">
        <v>0</v>
      </c>
      <c r="Q257" s="53">
        <v>342</v>
      </c>
      <c r="R257" s="54">
        <f t="shared" si="21"/>
        <v>0</v>
      </c>
      <c r="S257" s="55">
        <f t="shared" si="22"/>
        <v>0</v>
      </c>
      <c r="T257" s="55">
        <f t="shared" si="23"/>
        <v>0.00792011019283747</v>
      </c>
      <c r="U257" s="54">
        <f t="shared" si="24"/>
        <v>0.404347826086957</v>
      </c>
      <c r="V257" s="54" t="e">
        <f t="shared" si="25"/>
        <v>#DIV/0!</v>
      </c>
      <c r="W257" s="55" t="e">
        <f t="shared" si="26"/>
        <v>#DIV/0!</v>
      </c>
      <c r="X257" s="55">
        <f t="shared" si="27"/>
        <v>0.0271929824561404</v>
      </c>
      <c r="Y257" s="55" t="s">
        <v>62</v>
      </c>
    </row>
    <row r="258" customFormat="1" ht="22.5" customHeight="1" spans="1:25">
      <c r="A258" s="49" t="s">
        <v>589</v>
      </c>
      <c r="B258" s="49" t="s">
        <v>582</v>
      </c>
      <c r="C258" s="49" t="s">
        <v>415</v>
      </c>
      <c r="D258" s="50">
        <v>188330701630</v>
      </c>
      <c r="E258" s="49" t="s">
        <v>483</v>
      </c>
      <c r="F258" s="51">
        <v>46143</v>
      </c>
      <c r="G258" s="52">
        <v>46142</v>
      </c>
      <c r="H258" s="52">
        <v>46146</v>
      </c>
      <c r="I258" s="52" t="s">
        <v>505</v>
      </c>
      <c r="J258" s="52" t="s">
        <v>518</v>
      </c>
      <c r="K258" s="52" t="s">
        <v>34</v>
      </c>
      <c r="L258" s="49">
        <v>228</v>
      </c>
      <c r="M258" s="49">
        <v>11</v>
      </c>
      <c r="N258" s="49">
        <v>0</v>
      </c>
      <c r="O258" s="53">
        <v>4.18</v>
      </c>
      <c r="P258" s="53">
        <v>0</v>
      </c>
      <c r="Q258" s="53">
        <v>35</v>
      </c>
      <c r="R258" s="54">
        <f t="shared" ref="R258:R321" si="28">P258/O258</f>
        <v>0</v>
      </c>
      <c r="S258" s="55">
        <f t="shared" ref="S258:S321" si="29">N258/M258</f>
        <v>0</v>
      </c>
      <c r="T258" s="55">
        <f t="shared" ref="T258:T321" si="30">M258/L258</f>
        <v>0.0482456140350877</v>
      </c>
      <c r="U258" s="54">
        <f t="shared" ref="U258:U321" si="31">O258/M258</f>
        <v>0.38</v>
      </c>
      <c r="V258" s="54" t="e">
        <f t="shared" ref="V258:V321" si="32">O258/N258</f>
        <v>#DIV/0!</v>
      </c>
      <c r="W258" s="55" t="e">
        <f t="shared" ref="W258:W321" si="33">O258/P258</f>
        <v>#DIV/0!</v>
      </c>
      <c r="X258" s="55">
        <f t="shared" si="27"/>
        <v>0.119428571428571</v>
      </c>
      <c r="Y258" s="55" t="s">
        <v>62</v>
      </c>
    </row>
    <row r="259" customFormat="1" ht="22.5" customHeight="1" spans="1:25">
      <c r="A259" s="49" t="s">
        <v>589</v>
      </c>
      <c r="B259" s="49" t="s">
        <v>535</v>
      </c>
      <c r="C259" s="49" t="s">
        <v>347</v>
      </c>
      <c r="D259" s="50">
        <v>117085067234</v>
      </c>
      <c r="E259" s="49" t="s">
        <v>502</v>
      </c>
      <c r="F259" s="51">
        <v>46123</v>
      </c>
      <c r="G259" s="52">
        <v>46092</v>
      </c>
      <c r="H259" s="52">
        <v>46096</v>
      </c>
      <c r="I259" s="52" t="s">
        <v>26</v>
      </c>
      <c r="J259" s="52" t="s">
        <v>30</v>
      </c>
      <c r="K259" s="52" t="s">
        <v>34</v>
      </c>
      <c r="L259" s="49">
        <v>184</v>
      </c>
      <c r="M259" s="49">
        <v>11</v>
      </c>
      <c r="N259" s="49">
        <v>0</v>
      </c>
      <c r="O259" s="53">
        <v>8.02</v>
      </c>
      <c r="P259" s="53">
        <v>0</v>
      </c>
      <c r="Q259" s="53">
        <v>0</v>
      </c>
      <c r="R259" s="54">
        <f t="shared" si="28"/>
        <v>0</v>
      </c>
      <c r="S259" s="55">
        <f t="shared" si="29"/>
        <v>0</v>
      </c>
      <c r="T259" s="55">
        <f t="shared" si="30"/>
        <v>0.0597826086956522</v>
      </c>
      <c r="U259" s="54">
        <f t="shared" si="31"/>
        <v>0.729090909090909</v>
      </c>
      <c r="V259" s="54" t="e">
        <f t="shared" si="32"/>
        <v>#DIV/0!</v>
      </c>
      <c r="W259" s="55" t="e">
        <f t="shared" si="33"/>
        <v>#DIV/0!</v>
      </c>
      <c r="X259" s="55" t="e">
        <f t="shared" si="27"/>
        <v>#DIV/0!</v>
      </c>
      <c r="Y259" s="55" t="s">
        <v>62</v>
      </c>
    </row>
    <row r="260" customFormat="1" ht="22.5" customHeight="1" spans="1:25">
      <c r="A260" s="49" t="s">
        <v>589</v>
      </c>
      <c r="B260" s="49" t="s">
        <v>555</v>
      </c>
      <c r="C260" s="49" t="s">
        <v>367</v>
      </c>
      <c r="D260" s="50">
        <v>117105226831</v>
      </c>
      <c r="E260" s="49" t="s">
        <v>502</v>
      </c>
      <c r="F260" s="51">
        <v>46135</v>
      </c>
      <c r="G260" s="52">
        <v>46104</v>
      </c>
      <c r="H260" s="52" t="s">
        <v>149</v>
      </c>
      <c r="I260" s="52" t="s">
        <v>496</v>
      </c>
      <c r="J260" s="52" t="s">
        <v>30</v>
      </c>
      <c r="K260" s="52" t="s">
        <v>34</v>
      </c>
      <c r="L260" s="49">
        <v>12857</v>
      </c>
      <c r="M260" s="49">
        <v>10</v>
      </c>
      <c r="N260" s="49">
        <v>0</v>
      </c>
      <c r="O260" s="53">
        <v>7.94</v>
      </c>
      <c r="P260" s="53">
        <v>0</v>
      </c>
      <c r="Q260" s="53">
        <v>0</v>
      </c>
      <c r="R260" s="54">
        <f t="shared" si="28"/>
        <v>0</v>
      </c>
      <c r="S260" s="55">
        <f t="shared" si="29"/>
        <v>0</v>
      </c>
      <c r="T260" s="55">
        <f t="shared" si="30"/>
        <v>0.000777786419849109</v>
      </c>
      <c r="U260" s="54">
        <f t="shared" si="31"/>
        <v>0.794</v>
      </c>
      <c r="V260" s="54" t="e">
        <f t="shared" si="32"/>
        <v>#DIV/0!</v>
      </c>
      <c r="W260" s="55" t="e">
        <f t="shared" si="33"/>
        <v>#DIV/0!</v>
      </c>
      <c r="X260" s="55" t="e">
        <f t="shared" si="27"/>
        <v>#DIV/0!</v>
      </c>
      <c r="Y260" s="55" t="s">
        <v>49</v>
      </c>
    </row>
    <row r="261" customFormat="1" ht="22.5" customHeight="1" spans="1:25">
      <c r="A261" s="49" t="s">
        <v>589</v>
      </c>
      <c r="B261" s="49" t="s">
        <v>578</v>
      </c>
      <c r="C261" s="49" t="s">
        <v>399</v>
      </c>
      <c r="D261" s="50">
        <v>178088440364</v>
      </c>
      <c r="E261" s="49" t="s">
        <v>483</v>
      </c>
      <c r="F261" s="51">
        <v>46143</v>
      </c>
      <c r="G261" s="52">
        <v>46141</v>
      </c>
      <c r="H261" s="52">
        <v>46154</v>
      </c>
      <c r="I261" s="52" t="s">
        <v>505</v>
      </c>
      <c r="J261" s="52" t="s">
        <v>518</v>
      </c>
      <c r="K261" s="52" t="s">
        <v>34</v>
      </c>
      <c r="L261" s="49">
        <v>1506</v>
      </c>
      <c r="M261" s="49">
        <v>10</v>
      </c>
      <c r="N261" s="49">
        <v>0</v>
      </c>
      <c r="O261" s="53">
        <v>5.02</v>
      </c>
      <c r="P261" s="53">
        <v>0</v>
      </c>
      <c r="Q261" s="53">
        <v>0</v>
      </c>
      <c r="R261" s="54">
        <f t="shared" si="28"/>
        <v>0</v>
      </c>
      <c r="S261" s="55">
        <f t="shared" si="29"/>
        <v>0</v>
      </c>
      <c r="T261" s="55">
        <f t="shared" si="30"/>
        <v>0.00664010624169987</v>
      </c>
      <c r="U261" s="54">
        <f t="shared" si="31"/>
        <v>0.502</v>
      </c>
      <c r="V261" s="54" t="e">
        <f t="shared" si="32"/>
        <v>#DIV/0!</v>
      </c>
      <c r="W261" s="55" t="e">
        <f t="shared" si="33"/>
        <v>#DIV/0!</v>
      </c>
      <c r="X261" s="55" t="e">
        <f t="shared" si="27"/>
        <v>#DIV/0!</v>
      </c>
      <c r="Y261" s="55" t="s">
        <v>62</v>
      </c>
    </row>
    <row r="262" customFormat="1" ht="22.5" customHeight="1" spans="1:25">
      <c r="A262" s="49" t="s">
        <v>589</v>
      </c>
      <c r="B262" s="49" t="s">
        <v>562</v>
      </c>
      <c r="C262" s="49" t="s">
        <v>393</v>
      </c>
      <c r="D262" s="50">
        <v>188307744865</v>
      </c>
      <c r="E262" s="49" t="s">
        <v>483</v>
      </c>
      <c r="F262" s="51">
        <v>46137</v>
      </c>
      <c r="G262" s="52">
        <v>46135</v>
      </c>
      <c r="H262" s="52" t="s">
        <v>149</v>
      </c>
      <c r="I262" s="52" t="s">
        <v>496</v>
      </c>
      <c r="J262" s="52" t="s">
        <v>497</v>
      </c>
      <c r="K262" s="52" t="s">
        <v>34</v>
      </c>
      <c r="L262" s="49">
        <v>481</v>
      </c>
      <c r="M262" s="49">
        <v>7</v>
      </c>
      <c r="N262" s="49">
        <v>0</v>
      </c>
      <c r="O262" s="53">
        <v>5.63</v>
      </c>
      <c r="P262" s="53">
        <v>0</v>
      </c>
      <c r="Q262" s="53">
        <v>0</v>
      </c>
      <c r="R262" s="54">
        <f t="shared" si="28"/>
        <v>0</v>
      </c>
      <c r="S262" s="55">
        <f t="shared" si="29"/>
        <v>0</v>
      </c>
      <c r="T262" s="55">
        <f t="shared" si="30"/>
        <v>0.0145530145530146</v>
      </c>
      <c r="U262" s="54">
        <f t="shared" si="31"/>
        <v>0.804285714285714</v>
      </c>
      <c r="V262" s="54" t="e">
        <f t="shared" si="32"/>
        <v>#DIV/0!</v>
      </c>
      <c r="W262" s="55" t="e">
        <f t="shared" si="33"/>
        <v>#DIV/0!</v>
      </c>
      <c r="X262" s="55" t="e">
        <f t="shared" si="27"/>
        <v>#DIV/0!</v>
      </c>
      <c r="Y262" s="55" t="s">
        <v>62</v>
      </c>
    </row>
    <row r="263" customFormat="1" ht="22.5" customHeight="1" spans="1:25">
      <c r="A263" s="49" t="s">
        <v>589</v>
      </c>
      <c r="B263" s="49" t="s">
        <v>584</v>
      </c>
      <c r="C263" s="49" t="s">
        <v>412</v>
      </c>
      <c r="D263" s="50">
        <v>178090479710</v>
      </c>
      <c r="E263" s="49" t="s">
        <v>483</v>
      </c>
      <c r="F263" s="51">
        <v>46142</v>
      </c>
      <c r="G263" s="52">
        <v>46142</v>
      </c>
      <c r="H263" s="52" t="s">
        <v>149</v>
      </c>
      <c r="I263" s="52" t="s">
        <v>484</v>
      </c>
      <c r="J263" s="52" t="s">
        <v>497</v>
      </c>
      <c r="K263" s="52" t="s">
        <v>34</v>
      </c>
      <c r="L263" s="49">
        <v>252</v>
      </c>
      <c r="M263" s="49">
        <v>7</v>
      </c>
      <c r="N263" s="49">
        <v>0</v>
      </c>
      <c r="O263" s="53">
        <v>15.26</v>
      </c>
      <c r="P263" s="53">
        <v>0</v>
      </c>
      <c r="Q263" s="53">
        <v>0</v>
      </c>
      <c r="R263" s="54">
        <f t="shared" si="28"/>
        <v>0</v>
      </c>
      <c r="S263" s="55">
        <f t="shared" si="29"/>
        <v>0</v>
      </c>
      <c r="T263" s="55">
        <f t="shared" si="30"/>
        <v>0.0277777777777778</v>
      </c>
      <c r="U263" s="54">
        <f t="shared" si="31"/>
        <v>2.18</v>
      </c>
      <c r="V263" s="54" t="e">
        <f t="shared" si="32"/>
        <v>#DIV/0!</v>
      </c>
      <c r="W263" s="55" t="e">
        <f t="shared" si="33"/>
        <v>#DIV/0!</v>
      </c>
      <c r="X263" s="55" t="e">
        <f t="shared" si="27"/>
        <v>#DIV/0!</v>
      </c>
      <c r="Y263" s="55" t="s">
        <v>62</v>
      </c>
    </row>
    <row r="264" customFormat="1" ht="22.5" customHeight="1" spans="1:25">
      <c r="A264" s="49" t="s">
        <v>589</v>
      </c>
      <c r="B264" s="49" t="s">
        <v>498</v>
      </c>
      <c r="C264" s="49" t="s">
        <v>376</v>
      </c>
      <c r="D264" s="50">
        <v>177997411142</v>
      </c>
      <c r="E264" s="49" t="s">
        <v>483</v>
      </c>
      <c r="F264" s="51">
        <v>46109</v>
      </c>
      <c r="G264" s="52">
        <v>46108</v>
      </c>
      <c r="H264" s="52">
        <v>46116</v>
      </c>
      <c r="I264" s="52" t="s">
        <v>484</v>
      </c>
      <c r="J264" s="52" t="s">
        <v>489</v>
      </c>
      <c r="K264" s="52" t="s">
        <v>493</v>
      </c>
      <c r="L264" s="49">
        <v>556</v>
      </c>
      <c r="M264" s="49">
        <v>6</v>
      </c>
      <c r="N264" s="49">
        <v>0</v>
      </c>
      <c r="O264" s="53">
        <v>2.38</v>
      </c>
      <c r="P264" s="53">
        <v>0</v>
      </c>
      <c r="Q264" s="53">
        <v>256.5</v>
      </c>
      <c r="R264" s="54">
        <f t="shared" si="28"/>
        <v>0</v>
      </c>
      <c r="S264" s="55">
        <f t="shared" si="29"/>
        <v>0</v>
      </c>
      <c r="T264" s="55">
        <f t="shared" si="30"/>
        <v>0.0107913669064748</v>
      </c>
      <c r="U264" s="54">
        <f t="shared" si="31"/>
        <v>0.396666666666667</v>
      </c>
      <c r="V264" s="54" t="e">
        <f t="shared" si="32"/>
        <v>#DIV/0!</v>
      </c>
      <c r="W264" s="55" t="e">
        <f t="shared" si="33"/>
        <v>#DIV/0!</v>
      </c>
      <c r="X264" s="55">
        <f t="shared" si="27"/>
        <v>0.00927875243664717</v>
      </c>
      <c r="Y264" s="55" t="s">
        <v>62</v>
      </c>
    </row>
    <row r="265" customFormat="1" ht="22.5" customHeight="1" spans="1:25">
      <c r="A265" s="49" t="s">
        <v>589</v>
      </c>
      <c r="B265" s="49" t="s">
        <v>534</v>
      </c>
      <c r="C265" s="49" t="s">
        <v>368</v>
      </c>
      <c r="D265" s="50">
        <v>188197007336</v>
      </c>
      <c r="E265" s="49" t="s">
        <v>483</v>
      </c>
      <c r="F265" s="51">
        <v>46104</v>
      </c>
      <c r="G265" s="52">
        <v>46104</v>
      </c>
      <c r="H265" s="52">
        <v>46134</v>
      </c>
      <c r="I265" s="52" t="s">
        <v>484</v>
      </c>
      <c r="J265" s="52" t="s">
        <v>521</v>
      </c>
      <c r="K265" s="52" t="s">
        <v>34</v>
      </c>
      <c r="L265" s="49">
        <v>264</v>
      </c>
      <c r="M265" s="49">
        <v>6</v>
      </c>
      <c r="N265" s="49">
        <v>0</v>
      </c>
      <c r="O265" s="53">
        <v>3.18</v>
      </c>
      <c r="P265" s="53">
        <v>0</v>
      </c>
      <c r="Q265" s="53">
        <v>0</v>
      </c>
      <c r="R265" s="54">
        <f t="shared" si="28"/>
        <v>0</v>
      </c>
      <c r="S265" s="55">
        <f t="shared" si="29"/>
        <v>0</v>
      </c>
      <c r="T265" s="55">
        <f t="shared" si="30"/>
        <v>0.0227272727272727</v>
      </c>
      <c r="U265" s="54">
        <f t="shared" si="31"/>
        <v>0.53</v>
      </c>
      <c r="V265" s="54" t="e">
        <f t="shared" si="32"/>
        <v>#DIV/0!</v>
      </c>
      <c r="W265" s="55" t="e">
        <f t="shared" si="33"/>
        <v>#DIV/0!</v>
      </c>
      <c r="X265" s="55" t="e">
        <f t="shared" si="27"/>
        <v>#DIV/0!</v>
      </c>
      <c r="Y265" s="55" t="s">
        <v>62</v>
      </c>
    </row>
    <row r="266" customFormat="1" ht="22.5" customHeight="1" spans="1:25">
      <c r="A266" s="49" t="s">
        <v>589</v>
      </c>
      <c r="B266" s="49" t="s">
        <v>590</v>
      </c>
      <c r="C266" s="49" t="s">
        <v>419</v>
      </c>
      <c r="D266" s="50">
        <v>178118497497</v>
      </c>
      <c r="E266" s="49" t="s">
        <v>483</v>
      </c>
      <c r="F266" s="51">
        <v>46151</v>
      </c>
      <c r="G266" s="52">
        <v>46151</v>
      </c>
      <c r="H266" s="52" t="s">
        <v>149</v>
      </c>
      <c r="I266" s="52" t="s">
        <v>520</v>
      </c>
      <c r="J266" s="52" t="s">
        <v>518</v>
      </c>
      <c r="K266" s="52" t="s">
        <v>34</v>
      </c>
      <c r="L266" s="49">
        <v>190</v>
      </c>
      <c r="M266" s="49">
        <v>6</v>
      </c>
      <c r="N266" s="49">
        <v>0</v>
      </c>
      <c r="O266" s="53">
        <v>3.69</v>
      </c>
      <c r="P266" s="53">
        <v>0</v>
      </c>
      <c r="Q266" s="53">
        <v>0</v>
      </c>
      <c r="R266" s="54">
        <f t="shared" si="28"/>
        <v>0</v>
      </c>
      <c r="S266" s="55">
        <f t="shared" si="29"/>
        <v>0</v>
      </c>
      <c r="T266" s="55">
        <f t="shared" si="30"/>
        <v>0.0315789473684211</v>
      </c>
      <c r="U266" s="54">
        <f t="shared" si="31"/>
        <v>0.615</v>
      </c>
      <c r="V266" s="54" t="e">
        <f t="shared" si="32"/>
        <v>#DIV/0!</v>
      </c>
      <c r="W266" s="55" t="e">
        <f t="shared" si="33"/>
        <v>#DIV/0!</v>
      </c>
      <c r="X266" s="55" t="e">
        <f t="shared" si="27"/>
        <v>#DIV/0!</v>
      </c>
      <c r="Y266" s="55" t="s">
        <v>62</v>
      </c>
    </row>
    <row r="267" customFormat="1" ht="22.5" customHeight="1" spans="1:25">
      <c r="A267" s="49" t="s">
        <v>589</v>
      </c>
      <c r="B267" s="49" t="s">
        <v>574</v>
      </c>
      <c r="C267" s="49" t="s">
        <v>407</v>
      </c>
      <c r="D267" s="50">
        <v>178088538756</v>
      </c>
      <c r="E267" s="49" t="s">
        <v>483</v>
      </c>
      <c r="F267" s="51">
        <v>46142</v>
      </c>
      <c r="G267" s="52">
        <v>46141</v>
      </c>
      <c r="H267" s="52">
        <v>46153</v>
      </c>
      <c r="I267" s="52" t="s">
        <v>484</v>
      </c>
      <c r="J267" s="52" t="s">
        <v>497</v>
      </c>
      <c r="K267" s="52" t="s">
        <v>34</v>
      </c>
      <c r="L267" s="49">
        <v>71</v>
      </c>
      <c r="M267" s="49">
        <v>6</v>
      </c>
      <c r="N267" s="49">
        <v>0</v>
      </c>
      <c r="O267" s="53">
        <v>3.02</v>
      </c>
      <c r="P267" s="53">
        <v>0</v>
      </c>
      <c r="Q267" s="53">
        <v>0</v>
      </c>
      <c r="R267" s="54">
        <f t="shared" si="28"/>
        <v>0</v>
      </c>
      <c r="S267" s="55">
        <f t="shared" si="29"/>
        <v>0</v>
      </c>
      <c r="T267" s="55">
        <f t="shared" si="30"/>
        <v>0.0845070422535211</v>
      </c>
      <c r="U267" s="54">
        <f t="shared" si="31"/>
        <v>0.503333333333333</v>
      </c>
      <c r="V267" s="54" t="e">
        <f t="shared" si="32"/>
        <v>#DIV/0!</v>
      </c>
      <c r="W267" s="55" t="e">
        <f t="shared" si="33"/>
        <v>#DIV/0!</v>
      </c>
      <c r="X267" s="55" t="e">
        <f t="shared" si="27"/>
        <v>#DIV/0!</v>
      </c>
      <c r="Y267" s="55" t="s">
        <v>62</v>
      </c>
    </row>
    <row r="268" customFormat="1" ht="22.5" customHeight="1" spans="1:25">
      <c r="A268" s="49" t="s">
        <v>589</v>
      </c>
      <c r="B268" s="49" t="s">
        <v>519</v>
      </c>
      <c r="C268" s="49" t="s">
        <v>356</v>
      </c>
      <c r="D268" s="50">
        <v>177965595242</v>
      </c>
      <c r="E268" s="49" t="s">
        <v>483</v>
      </c>
      <c r="F268" s="51">
        <v>46100</v>
      </c>
      <c r="G268" s="52">
        <v>46097</v>
      </c>
      <c r="H268" s="52">
        <v>46100</v>
      </c>
      <c r="I268" s="52" t="s">
        <v>520</v>
      </c>
      <c r="J268" s="52" t="s">
        <v>521</v>
      </c>
      <c r="K268" s="52" t="s">
        <v>34</v>
      </c>
      <c r="L268" s="49">
        <v>685</v>
      </c>
      <c r="M268" s="49">
        <v>5</v>
      </c>
      <c r="N268" s="49">
        <v>0</v>
      </c>
      <c r="O268" s="53">
        <v>4.21</v>
      </c>
      <c r="P268" s="53">
        <v>0</v>
      </c>
      <c r="Q268" s="53">
        <v>89</v>
      </c>
      <c r="R268" s="54">
        <f t="shared" si="28"/>
        <v>0</v>
      </c>
      <c r="S268" s="55">
        <f t="shared" si="29"/>
        <v>0</v>
      </c>
      <c r="T268" s="55">
        <f t="shared" si="30"/>
        <v>0.0072992700729927</v>
      </c>
      <c r="U268" s="54">
        <f t="shared" si="31"/>
        <v>0.842</v>
      </c>
      <c r="V268" s="54" t="e">
        <f t="shared" si="32"/>
        <v>#DIV/0!</v>
      </c>
      <c r="W268" s="55" t="e">
        <f t="shared" si="33"/>
        <v>#DIV/0!</v>
      </c>
      <c r="X268" s="55">
        <f t="shared" si="27"/>
        <v>0.0473033707865169</v>
      </c>
      <c r="Y268" s="55" t="s">
        <v>49</v>
      </c>
    </row>
    <row r="269" customFormat="1" ht="22.5" customHeight="1" spans="1:25">
      <c r="A269" s="49" t="s">
        <v>589</v>
      </c>
      <c r="B269" s="49" t="s">
        <v>559</v>
      </c>
      <c r="C269" s="49" t="s">
        <v>389</v>
      </c>
      <c r="D269" s="50">
        <v>188306721459</v>
      </c>
      <c r="E269" s="49" t="s">
        <v>483</v>
      </c>
      <c r="F269" s="51">
        <v>46136</v>
      </c>
      <c r="G269" s="52">
        <v>46135</v>
      </c>
      <c r="H269" s="52">
        <v>46155</v>
      </c>
      <c r="I269" s="52" t="s">
        <v>520</v>
      </c>
      <c r="J269" s="52" t="s">
        <v>521</v>
      </c>
      <c r="K269" s="52" t="s">
        <v>34</v>
      </c>
      <c r="L269" s="49">
        <v>542</v>
      </c>
      <c r="M269" s="49">
        <v>5</v>
      </c>
      <c r="N269" s="49">
        <v>0</v>
      </c>
      <c r="O269" s="53">
        <v>3.35</v>
      </c>
      <c r="P269" s="53">
        <v>0</v>
      </c>
      <c r="Q269" s="53">
        <v>0</v>
      </c>
      <c r="R269" s="54">
        <f t="shared" si="28"/>
        <v>0</v>
      </c>
      <c r="S269" s="55">
        <f t="shared" si="29"/>
        <v>0</v>
      </c>
      <c r="T269" s="55">
        <f t="shared" si="30"/>
        <v>0.00922509225092251</v>
      </c>
      <c r="U269" s="54">
        <f t="shared" si="31"/>
        <v>0.67</v>
      </c>
      <c r="V269" s="54" t="e">
        <f t="shared" si="32"/>
        <v>#DIV/0!</v>
      </c>
      <c r="W269" s="55" t="e">
        <f t="shared" si="33"/>
        <v>#DIV/0!</v>
      </c>
      <c r="X269" s="55" t="e">
        <f t="shared" si="27"/>
        <v>#DIV/0!</v>
      </c>
      <c r="Y269" s="55" t="s">
        <v>62</v>
      </c>
    </row>
    <row r="270" customFormat="1" ht="22.5" customHeight="1" spans="1:25">
      <c r="A270" s="49" t="s">
        <v>589</v>
      </c>
      <c r="B270" s="49" t="s">
        <v>573</v>
      </c>
      <c r="C270" s="49" t="s">
        <v>382</v>
      </c>
      <c r="D270" s="50">
        <v>177997447464</v>
      </c>
      <c r="E270" s="49" t="s">
        <v>483</v>
      </c>
      <c r="F270" s="51">
        <v>46142</v>
      </c>
      <c r="G270" s="52">
        <v>46108</v>
      </c>
      <c r="H270" s="52">
        <v>46111</v>
      </c>
      <c r="I270" s="52" t="s">
        <v>496</v>
      </c>
      <c r="J270" s="52" t="s">
        <v>497</v>
      </c>
      <c r="K270" s="52" t="s">
        <v>34</v>
      </c>
      <c r="L270" s="49">
        <v>47</v>
      </c>
      <c r="M270" s="49">
        <v>5</v>
      </c>
      <c r="N270" s="49">
        <v>0</v>
      </c>
      <c r="O270" s="53">
        <v>1.98</v>
      </c>
      <c r="P270" s="53">
        <v>0</v>
      </c>
      <c r="Q270" s="53">
        <v>110</v>
      </c>
      <c r="R270" s="54">
        <f t="shared" si="28"/>
        <v>0</v>
      </c>
      <c r="S270" s="55">
        <f t="shared" si="29"/>
        <v>0</v>
      </c>
      <c r="T270" s="55">
        <f t="shared" si="30"/>
        <v>0.106382978723404</v>
      </c>
      <c r="U270" s="54">
        <f t="shared" si="31"/>
        <v>0.396</v>
      </c>
      <c r="V270" s="54" t="e">
        <f t="shared" si="32"/>
        <v>#DIV/0!</v>
      </c>
      <c r="W270" s="55" t="e">
        <f t="shared" si="33"/>
        <v>#DIV/0!</v>
      </c>
      <c r="X270" s="55">
        <f t="shared" si="27"/>
        <v>0.018</v>
      </c>
      <c r="Y270" s="55" t="s">
        <v>62</v>
      </c>
    </row>
    <row r="271" customFormat="1" ht="22.5" customHeight="1" spans="1:25">
      <c r="A271" s="49" t="s">
        <v>589</v>
      </c>
      <c r="B271" s="49" t="s">
        <v>591</v>
      </c>
      <c r="C271" s="49" t="s">
        <v>426</v>
      </c>
      <c r="D271" s="50">
        <v>178118198199</v>
      </c>
      <c r="E271" s="49" t="s">
        <v>483</v>
      </c>
      <c r="F271" s="51">
        <v>46151</v>
      </c>
      <c r="G271" s="52">
        <v>46151</v>
      </c>
      <c r="H271" s="52" t="s">
        <v>149</v>
      </c>
      <c r="I271" s="52" t="s">
        <v>484</v>
      </c>
      <c r="J271" s="52" t="s">
        <v>497</v>
      </c>
      <c r="K271" s="52" t="s">
        <v>34</v>
      </c>
      <c r="L271" s="49">
        <v>352</v>
      </c>
      <c r="M271" s="49">
        <v>3</v>
      </c>
      <c r="N271" s="49">
        <v>0</v>
      </c>
      <c r="O271" s="53">
        <v>1.29</v>
      </c>
      <c r="P271" s="53">
        <v>0</v>
      </c>
      <c r="Q271" s="53">
        <v>0</v>
      </c>
      <c r="R271" s="54">
        <f t="shared" si="28"/>
        <v>0</v>
      </c>
      <c r="S271" s="55">
        <f t="shared" si="29"/>
        <v>0</v>
      </c>
      <c r="T271" s="55">
        <f t="shared" si="30"/>
        <v>0.00852272727272727</v>
      </c>
      <c r="U271" s="54">
        <f t="shared" si="31"/>
        <v>0.43</v>
      </c>
      <c r="V271" s="54" t="e">
        <f t="shared" si="32"/>
        <v>#DIV/0!</v>
      </c>
      <c r="W271" s="55" t="e">
        <f t="shared" si="33"/>
        <v>#DIV/0!</v>
      </c>
      <c r="X271" s="55" t="e">
        <f t="shared" si="27"/>
        <v>#DIV/0!</v>
      </c>
      <c r="Y271" s="55" t="s">
        <v>62</v>
      </c>
    </row>
    <row r="272" customFormat="1" ht="22.5" customHeight="1" spans="1:25">
      <c r="A272" s="49" t="s">
        <v>589</v>
      </c>
      <c r="B272" s="49" t="s">
        <v>555</v>
      </c>
      <c r="C272" s="49" t="s">
        <v>384</v>
      </c>
      <c r="D272" s="50">
        <v>117115653271</v>
      </c>
      <c r="E272" s="49" t="s">
        <v>502</v>
      </c>
      <c r="F272" s="51">
        <v>46135</v>
      </c>
      <c r="G272" s="52">
        <v>46108</v>
      </c>
      <c r="H272" s="52">
        <v>46141</v>
      </c>
      <c r="I272" s="52" t="s">
        <v>26</v>
      </c>
      <c r="J272" s="52" t="s">
        <v>30</v>
      </c>
      <c r="K272" s="52" t="s">
        <v>493</v>
      </c>
      <c r="L272" s="49">
        <v>291</v>
      </c>
      <c r="M272" s="49">
        <v>3</v>
      </c>
      <c r="N272" s="49">
        <v>0</v>
      </c>
      <c r="O272" s="53">
        <v>1.22</v>
      </c>
      <c r="P272" s="53">
        <v>0</v>
      </c>
      <c r="Q272" s="53">
        <v>0</v>
      </c>
      <c r="R272" s="54">
        <f t="shared" si="28"/>
        <v>0</v>
      </c>
      <c r="S272" s="55">
        <f t="shared" si="29"/>
        <v>0</v>
      </c>
      <c r="T272" s="55">
        <f t="shared" si="30"/>
        <v>0.0103092783505155</v>
      </c>
      <c r="U272" s="54">
        <f t="shared" si="31"/>
        <v>0.406666666666667</v>
      </c>
      <c r="V272" s="54" t="e">
        <f t="shared" si="32"/>
        <v>#DIV/0!</v>
      </c>
      <c r="W272" s="55" t="e">
        <f t="shared" si="33"/>
        <v>#DIV/0!</v>
      </c>
      <c r="X272" s="55" t="e">
        <f t="shared" si="27"/>
        <v>#DIV/0!</v>
      </c>
      <c r="Y272" s="55" t="s">
        <v>62</v>
      </c>
    </row>
    <row r="273" customFormat="1" ht="22.5" customHeight="1" spans="1:25">
      <c r="A273" s="49" t="s">
        <v>589</v>
      </c>
      <c r="B273" s="49" t="s">
        <v>576</v>
      </c>
      <c r="C273" s="49" t="s">
        <v>381</v>
      </c>
      <c r="D273" s="50">
        <v>177997435750</v>
      </c>
      <c r="E273" s="49" t="s">
        <v>483</v>
      </c>
      <c r="F273" s="51">
        <v>46142</v>
      </c>
      <c r="G273" s="52">
        <v>46108</v>
      </c>
      <c r="H273" s="52">
        <v>46111</v>
      </c>
      <c r="I273" s="52" t="s">
        <v>496</v>
      </c>
      <c r="J273" s="52" t="s">
        <v>497</v>
      </c>
      <c r="K273" s="52" t="s">
        <v>34</v>
      </c>
      <c r="L273" s="49">
        <v>217</v>
      </c>
      <c r="M273" s="49">
        <v>3</v>
      </c>
      <c r="N273" s="49">
        <v>0</v>
      </c>
      <c r="O273" s="53">
        <v>1.35</v>
      </c>
      <c r="P273" s="53">
        <v>0</v>
      </c>
      <c r="Q273" s="53">
        <v>128.7</v>
      </c>
      <c r="R273" s="54">
        <f t="shared" si="28"/>
        <v>0</v>
      </c>
      <c r="S273" s="55">
        <f t="shared" si="29"/>
        <v>0</v>
      </c>
      <c r="T273" s="55">
        <f t="shared" si="30"/>
        <v>0.0138248847926267</v>
      </c>
      <c r="U273" s="54">
        <f t="shared" si="31"/>
        <v>0.45</v>
      </c>
      <c r="V273" s="54" t="e">
        <f t="shared" si="32"/>
        <v>#DIV/0!</v>
      </c>
      <c r="W273" s="55" t="e">
        <f t="shared" si="33"/>
        <v>#DIV/0!</v>
      </c>
      <c r="X273" s="55">
        <f t="shared" si="27"/>
        <v>0.0104895104895105</v>
      </c>
      <c r="Y273" s="55" t="s">
        <v>49</v>
      </c>
    </row>
    <row r="274" customFormat="1" ht="22.5" customHeight="1" spans="1:25">
      <c r="A274" s="49" t="s">
        <v>589</v>
      </c>
      <c r="B274" s="49" t="s">
        <v>585</v>
      </c>
      <c r="C274" s="49" t="s">
        <v>417</v>
      </c>
      <c r="D274" s="50">
        <v>178090479690</v>
      </c>
      <c r="E274" s="49" t="s">
        <v>483</v>
      </c>
      <c r="F274" s="51">
        <v>46143</v>
      </c>
      <c r="G274" s="52">
        <v>46142</v>
      </c>
      <c r="H274" s="52" t="s">
        <v>149</v>
      </c>
      <c r="I274" s="52" t="s">
        <v>505</v>
      </c>
      <c r="J274" s="52" t="s">
        <v>518</v>
      </c>
      <c r="K274" s="52" t="s">
        <v>34</v>
      </c>
      <c r="L274" s="49">
        <v>205</v>
      </c>
      <c r="M274" s="49">
        <v>3</v>
      </c>
      <c r="N274" s="49">
        <v>0</v>
      </c>
      <c r="O274" s="53">
        <v>1.18</v>
      </c>
      <c r="P274" s="53">
        <v>0</v>
      </c>
      <c r="Q274" s="53">
        <v>0</v>
      </c>
      <c r="R274" s="54">
        <f t="shared" si="28"/>
        <v>0</v>
      </c>
      <c r="S274" s="55">
        <f t="shared" si="29"/>
        <v>0</v>
      </c>
      <c r="T274" s="55">
        <f t="shared" si="30"/>
        <v>0.0146341463414634</v>
      </c>
      <c r="U274" s="54">
        <f t="shared" si="31"/>
        <v>0.393333333333333</v>
      </c>
      <c r="V274" s="54" t="e">
        <f t="shared" si="32"/>
        <v>#DIV/0!</v>
      </c>
      <c r="W274" s="55" t="e">
        <f t="shared" si="33"/>
        <v>#DIV/0!</v>
      </c>
      <c r="X274" s="55" t="e">
        <f t="shared" si="27"/>
        <v>#DIV/0!</v>
      </c>
      <c r="Y274" s="55" t="s">
        <v>62</v>
      </c>
    </row>
    <row r="275" customFormat="1" ht="22.5" customHeight="1" spans="1:25">
      <c r="A275" s="49" t="s">
        <v>589</v>
      </c>
      <c r="B275" s="49" t="s">
        <v>571</v>
      </c>
      <c r="C275" s="49" t="s">
        <v>406</v>
      </c>
      <c r="D275" s="50">
        <v>188328132045</v>
      </c>
      <c r="E275" s="49" t="s">
        <v>483</v>
      </c>
      <c r="F275" s="51">
        <v>46142</v>
      </c>
      <c r="G275" s="52">
        <v>46141</v>
      </c>
      <c r="H275" s="52" t="s">
        <v>149</v>
      </c>
      <c r="I275" s="52" t="s">
        <v>484</v>
      </c>
      <c r="J275" s="52" t="s">
        <v>497</v>
      </c>
      <c r="K275" s="52" t="s">
        <v>34</v>
      </c>
      <c r="L275" s="49">
        <v>119</v>
      </c>
      <c r="M275" s="49">
        <v>3</v>
      </c>
      <c r="N275" s="49">
        <v>0</v>
      </c>
      <c r="O275" s="53">
        <v>3.43</v>
      </c>
      <c r="P275" s="53">
        <v>0</v>
      </c>
      <c r="Q275" s="53">
        <v>0</v>
      </c>
      <c r="R275" s="54">
        <f t="shared" si="28"/>
        <v>0</v>
      </c>
      <c r="S275" s="55">
        <f t="shared" si="29"/>
        <v>0</v>
      </c>
      <c r="T275" s="55">
        <f t="shared" si="30"/>
        <v>0.0252100840336134</v>
      </c>
      <c r="U275" s="54">
        <f t="shared" si="31"/>
        <v>1.14333333333333</v>
      </c>
      <c r="V275" s="54" t="e">
        <f t="shared" si="32"/>
        <v>#DIV/0!</v>
      </c>
      <c r="W275" s="55" t="e">
        <f t="shared" si="33"/>
        <v>#DIV/0!</v>
      </c>
      <c r="X275" s="55" t="e">
        <f t="shared" si="27"/>
        <v>#DIV/0!</v>
      </c>
      <c r="Y275" s="55" t="s">
        <v>62</v>
      </c>
    </row>
    <row r="276" customFormat="1" ht="22.5" customHeight="1" spans="1:25">
      <c r="A276" s="49" t="s">
        <v>589</v>
      </c>
      <c r="B276" s="49" t="s">
        <v>541</v>
      </c>
      <c r="C276" s="49" t="s">
        <v>351</v>
      </c>
      <c r="D276" s="50">
        <v>188167162085</v>
      </c>
      <c r="E276" s="49" t="s">
        <v>483</v>
      </c>
      <c r="F276" s="51">
        <v>46098</v>
      </c>
      <c r="G276" s="52">
        <v>46097</v>
      </c>
      <c r="H276" s="52">
        <v>46103</v>
      </c>
      <c r="I276" s="52" t="s">
        <v>496</v>
      </c>
      <c r="J276" s="52" t="s">
        <v>30</v>
      </c>
      <c r="K276" s="52" t="s">
        <v>34</v>
      </c>
      <c r="L276" s="49">
        <v>30</v>
      </c>
      <c r="M276" s="49">
        <v>3</v>
      </c>
      <c r="N276" s="49">
        <v>0</v>
      </c>
      <c r="O276" s="53">
        <v>1.13</v>
      </c>
      <c r="P276" s="53">
        <v>0</v>
      </c>
      <c r="Q276" s="53">
        <v>0</v>
      </c>
      <c r="R276" s="54">
        <f t="shared" si="28"/>
        <v>0</v>
      </c>
      <c r="S276" s="55">
        <f t="shared" si="29"/>
        <v>0</v>
      </c>
      <c r="T276" s="55">
        <f t="shared" si="30"/>
        <v>0.1</v>
      </c>
      <c r="U276" s="54">
        <f t="shared" si="31"/>
        <v>0.376666666666667</v>
      </c>
      <c r="V276" s="54" t="e">
        <f t="shared" si="32"/>
        <v>#DIV/0!</v>
      </c>
      <c r="W276" s="55" t="e">
        <f t="shared" si="33"/>
        <v>#DIV/0!</v>
      </c>
      <c r="X276" s="55" t="e">
        <f t="shared" si="27"/>
        <v>#DIV/0!</v>
      </c>
      <c r="Y276" s="55" t="s">
        <v>62</v>
      </c>
    </row>
    <row r="277" customFormat="1" ht="22.5" customHeight="1" spans="1:25">
      <c r="A277" s="49" t="s">
        <v>589</v>
      </c>
      <c r="B277" s="49" t="s">
        <v>560</v>
      </c>
      <c r="C277" s="49" t="s">
        <v>391</v>
      </c>
      <c r="D277" s="50">
        <v>178072239367</v>
      </c>
      <c r="E277" s="49" t="s">
        <v>483</v>
      </c>
      <c r="F277" s="51">
        <v>46137</v>
      </c>
      <c r="G277" s="52">
        <v>46135</v>
      </c>
      <c r="H277" s="52" t="s">
        <v>149</v>
      </c>
      <c r="I277" s="52" t="s">
        <v>496</v>
      </c>
      <c r="J277" s="52" t="s">
        <v>497</v>
      </c>
      <c r="K277" s="52" t="s">
        <v>34</v>
      </c>
      <c r="L277" s="49">
        <v>648</v>
      </c>
      <c r="M277" s="49">
        <v>2</v>
      </c>
      <c r="N277" s="49">
        <v>0</v>
      </c>
      <c r="O277" s="53">
        <v>1.11</v>
      </c>
      <c r="P277" s="53">
        <v>0</v>
      </c>
      <c r="Q277" s="53">
        <v>0</v>
      </c>
      <c r="R277" s="54">
        <f t="shared" si="28"/>
        <v>0</v>
      </c>
      <c r="S277" s="55">
        <f t="shared" si="29"/>
        <v>0</v>
      </c>
      <c r="T277" s="55">
        <f t="shared" si="30"/>
        <v>0.00308641975308642</v>
      </c>
      <c r="U277" s="54">
        <f t="shared" si="31"/>
        <v>0.555</v>
      </c>
      <c r="V277" s="54" t="e">
        <f t="shared" si="32"/>
        <v>#DIV/0!</v>
      </c>
      <c r="W277" s="55" t="e">
        <f t="shared" si="33"/>
        <v>#DIV/0!</v>
      </c>
      <c r="X277" s="55" t="e">
        <f t="shared" si="27"/>
        <v>#DIV/0!</v>
      </c>
      <c r="Y277" s="55" t="s">
        <v>62</v>
      </c>
    </row>
    <row r="278" customFormat="1" ht="22.5" customHeight="1" spans="1:25">
      <c r="A278" s="49" t="s">
        <v>589</v>
      </c>
      <c r="B278" s="49" t="s">
        <v>592</v>
      </c>
      <c r="C278" s="49" t="s">
        <v>312</v>
      </c>
      <c r="D278" s="50">
        <v>227241156524</v>
      </c>
      <c r="E278" s="49" t="s">
        <v>488</v>
      </c>
      <c r="F278" s="51">
        <v>46087</v>
      </c>
      <c r="G278" s="52">
        <v>46085</v>
      </c>
      <c r="H278" s="52">
        <v>46089</v>
      </c>
      <c r="I278" s="52" t="s">
        <v>496</v>
      </c>
      <c r="J278" s="52" t="s">
        <v>30</v>
      </c>
      <c r="K278" s="52" t="s">
        <v>34</v>
      </c>
      <c r="L278" s="49">
        <v>126</v>
      </c>
      <c r="M278" s="49">
        <v>2</v>
      </c>
      <c r="N278" s="49">
        <v>0</v>
      </c>
      <c r="O278" s="53">
        <v>0.92</v>
      </c>
      <c r="P278" s="53">
        <v>0</v>
      </c>
      <c r="Q278" s="53">
        <v>40</v>
      </c>
      <c r="R278" s="54">
        <f t="shared" si="28"/>
        <v>0</v>
      </c>
      <c r="S278" s="55">
        <f t="shared" si="29"/>
        <v>0</v>
      </c>
      <c r="T278" s="55">
        <f t="shared" si="30"/>
        <v>0.0158730158730159</v>
      </c>
      <c r="U278" s="54">
        <f t="shared" si="31"/>
        <v>0.46</v>
      </c>
      <c r="V278" s="54" t="e">
        <f t="shared" si="32"/>
        <v>#DIV/0!</v>
      </c>
      <c r="W278" s="55" t="e">
        <f t="shared" si="33"/>
        <v>#DIV/0!</v>
      </c>
      <c r="X278" s="55">
        <f t="shared" si="27"/>
        <v>0.023</v>
      </c>
      <c r="Y278" s="55" t="s">
        <v>49</v>
      </c>
    </row>
    <row r="279" customFormat="1" ht="22.5" customHeight="1" spans="1:25">
      <c r="A279" s="49" t="s">
        <v>589</v>
      </c>
      <c r="B279" s="49" t="s">
        <v>576</v>
      </c>
      <c r="C279" s="49" t="s">
        <v>414</v>
      </c>
      <c r="D279" s="50">
        <v>188330766999</v>
      </c>
      <c r="E279" s="49" t="s">
        <v>483</v>
      </c>
      <c r="F279" s="51">
        <v>46142</v>
      </c>
      <c r="G279" s="52">
        <v>46142</v>
      </c>
      <c r="H279" s="52" t="s">
        <v>149</v>
      </c>
      <c r="I279" s="52" t="s">
        <v>496</v>
      </c>
      <c r="J279" s="52" t="s">
        <v>497</v>
      </c>
      <c r="K279" s="52" t="s">
        <v>493</v>
      </c>
      <c r="L279" s="49">
        <v>27</v>
      </c>
      <c r="M279" s="49">
        <v>2</v>
      </c>
      <c r="N279" s="49">
        <v>0</v>
      </c>
      <c r="O279" s="53">
        <v>0.85</v>
      </c>
      <c r="P279" s="53">
        <v>0</v>
      </c>
      <c r="Q279" s="53">
        <v>0</v>
      </c>
      <c r="R279" s="54">
        <f t="shared" si="28"/>
        <v>0</v>
      </c>
      <c r="S279" s="55">
        <f t="shared" si="29"/>
        <v>0</v>
      </c>
      <c r="T279" s="55">
        <f t="shared" si="30"/>
        <v>0.0740740740740741</v>
      </c>
      <c r="U279" s="54">
        <f t="shared" si="31"/>
        <v>0.425</v>
      </c>
      <c r="V279" s="54" t="e">
        <f t="shared" si="32"/>
        <v>#DIV/0!</v>
      </c>
      <c r="W279" s="55" t="e">
        <f t="shared" si="33"/>
        <v>#DIV/0!</v>
      </c>
      <c r="X279" s="55" t="e">
        <f t="shared" si="27"/>
        <v>#DIV/0!</v>
      </c>
      <c r="Y279" s="55" t="s">
        <v>62</v>
      </c>
    </row>
    <row r="280" customFormat="1" ht="22.5" customHeight="1" spans="1:25">
      <c r="A280" s="49" t="s">
        <v>589</v>
      </c>
      <c r="B280" s="49" t="s">
        <v>587</v>
      </c>
      <c r="C280" s="49" t="s">
        <v>397</v>
      </c>
      <c r="D280" s="50">
        <v>117169587615</v>
      </c>
      <c r="E280" s="49" t="s">
        <v>502</v>
      </c>
      <c r="F280" s="51">
        <v>46148</v>
      </c>
      <c r="G280" s="52">
        <v>46140</v>
      </c>
      <c r="H280" s="52">
        <v>46142</v>
      </c>
      <c r="I280" s="52" t="s">
        <v>484</v>
      </c>
      <c r="J280" s="52" t="s">
        <v>485</v>
      </c>
      <c r="K280" s="52" t="s">
        <v>34</v>
      </c>
      <c r="L280" s="49">
        <v>251</v>
      </c>
      <c r="M280" s="49">
        <v>1</v>
      </c>
      <c r="N280" s="49">
        <v>0</v>
      </c>
      <c r="O280" s="53">
        <v>0.36</v>
      </c>
      <c r="P280" s="53">
        <v>0</v>
      </c>
      <c r="Q280" s="53">
        <v>267</v>
      </c>
      <c r="R280" s="54">
        <f t="shared" si="28"/>
        <v>0</v>
      </c>
      <c r="S280" s="55">
        <f t="shared" si="29"/>
        <v>0</v>
      </c>
      <c r="T280" s="55">
        <f t="shared" si="30"/>
        <v>0.00398406374501992</v>
      </c>
      <c r="U280" s="54">
        <f t="shared" si="31"/>
        <v>0.36</v>
      </c>
      <c r="V280" s="54" t="e">
        <f t="shared" si="32"/>
        <v>#DIV/0!</v>
      </c>
      <c r="W280" s="55" t="e">
        <f t="shared" si="33"/>
        <v>#DIV/0!</v>
      </c>
      <c r="X280" s="55">
        <f t="shared" si="27"/>
        <v>0.00134831460674157</v>
      </c>
      <c r="Y280" s="55" t="s">
        <v>62</v>
      </c>
    </row>
    <row r="281" customFormat="1" ht="22.5" customHeight="1" spans="1:25">
      <c r="A281" s="49" t="s">
        <v>589</v>
      </c>
      <c r="B281" s="49" t="s">
        <v>575</v>
      </c>
      <c r="C281" s="49" t="s">
        <v>396</v>
      </c>
      <c r="D281" s="50">
        <v>178087821129</v>
      </c>
      <c r="E281" s="49" t="s">
        <v>483</v>
      </c>
      <c r="F281" s="51">
        <v>46142</v>
      </c>
      <c r="G281" s="52">
        <v>46140</v>
      </c>
      <c r="H281" s="52" t="s">
        <v>149</v>
      </c>
      <c r="I281" s="52" t="s">
        <v>503</v>
      </c>
      <c r="J281" s="52" t="s">
        <v>521</v>
      </c>
      <c r="K281" s="52" t="s">
        <v>34</v>
      </c>
      <c r="L281" s="49">
        <v>56</v>
      </c>
      <c r="M281" s="49">
        <v>1</v>
      </c>
      <c r="N281" s="49">
        <v>0</v>
      </c>
      <c r="O281" s="53">
        <v>0.47</v>
      </c>
      <c r="P281" s="53">
        <v>0</v>
      </c>
      <c r="Q281" s="53">
        <v>0</v>
      </c>
      <c r="R281" s="54">
        <f t="shared" si="28"/>
        <v>0</v>
      </c>
      <c r="S281" s="55">
        <f t="shared" si="29"/>
        <v>0</v>
      </c>
      <c r="T281" s="55">
        <f t="shared" si="30"/>
        <v>0.0178571428571429</v>
      </c>
      <c r="U281" s="54">
        <f t="shared" si="31"/>
        <v>0.47</v>
      </c>
      <c r="V281" s="54" t="e">
        <f t="shared" si="32"/>
        <v>#DIV/0!</v>
      </c>
      <c r="W281" s="55" t="e">
        <f t="shared" si="33"/>
        <v>#DIV/0!</v>
      </c>
      <c r="X281" s="55" t="e">
        <f t="shared" si="27"/>
        <v>#DIV/0!</v>
      </c>
      <c r="Y281" s="55" t="s">
        <v>62</v>
      </c>
    </row>
    <row r="282" customFormat="1" ht="22.5" customHeight="1" spans="1:25">
      <c r="A282" s="49" t="s">
        <v>589</v>
      </c>
      <c r="B282" s="49" t="s">
        <v>576</v>
      </c>
      <c r="C282" s="49" t="s">
        <v>413</v>
      </c>
      <c r="D282" s="50">
        <v>178090483656</v>
      </c>
      <c r="E282" s="49" t="s">
        <v>483</v>
      </c>
      <c r="F282" s="51">
        <v>46142</v>
      </c>
      <c r="G282" s="52">
        <v>46142</v>
      </c>
      <c r="H282" s="52">
        <v>46147</v>
      </c>
      <c r="I282" s="52" t="s">
        <v>496</v>
      </c>
      <c r="J282" s="52" t="s">
        <v>497</v>
      </c>
      <c r="K282" s="52" t="s">
        <v>493</v>
      </c>
      <c r="L282" s="49">
        <v>28</v>
      </c>
      <c r="M282" s="49">
        <v>1</v>
      </c>
      <c r="N282" s="49">
        <v>0</v>
      </c>
      <c r="O282" s="53">
        <v>0.45</v>
      </c>
      <c r="P282" s="53">
        <v>0</v>
      </c>
      <c r="Q282" s="53">
        <v>65</v>
      </c>
      <c r="R282" s="54">
        <f t="shared" si="28"/>
        <v>0</v>
      </c>
      <c r="S282" s="55">
        <f t="shared" si="29"/>
        <v>0</v>
      </c>
      <c r="T282" s="55">
        <f t="shared" si="30"/>
        <v>0.0357142857142857</v>
      </c>
      <c r="U282" s="54">
        <f t="shared" si="31"/>
        <v>0.45</v>
      </c>
      <c r="V282" s="54" t="e">
        <f t="shared" si="32"/>
        <v>#DIV/0!</v>
      </c>
      <c r="W282" s="55" t="e">
        <f t="shared" si="33"/>
        <v>#DIV/0!</v>
      </c>
      <c r="X282" s="55">
        <f t="shared" si="27"/>
        <v>0.00692307692307692</v>
      </c>
      <c r="Y282" s="55" t="s">
        <v>62</v>
      </c>
    </row>
    <row r="283" customFormat="1" ht="22.5" customHeight="1" spans="1:25">
      <c r="A283" s="49" t="s">
        <v>589</v>
      </c>
      <c r="B283" s="49" t="s">
        <v>593</v>
      </c>
      <c r="C283" s="49" t="s">
        <v>423</v>
      </c>
      <c r="D283" s="50">
        <v>178118166060</v>
      </c>
      <c r="E283" s="49" t="s">
        <v>483</v>
      </c>
      <c r="F283" s="51">
        <v>46151</v>
      </c>
      <c r="G283" s="52">
        <v>46151</v>
      </c>
      <c r="H283" s="52" t="s">
        <v>149</v>
      </c>
      <c r="I283" s="52" t="s">
        <v>496</v>
      </c>
      <c r="J283" s="52" t="s">
        <v>497</v>
      </c>
      <c r="K283" s="52" t="s">
        <v>34</v>
      </c>
      <c r="L283" s="49">
        <v>8</v>
      </c>
      <c r="M283" s="49">
        <v>1</v>
      </c>
      <c r="N283" s="49">
        <v>0</v>
      </c>
      <c r="O283" s="53">
        <v>0.55</v>
      </c>
      <c r="P283" s="53">
        <v>0</v>
      </c>
      <c r="Q283" s="53">
        <v>0</v>
      </c>
      <c r="R283" s="54">
        <f t="shared" si="28"/>
        <v>0</v>
      </c>
      <c r="S283" s="55">
        <f t="shared" si="29"/>
        <v>0</v>
      </c>
      <c r="T283" s="55">
        <f t="shared" si="30"/>
        <v>0.125</v>
      </c>
      <c r="U283" s="54">
        <f t="shared" si="31"/>
        <v>0.55</v>
      </c>
      <c r="V283" s="54" t="e">
        <f t="shared" si="32"/>
        <v>#DIV/0!</v>
      </c>
      <c r="W283" s="55" t="e">
        <f t="shared" si="33"/>
        <v>#DIV/0!</v>
      </c>
      <c r="X283" s="55" t="e">
        <f t="shared" si="27"/>
        <v>#DIV/0!</v>
      </c>
      <c r="Y283" s="55" t="s">
        <v>62</v>
      </c>
    </row>
    <row r="284" customFormat="1" ht="22.5" customHeight="1" spans="1:25">
      <c r="A284" s="49" t="s">
        <v>589</v>
      </c>
      <c r="B284" s="49" t="s">
        <v>577</v>
      </c>
      <c r="C284" s="49" t="s">
        <v>398</v>
      </c>
      <c r="D284" s="50">
        <v>188328077040</v>
      </c>
      <c r="E284" s="49" t="s">
        <v>483</v>
      </c>
      <c r="F284" s="51">
        <v>46143</v>
      </c>
      <c r="G284" s="52">
        <v>46141</v>
      </c>
      <c r="H284" s="52">
        <v>46152</v>
      </c>
      <c r="I284" s="52" t="s">
        <v>505</v>
      </c>
      <c r="J284" s="52" t="s">
        <v>518</v>
      </c>
      <c r="K284" s="52" t="s">
        <v>34</v>
      </c>
      <c r="L284" s="49">
        <v>311</v>
      </c>
      <c r="M284" s="49">
        <v>0</v>
      </c>
      <c r="N284" s="49">
        <v>0</v>
      </c>
      <c r="O284" s="53">
        <v>0</v>
      </c>
      <c r="P284" s="53">
        <v>0</v>
      </c>
      <c r="Q284" s="53">
        <v>149</v>
      </c>
      <c r="R284" s="54" t="e">
        <f t="shared" si="28"/>
        <v>#DIV/0!</v>
      </c>
      <c r="S284" s="55" t="e">
        <f t="shared" si="29"/>
        <v>#DIV/0!</v>
      </c>
      <c r="T284" s="55">
        <f t="shared" si="30"/>
        <v>0</v>
      </c>
      <c r="U284" s="54" t="e">
        <f t="shared" si="31"/>
        <v>#DIV/0!</v>
      </c>
      <c r="V284" s="54" t="e">
        <f t="shared" si="32"/>
        <v>#DIV/0!</v>
      </c>
      <c r="W284" s="55" t="e">
        <f t="shared" si="33"/>
        <v>#DIV/0!</v>
      </c>
      <c r="X284" s="55">
        <f t="shared" si="27"/>
        <v>0</v>
      </c>
      <c r="Y284" s="55" t="s">
        <v>62</v>
      </c>
    </row>
    <row r="285" customFormat="1" ht="22.5" customHeight="1" spans="1:25">
      <c r="A285" s="49" t="s">
        <v>589</v>
      </c>
      <c r="B285" s="49" t="s">
        <v>538</v>
      </c>
      <c r="C285" s="49" t="s">
        <v>333</v>
      </c>
      <c r="D285" s="50">
        <v>188139762062</v>
      </c>
      <c r="E285" s="49" t="s">
        <v>483</v>
      </c>
      <c r="F285" s="51">
        <v>46092</v>
      </c>
      <c r="G285" s="52">
        <v>46091</v>
      </c>
      <c r="H285" s="52">
        <v>46101</v>
      </c>
      <c r="I285" s="52" t="s">
        <v>484</v>
      </c>
      <c r="J285" s="52" t="s">
        <v>489</v>
      </c>
      <c r="K285" s="52" t="s">
        <v>34</v>
      </c>
      <c r="L285" s="49">
        <v>150</v>
      </c>
      <c r="M285" s="49">
        <v>0</v>
      </c>
      <c r="N285" s="49">
        <v>0</v>
      </c>
      <c r="O285" s="53">
        <v>0</v>
      </c>
      <c r="P285" s="53">
        <v>0</v>
      </c>
      <c r="Q285" s="53">
        <v>0</v>
      </c>
      <c r="R285" s="54" t="e">
        <f t="shared" si="28"/>
        <v>#DIV/0!</v>
      </c>
      <c r="S285" s="55" t="e">
        <f t="shared" si="29"/>
        <v>#DIV/0!</v>
      </c>
      <c r="T285" s="55">
        <f t="shared" si="30"/>
        <v>0</v>
      </c>
      <c r="U285" s="54" t="e">
        <f t="shared" si="31"/>
        <v>#DIV/0!</v>
      </c>
      <c r="V285" s="54" t="e">
        <f t="shared" si="32"/>
        <v>#DIV/0!</v>
      </c>
      <c r="W285" s="55" t="e">
        <f t="shared" si="33"/>
        <v>#DIV/0!</v>
      </c>
      <c r="X285" s="55" t="e">
        <f t="shared" si="27"/>
        <v>#DIV/0!</v>
      </c>
      <c r="Y285" s="55" t="s">
        <v>62</v>
      </c>
    </row>
    <row r="286" customFormat="1" ht="22.5" customHeight="1" spans="1:25">
      <c r="A286" s="49" t="s">
        <v>589</v>
      </c>
      <c r="B286" s="49" t="s">
        <v>555</v>
      </c>
      <c r="C286" s="49" t="s">
        <v>383</v>
      </c>
      <c r="D286" s="50">
        <v>117115651168</v>
      </c>
      <c r="E286" s="49" t="s">
        <v>502</v>
      </c>
      <c r="F286" s="51">
        <v>46135</v>
      </c>
      <c r="G286" s="52">
        <v>46108</v>
      </c>
      <c r="H286" s="52" t="s">
        <v>149</v>
      </c>
      <c r="I286" s="52" t="s">
        <v>26</v>
      </c>
      <c r="J286" s="52" t="s">
        <v>30</v>
      </c>
      <c r="K286" s="52" t="s">
        <v>493</v>
      </c>
      <c r="L286" s="49">
        <v>145</v>
      </c>
      <c r="M286" s="49">
        <v>0</v>
      </c>
      <c r="N286" s="49">
        <v>0</v>
      </c>
      <c r="O286" s="53">
        <v>0</v>
      </c>
      <c r="P286" s="53">
        <v>0</v>
      </c>
      <c r="Q286" s="53">
        <v>0</v>
      </c>
      <c r="R286" s="54" t="e">
        <f t="shared" si="28"/>
        <v>#DIV/0!</v>
      </c>
      <c r="S286" s="55" t="e">
        <f t="shared" si="29"/>
        <v>#DIV/0!</v>
      </c>
      <c r="T286" s="55">
        <f t="shared" si="30"/>
        <v>0</v>
      </c>
      <c r="U286" s="54" t="e">
        <f t="shared" si="31"/>
        <v>#DIV/0!</v>
      </c>
      <c r="V286" s="54" t="e">
        <f t="shared" si="32"/>
        <v>#DIV/0!</v>
      </c>
      <c r="W286" s="55" t="e">
        <f t="shared" si="33"/>
        <v>#DIV/0!</v>
      </c>
      <c r="X286" s="55" t="e">
        <f t="shared" si="27"/>
        <v>#DIV/0!</v>
      </c>
      <c r="Y286" s="55" t="s">
        <v>62</v>
      </c>
    </row>
    <row r="287" customFormat="1" ht="22.5" customHeight="1" spans="1:25">
      <c r="A287" s="49" t="s">
        <v>589</v>
      </c>
      <c r="B287" s="49" t="s">
        <v>586</v>
      </c>
      <c r="C287" s="49" t="s">
        <v>397</v>
      </c>
      <c r="D287" s="50">
        <v>178087818624</v>
      </c>
      <c r="E287" s="49" t="s">
        <v>483</v>
      </c>
      <c r="F287" s="51">
        <v>46141</v>
      </c>
      <c r="G287" s="52">
        <v>46140</v>
      </c>
      <c r="H287" s="52">
        <v>46142</v>
      </c>
      <c r="I287" s="52" t="s">
        <v>484</v>
      </c>
      <c r="J287" s="52" t="s">
        <v>485</v>
      </c>
      <c r="K287" s="52" t="s">
        <v>34</v>
      </c>
      <c r="L287" s="49">
        <v>65</v>
      </c>
      <c r="M287" s="49">
        <v>0</v>
      </c>
      <c r="N287" s="49">
        <v>0</v>
      </c>
      <c r="O287" s="53">
        <v>0</v>
      </c>
      <c r="P287" s="53">
        <v>0</v>
      </c>
      <c r="Q287" s="53">
        <v>267</v>
      </c>
      <c r="R287" s="54" t="e">
        <f t="shared" si="28"/>
        <v>#DIV/0!</v>
      </c>
      <c r="S287" s="55" t="e">
        <f t="shared" si="29"/>
        <v>#DIV/0!</v>
      </c>
      <c r="T287" s="55">
        <f t="shared" si="30"/>
        <v>0</v>
      </c>
      <c r="U287" s="54" t="e">
        <f t="shared" si="31"/>
        <v>#DIV/0!</v>
      </c>
      <c r="V287" s="54" t="e">
        <f t="shared" si="32"/>
        <v>#DIV/0!</v>
      </c>
      <c r="W287" s="55" t="e">
        <f t="shared" si="33"/>
        <v>#DIV/0!</v>
      </c>
      <c r="X287" s="55">
        <f t="shared" si="27"/>
        <v>0</v>
      </c>
      <c r="Y287" s="55" t="s">
        <v>62</v>
      </c>
    </row>
    <row r="288" customFormat="1" ht="22.5" customHeight="1" spans="1:25">
      <c r="A288" s="49" t="s">
        <v>589</v>
      </c>
      <c r="B288" s="49" t="s">
        <v>594</v>
      </c>
      <c r="C288" s="49" t="s">
        <v>412</v>
      </c>
      <c r="D288" s="50">
        <v>117178509718</v>
      </c>
      <c r="E288" s="49" t="s">
        <v>502</v>
      </c>
      <c r="F288" s="51">
        <v>46153</v>
      </c>
      <c r="G288" s="52">
        <v>46142</v>
      </c>
      <c r="H288" s="52" t="s">
        <v>149</v>
      </c>
      <c r="I288" s="52" t="s">
        <v>484</v>
      </c>
      <c r="J288" s="52" t="s">
        <v>497</v>
      </c>
      <c r="K288" s="52" t="s">
        <v>34</v>
      </c>
      <c r="L288" s="49">
        <v>55</v>
      </c>
      <c r="M288" s="49">
        <v>0</v>
      </c>
      <c r="N288" s="49">
        <v>0</v>
      </c>
      <c r="O288" s="53">
        <v>0</v>
      </c>
      <c r="P288" s="53">
        <v>0</v>
      </c>
      <c r="Q288" s="53">
        <v>0</v>
      </c>
      <c r="R288" s="54" t="e">
        <f t="shared" si="28"/>
        <v>#DIV/0!</v>
      </c>
      <c r="S288" s="55" t="e">
        <f t="shared" si="29"/>
        <v>#DIV/0!</v>
      </c>
      <c r="T288" s="55">
        <f t="shared" si="30"/>
        <v>0</v>
      </c>
      <c r="U288" s="54" t="e">
        <f t="shared" si="31"/>
        <v>#DIV/0!</v>
      </c>
      <c r="V288" s="54" t="e">
        <f t="shared" si="32"/>
        <v>#DIV/0!</v>
      </c>
      <c r="W288" s="55" t="e">
        <f t="shared" si="33"/>
        <v>#DIV/0!</v>
      </c>
      <c r="X288" s="55" t="e">
        <f t="shared" si="27"/>
        <v>#DIV/0!</v>
      </c>
      <c r="Y288" s="55" t="s">
        <v>49</v>
      </c>
    </row>
    <row r="289" customFormat="1" ht="22.5" customHeight="1" spans="1:25">
      <c r="A289" s="49" t="s">
        <v>589</v>
      </c>
      <c r="B289" s="49" t="s">
        <v>587</v>
      </c>
      <c r="C289" s="49" t="s">
        <v>422</v>
      </c>
      <c r="D289" s="50">
        <v>117188996115</v>
      </c>
      <c r="E289" s="49" t="s">
        <v>502</v>
      </c>
      <c r="F289" s="51">
        <v>46148</v>
      </c>
      <c r="G289" s="52">
        <v>46151</v>
      </c>
      <c r="H289" s="52">
        <v>46153</v>
      </c>
      <c r="I289" s="52" t="s">
        <v>484</v>
      </c>
      <c r="J289" s="52" t="s">
        <v>485</v>
      </c>
      <c r="K289" s="52" t="s">
        <v>493</v>
      </c>
      <c r="L289" s="49">
        <v>22</v>
      </c>
      <c r="M289" s="49">
        <v>0</v>
      </c>
      <c r="N289" s="49">
        <v>0</v>
      </c>
      <c r="O289" s="53">
        <v>0</v>
      </c>
      <c r="P289" s="53">
        <v>0</v>
      </c>
      <c r="Q289" s="53">
        <v>0</v>
      </c>
      <c r="R289" s="54" t="e">
        <f t="shared" si="28"/>
        <v>#DIV/0!</v>
      </c>
      <c r="S289" s="55" t="e">
        <f t="shared" si="29"/>
        <v>#DIV/0!</v>
      </c>
      <c r="T289" s="55">
        <f t="shared" si="30"/>
        <v>0</v>
      </c>
      <c r="U289" s="54" t="e">
        <f t="shared" si="31"/>
        <v>#DIV/0!</v>
      </c>
      <c r="V289" s="54" t="e">
        <f t="shared" si="32"/>
        <v>#DIV/0!</v>
      </c>
      <c r="W289" s="55" t="e">
        <f t="shared" si="33"/>
        <v>#DIV/0!</v>
      </c>
      <c r="X289" s="55" t="e">
        <f t="shared" si="27"/>
        <v>#DIV/0!</v>
      </c>
      <c r="Y289" s="55" t="s">
        <v>62</v>
      </c>
    </row>
    <row r="290" customFormat="1" ht="22.5" customHeight="1" spans="1:25">
      <c r="A290" s="49" t="s">
        <v>589</v>
      </c>
      <c r="B290" s="49" t="s">
        <v>586</v>
      </c>
      <c r="C290" s="49" t="s">
        <v>422</v>
      </c>
      <c r="D290" s="50">
        <v>188364385175</v>
      </c>
      <c r="E290" s="49" t="s">
        <v>483</v>
      </c>
      <c r="F290" s="51">
        <v>46141</v>
      </c>
      <c r="G290" s="52">
        <v>46151</v>
      </c>
      <c r="H290" s="52">
        <v>46153</v>
      </c>
      <c r="I290" s="52" t="s">
        <v>484</v>
      </c>
      <c r="J290" s="52" t="s">
        <v>485</v>
      </c>
      <c r="K290" s="52" t="s">
        <v>493</v>
      </c>
      <c r="L290" s="49">
        <v>20</v>
      </c>
      <c r="M290" s="49">
        <v>0</v>
      </c>
      <c r="N290" s="49">
        <v>0</v>
      </c>
      <c r="O290" s="53">
        <v>0</v>
      </c>
      <c r="P290" s="53">
        <v>0</v>
      </c>
      <c r="Q290" s="53">
        <v>0</v>
      </c>
      <c r="R290" s="54" t="e">
        <f t="shared" si="28"/>
        <v>#DIV/0!</v>
      </c>
      <c r="S290" s="55" t="e">
        <f t="shared" si="29"/>
        <v>#DIV/0!</v>
      </c>
      <c r="T290" s="55">
        <f t="shared" si="30"/>
        <v>0</v>
      </c>
      <c r="U290" s="54" t="e">
        <f t="shared" si="31"/>
        <v>#DIV/0!</v>
      </c>
      <c r="V290" s="54" t="e">
        <f t="shared" si="32"/>
        <v>#DIV/0!</v>
      </c>
      <c r="W290" s="55" t="e">
        <f t="shared" si="33"/>
        <v>#DIV/0!</v>
      </c>
      <c r="X290" s="55" t="e">
        <f t="shared" si="27"/>
        <v>#DIV/0!</v>
      </c>
      <c r="Y290" s="55" t="s">
        <v>62</v>
      </c>
    </row>
    <row r="291" customFormat="1" ht="22.5" customHeight="1" spans="1:25">
      <c r="A291" s="49" t="s">
        <v>589</v>
      </c>
      <c r="B291" s="49" t="s">
        <v>595</v>
      </c>
      <c r="C291" s="49" t="s">
        <v>420</v>
      </c>
      <c r="D291" s="50">
        <v>188364376827</v>
      </c>
      <c r="E291" s="49" t="s">
        <v>483</v>
      </c>
      <c r="F291" s="51">
        <v>46151</v>
      </c>
      <c r="G291" s="52">
        <v>46151</v>
      </c>
      <c r="H291" s="52">
        <v>46153</v>
      </c>
      <c r="I291" s="52" t="s">
        <v>520</v>
      </c>
      <c r="J291" s="52" t="s">
        <v>485</v>
      </c>
      <c r="K291" s="52" t="s">
        <v>34</v>
      </c>
      <c r="L291" s="49">
        <v>14</v>
      </c>
      <c r="M291" s="49">
        <v>0</v>
      </c>
      <c r="N291" s="49">
        <v>0</v>
      </c>
      <c r="O291" s="53">
        <v>0</v>
      </c>
      <c r="P291" s="53">
        <v>0</v>
      </c>
      <c r="Q291" s="53">
        <v>0</v>
      </c>
      <c r="R291" s="54" t="e">
        <f t="shared" si="28"/>
        <v>#DIV/0!</v>
      </c>
      <c r="S291" s="55" t="e">
        <f t="shared" si="29"/>
        <v>#DIV/0!</v>
      </c>
      <c r="T291" s="55">
        <f t="shared" si="30"/>
        <v>0</v>
      </c>
      <c r="U291" s="54" t="e">
        <f t="shared" si="31"/>
        <v>#DIV/0!</v>
      </c>
      <c r="V291" s="54" t="e">
        <f t="shared" si="32"/>
        <v>#DIV/0!</v>
      </c>
      <c r="W291" s="55" t="e">
        <f t="shared" si="33"/>
        <v>#DIV/0!</v>
      </c>
      <c r="X291" s="55" t="e">
        <f t="shared" si="27"/>
        <v>#DIV/0!</v>
      </c>
      <c r="Y291" s="55" t="s">
        <v>62</v>
      </c>
    </row>
    <row r="292" customFormat="1" ht="22.5" customHeight="1" spans="1:25">
      <c r="A292" s="49" t="s">
        <v>589</v>
      </c>
      <c r="B292" s="49" t="s">
        <v>596</v>
      </c>
      <c r="C292" s="49" t="s">
        <v>421</v>
      </c>
      <c r="D292" s="50">
        <v>178118526210</v>
      </c>
      <c r="E292" s="49" t="s">
        <v>483</v>
      </c>
      <c r="F292" s="51">
        <v>46151</v>
      </c>
      <c r="G292" s="52">
        <v>46151</v>
      </c>
      <c r="H292" s="52" t="s">
        <v>149</v>
      </c>
      <c r="I292" s="52" t="s">
        <v>503</v>
      </c>
      <c r="J292" s="52" t="s">
        <v>497</v>
      </c>
      <c r="K292" s="52" t="s">
        <v>34</v>
      </c>
      <c r="L292" s="49">
        <v>11</v>
      </c>
      <c r="M292" s="49">
        <v>0</v>
      </c>
      <c r="N292" s="49">
        <v>0</v>
      </c>
      <c r="O292" s="53">
        <v>0</v>
      </c>
      <c r="P292" s="53">
        <v>0</v>
      </c>
      <c r="Q292" s="53">
        <v>0</v>
      </c>
      <c r="R292" s="54" t="e">
        <f t="shared" si="28"/>
        <v>#DIV/0!</v>
      </c>
      <c r="S292" s="55" t="e">
        <f t="shared" si="29"/>
        <v>#DIV/0!</v>
      </c>
      <c r="T292" s="55">
        <f t="shared" si="30"/>
        <v>0</v>
      </c>
      <c r="U292" s="54" t="e">
        <f t="shared" si="31"/>
        <v>#DIV/0!</v>
      </c>
      <c r="V292" s="54" t="e">
        <f t="shared" si="32"/>
        <v>#DIV/0!</v>
      </c>
      <c r="W292" s="55" t="e">
        <f t="shared" si="33"/>
        <v>#DIV/0!</v>
      </c>
      <c r="X292" s="55" t="e">
        <f t="shared" si="27"/>
        <v>#DIV/0!</v>
      </c>
      <c r="Y292" s="55" t="s">
        <v>62</v>
      </c>
    </row>
    <row r="293" customFormat="1" ht="22.5" customHeight="1" spans="1:25">
      <c r="A293" s="49" t="s">
        <v>589</v>
      </c>
      <c r="B293" s="49" t="s">
        <v>572</v>
      </c>
      <c r="C293" s="49" t="s">
        <v>401</v>
      </c>
      <c r="D293" s="50">
        <v>188328090540</v>
      </c>
      <c r="E293" s="49" t="s">
        <v>483</v>
      </c>
      <c r="F293" s="51">
        <v>46142</v>
      </c>
      <c r="G293" s="52">
        <v>46141</v>
      </c>
      <c r="H293" s="52">
        <v>46142</v>
      </c>
      <c r="I293" s="52" t="s">
        <v>520</v>
      </c>
      <c r="J293" s="52" t="s">
        <v>485</v>
      </c>
      <c r="K293" s="52" t="s">
        <v>34</v>
      </c>
      <c r="L293" s="49">
        <v>5</v>
      </c>
      <c r="M293" s="49">
        <v>0</v>
      </c>
      <c r="N293" s="49">
        <v>0</v>
      </c>
      <c r="O293" s="53">
        <v>0</v>
      </c>
      <c r="P293" s="53">
        <v>0</v>
      </c>
      <c r="Q293" s="53">
        <v>70</v>
      </c>
      <c r="R293" s="54" t="e">
        <f t="shared" si="28"/>
        <v>#DIV/0!</v>
      </c>
      <c r="S293" s="55" t="e">
        <f t="shared" si="29"/>
        <v>#DIV/0!</v>
      </c>
      <c r="T293" s="55">
        <f t="shared" si="30"/>
        <v>0</v>
      </c>
      <c r="U293" s="54" t="e">
        <f t="shared" si="31"/>
        <v>#DIV/0!</v>
      </c>
      <c r="V293" s="54" t="e">
        <f t="shared" si="32"/>
        <v>#DIV/0!</v>
      </c>
      <c r="W293" s="55" t="e">
        <f t="shared" si="33"/>
        <v>#DIV/0!</v>
      </c>
      <c r="X293" s="55">
        <f t="shared" si="27"/>
        <v>0</v>
      </c>
      <c r="Y293" s="55" t="s">
        <v>62</v>
      </c>
    </row>
    <row r="294" customFormat="1" ht="22.5" customHeight="1" spans="1:25">
      <c r="A294" s="49" t="s">
        <v>589</v>
      </c>
      <c r="B294" s="49" t="s">
        <v>597</v>
      </c>
      <c r="C294" s="49" t="s">
        <v>411</v>
      </c>
      <c r="D294" s="50">
        <v>117178501579</v>
      </c>
      <c r="E294" s="49" t="s">
        <v>502</v>
      </c>
      <c r="F294" s="51">
        <v>46153</v>
      </c>
      <c r="G294" s="52">
        <v>46142</v>
      </c>
      <c r="H294" s="52">
        <v>46144</v>
      </c>
      <c r="I294" s="52" t="s">
        <v>503</v>
      </c>
      <c r="J294" s="52" t="s">
        <v>489</v>
      </c>
      <c r="K294" s="52" t="s">
        <v>493</v>
      </c>
      <c r="L294" s="49">
        <v>1</v>
      </c>
      <c r="M294" s="49">
        <v>0</v>
      </c>
      <c r="N294" s="49">
        <v>0</v>
      </c>
      <c r="O294" s="53">
        <v>0</v>
      </c>
      <c r="P294" s="53">
        <v>0</v>
      </c>
      <c r="Q294" s="53">
        <v>152.89</v>
      </c>
      <c r="R294" s="54" t="e">
        <f t="shared" si="28"/>
        <v>#DIV/0!</v>
      </c>
      <c r="S294" s="55" t="e">
        <f t="shared" si="29"/>
        <v>#DIV/0!</v>
      </c>
      <c r="T294" s="55">
        <f t="shared" si="30"/>
        <v>0</v>
      </c>
      <c r="U294" s="54" t="e">
        <f t="shared" si="31"/>
        <v>#DIV/0!</v>
      </c>
      <c r="V294" s="54" t="e">
        <f t="shared" si="32"/>
        <v>#DIV/0!</v>
      </c>
      <c r="W294" s="55" t="e">
        <f t="shared" si="33"/>
        <v>#DIV/0!</v>
      </c>
      <c r="X294" s="55">
        <f t="shared" si="27"/>
        <v>0</v>
      </c>
      <c r="Y294" s="55" t="s">
        <v>62</v>
      </c>
    </row>
    <row r="295" customFormat="1" ht="22.5" customHeight="1" spans="1:25">
      <c r="A295" s="49" t="s">
        <v>589</v>
      </c>
      <c r="B295" s="49" t="s">
        <v>598</v>
      </c>
      <c r="C295" s="49" t="s">
        <v>340</v>
      </c>
      <c r="D295" s="50">
        <v>117083102708</v>
      </c>
      <c r="E295" s="49" t="s">
        <v>502</v>
      </c>
      <c r="F295" s="51">
        <v>46159</v>
      </c>
      <c r="G295" s="52">
        <v>46092</v>
      </c>
      <c r="H295" s="52">
        <v>46096</v>
      </c>
      <c r="I295" s="52" t="s">
        <v>505</v>
      </c>
      <c r="J295" s="52" t="s">
        <v>489</v>
      </c>
      <c r="K295" s="52" t="s">
        <v>493</v>
      </c>
      <c r="L295" s="49">
        <v>0</v>
      </c>
      <c r="M295" s="49">
        <v>0</v>
      </c>
      <c r="N295" s="49">
        <v>0</v>
      </c>
      <c r="O295" s="53">
        <v>0</v>
      </c>
      <c r="P295" s="53">
        <v>0</v>
      </c>
      <c r="Q295" s="53">
        <v>0</v>
      </c>
      <c r="R295" s="54" t="e">
        <f t="shared" si="28"/>
        <v>#DIV/0!</v>
      </c>
      <c r="S295" s="55" t="e">
        <f t="shared" si="29"/>
        <v>#DIV/0!</v>
      </c>
      <c r="T295" s="55" t="e">
        <f t="shared" si="30"/>
        <v>#DIV/0!</v>
      </c>
      <c r="U295" s="54" t="e">
        <f t="shared" si="31"/>
        <v>#DIV/0!</v>
      </c>
      <c r="V295" s="54" t="e">
        <f t="shared" si="32"/>
        <v>#DIV/0!</v>
      </c>
      <c r="W295" s="55" t="e">
        <f t="shared" si="33"/>
        <v>#DIV/0!</v>
      </c>
      <c r="X295" s="55" t="e">
        <f t="shared" si="27"/>
        <v>#DIV/0!</v>
      </c>
      <c r="Y295" s="55" t="s">
        <v>62</v>
      </c>
    </row>
    <row r="296" customFormat="1" ht="22.5" customHeight="1" spans="1:25">
      <c r="A296" s="49" t="s">
        <v>589</v>
      </c>
      <c r="B296" s="49" t="s">
        <v>598</v>
      </c>
      <c r="C296" s="49" t="s">
        <v>341</v>
      </c>
      <c r="D296" s="50">
        <v>117083115196</v>
      </c>
      <c r="E296" s="49" t="s">
        <v>502</v>
      </c>
      <c r="F296" s="51">
        <v>46159</v>
      </c>
      <c r="G296" s="52">
        <v>46092</v>
      </c>
      <c r="H296" s="52">
        <v>46112</v>
      </c>
      <c r="I296" s="52" t="s">
        <v>505</v>
      </c>
      <c r="J296" s="52" t="s">
        <v>489</v>
      </c>
      <c r="K296" s="52" t="s">
        <v>493</v>
      </c>
      <c r="L296" s="49">
        <v>0</v>
      </c>
      <c r="M296" s="49">
        <v>0</v>
      </c>
      <c r="N296" s="49">
        <v>0</v>
      </c>
      <c r="O296" s="53">
        <v>0</v>
      </c>
      <c r="P296" s="53">
        <v>0</v>
      </c>
      <c r="Q296" s="53">
        <v>0</v>
      </c>
      <c r="R296" s="54" t="e">
        <f t="shared" si="28"/>
        <v>#DIV/0!</v>
      </c>
      <c r="S296" s="55" t="e">
        <f t="shared" si="29"/>
        <v>#DIV/0!</v>
      </c>
      <c r="T296" s="55" t="e">
        <f t="shared" si="30"/>
        <v>#DIV/0!</v>
      </c>
      <c r="U296" s="54" t="e">
        <f t="shared" si="31"/>
        <v>#DIV/0!</v>
      </c>
      <c r="V296" s="54" t="e">
        <f t="shared" si="32"/>
        <v>#DIV/0!</v>
      </c>
      <c r="W296" s="55" t="e">
        <f t="shared" si="33"/>
        <v>#DIV/0!</v>
      </c>
      <c r="X296" s="55" t="e">
        <f t="shared" si="27"/>
        <v>#DIV/0!</v>
      </c>
      <c r="Y296" s="55" t="s">
        <v>49</v>
      </c>
    </row>
    <row r="297" customFormat="1" ht="22.5" customHeight="1" spans="1:25">
      <c r="A297" s="49" t="s">
        <v>589</v>
      </c>
      <c r="B297" s="49" t="s">
        <v>599</v>
      </c>
      <c r="C297" s="49" t="s">
        <v>339</v>
      </c>
      <c r="D297" s="50">
        <v>188144177490</v>
      </c>
      <c r="E297" s="49" t="s">
        <v>483</v>
      </c>
      <c r="F297" s="51">
        <v>46104</v>
      </c>
      <c r="G297" s="52">
        <v>46092</v>
      </c>
      <c r="H297" s="52">
        <v>46104</v>
      </c>
      <c r="I297" s="52" t="s">
        <v>484</v>
      </c>
      <c r="J297" s="52" t="s">
        <v>489</v>
      </c>
      <c r="K297" s="52" t="s">
        <v>34</v>
      </c>
      <c r="L297" s="49">
        <v>0</v>
      </c>
      <c r="M297" s="49">
        <v>0</v>
      </c>
      <c r="N297" s="49">
        <v>0</v>
      </c>
      <c r="O297" s="53">
        <v>0</v>
      </c>
      <c r="P297" s="53">
        <v>0</v>
      </c>
      <c r="Q297" s="53">
        <v>92.02</v>
      </c>
      <c r="R297" s="54" t="e">
        <f t="shared" si="28"/>
        <v>#DIV/0!</v>
      </c>
      <c r="S297" s="55" t="e">
        <f t="shared" si="29"/>
        <v>#DIV/0!</v>
      </c>
      <c r="T297" s="55" t="e">
        <f t="shared" si="30"/>
        <v>#DIV/0!</v>
      </c>
      <c r="U297" s="54" t="e">
        <f t="shared" si="31"/>
        <v>#DIV/0!</v>
      </c>
      <c r="V297" s="54" t="e">
        <f t="shared" si="32"/>
        <v>#DIV/0!</v>
      </c>
      <c r="W297" s="55" t="e">
        <f t="shared" si="33"/>
        <v>#DIV/0!</v>
      </c>
      <c r="X297" s="55">
        <f t="shared" si="27"/>
        <v>0</v>
      </c>
      <c r="Y297" s="55" t="s">
        <v>49</v>
      </c>
    </row>
    <row r="298" customFormat="1" ht="22.5" customHeight="1" spans="1:25">
      <c r="A298" s="49" t="s">
        <v>589</v>
      </c>
      <c r="B298" s="49" t="s">
        <v>579</v>
      </c>
      <c r="C298" s="49" t="s">
        <v>431</v>
      </c>
      <c r="D298" s="50">
        <v>188370908284</v>
      </c>
      <c r="E298" s="49" t="s">
        <v>483</v>
      </c>
      <c r="F298" s="51">
        <v>46143</v>
      </c>
      <c r="G298" s="52">
        <v>46153</v>
      </c>
      <c r="H298" s="52" t="s">
        <v>149</v>
      </c>
      <c r="I298" s="52" t="s">
        <v>505</v>
      </c>
      <c r="J298" s="52" t="s">
        <v>518</v>
      </c>
      <c r="K298" s="52" t="s">
        <v>493</v>
      </c>
      <c r="L298" s="49">
        <v>0</v>
      </c>
      <c r="M298" s="49">
        <v>0</v>
      </c>
      <c r="N298" s="49">
        <v>0</v>
      </c>
      <c r="O298" s="53">
        <v>0</v>
      </c>
      <c r="P298" s="53">
        <v>0</v>
      </c>
      <c r="Q298" s="53">
        <v>0</v>
      </c>
      <c r="R298" s="54" t="e">
        <f t="shared" si="28"/>
        <v>#DIV/0!</v>
      </c>
      <c r="S298" s="55" t="e">
        <f t="shared" si="29"/>
        <v>#DIV/0!</v>
      </c>
      <c r="T298" s="55" t="e">
        <f t="shared" si="30"/>
        <v>#DIV/0!</v>
      </c>
      <c r="U298" s="54" t="e">
        <f t="shared" si="31"/>
        <v>#DIV/0!</v>
      </c>
      <c r="V298" s="54" t="e">
        <f t="shared" si="32"/>
        <v>#DIV/0!</v>
      </c>
      <c r="W298" s="55" t="e">
        <f t="shared" si="33"/>
        <v>#DIV/0!</v>
      </c>
      <c r="X298" s="55" t="e">
        <f t="shared" si="27"/>
        <v>#DIV/0!</v>
      </c>
      <c r="Y298" s="55" t="s">
        <v>62</v>
      </c>
    </row>
    <row r="299" customFormat="1" ht="22.5" customHeight="1" spans="1:25">
      <c r="A299" s="49" t="s">
        <v>589</v>
      </c>
      <c r="B299" s="49" t="s">
        <v>588</v>
      </c>
      <c r="C299" s="49" t="s">
        <v>418</v>
      </c>
      <c r="D299" s="50">
        <v>188330773414</v>
      </c>
      <c r="E299" s="49" t="s">
        <v>483</v>
      </c>
      <c r="F299" s="51">
        <v>46147</v>
      </c>
      <c r="G299" s="52">
        <v>46142</v>
      </c>
      <c r="H299" s="52">
        <v>46153</v>
      </c>
      <c r="I299" s="52" t="s">
        <v>520</v>
      </c>
      <c r="J299" s="52" t="s">
        <v>521</v>
      </c>
      <c r="K299" s="52" t="s">
        <v>34</v>
      </c>
      <c r="L299" s="49">
        <v>0</v>
      </c>
      <c r="M299" s="49">
        <v>0</v>
      </c>
      <c r="N299" s="49">
        <v>0</v>
      </c>
      <c r="O299" s="53">
        <v>0</v>
      </c>
      <c r="P299" s="53">
        <v>0</v>
      </c>
      <c r="Q299" s="53">
        <v>0</v>
      </c>
      <c r="R299" s="54" t="e">
        <f t="shared" si="28"/>
        <v>#DIV/0!</v>
      </c>
      <c r="S299" s="55" t="e">
        <f t="shared" si="29"/>
        <v>#DIV/0!</v>
      </c>
      <c r="T299" s="55" t="e">
        <f t="shared" si="30"/>
        <v>#DIV/0!</v>
      </c>
      <c r="U299" s="54" t="e">
        <f t="shared" si="31"/>
        <v>#DIV/0!</v>
      </c>
      <c r="V299" s="54" t="e">
        <f t="shared" si="32"/>
        <v>#DIV/0!</v>
      </c>
      <c r="W299" s="55" t="e">
        <f t="shared" si="33"/>
        <v>#DIV/0!</v>
      </c>
      <c r="X299" s="55" t="e">
        <f t="shared" si="27"/>
        <v>#DIV/0!</v>
      </c>
      <c r="Y299" s="55" t="s">
        <v>62</v>
      </c>
    </row>
    <row r="300" customFormat="1" ht="22.5" customHeight="1" spans="1:25">
      <c r="A300" s="49" t="s">
        <v>589</v>
      </c>
      <c r="B300" s="49" t="s">
        <v>600</v>
      </c>
      <c r="C300" s="49" t="s">
        <v>424</v>
      </c>
      <c r="D300" s="50">
        <v>178118173971</v>
      </c>
      <c r="E300" s="49" t="s">
        <v>483</v>
      </c>
      <c r="F300" s="51">
        <v>46151</v>
      </c>
      <c r="G300" s="52">
        <v>46151</v>
      </c>
      <c r="H300" s="52" t="s">
        <v>149</v>
      </c>
      <c r="I300" s="52" t="s">
        <v>496</v>
      </c>
      <c r="J300" s="52" t="s">
        <v>497</v>
      </c>
      <c r="K300" s="52" t="s">
        <v>34</v>
      </c>
      <c r="L300" s="49">
        <v>0</v>
      </c>
      <c r="M300" s="49">
        <v>0</v>
      </c>
      <c r="N300" s="49">
        <v>0</v>
      </c>
      <c r="O300" s="53">
        <v>0</v>
      </c>
      <c r="P300" s="53">
        <v>0</v>
      </c>
      <c r="Q300" s="53">
        <v>0</v>
      </c>
      <c r="R300" s="54" t="e">
        <f t="shared" si="28"/>
        <v>#DIV/0!</v>
      </c>
      <c r="S300" s="55" t="e">
        <f t="shared" si="29"/>
        <v>#DIV/0!</v>
      </c>
      <c r="T300" s="55" t="e">
        <f t="shared" si="30"/>
        <v>#DIV/0!</v>
      </c>
      <c r="U300" s="54" t="e">
        <f t="shared" si="31"/>
        <v>#DIV/0!</v>
      </c>
      <c r="V300" s="54" t="e">
        <f t="shared" si="32"/>
        <v>#DIV/0!</v>
      </c>
      <c r="W300" s="55" t="e">
        <f t="shared" si="33"/>
        <v>#DIV/0!</v>
      </c>
      <c r="X300" s="55" t="e">
        <f t="shared" si="27"/>
        <v>#DIV/0!</v>
      </c>
      <c r="Y300" s="55" t="s">
        <v>62</v>
      </c>
    </row>
    <row r="301" customFormat="1" ht="22.5" customHeight="1" spans="1:25">
      <c r="A301" s="49" t="s">
        <v>589</v>
      </c>
      <c r="B301" s="49" t="s">
        <v>601</v>
      </c>
      <c r="C301" s="49" t="s">
        <v>429</v>
      </c>
      <c r="D301" s="50">
        <v>188370853946</v>
      </c>
      <c r="E301" s="49" t="s">
        <v>483</v>
      </c>
      <c r="F301" s="51">
        <v>46154</v>
      </c>
      <c r="G301" s="52">
        <v>46153</v>
      </c>
      <c r="H301" s="52" t="s">
        <v>149</v>
      </c>
      <c r="I301" s="52" t="s">
        <v>26</v>
      </c>
      <c r="J301" s="52" t="s">
        <v>518</v>
      </c>
      <c r="K301" s="52" t="s">
        <v>493</v>
      </c>
      <c r="L301" s="49">
        <v>0</v>
      </c>
      <c r="M301" s="49">
        <v>0</v>
      </c>
      <c r="N301" s="49">
        <v>0</v>
      </c>
      <c r="O301" s="53">
        <v>0</v>
      </c>
      <c r="P301" s="53">
        <v>0</v>
      </c>
      <c r="Q301" s="53">
        <v>0</v>
      </c>
      <c r="R301" s="54" t="e">
        <f t="shared" si="28"/>
        <v>#DIV/0!</v>
      </c>
      <c r="S301" s="55" t="e">
        <f t="shared" si="29"/>
        <v>#DIV/0!</v>
      </c>
      <c r="T301" s="55" t="e">
        <f t="shared" si="30"/>
        <v>#DIV/0!</v>
      </c>
      <c r="U301" s="54" t="e">
        <f t="shared" si="31"/>
        <v>#DIV/0!</v>
      </c>
      <c r="V301" s="54" t="e">
        <f t="shared" si="32"/>
        <v>#DIV/0!</v>
      </c>
      <c r="W301" s="55" t="e">
        <f t="shared" si="33"/>
        <v>#DIV/0!</v>
      </c>
      <c r="X301" s="55" t="e">
        <f t="shared" si="27"/>
        <v>#DIV/0!</v>
      </c>
      <c r="Y301" s="55" t="s">
        <v>62</v>
      </c>
    </row>
    <row r="302" customFormat="1" ht="22.5" customHeight="1" spans="1:25">
      <c r="A302" s="49" t="s">
        <v>589</v>
      </c>
      <c r="B302" s="49" t="s">
        <v>602</v>
      </c>
      <c r="C302" s="49" t="s">
        <v>430</v>
      </c>
      <c r="D302" s="50">
        <v>178124922531</v>
      </c>
      <c r="E302" s="49" t="s">
        <v>483</v>
      </c>
      <c r="F302" s="51">
        <v>46154</v>
      </c>
      <c r="G302" s="52">
        <v>46153</v>
      </c>
      <c r="H302" s="52" t="s">
        <v>149</v>
      </c>
      <c r="I302" s="52" t="s">
        <v>26</v>
      </c>
      <c r="J302" s="52" t="s">
        <v>518</v>
      </c>
      <c r="K302" s="52" t="s">
        <v>34</v>
      </c>
      <c r="L302" s="49">
        <v>0</v>
      </c>
      <c r="M302" s="49">
        <v>0</v>
      </c>
      <c r="N302" s="49">
        <v>0</v>
      </c>
      <c r="O302" s="53">
        <v>0</v>
      </c>
      <c r="P302" s="53">
        <v>0</v>
      </c>
      <c r="Q302" s="53">
        <v>0</v>
      </c>
      <c r="R302" s="54" t="e">
        <f t="shared" si="28"/>
        <v>#DIV/0!</v>
      </c>
      <c r="S302" s="55" t="e">
        <f t="shared" si="29"/>
        <v>#DIV/0!</v>
      </c>
      <c r="T302" s="55" t="e">
        <f t="shared" si="30"/>
        <v>#DIV/0!</v>
      </c>
      <c r="U302" s="54" t="e">
        <f t="shared" si="31"/>
        <v>#DIV/0!</v>
      </c>
      <c r="V302" s="54" t="e">
        <f t="shared" si="32"/>
        <v>#DIV/0!</v>
      </c>
      <c r="W302" s="55" t="e">
        <f t="shared" si="33"/>
        <v>#DIV/0!</v>
      </c>
      <c r="X302" s="55" t="e">
        <f t="shared" si="27"/>
        <v>#DIV/0!</v>
      </c>
      <c r="Y302" s="55" t="s">
        <v>62</v>
      </c>
    </row>
    <row r="303" customFormat="1" ht="22.5" customHeight="1" spans="1:25">
      <c r="A303" s="49" t="s">
        <v>589</v>
      </c>
      <c r="B303" s="49" t="s">
        <v>603</v>
      </c>
      <c r="C303" s="49" t="s">
        <v>432</v>
      </c>
      <c r="D303" s="50">
        <v>188370869619</v>
      </c>
      <c r="E303" s="49" t="s">
        <v>483</v>
      </c>
      <c r="F303" s="51">
        <v>46154</v>
      </c>
      <c r="G303" s="52">
        <v>46153</v>
      </c>
      <c r="H303" s="52" t="s">
        <v>149</v>
      </c>
      <c r="I303" s="52" t="s">
        <v>505</v>
      </c>
      <c r="J303" s="52" t="s">
        <v>518</v>
      </c>
      <c r="K303" s="52" t="s">
        <v>493</v>
      </c>
      <c r="L303" s="49">
        <v>0</v>
      </c>
      <c r="M303" s="49">
        <v>0</v>
      </c>
      <c r="N303" s="49">
        <v>0</v>
      </c>
      <c r="O303" s="53">
        <v>0</v>
      </c>
      <c r="P303" s="53">
        <v>0</v>
      </c>
      <c r="Q303" s="53">
        <v>0</v>
      </c>
      <c r="R303" s="54" t="e">
        <f t="shared" si="28"/>
        <v>#DIV/0!</v>
      </c>
      <c r="S303" s="55" t="e">
        <f t="shared" si="29"/>
        <v>#DIV/0!</v>
      </c>
      <c r="T303" s="55" t="e">
        <f t="shared" si="30"/>
        <v>#DIV/0!</v>
      </c>
      <c r="U303" s="54" t="e">
        <f t="shared" si="31"/>
        <v>#DIV/0!</v>
      </c>
      <c r="V303" s="54" t="e">
        <f t="shared" si="32"/>
        <v>#DIV/0!</v>
      </c>
      <c r="W303" s="55" t="e">
        <f t="shared" si="33"/>
        <v>#DIV/0!</v>
      </c>
      <c r="X303" s="55" t="e">
        <f t="shared" si="27"/>
        <v>#DIV/0!</v>
      </c>
      <c r="Y303" s="55" t="s">
        <v>62</v>
      </c>
    </row>
    <row r="304" customFormat="1" ht="22.5" customHeight="1" spans="1:25">
      <c r="A304" s="49" t="s">
        <v>589</v>
      </c>
      <c r="B304" s="49" t="s">
        <v>604</v>
      </c>
      <c r="C304" s="49" t="s">
        <v>427</v>
      </c>
      <c r="D304" s="50">
        <v>178124925402</v>
      </c>
      <c r="E304" s="49" t="s">
        <v>483</v>
      </c>
      <c r="F304" s="51">
        <v>46154</v>
      </c>
      <c r="G304" s="52">
        <v>46153</v>
      </c>
      <c r="H304" s="52" t="s">
        <v>149</v>
      </c>
      <c r="I304" s="52" t="s">
        <v>505</v>
      </c>
      <c r="J304" s="52" t="s">
        <v>518</v>
      </c>
      <c r="K304" s="52" t="s">
        <v>493</v>
      </c>
      <c r="L304" s="49">
        <v>0</v>
      </c>
      <c r="M304" s="49">
        <v>0</v>
      </c>
      <c r="N304" s="49">
        <v>0</v>
      </c>
      <c r="O304" s="53">
        <v>0</v>
      </c>
      <c r="P304" s="53">
        <v>0</v>
      </c>
      <c r="Q304" s="53">
        <v>0</v>
      </c>
      <c r="R304" s="54" t="e">
        <f t="shared" si="28"/>
        <v>#DIV/0!</v>
      </c>
      <c r="S304" s="55" t="e">
        <f t="shared" si="29"/>
        <v>#DIV/0!</v>
      </c>
      <c r="T304" s="55" t="e">
        <f t="shared" si="30"/>
        <v>#DIV/0!</v>
      </c>
      <c r="U304" s="54" t="e">
        <f t="shared" si="31"/>
        <v>#DIV/0!</v>
      </c>
      <c r="V304" s="54" t="e">
        <f t="shared" si="32"/>
        <v>#DIV/0!</v>
      </c>
      <c r="W304" s="55" t="e">
        <f t="shared" si="33"/>
        <v>#DIV/0!</v>
      </c>
      <c r="X304" s="55" t="e">
        <f t="shared" si="27"/>
        <v>#DIV/0!</v>
      </c>
      <c r="Y304" s="55" t="s">
        <v>62</v>
      </c>
    </row>
    <row r="305" customFormat="1" ht="22.5" customHeight="1" spans="1:25">
      <c r="A305" s="49" t="s">
        <v>589</v>
      </c>
      <c r="B305" s="49" t="s">
        <v>604</v>
      </c>
      <c r="C305" s="49" t="s">
        <v>428</v>
      </c>
      <c r="D305" s="50">
        <v>188370871591</v>
      </c>
      <c r="E305" s="49" t="s">
        <v>483</v>
      </c>
      <c r="F305" s="51">
        <v>46154</v>
      </c>
      <c r="G305" s="52">
        <v>46153</v>
      </c>
      <c r="H305" s="52" t="s">
        <v>149</v>
      </c>
      <c r="I305" s="52" t="s">
        <v>505</v>
      </c>
      <c r="J305" s="52" t="s">
        <v>518</v>
      </c>
      <c r="K305" s="52" t="s">
        <v>34</v>
      </c>
      <c r="L305" s="49">
        <v>0</v>
      </c>
      <c r="M305" s="49">
        <v>0</v>
      </c>
      <c r="N305" s="49">
        <v>0</v>
      </c>
      <c r="O305" s="53">
        <v>0</v>
      </c>
      <c r="P305" s="53">
        <v>0</v>
      </c>
      <c r="Q305" s="53">
        <v>0</v>
      </c>
      <c r="R305" s="54" t="e">
        <f t="shared" si="28"/>
        <v>#DIV/0!</v>
      </c>
      <c r="S305" s="55" t="e">
        <f t="shared" si="29"/>
        <v>#DIV/0!</v>
      </c>
      <c r="T305" s="55" t="e">
        <f t="shared" si="30"/>
        <v>#DIV/0!</v>
      </c>
      <c r="U305" s="54" t="e">
        <f t="shared" si="31"/>
        <v>#DIV/0!</v>
      </c>
      <c r="V305" s="54" t="e">
        <f t="shared" si="32"/>
        <v>#DIV/0!</v>
      </c>
      <c r="W305" s="55" t="e">
        <f t="shared" si="33"/>
        <v>#DIV/0!</v>
      </c>
      <c r="X305" s="55" t="e">
        <f t="shared" si="27"/>
        <v>#DIV/0!</v>
      </c>
      <c r="Y305" s="55" t="s">
        <v>62</v>
      </c>
    </row>
    <row r="306" customFormat="1" ht="22.5" customHeight="1" spans="1:25">
      <c r="A306" s="49" t="s">
        <v>589</v>
      </c>
      <c r="B306" s="49" t="s">
        <v>592</v>
      </c>
      <c r="C306" s="49" t="s">
        <v>327</v>
      </c>
      <c r="D306" s="50">
        <v>227242599752</v>
      </c>
      <c r="E306" s="49" t="s">
        <v>488</v>
      </c>
      <c r="F306" s="51">
        <v>46087</v>
      </c>
      <c r="G306" s="52">
        <v>46086</v>
      </c>
      <c r="H306" s="52">
        <v>46089</v>
      </c>
      <c r="I306" s="52" t="s">
        <v>496</v>
      </c>
      <c r="J306" s="52" t="s">
        <v>30</v>
      </c>
      <c r="K306" s="52" t="s">
        <v>34</v>
      </c>
      <c r="L306" s="49">
        <v>0</v>
      </c>
      <c r="M306" s="49">
        <v>0</v>
      </c>
      <c r="N306" s="49">
        <v>0</v>
      </c>
      <c r="O306" s="53">
        <v>0</v>
      </c>
      <c r="P306" s="53">
        <v>0</v>
      </c>
      <c r="Q306" s="53">
        <v>132</v>
      </c>
      <c r="R306" s="54" t="e">
        <f t="shared" si="28"/>
        <v>#DIV/0!</v>
      </c>
      <c r="S306" s="55" t="e">
        <f t="shared" si="29"/>
        <v>#DIV/0!</v>
      </c>
      <c r="T306" s="55" t="e">
        <f t="shared" si="30"/>
        <v>#DIV/0!</v>
      </c>
      <c r="U306" s="54" t="e">
        <f t="shared" si="31"/>
        <v>#DIV/0!</v>
      </c>
      <c r="V306" s="54" t="e">
        <f t="shared" si="32"/>
        <v>#DIV/0!</v>
      </c>
      <c r="W306" s="55" t="e">
        <f t="shared" si="33"/>
        <v>#DIV/0!</v>
      </c>
      <c r="X306" s="55">
        <f t="shared" si="27"/>
        <v>0</v>
      </c>
      <c r="Y306" s="55" t="s">
        <v>49</v>
      </c>
    </row>
    <row r="307" customFormat="1" ht="22.5" customHeight="1" spans="1:25">
      <c r="A307" s="49" t="s">
        <v>589</v>
      </c>
      <c r="B307" s="49" t="s">
        <v>592</v>
      </c>
      <c r="C307" s="49" t="s">
        <v>329</v>
      </c>
      <c r="D307" s="50">
        <v>227242600308</v>
      </c>
      <c r="E307" s="49" t="s">
        <v>488</v>
      </c>
      <c r="F307" s="51">
        <v>46087</v>
      </c>
      <c r="G307" s="52">
        <v>46086</v>
      </c>
      <c r="H307" s="52">
        <v>46094</v>
      </c>
      <c r="I307" s="52" t="s">
        <v>496</v>
      </c>
      <c r="J307" s="52" t="s">
        <v>30</v>
      </c>
      <c r="K307" s="52" t="s">
        <v>34</v>
      </c>
      <c r="L307" s="49">
        <v>0</v>
      </c>
      <c r="M307" s="49">
        <v>0</v>
      </c>
      <c r="N307" s="49">
        <v>0</v>
      </c>
      <c r="O307" s="53">
        <v>0</v>
      </c>
      <c r="P307" s="53">
        <v>0</v>
      </c>
      <c r="Q307" s="53">
        <v>44</v>
      </c>
      <c r="R307" s="54" t="e">
        <f t="shared" si="28"/>
        <v>#DIV/0!</v>
      </c>
      <c r="S307" s="55" t="e">
        <f t="shared" si="29"/>
        <v>#DIV/0!</v>
      </c>
      <c r="T307" s="55" t="e">
        <f t="shared" si="30"/>
        <v>#DIV/0!</v>
      </c>
      <c r="U307" s="54" t="e">
        <f t="shared" si="31"/>
        <v>#DIV/0!</v>
      </c>
      <c r="V307" s="54" t="e">
        <f t="shared" si="32"/>
        <v>#DIV/0!</v>
      </c>
      <c r="W307" s="55" t="e">
        <f t="shared" si="33"/>
        <v>#DIV/0!</v>
      </c>
      <c r="X307" s="55">
        <f t="shared" si="27"/>
        <v>0</v>
      </c>
      <c r="Y307" s="55" t="s">
        <v>49</v>
      </c>
    </row>
    <row r="308" customFormat="1" ht="22.5" customHeight="1" spans="1:25">
      <c r="A308" s="49" t="s">
        <v>589</v>
      </c>
      <c r="B308" s="49" t="s">
        <v>605</v>
      </c>
      <c r="C308" s="49" t="s">
        <v>339</v>
      </c>
      <c r="D308" s="50">
        <v>227255580000</v>
      </c>
      <c r="E308" s="49" t="s">
        <v>488</v>
      </c>
      <c r="F308" s="51">
        <v>46104</v>
      </c>
      <c r="G308" s="52">
        <v>46092</v>
      </c>
      <c r="H308" s="52">
        <v>46104</v>
      </c>
      <c r="I308" s="52" t="s">
        <v>484</v>
      </c>
      <c r="J308" s="52" t="s">
        <v>489</v>
      </c>
      <c r="K308" s="52" t="s">
        <v>34</v>
      </c>
      <c r="L308" s="49">
        <v>0</v>
      </c>
      <c r="M308" s="49">
        <v>0</v>
      </c>
      <c r="N308" s="49">
        <v>0</v>
      </c>
      <c r="O308" s="53">
        <v>0</v>
      </c>
      <c r="P308" s="53">
        <v>0</v>
      </c>
      <c r="Q308" s="53">
        <v>92.02</v>
      </c>
      <c r="R308" s="54" t="e">
        <f t="shared" si="28"/>
        <v>#DIV/0!</v>
      </c>
      <c r="S308" s="55" t="e">
        <f t="shared" si="29"/>
        <v>#DIV/0!</v>
      </c>
      <c r="T308" s="55" t="e">
        <f t="shared" si="30"/>
        <v>#DIV/0!</v>
      </c>
      <c r="U308" s="54" t="e">
        <f t="shared" si="31"/>
        <v>#DIV/0!</v>
      </c>
      <c r="V308" s="54" t="e">
        <f t="shared" si="32"/>
        <v>#DIV/0!</v>
      </c>
      <c r="W308" s="55" t="e">
        <f t="shared" si="33"/>
        <v>#DIV/0!</v>
      </c>
      <c r="X308" s="55">
        <f t="shared" si="27"/>
        <v>0</v>
      </c>
      <c r="Y308" s="55" t="s">
        <v>49</v>
      </c>
    </row>
    <row r="309" customFormat="1" ht="22.5" customHeight="1" spans="1:25">
      <c r="A309" s="56" t="s">
        <v>606</v>
      </c>
      <c r="B309" s="57" t="s">
        <v>479</v>
      </c>
      <c r="C309" s="57" t="s">
        <v>480</v>
      </c>
      <c r="D309" s="58"/>
      <c r="E309" s="58"/>
      <c r="F309" s="57">
        <f>COUNTIF(B310:B392,"&lt;&gt;")</f>
        <v>83</v>
      </c>
      <c r="G309" s="58"/>
      <c r="H309" s="58"/>
      <c r="I309" s="58"/>
      <c r="J309" s="57" t="s">
        <v>481</v>
      </c>
      <c r="K309" s="58"/>
      <c r="L309" s="59">
        <f t="shared" ref="L309:Q309" si="34">SUM(L310:L392)</f>
        <v>36235</v>
      </c>
      <c r="M309" s="59">
        <f t="shared" si="34"/>
        <v>483</v>
      </c>
      <c r="N309" s="59">
        <f t="shared" si="34"/>
        <v>39</v>
      </c>
      <c r="O309" s="60">
        <f t="shared" si="34"/>
        <v>293.53</v>
      </c>
      <c r="P309" s="60">
        <f t="shared" si="34"/>
        <v>2883.93</v>
      </c>
      <c r="Q309" s="60">
        <f t="shared" si="34"/>
        <v>8071.96</v>
      </c>
      <c r="R309" s="61">
        <f t="shared" si="28"/>
        <v>9.8249923346847</v>
      </c>
      <c r="S309" s="62">
        <f t="shared" si="29"/>
        <v>0.0807453416149068</v>
      </c>
      <c r="T309" s="62">
        <f t="shared" si="30"/>
        <v>0.0133296536497861</v>
      </c>
      <c r="U309" s="61">
        <f t="shared" si="31"/>
        <v>0.607722567287785</v>
      </c>
      <c r="V309" s="61">
        <f t="shared" si="32"/>
        <v>7.52641025641025</v>
      </c>
      <c r="W309" s="62">
        <f t="shared" si="33"/>
        <v>0.101781249891641</v>
      </c>
      <c r="X309" s="62">
        <f t="shared" si="27"/>
        <v>0.0363641544308941</v>
      </c>
      <c r="Y309" s="63">
        <f>COUNTIF(Y310:Y379,"Y")</f>
        <v>7</v>
      </c>
    </row>
    <row r="310" customFormat="1" ht="22.5" customHeight="1" spans="1:25">
      <c r="A310" s="49" t="s">
        <v>606</v>
      </c>
      <c r="B310" s="49" t="s">
        <v>482</v>
      </c>
      <c r="C310" s="49" t="s">
        <v>385</v>
      </c>
      <c r="D310" s="64">
        <v>177997475019</v>
      </c>
      <c r="E310" s="49" t="s">
        <v>483</v>
      </c>
      <c r="F310" s="51">
        <v>46114</v>
      </c>
      <c r="G310" s="52">
        <v>46108</v>
      </c>
      <c r="H310" s="52">
        <v>46114</v>
      </c>
      <c r="I310" s="52" t="s">
        <v>484</v>
      </c>
      <c r="J310" s="52" t="s">
        <v>485</v>
      </c>
      <c r="K310" s="52" t="s">
        <v>34</v>
      </c>
      <c r="L310" s="49">
        <v>1112</v>
      </c>
      <c r="M310" s="49">
        <v>49</v>
      </c>
      <c r="N310" s="49">
        <v>5</v>
      </c>
      <c r="O310" s="53">
        <v>18.31</v>
      </c>
      <c r="P310" s="53">
        <v>190.74</v>
      </c>
      <c r="Q310" s="53">
        <v>385</v>
      </c>
      <c r="R310" s="54">
        <f t="shared" si="28"/>
        <v>10.4172583287821</v>
      </c>
      <c r="S310" s="55">
        <f t="shared" si="29"/>
        <v>0.102040816326531</v>
      </c>
      <c r="T310" s="55">
        <f t="shared" si="30"/>
        <v>0.0440647482014388</v>
      </c>
      <c r="U310" s="54">
        <f t="shared" si="31"/>
        <v>0.373673469387755</v>
      </c>
      <c r="V310" s="54">
        <f t="shared" si="32"/>
        <v>3.662</v>
      </c>
      <c r="W310" s="55">
        <f t="shared" si="33"/>
        <v>0.095994547551641</v>
      </c>
      <c r="X310" s="55">
        <f t="shared" si="27"/>
        <v>0.0475584415584416</v>
      </c>
      <c r="Y310" s="49" t="s">
        <v>62</v>
      </c>
    </row>
    <row r="311" customFormat="1" ht="22.5" customHeight="1" spans="1:25">
      <c r="A311" s="49" t="s">
        <v>606</v>
      </c>
      <c r="B311" s="49" t="s">
        <v>605</v>
      </c>
      <c r="C311" s="49" t="s">
        <v>339</v>
      </c>
      <c r="D311" s="64">
        <v>227255580000</v>
      </c>
      <c r="E311" s="49" t="s">
        <v>488</v>
      </c>
      <c r="F311" s="51">
        <v>46104</v>
      </c>
      <c r="G311" s="52">
        <v>46092</v>
      </c>
      <c r="H311" s="52">
        <v>46104</v>
      </c>
      <c r="I311" s="52" t="s">
        <v>484</v>
      </c>
      <c r="J311" s="52" t="s">
        <v>489</v>
      </c>
      <c r="K311" s="52" t="s">
        <v>34</v>
      </c>
      <c r="L311" s="49">
        <v>853</v>
      </c>
      <c r="M311" s="49">
        <v>10</v>
      </c>
      <c r="N311" s="49">
        <v>4</v>
      </c>
      <c r="O311" s="53">
        <v>2.7</v>
      </c>
      <c r="P311" s="53">
        <v>49.64</v>
      </c>
      <c r="Q311" s="53">
        <v>81.03</v>
      </c>
      <c r="R311" s="54">
        <f t="shared" si="28"/>
        <v>18.3851851851852</v>
      </c>
      <c r="S311" s="55">
        <f t="shared" si="29"/>
        <v>0.4</v>
      </c>
      <c r="T311" s="55">
        <f t="shared" si="30"/>
        <v>0.0117233294255569</v>
      </c>
      <c r="U311" s="54">
        <f t="shared" si="31"/>
        <v>0.27</v>
      </c>
      <c r="V311" s="54">
        <f t="shared" si="32"/>
        <v>0.675</v>
      </c>
      <c r="W311" s="55">
        <f t="shared" si="33"/>
        <v>0.0543916196615633</v>
      </c>
      <c r="X311" s="55">
        <f t="shared" si="27"/>
        <v>0.0333209922251018</v>
      </c>
      <c r="Y311" s="49" t="s">
        <v>62</v>
      </c>
    </row>
    <row r="312" customFormat="1" ht="22.5" customHeight="1" spans="1:25">
      <c r="A312" s="49" t="s">
        <v>606</v>
      </c>
      <c r="B312" s="49" t="s">
        <v>506</v>
      </c>
      <c r="C312" s="49" t="s">
        <v>342</v>
      </c>
      <c r="D312" s="64">
        <v>177947769950</v>
      </c>
      <c r="E312" s="49" t="s">
        <v>483</v>
      </c>
      <c r="F312" s="51">
        <v>46092</v>
      </c>
      <c r="G312" s="52">
        <v>46092</v>
      </c>
      <c r="H312" s="52">
        <v>46095</v>
      </c>
      <c r="I312" s="52" t="s">
        <v>484</v>
      </c>
      <c r="J312" s="52" t="s">
        <v>489</v>
      </c>
      <c r="K312" s="52" t="s">
        <v>34</v>
      </c>
      <c r="L312" s="49">
        <v>3699</v>
      </c>
      <c r="M312" s="49">
        <v>9</v>
      </c>
      <c r="N312" s="49">
        <v>4</v>
      </c>
      <c r="O312" s="53">
        <v>3.63</v>
      </c>
      <c r="P312" s="53">
        <v>484.79</v>
      </c>
      <c r="Q312" s="53">
        <v>570</v>
      </c>
      <c r="R312" s="54">
        <f t="shared" si="28"/>
        <v>133.550964187328</v>
      </c>
      <c r="S312" s="55">
        <f t="shared" si="29"/>
        <v>0.444444444444444</v>
      </c>
      <c r="T312" s="55">
        <f t="shared" si="30"/>
        <v>0.0024330900243309</v>
      </c>
      <c r="U312" s="54">
        <f t="shared" si="31"/>
        <v>0.403333333333333</v>
      </c>
      <c r="V312" s="54">
        <f t="shared" si="32"/>
        <v>0.9075</v>
      </c>
      <c r="W312" s="55">
        <f t="shared" si="33"/>
        <v>0.00748777821324697</v>
      </c>
      <c r="X312" s="55">
        <f t="shared" ref="X312:X375" si="35">O312/Q312</f>
        <v>0.00636842105263158</v>
      </c>
      <c r="Y312" s="49" t="s">
        <v>62</v>
      </c>
    </row>
    <row r="313" customFormat="1" ht="22.5" customHeight="1" spans="1:25">
      <c r="A313" s="49" t="s">
        <v>606</v>
      </c>
      <c r="B313" s="49" t="s">
        <v>604</v>
      </c>
      <c r="C313" s="49" t="s">
        <v>427</v>
      </c>
      <c r="D313" s="64">
        <v>178124925402</v>
      </c>
      <c r="E313" s="49" t="s">
        <v>483</v>
      </c>
      <c r="F313" s="51">
        <v>46154</v>
      </c>
      <c r="G313" s="52">
        <v>46153</v>
      </c>
      <c r="H313" s="52">
        <v>46156</v>
      </c>
      <c r="I313" s="52" t="s">
        <v>505</v>
      </c>
      <c r="J313" s="52" t="s">
        <v>518</v>
      </c>
      <c r="K313" s="52" t="s">
        <v>493</v>
      </c>
      <c r="L313" s="49">
        <v>1363</v>
      </c>
      <c r="M313" s="49">
        <v>17</v>
      </c>
      <c r="N313" s="49">
        <v>2</v>
      </c>
      <c r="O313" s="53">
        <v>24.48</v>
      </c>
      <c r="P313" s="53">
        <v>204.59</v>
      </c>
      <c r="Q313" s="53">
        <v>190</v>
      </c>
      <c r="R313" s="54">
        <f t="shared" si="28"/>
        <v>8.35743464052288</v>
      </c>
      <c r="S313" s="55">
        <f t="shared" si="29"/>
        <v>0.117647058823529</v>
      </c>
      <c r="T313" s="55">
        <f t="shared" si="30"/>
        <v>0.012472487160675</v>
      </c>
      <c r="U313" s="54">
        <f t="shared" si="31"/>
        <v>1.44</v>
      </c>
      <c r="V313" s="54">
        <f t="shared" si="32"/>
        <v>12.24</v>
      </c>
      <c r="W313" s="55">
        <f t="shared" si="33"/>
        <v>0.119653942030402</v>
      </c>
      <c r="X313" s="55">
        <f t="shared" si="35"/>
        <v>0.128842105263158</v>
      </c>
      <c r="Y313" s="49" t="s">
        <v>62</v>
      </c>
    </row>
    <row r="314" customFormat="1" ht="22.5" customHeight="1" spans="1:25">
      <c r="A314" s="49" t="s">
        <v>606</v>
      </c>
      <c r="B314" s="49" t="s">
        <v>587</v>
      </c>
      <c r="C314" s="49" t="s">
        <v>422</v>
      </c>
      <c r="D314" s="64">
        <v>117188996115</v>
      </c>
      <c r="E314" s="49" t="s">
        <v>502</v>
      </c>
      <c r="F314" s="51">
        <v>46148</v>
      </c>
      <c r="G314" s="52">
        <v>46151</v>
      </c>
      <c r="H314" s="52">
        <v>46153</v>
      </c>
      <c r="I314" s="52" t="s">
        <v>484</v>
      </c>
      <c r="J314" s="52" t="s">
        <v>485</v>
      </c>
      <c r="K314" s="52" t="s">
        <v>493</v>
      </c>
      <c r="L314" s="49">
        <v>702</v>
      </c>
      <c r="M314" s="49">
        <v>13</v>
      </c>
      <c r="N314" s="49">
        <v>2</v>
      </c>
      <c r="O314" s="53">
        <v>9.08</v>
      </c>
      <c r="P314" s="53">
        <v>184.58</v>
      </c>
      <c r="Q314" s="53">
        <v>170</v>
      </c>
      <c r="R314" s="54">
        <f t="shared" si="28"/>
        <v>20.3281938325991</v>
      </c>
      <c r="S314" s="55">
        <f t="shared" si="29"/>
        <v>0.153846153846154</v>
      </c>
      <c r="T314" s="55">
        <f t="shared" si="30"/>
        <v>0.0185185185185185</v>
      </c>
      <c r="U314" s="54">
        <f t="shared" si="31"/>
        <v>0.698461538461538</v>
      </c>
      <c r="V314" s="54">
        <f t="shared" si="32"/>
        <v>4.54</v>
      </c>
      <c r="W314" s="55">
        <f t="shared" si="33"/>
        <v>0.0491927619460397</v>
      </c>
      <c r="X314" s="55">
        <f t="shared" si="35"/>
        <v>0.0534117647058824</v>
      </c>
      <c r="Y314" s="49" t="s">
        <v>62</v>
      </c>
    </row>
    <row r="315" customFormat="1" ht="22.5" customHeight="1" spans="1:25">
      <c r="A315" s="49" t="s">
        <v>606</v>
      </c>
      <c r="B315" s="49" t="s">
        <v>581</v>
      </c>
      <c r="C315" s="49" t="s">
        <v>411</v>
      </c>
      <c r="D315" s="64">
        <v>188330683250</v>
      </c>
      <c r="E315" s="49" t="s">
        <v>483</v>
      </c>
      <c r="F315" s="51">
        <v>46142</v>
      </c>
      <c r="G315" s="52">
        <v>46142</v>
      </c>
      <c r="H315" s="52">
        <v>46144</v>
      </c>
      <c r="I315" s="52" t="s">
        <v>503</v>
      </c>
      <c r="J315" s="52" t="s">
        <v>489</v>
      </c>
      <c r="K315" s="52" t="s">
        <v>493</v>
      </c>
      <c r="L315" s="49">
        <v>1494</v>
      </c>
      <c r="M315" s="49">
        <v>9</v>
      </c>
      <c r="N315" s="49">
        <v>2</v>
      </c>
      <c r="O315" s="53">
        <v>2.73</v>
      </c>
      <c r="P315" s="53">
        <v>95.4</v>
      </c>
      <c r="Q315" s="53">
        <v>90</v>
      </c>
      <c r="R315" s="54">
        <f t="shared" si="28"/>
        <v>34.9450549450549</v>
      </c>
      <c r="S315" s="55">
        <f t="shared" si="29"/>
        <v>0.222222222222222</v>
      </c>
      <c r="T315" s="55">
        <f t="shared" si="30"/>
        <v>0.00602409638554217</v>
      </c>
      <c r="U315" s="54">
        <f t="shared" si="31"/>
        <v>0.303333333333333</v>
      </c>
      <c r="V315" s="54">
        <f t="shared" si="32"/>
        <v>1.365</v>
      </c>
      <c r="W315" s="55">
        <f t="shared" si="33"/>
        <v>0.0286163522012579</v>
      </c>
      <c r="X315" s="55">
        <f t="shared" si="35"/>
        <v>0.0303333333333333</v>
      </c>
      <c r="Y315" s="49" t="s">
        <v>62</v>
      </c>
    </row>
    <row r="316" customFormat="1" ht="22.5" customHeight="1" spans="1:25">
      <c r="A316" s="49" t="s">
        <v>606</v>
      </c>
      <c r="B316" s="49" t="s">
        <v>582</v>
      </c>
      <c r="C316" s="49" t="s">
        <v>415</v>
      </c>
      <c r="D316" s="64">
        <v>188330701630</v>
      </c>
      <c r="E316" s="49" t="s">
        <v>483</v>
      </c>
      <c r="F316" s="51">
        <v>46143</v>
      </c>
      <c r="G316" s="52">
        <v>46142</v>
      </c>
      <c r="H316" s="52">
        <v>46146</v>
      </c>
      <c r="I316" s="52" t="s">
        <v>505</v>
      </c>
      <c r="J316" s="52" t="s">
        <v>518</v>
      </c>
      <c r="K316" s="52" t="s">
        <v>34</v>
      </c>
      <c r="L316" s="49">
        <v>133</v>
      </c>
      <c r="M316" s="49">
        <v>9</v>
      </c>
      <c r="N316" s="49">
        <v>2</v>
      </c>
      <c r="O316" s="53">
        <v>3.75</v>
      </c>
      <c r="P316" s="53">
        <v>74.64</v>
      </c>
      <c r="Q316" s="53">
        <v>70</v>
      </c>
      <c r="R316" s="54">
        <f t="shared" si="28"/>
        <v>19.904</v>
      </c>
      <c r="S316" s="55">
        <f t="shared" si="29"/>
        <v>0.222222222222222</v>
      </c>
      <c r="T316" s="55">
        <f t="shared" si="30"/>
        <v>0.0676691729323308</v>
      </c>
      <c r="U316" s="54">
        <f t="shared" si="31"/>
        <v>0.416666666666667</v>
      </c>
      <c r="V316" s="54">
        <f t="shared" si="32"/>
        <v>1.875</v>
      </c>
      <c r="W316" s="55">
        <f t="shared" si="33"/>
        <v>0.0502411575562701</v>
      </c>
      <c r="X316" s="55">
        <f t="shared" si="35"/>
        <v>0.0535714285714286</v>
      </c>
      <c r="Y316" s="49" t="s">
        <v>62</v>
      </c>
    </row>
    <row r="317" customFormat="1" ht="22.5" customHeight="1" spans="1:25">
      <c r="A317" s="49" t="s">
        <v>606</v>
      </c>
      <c r="B317" s="49" t="s">
        <v>569</v>
      </c>
      <c r="C317" s="49" t="s">
        <v>359</v>
      </c>
      <c r="D317" s="64">
        <v>117093803059</v>
      </c>
      <c r="E317" s="49" t="s">
        <v>502</v>
      </c>
      <c r="F317" s="51">
        <v>46141</v>
      </c>
      <c r="G317" s="52">
        <v>46097</v>
      </c>
      <c r="H317" s="52">
        <v>46104</v>
      </c>
      <c r="I317" s="52" t="s">
        <v>496</v>
      </c>
      <c r="J317" s="52" t="s">
        <v>497</v>
      </c>
      <c r="K317" s="52" t="s">
        <v>34</v>
      </c>
      <c r="L317" s="49">
        <v>40</v>
      </c>
      <c r="M317" s="49">
        <v>6</v>
      </c>
      <c r="N317" s="49">
        <v>2</v>
      </c>
      <c r="O317" s="53">
        <v>3.49</v>
      </c>
      <c r="P317" s="53">
        <v>209.04</v>
      </c>
      <c r="Q317" s="53">
        <v>394.25</v>
      </c>
      <c r="R317" s="54">
        <f t="shared" si="28"/>
        <v>59.8968481375358</v>
      </c>
      <c r="S317" s="55">
        <f t="shared" si="29"/>
        <v>0.333333333333333</v>
      </c>
      <c r="T317" s="55">
        <f t="shared" si="30"/>
        <v>0.15</v>
      </c>
      <c r="U317" s="54">
        <f t="shared" si="31"/>
        <v>0.581666666666667</v>
      </c>
      <c r="V317" s="54">
        <f t="shared" si="32"/>
        <v>1.745</v>
      </c>
      <c r="W317" s="55">
        <f t="shared" si="33"/>
        <v>0.0166953693073096</v>
      </c>
      <c r="X317" s="55">
        <f t="shared" si="35"/>
        <v>0.00885225110970197</v>
      </c>
      <c r="Y317" s="49" t="s">
        <v>62</v>
      </c>
    </row>
    <row r="318" customFormat="1" ht="22.5" customHeight="1" spans="1:25">
      <c r="A318" s="49" t="s">
        <v>606</v>
      </c>
      <c r="B318" s="49" t="s">
        <v>542</v>
      </c>
      <c r="C318" s="49" t="s">
        <v>319</v>
      </c>
      <c r="D318" s="64">
        <v>287180832245</v>
      </c>
      <c r="E318" s="49" t="s">
        <v>511</v>
      </c>
      <c r="F318" s="51">
        <v>46097</v>
      </c>
      <c r="G318" s="52">
        <v>46085</v>
      </c>
      <c r="H318" s="52">
        <v>46100</v>
      </c>
      <c r="I318" s="52" t="s">
        <v>484</v>
      </c>
      <c r="J318" s="52" t="s">
        <v>30</v>
      </c>
      <c r="K318" s="52" t="s">
        <v>34</v>
      </c>
      <c r="L318" s="49">
        <v>253</v>
      </c>
      <c r="M318" s="49">
        <v>5</v>
      </c>
      <c r="N318" s="49">
        <v>2</v>
      </c>
      <c r="O318" s="53">
        <v>2.18</v>
      </c>
      <c r="P318" s="53">
        <v>58.71</v>
      </c>
      <c r="Q318" s="53">
        <v>112.76</v>
      </c>
      <c r="R318" s="54">
        <f t="shared" si="28"/>
        <v>26.9311926605505</v>
      </c>
      <c r="S318" s="55">
        <f t="shared" si="29"/>
        <v>0.4</v>
      </c>
      <c r="T318" s="55">
        <f t="shared" si="30"/>
        <v>0.0197628458498024</v>
      </c>
      <c r="U318" s="54">
        <f t="shared" si="31"/>
        <v>0.436</v>
      </c>
      <c r="V318" s="54">
        <f t="shared" si="32"/>
        <v>1.09</v>
      </c>
      <c r="W318" s="55">
        <f t="shared" si="33"/>
        <v>0.0371316641117357</v>
      </c>
      <c r="X318" s="55">
        <f t="shared" si="35"/>
        <v>0.0193330968428521</v>
      </c>
      <c r="Y318" s="49" t="s">
        <v>62</v>
      </c>
    </row>
    <row r="319" customFormat="1" ht="22.5" customHeight="1" spans="1:25">
      <c r="A319" s="49" t="s">
        <v>606</v>
      </c>
      <c r="B319" s="49" t="s">
        <v>595</v>
      </c>
      <c r="C319" s="49" t="s">
        <v>420</v>
      </c>
      <c r="D319" s="64">
        <v>188364376827</v>
      </c>
      <c r="E319" s="49" t="s">
        <v>483</v>
      </c>
      <c r="F319" s="51">
        <v>46151</v>
      </c>
      <c r="G319" s="52">
        <v>46151</v>
      </c>
      <c r="H319" s="52">
        <v>46153</v>
      </c>
      <c r="I319" s="52" t="s">
        <v>520</v>
      </c>
      <c r="J319" s="52" t="s">
        <v>485</v>
      </c>
      <c r="K319" s="52" t="s">
        <v>34</v>
      </c>
      <c r="L319" s="49">
        <v>118</v>
      </c>
      <c r="M319" s="49">
        <v>3</v>
      </c>
      <c r="N319" s="49">
        <v>2</v>
      </c>
      <c r="O319" s="53">
        <v>0.94</v>
      </c>
      <c r="P319" s="53">
        <v>289.03</v>
      </c>
      <c r="Q319" s="53">
        <v>417</v>
      </c>
      <c r="R319" s="54">
        <f t="shared" si="28"/>
        <v>307.478723404255</v>
      </c>
      <c r="S319" s="55">
        <f t="shared" si="29"/>
        <v>0.666666666666667</v>
      </c>
      <c r="T319" s="55">
        <f t="shared" si="30"/>
        <v>0.0254237288135593</v>
      </c>
      <c r="U319" s="54">
        <f t="shared" si="31"/>
        <v>0.313333333333333</v>
      </c>
      <c r="V319" s="54">
        <f t="shared" si="32"/>
        <v>0.47</v>
      </c>
      <c r="W319" s="55">
        <f t="shared" si="33"/>
        <v>0.00325225755111926</v>
      </c>
      <c r="X319" s="55">
        <f t="shared" si="35"/>
        <v>0.00225419664268585</v>
      </c>
      <c r="Y319" s="49" t="s">
        <v>62</v>
      </c>
    </row>
    <row r="320" customFormat="1" ht="22.5" customHeight="1" spans="1:25">
      <c r="A320" s="49" t="s">
        <v>606</v>
      </c>
      <c r="B320" s="49" t="s">
        <v>601</v>
      </c>
      <c r="C320" s="49" t="s">
        <v>429</v>
      </c>
      <c r="D320" s="64">
        <v>188370853946</v>
      </c>
      <c r="E320" s="49" t="s">
        <v>483</v>
      </c>
      <c r="F320" s="51">
        <v>46154</v>
      </c>
      <c r="G320" s="52">
        <v>46153</v>
      </c>
      <c r="H320" s="52">
        <v>46157</v>
      </c>
      <c r="I320" s="52" t="s">
        <v>26</v>
      </c>
      <c r="J320" s="52" t="s">
        <v>518</v>
      </c>
      <c r="K320" s="52" t="s">
        <v>493</v>
      </c>
      <c r="L320" s="49">
        <v>1048</v>
      </c>
      <c r="M320" s="49">
        <v>25</v>
      </c>
      <c r="N320" s="49">
        <v>1</v>
      </c>
      <c r="O320" s="53">
        <v>25.7</v>
      </c>
      <c r="P320" s="53">
        <v>124.2</v>
      </c>
      <c r="Q320" s="53">
        <v>115</v>
      </c>
      <c r="R320" s="54">
        <f t="shared" si="28"/>
        <v>4.83268482490272</v>
      </c>
      <c r="S320" s="55">
        <f t="shared" si="29"/>
        <v>0.04</v>
      </c>
      <c r="T320" s="55">
        <f t="shared" si="30"/>
        <v>0.0238549618320611</v>
      </c>
      <c r="U320" s="54">
        <f t="shared" si="31"/>
        <v>1.028</v>
      </c>
      <c r="V320" s="54">
        <f t="shared" si="32"/>
        <v>25.7</v>
      </c>
      <c r="W320" s="55">
        <f t="shared" si="33"/>
        <v>0.206924315619968</v>
      </c>
      <c r="X320" s="55">
        <f t="shared" si="35"/>
        <v>0.223478260869565</v>
      </c>
      <c r="Y320" s="49" t="s">
        <v>62</v>
      </c>
    </row>
    <row r="321" customFormat="1" ht="22.5" customHeight="1" spans="1:25">
      <c r="A321" s="49" t="s">
        <v>606</v>
      </c>
      <c r="B321" s="49" t="s">
        <v>583</v>
      </c>
      <c r="C321" s="49" t="s">
        <v>416</v>
      </c>
      <c r="D321" s="64">
        <v>188330738159</v>
      </c>
      <c r="E321" s="49" t="s">
        <v>483</v>
      </c>
      <c r="F321" s="51">
        <v>46143</v>
      </c>
      <c r="G321" s="52">
        <v>46142</v>
      </c>
      <c r="H321" s="52">
        <v>46152</v>
      </c>
      <c r="I321" s="52" t="s">
        <v>505</v>
      </c>
      <c r="J321" s="52" t="s">
        <v>518</v>
      </c>
      <c r="K321" s="52" t="s">
        <v>34</v>
      </c>
      <c r="L321" s="49">
        <v>1190</v>
      </c>
      <c r="M321" s="49">
        <v>23</v>
      </c>
      <c r="N321" s="49">
        <v>1</v>
      </c>
      <c r="O321" s="53">
        <v>11.14</v>
      </c>
      <c r="P321" s="53">
        <v>132.5</v>
      </c>
      <c r="Q321" s="53">
        <v>125</v>
      </c>
      <c r="R321" s="54">
        <f t="shared" si="28"/>
        <v>11.8940754039497</v>
      </c>
      <c r="S321" s="55">
        <f t="shared" si="29"/>
        <v>0.0434782608695652</v>
      </c>
      <c r="T321" s="55">
        <f t="shared" si="30"/>
        <v>0.019327731092437</v>
      </c>
      <c r="U321" s="54">
        <f t="shared" si="31"/>
        <v>0.484347826086957</v>
      </c>
      <c r="V321" s="54">
        <f t="shared" si="32"/>
        <v>11.14</v>
      </c>
      <c r="W321" s="55">
        <f t="shared" si="33"/>
        <v>0.0840754716981132</v>
      </c>
      <c r="X321" s="55">
        <f t="shared" si="35"/>
        <v>0.08912</v>
      </c>
      <c r="Y321" s="49" t="s">
        <v>62</v>
      </c>
    </row>
    <row r="322" customFormat="1" ht="22.5" customHeight="1" spans="1:25">
      <c r="A322" s="49" t="s">
        <v>606</v>
      </c>
      <c r="B322" s="49" t="s">
        <v>507</v>
      </c>
      <c r="C322" s="49" t="s">
        <v>326</v>
      </c>
      <c r="D322" s="64">
        <v>117072634866</v>
      </c>
      <c r="E322" s="49" t="s">
        <v>502</v>
      </c>
      <c r="F322" s="51">
        <v>46095</v>
      </c>
      <c r="G322" s="52">
        <v>46085</v>
      </c>
      <c r="H322" s="52">
        <v>46086</v>
      </c>
      <c r="I322" s="52" t="s">
        <v>496</v>
      </c>
      <c r="J322" s="52" t="s">
        <v>497</v>
      </c>
      <c r="K322" s="52" t="s">
        <v>34</v>
      </c>
      <c r="L322" s="49">
        <v>144</v>
      </c>
      <c r="M322" s="49">
        <v>17</v>
      </c>
      <c r="N322" s="49">
        <v>1</v>
      </c>
      <c r="O322" s="53">
        <v>6.8</v>
      </c>
      <c r="P322" s="53">
        <v>98.58</v>
      </c>
      <c r="Q322" s="53">
        <v>375</v>
      </c>
      <c r="R322" s="54">
        <f t="shared" ref="R322:R385" si="36">P322/O322</f>
        <v>14.4970588235294</v>
      </c>
      <c r="S322" s="55">
        <f t="shared" ref="S322:S385" si="37">N322/M322</f>
        <v>0.0588235294117647</v>
      </c>
      <c r="T322" s="55">
        <f t="shared" ref="T322:T385" si="38">M322/L322</f>
        <v>0.118055555555556</v>
      </c>
      <c r="U322" s="54">
        <f t="shared" ref="U322:U385" si="39">O322/M322</f>
        <v>0.4</v>
      </c>
      <c r="V322" s="54">
        <f t="shared" ref="V322:V385" si="40">O322/N322</f>
        <v>6.8</v>
      </c>
      <c r="W322" s="55">
        <f t="shared" ref="W322:W385" si="41">O322/P322</f>
        <v>0.0689795090282004</v>
      </c>
      <c r="X322" s="55">
        <f t="shared" si="35"/>
        <v>0.0181333333333333</v>
      </c>
      <c r="Y322" s="49" t="s">
        <v>62</v>
      </c>
    </row>
    <row r="323" customFormat="1" ht="22.5" customHeight="1" spans="1:25">
      <c r="A323" s="49" t="s">
        <v>606</v>
      </c>
      <c r="B323" s="49" t="s">
        <v>578</v>
      </c>
      <c r="C323" s="49" t="s">
        <v>399</v>
      </c>
      <c r="D323" s="64">
        <v>178088440364</v>
      </c>
      <c r="E323" s="49" t="s">
        <v>483</v>
      </c>
      <c r="F323" s="51">
        <v>46143</v>
      </c>
      <c r="G323" s="52">
        <v>46141</v>
      </c>
      <c r="H323" s="52">
        <v>46154</v>
      </c>
      <c r="I323" s="52" t="s">
        <v>505</v>
      </c>
      <c r="J323" s="52" t="s">
        <v>518</v>
      </c>
      <c r="K323" s="52" t="s">
        <v>34</v>
      </c>
      <c r="L323" s="49">
        <v>1270</v>
      </c>
      <c r="M323" s="49">
        <v>15</v>
      </c>
      <c r="N323" s="49">
        <v>1</v>
      </c>
      <c r="O323" s="53">
        <v>10.22</v>
      </c>
      <c r="P323" s="53">
        <v>169.73</v>
      </c>
      <c r="Q323" s="53">
        <v>310</v>
      </c>
      <c r="R323" s="54">
        <f t="shared" si="36"/>
        <v>16.6076320939335</v>
      </c>
      <c r="S323" s="55">
        <f t="shared" si="37"/>
        <v>0.0666666666666667</v>
      </c>
      <c r="T323" s="55">
        <f t="shared" si="38"/>
        <v>0.0118110236220472</v>
      </c>
      <c r="U323" s="54">
        <f t="shared" si="39"/>
        <v>0.681333333333333</v>
      </c>
      <c r="V323" s="54">
        <f t="shared" si="40"/>
        <v>10.22</v>
      </c>
      <c r="W323" s="55">
        <f t="shared" si="41"/>
        <v>0.0602132799151594</v>
      </c>
      <c r="X323" s="55">
        <f t="shared" si="35"/>
        <v>0.0329677419354839</v>
      </c>
      <c r="Y323" s="49" t="s">
        <v>62</v>
      </c>
    </row>
    <row r="324" customFormat="1" ht="22.5" customHeight="1" spans="1:25">
      <c r="A324" s="49" t="s">
        <v>606</v>
      </c>
      <c r="B324" s="49" t="s">
        <v>592</v>
      </c>
      <c r="C324" s="49" t="s">
        <v>312</v>
      </c>
      <c r="D324" s="64">
        <v>227241156524</v>
      </c>
      <c r="E324" s="49" t="s">
        <v>488</v>
      </c>
      <c r="F324" s="51">
        <v>46087</v>
      </c>
      <c r="G324" s="52">
        <v>46085</v>
      </c>
      <c r="H324" s="52">
        <v>46089</v>
      </c>
      <c r="I324" s="52" t="s">
        <v>496</v>
      </c>
      <c r="J324" s="52" t="s">
        <v>30</v>
      </c>
      <c r="K324" s="52" t="s">
        <v>34</v>
      </c>
      <c r="L324" s="49">
        <v>831</v>
      </c>
      <c r="M324" s="49">
        <v>10</v>
      </c>
      <c r="N324" s="49">
        <v>1</v>
      </c>
      <c r="O324" s="53">
        <v>4.43</v>
      </c>
      <c r="P324" s="53">
        <v>42.65</v>
      </c>
      <c r="Q324" s="53">
        <v>40</v>
      </c>
      <c r="R324" s="54">
        <f t="shared" si="36"/>
        <v>9.62753950338601</v>
      </c>
      <c r="S324" s="55">
        <f t="shared" si="37"/>
        <v>0.1</v>
      </c>
      <c r="T324" s="55">
        <f t="shared" si="38"/>
        <v>0.0120336943441637</v>
      </c>
      <c r="U324" s="54">
        <f t="shared" si="39"/>
        <v>0.443</v>
      </c>
      <c r="V324" s="54">
        <f t="shared" si="40"/>
        <v>4.43</v>
      </c>
      <c r="W324" s="55">
        <f t="shared" si="41"/>
        <v>0.103868698710434</v>
      </c>
      <c r="X324" s="55">
        <f t="shared" si="35"/>
        <v>0.11075</v>
      </c>
      <c r="Y324" s="49" t="s">
        <v>49</v>
      </c>
    </row>
    <row r="325" customFormat="1" ht="22.5" customHeight="1" spans="1:25">
      <c r="A325" s="49" t="s">
        <v>606</v>
      </c>
      <c r="B325" s="49" t="s">
        <v>576</v>
      </c>
      <c r="C325" s="49" t="s">
        <v>381</v>
      </c>
      <c r="D325" s="64">
        <v>177997435750</v>
      </c>
      <c r="E325" s="49" t="s">
        <v>483</v>
      </c>
      <c r="F325" s="51">
        <v>46142</v>
      </c>
      <c r="G325" s="52">
        <v>46108</v>
      </c>
      <c r="H325" s="52">
        <v>46111</v>
      </c>
      <c r="I325" s="52" t="s">
        <v>496</v>
      </c>
      <c r="J325" s="52" t="s">
        <v>497</v>
      </c>
      <c r="K325" s="52" t="s">
        <v>34</v>
      </c>
      <c r="L325" s="49">
        <v>147</v>
      </c>
      <c r="M325" s="49">
        <v>6</v>
      </c>
      <c r="N325" s="49">
        <v>1</v>
      </c>
      <c r="O325" s="53">
        <v>2.49</v>
      </c>
      <c r="P325" s="53">
        <v>126.65</v>
      </c>
      <c r="Q325" s="53">
        <v>479.7</v>
      </c>
      <c r="R325" s="54">
        <f t="shared" si="36"/>
        <v>50.863453815261</v>
      </c>
      <c r="S325" s="55">
        <f t="shared" si="37"/>
        <v>0.166666666666667</v>
      </c>
      <c r="T325" s="55">
        <f t="shared" si="38"/>
        <v>0.0408163265306122</v>
      </c>
      <c r="U325" s="54">
        <f t="shared" si="39"/>
        <v>0.415</v>
      </c>
      <c r="V325" s="54">
        <f t="shared" si="40"/>
        <v>2.49</v>
      </c>
      <c r="W325" s="55">
        <f t="shared" si="41"/>
        <v>0.0196604816423214</v>
      </c>
      <c r="X325" s="55">
        <f t="shared" si="35"/>
        <v>0.00519074421513446</v>
      </c>
      <c r="Y325" s="49" t="s">
        <v>62</v>
      </c>
    </row>
    <row r="326" customFormat="1" ht="22.5" customHeight="1" spans="1:25">
      <c r="A326" s="49" t="s">
        <v>606</v>
      </c>
      <c r="B326" s="49" t="s">
        <v>574</v>
      </c>
      <c r="C326" s="49" t="s">
        <v>395</v>
      </c>
      <c r="D326" s="64">
        <v>188307751556</v>
      </c>
      <c r="E326" s="49" t="s">
        <v>483</v>
      </c>
      <c r="F326" s="51">
        <v>46142</v>
      </c>
      <c r="G326" s="52">
        <v>46135</v>
      </c>
      <c r="H326" s="52">
        <v>46142</v>
      </c>
      <c r="I326" s="52" t="s">
        <v>484</v>
      </c>
      <c r="J326" s="52" t="s">
        <v>497</v>
      </c>
      <c r="K326" s="52" t="s">
        <v>34</v>
      </c>
      <c r="L326" s="49">
        <v>39</v>
      </c>
      <c r="M326" s="49">
        <v>6</v>
      </c>
      <c r="N326" s="49">
        <v>1</v>
      </c>
      <c r="O326" s="53">
        <v>2.22</v>
      </c>
      <c r="P326" s="53">
        <v>150</v>
      </c>
      <c r="Q326" s="53">
        <v>150</v>
      </c>
      <c r="R326" s="54">
        <f t="shared" si="36"/>
        <v>67.5675675675676</v>
      </c>
      <c r="S326" s="55">
        <f t="shared" si="37"/>
        <v>0.166666666666667</v>
      </c>
      <c r="T326" s="55">
        <f t="shared" si="38"/>
        <v>0.153846153846154</v>
      </c>
      <c r="U326" s="54">
        <f t="shared" si="39"/>
        <v>0.37</v>
      </c>
      <c r="V326" s="54">
        <f t="shared" si="40"/>
        <v>2.22</v>
      </c>
      <c r="W326" s="55">
        <f t="shared" si="41"/>
        <v>0.0148</v>
      </c>
      <c r="X326" s="55">
        <f t="shared" si="35"/>
        <v>0.0148</v>
      </c>
      <c r="Y326" s="49" t="s">
        <v>62</v>
      </c>
    </row>
    <row r="327" customFormat="1" ht="22.5" customHeight="1" spans="1:25">
      <c r="A327" s="49" t="s">
        <v>606</v>
      </c>
      <c r="B327" s="49" t="s">
        <v>599</v>
      </c>
      <c r="C327" s="49" t="s">
        <v>339</v>
      </c>
      <c r="D327" s="64">
        <v>188144177490</v>
      </c>
      <c r="E327" s="49" t="s">
        <v>483</v>
      </c>
      <c r="F327" s="51">
        <v>46104</v>
      </c>
      <c r="G327" s="52">
        <v>46092</v>
      </c>
      <c r="H327" s="52">
        <v>46104</v>
      </c>
      <c r="I327" s="52" t="s">
        <v>484</v>
      </c>
      <c r="J327" s="52" t="s">
        <v>489</v>
      </c>
      <c r="K327" s="52" t="s">
        <v>34</v>
      </c>
      <c r="L327" s="49">
        <v>658</v>
      </c>
      <c r="M327" s="49">
        <v>4</v>
      </c>
      <c r="N327" s="49">
        <v>1</v>
      </c>
      <c r="O327" s="53">
        <v>1.46</v>
      </c>
      <c r="P327" s="53">
        <v>12.18</v>
      </c>
      <c r="Q327" s="53">
        <v>81.03</v>
      </c>
      <c r="R327" s="54">
        <f t="shared" si="36"/>
        <v>8.34246575342466</v>
      </c>
      <c r="S327" s="55">
        <f t="shared" si="37"/>
        <v>0.25</v>
      </c>
      <c r="T327" s="55">
        <f t="shared" si="38"/>
        <v>0.0060790273556231</v>
      </c>
      <c r="U327" s="54">
        <f t="shared" si="39"/>
        <v>0.365</v>
      </c>
      <c r="V327" s="54">
        <f t="shared" si="40"/>
        <v>1.46</v>
      </c>
      <c r="W327" s="55">
        <f t="shared" si="41"/>
        <v>0.119868637110016</v>
      </c>
      <c r="X327" s="55">
        <f t="shared" si="35"/>
        <v>0.018018018018018</v>
      </c>
      <c r="Y327" s="49" t="s">
        <v>62</v>
      </c>
    </row>
    <row r="328" customFormat="1" ht="22.5" customHeight="1" spans="1:25">
      <c r="A328" s="49" t="s">
        <v>606</v>
      </c>
      <c r="B328" s="49" t="s">
        <v>538</v>
      </c>
      <c r="C328" s="49" t="s">
        <v>334</v>
      </c>
      <c r="D328" s="64">
        <v>177944141581</v>
      </c>
      <c r="E328" s="49" t="s">
        <v>483</v>
      </c>
      <c r="F328" s="51">
        <v>46092</v>
      </c>
      <c r="G328" s="52">
        <v>46091</v>
      </c>
      <c r="H328" s="52">
        <v>46106</v>
      </c>
      <c r="I328" s="52" t="s">
        <v>484</v>
      </c>
      <c r="J328" s="52" t="s">
        <v>489</v>
      </c>
      <c r="K328" s="52" t="s">
        <v>34</v>
      </c>
      <c r="L328" s="49">
        <v>527</v>
      </c>
      <c r="M328" s="49">
        <v>4</v>
      </c>
      <c r="N328" s="49">
        <v>1</v>
      </c>
      <c r="O328" s="53">
        <v>1.27</v>
      </c>
      <c r="P328" s="53">
        <v>40.66</v>
      </c>
      <c r="Q328" s="53">
        <v>38</v>
      </c>
      <c r="R328" s="54">
        <f t="shared" si="36"/>
        <v>32.0157480314961</v>
      </c>
      <c r="S328" s="55">
        <f t="shared" si="37"/>
        <v>0.25</v>
      </c>
      <c r="T328" s="55">
        <f t="shared" si="38"/>
        <v>0.00759013282732448</v>
      </c>
      <c r="U328" s="54">
        <f t="shared" si="39"/>
        <v>0.3175</v>
      </c>
      <c r="V328" s="54">
        <f t="shared" si="40"/>
        <v>1.27</v>
      </c>
      <c r="W328" s="55">
        <f t="shared" si="41"/>
        <v>0.0312346286276439</v>
      </c>
      <c r="X328" s="55">
        <f t="shared" si="35"/>
        <v>0.0334210526315789</v>
      </c>
      <c r="Y328" s="49" t="s">
        <v>62</v>
      </c>
    </row>
    <row r="329" customFormat="1" ht="22.5" customHeight="1" spans="1:25">
      <c r="A329" s="49" t="s">
        <v>606</v>
      </c>
      <c r="B329" s="49" t="s">
        <v>549</v>
      </c>
      <c r="C329" s="49" t="s">
        <v>319</v>
      </c>
      <c r="D329" s="64">
        <v>227241168840</v>
      </c>
      <c r="E329" s="49" t="s">
        <v>488</v>
      </c>
      <c r="F329" s="51">
        <v>46097</v>
      </c>
      <c r="G329" s="52">
        <v>46085</v>
      </c>
      <c r="H329" s="52">
        <v>46100</v>
      </c>
      <c r="I329" s="52" t="s">
        <v>484</v>
      </c>
      <c r="J329" s="52" t="s">
        <v>30</v>
      </c>
      <c r="K329" s="52" t="s">
        <v>34</v>
      </c>
      <c r="L329" s="49">
        <v>400</v>
      </c>
      <c r="M329" s="49">
        <v>4</v>
      </c>
      <c r="N329" s="49">
        <v>1</v>
      </c>
      <c r="O329" s="53">
        <v>1.7</v>
      </c>
      <c r="P329" s="53">
        <v>30.8</v>
      </c>
      <c r="Q329" s="53">
        <v>112.76</v>
      </c>
      <c r="R329" s="54">
        <f t="shared" si="36"/>
        <v>18.1176470588235</v>
      </c>
      <c r="S329" s="55">
        <f t="shared" si="37"/>
        <v>0.25</v>
      </c>
      <c r="T329" s="55">
        <f t="shared" si="38"/>
        <v>0.01</v>
      </c>
      <c r="U329" s="54">
        <f t="shared" si="39"/>
        <v>0.425</v>
      </c>
      <c r="V329" s="54">
        <f t="shared" si="40"/>
        <v>1.7</v>
      </c>
      <c r="W329" s="55">
        <f t="shared" si="41"/>
        <v>0.0551948051948052</v>
      </c>
      <c r="X329" s="55">
        <f t="shared" si="35"/>
        <v>0.0150762681802057</v>
      </c>
      <c r="Y329" s="49" t="s">
        <v>62</v>
      </c>
    </row>
    <row r="330" customFormat="1" ht="22.5" customHeight="1" spans="1:25">
      <c r="A330" s="49" t="s">
        <v>606</v>
      </c>
      <c r="B330" s="49" t="s">
        <v>592</v>
      </c>
      <c r="C330" s="49" t="s">
        <v>329</v>
      </c>
      <c r="D330" s="64">
        <v>227242600308</v>
      </c>
      <c r="E330" s="49" t="s">
        <v>488</v>
      </c>
      <c r="F330" s="51">
        <v>46087</v>
      </c>
      <c r="G330" s="52">
        <v>46086</v>
      </c>
      <c r="H330" s="52">
        <v>46094</v>
      </c>
      <c r="I330" s="52" t="s">
        <v>496</v>
      </c>
      <c r="J330" s="52" t="s">
        <v>30</v>
      </c>
      <c r="K330" s="52" t="s">
        <v>34</v>
      </c>
      <c r="L330" s="49">
        <v>683</v>
      </c>
      <c r="M330" s="49">
        <v>3</v>
      </c>
      <c r="N330" s="49">
        <v>1</v>
      </c>
      <c r="O330" s="53">
        <v>1.49</v>
      </c>
      <c r="P330" s="53">
        <v>23.87</v>
      </c>
      <c r="Q330" s="53">
        <v>0</v>
      </c>
      <c r="R330" s="54">
        <f t="shared" si="36"/>
        <v>16.0201342281879</v>
      </c>
      <c r="S330" s="55">
        <f t="shared" si="37"/>
        <v>0.333333333333333</v>
      </c>
      <c r="T330" s="55">
        <f t="shared" si="38"/>
        <v>0.00439238653001464</v>
      </c>
      <c r="U330" s="54">
        <f t="shared" si="39"/>
        <v>0.496666666666667</v>
      </c>
      <c r="V330" s="54">
        <f t="shared" si="40"/>
        <v>1.49</v>
      </c>
      <c r="W330" s="55">
        <f t="shared" si="41"/>
        <v>0.0624214495182237</v>
      </c>
      <c r="X330" s="55" t="e">
        <f t="shared" si="35"/>
        <v>#DIV/0!</v>
      </c>
      <c r="Y330" s="49" t="s">
        <v>49</v>
      </c>
    </row>
    <row r="331" customFormat="1" ht="22.5" customHeight="1" spans="1:25">
      <c r="A331" s="49" t="s">
        <v>606</v>
      </c>
      <c r="B331" s="49" t="s">
        <v>559</v>
      </c>
      <c r="C331" s="49" t="s">
        <v>389</v>
      </c>
      <c r="D331" s="64">
        <v>188306721459</v>
      </c>
      <c r="E331" s="49" t="s">
        <v>483</v>
      </c>
      <c r="F331" s="51">
        <v>46136</v>
      </c>
      <c r="G331" s="52">
        <v>46135</v>
      </c>
      <c r="H331" s="52">
        <v>46155</v>
      </c>
      <c r="I331" s="52" t="s">
        <v>520</v>
      </c>
      <c r="J331" s="52" t="s">
        <v>521</v>
      </c>
      <c r="K331" s="52" t="s">
        <v>34</v>
      </c>
      <c r="L331" s="49">
        <v>350</v>
      </c>
      <c r="M331" s="49">
        <v>3</v>
      </c>
      <c r="N331" s="49">
        <v>1</v>
      </c>
      <c r="O331" s="53">
        <v>2.43</v>
      </c>
      <c r="P331" s="53">
        <v>90.95</v>
      </c>
      <c r="Q331" s="53">
        <v>85</v>
      </c>
      <c r="R331" s="54">
        <f t="shared" si="36"/>
        <v>37.4279835390946</v>
      </c>
      <c r="S331" s="55">
        <f t="shared" si="37"/>
        <v>0.333333333333333</v>
      </c>
      <c r="T331" s="55">
        <f t="shared" si="38"/>
        <v>0.00857142857142857</v>
      </c>
      <c r="U331" s="54">
        <f t="shared" si="39"/>
        <v>0.81</v>
      </c>
      <c r="V331" s="54">
        <f t="shared" si="40"/>
        <v>2.43</v>
      </c>
      <c r="W331" s="55">
        <f t="shared" si="41"/>
        <v>0.0267179769103903</v>
      </c>
      <c r="X331" s="55">
        <f t="shared" si="35"/>
        <v>0.0285882352941177</v>
      </c>
      <c r="Y331" s="49" t="s">
        <v>62</v>
      </c>
    </row>
    <row r="332" customFormat="1" ht="22.5" customHeight="1" spans="1:25">
      <c r="A332" s="49" t="s">
        <v>606</v>
      </c>
      <c r="B332" s="49" t="s">
        <v>75</v>
      </c>
      <c r="C332" s="49" t="s">
        <v>78</v>
      </c>
      <c r="D332" s="64">
        <v>188307728772</v>
      </c>
      <c r="E332" s="49" t="s">
        <v>483</v>
      </c>
      <c r="F332" s="51">
        <v>46136</v>
      </c>
      <c r="G332" s="52">
        <v>46135</v>
      </c>
      <c r="H332" s="52">
        <v>46135</v>
      </c>
      <c r="I332" s="52" t="s">
        <v>26</v>
      </c>
      <c r="J332" s="52" t="s">
        <v>518</v>
      </c>
      <c r="K332" s="52" t="s">
        <v>34</v>
      </c>
      <c r="L332" s="49">
        <v>1708</v>
      </c>
      <c r="M332" s="49">
        <v>22</v>
      </c>
      <c r="N332" s="49">
        <v>0</v>
      </c>
      <c r="O332" s="53">
        <v>14.57</v>
      </c>
      <c r="P332" s="53">
        <v>0</v>
      </c>
      <c r="Q332" s="53">
        <v>125</v>
      </c>
      <c r="R332" s="54">
        <f t="shared" si="36"/>
        <v>0</v>
      </c>
      <c r="S332" s="55">
        <f t="shared" si="37"/>
        <v>0</v>
      </c>
      <c r="T332" s="55">
        <f t="shared" si="38"/>
        <v>0.0128805620608899</v>
      </c>
      <c r="U332" s="54">
        <f t="shared" si="39"/>
        <v>0.662272727272727</v>
      </c>
      <c r="V332" s="54" t="e">
        <f t="shared" si="40"/>
        <v>#DIV/0!</v>
      </c>
      <c r="W332" s="55" t="e">
        <f t="shared" si="41"/>
        <v>#DIV/0!</v>
      </c>
      <c r="X332" s="55">
        <f t="shared" si="35"/>
        <v>0.11656</v>
      </c>
      <c r="Y332" s="49" t="s">
        <v>62</v>
      </c>
    </row>
    <row r="333" customFormat="1" ht="22.5" customHeight="1" spans="1:25">
      <c r="A333" s="49" t="s">
        <v>606</v>
      </c>
      <c r="B333" s="49" t="s">
        <v>590</v>
      </c>
      <c r="C333" s="49" t="s">
        <v>419</v>
      </c>
      <c r="D333" s="64">
        <v>178118497497</v>
      </c>
      <c r="E333" s="49" t="s">
        <v>483</v>
      </c>
      <c r="F333" s="51">
        <v>46151</v>
      </c>
      <c r="G333" s="52">
        <v>46151</v>
      </c>
      <c r="H333" s="52" t="s">
        <v>149</v>
      </c>
      <c r="I333" s="52" t="s">
        <v>520</v>
      </c>
      <c r="J333" s="52" t="s">
        <v>518</v>
      </c>
      <c r="K333" s="52" t="s">
        <v>34</v>
      </c>
      <c r="L333" s="49">
        <v>982</v>
      </c>
      <c r="M333" s="49">
        <v>17</v>
      </c>
      <c r="N333" s="49">
        <v>0</v>
      </c>
      <c r="O333" s="53">
        <v>14.88</v>
      </c>
      <c r="P333" s="53">
        <v>0</v>
      </c>
      <c r="Q333" s="53">
        <v>0</v>
      </c>
      <c r="R333" s="54">
        <f t="shared" si="36"/>
        <v>0</v>
      </c>
      <c r="S333" s="55">
        <f t="shared" si="37"/>
        <v>0</v>
      </c>
      <c r="T333" s="55">
        <f t="shared" si="38"/>
        <v>0.0173116089613035</v>
      </c>
      <c r="U333" s="54">
        <f t="shared" si="39"/>
        <v>0.875294117647059</v>
      </c>
      <c r="V333" s="54" t="e">
        <f t="shared" si="40"/>
        <v>#DIV/0!</v>
      </c>
      <c r="W333" s="55" t="e">
        <f t="shared" si="41"/>
        <v>#DIV/0!</v>
      </c>
      <c r="X333" s="55" t="e">
        <f t="shared" si="35"/>
        <v>#DIV/0!</v>
      </c>
      <c r="Y333" s="49" t="s">
        <v>62</v>
      </c>
    </row>
    <row r="334" customFormat="1" ht="22.5" customHeight="1" spans="1:25">
      <c r="A334" s="49" t="s">
        <v>606</v>
      </c>
      <c r="B334" s="49" t="s">
        <v>604</v>
      </c>
      <c r="C334" s="49" t="s">
        <v>428</v>
      </c>
      <c r="D334" s="64">
        <v>188370871591</v>
      </c>
      <c r="E334" s="49" t="s">
        <v>483</v>
      </c>
      <c r="F334" s="51">
        <v>46154</v>
      </c>
      <c r="G334" s="52">
        <v>46153</v>
      </c>
      <c r="H334" s="52" t="s">
        <v>149</v>
      </c>
      <c r="I334" s="52" t="s">
        <v>505</v>
      </c>
      <c r="J334" s="52" t="s">
        <v>518</v>
      </c>
      <c r="K334" s="52" t="s">
        <v>34</v>
      </c>
      <c r="L334" s="49">
        <v>1292</v>
      </c>
      <c r="M334" s="49">
        <v>15</v>
      </c>
      <c r="N334" s="49">
        <v>0</v>
      </c>
      <c r="O334" s="53">
        <v>21</v>
      </c>
      <c r="P334" s="53">
        <v>0</v>
      </c>
      <c r="Q334" s="53">
        <v>0</v>
      </c>
      <c r="R334" s="54">
        <f t="shared" si="36"/>
        <v>0</v>
      </c>
      <c r="S334" s="55">
        <f t="shared" si="37"/>
        <v>0</v>
      </c>
      <c r="T334" s="55">
        <f t="shared" si="38"/>
        <v>0.011609907120743</v>
      </c>
      <c r="U334" s="54">
        <f t="shared" si="39"/>
        <v>1.4</v>
      </c>
      <c r="V334" s="54" t="e">
        <f t="shared" si="40"/>
        <v>#DIV/0!</v>
      </c>
      <c r="W334" s="55" t="e">
        <f t="shared" si="41"/>
        <v>#DIV/0!</v>
      </c>
      <c r="X334" s="55" t="e">
        <f t="shared" si="35"/>
        <v>#DIV/0!</v>
      </c>
      <c r="Y334" s="49" t="s">
        <v>62</v>
      </c>
    </row>
    <row r="335" customFormat="1" ht="22.5" customHeight="1" spans="1:25">
      <c r="A335" s="49" t="s">
        <v>606</v>
      </c>
      <c r="B335" s="49" t="s">
        <v>498</v>
      </c>
      <c r="C335" s="49" t="s">
        <v>376</v>
      </c>
      <c r="D335" s="64">
        <v>177997411142</v>
      </c>
      <c r="E335" s="49" t="s">
        <v>483</v>
      </c>
      <c r="F335" s="51">
        <v>46109</v>
      </c>
      <c r="G335" s="52">
        <v>46108</v>
      </c>
      <c r="H335" s="52">
        <v>46116</v>
      </c>
      <c r="I335" s="52" t="s">
        <v>484</v>
      </c>
      <c r="J335" s="52" t="s">
        <v>489</v>
      </c>
      <c r="K335" s="52" t="s">
        <v>493</v>
      </c>
      <c r="L335" s="49">
        <v>512</v>
      </c>
      <c r="M335" s="49">
        <v>15</v>
      </c>
      <c r="N335" s="49">
        <v>0</v>
      </c>
      <c r="O335" s="53">
        <v>5.74</v>
      </c>
      <c r="P335" s="53">
        <v>0</v>
      </c>
      <c r="Q335" s="53">
        <v>85.5</v>
      </c>
      <c r="R335" s="54">
        <f t="shared" si="36"/>
        <v>0</v>
      </c>
      <c r="S335" s="55">
        <f t="shared" si="37"/>
        <v>0</v>
      </c>
      <c r="T335" s="55">
        <f t="shared" si="38"/>
        <v>0.029296875</v>
      </c>
      <c r="U335" s="54">
        <f t="shared" si="39"/>
        <v>0.382666666666667</v>
      </c>
      <c r="V335" s="54" t="e">
        <f t="shared" si="40"/>
        <v>#DIV/0!</v>
      </c>
      <c r="W335" s="55" t="e">
        <f t="shared" si="41"/>
        <v>#DIV/0!</v>
      </c>
      <c r="X335" s="55">
        <f t="shared" si="35"/>
        <v>0.0671345029239766</v>
      </c>
      <c r="Y335" s="49" t="s">
        <v>62</v>
      </c>
    </row>
    <row r="336" customFormat="1" ht="22.5" customHeight="1" spans="1:25">
      <c r="A336" s="49" t="s">
        <v>606</v>
      </c>
      <c r="B336" s="49" t="s">
        <v>591</v>
      </c>
      <c r="C336" s="49" t="s">
        <v>426</v>
      </c>
      <c r="D336" s="64">
        <v>178118198199</v>
      </c>
      <c r="E336" s="49" t="s">
        <v>483</v>
      </c>
      <c r="F336" s="51">
        <v>46151</v>
      </c>
      <c r="G336" s="52">
        <v>46151</v>
      </c>
      <c r="H336" s="52" t="s">
        <v>149</v>
      </c>
      <c r="I336" s="52" t="s">
        <v>484</v>
      </c>
      <c r="J336" s="52" t="s">
        <v>497</v>
      </c>
      <c r="K336" s="52" t="s">
        <v>34</v>
      </c>
      <c r="L336" s="49">
        <v>1436</v>
      </c>
      <c r="M336" s="49">
        <v>12</v>
      </c>
      <c r="N336" s="49">
        <v>0</v>
      </c>
      <c r="O336" s="53">
        <v>5.18</v>
      </c>
      <c r="P336" s="53">
        <v>0</v>
      </c>
      <c r="Q336" s="53">
        <v>0</v>
      </c>
      <c r="R336" s="54">
        <f t="shared" si="36"/>
        <v>0</v>
      </c>
      <c r="S336" s="55">
        <f t="shared" si="37"/>
        <v>0</v>
      </c>
      <c r="T336" s="55">
        <f t="shared" si="38"/>
        <v>0.00835654596100279</v>
      </c>
      <c r="U336" s="54">
        <f t="shared" si="39"/>
        <v>0.431666666666667</v>
      </c>
      <c r="V336" s="54" t="e">
        <f t="shared" si="40"/>
        <v>#DIV/0!</v>
      </c>
      <c r="W336" s="55" t="e">
        <f t="shared" si="41"/>
        <v>#DIV/0!</v>
      </c>
      <c r="X336" s="55" t="e">
        <f t="shared" si="35"/>
        <v>#DIV/0!</v>
      </c>
      <c r="Y336" s="49" t="s">
        <v>62</v>
      </c>
    </row>
    <row r="337" customFormat="1" ht="22.5" customHeight="1" spans="1:25">
      <c r="A337" s="49" t="s">
        <v>606</v>
      </c>
      <c r="B337" s="49" t="s">
        <v>566</v>
      </c>
      <c r="C337" s="49" t="s">
        <v>378</v>
      </c>
      <c r="D337" s="64">
        <v>117115641168</v>
      </c>
      <c r="E337" s="49" t="s">
        <v>502</v>
      </c>
      <c r="F337" s="51">
        <v>46140</v>
      </c>
      <c r="G337" s="52">
        <v>46108</v>
      </c>
      <c r="H337" s="52" t="s">
        <v>149</v>
      </c>
      <c r="I337" s="52" t="s">
        <v>26</v>
      </c>
      <c r="J337" s="52" t="s">
        <v>30</v>
      </c>
      <c r="K337" s="52" t="s">
        <v>493</v>
      </c>
      <c r="L337" s="49">
        <v>2866</v>
      </c>
      <c r="M337" s="49">
        <v>11</v>
      </c>
      <c r="N337" s="49">
        <v>0</v>
      </c>
      <c r="O337" s="53">
        <v>5</v>
      </c>
      <c r="P337" s="53">
        <v>0</v>
      </c>
      <c r="Q337" s="53">
        <v>0</v>
      </c>
      <c r="R337" s="54">
        <f t="shared" si="36"/>
        <v>0</v>
      </c>
      <c r="S337" s="55">
        <f t="shared" si="37"/>
        <v>0</v>
      </c>
      <c r="T337" s="55">
        <f t="shared" si="38"/>
        <v>0.00383810188415911</v>
      </c>
      <c r="U337" s="54">
        <f t="shared" si="39"/>
        <v>0.454545454545455</v>
      </c>
      <c r="V337" s="54" t="e">
        <f t="shared" si="40"/>
        <v>#DIV/0!</v>
      </c>
      <c r="W337" s="55" t="e">
        <f t="shared" si="41"/>
        <v>#DIV/0!</v>
      </c>
      <c r="X337" s="55" t="e">
        <f t="shared" si="35"/>
        <v>#DIV/0!</v>
      </c>
      <c r="Y337" s="49" t="s">
        <v>62</v>
      </c>
    </row>
    <row r="338" customFormat="1" ht="22.5" customHeight="1" spans="1:25">
      <c r="A338" s="49" t="s">
        <v>606</v>
      </c>
      <c r="B338" s="49" t="s">
        <v>579</v>
      </c>
      <c r="C338" s="49" t="s">
        <v>400</v>
      </c>
      <c r="D338" s="64">
        <v>178088445830</v>
      </c>
      <c r="E338" s="49" t="s">
        <v>483</v>
      </c>
      <c r="F338" s="51">
        <v>46143</v>
      </c>
      <c r="G338" s="52">
        <v>46141</v>
      </c>
      <c r="H338" s="52">
        <v>46143</v>
      </c>
      <c r="I338" s="52" t="s">
        <v>505</v>
      </c>
      <c r="J338" s="52" t="s">
        <v>518</v>
      </c>
      <c r="K338" s="52" t="s">
        <v>34</v>
      </c>
      <c r="L338" s="49">
        <v>1128</v>
      </c>
      <c r="M338" s="49">
        <v>11</v>
      </c>
      <c r="N338" s="49">
        <v>0</v>
      </c>
      <c r="O338" s="53">
        <v>6.52</v>
      </c>
      <c r="P338" s="53">
        <v>0</v>
      </c>
      <c r="Q338" s="53">
        <v>0</v>
      </c>
      <c r="R338" s="54">
        <f t="shared" si="36"/>
        <v>0</v>
      </c>
      <c r="S338" s="55">
        <f t="shared" si="37"/>
        <v>0</v>
      </c>
      <c r="T338" s="55">
        <f t="shared" si="38"/>
        <v>0.00975177304964539</v>
      </c>
      <c r="U338" s="54">
        <f t="shared" si="39"/>
        <v>0.592727272727273</v>
      </c>
      <c r="V338" s="54" t="e">
        <f t="shared" si="40"/>
        <v>#DIV/0!</v>
      </c>
      <c r="W338" s="55" t="e">
        <f t="shared" si="41"/>
        <v>#DIV/0!</v>
      </c>
      <c r="X338" s="55" t="e">
        <f t="shared" si="35"/>
        <v>#DIV/0!</v>
      </c>
      <c r="Y338" s="49" t="s">
        <v>62</v>
      </c>
    </row>
    <row r="339" customFormat="1" ht="22.5" customHeight="1" spans="1:25">
      <c r="A339" s="49" t="s">
        <v>606</v>
      </c>
      <c r="B339" s="49" t="s">
        <v>594</v>
      </c>
      <c r="C339" s="49" t="s">
        <v>412</v>
      </c>
      <c r="D339" s="64">
        <v>117178509718</v>
      </c>
      <c r="E339" s="49" t="s">
        <v>502</v>
      </c>
      <c r="F339" s="51">
        <v>46153</v>
      </c>
      <c r="G339" s="52">
        <v>46142</v>
      </c>
      <c r="H339" s="52" t="s">
        <v>149</v>
      </c>
      <c r="I339" s="52" t="s">
        <v>484</v>
      </c>
      <c r="J339" s="52" t="s">
        <v>497</v>
      </c>
      <c r="K339" s="52" t="s">
        <v>34</v>
      </c>
      <c r="L339" s="49">
        <v>882</v>
      </c>
      <c r="M339" s="49">
        <v>11</v>
      </c>
      <c r="N339" s="49">
        <v>0</v>
      </c>
      <c r="O339" s="53">
        <v>5.67</v>
      </c>
      <c r="P339" s="53">
        <v>0</v>
      </c>
      <c r="Q339" s="53">
        <v>0</v>
      </c>
      <c r="R339" s="54">
        <f t="shared" si="36"/>
        <v>0</v>
      </c>
      <c r="S339" s="55">
        <f t="shared" si="37"/>
        <v>0</v>
      </c>
      <c r="T339" s="55">
        <f t="shared" si="38"/>
        <v>0.0124716553287982</v>
      </c>
      <c r="U339" s="54">
        <f t="shared" si="39"/>
        <v>0.515454545454545</v>
      </c>
      <c r="V339" s="54" t="e">
        <f t="shared" si="40"/>
        <v>#DIV/0!</v>
      </c>
      <c r="W339" s="55" t="e">
        <f t="shared" si="41"/>
        <v>#DIV/0!</v>
      </c>
      <c r="X339" s="55" t="e">
        <f t="shared" si="35"/>
        <v>#DIV/0!</v>
      </c>
      <c r="Y339" s="49" t="s">
        <v>49</v>
      </c>
    </row>
    <row r="340" customFormat="1" ht="22.5" customHeight="1" spans="1:25">
      <c r="A340" s="49" t="s">
        <v>606</v>
      </c>
      <c r="B340" s="49" t="s">
        <v>573</v>
      </c>
      <c r="C340" s="49" t="s">
        <v>382</v>
      </c>
      <c r="D340" s="64">
        <v>177997447464</v>
      </c>
      <c r="E340" s="49" t="s">
        <v>483</v>
      </c>
      <c r="F340" s="51">
        <v>46142</v>
      </c>
      <c r="G340" s="52">
        <v>46108</v>
      </c>
      <c r="H340" s="52">
        <v>46111</v>
      </c>
      <c r="I340" s="52" t="s">
        <v>496</v>
      </c>
      <c r="J340" s="52" t="s">
        <v>497</v>
      </c>
      <c r="K340" s="52" t="s">
        <v>34</v>
      </c>
      <c r="L340" s="49">
        <v>59</v>
      </c>
      <c r="M340" s="49">
        <v>11</v>
      </c>
      <c r="N340" s="49">
        <v>0</v>
      </c>
      <c r="O340" s="53">
        <v>5.32</v>
      </c>
      <c r="P340" s="53">
        <v>0</v>
      </c>
      <c r="Q340" s="53">
        <v>116</v>
      </c>
      <c r="R340" s="54">
        <f t="shared" si="36"/>
        <v>0</v>
      </c>
      <c r="S340" s="55">
        <f t="shared" si="37"/>
        <v>0</v>
      </c>
      <c r="T340" s="55">
        <f t="shared" si="38"/>
        <v>0.186440677966102</v>
      </c>
      <c r="U340" s="54">
        <f t="shared" si="39"/>
        <v>0.483636363636364</v>
      </c>
      <c r="V340" s="54" t="e">
        <f t="shared" si="40"/>
        <v>#DIV/0!</v>
      </c>
      <c r="W340" s="55" t="e">
        <f t="shared" si="41"/>
        <v>#DIV/0!</v>
      </c>
      <c r="X340" s="55">
        <f t="shared" si="35"/>
        <v>0.0458620689655172</v>
      </c>
      <c r="Y340" s="49" t="s">
        <v>62</v>
      </c>
    </row>
    <row r="341" customFormat="1" ht="22.5" customHeight="1" spans="1:25">
      <c r="A341" s="49" t="s">
        <v>606</v>
      </c>
      <c r="B341" s="49" t="s">
        <v>519</v>
      </c>
      <c r="C341" s="49" t="s">
        <v>356</v>
      </c>
      <c r="D341" s="64">
        <v>177965595242</v>
      </c>
      <c r="E341" s="49" t="s">
        <v>483</v>
      </c>
      <c r="F341" s="51">
        <v>46100</v>
      </c>
      <c r="G341" s="52">
        <v>46097</v>
      </c>
      <c r="H341" s="52">
        <v>46100</v>
      </c>
      <c r="I341" s="52" t="s">
        <v>520</v>
      </c>
      <c r="J341" s="52" t="s">
        <v>521</v>
      </c>
      <c r="K341" s="52" t="s">
        <v>34</v>
      </c>
      <c r="L341" s="49">
        <v>1550</v>
      </c>
      <c r="M341" s="49">
        <v>10</v>
      </c>
      <c r="N341" s="49">
        <v>0</v>
      </c>
      <c r="O341" s="53">
        <v>7.19</v>
      </c>
      <c r="P341" s="53">
        <v>0</v>
      </c>
      <c r="Q341" s="53">
        <v>0</v>
      </c>
      <c r="R341" s="54">
        <f t="shared" si="36"/>
        <v>0</v>
      </c>
      <c r="S341" s="55">
        <f t="shared" si="37"/>
        <v>0</v>
      </c>
      <c r="T341" s="55">
        <f t="shared" si="38"/>
        <v>0.00645161290322581</v>
      </c>
      <c r="U341" s="54">
        <f t="shared" si="39"/>
        <v>0.719</v>
      </c>
      <c r="V341" s="54" t="e">
        <f t="shared" si="40"/>
        <v>#DIV/0!</v>
      </c>
      <c r="W341" s="55" t="e">
        <f t="shared" si="41"/>
        <v>#DIV/0!</v>
      </c>
      <c r="X341" s="55" t="e">
        <f t="shared" si="35"/>
        <v>#DIV/0!</v>
      </c>
      <c r="Y341" s="49" t="s">
        <v>49</v>
      </c>
    </row>
    <row r="342" customFormat="1" ht="22.5" customHeight="1" spans="1:25">
      <c r="A342" s="49" t="s">
        <v>606</v>
      </c>
      <c r="B342" s="49" t="s">
        <v>571</v>
      </c>
      <c r="C342" s="49" t="s">
        <v>406</v>
      </c>
      <c r="D342" s="64">
        <v>188328132045</v>
      </c>
      <c r="E342" s="49" t="s">
        <v>483</v>
      </c>
      <c r="F342" s="51">
        <v>46142</v>
      </c>
      <c r="G342" s="52">
        <v>46141</v>
      </c>
      <c r="H342" s="52">
        <v>46158</v>
      </c>
      <c r="I342" s="52" t="s">
        <v>484</v>
      </c>
      <c r="J342" s="52" t="s">
        <v>497</v>
      </c>
      <c r="K342" s="52" t="s">
        <v>34</v>
      </c>
      <c r="L342" s="49">
        <v>186</v>
      </c>
      <c r="M342" s="49">
        <v>8</v>
      </c>
      <c r="N342" s="49">
        <v>0</v>
      </c>
      <c r="O342" s="53">
        <v>6.04</v>
      </c>
      <c r="P342" s="53">
        <v>0</v>
      </c>
      <c r="Q342" s="53">
        <v>79.9</v>
      </c>
      <c r="R342" s="54">
        <f t="shared" si="36"/>
        <v>0</v>
      </c>
      <c r="S342" s="55">
        <f t="shared" si="37"/>
        <v>0</v>
      </c>
      <c r="T342" s="55">
        <f t="shared" si="38"/>
        <v>0.043010752688172</v>
      </c>
      <c r="U342" s="54">
        <f t="shared" si="39"/>
        <v>0.755</v>
      </c>
      <c r="V342" s="54" t="e">
        <f t="shared" si="40"/>
        <v>#DIV/0!</v>
      </c>
      <c r="W342" s="55" t="e">
        <f t="shared" si="41"/>
        <v>#DIV/0!</v>
      </c>
      <c r="X342" s="55">
        <f t="shared" si="35"/>
        <v>0.0755944931163955</v>
      </c>
      <c r="Y342" s="49" t="s">
        <v>62</v>
      </c>
    </row>
    <row r="343" customFormat="1" ht="22.5" customHeight="1" spans="1:25">
      <c r="A343" s="49" t="s">
        <v>606</v>
      </c>
      <c r="B343" s="49" t="s">
        <v>577</v>
      </c>
      <c r="C343" s="49" t="s">
        <v>398</v>
      </c>
      <c r="D343" s="64">
        <v>188328077040</v>
      </c>
      <c r="E343" s="49" t="s">
        <v>483</v>
      </c>
      <c r="F343" s="51">
        <v>46143</v>
      </c>
      <c r="G343" s="52">
        <v>46141</v>
      </c>
      <c r="H343" s="52">
        <v>46152</v>
      </c>
      <c r="I343" s="52" t="s">
        <v>505</v>
      </c>
      <c r="J343" s="52" t="s">
        <v>518</v>
      </c>
      <c r="K343" s="52" t="s">
        <v>34</v>
      </c>
      <c r="L343" s="49">
        <v>177</v>
      </c>
      <c r="M343" s="49">
        <v>8</v>
      </c>
      <c r="N343" s="49">
        <v>0</v>
      </c>
      <c r="O343" s="53">
        <v>3.2</v>
      </c>
      <c r="P343" s="53">
        <v>0</v>
      </c>
      <c r="Q343" s="53">
        <v>135</v>
      </c>
      <c r="R343" s="54">
        <f t="shared" si="36"/>
        <v>0</v>
      </c>
      <c r="S343" s="55">
        <f t="shared" si="37"/>
        <v>0</v>
      </c>
      <c r="T343" s="55">
        <f t="shared" si="38"/>
        <v>0.0451977401129944</v>
      </c>
      <c r="U343" s="54">
        <f t="shared" si="39"/>
        <v>0.4</v>
      </c>
      <c r="V343" s="54" t="e">
        <f t="shared" si="40"/>
        <v>#DIV/0!</v>
      </c>
      <c r="W343" s="55" t="e">
        <f t="shared" si="41"/>
        <v>#DIV/0!</v>
      </c>
      <c r="X343" s="55">
        <f t="shared" si="35"/>
        <v>0.0237037037037037</v>
      </c>
      <c r="Y343" s="49" t="s">
        <v>62</v>
      </c>
    </row>
    <row r="344" customFormat="1" ht="22.5" customHeight="1" spans="1:25">
      <c r="A344" s="49" t="s">
        <v>606</v>
      </c>
      <c r="B344" s="49" t="s">
        <v>602</v>
      </c>
      <c r="C344" s="49" t="s">
        <v>430</v>
      </c>
      <c r="D344" s="64">
        <v>178124922531</v>
      </c>
      <c r="E344" s="49" t="s">
        <v>483</v>
      </c>
      <c r="F344" s="51">
        <v>46154</v>
      </c>
      <c r="G344" s="52">
        <v>46153</v>
      </c>
      <c r="H344" s="52" t="s">
        <v>149</v>
      </c>
      <c r="I344" s="52" t="s">
        <v>26</v>
      </c>
      <c r="J344" s="52" t="s">
        <v>518</v>
      </c>
      <c r="K344" s="52" t="s">
        <v>34</v>
      </c>
      <c r="L344" s="49">
        <v>775</v>
      </c>
      <c r="M344" s="49">
        <v>7</v>
      </c>
      <c r="N344" s="49">
        <v>0</v>
      </c>
      <c r="O344" s="53">
        <v>9.79</v>
      </c>
      <c r="P344" s="53">
        <v>0</v>
      </c>
      <c r="Q344" s="53">
        <v>0</v>
      </c>
      <c r="R344" s="54">
        <f t="shared" si="36"/>
        <v>0</v>
      </c>
      <c r="S344" s="55">
        <f t="shared" si="37"/>
        <v>0</v>
      </c>
      <c r="T344" s="55">
        <f t="shared" si="38"/>
        <v>0.00903225806451613</v>
      </c>
      <c r="U344" s="54">
        <f t="shared" si="39"/>
        <v>1.39857142857143</v>
      </c>
      <c r="V344" s="54" t="e">
        <f t="shared" si="40"/>
        <v>#DIV/0!</v>
      </c>
      <c r="W344" s="55" t="e">
        <f t="shared" si="41"/>
        <v>#DIV/0!</v>
      </c>
      <c r="X344" s="55" t="e">
        <f t="shared" si="35"/>
        <v>#DIV/0!</v>
      </c>
      <c r="Y344" s="49" t="s">
        <v>62</v>
      </c>
    </row>
    <row r="345" customFormat="1" ht="22.5" customHeight="1" spans="1:25">
      <c r="A345" s="49" t="s">
        <v>606</v>
      </c>
      <c r="B345" s="49" t="s">
        <v>574</v>
      </c>
      <c r="C345" s="49" t="s">
        <v>407</v>
      </c>
      <c r="D345" s="64">
        <v>178088538756</v>
      </c>
      <c r="E345" s="49" t="s">
        <v>483</v>
      </c>
      <c r="F345" s="51">
        <v>46142</v>
      </c>
      <c r="G345" s="52">
        <v>46141</v>
      </c>
      <c r="H345" s="52">
        <v>46153</v>
      </c>
      <c r="I345" s="52" t="s">
        <v>484</v>
      </c>
      <c r="J345" s="52" t="s">
        <v>497</v>
      </c>
      <c r="K345" s="52" t="s">
        <v>34</v>
      </c>
      <c r="L345" s="49">
        <v>57</v>
      </c>
      <c r="M345" s="49">
        <v>7</v>
      </c>
      <c r="N345" s="49">
        <v>0</v>
      </c>
      <c r="O345" s="53">
        <v>3.26</v>
      </c>
      <c r="P345" s="53">
        <v>0</v>
      </c>
      <c r="Q345" s="53">
        <v>120</v>
      </c>
      <c r="R345" s="54">
        <f t="shared" si="36"/>
        <v>0</v>
      </c>
      <c r="S345" s="55">
        <f t="shared" si="37"/>
        <v>0</v>
      </c>
      <c r="T345" s="55">
        <f t="shared" si="38"/>
        <v>0.12280701754386</v>
      </c>
      <c r="U345" s="54">
        <f t="shared" si="39"/>
        <v>0.465714285714286</v>
      </c>
      <c r="V345" s="54" t="e">
        <f t="shared" si="40"/>
        <v>#DIV/0!</v>
      </c>
      <c r="W345" s="55" t="e">
        <f t="shared" si="41"/>
        <v>#DIV/0!</v>
      </c>
      <c r="X345" s="55">
        <f t="shared" si="35"/>
        <v>0.0271666666666667</v>
      </c>
      <c r="Y345" s="49" t="s">
        <v>62</v>
      </c>
    </row>
    <row r="346" customFormat="1" ht="22.5" customHeight="1" spans="1:25">
      <c r="A346" s="49" t="s">
        <v>606</v>
      </c>
      <c r="B346" s="49" t="s">
        <v>579</v>
      </c>
      <c r="C346" s="49" t="s">
        <v>431</v>
      </c>
      <c r="D346" s="64">
        <v>188370908284</v>
      </c>
      <c r="E346" s="49" t="s">
        <v>483</v>
      </c>
      <c r="F346" s="51">
        <v>46143</v>
      </c>
      <c r="G346" s="52">
        <v>46153</v>
      </c>
      <c r="H346" s="52" t="s">
        <v>149</v>
      </c>
      <c r="I346" s="52" t="s">
        <v>505</v>
      </c>
      <c r="J346" s="52" t="s">
        <v>518</v>
      </c>
      <c r="K346" s="52" t="s">
        <v>493</v>
      </c>
      <c r="L346" s="49">
        <v>336</v>
      </c>
      <c r="M346" s="49">
        <v>6</v>
      </c>
      <c r="N346" s="49">
        <v>0</v>
      </c>
      <c r="O346" s="53">
        <v>3.49</v>
      </c>
      <c r="P346" s="53">
        <v>0</v>
      </c>
      <c r="Q346" s="53">
        <v>0</v>
      </c>
      <c r="R346" s="54">
        <f t="shared" si="36"/>
        <v>0</v>
      </c>
      <c r="S346" s="55">
        <f t="shared" si="37"/>
        <v>0</v>
      </c>
      <c r="T346" s="55">
        <f t="shared" si="38"/>
        <v>0.0178571428571429</v>
      </c>
      <c r="U346" s="54">
        <f t="shared" si="39"/>
        <v>0.581666666666667</v>
      </c>
      <c r="V346" s="54" t="e">
        <f t="shared" si="40"/>
        <v>#DIV/0!</v>
      </c>
      <c r="W346" s="55" t="e">
        <f t="shared" si="41"/>
        <v>#DIV/0!</v>
      </c>
      <c r="X346" s="55" t="e">
        <f t="shared" si="35"/>
        <v>#DIV/0!</v>
      </c>
      <c r="Y346" s="49" t="s">
        <v>62</v>
      </c>
    </row>
    <row r="347" customFormat="1" ht="22.5" customHeight="1" spans="1:25">
      <c r="A347" s="49" t="s">
        <v>606</v>
      </c>
      <c r="B347" s="49" t="s">
        <v>561</v>
      </c>
      <c r="C347" s="49" t="s">
        <v>392</v>
      </c>
      <c r="D347" s="64">
        <v>188307740950</v>
      </c>
      <c r="E347" s="49" t="s">
        <v>483</v>
      </c>
      <c r="F347" s="51">
        <v>46137</v>
      </c>
      <c r="G347" s="52">
        <v>46135</v>
      </c>
      <c r="H347" s="52">
        <v>46140</v>
      </c>
      <c r="I347" s="52" t="s">
        <v>496</v>
      </c>
      <c r="J347" s="52" t="s">
        <v>497</v>
      </c>
      <c r="K347" s="52" t="s">
        <v>34</v>
      </c>
      <c r="L347" s="49">
        <v>128</v>
      </c>
      <c r="M347" s="49">
        <v>6</v>
      </c>
      <c r="N347" s="49">
        <v>0</v>
      </c>
      <c r="O347" s="53">
        <v>3.58</v>
      </c>
      <c r="P347" s="53">
        <v>0</v>
      </c>
      <c r="Q347" s="53">
        <v>0</v>
      </c>
      <c r="R347" s="54">
        <f t="shared" si="36"/>
        <v>0</v>
      </c>
      <c r="S347" s="55">
        <f t="shared" si="37"/>
        <v>0</v>
      </c>
      <c r="T347" s="55">
        <f t="shared" si="38"/>
        <v>0.046875</v>
      </c>
      <c r="U347" s="54">
        <f t="shared" si="39"/>
        <v>0.596666666666667</v>
      </c>
      <c r="V347" s="54" t="e">
        <f t="shared" si="40"/>
        <v>#DIV/0!</v>
      </c>
      <c r="W347" s="55" t="e">
        <f t="shared" si="41"/>
        <v>#DIV/0!</v>
      </c>
      <c r="X347" s="55" t="e">
        <f t="shared" si="35"/>
        <v>#DIV/0!</v>
      </c>
      <c r="Y347" s="49" t="s">
        <v>62</v>
      </c>
    </row>
    <row r="348" customFormat="1" ht="22.5" customHeight="1" spans="1:25">
      <c r="A348" s="49" t="s">
        <v>606</v>
      </c>
      <c r="B348" s="49" t="s">
        <v>593</v>
      </c>
      <c r="C348" s="49" t="s">
        <v>423</v>
      </c>
      <c r="D348" s="64">
        <v>178118166060</v>
      </c>
      <c r="E348" s="49" t="s">
        <v>483</v>
      </c>
      <c r="F348" s="51">
        <v>46151</v>
      </c>
      <c r="G348" s="52">
        <v>46151</v>
      </c>
      <c r="H348" s="52" t="s">
        <v>149</v>
      </c>
      <c r="I348" s="52" t="s">
        <v>496</v>
      </c>
      <c r="J348" s="52" t="s">
        <v>497</v>
      </c>
      <c r="K348" s="52" t="s">
        <v>34</v>
      </c>
      <c r="L348" s="49">
        <v>26</v>
      </c>
      <c r="M348" s="49">
        <v>6</v>
      </c>
      <c r="N348" s="49">
        <v>0</v>
      </c>
      <c r="O348" s="53">
        <v>4.69</v>
      </c>
      <c r="P348" s="53">
        <v>0</v>
      </c>
      <c r="Q348" s="53">
        <v>0</v>
      </c>
      <c r="R348" s="54">
        <f t="shared" si="36"/>
        <v>0</v>
      </c>
      <c r="S348" s="55">
        <f t="shared" si="37"/>
        <v>0</v>
      </c>
      <c r="T348" s="55">
        <f t="shared" si="38"/>
        <v>0.230769230769231</v>
      </c>
      <c r="U348" s="54">
        <f t="shared" si="39"/>
        <v>0.781666666666667</v>
      </c>
      <c r="V348" s="54" t="e">
        <f t="shared" si="40"/>
        <v>#DIV/0!</v>
      </c>
      <c r="W348" s="55" t="e">
        <f t="shared" si="41"/>
        <v>#DIV/0!</v>
      </c>
      <c r="X348" s="55" t="e">
        <f t="shared" si="35"/>
        <v>#DIV/0!</v>
      </c>
      <c r="Y348" s="49" t="s">
        <v>62</v>
      </c>
    </row>
    <row r="349" customFormat="1" ht="22.5" customHeight="1" spans="1:25">
      <c r="A349" s="49" t="s">
        <v>606</v>
      </c>
      <c r="B349" s="49" t="s">
        <v>573</v>
      </c>
      <c r="C349" s="49" t="s">
        <v>404</v>
      </c>
      <c r="D349" s="64">
        <v>188328121506</v>
      </c>
      <c r="E349" s="49" t="s">
        <v>483</v>
      </c>
      <c r="F349" s="51">
        <v>46142</v>
      </c>
      <c r="G349" s="52">
        <v>46141</v>
      </c>
      <c r="H349" s="52">
        <v>46147</v>
      </c>
      <c r="I349" s="52" t="s">
        <v>496</v>
      </c>
      <c r="J349" s="52" t="s">
        <v>497</v>
      </c>
      <c r="K349" s="52" t="s">
        <v>493</v>
      </c>
      <c r="L349" s="49">
        <v>143</v>
      </c>
      <c r="M349" s="49">
        <v>4</v>
      </c>
      <c r="N349" s="49">
        <v>0</v>
      </c>
      <c r="O349" s="53">
        <v>2.23</v>
      </c>
      <c r="P349" s="53">
        <v>0</v>
      </c>
      <c r="Q349" s="53">
        <v>0</v>
      </c>
      <c r="R349" s="54">
        <f t="shared" si="36"/>
        <v>0</v>
      </c>
      <c r="S349" s="55">
        <f t="shared" si="37"/>
        <v>0</v>
      </c>
      <c r="T349" s="55">
        <f t="shared" si="38"/>
        <v>0.027972027972028</v>
      </c>
      <c r="U349" s="54">
        <f t="shared" si="39"/>
        <v>0.5575</v>
      </c>
      <c r="V349" s="54" t="e">
        <f t="shared" si="40"/>
        <v>#DIV/0!</v>
      </c>
      <c r="W349" s="55" t="e">
        <f t="shared" si="41"/>
        <v>#DIV/0!</v>
      </c>
      <c r="X349" s="55" t="e">
        <f t="shared" si="35"/>
        <v>#DIV/0!</v>
      </c>
      <c r="Y349" s="49" t="s">
        <v>62</v>
      </c>
    </row>
    <row r="350" customFormat="1" ht="22.5" customHeight="1" spans="1:25">
      <c r="A350" s="49" t="s">
        <v>606</v>
      </c>
      <c r="B350" s="49" t="s">
        <v>585</v>
      </c>
      <c r="C350" s="49" t="s">
        <v>417</v>
      </c>
      <c r="D350" s="64">
        <v>178090479690</v>
      </c>
      <c r="E350" s="49" t="s">
        <v>483</v>
      </c>
      <c r="F350" s="51">
        <v>46143</v>
      </c>
      <c r="G350" s="52">
        <v>46142</v>
      </c>
      <c r="H350" s="52" t="s">
        <v>149</v>
      </c>
      <c r="I350" s="52" t="s">
        <v>505</v>
      </c>
      <c r="J350" s="52" t="s">
        <v>518</v>
      </c>
      <c r="K350" s="52" t="s">
        <v>34</v>
      </c>
      <c r="L350" s="49">
        <v>142</v>
      </c>
      <c r="M350" s="49">
        <v>4</v>
      </c>
      <c r="N350" s="49">
        <v>0</v>
      </c>
      <c r="O350" s="53">
        <v>1.46</v>
      </c>
      <c r="P350" s="53">
        <v>0</v>
      </c>
      <c r="Q350" s="53">
        <v>0</v>
      </c>
      <c r="R350" s="54">
        <f t="shared" si="36"/>
        <v>0</v>
      </c>
      <c r="S350" s="55">
        <f t="shared" si="37"/>
        <v>0</v>
      </c>
      <c r="T350" s="55">
        <f t="shared" si="38"/>
        <v>0.028169014084507</v>
      </c>
      <c r="U350" s="54">
        <f t="shared" si="39"/>
        <v>0.365</v>
      </c>
      <c r="V350" s="54" t="e">
        <f t="shared" si="40"/>
        <v>#DIV/0!</v>
      </c>
      <c r="W350" s="55" t="e">
        <f t="shared" si="41"/>
        <v>#DIV/0!</v>
      </c>
      <c r="X350" s="55" t="e">
        <f t="shared" si="35"/>
        <v>#DIV/0!</v>
      </c>
      <c r="Y350" s="49" t="s">
        <v>62</v>
      </c>
    </row>
    <row r="351" customFormat="1" ht="22.5" customHeight="1" spans="1:25">
      <c r="A351" s="49" t="s">
        <v>606</v>
      </c>
      <c r="B351" s="49" t="s">
        <v>535</v>
      </c>
      <c r="C351" s="49" t="s">
        <v>347</v>
      </c>
      <c r="D351" s="64">
        <v>117085067234</v>
      </c>
      <c r="E351" s="49" t="s">
        <v>502</v>
      </c>
      <c r="F351" s="51">
        <v>46123</v>
      </c>
      <c r="G351" s="52">
        <v>46092</v>
      </c>
      <c r="H351" s="52">
        <v>46096</v>
      </c>
      <c r="I351" s="52" t="s">
        <v>26</v>
      </c>
      <c r="J351" s="52" t="s">
        <v>30</v>
      </c>
      <c r="K351" s="52" t="s">
        <v>34</v>
      </c>
      <c r="L351" s="49">
        <v>135</v>
      </c>
      <c r="M351" s="49">
        <v>4</v>
      </c>
      <c r="N351" s="49">
        <v>0</v>
      </c>
      <c r="O351" s="53">
        <v>2.39</v>
      </c>
      <c r="P351" s="53">
        <v>0</v>
      </c>
      <c r="Q351" s="53">
        <v>0</v>
      </c>
      <c r="R351" s="54">
        <f t="shared" si="36"/>
        <v>0</v>
      </c>
      <c r="S351" s="55">
        <f t="shared" si="37"/>
        <v>0</v>
      </c>
      <c r="T351" s="55">
        <f t="shared" si="38"/>
        <v>0.0296296296296296</v>
      </c>
      <c r="U351" s="54">
        <f t="shared" si="39"/>
        <v>0.5975</v>
      </c>
      <c r="V351" s="54" t="e">
        <f t="shared" si="40"/>
        <v>#DIV/0!</v>
      </c>
      <c r="W351" s="55" t="e">
        <f t="shared" si="41"/>
        <v>#DIV/0!</v>
      </c>
      <c r="X351" s="55" t="e">
        <f t="shared" si="35"/>
        <v>#DIV/0!</v>
      </c>
      <c r="Y351" s="49" t="s">
        <v>62</v>
      </c>
    </row>
    <row r="352" customFormat="1" ht="22.5" customHeight="1" spans="1:25">
      <c r="A352" s="49" t="s">
        <v>606</v>
      </c>
      <c r="B352" s="49" t="s">
        <v>513</v>
      </c>
      <c r="C352" s="49" t="s">
        <v>339</v>
      </c>
      <c r="D352" s="64">
        <v>117085059550</v>
      </c>
      <c r="E352" s="49" t="s">
        <v>502</v>
      </c>
      <c r="F352" s="51">
        <v>46104</v>
      </c>
      <c r="G352" s="52">
        <v>46092</v>
      </c>
      <c r="H352" s="52">
        <v>46104</v>
      </c>
      <c r="I352" s="52" t="s">
        <v>484</v>
      </c>
      <c r="J352" s="52" t="s">
        <v>489</v>
      </c>
      <c r="K352" s="52" t="s">
        <v>34</v>
      </c>
      <c r="L352" s="49">
        <v>765</v>
      </c>
      <c r="M352" s="49">
        <v>3</v>
      </c>
      <c r="N352" s="49">
        <v>0</v>
      </c>
      <c r="O352" s="53">
        <v>0.86</v>
      </c>
      <c r="P352" s="53">
        <v>0</v>
      </c>
      <c r="Q352" s="53">
        <v>81.03</v>
      </c>
      <c r="R352" s="54">
        <f t="shared" si="36"/>
        <v>0</v>
      </c>
      <c r="S352" s="55">
        <f t="shared" si="37"/>
        <v>0</v>
      </c>
      <c r="T352" s="55">
        <f t="shared" si="38"/>
        <v>0.00392156862745098</v>
      </c>
      <c r="U352" s="54">
        <f t="shared" si="39"/>
        <v>0.286666666666667</v>
      </c>
      <c r="V352" s="54" t="e">
        <f t="shared" si="40"/>
        <v>#DIV/0!</v>
      </c>
      <c r="W352" s="55" t="e">
        <f t="shared" si="41"/>
        <v>#DIV/0!</v>
      </c>
      <c r="X352" s="55">
        <f t="shared" si="35"/>
        <v>0.0106133530791065</v>
      </c>
      <c r="Y352" s="49" t="s">
        <v>62</v>
      </c>
    </row>
    <row r="353" customFormat="1" ht="22.5" customHeight="1" spans="1:25">
      <c r="A353" s="49" t="s">
        <v>606</v>
      </c>
      <c r="B353" s="49" t="s">
        <v>555</v>
      </c>
      <c r="C353" s="49" t="s">
        <v>384</v>
      </c>
      <c r="D353" s="64">
        <v>117115653271</v>
      </c>
      <c r="E353" s="49" t="s">
        <v>502</v>
      </c>
      <c r="F353" s="51">
        <v>46135</v>
      </c>
      <c r="G353" s="52">
        <v>46108</v>
      </c>
      <c r="H353" s="52">
        <v>46141</v>
      </c>
      <c r="I353" s="52" t="s">
        <v>26</v>
      </c>
      <c r="J353" s="52" t="s">
        <v>30</v>
      </c>
      <c r="K353" s="52" t="s">
        <v>493</v>
      </c>
      <c r="L353" s="49">
        <v>251</v>
      </c>
      <c r="M353" s="49">
        <v>3</v>
      </c>
      <c r="N353" s="49">
        <v>0</v>
      </c>
      <c r="O353" s="53">
        <v>1.32</v>
      </c>
      <c r="P353" s="53">
        <v>0</v>
      </c>
      <c r="Q353" s="53">
        <v>0</v>
      </c>
      <c r="R353" s="54">
        <f t="shared" si="36"/>
        <v>0</v>
      </c>
      <c r="S353" s="55">
        <f t="shared" si="37"/>
        <v>0</v>
      </c>
      <c r="T353" s="55">
        <f t="shared" si="38"/>
        <v>0.0119521912350598</v>
      </c>
      <c r="U353" s="54">
        <f t="shared" si="39"/>
        <v>0.44</v>
      </c>
      <c r="V353" s="54" t="e">
        <f t="shared" si="40"/>
        <v>#DIV/0!</v>
      </c>
      <c r="W353" s="55" t="e">
        <f t="shared" si="41"/>
        <v>#DIV/0!</v>
      </c>
      <c r="X353" s="55" t="e">
        <f t="shared" si="35"/>
        <v>#DIV/0!</v>
      </c>
      <c r="Y353" s="49" t="s">
        <v>62</v>
      </c>
    </row>
    <row r="354" customFormat="1" ht="22.5" customHeight="1" spans="1:25">
      <c r="A354" s="49" t="s">
        <v>606</v>
      </c>
      <c r="B354" s="49" t="s">
        <v>584</v>
      </c>
      <c r="C354" s="49" t="s">
        <v>412</v>
      </c>
      <c r="D354" s="64">
        <v>178090479710</v>
      </c>
      <c r="E354" s="49" t="s">
        <v>483</v>
      </c>
      <c r="F354" s="51">
        <v>46142</v>
      </c>
      <c r="G354" s="52">
        <v>46142</v>
      </c>
      <c r="H354" s="52" t="s">
        <v>149</v>
      </c>
      <c r="I354" s="52" t="s">
        <v>484</v>
      </c>
      <c r="J354" s="52" t="s">
        <v>497</v>
      </c>
      <c r="K354" s="52" t="s">
        <v>34</v>
      </c>
      <c r="L354" s="49">
        <v>133</v>
      </c>
      <c r="M354" s="49">
        <v>3</v>
      </c>
      <c r="N354" s="49">
        <v>0</v>
      </c>
      <c r="O354" s="53">
        <v>2.94</v>
      </c>
      <c r="P354" s="53">
        <v>0</v>
      </c>
      <c r="Q354" s="53">
        <v>0</v>
      </c>
      <c r="R354" s="54">
        <f t="shared" si="36"/>
        <v>0</v>
      </c>
      <c r="S354" s="55">
        <f t="shared" si="37"/>
        <v>0</v>
      </c>
      <c r="T354" s="55">
        <f t="shared" si="38"/>
        <v>0.0225563909774436</v>
      </c>
      <c r="U354" s="54">
        <f t="shared" si="39"/>
        <v>0.98</v>
      </c>
      <c r="V354" s="54" t="e">
        <f t="shared" si="40"/>
        <v>#DIV/0!</v>
      </c>
      <c r="W354" s="55" t="e">
        <f t="shared" si="41"/>
        <v>#DIV/0!</v>
      </c>
      <c r="X354" s="55" t="e">
        <f t="shared" si="35"/>
        <v>#DIV/0!</v>
      </c>
      <c r="Y354" s="49" t="s">
        <v>62</v>
      </c>
    </row>
    <row r="355" customFormat="1" ht="22.5" customHeight="1" spans="1:25">
      <c r="A355" s="49" t="s">
        <v>606</v>
      </c>
      <c r="B355" s="49" t="s">
        <v>555</v>
      </c>
      <c r="C355" s="49" t="s">
        <v>383</v>
      </c>
      <c r="D355" s="64">
        <v>117115651168</v>
      </c>
      <c r="E355" s="49" t="s">
        <v>502</v>
      </c>
      <c r="F355" s="51">
        <v>46135</v>
      </c>
      <c r="G355" s="52">
        <v>46108</v>
      </c>
      <c r="H355" s="52">
        <v>46156</v>
      </c>
      <c r="I355" s="52" t="s">
        <v>26</v>
      </c>
      <c r="J355" s="52" t="s">
        <v>30</v>
      </c>
      <c r="K355" s="52" t="s">
        <v>493</v>
      </c>
      <c r="L355" s="49">
        <v>122</v>
      </c>
      <c r="M355" s="49">
        <v>3</v>
      </c>
      <c r="N355" s="49">
        <v>0</v>
      </c>
      <c r="O355" s="53">
        <v>1.34</v>
      </c>
      <c r="P355" s="53">
        <v>0</v>
      </c>
      <c r="Q355" s="53">
        <v>250</v>
      </c>
      <c r="R355" s="54">
        <f t="shared" si="36"/>
        <v>0</v>
      </c>
      <c r="S355" s="55">
        <f t="shared" si="37"/>
        <v>0</v>
      </c>
      <c r="T355" s="55">
        <f t="shared" si="38"/>
        <v>0.0245901639344262</v>
      </c>
      <c r="U355" s="54">
        <f t="shared" si="39"/>
        <v>0.446666666666667</v>
      </c>
      <c r="V355" s="54" t="e">
        <f t="shared" si="40"/>
        <v>#DIV/0!</v>
      </c>
      <c r="W355" s="55" t="e">
        <f t="shared" si="41"/>
        <v>#DIV/0!</v>
      </c>
      <c r="X355" s="55">
        <f t="shared" si="35"/>
        <v>0.00536</v>
      </c>
      <c r="Y355" s="49" t="s">
        <v>62</v>
      </c>
    </row>
    <row r="356" customFormat="1" ht="22.5" customHeight="1" spans="1:25">
      <c r="A356" s="49" t="s">
        <v>606</v>
      </c>
      <c r="B356" s="49" t="s">
        <v>603</v>
      </c>
      <c r="C356" s="49" t="s">
        <v>432</v>
      </c>
      <c r="D356" s="64">
        <v>188370869619</v>
      </c>
      <c r="E356" s="49" t="s">
        <v>483</v>
      </c>
      <c r="F356" s="51">
        <v>46154</v>
      </c>
      <c r="G356" s="52">
        <v>46153</v>
      </c>
      <c r="H356" s="52" t="s">
        <v>149</v>
      </c>
      <c r="I356" s="52" t="s">
        <v>505</v>
      </c>
      <c r="J356" s="52" t="s">
        <v>518</v>
      </c>
      <c r="K356" s="52" t="s">
        <v>493</v>
      </c>
      <c r="L356" s="49">
        <v>119</v>
      </c>
      <c r="M356" s="49">
        <v>3</v>
      </c>
      <c r="N356" s="49">
        <v>0</v>
      </c>
      <c r="O356" s="53">
        <v>0.89</v>
      </c>
      <c r="P356" s="53">
        <v>0</v>
      </c>
      <c r="Q356" s="53">
        <v>0</v>
      </c>
      <c r="R356" s="54">
        <f t="shared" si="36"/>
        <v>0</v>
      </c>
      <c r="S356" s="55">
        <f t="shared" si="37"/>
        <v>0</v>
      </c>
      <c r="T356" s="55">
        <f t="shared" si="38"/>
        <v>0.0252100840336134</v>
      </c>
      <c r="U356" s="54">
        <f t="shared" si="39"/>
        <v>0.296666666666667</v>
      </c>
      <c r="V356" s="54" t="e">
        <f t="shared" si="40"/>
        <v>#DIV/0!</v>
      </c>
      <c r="W356" s="55" t="e">
        <f t="shared" si="41"/>
        <v>#DIV/0!</v>
      </c>
      <c r="X356" s="55" t="e">
        <f t="shared" si="35"/>
        <v>#DIV/0!</v>
      </c>
      <c r="Y356" s="49" t="s">
        <v>62</v>
      </c>
    </row>
    <row r="357" customFormat="1" ht="22.5" customHeight="1" spans="1:25">
      <c r="A357" s="49" t="s">
        <v>606</v>
      </c>
      <c r="B357" s="49" t="s">
        <v>562</v>
      </c>
      <c r="C357" s="49" t="s">
        <v>393</v>
      </c>
      <c r="D357" s="64">
        <v>188307744865</v>
      </c>
      <c r="E357" s="49" t="s">
        <v>483</v>
      </c>
      <c r="F357" s="51">
        <v>46137</v>
      </c>
      <c r="G357" s="52">
        <v>46135</v>
      </c>
      <c r="H357" s="52" t="s">
        <v>149</v>
      </c>
      <c r="I357" s="52" t="s">
        <v>496</v>
      </c>
      <c r="J357" s="52" t="s">
        <v>497</v>
      </c>
      <c r="K357" s="52" t="s">
        <v>34</v>
      </c>
      <c r="L357" s="49">
        <v>52</v>
      </c>
      <c r="M357" s="49">
        <v>3</v>
      </c>
      <c r="N357" s="49">
        <v>0</v>
      </c>
      <c r="O357" s="53">
        <v>1.87</v>
      </c>
      <c r="P357" s="53">
        <v>0</v>
      </c>
      <c r="Q357" s="53">
        <v>0</v>
      </c>
      <c r="R357" s="54">
        <f t="shared" si="36"/>
        <v>0</v>
      </c>
      <c r="S357" s="55">
        <f t="shared" si="37"/>
        <v>0</v>
      </c>
      <c r="T357" s="55">
        <f t="shared" si="38"/>
        <v>0.0576923076923077</v>
      </c>
      <c r="U357" s="54">
        <f t="shared" si="39"/>
        <v>0.623333333333333</v>
      </c>
      <c r="V357" s="54" t="e">
        <f t="shared" si="40"/>
        <v>#DIV/0!</v>
      </c>
      <c r="W357" s="55" t="e">
        <f t="shared" si="41"/>
        <v>#DIV/0!</v>
      </c>
      <c r="X357" s="55" t="e">
        <f t="shared" si="35"/>
        <v>#DIV/0!</v>
      </c>
      <c r="Y357" s="49" t="s">
        <v>62</v>
      </c>
    </row>
    <row r="358" customFormat="1" ht="22.5" customHeight="1" spans="1:25">
      <c r="A358" s="49" t="s">
        <v>606</v>
      </c>
      <c r="B358" s="49" t="s">
        <v>557</v>
      </c>
      <c r="C358" s="49" t="s">
        <v>388</v>
      </c>
      <c r="D358" s="64">
        <v>178071423591</v>
      </c>
      <c r="E358" s="49" t="s">
        <v>483</v>
      </c>
      <c r="F358" s="51">
        <v>46136</v>
      </c>
      <c r="G358" s="52">
        <v>46135</v>
      </c>
      <c r="H358" s="52">
        <v>46139</v>
      </c>
      <c r="I358" s="52" t="s">
        <v>484</v>
      </c>
      <c r="J358" s="52" t="s">
        <v>564</v>
      </c>
      <c r="K358" s="52" t="s">
        <v>34</v>
      </c>
      <c r="L358" s="49">
        <v>39</v>
      </c>
      <c r="M358" s="49">
        <v>3</v>
      </c>
      <c r="N358" s="49">
        <v>0</v>
      </c>
      <c r="O358" s="53">
        <v>0.75</v>
      </c>
      <c r="P358" s="53">
        <v>0</v>
      </c>
      <c r="Q358" s="53">
        <v>0</v>
      </c>
      <c r="R358" s="54">
        <f t="shared" si="36"/>
        <v>0</v>
      </c>
      <c r="S358" s="55">
        <f t="shared" si="37"/>
        <v>0</v>
      </c>
      <c r="T358" s="55">
        <f t="shared" si="38"/>
        <v>0.0769230769230769</v>
      </c>
      <c r="U358" s="54">
        <f t="shared" si="39"/>
        <v>0.25</v>
      </c>
      <c r="V358" s="54" t="e">
        <f t="shared" si="40"/>
        <v>#DIV/0!</v>
      </c>
      <c r="W358" s="55" t="e">
        <f t="shared" si="41"/>
        <v>#DIV/0!</v>
      </c>
      <c r="X358" s="55" t="e">
        <f t="shared" si="35"/>
        <v>#DIV/0!</v>
      </c>
      <c r="Y358" s="49" t="s">
        <v>62</v>
      </c>
    </row>
    <row r="359" customFormat="1" ht="22.5" customHeight="1" spans="1:25">
      <c r="A359" s="49" t="s">
        <v>606</v>
      </c>
      <c r="B359" s="49" t="s">
        <v>596</v>
      </c>
      <c r="C359" s="49" t="s">
        <v>421</v>
      </c>
      <c r="D359" s="64">
        <v>178118526210</v>
      </c>
      <c r="E359" s="49" t="s">
        <v>483</v>
      </c>
      <c r="F359" s="51">
        <v>46151</v>
      </c>
      <c r="G359" s="52">
        <v>46151</v>
      </c>
      <c r="H359" s="52">
        <v>46160</v>
      </c>
      <c r="I359" s="52" t="s">
        <v>503</v>
      </c>
      <c r="J359" s="52" t="s">
        <v>497</v>
      </c>
      <c r="K359" s="52" t="s">
        <v>34</v>
      </c>
      <c r="L359" s="49">
        <v>34</v>
      </c>
      <c r="M359" s="49">
        <v>3</v>
      </c>
      <c r="N359" s="49">
        <v>0</v>
      </c>
      <c r="O359" s="53">
        <v>1.78</v>
      </c>
      <c r="P359" s="53">
        <v>0</v>
      </c>
      <c r="Q359" s="53">
        <v>0</v>
      </c>
      <c r="R359" s="54">
        <f t="shared" si="36"/>
        <v>0</v>
      </c>
      <c r="S359" s="55">
        <f t="shared" si="37"/>
        <v>0</v>
      </c>
      <c r="T359" s="55">
        <f t="shared" si="38"/>
        <v>0.0882352941176471</v>
      </c>
      <c r="U359" s="54">
        <f t="shared" si="39"/>
        <v>0.593333333333333</v>
      </c>
      <c r="V359" s="54" t="e">
        <f t="shared" si="40"/>
        <v>#DIV/0!</v>
      </c>
      <c r="W359" s="55" t="e">
        <f t="shared" si="41"/>
        <v>#DIV/0!</v>
      </c>
      <c r="X359" s="55" t="e">
        <f t="shared" si="35"/>
        <v>#DIV/0!</v>
      </c>
      <c r="Y359" s="49" t="s">
        <v>62</v>
      </c>
    </row>
    <row r="360" customFormat="1" ht="22.5" customHeight="1" spans="1:25">
      <c r="A360" s="49" t="s">
        <v>606</v>
      </c>
      <c r="B360" s="49" t="s">
        <v>592</v>
      </c>
      <c r="C360" s="49" t="s">
        <v>327</v>
      </c>
      <c r="D360" s="64">
        <v>227242599752</v>
      </c>
      <c r="E360" s="49" t="s">
        <v>488</v>
      </c>
      <c r="F360" s="51">
        <v>46087</v>
      </c>
      <c r="G360" s="52">
        <v>46086</v>
      </c>
      <c r="H360" s="52">
        <v>46089</v>
      </c>
      <c r="I360" s="52" t="s">
        <v>496</v>
      </c>
      <c r="J360" s="52" t="s">
        <v>30</v>
      </c>
      <c r="K360" s="52" t="s">
        <v>34</v>
      </c>
      <c r="L360" s="49">
        <v>532</v>
      </c>
      <c r="M360" s="49">
        <v>2</v>
      </c>
      <c r="N360" s="49">
        <v>0</v>
      </c>
      <c r="O360" s="53">
        <v>0.71</v>
      </c>
      <c r="P360" s="53">
        <v>0</v>
      </c>
      <c r="Q360" s="53">
        <v>0</v>
      </c>
      <c r="R360" s="54">
        <f t="shared" si="36"/>
        <v>0</v>
      </c>
      <c r="S360" s="55">
        <f t="shared" si="37"/>
        <v>0</v>
      </c>
      <c r="T360" s="55">
        <f t="shared" si="38"/>
        <v>0.0037593984962406</v>
      </c>
      <c r="U360" s="54">
        <f t="shared" si="39"/>
        <v>0.355</v>
      </c>
      <c r="V360" s="54" t="e">
        <f t="shared" si="40"/>
        <v>#DIV/0!</v>
      </c>
      <c r="W360" s="55" t="e">
        <f t="shared" si="41"/>
        <v>#DIV/0!</v>
      </c>
      <c r="X360" s="55" t="e">
        <f t="shared" si="35"/>
        <v>#DIV/0!</v>
      </c>
      <c r="Y360" s="49" t="s">
        <v>49</v>
      </c>
    </row>
    <row r="361" customFormat="1" ht="22.5" customHeight="1" spans="1:25">
      <c r="A361" s="49" t="s">
        <v>606</v>
      </c>
      <c r="B361" s="49" t="s">
        <v>560</v>
      </c>
      <c r="C361" s="49" t="s">
        <v>391</v>
      </c>
      <c r="D361" s="64">
        <v>178072239367</v>
      </c>
      <c r="E361" s="49" t="s">
        <v>483</v>
      </c>
      <c r="F361" s="51">
        <v>46137</v>
      </c>
      <c r="G361" s="52">
        <v>46135</v>
      </c>
      <c r="H361" s="52">
        <v>46157</v>
      </c>
      <c r="I361" s="52" t="s">
        <v>496</v>
      </c>
      <c r="J361" s="52" t="s">
        <v>497</v>
      </c>
      <c r="K361" s="52" t="s">
        <v>34</v>
      </c>
      <c r="L361" s="49">
        <v>74</v>
      </c>
      <c r="M361" s="49">
        <v>2</v>
      </c>
      <c r="N361" s="49">
        <v>0</v>
      </c>
      <c r="O361" s="53">
        <v>0.8</v>
      </c>
      <c r="P361" s="53">
        <v>0</v>
      </c>
      <c r="Q361" s="53">
        <v>60</v>
      </c>
      <c r="R361" s="54">
        <f t="shared" si="36"/>
        <v>0</v>
      </c>
      <c r="S361" s="55">
        <f t="shared" si="37"/>
        <v>0</v>
      </c>
      <c r="T361" s="55">
        <f t="shared" si="38"/>
        <v>0.027027027027027</v>
      </c>
      <c r="U361" s="54">
        <f t="shared" si="39"/>
        <v>0.4</v>
      </c>
      <c r="V361" s="54" t="e">
        <f t="shared" si="40"/>
        <v>#DIV/0!</v>
      </c>
      <c r="W361" s="55" t="e">
        <f t="shared" si="41"/>
        <v>#DIV/0!</v>
      </c>
      <c r="X361" s="55">
        <f t="shared" si="35"/>
        <v>0.0133333333333333</v>
      </c>
      <c r="Y361" s="49" t="s">
        <v>62</v>
      </c>
    </row>
    <row r="362" customFormat="1" ht="22.5" customHeight="1" spans="1:25">
      <c r="A362" s="49" t="s">
        <v>606</v>
      </c>
      <c r="B362" s="49" t="s">
        <v>586</v>
      </c>
      <c r="C362" s="49" t="s">
        <v>397</v>
      </c>
      <c r="D362" s="64">
        <v>178087818624</v>
      </c>
      <c r="E362" s="49" t="s">
        <v>483</v>
      </c>
      <c r="F362" s="51">
        <v>46141</v>
      </c>
      <c r="G362" s="52">
        <v>46140</v>
      </c>
      <c r="H362" s="52">
        <v>46142</v>
      </c>
      <c r="I362" s="52" t="s">
        <v>484</v>
      </c>
      <c r="J362" s="52" t="s">
        <v>485</v>
      </c>
      <c r="K362" s="52" t="s">
        <v>34</v>
      </c>
      <c r="L362" s="49">
        <v>72</v>
      </c>
      <c r="M362" s="49">
        <v>2</v>
      </c>
      <c r="N362" s="49">
        <v>0</v>
      </c>
      <c r="O362" s="53">
        <v>2.14</v>
      </c>
      <c r="P362" s="53">
        <v>0</v>
      </c>
      <c r="Q362" s="53">
        <v>89</v>
      </c>
      <c r="R362" s="54">
        <f t="shared" si="36"/>
        <v>0</v>
      </c>
      <c r="S362" s="55">
        <f t="shared" si="37"/>
        <v>0</v>
      </c>
      <c r="T362" s="55">
        <f t="shared" si="38"/>
        <v>0.0277777777777778</v>
      </c>
      <c r="U362" s="54">
        <f t="shared" si="39"/>
        <v>1.07</v>
      </c>
      <c r="V362" s="54" t="e">
        <f t="shared" si="40"/>
        <v>#DIV/0!</v>
      </c>
      <c r="W362" s="55" t="e">
        <f t="shared" si="41"/>
        <v>#DIV/0!</v>
      </c>
      <c r="X362" s="55">
        <f t="shared" si="35"/>
        <v>0.0240449438202247</v>
      </c>
      <c r="Y362" s="49" t="s">
        <v>62</v>
      </c>
    </row>
    <row r="363" customFormat="1" ht="22.5" customHeight="1" spans="1:25">
      <c r="A363" s="49" t="s">
        <v>606</v>
      </c>
      <c r="B363" s="49" t="s">
        <v>576</v>
      </c>
      <c r="C363" s="49" t="s">
        <v>413</v>
      </c>
      <c r="D363" s="64">
        <v>178090483656</v>
      </c>
      <c r="E363" s="49" t="s">
        <v>483</v>
      </c>
      <c r="F363" s="51">
        <v>46142</v>
      </c>
      <c r="G363" s="52">
        <v>46142</v>
      </c>
      <c r="H363" s="52">
        <v>46147</v>
      </c>
      <c r="I363" s="52" t="s">
        <v>496</v>
      </c>
      <c r="J363" s="52" t="s">
        <v>497</v>
      </c>
      <c r="K363" s="52" t="s">
        <v>493</v>
      </c>
      <c r="L363" s="49">
        <v>42</v>
      </c>
      <c r="M363" s="49">
        <v>2</v>
      </c>
      <c r="N363" s="49">
        <v>0</v>
      </c>
      <c r="O363" s="53">
        <v>0.82</v>
      </c>
      <c r="P363" s="53">
        <v>0</v>
      </c>
      <c r="Q363" s="53">
        <v>0</v>
      </c>
      <c r="R363" s="54">
        <f t="shared" si="36"/>
        <v>0</v>
      </c>
      <c r="S363" s="55">
        <f t="shared" si="37"/>
        <v>0</v>
      </c>
      <c r="T363" s="55">
        <f t="shared" si="38"/>
        <v>0.0476190476190476</v>
      </c>
      <c r="U363" s="54">
        <f t="shared" si="39"/>
        <v>0.41</v>
      </c>
      <c r="V363" s="54" t="e">
        <f t="shared" si="40"/>
        <v>#DIV/0!</v>
      </c>
      <c r="W363" s="55" t="e">
        <f t="shared" si="41"/>
        <v>#DIV/0!</v>
      </c>
      <c r="X363" s="55" t="e">
        <f t="shared" si="35"/>
        <v>#DIV/0!</v>
      </c>
      <c r="Y363" s="49" t="s">
        <v>62</v>
      </c>
    </row>
    <row r="364" customFormat="1" ht="22.5" customHeight="1" spans="1:25">
      <c r="A364" s="49" t="s">
        <v>606</v>
      </c>
      <c r="B364" s="49" t="s">
        <v>573</v>
      </c>
      <c r="C364" s="49" t="s">
        <v>405</v>
      </c>
      <c r="D364" s="64">
        <v>188328124623</v>
      </c>
      <c r="E364" s="49" t="s">
        <v>483</v>
      </c>
      <c r="F364" s="51">
        <v>46142</v>
      </c>
      <c r="G364" s="52">
        <v>46141</v>
      </c>
      <c r="H364" s="52">
        <v>46152</v>
      </c>
      <c r="I364" s="52" t="s">
        <v>496</v>
      </c>
      <c r="J364" s="52" t="s">
        <v>497</v>
      </c>
      <c r="K364" s="52" t="s">
        <v>493</v>
      </c>
      <c r="L364" s="49">
        <v>871</v>
      </c>
      <c r="M364" s="49">
        <v>1</v>
      </c>
      <c r="N364" s="49">
        <v>0</v>
      </c>
      <c r="O364" s="53">
        <v>0.66</v>
      </c>
      <c r="P364" s="53">
        <v>0</v>
      </c>
      <c r="Q364" s="53">
        <v>60</v>
      </c>
      <c r="R364" s="54">
        <f t="shared" si="36"/>
        <v>0</v>
      </c>
      <c r="S364" s="55">
        <f t="shared" si="37"/>
        <v>0</v>
      </c>
      <c r="T364" s="55">
        <f t="shared" si="38"/>
        <v>0.00114810562571757</v>
      </c>
      <c r="U364" s="54">
        <f t="shared" si="39"/>
        <v>0.66</v>
      </c>
      <c r="V364" s="54" t="e">
        <f t="shared" si="40"/>
        <v>#DIV/0!</v>
      </c>
      <c r="W364" s="55" t="e">
        <f t="shared" si="41"/>
        <v>#DIV/0!</v>
      </c>
      <c r="X364" s="55">
        <f t="shared" si="35"/>
        <v>0.011</v>
      </c>
      <c r="Y364" s="49" t="s">
        <v>49</v>
      </c>
    </row>
    <row r="365" customFormat="1" ht="22.5" customHeight="1" spans="1:25">
      <c r="A365" s="49" t="s">
        <v>606</v>
      </c>
      <c r="B365" s="49" t="s">
        <v>534</v>
      </c>
      <c r="C365" s="49" t="s">
        <v>368</v>
      </c>
      <c r="D365" s="64">
        <v>188197007336</v>
      </c>
      <c r="E365" s="49" t="s">
        <v>483</v>
      </c>
      <c r="F365" s="51">
        <v>46104</v>
      </c>
      <c r="G365" s="52">
        <v>46104</v>
      </c>
      <c r="H365" s="52">
        <v>46134</v>
      </c>
      <c r="I365" s="52" t="s">
        <v>484</v>
      </c>
      <c r="J365" s="52" t="s">
        <v>521</v>
      </c>
      <c r="K365" s="52" t="s">
        <v>34</v>
      </c>
      <c r="L365" s="49">
        <v>70</v>
      </c>
      <c r="M365" s="49">
        <v>1</v>
      </c>
      <c r="N365" s="49">
        <v>0</v>
      </c>
      <c r="O365" s="53">
        <v>0.67</v>
      </c>
      <c r="P365" s="53">
        <v>0</v>
      </c>
      <c r="Q365" s="53">
        <v>258</v>
      </c>
      <c r="R365" s="54">
        <f t="shared" si="36"/>
        <v>0</v>
      </c>
      <c r="S365" s="55">
        <f t="shared" si="37"/>
        <v>0</v>
      </c>
      <c r="T365" s="55">
        <f t="shared" si="38"/>
        <v>0.0142857142857143</v>
      </c>
      <c r="U365" s="54">
        <f t="shared" si="39"/>
        <v>0.67</v>
      </c>
      <c r="V365" s="54" t="e">
        <f t="shared" si="40"/>
        <v>#DIV/0!</v>
      </c>
      <c r="W365" s="55" t="e">
        <f t="shared" si="41"/>
        <v>#DIV/0!</v>
      </c>
      <c r="X365" s="55">
        <f t="shared" si="35"/>
        <v>0.0025968992248062</v>
      </c>
      <c r="Y365" s="49" t="s">
        <v>62</v>
      </c>
    </row>
    <row r="366" customFormat="1" ht="22.5" customHeight="1" spans="1:25">
      <c r="A366" s="49" t="s">
        <v>606</v>
      </c>
      <c r="B366" s="49" t="s">
        <v>586</v>
      </c>
      <c r="C366" s="49" t="s">
        <v>422</v>
      </c>
      <c r="D366" s="64">
        <v>188364385175</v>
      </c>
      <c r="E366" s="49" t="s">
        <v>483</v>
      </c>
      <c r="F366" s="51">
        <v>46141</v>
      </c>
      <c r="G366" s="52">
        <v>46151</v>
      </c>
      <c r="H366" s="52">
        <v>46153</v>
      </c>
      <c r="I366" s="52" t="s">
        <v>484</v>
      </c>
      <c r="J366" s="52" t="s">
        <v>485</v>
      </c>
      <c r="K366" s="52" t="s">
        <v>493</v>
      </c>
      <c r="L366" s="49">
        <v>64</v>
      </c>
      <c r="M366" s="49">
        <v>1</v>
      </c>
      <c r="N366" s="49">
        <v>0</v>
      </c>
      <c r="O366" s="53">
        <v>0.98</v>
      </c>
      <c r="P366" s="53">
        <v>0</v>
      </c>
      <c r="Q366" s="53">
        <v>170</v>
      </c>
      <c r="R366" s="54">
        <f t="shared" si="36"/>
        <v>0</v>
      </c>
      <c r="S366" s="55">
        <f t="shared" si="37"/>
        <v>0</v>
      </c>
      <c r="T366" s="55">
        <f t="shared" si="38"/>
        <v>0.015625</v>
      </c>
      <c r="U366" s="54">
        <f t="shared" si="39"/>
        <v>0.98</v>
      </c>
      <c r="V366" s="54" t="e">
        <f t="shared" si="40"/>
        <v>#DIV/0!</v>
      </c>
      <c r="W366" s="55" t="e">
        <f t="shared" si="41"/>
        <v>#DIV/0!</v>
      </c>
      <c r="X366" s="55">
        <f t="shared" si="35"/>
        <v>0.00576470588235294</v>
      </c>
      <c r="Y366" s="49" t="s">
        <v>62</v>
      </c>
    </row>
    <row r="367" customFormat="1" ht="22.5" customHeight="1" spans="1:25">
      <c r="A367" s="49" t="s">
        <v>606</v>
      </c>
      <c r="B367" s="49" t="s">
        <v>575</v>
      </c>
      <c r="C367" s="49" t="s">
        <v>396</v>
      </c>
      <c r="D367" s="64">
        <v>178087821129</v>
      </c>
      <c r="E367" s="49" t="s">
        <v>483</v>
      </c>
      <c r="F367" s="51">
        <v>46142</v>
      </c>
      <c r="G367" s="52">
        <v>46140</v>
      </c>
      <c r="H367" s="52">
        <v>46160</v>
      </c>
      <c r="I367" s="52" t="s">
        <v>503</v>
      </c>
      <c r="J367" s="52" t="s">
        <v>521</v>
      </c>
      <c r="K367" s="52" t="s">
        <v>34</v>
      </c>
      <c r="L367" s="49">
        <v>54</v>
      </c>
      <c r="M367" s="49">
        <v>1</v>
      </c>
      <c r="N367" s="49">
        <v>0</v>
      </c>
      <c r="O367" s="53">
        <v>0.4</v>
      </c>
      <c r="P367" s="53">
        <v>0</v>
      </c>
      <c r="Q367" s="53">
        <v>0</v>
      </c>
      <c r="R367" s="54">
        <f t="shared" si="36"/>
        <v>0</v>
      </c>
      <c r="S367" s="55">
        <f t="shared" si="37"/>
        <v>0</v>
      </c>
      <c r="T367" s="55">
        <f t="shared" si="38"/>
        <v>0.0185185185185185</v>
      </c>
      <c r="U367" s="54">
        <f t="shared" si="39"/>
        <v>0.4</v>
      </c>
      <c r="V367" s="54" t="e">
        <f t="shared" si="40"/>
        <v>#DIV/0!</v>
      </c>
      <c r="W367" s="55" t="e">
        <f t="shared" si="41"/>
        <v>#DIV/0!</v>
      </c>
      <c r="X367" s="55" t="e">
        <f t="shared" si="35"/>
        <v>#DIV/0!</v>
      </c>
      <c r="Y367" s="49" t="s">
        <v>62</v>
      </c>
    </row>
    <row r="368" customFormat="1" ht="22.5" customHeight="1" spans="1:25">
      <c r="A368" s="49" t="s">
        <v>606</v>
      </c>
      <c r="B368" s="49" t="s">
        <v>576</v>
      </c>
      <c r="C368" s="49" t="s">
        <v>414</v>
      </c>
      <c r="D368" s="64">
        <v>188330766999</v>
      </c>
      <c r="E368" s="49" t="s">
        <v>483</v>
      </c>
      <c r="F368" s="51">
        <v>46142</v>
      </c>
      <c r="G368" s="52">
        <v>46142</v>
      </c>
      <c r="H368" s="52">
        <v>46157</v>
      </c>
      <c r="I368" s="52" t="s">
        <v>496</v>
      </c>
      <c r="J368" s="52" t="s">
        <v>497</v>
      </c>
      <c r="K368" s="52" t="s">
        <v>493</v>
      </c>
      <c r="L368" s="49">
        <v>37</v>
      </c>
      <c r="M368" s="49">
        <v>1</v>
      </c>
      <c r="N368" s="49">
        <v>0</v>
      </c>
      <c r="O368" s="53">
        <v>0.41</v>
      </c>
      <c r="P368" s="53">
        <v>0</v>
      </c>
      <c r="Q368" s="53">
        <v>65</v>
      </c>
      <c r="R368" s="54">
        <f t="shared" si="36"/>
        <v>0</v>
      </c>
      <c r="S368" s="55">
        <f t="shared" si="37"/>
        <v>0</v>
      </c>
      <c r="T368" s="55">
        <f t="shared" si="38"/>
        <v>0.027027027027027</v>
      </c>
      <c r="U368" s="54">
        <f t="shared" si="39"/>
        <v>0.41</v>
      </c>
      <c r="V368" s="54" t="e">
        <f t="shared" si="40"/>
        <v>#DIV/0!</v>
      </c>
      <c r="W368" s="55" t="e">
        <f t="shared" si="41"/>
        <v>#DIV/0!</v>
      </c>
      <c r="X368" s="55">
        <f t="shared" si="35"/>
        <v>0.00630769230769231</v>
      </c>
      <c r="Y368" s="49" t="s">
        <v>62</v>
      </c>
    </row>
    <row r="369" customFormat="1" ht="22.5" customHeight="1" spans="1:25">
      <c r="A369" s="49" t="s">
        <v>606</v>
      </c>
      <c r="B369" s="49" t="s">
        <v>526</v>
      </c>
      <c r="C369" s="49" t="s">
        <v>348</v>
      </c>
      <c r="D369" s="64">
        <v>177951390007</v>
      </c>
      <c r="E369" s="49" t="s">
        <v>483</v>
      </c>
      <c r="F369" s="51">
        <v>46094</v>
      </c>
      <c r="G369" s="52">
        <v>46093</v>
      </c>
      <c r="H369" s="52">
        <v>46100</v>
      </c>
      <c r="I369" s="52" t="s">
        <v>484</v>
      </c>
      <c r="J369" s="52" t="s">
        <v>485</v>
      </c>
      <c r="K369" s="52" t="s">
        <v>34</v>
      </c>
      <c r="L369" s="49">
        <v>13</v>
      </c>
      <c r="M369" s="49">
        <v>1</v>
      </c>
      <c r="N369" s="49">
        <v>0</v>
      </c>
      <c r="O369" s="53">
        <v>0.35</v>
      </c>
      <c r="P369" s="53">
        <v>0</v>
      </c>
      <c r="Q369" s="53">
        <v>0</v>
      </c>
      <c r="R369" s="54">
        <f t="shared" si="36"/>
        <v>0</v>
      </c>
      <c r="S369" s="55">
        <f t="shared" si="37"/>
        <v>0</v>
      </c>
      <c r="T369" s="55">
        <f t="shared" si="38"/>
        <v>0.0769230769230769</v>
      </c>
      <c r="U369" s="54">
        <f t="shared" si="39"/>
        <v>0.35</v>
      </c>
      <c r="V369" s="54" t="e">
        <f t="shared" si="40"/>
        <v>#DIV/0!</v>
      </c>
      <c r="W369" s="55" t="e">
        <f t="shared" si="41"/>
        <v>#DIV/0!</v>
      </c>
      <c r="X369" s="55" t="e">
        <f t="shared" si="35"/>
        <v>#DIV/0!</v>
      </c>
      <c r="Y369" s="49" t="s">
        <v>62</v>
      </c>
    </row>
    <row r="370" customFormat="1" ht="22.5" customHeight="1" spans="1:25">
      <c r="A370" s="49" t="s">
        <v>606</v>
      </c>
      <c r="B370" s="49" t="s">
        <v>597</v>
      </c>
      <c r="C370" s="49" t="s">
        <v>411</v>
      </c>
      <c r="D370" s="64">
        <v>117178501579</v>
      </c>
      <c r="E370" s="49" t="s">
        <v>502</v>
      </c>
      <c r="F370" s="51">
        <v>46153</v>
      </c>
      <c r="G370" s="52">
        <v>46142</v>
      </c>
      <c r="H370" s="52">
        <v>46144</v>
      </c>
      <c r="I370" s="52" t="s">
        <v>503</v>
      </c>
      <c r="J370" s="52" t="s">
        <v>489</v>
      </c>
      <c r="K370" s="52" t="s">
        <v>493</v>
      </c>
      <c r="L370" s="49">
        <v>640</v>
      </c>
      <c r="M370" s="49">
        <v>0</v>
      </c>
      <c r="N370" s="49">
        <v>0</v>
      </c>
      <c r="O370" s="53">
        <v>0</v>
      </c>
      <c r="P370" s="53">
        <v>0</v>
      </c>
      <c r="Q370" s="53">
        <v>90</v>
      </c>
      <c r="R370" s="54" t="e">
        <f t="shared" si="36"/>
        <v>#DIV/0!</v>
      </c>
      <c r="S370" s="55" t="e">
        <f t="shared" si="37"/>
        <v>#DIV/0!</v>
      </c>
      <c r="T370" s="55">
        <f t="shared" si="38"/>
        <v>0</v>
      </c>
      <c r="U370" s="54" t="e">
        <f t="shared" si="39"/>
        <v>#DIV/0!</v>
      </c>
      <c r="V370" s="54" t="e">
        <f t="shared" si="40"/>
        <v>#DIV/0!</v>
      </c>
      <c r="W370" s="55" t="e">
        <f t="shared" si="41"/>
        <v>#DIV/0!</v>
      </c>
      <c r="X370" s="55">
        <f t="shared" si="35"/>
        <v>0</v>
      </c>
      <c r="Y370" s="49" t="s">
        <v>62</v>
      </c>
    </row>
    <row r="371" customFormat="1" ht="22.5" customHeight="1" spans="1:25">
      <c r="A371" s="49" t="s">
        <v>606</v>
      </c>
      <c r="B371" s="49" t="s">
        <v>587</v>
      </c>
      <c r="C371" s="49" t="s">
        <v>397</v>
      </c>
      <c r="D371" s="64">
        <v>117169587615</v>
      </c>
      <c r="E371" s="49" t="s">
        <v>502</v>
      </c>
      <c r="F371" s="51">
        <v>46148</v>
      </c>
      <c r="G371" s="52">
        <v>46140</v>
      </c>
      <c r="H371" s="52">
        <v>46142</v>
      </c>
      <c r="I371" s="52" t="s">
        <v>484</v>
      </c>
      <c r="J371" s="52" t="s">
        <v>485</v>
      </c>
      <c r="K371" s="52" t="s">
        <v>34</v>
      </c>
      <c r="L371" s="49">
        <v>284</v>
      </c>
      <c r="M371" s="49">
        <v>0</v>
      </c>
      <c r="N371" s="49">
        <v>0</v>
      </c>
      <c r="O371" s="53">
        <v>0</v>
      </c>
      <c r="P371" s="53">
        <v>0</v>
      </c>
      <c r="Q371" s="53">
        <v>89</v>
      </c>
      <c r="R371" s="54" t="e">
        <f t="shared" si="36"/>
        <v>#DIV/0!</v>
      </c>
      <c r="S371" s="55" t="e">
        <f t="shared" si="37"/>
        <v>#DIV/0!</v>
      </c>
      <c r="T371" s="55">
        <f t="shared" si="38"/>
        <v>0</v>
      </c>
      <c r="U371" s="54" t="e">
        <f t="shared" si="39"/>
        <v>#DIV/0!</v>
      </c>
      <c r="V371" s="54" t="e">
        <f t="shared" si="40"/>
        <v>#DIV/0!</v>
      </c>
      <c r="W371" s="55" t="e">
        <f t="shared" si="41"/>
        <v>#DIV/0!</v>
      </c>
      <c r="X371" s="55">
        <f t="shared" si="35"/>
        <v>0</v>
      </c>
      <c r="Y371" s="49" t="s">
        <v>62</v>
      </c>
    </row>
    <row r="372" customFormat="1" ht="22.5" customHeight="1" spans="1:25">
      <c r="A372" s="49" t="s">
        <v>606</v>
      </c>
      <c r="B372" s="49" t="s">
        <v>598</v>
      </c>
      <c r="C372" s="49" t="s">
        <v>341</v>
      </c>
      <c r="D372" s="64">
        <v>117083115196</v>
      </c>
      <c r="E372" s="49" t="s">
        <v>502</v>
      </c>
      <c r="F372" s="51">
        <v>46159</v>
      </c>
      <c r="G372" s="52">
        <v>46092</v>
      </c>
      <c r="H372" s="52">
        <v>46112</v>
      </c>
      <c r="I372" s="52" t="s">
        <v>505</v>
      </c>
      <c r="J372" s="52" t="s">
        <v>489</v>
      </c>
      <c r="K372" s="52" t="s">
        <v>493</v>
      </c>
      <c r="L372" s="49">
        <v>182</v>
      </c>
      <c r="M372" s="49">
        <v>0</v>
      </c>
      <c r="N372" s="49">
        <v>0</v>
      </c>
      <c r="O372" s="53">
        <v>0</v>
      </c>
      <c r="P372" s="53">
        <v>0</v>
      </c>
      <c r="Q372" s="53">
        <v>0</v>
      </c>
      <c r="R372" s="54" t="e">
        <f t="shared" si="36"/>
        <v>#DIV/0!</v>
      </c>
      <c r="S372" s="55" t="e">
        <f t="shared" si="37"/>
        <v>#DIV/0!</v>
      </c>
      <c r="T372" s="55">
        <f t="shared" si="38"/>
        <v>0</v>
      </c>
      <c r="U372" s="54" t="e">
        <f t="shared" si="39"/>
        <v>#DIV/0!</v>
      </c>
      <c r="V372" s="54" t="e">
        <f t="shared" si="40"/>
        <v>#DIV/0!</v>
      </c>
      <c r="W372" s="55" t="e">
        <f t="shared" si="41"/>
        <v>#DIV/0!</v>
      </c>
      <c r="X372" s="55" t="e">
        <f t="shared" si="35"/>
        <v>#DIV/0!</v>
      </c>
      <c r="Y372" s="49" t="s">
        <v>49</v>
      </c>
    </row>
    <row r="373" customFormat="1" ht="22.5" customHeight="1" spans="1:25">
      <c r="A373" s="49" t="s">
        <v>606</v>
      </c>
      <c r="B373" s="49" t="s">
        <v>538</v>
      </c>
      <c r="C373" s="49" t="s">
        <v>333</v>
      </c>
      <c r="D373" s="64">
        <v>188139762062</v>
      </c>
      <c r="E373" s="49" t="s">
        <v>483</v>
      </c>
      <c r="F373" s="51">
        <v>46092</v>
      </c>
      <c r="G373" s="52">
        <v>46091</v>
      </c>
      <c r="H373" s="52">
        <v>46101</v>
      </c>
      <c r="I373" s="52" t="s">
        <v>484</v>
      </c>
      <c r="J373" s="52" t="s">
        <v>489</v>
      </c>
      <c r="K373" s="52" t="s">
        <v>34</v>
      </c>
      <c r="L373" s="49">
        <v>169</v>
      </c>
      <c r="M373" s="49">
        <v>0</v>
      </c>
      <c r="N373" s="49">
        <v>0</v>
      </c>
      <c r="O373" s="53">
        <v>0</v>
      </c>
      <c r="P373" s="53">
        <v>0</v>
      </c>
      <c r="Q373" s="53">
        <v>38</v>
      </c>
      <c r="R373" s="54" t="e">
        <f t="shared" si="36"/>
        <v>#DIV/0!</v>
      </c>
      <c r="S373" s="55" t="e">
        <f t="shared" si="37"/>
        <v>#DIV/0!</v>
      </c>
      <c r="T373" s="55">
        <f t="shared" si="38"/>
        <v>0</v>
      </c>
      <c r="U373" s="54" t="e">
        <f t="shared" si="39"/>
        <v>#DIV/0!</v>
      </c>
      <c r="V373" s="54" t="e">
        <f t="shared" si="40"/>
        <v>#DIV/0!</v>
      </c>
      <c r="W373" s="55" t="e">
        <f t="shared" si="41"/>
        <v>#DIV/0!</v>
      </c>
      <c r="X373" s="55">
        <f t="shared" si="35"/>
        <v>0</v>
      </c>
      <c r="Y373" s="49" t="s">
        <v>62</v>
      </c>
    </row>
    <row r="374" customFormat="1" ht="22.5" customHeight="1" spans="1:25">
      <c r="A374" s="49" t="s">
        <v>606</v>
      </c>
      <c r="B374" s="49" t="s">
        <v>541</v>
      </c>
      <c r="C374" s="49" t="s">
        <v>351</v>
      </c>
      <c r="D374" s="64">
        <v>188167162085</v>
      </c>
      <c r="E374" s="49" t="s">
        <v>483</v>
      </c>
      <c r="F374" s="51">
        <v>46098</v>
      </c>
      <c r="G374" s="52">
        <v>46097</v>
      </c>
      <c r="H374" s="52">
        <v>46103</v>
      </c>
      <c r="I374" s="52" t="s">
        <v>496</v>
      </c>
      <c r="J374" s="52" t="s">
        <v>30</v>
      </c>
      <c r="K374" s="52" t="s">
        <v>34</v>
      </c>
      <c r="L374" s="49">
        <v>27</v>
      </c>
      <c r="M374" s="49">
        <v>0</v>
      </c>
      <c r="N374" s="49">
        <v>0</v>
      </c>
      <c r="O374" s="53">
        <v>0</v>
      </c>
      <c r="P374" s="53">
        <v>0</v>
      </c>
      <c r="Q374" s="53">
        <v>0</v>
      </c>
      <c r="R374" s="54" t="e">
        <f t="shared" si="36"/>
        <v>#DIV/0!</v>
      </c>
      <c r="S374" s="55" t="e">
        <f t="shared" si="37"/>
        <v>#DIV/0!</v>
      </c>
      <c r="T374" s="55">
        <f t="shared" si="38"/>
        <v>0</v>
      </c>
      <c r="U374" s="54" t="e">
        <f t="shared" si="39"/>
        <v>#DIV/0!</v>
      </c>
      <c r="V374" s="54" t="e">
        <f t="shared" si="40"/>
        <v>#DIV/0!</v>
      </c>
      <c r="W374" s="55" t="e">
        <f t="shared" si="41"/>
        <v>#DIV/0!</v>
      </c>
      <c r="X374" s="55" t="e">
        <f t="shared" si="35"/>
        <v>#DIV/0!</v>
      </c>
      <c r="Y374" s="49" t="s">
        <v>62</v>
      </c>
    </row>
    <row r="375" customFormat="1" ht="22.5" customHeight="1" spans="1:25">
      <c r="A375" s="49" t="s">
        <v>606</v>
      </c>
      <c r="B375" s="49" t="s">
        <v>598</v>
      </c>
      <c r="C375" s="49" t="s">
        <v>340</v>
      </c>
      <c r="D375" s="64">
        <v>117083102708</v>
      </c>
      <c r="E375" s="49" t="s">
        <v>502</v>
      </c>
      <c r="F375" s="51">
        <v>46159</v>
      </c>
      <c r="G375" s="52">
        <v>46092</v>
      </c>
      <c r="H375" s="52">
        <v>46096</v>
      </c>
      <c r="I375" s="52" t="s">
        <v>505</v>
      </c>
      <c r="J375" s="52" t="s">
        <v>489</v>
      </c>
      <c r="K375" s="52" t="s">
        <v>493</v>
      </c>
      <c r="L375" s="49">
        <v>6</v>
      </c>
      <c r="M375" s="49">
        <v>0</v>
      </c>
      <c r="N375" s="49">
        <v>0</v>
      </c>
      <c r="O375" s="53">
        <v>0</v>
      </c>
      <c r="P375" s="53">
        <v>0</v>
      </c>
      <c r="Q375" s="53">
        <v>34</v>
      </c>
      <c r="R375" s="54" t="e">
        <f t="shared" si="36"/>
        <v>#DIV/0!</v>
      </c>
      <c r="S375" s="55" t="e">
        <f t="shared" si="37"/>
        <v>#DIV/0!</v>
      </c>
      <c r="T375" s="55">
        <f t="shared" si="38"/>
        <v>0</v>
      </c>
      <c r="U375" s="54" t="e">
        <f t="shared" si="39"/>
        <v>#DIV/0!</v>
      </c>
      <c r="V375" s="54" t="e">
        <f t="shared" si="40"/>
        <v>#DIV/0!</v>
      </c>
      <c r="W375" s="55" t="e">
        <f t="shared" si="41"/>
        <v>#DIV/0!</v>
      </c>
      <c r="X375" s="55">
        <f t="shared" si="35"/>
        <v>0</v>
      </c>
      <c r="Y375" s="49" t="s">
        <v>62</v>
      </c>
    </row>
    <row r="376" customFormat="1" ht="22.5" customHeight="1" spans="1:25">
      <c r="A376" s="49" t="s">
        <v>606</v>
      </c>
      <c r="B376" s="49" t="s">
        <v>572</v>
      </c>
      <c r="C376" s="49" t="s">
        <v>401</v>
      </c>
      <c r="D376" s="64">
        <v>188328090540</v>
      </c>
      <c r="E376" s="49" t="s">
        <v>483</v>
      </c>
      <c r="F376" s="51">
        <v>46142</v>
      </c>
      <c r="G376" s="52">
        <v>46141</v>
      </c>
      <c r="H376" s="52">
        <v>46142</v>
      </c>
      <c r="I376" s="52" t="s">
        <v>520</v>
      </c>
      <c r="J376" s="52" t="s">
        <v>485</v>
      </c>
      <c r="K376" s="52" t="s">
        <v>34</v>
      </c>
      <c r="L376" s="49">
        <v>5</v>
      </c>
      <c r="M376" s="49">
        <v>0</v>
      </c>
      <c r="N376" s="49">
        <v>0</v>
      </c>
      <c r="O376" s="53">
        <v>0</v>
      </c>
      <c r="P376" s="53">
        <v>0</v>
      </c>
      <c r="Q376" s="53">
        <v>210</v>
      </c>
      <c r="R376" s="54" t="e">
        <f t="shared" si="36"/>
        <v>#DIV/0!</v>
      </c>
      <c r="S376" s="55" t="e">
        <f t="shared" si="37"/>
        <v>#DIV/0!</v>
      </c>
      <c r="T376" s="55">
        <f t="shared" si="38"/>
        <v>0</v>
      </c>
      <c r="U376" s="54" t="e">
        <f t="shared" si="39"/>
        <v>#DIV/0!</v>
      </c>
      <c r="V376" s="54" t="e">
        <f t="shared" si="40"/>
        <v>#DIV/0!</v>
      </c>
      <c r="W376" s="55" t="e">
        <f t="shared" si="41"/>
        <v>#DIV/0!</v>
      </c>
      <c r="X376" s="55">
        <f t="shared" ref="X376:X439" si="42">O376/Q376</f>
        <v>0</v>
      </c>
      <c r="Y376" s="49" t="s">
        <v>62</v>
      </c>
    </row>
    <row r="377" customFormat="1" ht="22.5" customHeight="1" spans="1:25">
      <c r="A377" s="49" t="s">
        <v>606</v>
      </c>
      <c r="B377" s="49" t="s">
        <v>607</v>
      </c>
      <c r="C377" s="49" t="s">
        <v>434</v>
      </c>
      <c r="D377" s="64">
        <v>188384937724</v>
      </c>
      <c r="E377" s="49" t="s">
        <v>483</v>
      </c>
      <c r="F377" s="51">
        <v>46160</v>
      </c>
      <c r="G377" s="52">
        <v>46157</v>
      </c>
      <c r="H377" s="52">
        <v>46158</v>
      </c>
      <c r="I377" s="52" t="s">
        <v>520</v>
      </c>
      <c r="J377" s="52" t="s">
        <v>521</v>
      </c>
      <c r="K377" s="52" t="s">
        <v>34</v>
      </c>
      <c r="L377" s="49">
        <v>3</v>
      </c>
      <c r="M377" s="49">
        <v>0</v>
      </c>
      <c r="N377" s="49">
        <v>0</v>
      </c>
      <c r="O377" s="53">
        <v>0</v>
      </c>
      <c r="P377" s="53">
        <v>0</v>
      </c>
      <c r="Q377" s="53">
        <v>88</v>
      </c>
      <c r="R377" s="54" t="e">
        <f t="shared" si="36"/>
        <v>#DIV/0!</v>
      </c>
      <c r="S377" s="55" t="e">
        <f t="shared" si="37"/>
        <v>#DIV/0!</v>
      </c>
      <c r="T377" s="55">
        <f t="shared" si="38"/>
        <v>0</v>
      </c>
      <c r="U377" s="54" t="e">
        <f t="shared" si="39"/>
        <v>#DIV/0!</v>
      </c>
      <c r="V377" s="54" t="e">
        <f t="shared" si="40"/>
        <v>#DIV/0!</v>
      </c>
      <c r="W377" s="55" t="e">
        <f t="shared" si="41"/>
        <v>#DIV/0!</v>
      </c>
      <c r="X377" s="55">
        <f t="shared" si="42"/>
        <v>0</v>
      </c>
      <c r="Y377" s="49" t="s">
        <v>62</v>
      </c>
    </row>
    <row r="378" customFormat="1" ht="22.5" customHeight="1" spans="1:25">
      <c r="A378" s="49" t="s">
        <v>606</v>
      </c>
      <c r="B378" s="49" t="s">
        <v>600</v>
      </c>
      <c r="C378" s="49" t="s">
        <v>424</v>
      </c>
      <c r="D378" s="64">
        <v>178118173971</v>
      </c>
      <c r="E378" s="49" t="s">
        <v>483</v>
      </c>
      <c r="F378" s="51">
        <v>46151</v>
      </c>
      <c r="G378" s="52">
        <v>46151</v>
      </c>
      <c r="H378" s="52" t="s">
        <v>149</v>
      </c>
      <c r="I378" s="52" t="s">
        <v>496</v>
      </c>
      <c r="J378" s="52" t="s">
        <v>497</v>
      </c>
      <c r="K378" s="52" t="s">
        <v>34</v>
      </c>
      <c r="L378" s="49">
        <v>1</v>
      </c>
      <c r="M378" s="49">
        <v>0</v>
      </c>
      <c r="N378" s="49">
        <v>0</v>
      </c>
      <c r="O378" s="53">
        <v>0</v>
      </c>
      <c r="P378" s="53">
        <v>0</v>
      </c>
      <c r="Q378" s="53">
        <v>0</v>
      </c>
      <c r="R378" s="54" t="e">
        <f t="shared" si="36"/>
        <v>#DIV/0!</v>
      </c>
      <c r="S378" s="55" t="e">
        <f t="shared" si="37"/>
        <v>#DIV/0!</v>
      </c>
      <c r="T378" s="55">
        <f t="shared" si="38"/>
        <v>0</v>
      </c>
      <c r="U378" s="54" t="e">
        <f t="shared" si="39"/>
        <v>#DIV/0!</v>
      </c>
      <c r="V378" s="54" t="e">
        <f t="shared" si="40"/>
        <v>#DIV/0!</v>
      </c>
      <c r="W378" s="55" t="e">
        <f t="shared" si="41"/>
        <v>#DIV/0!</v>
      </c>
      <c r="X378" s="55" t="e">
        <f t="shared" si="42"/>
        <v>#DIV/0!</v>
      </c>
      <c r="Y378" s="49" t="s">
        <v>62</v>
      </c>
    </row>
    <row r="379" customFormat="1" ht="22.5" customHeight="1" spans="1:25">
      <c r="A379" s="49" t="s">
        <v>606</v>
      </c>
      <c r="B379" s="49" t="s">
        <v>608</v>
      </c>
      <c r="C379" s="49" t="s">
        <v>338</v>
      </c>
      <c r="D379" s="64">
        <v>327144336491</v>
      </c>
      <c r="E379" s="49" t="s">
        <v>609</v>
      </c>
      <c r="F379" s="51">
        <v>46162</v>
      </c>
      <c r="G379" s="52">
        <v>46092</v>
      </c>
      <c r="H379" s="52">
        <v>46099</v>
      </c>
      <c r="I379" s="52" t="s">
        <v>484</v>
      </c>
      <c r="J379" s="52" t="s">
        <v>485</v>
      </c>
      <c r="K379" s="52" t="s">
        <v>34</v>
      </c>
      <c r="L379" s="49">
        <v>0</v>
      </c>
      <c r="M379" s="49">
        <v>0</v>
      </c>
      <c r="N379" s="49">
        <v>0</v>
      </c>
      <c r="O379" s="53">
        <v>0</v>
      </c>
      <c r="P379" s="53">
        <v>0</v>
      </c>
      <c r="Q379" s="53">
        <v>308</v>
      </c>
      <c r="R379" s="54" t="e">
        <f t="shared" si="36"/>
        <v>#DIV/0!</v>
      </c>
      <c r="S379" s="55" t="e">
        <f t="shared" si="37"/>
        <v>#DIV/0!</v>
      </c>
      <c r="T379" s="55" t="e">
        <f t="shared" si="38"/>
        <v>#DIV/0!</v>
      </c>
      <c r="U379" s="54" t="e">
        <f t="shared" si="39"/>
        <v>#DIV/0!</v>
      </c>
      <c r="V379" s="54" t="e">
        <f t="shared" si="40"/>
        <v>#DIV/0!</v>
      </c>
      <c r="W379" s="55" t="e">
        <f t="shared" si="41"/>
        <v>#DIV/0!</v>
      </c>
      <c r="X379" s="55">
        <f t="shared" si="42"/>
        <v>0</v>
      </c>
      <c r="Y379" s="49" t="s">
        <v>62</v>
      </c>
    </row>
    <row r="380" customFormat="1" ht="22.5" customHeight="1" spans="1:25">
      <c r="A380" s="49" t="s">
        <v>606</v>
      </c>
      <c r="B380" s="49" t="s">
        <v>555</v>
      </c>
      <c r="C380" s="49" t="s">
        <v>367</v>
      </c>
      <c r="D380" s="64">
        <v>117105226831</v>
      </c>
      <c r="E380" s="49" t="s">
        <v>502</v>
      </c>
      <c r="F380" s="51">
        <v>46135</v>
      </c>
      <c r="G380" s="52">
        <v>46104</v>
      </c>
      <c r="H380" s="52" t="s">
        <v>149</v>
      </c>
      <c r="I380" s="52" t="s">
        <v>496</v>
      </c>
      <c r="J380" s="52" t="s">
        <v>30</v>
      </c>
      <c r="K380" s="52" t="s">
        <v>34</v>
      </c>
      <c r="L380" s="49">
        <v>0</v>
      </c>
      <c r="M380" s="49">
        <v>0</v>
      </c>
      <c r="N380" s="49">
        <v>0</v>
      </c>
      <c r="O380" s="53">
        <v>0</v>
      </c>
      <c r="P380" s="53">
        <v>0</v>
      </c>
      <c r="Q380" s="53">
        <v>0</v>
      </c>
      <c r="R380" s="54" t="e">
        <f t="shared" si="36"/>
        <v>#DIV/0!</v>
      </c>
      <c r="S380" s="55" t="e">
        <f t="shared" si="37"/>
        <v>#DIV/0!</v>
      </c>
      <c r="T380" s="55" t="e">
        <f t="shared" si="38"/>
        <v>#DIV/0!</v>
      </c>
      <c r="U380" s="54" t="e">
        <f t="shared" si="39"/>
        <v>#DIV/0!</v>
      </c>
      <c r="V380" s="54" t="e">
        <f t="shared" si="40"/>
        <v>#DIV/0!</v>
      </c>
      <c r="W380" s="55" t="e">
        <f t="shared" si="41"/>
        <v>#DIV/0!</v>
      </c>
      <c r="X380" s="55" t="e">
        <f t="shared" si="42"/>
        <v>#DIV/0!</v>
      </c>
      <c r="Y380" s="49" t="s">
        <v>49</v>
      </c>
    </row>
    <row r="381" customFormat="1" ht="22.5" customHeight="1" spans="1:25">
      <c r="A381" s="49" t="s">
        <v>606</v>
      </c>
      <c r="B381" s="49" t="s">
        <v>610</v>
      </c>
      <c r="C381" s="49" t="s">
        <v>338</v>
      </c>
      <c r="D381" s="64">
        <v>117083094658</v>
      </c>
      <c r="E381" s="49" t="s">
        <v>502</v>
      </c>
      <c r="F381" s="51">
        <v>46162</v>
      </c>
      <c r="G381" s="52">
        <v>46092</v>
      </c>
      <c r="H381" s="52">
        <v>46099</v>
      </c>
      <c r="I381" s="52" t="s">
        <v>484</v>
      </c>
      <c r="J381" s="52" t="s">
        <v>485</v>
      </c>
      <c r="K381" s="52" t="s">
        <v>34</v>
      </c>
      <c r="L381" s="49">
        <v>0</v>
      </c>
      <c r="M381" s="49">
        <v>0</v>
      </c>
      <c r="N381" s="49">
        <v>0</v>
      </c>
      <c r="O381" s="53">
        <v>0</v>
      </c>
      <c r="P381" s="53">
        <v>0</v>
      </c>
      <c r="Q381" s="53">
        <v>308</v>
      </c>
      <c r="R381" s="54" t="e">
        <f t="shared" si="36"/>
        <v>#DIV/0!</v>
      </c>
      <c r="S381" s="55" t="e">
        <f t="shared" si="37"/>
        <v>#DIV/0!</v>
      </c>
      <c r="T381" s="55" t="e">
        <f t="shared" si="38"/>
        <v>#DIV/0!</v>
      </c>
      <c r="U381" s="54" t="e">
        <f t="shared" si="39"/>
        <v>#DIV/0!</v>
      </c>
      <c r="V381" s="54" t="e">
        <f t="shared" si="40"/>
        <v>#DIV/0!</v>
      </c>
      <c r="W381" s="55" t="e">
        <f t="shared" si="41"/>
        <v>#DIV/0!</v>
      </c>
      <c r="X381" s="55">
        <f t="shared" si="42"/>
        <v>0</v>
      </c>
      <c r="Y381" s="49" t="s">
        <v>62</v>
      </c>
    </row>
    <row r="382" customFormat="1" ht="22.5" customHeight="1" spans="1:25">
      <c r="A382" s="49" t="s">
        <v>606</v>
      </c>
      <c r="B382" s="49" t="s">
        <v>508</v>
      </c>
      <c r="C382" s="49" t="s">
        <v>325</v>
      </c>
      <c r="D382" s="64">
        <v>188126164114</v>
      </c>
      <c r="E382" s="49" t="s">
        <v>483</v>
      </c>
      <c r="F382" s="51">
        <v>46099</v>
      </c>
      <c r="G382" s="52">
        <v>46085</v>
      </c>
      <c r="H382" s="52">
        <v>46091</v>
      </c>
      <c r="I382" s="52" t="s">
        <v>496</v>
      </c>
      <c r="J382" s="52" t="s">
        <v>497</v>
      </c>
      <c r="K382" s="52" t="s">
        <v>34</v>
      </c>
      <c r="L382" s="49">
        <v>0</v>
      </c>
      <c r="M382" s="49">
        <v>0</v>
      </c>
      <c r="N382" s="49">
        <v>0</v>
      </c>
      <c r="O382" s="53">
        <v>0</v>
      </c>
      <c r="P382" s="53">
        <v>0</v>
      </c>
      <c r="Q382" s="53">
        <v>255</v>
      </c>
      <c r="R382" s="54" t="e">
        <f t="shared" si="36"/>
        <v>#DIV/0!</v>
      </c>
      <c r="S382" s="55" t="e">
        <f t="shared" si="37"/>
        <v>#DIV/0!</v>
      </c>
      <c r="T382" s="55" t="e">
        <f t="shared" si="38"/>
        <v>#DIV/0!</v>
      </c>
      <c r="U382" s="54" t="e">
        <f t="shared" si="39"/>
        <v>#DIV/0!</v>
      </c>
      <c r="V382" s="54" t="e">
        <f t="shared" si="40"/>
        <v>#DIV/0!</v>
      </c>
      <c r="W382" s="55" t="e">
        <f t="shared" si="41"/>
        <v>#DIV/0!</v>
      </c>
      <c r="X382" s="55">
        <f t="shared" si="42"/>
        <v>0</v>
      </c>
      <c r="Y382" s="49" t="s">
        <v>49</v>
      </c>
    </row>
    <row r="383" customFormat="1" ht="22.5" customHeight="1" spans="1:25">
      <c r="A383" s="49" t="s">
        <v>606</v>
      </c>
      <c r="B383" s="49" t="s">
        <v>588</v>
      </c>
      <c r="C383" s="49" t="s">
        <v>418</v>
      </c>
      <c r="D383" s="64">
        <v>188330773414</v>
      </c>
      <c r="E383" s="49" t="s">
        <v>483</v>
      </c>
      <c r="F383" s="51">
        <v>46147</v>
      </c>
      <c r="G383" s="52">
        <v>46142</v>
      </c>
      <c r="H383" s="52">
        <v>46153</v>
      </c>
      <c r="I383" s="52" t="s">
        <v>520</v>
      </c>
      <c r="J383" s="52" t="s">
        <v>521</v>
      </c>
      <c r="K383" s="52" t="s">
        <v>34</v>
      </c>
      <c r="L383" s="49">
        <v>0</v>
      </c>
      <c r="M383" s="49">
        <v>0</v>
      </c>
      <c r="N383" s="49">
        <v>0</v>
      </c>
      <c r="O383" s="53">
        <v>0</v>
      </c>
      <c r="P383" s="53">
        <v>0</v>
      </c>
      <c r="Q383" s="53">
        <v>258</v>
      </c>
      <c r="R383" s="54" t="e">
        <f t="shared" si="36"/>
        <v>#DIV/0!</v>
      </c>
      <c r="S383" s="55" t="e">
        <f t="shared" si="37"/>
        <v>#DIV/0!</v>
      </c>
      <c r="T383" s="55" t="e">
        <f t="shared" si="38"/>
        <v>#DIV/0!</v>
      </c>
      <c r="U383" s="54" t="e">
        <f t="shared" si="39"/>
        <v>#DIV/0!</v>
      </c>
      <c r="V383" s="54" t="e">
        <f t="shared" si="40"/>
        <v>#DIV/0!</v>
      </c>
      <c r="W383" s="55" t="e">
        <f t="shared" si="41"/>
        <v>#DIV/0!</v>
      </c>
      <c r="X383" s="55">
        <f t="shared" si="42"/>
        <v>0</v>
      </c>
      <c r="Y383" s="49" t="s">
        <v>62</v>
      </c>
    </row>
    <row r="384" customFormat="1" ht="22.5" customHeight="1" spans="1:25">
      <c r="A384" s="49" t="s">
        <v>606</v>
      </c>
      <c r="B384" s="49" t="s">
        <v>611</v>
      </c>
      <c r="C384" s="49" t="s">
        <v>438</v>
      </c>
      <c r="D384" s="64">
        <v>188395433417</v>
      </c>
      <c r="E384" s="49" t="s">
        <v>483</v>
      </c>
      <c r="F384" s="51">
        <v>46161</v>
      </c>
      <c r="G384" s="52">
        <v>46160</v>
      </c>
      <c r="H384" s="52">
        <v>46161</v>
      </c>
      <c r="I384" s="52" t="s">
        <v>503</v>
      </c>
      <c r="J384" s="52" t="s">
        <v>558</v>
      </c>
      <c r="K384" s="52" t="s">
        <v>34</v>
      </c>
      <c r="L384" s="49">
        <v>0</v>
      </c>
      <c r="M384" s="49">
        <v>0</v>
      </c>
      <c r="N384" s="49">
        <v>0</v>
      </c>
      <c r="O384" s="53">
        <v>0</v>
      </c>
      <c r="P384" s="53">
        <v>0</v>
      </c>
      <c r="Q384" s="53">
        <v>0</v>
      </c>
      <c r="R384" s="54" t="e">
        <f t="shared" si="36"/>
        <v>#DIV/0!</v>
      </c>
      <c r="S384" s="55" t="e">
        <f t="shared" si="37"/>
        <v>#DIV/0!</v>
      </c>
      <c r="T384" s="55" t="e">
        <f t="shared" si="38"/>
        <v>#DIV/0!</v>
      </c>
      <c r="U384" s="54" t="e">
        <f t="shared" si="39"/>
        <v>#DIV/0!</v>
      </c>
      <c r="V384" s="54" t="e">
        <f t="shared" si="40"/>
        <v>#DIV/0!</v>
      </c>
      <c r="W384" s="55" t="e">
        <f t="shared" si="41"/>
        <v>#DIV/0!</v>
      </c>
      <c r="X384" s="55" t="e">
        <f t="shared" si="42"/>
        <v>#DIV/0!</v>
      </c>
      <c r="Y384" s="49" t="s">
        <v>62</v>
      </c>
    </row>
    <row r="385" customFormat="1" ht="22.5" customHeight="1" spans="1:25">
      <c r="A385" s="49" t="s">
        <v>606</v>
      </c>
      <c r="B385" s="49" t="s">
        <v>611</v>
      </c>
      <c r="C385" s="49" t="s">
        <v>439</v>
      </c>
      <c r="D385" s="64">
        <v>188395435756</v>
      </c>
      <c r="E385" s="49" t="s">
        <v>483</v>
      </c>
      <c r="F385" s="51">
        <v>46161</v>
      </c>
      <c r="G385" s="52">
        <v>46160</v>
      </c>
      <c r="H385" s="52">
        <v>46161</v>
      </c>
      <c r="I385" s="52" t="s">
        <v>503</v>
      </c>
      <c r="J385" s="52" t="s">
        <v>558</v>
      </c>
      <c r="K385" s="52" t="s">
        <v>34</v>
      </c>
      <c r="L385" s="49">
        <v>0</v>
      </c>
      <c r="M385" s="49">
        <v>0</v>
      </c>
      <c r="N385" s="49">
        <v>0</v>
      </c>
      <c r="O385" s="53">
        <v>0</v>
      </c>
      <c r="P385" s="53">
        <v>0</v>
      </c>
      <c r="Q385" s="53">
        <v>0</v>
      </c>
      <c r="R385" s="54" t="e">
        <f t="shared" si="36"/>
        <v>#DIV/0!</v>
      </c>
      <c r="S385" s="55" t="e">
        <f t="shared" si="37"/>
        <v>#DIV/0!</v>
      </c>
      <c r="T385" s="55" t="e">
        <f t="shared" si="38"/>
        <v>#DIV/0!</v>
      </c>
      <c r="U385" s="54" t="e">
        <f t="shared" si="39"/>
        <v>#DIV/0!</v>
      </c>
      <c r="V385" s="54" t="e">
        <f t="shared" si="40"/>
        <v>#DIV/0!</v>
      </c>
      <c r="W385" s="55" t="e">
        <f t="shared" si="41"/>
        <v>#DIV/0!</v>
      </c>
      <c r="X385" s="55" t="e">
        <f t="shared" si="42"/>
        <v>#DIV/0!</v>
      </c>
      <c r="Y385" s="49" t="s">
        <v>62</v>
      </c>
    </row>
    <row r="386" customFormat="1" ht="22.5" customHeight="1" spans="1:25">
      <c r="A386" s="49" t="s">
        <v>606</v>
      </c>
      <c r="B386" s="49" t="s">
        <v>612</v>
      </c>
      <c r="C386" s="49" t="s">
        <v>440</v>
      </c>
      <c r="D386" s="64">
        <v>188397858058</v>
      </c>
      <c r="E386" s="49" t="s">
        <v>483</v>
      </c>
      <c r="F386" s="51">
        <v>46161</v>
      </c>
      <c r="G386" s="52">
        <v>46160</v>
      </c>
      <c r="H386" s="52" t="s">
        <v>149</v>
      </c>
      <c r="I386" s="52" t="s">
        <v>520</v>
      </c>
      <c r="J386" s="52" t="s">
        <v>521</v>
      </c>
      <c r="K386" s="52" t="s">
        <v>34</v>
      </c>
      <c r="L386" s="49">
        <v>0</v>
      </c>
      <c r="M386" s="49">
        <v>0</v>
      </c>
      <c r="N386" s="49">
        <v>0</v>
      </c>
      <c r="O386" s="53">
        <v>0</v>
      </c>
      <c r="P386" s="53">
        <v>0</v>
      </c>
      <c r="Q386" s="53">
        <v>0</v>
      </c>
      <c r="R386" s="54" t="e">
        <f t="shared" ref="R386:R449" si="43">P386/O386</f>
        <v>#DIV/0!</v>
      </c>
      <c r="S386" s="55" t="e">
        <f t="shared" ref="S386:S449" si="44">N386/M386</f>
        <v>#DIV/0!</v>
      </c>
      <c r="T386" s="55" t="e">
        <f t="shared" ref="T386:T449" si="45">M386/L386</f>
        <v>#DIV/0!</v>
      </c>
      <c r="U386" s="54" t="e">
        <f t="shared" ref="U386:U449" si="46">O386/M386</f>
        <v>#DIV/0!</v>
      </c>
      <c r="V386" s="54" t="e">
        <f t="shared" ref="V386:V449" si="47">O386/N386</f>
        <v>#DIV/0!</v>
      </c>
      <c r="W386" s="55" t="e">
        <f t="shared" ref="W386:W449" si="48">O386/P386</f>
        <v>#DIV/0!</v>
      </c>
      <c r="X386" s="55" t="e">
        <f t="shared" si="42"/>
        <v>#DIV/0!</v>
      </c>
      <c r="Y386" s="49" t="s">
        <v>62</v>
      </c>
    </row>
    <row r="387" customFormat="1" ht="22.5" customHeight="1" spans="1:25">
      <c r="A387" s="49" t="s">
        <v>606</v>
      </c>
      <c r="B387" s="49" t="s">
        <v>613</v>
      </c>
      <c r="C387" s="49" t="s">
        <v>338</v>
      </c>
      <c r="D387" s="64">
        <v>177947693144</v>
      </c>
      <c r="E387" s="49" t="s">
        <v>483</v>
      </c>
      <c r="F387" s="51">
        <v>46162</v>
      </c>
      <c r="G387" s="52">
        <v>46092</v>
      </c>
      <c r="H387" s="52">
        <v>46099</v>
      </c>
      <c r="I387" s="52" t="s">
        <v>484</v>
      </c>
      <c r="J387" s="52" t="s">
        <v>485</v>
      </c>
      <c r="K387" s="52" t="s">
        <v>34</v>
      </c>
      <c r="L387" s="49">
        <v>0</v>
      </c>
      <c r="M387" s="49">
        <v>0</v>
      </c>
      <c r="N387" s="49">
        <v>0</v>
      </c>
      <c r="O387" s="53">
        <v>0</v>
      </c>
      <c r="P387" s="53">
        <v>0</v>
      </c>
      <c r="Q387" s="53">
        <v>308</v>
      </c>
      <c r="R387" s="54" t="e">
        <f t="shared" si="43"/>
        <v>#DIV/0!</v>
      </c>
      <c r="S387" s="55" t="e">
        <f t="shared" si="44"/>
        <v>#DIV/0!</v>
      </c>
      <c r="T387" s="55" t="e">
        <f t="shared" si="45"/>
        <v>#DIV/0!</v>
      </c>
      <c r="U387" s="54" t="e">
        <f t="shared" si="46"/>
        <v>#DIV/0!</v>
      </c>
      <c r="V387" s="54" t="e">
        <f t="shared" si="47"/>
        <v>#DIV/0!</v>
      </c>
      <c r="W387" s="55" t="e">
        <f t="shared" si="48"/>
        <v>#DIV/0!</v>
      </c>
      <c r="X387" s="55">
        <f t="shared" si="42"/>
        <v>0</v>
      </c>
      <c r="Y387" s="49" t="s">
        <v>62</v>
      </c>
    </row>
    <row r="388" customFormat="1" ht="22.5" customHeight="1" spans="1:25">
      <c r="A388" s="49" t="s">
        <v>606</v>
      </c>
      <c r="B388" s="49" t="s">
        <v>614</v>
      </c>
      <c r="C388" s="49" t="s">
        <v>443</v>
      </c>
      <c r="D388" s="64">
        <v>188402233492</v>
      </c>
      <c r="E388" s="49" t="s">
        <v>483</v>
      </c>
      <c r="F388" s="51">
        <v>46162</v>
      </c>
      <c r="G388" s="52">
        <v>46162</v>
      </c>
      <c r="H388" s="52" t="s">
        <v>149</v>
      </c>
      <c r="I388" s="52" t="s">
        <v>496</v>
      </c>
      <c r="J388" s="52" t="s">
        <v>558</v>
      </c>
      <c r="K388" s="52" t="s">
        <v>34</v>
      </c>
      <c r="L388" s="49">
        <v>0</v>
      </c>
      <c r="M388" s="49">
        <v>0</v>
      </c>
      <c r="N388" s="49">
        <v>0</v>
      </c>
      <c r="O388" s="53">
        <v>0</v>
      </c>
      <c r="P388" s="53">
        <v>0</v>
      </c>
      <c r="Q388" s="53">
        <v>0</v>
      </c>
      <c r="R388" s="54" t="e">
        <f t="shared" si="43"/>
        <v>#DIV/0!</v>
      </c>
      <c r="S388" s="55" t="e">
        <f t="shared" si="44"/>
        <v>#DIV/0!</v>
      </c>
      <c r="T388" s="55" t="e">
        <f t="shared" si="45"/>
        <v>#DIV/0!</v>
      </c>
      <c r="U388" s="54" t="e">
        <f t="shared" si="46"/>
        <v>#DIV/0!</v>
      </c>
      <c r="V388" s="54" t="e">
        <f t="shared" si="47"/>
        <v>#DIV/0!</v>
      </c>
      <c r="W388" s="55" t="e">
        <f t="shared" si="48"/>
        <v>#DIV/0!</v>
      </c>
      <c r="X388" s="55" t="e">
        <f t="shared" si="42"/>
        <v>#DIV/0!</v>
      </c>
      <c r="Y388" s="49" t="s">
        <v>62</v>
      </c>
    </row>
    <row r="389" customFormat="1" ht="22.5" customHeight="1" spans="1:25">
      <c r="A389" s="49" t="s">
        <v>606</v>
      </c>
      <c r="B389" s="49" t="s">
        <v>615</v>
      </c>
      <c r="C389" s="49" t="s">
        <v>441</v>
      </c>
      <c r="D389" s="64">
        <v>178149834463</v>
      </c>
      <c r="E389" s="49" t="s">
        <v>483</v>
      </c>
      <c r="F389" s="51">
        <v>46162</v>
      </c>
      <c r="G389" s="52">
        <v>46162</v>
      </c>
      <c r="H389" s="52" t="s">
        <v>149</v>
      </c>
      <c r="I389" s="52" t="s">
        <v>505</v>
      </c>
      <c r="J389" s="52" t="s">
        <v>558</v>
      </c>
      <c r="K389" s="52" t="s">
        <v>34</v>
      </c>
      <c r="L389" s="49">
        <v>0</v>
      </c>
      <c r="M389" s="49">
        <v>0</v>
      </c>
      <c r="N389" s="49">
        <v>0</v>
      </c>
      <c r="O389" s="53">
        <v>0</v>
      </c>
      <c r="P389" s="53">
        <v>0</v>
      </c>
      <c r="Q389" s="53">
        <v>0</v>
      </c>
      <c r="R389" s="54" t="e">
        <f t="shared" si="43"/>
        <v>#DIV/0!</v>
      </c>
      <c r="S389" s="55" t="e">
        <f t="shared" si="44"/>
        <v>#DIV/0!</v>
      </c>
      <c r="T389" s="55" t="e">
        <f t="shared" si="45"/>
        <v>#DIV/0!</v>
      </c>
      <c r="U389" s="54" t="e">
        <f t="shared" si="46"/>
        <v>#DIV/0!</v>
      </c>
      <c r="V389" s="54" t="e">
        <f t="shared" si="47"/>
        <v>#DIV/0!</v>
      </c>
      <c r="W389" s="55" t="e">
        <f t="shared" si="48"/>
        <v>#DIV/0!</v>
      </c>
      <c r="X389" s="55" t="e">
        <f t="shared" si="42"/>
        <v>#DIV/0!</v>
      </c>
      <c r="Y389" s="49" t="s">
        <v>62</v>
      </c>
    </row>
    <row r="390" customFormat="1" ht="22.5" customHeight="1" spans="1:25">
      <c r="A390" s="49" t="s">
        <v>606</v>
      </c>
      <c r="B390" s="49" t="s">
        <v>616</v>
      </c>
      <c r="C390" s="49" t="s">
        <v>442</v>
      </c>
      <c r="D390" s="64">
        <v>188402228844</v>
      </c>
      <c r="E390" s="49" t="s">
        <v>483</v>
      </c>
      <c r="F390" s="51">
        <v>46162</v>
      </c>
      <c r="G390" s="52">
        <v>46162</v>
      </c>
      <c r="H390" s="52" t="s">
        <v>149</v>
      </c>
      <c r="I390" s="52" t="s">
        <v>496</v>
      </c>
      <c r="J390" s="52" t="s">
        <v>558</v>
      </c>
      <c r="K390" s="52" t="s">
        <v>34</v>
      </c>
      <c r="L390" s="49">
        <v>0</v>
      </c>
      <c r="M390" s="49">
        <v>0</v>
      </c>
      <c r="N390" s="49">
        <v>0</v>
      </c>
      <c r="O390" s="53">
        <v>0</v>
      </c>
      <c r="P390" s="53">
        <v>0</v>
      </c>
      <c r="Q390" s="53">
        <v>0</v>
      </c>
      <c r="R390" s="54" t="e">
        <f t="shared" si="43"/>
        <v>#DIV/0!</v>
      </c>
      <c r="S390" s="55" t="e">
        <f t="shared" si="44"/>
        <v>#DIV/0!</v>
      </c>
      <c r="T390" s="55" t="e">
        <f t="shared" si="45"/>
        <v>#DIV/0!</v>
      </c>
      <c r="U390" s="54" t="e">
        <f t="shared" si="46"/>
        <v>#DIV/0!</v>
      </c>
      <c r="V390" s="54" t="e">
        <f t="shared" si="47"/>
        <v>#DIV/0!</v>
      </c>
      <c r="W390" s="55" t="e">
        <f t="shared" si="48"/>
        <v>#DIV/0!</v>
      </c>
      <c r="X390" s="55" t="e">
        <f t="shared" si="42"/>
        <v>#DIV/0!</v>
      </c>
      <c r="Y390" s="49" t="s">
        <v>62</v>
      </c>
    </row>
    <row r="391" customFormat="1" ht="22.5" customHeight="1" spans="1:25">
      <c r="A391" s="49" t="s">
        <v>606</v>
      </c>
      <c r="B391" s="49" t="s">
        <v>617</v>
      </c>
      <c r="C391" s="49" t="s">
        <v>450</v>
      </c>
      <c r="D391" s="64">
        <v>178149863263</v>
      </c>
      <c r="E391" s="49" t="s">
        <v>483</v>
      </c>
      <c r="F391" s="51">
        <v>46162</v>
      </c>
      <c r="G391" s="52">
        <v>46162</v>
      </c>
      <c r="H391" s="52">
        <v>46162</v>
      </c>
      <c r="I391" s="52" t="s">
        <v>484</v>
      </c>
      <c r="J391" s="52" t="s">
        <v>558</v>
      </c>
      <c r="K391" s="52" t="s">
        <v>34</v>
      </c>
      <c r="L391" s="49">
        <v>0</v>
      </c>
      <c r="M391" s="49">
        <v>0</v>
      </c>
      <c r="N391" s="49">
        <v>0</v>
      </c>
      <c r="O391" s="53">
        <v>0</v>
      </c>
      <c r="P391" s="53">
        <v>0</v>
      </c>
      <c r="Q391" s="53">
        <v>0</v>
      </c>
      <c r="R391" s="54" t="e">
        <f t="shared" si="43"/>
        <v>#DIV/0!</v>
      </c>
      <c r="S391" s="55" t="e">
        <f t="shared" si="44"/>
        <v>#DIV/0!</v>
      </c>
      <c r="T391" s="55" t="e">
        <f t="shared" si="45"/>
        <v>#DIV/0!</v>
      </c>
      <c r="U391" s="54" t="e">
        <f t="shared" si="46"/>
        <v>#DIV/0!</v>
      </c>
      <c r="V391" s="54" t="e">
        <f t="shared" si="47"/>
        <v>#DIV/0!</v>
      </c>
      <c r="W391" s="55" t="e">
        <f t="shared" si="48"/>
        <v>#DIV/0!</v>
      </c>
      <c r="X391" s="55" t="e">
        <f t="shared" si="42"/>
        <v>#DIV/0!</v>
      </c>
      <c r="Y391" s="49" t="s">
        <v>62</v>
      </c>
    </row>
    <row r="392" customFormat="1" ht="22.5" customHeight="1" spans="1:25">
      <c r="A392" s="49" t="s">
        <v>606</v>
      </c>
      <c r="B392" s="49" t="s">
        <v>618</v>
      </c>
      <c r="C392" s="49" t="s">
        <v>451</v>
      </c>
      <c r="D392" s="64">
        <v>188402268126</v>
      </c>
      <c r="E392" s="49" t="s">
        <v>483</v>
      </c>
      <c r="F392" s="51">
        <v>46162</v>
      </c>
      <c r="G392" s="52">
        <v>46162</v>
      </c>
      <c r="H392" s="52" t="s">
        <v>149</v>
      </c>
      <c r="I392" s="52" t="s">
        <v>484</v>
      </c>
      <c r="J392" s="52" t="s">
        <v>558</v>
      </c>
      <c r="K392" s="52" t="s">
        <v>34</v>
      </c>
      <c r="L392" s="49">
        <v>0</v>
      </c>
      <c r="M392" s="49">
        <v>0</v>
      </c>
      <c r="N392" s="49">
        <v>0</v>
      </c>
      <c r="O392" s="53">
        <v>0</v>
      </c>
      <c r="P392" s="53">
        <v>0</v>
      </c>
      <c r="Q392" s="53">
        <v>0</v>
      </c>
      <c r="R392" s="54" t="e">
        <f t="shared" si="43"/>
        <v>#DIV/0!</v>
      </c>
      <c r="S392" s="55" t="e">
        <f t="shared" si="44"/>
        <v>#DIV/0!</v>
      </c>
      <c r="T392" s="55" t="e">
        <f t="shared" si="45"/>
        <v>#DIV/0!</v>
      </c>
      <c r="U392" s="54" t="e">
        <f t="shared" si="46"/>
        <v>#DIV/0!</v>
      </c>
      <c r="V392" s="54" t="e">
        <f t="shared" si="47"/>
        <v>#DIV/0!</v>
      </c>
      <c r="W392" s="55" t="e">
        <f t="shared" si="48"/>
        <v>#DIV/0!</v>
      </c>
      <c r="X392" s="55" t="e">
        <f t="shared" si="42"/>
        <v>#DIV/0!</v>
      </c>
      <c r="Y392" s="49" t="s">
        <v>62</v>
      </c>
    </row>
    <row r="393" customFormat="1" ht="22.5" customHeight="1" spans="1:25">
      <c r="A393" s="56" t="s">
        <v>71</v>
      </c>
      <c r="B393" s="57" t="s">
        <v>479</v>
      </c>
      <c r="C393" s="57" t="s">
        <v>480</v>
      </c>
      <c r="D393" s="58"/>
      <c r="E393" s="58"/>
      <c r="F393" s="57">
        <f>COUNTIF(B394:B486,"&lt;&gt;")</f>
        <v>93</v>
      </c>
      <c r="G393" s="58"/>
      <c r="H393" s="58"/>
      <c r="I393" s="58"/>
      <c r="J393" s="57" t="s">
        <v>481</v>
      </c>
      <c r="K393" s="58"/>
      <c r="L393" s="59">
        <f t="shared" ref="L393:Q393" si="49">SUM(L394:L486)</f>
        <v>39868</v>
      </c>
      <c r="M393" s="59">
        <f t="shared" si="49"/>
        <v>640</v>
      </c>
      <c r="N393" s="59">
        <f t="shared" si="49"/>
        <v>34</v>
      </c>
      <c r="O393" s="60">
        <f t="shared" si="49"/>
        <v>394.13</v>
      </c>
      <c r="P393" s="60">
        <f t="shared" si="49"/>
        <v>2755.64</v>
      </c>
      <c r="Q393" s="60">
        <f t="shared" si="49"/>
        <v>11100.11</v>
      </c>
      <c r="R393" s="61">
        <f t="shared" si="43"/>
        <v>6.99170324512217</v>
      </c>
      <c r="S393" s="62">
        <f t="shared" si="44"/>
        <v>0.053125</v>
      </c>
      <c r="T393" s="62">
        <f t="shared" si="45"/>
        <v>0.0160529748168958</v>
      </c>
      <c r="U393" s="61">
        <f t="shared" si="46"/>
        <v>0.615828125</v>
      </c>
      <c r="V393" s="61">
        <f t="shared" si="47"/>
        <v>11.5920588235294</v>
      </c>
      <c r="W393" s="62">
        <f t="shared" si="48"/>
        <v>0.143026665311869</v>
      </c>
      <c r="X393" s="62">
        <f t="shared" si="42"/>
        <v>0.0355068553374696</v>
      </c>
      <c r="Y393" s="63">
        <f>COUNTIF(Y394:Y486,"Y")</f>
        <v>12</v>
      </c>
    </row>
    <row r="394" customFormat="1" ht="22.5" customHeight="1" spans="1:25">
      <c r="A394" s="49" t="s">
        <v>71</v>
      </c>
      <c r="B394" s="49" t="s">
        <v>482</v>
      </c>
      <c r="C394" s="49" t="s">
        <v>385</v>
      </c>
      <c r="D394" s="64">
        <v>177997475019</v>
      </c>
      <c r="E394" s="49" t="s">
        <v>483</v>
      </c>
      <c r="F394" s="51">
        <v>46114</v>
      </c>
      <c r="G394" s="52">
        <v>46108</v>
      </c>
      <c r="H394" s="52">
        <v>46114</v>
      </c>
      <c r="I394" s="52" t="s">
        <v>484</v>
      </c>
      <c r="J394" s="52" t="s">
        <v>485</v>
      </c>
      <c r="K394" s="52" t="s">
        <v>34</v>
      </c>
      <c r="L394" s="49">
        <v>1229</v>
      </c>
      <c r="M394" s="49">
        <v>17</v>
      </c>
      <c r="N394" s="49">
        <v>4</v>
      </c>
      <c r="O394" s="53">
        <v>6.28</v>
      </c>
      <c r="P394" s="53">
        <v>151.9</v>
      </c>
      <c r="Q394" s="53">
        <v>315</v>
      </c>
      <c r="R394" s="54">
        <f t="shared" si="43"/>
        <v>24.187898089172</v>
      </c>
      <c r="S394" s="55">
        <f t="shared" si="44"/>
        <v>0.235294117647059</v>
      </c>
      <c r="T394" s="55">
        <f t="shared" si="45"/>
        <v>0.0138323840520749</v>
      </c>
      <c r="U394" s="54">
        <f t="shared" si="46"/>
        <v>0.369411764705882</v>
      </c>
      <c r="V394" s="54">
        <f t="shared" si="47"/>
        <v>1.57</v>
      </c>
      <c r="W394" s="55">
        <f t="shared" si="48"/>
        <v>0.0413429888084266</v>
      </c>
      <c r="X394" s="55">
        <f t="shared" si="42"/>
        <v>0.0199365079365079</v>
      </c>
      <c r="Y394" s="49" t="s">
        <v>62</v>
      </c>
    </row>
    <row r="395" customFormat="1" ht="22.5" customHeight="1" spans="1:25">
      <c r="A395" s="49" t="s">
        <v>71</v>
      </c>
      <c r="B395" s="49" t="s">
        <v>601</v>
      </c>
      <c r="C395" s="49" t="s">
        <v>429</v>
      </c>
      <c r="D395" s="64">
        <v>188370853946</v>
      </c>
      <c r="E395" s="49" t="s">
        <v>483</v>
      </c>
      <c r="F395" s="51">
        <v>46154</v>
      </c>
      <c r="G395" s="52">
        <v>46153</v>
      </c>
      <c r="H395" s="52">
        <v>46157</v>
      </c>
      <c r="I395" s="52" t="s">
        <v>26</v>
      </c>
      <c r="J395" s="52" t="s">
        <v>518</v>
      </c>
      <c r="K395" s="52" t="s">
        <v>493</v>
      </c>
      <c r="L395" s="49">
        <v>1098</v>
      </c>
      <c r="M395" s="49">
        <v>29</v>
      </c>
      <c r="N395" s="49">
        <v>3</v>
      </c>
      <c r="O395" s="53">
        <v>31.53</v>
      </c>
      <c r="P395" s="53">
        <v>370.5</v>
      </c>
      <c r="Q395" s="53">
        <v>575</v>
      </c>
      <c r="R395" s="54">
        <f t="shared" si="43"/>
        <v>11.7507136060894</v>
      </c>
      <c r="S395" s="55">
        <f t="shared" si="44"/>
        <v>0.103448275862069</v>
      </c>
      <c r="T395" s="55">
        <f t="shared" si="45"/>
        <v>0.0264116575591985</v>
      </c>
      <c r="U395" s="54">
        <f t="shared" si="46"/>
        <v>1.08724137931034</v>
      </c>
      <c r="V395" s="54">
        <f t="shared" si="47"/>
        <v>10.51</v>
      </c>
      <c r="W395" s="55">
        <f t="shared" si="48"/>
        <v>0.0851012145748988</v>
      </c>
      <c r="X395" s="55">
        <f t="shared" si="42"/>
        <v>0.0548347826086957</v>
      </c>
      <c r="Y395" s="49" t="s">
        <v>62</v>
      </c>
    </row>
    <row r="396" customFormat="1" ht="22.5" customHeight="1" spans="1:25">
      <c r="A396" s="49" t="s">
        <v>71</v>
      </c>
      <c r="B396" s="49" t="s">
        <v>583</v>
      </c>
      <c r="C396" s="49" t="s">
        <v>416</v>
      </c>
      <c r="D396" s="64">
        <v>188330738159</v>
      </c>
      <c r="E396" s="49" t="s">
        <v>483</v>
      </c>
      <c r="F396" s="51">
        <v>46143</v>
      </c>
      <c r="G396" s="52">
        <v>46142</v>
      </c>
      <c r="H396" s="52">
        <v>46152</v>
      </c>
      <c r="I396" s="52" t="s">
        <v>505</v>
      </c>
      <c r="J396" s="52" t="s">
        <v>518</v>
      </c>
      <c r="K396" s="52" t="s">
        <v>34</v>
      </c>
      <c r="L396" s="49">
        <v>1319</v>
      </c>
      <c r="M396" s="49">
        <v>23</v>
      </c>
      <c r="N396" s="49">
        <v>3</v>
      </c>
      <c r="O396" s="53">
        <v>10.76</v>
      </c>
      <c r="P396" s="53">
        <v>409.38</v>
      </c>
      <c r="Q396" s="53">
        <v>375</v>
      </c>
      <c r="R396" s="54">
        <f t="shared" si="43"/>
        <v>38.046468401487</v>
      </c>
      <c r="S396" s="55">
        <f t="shared" si="44"/>
        <v>0.130434782608696</v>
      </c>
      <c r="T396" s="55">
        <f t="shared" si="45"/>
        <v>0.0174374526156179</v>
      </c>
      <c r="U396" s="54">
        <f t="shared" si="46"/>
        <v>0.467826086956522</v>
      </c>
      <c r="V396" s="54">
        <f t="shared" si="47"/>
        <v>3.58666666666667</v>
      </c>
      <c r="W396" s="55">
        <f t="shared" si="48"/>
        <v>0.0262836484439885</v>
      </c>
      <c r="X396" s="55">
        <f t="shared" si="42"/>
        <v>0.0286933333333333</v>
      </c>
      <c r="Y396" s="49" t="s">
        <v>62</v>
      </c>
    </row>
    <row r="397" customFormat="1" ht="22.5" customHeight="1" spans="1:25">
      <c r="A397" s="49" t="s">
        <v>71</v>
      </c>
      <c r="B397" s="49" t="s">
        <v>498</v>
      </c>
      <c r="C397" s="49" t="s">
        <v>376</v>
      </c>
      <c r="D397" s="64">
        <v>177997411142</v>
      </c>
      <c r="E397" s="49" t="s">
        <v>483</v>
      </c>
      <c r="F397" s="51">
        <v>46109</v>
      </c>
      <c r="G397" s="52">
        <v>46108</v>
      </c>
      <c r="H397" s="52">
        <v>46116</v>
      </c>
      <c r="I397" s="52" t="s">
        <v>484</v>
      </c>
      <c r="J397" s="52" t="s">
        <v>489</v>
      </c>
      <c r="K397" s="52" t="s">
        <v>493</v>
      </c>
      <c r="L397" s="49">
        <v>547</v>
      </c>
      <c r="M397" s="49">
        <v>18</v>
      </c>
      <c r="N397" s="49">
        <v>2</v>
      </c>
      <c r="O397" s="53">
        <v>7.23</v>
      </c>
      <c r="P397" s="53">
        <v>185.11</v>
      </c>
      <c r="Q397" s="53">
        <v>256.5</v>
      </c>
      <c r="R397" s="54">
        <f t="shared" si="43"/>
        <v>25.6030428769018</v>
      </c>
      <c r="S397" s="55">
        <f t="shared" si="44"/>
        <v>0.111111111111111</v>
      </c>
      <c r="T397" s="55">
        <f t="shared" si="45"/>
        <v>0.0329067641681901</v>
      </c>
      <c r="U397" s="54">
        <f t="shared" si="46"/>
        <v>0.401666666666667</v>
      </c>
      <c r="V397" s="54">
        <f t="shared" si="47"/>
        <v>3.615</v>
      </c>
      <c r="W397" s="55">
        <f t="shared" si="48"/>
        <v>0.039057857490141</v>
      </c>
      <c r="X397" s="55">
        <f t="shared" si="42"/>
        <v>0.028187134502924</v>
      </c>
      <c r="Y397" s="49" t="s">
        <v>62</v>
      </c>
    </row>
    <row r="398" customFormat="1" ht="22.5" customHeight="1" spans="1:25">
      <c r="A398" s="49" t="s">
        <v>71</v>
      </c>
      <c r="B398" s="49" t="s">
        <v>587</v>
      </c>
      <c r="C398" s="49" t="s">
        <v>422</v>
      </c>
      <c r="D398" s="64">
        <v>117188996115</v>
      </c>
      <c r="E398" s="49" t="s">
        <v>502</v>
      </c>
      <c r="F398" s="51">
        <v>46148</v>
      </c>
      <c r="G398" s="52">
        <v>46151</v>
      </c>
      <c r="H398" s="52">
        <v>46153</v>
      </c>
      <c r="I398" s="52" t="s">
        <v>484</v>
      </c>
      <c r="J398" s="52" t="s">
        <v>485</v>
      </c>
      <c r="K398" s="52" t="s">
        <v>493</v>
      </c>
      <c r="L398" s="49">
        <v>939</v>
      </c>
      <c r="M398" s="49">
        <v>16</v>
      </c>
      <c r="N398" s="49">
        <v>2</v>
      </c>
      <c r="O398" s="53">
        <v>9.14</v>
      </c>
      <c r="P398" s="53">
        <v>182.33</v>
      </c>
      <c r="Q398" s="53">
        <v>255</v>
      </c>
      <c r="R398" s="54">
        <f t="shared" si="43"/>
        <v>19.9485776805252</v>
      </c>
      <c r="S398" s="55">
        <f t="shared" si="44"/>
        <v>0.125</v>
      </c>
      <c r="T398" s="55">
        <f t="shared" si="45"/>
        <v>0.0170394036208733</v>
      </c>
      <c r="U398" s="54">
        <f t="shared" si="46"/>
        <v>0.57125</v>
      </c>
      <c r="V398" s="54">
        <f t="shared" si="47"/>
        <v>4.57</v>
      </c>
      <c r="W398" s="55">
        <f t="shared" si="48"/>
        <v>0.050128887182581</v>
      </c>
      <c r="X398" s="55">
        <f t="shared" si="42"/>
        <v>0.035843137254902</v>
      </c>
      <c r="Y398" s="49" t="s">
        <v>62</v>
      </c>
    </row>
    <row r="399" customFormat="1" ht="22.5" customHeight="1" spans="1:25">
      <c r="A399" s="49" t="s">
        <v>71</v>
      </c>
      <c r="B399" s="49" t="s">
        <v>613</v>
      </c>
      <c r="C399" s="49" t="s">
        <v>338</v>
      </c>
      <c r="D399" s="64">
        <v>177947693144</v>
      </c>
      <c r="E399" s="49" t="s">
        <v>483</v>
      </c>
      <c r="F399" s="51">
        <v>46162</v>
      </c>
      <c r="G399" s="52">
        <v>46092</v>
      </c>
      <c r="H399" s="52">
        <v>46099</v>
      </c>
      <c r="I399" s="52" t="s">
        <v>484</v>
      </c>
      <c r="J399" s="52" t="s">
        <v>485</v>
      </c>
      <c r="K399" s="52" t="s">
        <v>34</v>
      </c>
      <c r="L399" s="49">
        <v>1291</v>
      </c>
      <c r="M399" s="49">
        <v>15</v>
      </c>
      <c r="N399" s="49">
        <v>2</v>
      </c>
      <c r="O399" s="53">
        <v>4.87</v>
      </c>
      <c r="P399" s="53">
        <v>60.42</v>
      </c>
      <c r="Q399" s="53">
        <v>168</v>
      </c>
      <c r="R399" s="54">
        <f t="shared" si="43"/>
        <v>12.4065708418891</v>
      </c>
      <c r="S399" s="55">
        <f t="shared" si="44"/>
        <v>0.133333333333333</v>
      </c>
      <c r="T399" s="55">
        <f t="shared" si="45"/>
        <v>0.0116189000774593</v>
      </c>
      <c r="U399" s="54">
        <f t="shared" si="46"/>
        <v>0.324666666666667</v>
      </c>
      <c r="V399" s="54">
        <f t="shared" si="47"/>
        <v>2.435</v>
      </c>
      <c r="W399" s="55">
        <f t="shared" si="48"/>
        <v>0.0806024495200265</v>
      </c>
      <c r="X399" s="55">
        <f t="shared" si="42"/>
        <v>0.0289880952380952</v>
      </c>
      <c r="Y399" s="49" t="s">
        <v>62</v>
      </c>
    </row>
    <row r="400" customFormat="1" ht="22.5" customHeight="1" spans="1:25">
      <c r="A400" s="49" t="s">
        <v>71</v>
      </c>
      <c r="B400" s="49" t="s">
        <v>581</v>
      </c>
      <c r="C400" s="49" t="s">
        <v>411</v>
      </c>
      <c r="D400" s="64">
        <v>188330683250</v>
      </c>
      <c r="E400" s="49" t="s">
        <v>483</v>
      </c>
      <c r="F400" s="51">
        <v>46142</v>
      </c>
      <c r="G400" s="52">
        <v>46142</v>
      </c>
      <c r="H400" s="52">
        <v>46144</v>
      </c>
      <c r="I400" s="52" t="s">
        <v>503</v>
      </c>
      <c r="J400" s="52" t="s">
        <v>489</v>
      </c>
      <c r="K400" s="52" t="s">
        <v>493</v>
      </c>
      <c r="L400" s="49">
        <v>1585</v>
      </c>
      <c r="M400" s="49">
        <v>12</v>
      </c>
      <c r="N400" s="49">
        <v>2</v>
      </c>
      <c r="O400" s="53">
        <v>4.1</v>
      </c>
      <c r="P400" s="53">
        <v>92.81</v>
      </c>
      <c r="Q400" s="53">
        <v>90</v>
      </c>
      <c r="R400" s="54">
        <f t="shared" si="43"/>
        <v>22.6365853658537</v>
      </c>
      <c r="S400" s="55">
        <f t="shared" si="44"/>
        <v>0.166666666666667</v>
      </c>
      <c r="T400" s="55">
        <f t="shared" si="45"/>
        <v>0.00757097791798107</v>
      </c>
      <c r="U400" s="54">
        <f t="shared" si="46"/>
        <v>0.341666666666667</v>
      </c>
      <c r="V400" s="54">
        <f t="shared" si="47"/>
        <v>2.05</v>
      </c>
      <c r="W400" s="55">
        <f t="shared" si="48"/>
        <v>0.0441762741083935</v>
      </c>
      <c r="X400" s="55">
        <f t="shared" si="42"/>
        <v>0.0455555555555556</v>
      </c>
      <c r="Y400" s="49" t="s">
        <v>62</v>
      </c>
    </row>
    <row r="401" customFormat="1" ht="22.5" customHeight="1" spans="1:25">
      <c r="A401" s="49" t="s">
        <v>71</v>
      </c>
      <c r="B401" s="49" t="s">
        <v>605</v>
      </c>
      <c r="C401" s="49" t="s">
        <v>339</v>
      </c>
      <c r="D401" s="64">
        <v>227255580000</v>
      </c>
      <c r="E401" s="49" t="s">
        <v>488</v>
      </c>
      <c r="F401" s="51">
        <v>46104</v>
      </c>
      <c r="G401" s="52">
        <v>46092</v>
      </c>
      <c r="H401" s="52">
        <v>46104</v>
      </c>
      <c r="I401" s="52" t="s">
        <v>484</v>
      </c>
      <c r="J401" s="52" t="s">
        <v>489</v>
      </c>
      <c r="K401" s="52" t="s">
        <v>34</v>
      </c>
      <c r="L401" s="49">
        <v>668</v>
      </c>
      <c r="M401" s="49">
        <v>12</v>
      </c>
      <c r="N401" s="49">
        <v>2</v>
      </c>
      <c r="O401" s="53">
        <v>3.46</v>
      </c>
      <c r="P401" s="53">
        <v>24.76</v>
      </c>
      <c r="Q401" s="53">
        <v>34.67</v>
      </c>
      <c r="R401" s="54">
        <f t="shared" si="43"/>
        <v>7.15606936416185</v>
      </c>
      <c r="S401" s="55">
        <f t="shared" si="44"/>
        <v>0.166666666666667</v>
      </c>
      <c r="T401" s="55">
        <f t="shared" si="45"/>
        <v>0.0179640718562874</v>
      </c>
      <c r="U401" s="54">
        <f t="shared" si="46"/>
        <v>0.288333333333333</v>
      </c>
      <c r="V401" s="54">
        <f t="shared" si="47"/>
        <v>1.73</v>
      </c>
      <c r="W401" s="55">
        <f t="shared" si="48"/>
        <v>0.139741518578352</v>
      </c>
      <c r="X401" s="55">
        <f t="shared" si="42"/>
        <v>0.0997980963368907</v>
      </c>
      <c r="Y401" s="49" t="s">
        <v>62</v>
      </c>
    </row>
    <row r="402" customFormat="1" ht="22.5" customHeight="1" spans="1:25">
      <c r="A402" s="49" t="s">
        <v>71</v>
      </c>
      <c r="B402" s="49" t="s">
        <v>507</v>
      </c>
      <c r="C402" s="49" t="s">
        <v>326</v>
      </c>
      <c r="D402" s="64">
        <v>117072634866</v>
      </c>
      <c r="E402" s="49" t="s">
        <v>502</v>
      </c>
      <c r="F402" s="51">
        <v>46095</v>
      </c>
      <c r="G402" s="52">
        <v>46085</v>
      </c>
      <c r="H402" s="52">
        <v>46086</v>
      </c>
      <c r="I402" s="52" t="s">
        <v>496</v>
      </c>
      <c r="J402" s="52" t="s">
        <v>497</v>
      </c>
      <c r="K402" s="52" t="s">
        <v>34</v>
      </c>
      <c r="L402" s="49">
        <v>348</v>
      </c>
      <c r="M402" s="49">
        <v>10</v>
      </c>
      <c r="N402" s="49">
        <v>2</v>
      </c>
      <c r="O402" s="53">
        <v>3.93</v>
      </c>
      <c r="P402" s="53">
        <v>199.66</v>
      </c>
      <c r="Q402" s="53">
        <v>473</v>
      </c>
      <c r="R402" s="54">
        <f t="shared" si="43"/>
        <v>50.8040712468193</v>
      </c>
      <c r="S402" s="55">
        <f t="shared" si="44"/>
        <v>0.2</v>
      </c>
      <c r="T402" s="55">
        <f t="shared" si="45"/>
        <v>0.028735632183908</v>
      </c>
      <c r="U402" s="54">
        <f t="shared" si="46"/>
        <v>0.393</v>
      </c>
      <c r="V402" s="54">
        <f t="shared" si="47"/>
        <v>1.965</v>
      </c>
      <c r="W402" s="55">
        <f t="shared" si="48"/>
        <v>0.0196834618852048</v>
      </c>
      <c r="X402" s="55">
        <f t="shared" si="42"/>
        <v>0.00830866807610994</v>
      </c>
      <c r="Y402" s="49" t="s">
        <v>49</v>
      </c>
    </row>
    <row r="403" customFormat="1" ht="22.5" customHeight="1" spans="1:25">
      <c r="A403" s="49" t="s">
        <v>71</v>
      </c>
      <c r="B403" s="49" t="s">
        <v>579</v>
      </c>
      <c r="C403" s="49" t="s">
        <v>400</v>
      </c>
      <c r="D403" s="64">
        <v>178088445830</v>
      </c>
      <c r="E403" s="49" t="s">
        <v>483</v>
      </c>
      <c r="F403" s="51">
        <v>46143</v>
      </c>
      <c r="G403" s="52">
        <v>46141</v>
      </c>
      <c r="H403" s="52">
        <v>46143</v>
      </c>
      <c r="I403" s="52" t="s">
        <v>505</v>
      </c>
      <c r="J403" s="52" t="s">
        <v>518</v>
      </c>
      <c r="K403" s="52" t="s">
        <v>34</v>
      </c>
      <c r="L403" s="49">
        <v>750</v>
      </c>
      <c r="M403" s="49">
        <v>25</v>
      </c>
      <c r="N403" s="49">
        <v>1</v>
      </c>
      <c r="O403" s="53">
        <v>14.08</v>
      </c>
      <c r="P403" s="53">
        <v>135.31</v>
      </c>
      <c r="Q403" s="53">
        <v>375</v>
      </c>
      <c r="R403" s="54">
        <f t="shared" si="43"/>
        <v>9.61008522727273</v>
      </c>
      <c r="S403" s="55">
        <f t="shared" si="44"/>
        <v>0.04</v>
      </c>
      <c r="T403" s="55">
        <f t="shared" si="45"/>
        <v>0.0333333333333333</v>
      </c>
      <c r="U403" s="54">
        <f t="shared" si="46"/>
        <v>0.5632</v>
      </c>
      <c r="V403" s="54">
        <f t="shared" si="47"/>
        <v>14.08</v>
      </c>
      <c r="W403" s="55">
        <f t="shared" si="48"/>
        <v>0.104057349789373</v>
      </c>
      <c r="X403" s="55">
        <f t="shared" si="42"/>
        <v>0.0375466666666667</v>
      </c>
      <c r="Y403" s="49" t="s">
        <v>62</v>
      </c>
    </row>
    <row r="404" customFormat="1" ht="22.5" customHeight="1" spans="1:25">
      <c r="A404" s="49" t="s">
        <v>71</v>
      </c>
      <c r="B404" s="49" t="s">
        <v>604</v>
      </c>
      <c r="C404" s="49" t="s">
        <v>427</v>
      </c>
      <c r="D404" s="64">
        <v>178124925402</v>
      </c>
      <c r="E404" s="49" t="s">
        <v>483</v>
      </c>
      <c r="F404" s="51">
        <v>46154</v>
      </c>
      <c r="G404" s="52">
        <v>46153</v>
      </c>
      <c r="H404" s="52">
        <v>46156</v>
      </c>
      <c r="I404" s="52" t="s">
        <v>505</v>
      </c>
      <c r="J404" s="52" t="s">
        <v>518</v>
      </c>
      <c r="K404" s="52" t="s">
        <v>493</v>
      </c>
      <c r="L404" s="49">
        <v>1588</v>
      </c>
      <c r="M404" s="49">
        <v>24</v>
      </c>
      <c r="N404" s="49">
        <v>1</v>
      </c>
      <c r="O404" s="53">
        <v>26.48</v>
      </c>
      <c r="P404" s="53">
        <v>102.79</v>
      </c>
      <c r="Q404" s="53">
        <v>95</v>
      </c>
      <c r="R404" s="54">
        <f t="shared" si="43"/>
        <v>3.88179758308157</v>
      </c>
      <c r="S404" s="55">
        <f t="shared" si="44"/>
        <v>0.0416666666666667</v>
      </c>
      <c r="T404" s="55">
        <f t="shared" si="45"/>
        <v>0.0151133501259446</v>
      </c>
      <c r="U404" s="54">
        <f t="shared" si="46"/>
        <v>1.10333333333333</v>
      </c>
      <c r="V404" s="54">
        <f t="shared" si="47"/>
        <v>26.48</v>
      </c>
      <c r="W404" s="55">
        <f t="shared" si="48"/>
        <v>0.257612608230373</v>
      </c>
      <c r="X404" s="55">
        <f t="shared" si="42"/>
        <v>0.278736842105263</v>
      </c>
      <c r="Y404" s="49" t="s">
        <v>62</v>
      </c>
    </row>
    <row r="405" customFormat="1" ht="22.5" customHeight="1" spans="1:25">
      <c r="A405" s="49" t="s">
        <v>71</v>
      </c>
      <c r="B405" s="49" t="s">
        <v>578</v>
      </c>
      <c r="C405" s="49" t="s">
        <v>399</v>
      </c>
      <c r="D405" s="64">
        <v>178088440364</v>
      </c>
      <c r="E405" s="49" t="s">
        <v>483</v>
      </c>
      <c r="F405" s="51">
        <v>46143</v>
      </c>
      <c r="G405" s="52">
        <v>46141</v>
      </c>
      <c r="H405" s="52">
        <v>46154</v>
      </c>
      <c r="I405" s="52" t="s">
        <v>505</v>
      </c>
      <c r="J405" s="52" t="s">
        <v>518</v>
      </c>
      <c r="K405" s="52" t="s">
        <v>34</v>
      </c>
      <c r="L405" s="49">
        <v>1427</v>
      </c>
      <c r="M405" s="49">
        <v>16</v>
      </c>
      <c r="N405" s="49">
        <v>1</v>
      </c>
      <c r="O405" s="53">
        <v>11.37</v>
      </c>
      <c r="P405" s="53">
        <v>165.85</v>
      </c>
      <c r="Q405" s="53">
        <v>155</v>
      </c>
      <c r="R405" s="54">
        <f t="shared" si="43"/>
        <v>14.5866314863676</v>
      </c>
      <c r="S405" s="55">
        <f t="shared" si="44"/>
        <v>0.0625</v>
      </c>
      <c r="T405" s="55">
        <f t="shared" si="45"/>
        <v>0.0112123335669236</v>
      </c>
      <c r="U405" s="54">
        <f t="shared" si="46"/>
        <v>0.710625</v>
      </c>
      <c r="V405" s="54">
        <f t="shared" si="47"/>
        <v>11.37</v>
      </c>
      <c r="W405" s="55">
        <f t="shared" si="48"/>
        <v>0.0685559240277359</v>
      </c>
      <c r="X405" s="55">
        <f t="shared" si="42"/>
        <v>0.0733548387096774</v>
      </c>
      <c r="Y405" s="49" t="s">
        <v>62</v>
      </c>
    </row>
    <row r="406" customFormat="1" ht="22.5" customHeight="1" spans="1:25">
      <c r="A406" s="49" t="s">
        <v>71</v>
      </c>
      <c r="B406" s="49" t="s">
        <v>608</v>
      </c>
      <c r="C406" s="49" t="s">
        <v>338</v>
      </c>
      <c r="D406" s="64">
        <v>327144336491</v>
      </c>
      <c r="E406" s="49" t="s">
        <v>609</v>
      </c>
      <c r="F406" s="51">
        <v>46162</v>
      </c>
      <c r="G406" s="52">
        <v>46092</v>
      </c>
      <c r="H406" s="52">
        <v>46099</v>
      </c>
      <c r="I406" s="52" t="s">
        <v>484</v>
      </c>
      <c r="J406" s="52" t="s">
        <v>485</v>
      </c>
      <c r="K406" s="52" t="s">
        <v>34</v>
      </c>
      <c r="L406" s="49">
        <v>677</v>
      </c>
      <c r="M406" s="49">
        <v>13</v>
      </c>
      <c r="N406" s="49">
        <v>1</v>
      </c>
      <c r="O406" s="53">
        <v>4.84</v>
      </c>
      <c r="P406" s="53">
        <v>30.45</v>
      </c>
      <c r="Q406" s="53">
        <v>168</v>
      </c>
      <c r="R406" s="54">
        <f t="shared" si="43"/>
        <v>6.29132231404959</v>
      </c>
      <c r="S406" s="55">
        <f t="shared" si="44"/>
        <v>0.0769230769230769</v>
      </c>
      <c r="T406" s="55">
        <f t="shared" si="45"/>
        <v>0.0192023633677991</v>
      </c>
      <c r="U406" s="54">
        <f t="shared" si="46"/>
        <v>0.372307692307692</v>
      </c>
      <c r="V406" s="54">
        <f t="shared" si="47"/>
        <v>4.84</v>
      </c>
      <c r="W406" s="55">
        <f t="shared" si="48"/>
        <v>0.158949096880131</v>
      </c>
      <c r="X406" s="55">
        <f t="shared" si="42"/>
        <v>0.0288095238095238</v>
      </c>
      <c r="Y406" s="49" t="s">
        <v>62</v>
      </c>
    </row>
    <row r="407" customFormat="1" ht="22.5" customHeight="1" spans="1:25">
      <c r="A407" s="49" t="s">
        <v>71</v>
      </c>
      <c r="B407" s="49" t="s">
        <v>571</v>
      </c>
      <c r="C407" s="49" t="s">
        <v>406</v>
      </c>
      <c r="D407" s="64">
        <v>188328132045</v>
      </c>
      <c r="E407" s="49" t="s">
        <v>483</v>
      </c>
      <c r="F407" s="51">
        <v>46142</v>
      </c>
      <c r="G407" s="52">
        <v>46141</v>
      </c>
      <c r="H407" s="52">
        <v>46158</v>
      </c>
      <c r="I407" s="52" t="s">
        <v>484</v>
      </c>
      <c r="J407" s="52" t="s">
        <v>497</v>
      </c>
      <c r="K407" s="52" t="s">
        <v>34</v>
      </c>
      <c r="L407" s="49">
        <v>161</v>
      </c>
      <c r="M407" s="49">
        <v>13</v>
      </c>
      <c r="N407" s="49">
        <v>1</v>
      </c>
      <c r="O407" s="53">
        <v>10.29</v>
      </c>
      <c r="P407" s="53">
        <v>84.29</v>
      </c>
      <c r="Q407" s="53">
        <v>79.9</v>
      </c>
      <c r="R407" s="54">
        <f t="shared" si="43"/>
        <v>8.19144800777454</v>
      </c>
      <c r="S407" s="55">
        <f t="shared" si="44"/>
        <v>0.0769230769230769</v>
      </c>
      <c r="T407" s="55">
        <f t="shared" si="45"/>
        <v>0.0807453416149068</v>
      </c>
      <c r="U407" s="54">
        <f t="shared" si="46"/>
        <v>0.791538461538462</v>
      </c>
      <c r="V407" s="54">
        <f t="shared" si="47"/>
        <v>10.29</v>
      </c>
      <c r="W407" s="55">
        <f t="shared" si="48"/>
        <v>0.122078538379404</v>
      </c>
      <c r="X407" s="55">
        <f t="shared" si="42"/>
        <v>0.128785982478098</v>
      </c>
      <c r="Y407" s="49" t="s">
        <v>62</v>
      </c>
    </row>
    <row r="408" customFormat="1" ht="22.5" customHeight="1" spans="1:25">
      <c r="A408" s="49" t="s">
        <v>71</v>
      </c>
      <c r="B408" s="49" t="s">
        <v>506</v>
      </c>
      <c r="C408" s="49" t="s">
        <v>342</v>
      </c>
      <c r="D408" s="64">
        <v>177947769950</v>
      </c>
      <c r="E408" s="49" t="s">
        <v>483</v>
      </c>
      <c r="F408" s="51">
        <v>46092</v>
      </c>
      <c r="G408" s="52">
        <v>46092</v>
      </c>
      <c r="H408" s="52">
        <v>46095</v>
      </c>
      <c r="I408" s="52" t="s">
        <v>484</v>
      </c>
      <c r="J408" s="52" t="s">
        <v>489</v>
      </c>
      <c r="K408" s="52" t="s">
        <v>34</v>
      </c>
      <c r="L408" s="49">
        <v>2514</v>
      </c>
      <c r="M408" s="49">
        <v>12</v>
      </c>
      <c r="N408" s="49">
        <v>1</v>
      </c>
      <c r="O408" s="53">
        <v>4.48</v>
      </c>
      <c r="P408" s="53">
        <v>124.97</v>
      </c>
      <c r="Q408" s="53">
        <v>228</v>
      </c>
      <c r="R408" s="54">
        <f t="shared" si="43"/>
        <v>27.8950892857143</v>
      </c>
      <c r="S408" s="55">
        <f t="shared" si="44"/>
        <v>0.0833333333333333</v>
      </c>
      <c r="T408" s="55">
        <f t="shared" si="45"/>
        <v>0.00477326968973747</v>
      </c>
      <c r="U408" s="54">
        <f t="shared" si="46"/>
        <v>0.373333333333333</v>
      </c>
      <c r="V408" s="54">
        <f t="shared" si="47"/>
        <v>4.48</v>
      </c>
      <c r="W408" s="55">
        <f t="shared" si="48"/>
        <v>0.0358486036648796</v>
      </c>
      <c r="X408" s="55">
        <f t="shared" si="42"/>
        <v>0.0196491228070175</v>
      </c>
      <c r="Y408" s="49" t="s">
        <v>62</v>
      </c>
    </row>
    <row r="409" customFormat="1" ht="22.5" customHeight="1" spans="1:25">
      <c r="A409" s="49" t="s">
        <v>71</v>
      </c>
      <c r="B409" s="49" t="s">
        <v>542</v>
      </c>
      <c r="C409" s="49" t="s">
        <v>319</v>
      </c>
      <c r="D409" s="64">
        <v>287180832245</v>
      </c>
      <c r="E409" s="49" t="s">
        <v>511</v>
      </c>
      <c r="F409" s="51">
        <v>46097</v>
      </c>
      <c r="G409" s="52">
        <v>46085</v>
      </c>
      <c r="H409" s="52">
        <v>46100</v>
      </c>
      <c r="I409" s="52" t="s">
        <v>484</v>
      </c>
      <c r="J409" s="52" t="s">
        <v>30</v>
      </c>
      <c r="K409" s="52" t="s">
        <v>34</v>
      </c>
      <c r="L409" s="49">
        <v>270</v>
      </c>
      <c r="M409" s="49">
        <v>11</v>
      </c>
      <c r="N409" s="49">
        <v>1</v>
      </c>
      <c r="O409" s="53">
        <v>4.1</v>
      </c>
      <c r="P409" s="53">
        <v>30.73</v>
      </c>
      <c r="Q409" s="53">
        <v>84.57</v>
      </c>
      <c r="R409" s="54">
        <f t="shared" si="43"/>
        <v>7.49512195121951</v>
      </c>
      <c r="S409" s="55">
        <f t="shared" si="44"/>
        <v>0.0909090909090909</v>
      </c>
      <c r="T409" s="55">
        <f t="shared" si="45"/>
        <v>0.0407407407407407</v>
      </c>
      <c r="U409" s="54">
        <f t="shared" si="46"/>
        <v>0.372727272727273</v>
      </c>
      <c r="V409" s="54">
        <f t="shared" si="47"/>
        <v>4.1</v>
      </c>
      <c r="W409" s="55">
        <f t="shared" si="48"/>
        <v>0.133420110641067</v>
      </c>
      <c r="X409" s="55">
        <f t="shared" si="42"/>
        <v>0.0484805486579165</v>
      </c>
      <c r="Y409" s="49" t="s">
        <v>62</v>
      </c>
    </row>
    <row r="410" customFormat="1" ht="22.5" customHeight="1" spans="1:25">
      <c r="A410" s="49" t="s">
        <v>71</v>
      </c>
      <c r="B410" s="49" t="s">
        <v>617</v>
      </c>
      <c r="C410" s="49" t="s">
        <v>450</v>
      </c>
      <c r="D410" s="64">
        <v>178149863263</v>
      </c>
      <c r="E410" s="49" t="s">
        <v>483</v>
      </c>
      <c r="F410" s="51">
        <v>46162</v>
      </c>
      <c r="G410" s="52">
        <v>46162</v>
      </c>
      <c r="H410" s="52">
        <v>46162</v>
      </c>
      <c r="I410" s="52" t="s">
        <v>484</v>
      </c>
      <c r="J410" s="52" t="s">
        <v>521</v>
      </c>
      <c r="K410" s="52" t="s">
        <v>34</v>
      </c>
      <c r="L410" s="49">
        <v>266</v>
      </c>
      <c r="M410" s="49">
        <v>11</v>
      </c>
      <c r="N410" s="49">
        <v>1</v>
      </c>
      <c r="O410" s="53">
        <v>18.84</v>
      </c>
      <c r="P410" s="53">
        <v>87.64</v>
      </c>
      <c r="Q410" s="53">
        <v>82</v>
      </c>
      <c r="R410" s="54">
        <f t="shared" si="43"/>
        <v>4.65180467091295</v>
      </c>
      <c r="S410" s="55">
        <f t="shared" si="44"/>
        <v>0.0909090909090909</v>
      </c>
      <c r="T410" s="55">
        <f t="shared" si="45"/>
        <v>0.0413533834586466</v>
      </c>
      <c r="U410" s="54">
        <f t="shared" si="46"/>
        <v>1.71272727272727</v>
      </c>
      <c r="V410" s="54">
        <f t="shared" si="47"/>
        <v>18.84</v>
      </c>
      <c r="W410" s="55">
        <f t="shared" si="48"/>
        <v>0.214970333181196</v>
      </c>
      <c r="X410" s="55">
        <f t="shared" si="42"/>
        <v>0.229756097560976</v>
      </c>
      <c r="Y410" s="49" t="s">
        <v>62</v>
      </c>
    </row>
    <row r="411" customFormat="1" ht="22.5" customHeight="1" spans="1:25">
      <c r="A411" s="49" t="s">
        <v>71</v>
      </c>
      <c r="B411" s="49" t="s">
        <v>75</v>
      </c>
      <c r="C411" s="49" t="s">
        <v>78</v>
      </c>
      <c r="D411" s="64">
        <v>188307728772</v>
      </c>
      <c r="E411" s="49" t="s">
        <v>483</v>
      </c>
      <c r="F411" s="51">
        <v>46136</v>
      </c>
      <c r="G411" s="52">
        <v>46135</v>
      </c>
      <c r="H411" s="52">
        <v>46135</v>
      </c>
      <c r="I411" s="52" t="s">
        <v>26</v>
      </c>
      <c r="J411" s="52" t="s">
        <v>518</v>
      </c>
      <c r="K411" s="52" t="s">
        <v>34</v>
      </c>
      <c r="L411" s="49">
        <v>794</v>
      </c>
      <c r="M411" s="49">
        <v>9</v>
      </c>
      <c r="N411" s="49">
        <v>1</v>
      </c>
      <c r="O411" s="53">
        <v>5.09</v>
      </c>
      <c r="P411" s="53">
        <v>133.44</v>
      </c>
      <c r="Q411" s="53">
        <v>250</v>
      </c>
      <c r="R411" s="54">
        <f t="shared" si="43"/>
        <v>26.2161100196464</v>
      </c>
      <c r="S411" s="55">
        <f t="shared" si="44"/>
        <v>0.111111111111111</v>
      </c>
      <c r="T411" s="55">
        <f t="shared" si="45"/>
        <v>0.0113350125944584</v>
      </c>
      <c r="U411" s="54">
        <f t="shared" si="46"/>
        <v>0.565555555555556</v>
      </c>
      <c r="V411" s="54">
        <f t="shared" si="47"/>
        <v>5.09</v>
      </c>
      <c r="W411" s="55">
        <f t="shared" si="48"/>
        <v>0.03814448441247</v>
      </c>
      <c r="X411" s="55">
        <f t="shared" si="42"/>
        <v>0.02036</v>
      </c>
      <c r="Y411" s="49" t="s">
        <v>62</v>
      </c>
    </row>
    <row r="412" customFormat="1" ht="22.5" customHeight="1" spans="1:25">
      <c r="A412" s="49" t="s">
        <v>71</v>
      </c>
      <c r="B412" s="49" t="s">
        <v>538</v>
      </c>
      <c r="C412" s="49" t="s">
        <v>334</v>
      </c>
      <c r="D412" s="64">
        <v>177944141581</v>
      </c>
      <c r="E412" s="49" t="s">
        <v>483</v>
      </c>
      <c r="F412" s="51">
        <v>46092</v>
      </c>
      <c r="G412" s="52">
        <v>46091</v>
      </c>
      <c r="H412" s="52">
        <v>46106</v>
      </c>
      <c r="I412" s="52" t="s">
        <v>484</v>
      </c>
      <c r="J412" s="52" t="s">
        <v>489</v>
      </c>
      <c r="K412" s="52" t="s">
        <v>34</v>
      </c>
      <c r="L412" s="49">
        <v>572</v>
      </c>
      <c r="M412" s="49">
        <v>5</v>
      </c>
      <c r="N412" s="49">
        <v>1</v>
      </c>
      <c r="O412" s="53">
        <v>1.84</v>
      </c>
      <c r="P412" s="53">
        <v>41.15</v>
      </c>
      <c r="Q412" s="53">
        <v>110.96</v>
      </c>
      <c r="R412" s="54">
        <f t="shared" si="43"/>
        <v>22.3641304347826</v>
      </c>
      <c r="S412" s="55">
        <f t="shared" si="44"/>
        <v>0.2</v>
      </c>
      <c r="T412" s="55">
        <f t="shared" si="45"/>
        <v>0.00874125874125874</v>
      </c>
      <c r="U412" s="54">
        <f t="shared" si="46"/>
        <v>0.368</v>
      </c>
      <c r="V412" s="54">
        <f t="shared" si="47"/>
        <v>1.84</v>
      </c>
      <c r="W412" s="55">
        <f t="shared" si="48"/>
        <v>0.0447144592952612</v>
      </c>
      <c r="X412" s="55">
        <f t="shared" si="42"/>
        <v>0.0165825522710887</v>
      </c>
      <c r="Y412" s="49" t="s">
        <v>62</v>
      </c>
    </row>
    <row r="413" customFormat="1" ht="22.5" customHeight="1" spans="1:25">
      <c r="A413" s="49" t="s">
        <v>71</v>
      </c>
      <c r="B413" s="49" t="s">
        <v>592</v>
      </c>
      <c r="C413" s="49" t="s">
        <v>327</v>
      </c>
      <c r="D413" s="64">
        <v>227242599752</v>
      </c>
      <c r="E413" s="49" t="s">
        <v>488</v>
      </c>
      <c r="F413" s="51">
        <v>46087</v>
      </c>
      <c r="G413" s="52">
        <v>46086</v>
      </c>
      <c r="H413" s="52">
        <v>46089</v>
      </c>
      <c r="I413" s="52" t="s">
        <v>496</v>
      </c>
      <c r="J413" s="52" t="s">
        <v>30</v>
      </c>
      <c r="K413" s="52" t="s">
        <v>34</v>
      </c>
      <c r="L413" s="49">
        <v>855</v>
      </c>
      <c r="M413" s="49">
        <v>4</v>
      </c>
      <c r="N413" s="49">
        <v>1</v>
      </c>
      <c r="O413" s="53">
        <v>1.66</v>
      </c>
      <c r="P413" s="53">
        <v>26.15</v>
      </c>
      <c r="Q413" s="53">
        <v>45.34</v>
      </c>
      <c r="R413" s="54">
        <f t="shared" si="43"/>
        <v>15.7530120481928</v>
      </c>
      <c r="S413" s="55">
        <f t="shared" si="44"/>
        <v>0.25</v>
      </c>
      <c r="T413" s="55">
        <f t="shared" si="45"/>
        <v>0.00467836257309942</v>
      </c>
      <c r="U413" s="54">
        <f t="shared" si="46"/>
        <v>0.415</v>
      </c>
      <c r="V413" s="54">
        <f t="shared" si="47"/>
        <v>1.66</v>
      </c>
      <c r="W413" s="55">
        <f t="shared" si="48"/>
        <v>0.0634799235181644</v>
      </c>
      <c r="X413" s="55">
        <f t="shared" si="42"/>
        <v>0.0366122629025143</v>
      </c>
      <c r="Y413" s="49" t="s">
        <v>49</v>
      </c>
    </row>
    <row r="414" customFormat="1" ht="22.5" customHeight="1" spans="1:25">
      <c r="A414" s="49" t="s">
        <v>71</v>
      </c>
      <c r="B414" s="49" t="s">
        <v>573</v>
      </c>
      <c r="C414" s="49" t="s">
        <v>382</v>
      </c>
      <c r="D414" s="64">
        <v>177997447464</v>
      </c>
      <c r="E414" s="49" t="s">
        <v>483</v>
      </c>
      <c r="F414" s="51">
        <v>46142</v>
      </c>
      <c r="G414" s="52">
        <v>46108</v>
      </c>
      <c r="H414" s="52">
        <v>46111</v>
      </c>
      <c r="I414" s="52" t="s">
        <v>496</v>
      </c>
      <c r="J414" s="52" t="s">
        <v>497</v>
      </c>
      <c r="K414" s="52" t="s">
        <v>34</v>
      </c>
      <c r="L414" s="49">
        <v>43</v>
      </c>
      <c r="M414" s="49">
        <v>4</v>
      </c>
      <c r="N414" s="49">
        <v>1</v>
      </c>
      <c r="O414" s="53">
        <v>1.82</v>
      </c>
      <c r="P414" s="53">
        <v>116</v>
      </c>
      <c r="Q414" s="53">
        <v>348</v>
      </c>
      <c r="R414" s="54">
        <f t="shared" si="43"/>
        <v>63.7362637362637</v>
      </c>
      <c r="S414" s="55">
        <f t="shared" si="44"/>
        <v>0.25</v>
      </c>
      <c r="T414" s="55">
        <f t="shared" si="45"/>
        <v>0.0930232558139535</v>
      </c>
      <c r="U414" s="54">
        <f t="shared" si="46"/>
        <v>0.455</v>
      </c>
      <c r="V414" s="54">
        <f t="shared" si="47"/>
        <v>1.82</v>
      </c>
      <c r="W414" s="55">
        <f t="shared" si="48"/>
        <v>0.0156896551724138</v>
      </c>
      <c r="X414" s="55">
        <f t="shared" si="42"/>
        <v>0.00522988505747126</v>
      </c>
      <c r="Y414" s="49" t="s">
        <v>62</v>
      </c>
    </row>
    <row r="415" customFormat="1" ht="22.5" customHeight="1" spans="1:25">
      <c r="A415" s="49" t="s">
        <v>71</v>
      </c>
      <c r="B415" s="49" t="s">
        <v>619</v>
      </c>
      <c r="C415" s="49" t="s">
        <v>448</v>
      </c>
      <c r="D415" s="64">
        <v>188402259880</v>
      </c>
      <c r="E415" s="49" t="s">
        <v>483</v>
      </c>
      <c r="F415" s="51">
        <v>46163</v>
      </c>
      <c r="G415" s="52">
        <v>46162</v>
      </c>
      <c r="H415" s="52">
        <v>46167</v>
      </c>
      <c r="I415" s="52" t="s">
        <v>520</v>
      </c>
      <c r="J415" s="52" t="s">
        <v>521</v>
      </c>
      <c r="K415" s="52" t="s">
        <v>34</v>
      </c>
      <c r="L415" s="49">
        <v>303</v>
      </c>
      <c r="M415" s="49">
        <v>24</v>
      </c>
      <c r="N415" s="49">
        <v>0</v>
      </c>
      <c r="O415" s="53">
        <v>9.09</v>
      </c>
      <c r="P415" s="53">
        <v>0</v>
      </c>
      <c r="Q415" s="53">
        <v>0</v>
      </c>
      <c r="R415" s="54">
        <f t="shared" si="43"/>
        <v>0</v>
      </c>
      <c r="S415" s="55">
        <f t="shared" si="44"/>
        <v>0</v>
      </c>
      <c r="T415" s="55">
        <f t="shared" si="45"/>
        <v>0.0792079207920792</v>
      </c>
      <c r="U415" s="54">
        <f t="shared" si="46"/>
        <v>0.37875</v>
      </c>
      <c r="V415" s="54" t="e">
        <f t="shared" si="47"/>
        <v>#DIV/0!</v>
      </c>
      <c r="W415" s="55" t="e">
        <f t="shared" si="48"/>
        <v>#DIV/0!</v>
      </c>
      <c r="X415" s="55" t="e">
        <f t="shared" si="42"/>
        <v>#DIV/0!</v>
      </c>
      <c r="Y415" s="49" t="s">
        <v>62</v>
      </c>
    </row>
    <row r="416" customFormat="1" ht="22.5" customHeight="1" spans="1:25">
      <c r="A416" s="49" t="s">
        <v>71</v>
      </c>
      <c r="B416" s="49" t="s">
        <v>615</v>
      </c>
      <c r="C416" s="49" t="s">
        <v>441</v>
      </c>
      <c r="D416" s="64">
        <v>178149834463</v>
      </c>
      <c r="E416" s="49" t="s">
        <v>483</v>
      </c>
      <c r="F416" s="51">
        <v>46162</v>
      </c>
      <c r="G416" s="52">
        <v>46162</v>
      </c>
      <c r="H416" s="52">
        <v>46167</v>
      </c>
      <c r="I416" s="52" t="s">
        <v>505</v>
      </c>
      <c r="J416" s="52" t="s">
        <v>518</v>
      </c>
      <c r="K416" s="52" t="s">
        <v>34</v>
      </c>
      <c r="L416" s="49">
        <v>864</v>
      </c>
      <c r="M416" s="49">
        <v>21</v>
      </c>
      <c r="N416" s="49">
        <v>0</v>
      </c>
      <c r="O416" s="53">
        <v>19.11</v>
      </c>
      <c r="P416" s="53">
        <v>0</v>
      </c>
      <c r="Q416" s="53">
        <v>0</v>
      </c>
      <c r="R416" s="54">
        <f t="shared" si="43"/>
        <v>0</v>
      </c>
      <c r="S416" s="55">
        <f t="shared" si="44"/>
        <v>0</v>
      </c>
      <c r="T416" s="55">
        <f t="shared" si="45"/>
        <v>0.0243055555555556</v>
      </c>
      <c r="U416" s="54">
        <f t="shared" si="46"/>
        <v>0.91</v>
      </c>
      <c r="V416" s="54" t="e">
        <f t="shared" si="47"/>
        <v>#DIV/0!</v>
      </c>
      <c r="W416" s="55" t="e">
        <f t="shared" si="48"/>
        <v>#DIV/0!</v>
      </c>
      <c r="X416" s="55" t="e">
        <f t="shared" si="42"/>
        <v>#DIV/0!</v>
      </c>
      <c r="Y416" s="49" t="s">
        <v>62</v>
      </c>
    </row>
    <row r="417" customFormat="1" ht="22.5" customHeight="1" spans="1:25">
      <c r="A417" s="49" t="s">
        <v>71</v>
      </c>
      <c r="B417" s="49" t="s">
        <v>607</v>
      </c>
      <c r="C417" s="49" t="s">
        <v>434</v>
      </c>
      <c r="D417" s="64">
        <v>188384937724</v>
      </c>
      <c r="E417" s="49" t="s">
        <v>483</v>
      </c>
      <c r="F417" s="51">
        <v>46160</v>
      </c>
      <c r="G417" s="52">
        <v>46157</v>
      </c>
      <c r="H417" s="52">
        <v>46158</v>
      </c>
      <c r="I417" s="52" t="s">
        <v>520</v>
      </c>
      <c r="J417" s="52" t="s">
        <v>521</v>
      </c>
      <c r="K417" s="52" t="s">
        <v>34</v>
      </c>
      <c r="L417" s="49">
        <v>108</v>
      </c>
      <c r="M417" s="49">
        <v>19</v>
      </c>
      <c r="N417" s="49">
        <v>0</v>
      </c>
      <c r="O417" s="53">
        <v>9.63</v>
      </c>
      <c r="P417" s="53">
        <v>0</v>
      </c>
      <c r="Q417" s="53">
        <v>1144</v>
      </c>
      <c r="R417" s="54">
        <f t="shared" si="43"/>
        <v>0</v>
      </c>
      <c r="S417" s="55">
        <f t="shared" si="44"/>
        <v>0</v>
      </c>
      <c r="T417" s="55">
        <f t="shared" si="45"/>
        <v>0.175925925925926</v>
      </c>
      <c r="U417" s="54">
        <f t="shared" si="46"/>
        <v>0.506842105263158</v>
      </c>
      <c r="V417" s="54" t="e">
        <f t="shared" si="47"/>
        <v>#DIV/0!</v>
      </c>
      <c r="W417" s="55" t="e">
        <f t="shared" si="48"/>
        <v>#DIV/0!</v>
      </c>
      <c r="X417" s="55">
        <f t="shared" si="42"/>
        <v>0.00841783216783217</v>
      </c>
      <c r="Y417" s="49" t="s">
        <v>62</v>
      </c>
    </row>
    <row r="418" customFormat="1" ht="22.5" customHeight="1" spans="1:25">
      <c r="A418" s="49" t="s">
        <v>71</v>
      </c>
      <c r="B418" s="49" t="s">
        <v>614</v>
      </c>
      <c r="C418" s="49" t="s">
        <v>443</v>
      </c>
      <c r="D418" s="64">
        <v>188402233492</v>
      </c>
      <c r="E418" s="49" t="s">
        <v>483</v>
      </c>
      <c r="F418" s="51">
        <v>46162</v>
      </c>
      <c r="G418" s="52">
        <v>46162</v>
      </c>
      <c r="H418" s="52" t="s">
        <v>149</v>
      </c>
      <c r="I418" s="52" t="s">
        <v>496</v>
      </c>
      <c r="J418" s="52" t="s">
        <v>518</v>
      </c>
      <c r="K418" s="52" t="s">
        <v>34</v>
      </c>
      <c r="L418" s="49">
        <v>524</v>
      </c>
      <c r="M418" s="49">
        <v>18</v>
      </c>
      <c r="N418" s="49">
        <v>0</v>
      </c>
      <c r="O418" s="53">
        <v>7.54</v>
      </c>
      <c r="P418" s="53">
        <v>0</v>
      </c>
      <c r="Q418" s="53">
        <v>0</v>
      </c>
      <c r="R418" s="54">
        <f t="shared" si="43"/>
        <v>0</v>
      </c>
      <c r="S418" s="55">
        <f t="shared" si="44"/>
        <v>0</v>
      </c>
      <c r="T418" s="55">
        <f t="shared" si="45"/>
        <v>0.0343511450381679</v>
      </c>
      <c r="U418" s="54">
        <f t="shared" si="46"/>
        <v>0.418888888888889</v>
      </c>
      <c r="V418" s="54" t="e">
        <f t="shared" si="47"/>
        <v>#DIV/0!</v>
      </c>
      <c r="W418" s="55" t="e">
        <f t="shared" si="48"/>
        <v>#DIV/0!</v>
      </c>
      <c r="X418" s="55" t="e">
        <f t="shared" si="42"/>
        <v>#DIV/0!</v>
      </c>
      <c r="Y418" s="49" t="s">
        <v>62</v>
      </c>
    </row>
    <row r="419" customFormat="1" ht="22.5" customHeight="1" spans="1:25">
      <c r="A419" s="49" t="s">
        <v>71</v>
      </c>
      <c r="B419" s="49" t="s">
        <v>594</v>
      </c>
      <c r="C419" s="49" t="s">
        <v>412</v>
      </c>
      <c r="D419" s="64">
        <v>117178509718</v>
      </c>
      <c r="E419" s="49" t="s">
        <v>502</v>
      </c>
      <c r="F419" s="51">
        <v>46153</v>
      </c>
      <c r="G419" s="52">
        <v>46142</v>
      </c>
      <c r="H419" s="52" t="s">
        <v>149</v>
      </c>
      <c r="I419" s="52" t="s">
        <v>484</v>
      </c>
      <c r="J419" s="52" t="s">
        <v>497</v>
      </c>
      <c r="K419" s="52" t="s">
        <v>34</v>
      </c>
      <c r="L419" s="49">
        <v>1074</v>
      </c>
      <c r="M419" s="49">
        <v>16</v>
      </c>
      <c r="N419" s="49">
        <v>0</v>
      </c>
      <c r="O419" s="53">
        <v>7.79</v>
      </c>
      <c r="P419" s="53">
        <v>0</v>
      </c>
      <c r="Q419" s="53">
        <v>0</v>
      </c>
      <c r="R419" s="54">
        <f t="shared" si="43"/>
        <v>0</v>
      </c>
      <c r="S419" s="55">
        <f t="shared" si="44"/>
        <v>0</v>
      </c>
      <c r="T419" s="55">
        <f t="shared" si="45"/>
        <v>0.0148975791433892</v>
      </c>
      <c r="U419" s="54">
        <f t="shared" si="46"/>
        <v>0.486875</v>
      </c>
      <c r="V419" s="54" t="e">
        <f t="shared" si="47"/>
        <v>#DIV/0!</v>
      </c>
      <c r="W419" s="55" t="e">
        <f t="shared" si="48"/>
        <v>#DIV/0!</v>
      </c>
      <c r="X419" s="55" t="e">
        <f t="shared" si="42"/>
        <v>#DIV/0!</v>
      </c>
      <c r="Y419" s="49" t="s">
        <v>49</v>
      </c>
    </row>
    <row r="420" customFormat="1" ht="22.5" customHeight="1" spans="1:25">
      <c r="A420" s="49" t="s">
        <v>71</v>
      </c>
      <c r="B420" s="49" t="s">
        <v>620</v>
      </c>
      <c r="C420" s="49" t="s">
        <v>452</v>
      </c>
      <c r="D420" s="64">
        <v>188405829710</v>
      </c>
      <c r="E420" s="49" t="s">
        <v>483</v>
      </c>
      <c r="F420" s="51">
        <v>46163</v>
      </c>
      <c r="G420" s="52">
        <v>46163</v>
      </c>
      <c r="H420" s="52" t="s">
        <v>149</v>
      </c>
      <c r="I420" s="52" t="s">
        <v>520</v>
      </c>
      <c r="J420" s="52" t="s">
        <v>518</v>
      </c>
      <c r="K420" s="52" t="s">
        <v>493</v>
      </c>
      <c r="L420" s="49">
        <v>966</v>
      </c>
      <c r="M420" s="49">
        <v>16</v>
      </c>
      <c r="N420" s="49">
        <v>0</v>
      </c>
      <c r="O420" s="53">
        <v>7.94</v>
      </c>
      <c r="P420" s="53">
        <v>0</v>
      </c>
      <c r="Q420" s="53">
        <v>0</v>
      </c>
      <c r="R420" s="54">
        <f t="shared" si="43"/>
        <v>0</v>
      </c>
      <c r="S420" s="55">
        <f t="shared" si="44"/>
        <v>0</v>
      </c>
      <c r="T420" s="55">
        <f t="shared" si="45"/>
        <v>0.0165631469979296</v>
      </c>
      <c r="U420" s="54">
        <f t="shared" si="46"/>
        <v>0.49625</v>
      </c>
      <c r="V420" s="54" t="e">
        <f t="shared" si="47"/>
        <v>#DIV/0!</v>
      </c>
      <c r="W420" s="55" t="e">
        <f t="shared" si="48"/>
        <v>#DIV/0!</v>
      </c>
      <c r="X420" s="55" t="e">
        <f t="shared" si="42"/>
        <v>#DIV/0!</v>
      </c>
      <c r="Y420" s="49" t="s">
        <v>62</v>
      </c>
    </row>
    <row r="421" customFormat="1" ht="22.5" customHeight="1" spans="1:25">
      <c r="A421" s="49" t="s">
        <v>71</v>
      </c>
      <c r="B421" s="49" t="s">
        <v>519</v>
      </c>
      <c r="C421" s="49" t="s">
        <v>356</v>
      </c>
      <c r="D421" s="64">
        <v>177965595242</v>
      </c>
      <c r="E421" s="49" t="s">
        <v>483</v>
      </c>
      <c r="F421" s="51">
        <v>46100</v>
      </c>
      <c r="G421" s="52">
        <v>46097</v>
      </c>
      <c r="H421" s="52">
        <v>46100</v>
      </c>
      <c r="I421" s="52" t="s">
        <v>520</v>
      </c>
      <c r="J421" s="52" t="s">
        <v>521</v>
      </c>
      <c r="K421" s="52" t="s">
        <v>34</v>
      </c>
      <c r="L421" s="49">
        <v>686</v>
      </c>
      <c r="M421" s="49">
        <v>16</v>
      </c>
      <c r="N421" s="49">
        <v>0</v>
      </c>
      <c r="O421" s="53">
        <v>9.85</v>
      </c>
      <c r="P421" s="53">
        <v>0</v>
      </c>
      <c r="Q421" s="53">
        <v>89</v>
      </c>
      <c r="R421" s="54">
        <f t="shared" si="43"/>
        <v>0</v>
      </c>
      <c r="S421" s="55">
        <f t="shared" si="44"/>
        <v>0</v>
      </c>
      <c r="T421" s="55">
        <f t="shared" si="45"/>
        <v>0.0233236151603499</v>
      </c>
      <c r="U421" s="54">
        <f t="shared" si="46"/>
        <v>0.615625</v>
      </c>
      <c r="V421" s="54" t="e">
        <f t="shared" si="47"/>
        <v>#DIV/0!</v>
      </c>
      <c r="W421" s="55" t="e">
        <f t="shared" si="48"/>
        <v>#DIV/0!</v>
      </c>
      <c r="X421" s="55">
        <f t="shared" si="42"/>
        <v>0.110674157303371</v>
      </c>
      <c r="Y421" s="49" t="s">
        <v>49</v>
      </c>
    </row>
    <row r="422" customFormat="1" ht="22.5" customHeight="1" spans="1:25">
      <c r="A422" s="49" t="s">
        <v>71</v>
      </c>
      <c r="B422" s="49" t="s">
        <v>591</v>
      </c>
      <c r="C422" s="49" t="s">
        <v>426</v>
      </c>
      <c r="D422" s="64">
        <v>178118198199</v>
      </c>
      <c r="E422" s="49" t="s">
        <v>483</v>
      </c>
      <c r="F422" s="51">
        <v>46151</v>
      </c>
      <c r="G422" s="52">
        <v>46151</v>
      </c>
      <c r="H422" s="52" t="s">
        <v>149</v>
      </c>
      <c r="I422" s="52" t="s">
        <v>484</v>
      </c>
      <c r="J422" s="52" t="s">
        <v>497</v>
      </c>
      <c r="K422" s="52" t="s">
        <v>34</v>
      </c>
      <c r="L422" s="49">
        <v>1062</v>
      </c>
      <c r="M422" s="49">
        <v>14</v>
      </c>
      <c r="N422" s="49">
        <v>0</v>
      </c>
      <c r="O422" s="53">
        <v>6.01</v>
      </c>
      <c r="P422" s="53">
        <v>0</v>
      </c>
      <c r="Q422" s="53">
        <v>0</v>
      </c>
      <c r="R422" s="54">
        <f t="shared" si="43"/>
        <v>0</v>
      </c>
      <c r="S422" s="55">
        <f t="shared" si="44"/>
        <v>0</v>
      </c>
      <c r="T422" s="55">
        <f t="shared" si="45"/>
        <v>0.0131826741996234</v>
      </c>
      <c r="U422" s="54">
        <f t="shared" si="46"/>
        <v>0.429285714285714</v>
      </c>
      <c r="V422" s="54" t="e">
        <f t="shared" si="47"/>
        <v>#DIV/0!</v>
      </c>
      <c r="W422" s="55" t="e">
        <f t="shared" si="48"/>
        <v>#DIV/0!</v>
      </c>
      <c r="X422" s="55" t="e">
        <f t="shared" si="42"/>
        <v>#DIV/0!</v>
      </c>
      <c r="Y422" s="49" t="s">
        <v>62</v>
      </c>
    </row>
    <row r="423" customFormat="1" ht="22.5" customHeight="1" spans="1:25">
      <c r="A423" s="49" t="s">
        <v>71</v>
      </c>
      <c r="B423" s="49" t="s">
        <v>579</v>
      </c>
      <c r="C423" s="49" t="s">
        <v>431</v>
      </c>
      <c r="D423" s="64">
        <v>188370908284</v>
      </c>
      <c r="E423" s="49" t="s">
        <v>483</v>
      </c>
      <c r="F423" s="51">
        <v>46143</v>
      </c>
      <c r="G423" s="52">
        <v>46153</v>
      </c>
      <c r="H423" s="52">
        <v>46164</v>
      </c>
      <c r="I423" s="52" t="s">
        <v>505</v>
      </c>
      <c r="J423" s="52" t="s">
        <v>518</v>
      </c>
      <c r="K423" s="52" t="s">
        <v>493</v>
      </c>
      <c r="L423" s="49">
        <v>496</v>
      </c>
      <c r="M423" s="49">
        <v>14</v>
      </c>
      <c r="N423" s="49">
        <v>0</v>
      </c>
      <c r="O423" s="53">
        <v>7.83</v>
      </c>
      <c r="P423" s="53">
        <v>0</v>
      </c>
      <c r="Q423" s="53">
        <v>230</v>
      </c>
      <c r="R423" s="54">
        <f t="shared" si="43"/>
        <v>0</v>
      </c>
      <c r="S423" s="55">
        <f t="shared" si="44"/>
        <v>0</v>
      </c>
      <c r="T423" s="55">
        <f t="shared" si="45"/>
        <v>0.0282258064516129</v>
      </c>
      <c r="U423" s="54">
        <f t="shared" si="46"/>
        <v>0.559285714285714</v>
      </c>
      <c r="V423" s="54" t="e">
        <f t="shared" si="47"/>
        <v>#DIV/0!</v>
      </c>
      <c r="W423" s="55" t="e">
        <f t="shared" si="48"/>
        <v>#DIV/0!</v>
      </c>
      <c r="X423" s="55">
        <f t="shared" si="42"/>
        <v>0.0340434782608696</v>
      </c>
      <c r="Y423" s="49" t="s">
        <v>62</v>
      </c>
    </row>
    <row r="424" customFormat="1" ht="22.5" customHeight="1" spans="1:25">
      <c r="A424" s="49" t="s">
        <v>71</v>
      </c>
      <c r="B424" s="49" t="s">
        <v>604</v>
      </c>
      <c r="C424" s="49" t="s">
        <v>428</v>
      </c>
      <c r="D424" s="64">
        <v>188370871591</v>
      </c>
      <c r="E424" s="49" t="s">
        <v>483</v>
      </c>
      <c r="F424" s="51">
        <v>46154</v>
      </c>
      <c r="G424" s="52">
        <v>46153</v>
      </c>
      <c r="H424" s="52">
        <v>46168</v>
      </c>
      <c r="I424" s="52" t="s">
        <v>505</v>
      </c>
      <c r="J424" s="52" t="s">
        <v>518</v>
      </c>
      <c r="K424" s="52" t="s">
        <v>34</v>
      </c>
      <c r="L424" s="49">
        <v>1445</v>
      </c>
      <c r="M424" s="49">
        <v>13</v>
      </c>
      <c r="N424" s="49">
        <v>0</v>
      </c>
      <c r="O424" s="53">
        <v>14.85</v>
      </c>
      <c r="P424" s="53">
        <v>0</v>
      </c>
      <c r="Q424" s="53">
        <v>0</v>
      </c>
      <c r="R424" s="54">
        <f t="shared" si="43"/>
        <v>0</v>
      </c>
      <c r="S424" s="55">
        <f t="shared" si="44"/>
        <v>0</v>
      </c>
      <c r="T424" s="55">
        <f t="shared" si="45"/>
        <v>0.00899653979238754</v>
      </c>
      <c r="U424" s="54">
        <f t="shared" si="46"/>
        <v>1.14230769230769</v>
      </c>
      <c r="V424" s="54" t="e">
        <f t="shared" si="47"/>
        <v>#DIV/0!</v>
      </c>
      <c r="W424" s="55" t="e">
        <f t="shared" si="48"/>
        <v>#DIV/0!</v>
      </c>
      <c r="X424" s="55" t="e">
        <f t="shared" si="42"/>
        <v>#DIV/0!</v>
      </c>
      <c r="Y424" s="49" t="s">
        <v>49</v>
      </c>
    </row>
    <row r="425" customFormat="1" ht="22.5" customHeight="1" spans="1:25">
      <c r="A425" s="49" t="s">
        <v>71</v>
      </c>
      <c r="B425" s="49" t="s">
        <v>569</v>
      </c>
      <c r="C425" s="49" t="s">
        <v>359</v>
      </c>
      <c r="D425" s="64">
        <v>117093803059</v>
      </c>
      <c r="E425" s="49" t="s">
        <v>502</v>
      </c>
      <c r="F425" s="51">
        <v>46141</v>
      </c>
      <c r="G425" s="52">
        <v>46097</v>
      </c>
      <c r="H425" s="52">
        <v>46104</v>
      </c>
      <c r="I425" s="52" t="s">
        <v>496</v>
      </c>
      <c r="J425" s="52" t="s">
        <v>497</v>
      </c>
      <c r="K425" s="52" t="s">
        <v>34</v>
      </c>
      <c r="L425" s="49">
        <v>65</v>
      </c>
      <c r="M425" s="49">
        <v>13</v>
      </c>
      <c r="N425" s="49">
        <v>0</v>
      </c>
      <c r="O425" s="53">
        <v>7.52</v>
      </c>
      <c r="P425" s="53">
        <v>0</v>
      </c>
      <c r="Q425" s="53">
        <v>99.27</v>
      </c>
      <c r="R425" s="54">
        <f t="shared" si="43"/>
        <v>0</v>
      </c>
      <c r="S425" s="55">
        <f t="shared" si="44"/>
        <v>0</v>
      </c>
      <c r="T425" s="55">
        <f t="shared" si="45"/>
        <v>0.2</v>
      </c>
      <c r="U425" s="54">
        <f t="shared" si="46"/>
        <v>0.578461538461538</v>
      </c>
      <c r="V425" s="54" t="e">
        <f t="shared" si="47"/>
        <v>#DIV/0!</v>
      </c>
      <c r="W425" s="55" t="e">
        <f t="shared" si="48"/>
        <v>#DIV/0!</v>
      </c>
      <c r="X425" s="55">
        <f t="shared" si="42"/>
        <v>0.0757529968772036</v>
      </c>
      <c r="Y425" s="49" t="s">
        <v>62</v>
      </c>
    </row>
    <row r="426" customFormat="1" ht="22.5" customHeight="1" spans="1:25">
      <c r="A426" s="49" t="s">
        <v>71</v>
      </c>
      <c r="B426" s="49" t="s">
        <v>602</v>
      </c>
      <c r="C426" s="49" t="s">
        <v>430</v>
      </c>
      <c r="D426" s="64">
        <v>178124922531</v>
      </c>
      <c r="E426" s="49" t="s">
        <v>483</v>
      </c>
      <c r="F426" s="51">
        <v>46154</v>
      </c>
      <c r="G426" s="52">
        <v>46153</v>
      </c>
      <c r="H426" s="52">
        <v>46167</v>
      </c>
      <c r="I426" s="52" t="s">
        <v>26</v>
      </c>
      <c r="J426" s="52" t="s">
        <v>518</v>
      </c>
      <c r="K426" s="52" t="s">
        <v>34</v>
      </c>
      <c r="L426" s="49">
        <v>798</v>
      </c>
      <c r="M426" s="49">
        <v>11</v>
      </c>
      <c r="N426" s="49">
        <v>0</v>
      </c>
      <c r="O426" s="53">
        <v>17.18</v>
      </c>
      <c r="P426" s="53">
        <v>0</v>
      </c>
      <c r="Q426" s="53">
        <v>0</v>
      </c>
      <c r="R426" s="54">
        <f t="shared" si="43"/>
        <v>0</v>
      </c>
      <c r="S426" s="55">
        <f t="shared" si="44"/>
        <v>0</v>
      </c>
      <c r="T426" s="55">
        <f t="shared" si="45"/>
        <v>0.0137844611528822</v>
      </c>
      <c r="U426" s="54">
        <f t="shared" si="46"/>
        <v>1.56181818181818</v>
      </c>
      <c r="V426" s="54" t="e">
        <f t="shared" si="47"/>
        <v>#DIV/0!</v>
      </c>
      <c r="W426" s="55" t="e">
        <f t="shared" si="48"/>
        <v>#DIV/0!</v>
      </c>
      <c r="X426" s="55" t="e">
        <f t="shared" si="42"/>
        <v>#DIV/0!</v>
      </c>
      <c r="Y426" s="49" t="s">
        <v>62</v>
      </c>
    </row>
    <row r="427" customFormat="1" ht="22.5" customHeight="1" spans="1:25">
      <c r="A427" s="49" t="s">
        <v>71</v>
      </c>
      <c r="B427" s="49" t="s">
        <v>582</v>
      </c>
      <c r="C427" s="49" t="s">
        <v>415</v>
      </c>
      <c r="D427" s="64">
        <v>188330701630</v>
      </c>
      <c r="E427" s="49" t="s">
        <v>483</v>
      </c>
      <c r="F427" s="51">
        <v>46143</v>
      </c>
      <c r="G427" s="52">
        <v>46142</v>
      </c>
      <c r="H427" s="52">
        <v>46146</v>
      </c>
      <c r="I427" s="52" t="s">
        <v>505</v>
      </c>
      <c r="J427" s="52" t="s">
        <v>521</v>
      </c>
      <c r="K427" s="52" t="s">
        <v>34</v>
      </c>
      <c r="L427" s="49">
        <v>136</v>
      </c>
      <c r="M427" s="49">
        <v>10</v>
      </c>
      <c r="N427" s="49">
        <v>0</v>
      </c>
      <c r="O427" s="53">
        <v>3.54</v>
      </c>
      <c r="P427" s="53">
        <v>0</v>
      </c>
      <c r="Q427" s="53">
        <v>35</v>
      </c>
      <c r="R427" s="54">
        <f t="shared" si="43"/>
        <v>0</v>
      </c>
      <c r="S427" s="55">
        <f t="shared" si="44"/>
        <v>0</v>
      </c>
      <c r="T427" s="55">
        <f t="shared" si="45"/>
        <v>0.0735294117647059</v>
      </c>
      <c r="U427" s="54">
        <f t="shared" si="46"/>
        <v>0.354</v>
      </c>
      <c r="V427" s="54" t="e">
        <f t="shared" si="47"/>
        <v>#DIV/0!</v>
      </c>
      <c r="W427" s="55" t="e">
        <f t="shared" si="48"/>
        <v>#DIV/0!</v>
      </c>
      <c r="X427" s="55">
        <f t="shared" si="42"/>
        <v>0.101142857142857</v>
      </c>
      <c r="Y427" s="49" t="s">
        <v>62</v>
      </c>
    </row>
    <row r="428" customFormat="1" ht="22.5" customHeight="1" spans="1:25">
      <c r="A428" s="49" t="s">
        <v>71</v>
      </c>
      <c r="B428" s="49" t="s">
        <v>595</v>
      </c>
      <c r="C428" s="49" t="s">
        <v>420</v>
      </c>
      <c r="D428" s="64">
        <v>188364376827</v>
      </c>
      <c r="E428" s="49" t="s">
        <v>483</v>
      </c>
      <c r="F428" s="51">
        <v>46151</v>
      </c>
      <c r="G428" s="52">
        <v>46151</v>
      </c>
      <c r="H428" s="52">
        <v>46153</v>
      </c>
      <c r="I428" s="52" t="s">
        <v>520</v>
      </c>
      <c r="J428" s="52" t="s">
        <v>485</v>
      </c>
      <c r="K428" s="52" t="s">
        <v>34</v>
      </c>
      <c r="L428" s="49">
        <v>102</v>
      </c>
      <c r="M428" s="49">
        <v>9</v>
      </c>
      <c r="N428" s="49">
        <v>0</v>
      </c>
      <c r="O428" s="53">
        <v>3.35</v>
      </c>
      <c r="P428" s="53">
        <v>0</v>
      </c>
      <c r="Q428" s="53">
        <v>0</v>
      </c>
      <c r="R428" s="54">
        <f t="shared" si="43"/>
        <v>0</v>
      </c>
      <c r="S428" s="55">
        <f t="shared" si="44"/>
        <v>0</v>
      </c>
      <c r="T428" s="55">
        <f t="shared" si="45"/>
        <v>0.0882352941176471</v>
      </c>
      <c r="U428" s="54">
        <f t="shared" si="46"/>
        <v>0.372222222222222</v>
      </c>
      <c r="V428" s="54" t="e">
        <f t="shared" si="47"/>
        <v>#DIV/0!</v>
      </c>
      <c r="W428" s="55" t="e">
        <f t="shared" si="48"/>
        <v>#DIV/0!</v>
      </c>
      <c r="X428" s="55" t="e">
        <f t="shared" si="42"/>
        <v>#DIV/0!</v>
      </c>
      <c r="Y428" s="49" t="s">
        <v>62</v>
      </c>
    </row>
    <row r="429" customFormat="1" ht="22.5" customHeight="1" spans="1:25">
      <c r="A429" s="49" t="s">
        <v>71</v>
      </c>
      <c r="B429" s="49" t="s">
        <v>618</v>
      </c>
      <c r="C429" s="49" t="s">
        <v>451</v>
      </c>
      <c r="D429" s="64">
        <v>188402268126</v>
      </c>
      <c r="E429" s="49" t="s">
        <v>483</v>
      </c>
      <c r="F429" s="51">
        <v>46162</v>
      </c>
      <c r="G429" s="52">
        <v>46162</v>
      </c>
      <c r="H429" s="52" t="s">
        <v>149</v>
      </c>
      <c r="I429" s="52" t="s">
        <v>484</v>
      </c>
      <c r="J429" s="52" t="s">
        <v>521</v>
      </c>
      <c r="K429" s="52" t="s">
        <v>34</v>
      </c>
      <c r="L429" s="49">
        <v>239</v>
      </c>
      <c r="M429" s="49">
        <v>8</v>
      </c>
      <c r="N429" s="49">
        <v>0</v>
      </c>
      <c r="O429" s="53">
        <v>10.06</v>
      </c>
      <c r="P429" s="53">
        <v>0</v>
      </c>
      <c r="Q429" s="53">
        <v>0</v>
      </c>
      <c r="R429" s="54">
        <f t="shared" si="43"/>
        <v>0</v>
      </c>
      <c r="S429" s="55">
        <f t="shared" si="44"/>
        <v>0</v>
      </c>
      <c r="T429" s="55">
        <f t="shared" si="45"/>
        <v>0.0334728033472803</v>
      </c>
      <c r="U429" s="54">
        <f t="shared" si="46"/>
        <v>1.2575</v>
      </c>
      <c r="V429" s="54" t="e">
        <f t="shared" si="47"/>
        <v>#DIV/0!</v>
      </c>
      <c r="W429" s="55" t="e">
        <f t="shared" si="48"/>
        <v>#DIV/0!</v>
      </c>
      <c r="X429" s="55" t="e">
        <f t="shared" si="42"/>
        <v>#DIV/0!</v>
      </c>
      <c r="Y429" s="49" t="s">
        <v>62</v>
      </c>
    </row>
    <row r="430" customFormat="1" ht="22.5" customHeight="1" spans="1:25">
      <c r="A430" s="49" t="s">
        <v>71</v>
      </c>
      <c r="B430" s="49" t="s">
        <v>561</v>
      </c>
      <c r="C430" s="49" t="s">
        <v>392</v>
      </c>
      <c r="D430" s="64">
        <v>188307740950</v>
      </c>
      <c r="E430" s="49" t="s">
        <v>483</v>
      </c>
      <c r="F430" s="51">
        <v>46137</v>
      </c>
      <c r="G430" s="52">
        <v>46135</v>
      </c>
      <c r="H430" s="52">
        <v>46140</v>
      </c>
      <c r="I430" s="52" t="s">
        <v>496</v>
      </c>
      <c r="J430" s="52" t="s">
        <v>497</v>
      </c>
      <c r="K430" s="52" t="s">
        <v>34</v>
      </c>
      <c r="L430" s="49">
        <v>138</v>
      </c>
      <c r="M430" s="49">
        <v>8</v>
      </c>
      <c r="N430" s="49">
        <v>0</v>
      </c>
      <c r="O430" s="53">
        <v>4.24</v>
      </c>
      <c r="P430" s="53">
        <v>0</v>
      </c>
      <c r="Q430" s="53">
        <v>150</v>
      </c>
      <c r="R430" s="54">
        <f t="shared" si="43"/>
        <v>0</v>
      </c>
      <c r="S430" s="55">
        <f t="shared" si="44"/>
        <v>0</v>
      </c>
      <c r="T430" s="55">
        <f t="shared" si="45"/>
        <v>0.0579710144927536</v>
      </c>
      <c r="U430" s="54">
        <f t="shared" si="46"/>
        <v>0.53</v>
      </c>
      <c r="V430" s="54" t="e">
        <f t="shared" si="47"/>
        <v>#DIV/0!</v>
      </c>
      <c r="W430" s="55" t="e">
        <f t="shared" si="48"/>
        <v>#DIV/0!</v>
      </c>
      <c r="X430" s="55">
        <f t="shared" si="42"/>
        <v>0.0282666666666667</v>
      </c>
      <c r="Y430" s="49" t="s">
        <v>62</v>
      </c>
    </row>
    <row r="431" customFormat="1" ht="22.5" customHeight="1" spans="1:25">
      <c r="A431" s="49" t="s">
        <v>71</v>
      </c>
      <c r="B431" s="49" t="s">
        <v>513</v>
      </c>
      <c r="C431" s="49" t="s">
        <v>339</v>
      </c>
      <c r="D431" s="64">
        <v>117085059550</v>
      </c>
      <c r="E431" s="49" t="s">
        <v>502</v>
      </c>
      <c r="F431" s="51">
        <v>46104</v>
      </c>
      <c r="G431" s="52">
        <v>46092</v>
      </c>
      <c r="H431" s="52">
        <v>46104</v>
      </c>
      <c r="I431" s="52" t="s">
        <v>484</v>
      </c>
      <c r="J431" s="52" t="s">
        <v>489</v>
      </c>
      <c r="K431" s="52" t="s">
        <v>34</v>
      </c>
      <c r="L431" s="49">
        <v>580</v>
      </c>
      <c r="M431" s="49">
        <v>6</v>
      </c>
      <c r="N431" s="49">
        <v>0</v>
      </c>
      <c r="O431" s="53">
        <v>1.9</v>
      </c>
      <c r="P431" s="53">
        <v>0</v>
      </c>
      <c r="Q431" s="53">
        <v>34.67</v>
      </c>
      <c r="R431" s="54">
        <f t="shared" si="43"/>
        <v>0</v>
      </c>
      <c r="S431" s="55">
        <f t="shared" si="44"/>
        <v>0</v>
      </c>
      <c r="T431" s="55">
        <f t="shared" si="45"/>
        <v>0.0103448275862069</v>
      </c>
      <c r="U431" s="54">
        <f t="shared" si="46"/>
        <v>0.316666666666667</v>
      </c>
      <c r="V431" s="54" t="e">
        <f t="shared" si="47"/>
        <v>#DIV/0!</v>
      </c>
      <c r="W431" s="55" t="e">
        <f t="shared" si="48"/>
        <v>#DIV/0!</v>
      </c>
      <c r="X431" s="55">
        <f t="shared" si="42"/>
        <v>0.0548024228439573</v>
      </c>
      <c r="Y431" s="49" t="s">
        <v>62</v>
      </c>
    </row>
    <row r="432" customFormat="1" ht="22.5" customHeight="1" spans="1:25">
      <c r="A432" s="49" t="s">
        <v>71</v>
      </c>
      <c r="B432" s="49" t="s">
        <v>616</v>
      </c>
      <c r="C432" s="49" t="s">
        <v>442</v>
      </c>
      <c r="D432" s="64">
        <v>188402228844</v>
      </c>
      <c r="E432" s="49" t="s">
        <v>483</v>
      </c>
      <c r="F432" s="51">
        <v>46162</v>
      </c>
      <c r="G432" s="52">
        <v>46162</v>
      </c>
      <c r="H432" s="52">
        <v>46164</v>
      </c>
      <c r="I432" s="52" t="s">
        <v>496</v>
      </c>
      <c r="J432" s="52" t="s">
        <v>518</v>
      </c>
      <c r="K432" s="52" t="s">
        <v>34</v>
      </c>
      <c r="L432" s="49">
        <v>422</v>
      </c>
      <c r="M432" s="49">
        <v>6</v>
      </c>
      <c r="N432" s="49">
        <v>0</v>
      </c>
      <c r="O432" s="53">
        <v>2.31</v>
      </c>
      <c r="P432" s="53">
        <v>0</v>
      </c>
      <c r="Q432" s="53">
        <v>150</v>
      </c>
      <c r="R432" s="54">
        <f t="shared" si="43"/>
        <v>0</v>
      </c>
      <c r="S432" s="55">
        <f t="shared" si="44"/>
        <v>0</v>
      </c>
      <c r="T432" s="55">
        <f t="shared" si="45"/>
        <v>0.014218009478673</v>
      </c>
      <c r="U432" s="54">
        <f t="shared" si="46"/>
        <v>0.385</v>
      </c>
      <c r="V432" s="54" t="e">
        <f t="shared" si="47"/>
        <v>#DIV/0!</v>
      </c>
      <c r="W432" s="55" t="e">
        <f t="shared" si="48"/>
        <v>#DIV/0!</v>
      </c>
      <c r="X432" s="55">
        <f t="shared" si="42"/>
        <v>0.0154</v>
      </c>
      <c r="Y432" s="49" t="s">
        <v>62</v>
      </c>
    </row>
    <row r="433" customFormat="1" ht="22.5" customHeight="1" spans="1:25">
      <c r="A433" s="49" t="s">
        <v>71</v>
      </c>
      <c r="B433" s="49" t="s">
        <v>535</v>
      </c>
      <c r="C433" s="49" t="s">
        <v>347</v>
      </c>
      <c r="D433" s="64">
        <v>117085067234</v>
      </c>
      <c r="E433" s="49" t="s">
        <v>502</v>
      </c>
      <c r="F433" s="51">
        <v>46123</v>
      </c>
      <c r="G433" s="52">
        <v>46092</v>
      </c>
      <c r="H433" s="52">
        <v>46096</v>
      </c>
      <c r="I433" s="52" t="s">
        <v>26</v>
      </c>
      <c r="J433" s="52" t="s">
        <v>30</v>
      </c>
      <c r="K433" s="52" t="s">
        <v>34</v>
      </c>
      <c r="L433" s="49">
        <v>112</v>
      </c>
      <c r="M433" s="49">
        <v>6</v>
      </c>
      <c r="N433" s="49">
        <v>0</v>
      </c>
      <c r="O433" s="53">
        <v>3.21</v>
      </c>
      <c r="P433" s="53">
        <v>0</v>
      </c>
      <c r="Q433" s="53">
        <v>0</v>
      </c>
      <c r="R433" s="54">
        <f t="shared" si="43"/>
        <v>0</v>
      </c>
      <c r="S433" s="55">
        <f t="shared" si="44"/>
        <v>0</v>
      </c>
      <c r="T433" s="55">
        <f t="shared" si="45"/>
        <v>0.0535714285714286</v>
      </c>
      <c r="U433" s="54">
        <f t="shared" si="46"/>
        <v>0.535</v>
      </c>
      <c r="V433" s="54" t="e">
        <f t="shared" si="47"/>
        <v>#DIV/0!</v>
      </c>
      <c r="W433" s="55" t="e">
        <f t="shared" si="48"/>
        <v>#DIV/0!</v>
      </c>
      <c r="X433" s="55" t="e">
        <f t="shared" si="42"/>
        <v>#DIV/0!</v>
      </c>
      <c r="Y433" s="49" t="s">
        <v>62</v>
      </c>
    </row>
    <row r="434" customFormat="1" ht="22.5" customHeight="1" spans="1:25">
      <c r="A434" s="49" t="s">
        <v>71</v>
      </c>
      <c r="B434" s="49" t="s">
        <v>593</v>
      </c>
      <c r="C434" s="49" t="s">
        <v>423</v>
      </c>
      <c r="D434" s="64">
        <v>178118166060</v>
      </c>
      <c r="E434" s="49" t="s">
        <v>483</v>
      </c>
      <c r="F434" s="51">
        <v>46151</v>
      </c>
      <c r="G434" s="52">
        <v>46151</v>
      </c>
      <c r="H434" s="52">
        <v>46163</v>
      </c>
      <c r="I434" s="52" t="s">
        <v>496</v>
      </c>
      <c r="J434" s="52" t="s">
        <v>497</v>
      </c>
      <c r="K434" s="52" t="s">
        <v>34</v>
      </c>
      <c r="L434" s="49">
        <v>31</v>
      </c>
      <c r="M434" s="49">
        <v>6</v>
      </c>
      <c r="N434" s="49">
        <v>0</v>
      </c>
      <c r="O434" s="53">
        <v>3.39</v>
      </c>
      <c r="P434" s="53">
        <v>0</v>
      </c>
      <c r="Q434" s="53">
        <v>96</v>
      </c>
      <c r="R434" s="54">
        <f t="shared" si="43"/>
        <v>0</v>
      </c>
      <c r="S434" s="55">
        <f t="shared" si="44"/>
        <v>0</v>
      </c>
      <c r="T434" s="55">
        <f t="shared" si="45"/>
        <v>0.193548387096774</v>
      </c>
      <c r="U434" s="54">
        <f t="shared" si="46"/>
        <v>0.565</v>
      </c>
      <c r="V434" s="54" t="e">
        <f t="shared" si="47"/>
        <v>#DIV/0!</v>
      </c>
      <c r="W434" s="55" t="e">
        <f t="shared" si="48"/>
        <v>#DIV/0!</v>
      </c>
      <c r="X434" s="55">
        <f t="shared" si="42"/>
        <v>0.0353125</v>
      </c>
      <c r="Y434" s="49" t="s">
        <v>62</v>
      </c>
    </row>
    <row r="435" customFormat="1" ht="22.5" customHeight="1" spans="1:25">
      <c r="A435" s="49" t="s">
        <v>71</v>
      </c>
      <c r="B435" s="49" t="s">
        <v>559</v>
      </c>
      <c r="C435" s="49" t="s">
        <v>389</v>
      </c>
      <c r="D435" s="64">
        <v>188306721459</v>
      </c>
      <c r="E435" s="49" t="s">
        <v>483</v>
      </c>
      <c r="F435" s="51">
        <v>46136</v>
      </c>
      <c r="G435" s="52">
        <v>46135</v>
      </c>
      <c r="H435" s="52">
        <v>46155</v>
      </c>
      <c r="I435" s="52" t="s">
        <v>520</v>
      </c>
      <c r="J435" s="52" t="s">
        <v>521</v>
      </c>
      <c r="K435" s="52" t="s">
        <v>34</v>
      </c>
      <c r="L435" s="49">
        <v>567</v>
      </c>
      <c r="M435" s="49">
        <v>5</v>
      </c>
      <c r="N435" s="49">
        <v>0</v>
      </c>
      <c r="O435" s="53">
        <v>5</v>
      </c>
      <c r="P435" s="53">
        <v>0</v>
      </c>
      <c r="Q435" s="53">
        <v>85</v>
      </c>
      <c r="R435" s="54">
        <f t="shared" si="43"/>
        <v>0</v>
      </c>
      <c r="S435" s="55">
        <f t="shared" si="44"/>
        <v>0</v>
      </c>
      <c r="T435" s="55">
        <f t="shared" si="45"/>
        <v>0.00881834215167548</v>
      </c>
      <c r="U435" s="54">
        <f t="shared" si="46"/>
        <v>1</v>
      </c>
      <c r="V435" s="54" t="e">
        <f t="shared" si="47"/>
        <v>#DIV/0!</v>
      </c>
      <c r="W435" s="55" t="e">
        <f t="shared" si="48"/>
        <v>#DIV/0!</v>
      </c>
      <c r="X435" s="55">
        <f t="shared" si="42"/>
        <v>0.0588235294117647</v>
      </c>
      <c r="Y435" s="49" t="s">
        <v>62</v>
      </c>
    </row>
    <row r="436" customFormat="1" ht="22.5" customHeight="1" spans="1:25">
      <c r="A436" s="49" t="s">
        <v>71</v>
      </c>
      <c r="B436" s="49" t="s">
        <v>621</v>
      </c>
      <c r="C436" s="49" t="s">
        <v>447</v>
      </c>
      <c r="D436" s="64">
        <v>178149840471</v>
      </c>
      <c r="E436" s="49" t="s">
        <v>483</v>
      </c>
      <c r="F436" s="51">
        <v>46163</v>
      </c>
      <c r="G436" s="52">
        <v>46162</v>
      </c>
      <c r="H436" s="52">
        <v>46164</v>
      </c>
      <c r="I436" s="52" t="s">
        <v>503</v>
      </c>
      <c r="J436" s="52" t="s">
        <v>521</v>
      </c>
      <c r="K436" s="52" t="s">
        <v>34</v>
      </c>
      <c r="L436" s="49">
        <v>284</v>
      </c>
      <c r="M436" s="49">
        <v>5</v>
      </c>
      <c r="N436" s="49">
        <v>0</v>
      </c>
      <c r="O436" s="53">
        <v>5.14</v>
      </c>
      <c r="P436" s="53">
        <v>0</v>
      </c>
      <c r="Q436" s="53">
        <v>105</v>
      </c>
      <c r="R436" s="54">
        <f t="shared" si="43"/>
        <v>0</v>
      </c>
      <c r="S436" s="55">
        <f t="shared" si="44"/>
        <v>0</v>
      </c>
      <c r="T436" s="55">
        <f t="shared" si="45"/>
        <v>0.0176056338028169</v>
      </c>
      <c r="U436" s="54">
        <f t="shared" si="46"/>
        <v>1.028</v>
      </c>
      <c r="V436" s="54" t="e">
        <f t="shared" si="47"/>
        <v>#DIV/0!</v>
      </c>
      <c r="W436" s="55" t="e">
        <f t="shared" si="48"/>
        <v>#DIV/0!</v>
      </c>
      <c r="X436" s="55">
        <f t="shared" si="42"/>
        <v>0.0489523809523809</v>
      </c>
      <c r="Y436" s="49" t="s">
        <v>62</v>
      </c>
    </row>
    <row r="437" customFormat="1" ht="22.5" customHeight="1" spans="1:25">
      <c r="A437" s="49" t="s">
        <v>71</v>
      </c>
      <c r="B437" s="49" t="s">
        <v>584</v>
      </c>
      <c r="C437" s="49" t="s">
        <v>412</v>
      </c>
      <c r="D437" s="64">
        <v>178090479710</v>
      </c>
      <c r="E437" s="49" t="s">
        <v>483</v>
      </c>
      <c r="F437" s="51">
        <v>46142</v>
      </c>
      <c r="G437" s="52">
        <v>46142</v>
      </c>
      <c r="H437" s="52" t="s">
        <v>149</v>
      </c>
      <c r="I437" s="52" t="s">
        <v>484</v>
      </c>
      <c r="J437" s="52" t="s">
        <v>497</v>
      </c>
      <c r="K437" s="52" t="s">
        <v>34</v>
      </c>
      <c r="L437" s="49">
        <v>156</v>
      </c>
      <c r="M437" s="49">
        <v>5</v>
      </c>
      <c r="N437" s="49">
        <v>0</v>
      </c>
      <c r="O437" s="53">
        <v>5.34</v>
      </c>
      <c r="P437" s="53">
        <v>0</v>
      </c>
      <c r="Q437" s="53">
        <v>0</v>
      </c>
      <c r="R437" s="54">
        <f t="shared" si="43"/>
        <v>0</v>
      </c>
      <c r="S437" s="55">
        <f t="shared" si="44"/>
        <v>0</v>
      </c>
      <c r="T437" s="55">
        <f t="shared" si="45"/>
        <v>0.032051282051282</v>
      </c>
      <c r="U437" s="54">
        <f t="shared" si="46"/>
        <v>1.068</v>
      </c>
      <c r="V437" s="54" t="e">
        <f t="shared" si="47"/>
        <v>#DIV/0!</v>
      </c>
      <c r="W437" s="55" t="e">
        <f t="shared" si="48"/>
        <v>#DIV/0!</v>
      </c>
      <c r="X437" s="55" t="e">
        <f t="shared" si="42"/>
        <v>#DIV/0!</v>
      </c>
      <c r="Y437" s="49" t="s">
        <v>62</v>
      </c>
    </row>
    <row r="438" customFormat="1" ht="22.5" customHeight="1" spans="1:25">
      <c r="A438" s="49" t="s">
        <v>71</v>
      </c>
      <c r="B438" s="49" t="s">
        <v>592</v>
      </c>
      <c r="C438" s="49" t="s">
        <v>312</v>
      </c>
      <c r="D438" s="64">
        <v>227241156524</v>
      </c>
      <c r="E438" s="49" t="s">
        <v>488</v>
      </c>
      <c r="F438" s="51">
        <v>46087</v>
      </c>
      <c r="G438" s="52">
        <v>46085</v>
      </c>
      <c r="H438" s="52">
        <v>46089</v>
      </c>
      <c r="I438" s="52" t="s">
        <v>496</v>
      </c>
      <c r="J438" s="52" t="s">
        <v>30</v>
      </c>
      <c r="K438" s="52" t="s">
        <v>34</v>
      </c>
      <c r="L438" s="49">
        <v>1306</v>
      </c>
      <c r="M438" s="49">
        <v>4</v>
      </c>
      <c r="N438" s="49">
        <v>0</v>
      </c>
      <c r="O438" s="53">
        <v>3.01</v>
      </c>
      <c r="P438" s="53">
        <v>0</v>
      </c>
      <c r="Q438" s="53">
        <v>0</v>
      </c>
      <c r="R438" s="54">
        <f t="shared" si="43"/>
        <v>0</v>
      </c>
      <c r="S438" s="55">
        <f t="shared" si="44"/>
        <v>0</v>
      </c>
      <c r="T438" s="55">
        <f t="shared" si="45"/>
        <v>0.00306278713629403</v>
      </c>
      <c r="U438" s="54">
        <f t="shared" si="46"/>
        <v>0.7525</v>
      </c>
      <c r="V438" s="54" t="e">
        <f t="shared" si="47"/>
        <v>#DIV/0!</v>
      </c>
      <c r="W438" s="55" t="e">
        <f t="shared" si="48"/>
        <v>#DIV/0!</v>
      </c>
      <c r="X438" s="55" t="e">
        <f t="shared" si="42"/>
        <v>#DIV/0!</v>
      </c>
      <c r="Y438" s="49" t="s">
        <v>49</v>
      </c>
    </row>
    <row r="439" customFormat="1" ht="22.5" customHeight="1" spans="1:25">
      <c r="A439" s="49" t="s">
        <v>71</v>
      </c>
      <c r="B439" s="49" t="s">
        <v>576</v>
      </c>
      <c r="C439" s="49" t="s">
        <v>381</v>
      </c>
      <c r="D439" s="64">
        <v>177997435750</v>
      </c>
      <c r="E439" s="49" t="s">
        <v>483</v>
      </c>
      <c r="F439" s="51">
        <v>46142</v>
      </c>
      <c r="G439" s="52">
        <v>46108</v>
      </c>
      <c r="H439" s="52">
        <v>46111</v>
      </c>
      <c r="I439" s="52" t="s">
        <v>496</v>
      </c>
      <c r="J439" s="52" t="s">
        <v>497</v>
      </c>
      <c r="K439" s="52" t="s">
        <v>34</v>
      </c>
      <c r="L439" s="49">
        <v>48</v>
      </c>
      <c r="M439" s="49">
        <v>4</v>
      </c>
      <c r="N439" s="49">
        <v>0</v>
      </c>
      <c r="O439" s="53">
        <v>1.49</v>
      </c>
      <c r="P439" s="53">
        <v>0</v>
      </c>
      <c r="Q439" s="53">
        <v>117</v>
      </c>
      <c r="R439" s="54">
        <f t="shared" si="43"/>
        <v>0</v>
      </c>
      <c r="S439" s="55">
        <f t="shared" si="44"/>
        <v>0</v>
      </c>
      <c r="T439" s="55">
        <f t="shared" si="45"/>
        <v>0.0833333333333333</v>
      </c>
      <c r="U439" s="54">
        <f t="shared" si="46"/>
        <v>0.3725</v>
      </c>
      <c r="V439" s="54" t="e">
        <f t="shared" si="47"/>
        <v>#DIV/0!</v>
      </c>
      <c r="W439" s="55" t="e">
        <f t="shared" si="48"/>
        <v>#DIV/0!</v>
      </c>
      <c r="X439" s="55">
        <f t="shared" si="42"/>
        <v>0.0127350427350427</v>
      </c>
      <c r="Y439" s="49" t="s">
        <v>62</v>
      </c>
    </row>
    <row r="440" customFormat="1" ht="22.5" customHeight="1" spans="1:25">
      <c r="A440" s="49" t="s">
        <v>71</v>
      </c>
      <c r="B440" s="49" t="s">
        <v>562</v>
      </c>
      <c r="C440" s="49" t="s">
        <v>393</v>
      </c>
      <c r="D440" s="64">
        <v>188307744865</v>
      </c>
      <c r="E440" s="49" t="s">
        <v>483</v>
      </c>
      <c r="F440" s="51">
        <v>46137</v>
      </c>
      <c r="G440" s="52">
        <v>46135</v>
      </c>
      <c r="H440" s="52" t="s">
        <v>149</v>
      </c>
      <c r="I440" s="52" t="s">
        <v>496</v>
      </c>
      <c r="J440" s="52" t="s">
        <v>497</v>
      </c>
      <c r="K440" s="52" t="s">
        <v>34</v>
      </c>
      <c r="L440" s="49">
        <v>43</v>
      </c>
      <c r="M440" s="49">
        <v>4</v>
      </c>
      <c r="N440" s="49">
        <v>0</v>
      </c>
      <c r="O440" s="53">
        <v>2.7</v>
      </c>
      <c r="P440" s="53">
        <v>0</v>
      </c>
      <c r="Q440" s="53">
        <v>0</v>
      </c>
      <c r="R440" s="54">
        <f t="shared" si="43"/>
        <v>0</v>
      </c>
      <c r="S440" s="55">
        <f t="shared" si="44"/>
        <v>0</v>
      </c>
      <c r="T440" s="55">
        <f t="shared" si="45"/>
        <v>0.0930232558139535</v>
      </c>
      <c r="U440" s="54">
        <f t="shared" si="46"/>
        <v>0.675</v>
      </c>
      <c r="V440" s="54" t="e">
        <f t="shared" si="47"/>
        <v>#DIV/0!</v>
      </c>
      <c r="W440" s="55" t="e">
        <f t="shared" si="48"/>
        <v>#DIV/0!</v>
      </c>
      <c r="X440" s="55" t="e">
        <f t="shared" ref="X440:X486" si="50">O440/Q440</f>
        <v>#DIV/0!</v>
      </c>
      <c r="Y440" s="49" t="s">
        <v>62</v>
      </c>
    </row>
    <row r="441" customFormat="1" ht="22.5" customHeight="1" spans="1:25">
      <c r="A441" s="49" t="s">
        <v>71</v>
      </c>
      <c r="B441" s="49" t="s">
        <v>541</v>
      </c>
      <c r="C441" s="49" t="s">
        <v>351</v>
      </c>
      <c r="D441" s="64">
        <v>188167162085</v>
      </c>
      <c r="E441" s="49" t="s">
        <v>483</v>
      </c>
      <c r="F441" s="51">
        <v>46098</v>
      </c>
      <c r="G441" s="52">
        <v>46097</v>
      </c>
      <c r="H441" s="52">
        <v>46103</v>
      </c>
      <c r="I441" s="52" t="s">
        <v>496</v>
      </c>
      <c r="J441" s="52" t="s">
        <v>30</v>
      </c>
      <c r="K441" s="52" t="s">
        <v>34</v>
      </c>
      <c r="L441" s="49">
        <v>38</v>
      </c>
      <c r="M441" s="49">
        <v>4</v>
      </c>
      <c r="N441" s="49">
        <v>0</v>
      </c>
      <c r="O441" s="53">
        <v>2.82</v>
      </c>
      <c r="P441" s="53">
        <v>0</v>
      </c>
      <c r="Q441" s="53">
        <v>0</v>
      </c>
      <c r="R441" s="54">
        <f t="shared" si="43"/>
        <v>0</v>
      </c>
      <c r="S441" s="55">
        <f t="shared" si="44"/>
        <v>0</v>
      </c>
      <c r="T441" s="55">
        <f t="shared" si="45"/>
        <v>0.105263157894737</v>
      </c>
      <c r="U441" s="54">
        <f t="shared" si="46"/>
        <v>0.705</v>
      </c>
      <c r="V441" s="54" t="e">
        <f t="shared" si="47"/>
        <v>#DIV/0!</v>
      </c>
      <c r="W441" s="55" t="e">
        <f t="shared" si="48"/>
        <v>#DIV/0!</v>
      </c>
      <c r="X441" s="55" t="e">
        <f t="shared" si="50"/>
        <v>#DIV/0!</v>
      </c>
      <c r="Y441" s="49" t="s">
        <v>62</v>
      </c>
    </row>
    <row r="442" customFormat="1" ht="22.5" customHeight="1" spans="1:25">
      <c r="A442" s="49" t="s">
        <v>71</v>
      </c>
      <c r="B442" s="49" t="s">
        <v>549</v>
      </c>
      <c r="C442" s="49" t="s">
        <v>319</v>
      </c>
      <c r="D442" s="64">
        <v>227241168840</v>
      </c>
      <c r="E442" s="49" t="s">
        <v>488</v>
      </c>
      <c r="F442" s="51">
        <v>46097</v>
      </c>
      <c r="G442" s="52">
        <v>46085</v>
      </c>
      <c r="H442" s="52">
        <v>46100</v>
      </c>
      <c r="I442" s="52" t="s">
        <v>484</v>
      </c>
      <c r="J442" s="52" t="s">
        <v>30</v>
      </c>
      <c r="K442" s="52" t="s">
        <v>34</v>
      </c>
      <c r="L442" s="49">
        <v>329</v>
      </c>
      <c r="M442" s="49">
        <v>3</v>
      </c>
      <c r="N442" s="49">
        <v>0</v>
      </c>
      <c r="O442" s="53">
        <v>1.45</v>
      </c>
      <c r="P442" s="53">
        <v>0</v>
      </c>
      <c r="Q442" s="53">
        <v>84.57</v>
      </c>
      <c r="R442" s="54">
        <f t="shared" si="43"/>
        <v>0</v>
      </c>
      <c r="S442" s="55">
        <f t="shared" si="44"/>
        <v>0</v>
      </c>
      <c r="T442" s="55">
        <f t="shared" si="45"/>
        <v>0.00911854103343465</v>
      </c>
      <c r="U442" s="54">
        <f t="shared" si="46"/>
        <v>0.483333333333333</v>
      </c>
      <c r="V442" s="54" t="e">
        <f t="shared" si="47"/>
        <v>#DIV/0!</v>
      </c>
      <c r="W442" s="55" t="e">
        <f t="shared" si="48"/>
        <v>#DIV/0!</v>
      </c>
      <c r="X442" s="55">
        <f t="shared" si="50"/>
        <v>0.0171455598912144</v>
      </c>
      <c r="Y442" s="49" t="s">
        <v>62</v>
      </c>
    </row>
    <row r="443" customFormat="1" ht="22.5" customHeight="1" spans="1:25">
      <c r="A443" s="49" t="s">
        <v>71</v>
      </c>
      <c r="B443" s="49" t="s">
        <v>577</v>
      </c>
      <c r="C443" s="49" t="s">
        <v>398</v>
      </c>
      <c r="D443" s="64">
        <v>188328077040</v>
      </c>
      <c r="E443" s="49" t="s">
        <v>483</v>
      </c>
      <c r="F443" s="51">
        <v>46143</v>
      </c>
      <c r="G443" s="52">
        <v>46141</v>
      </c>
      <c r="H443" s="52">
        <v>46152</v>
      </c>
      <c r="I443" s="52" t="s">
        <v>505</v>
      </c>
      <c r="J443" s="52" t="s">
        <v>518</v>
      </c>
      <c r="K443" s="52" t="s">
        <v>34</v>
      </c>
      <c r="L443" s="49">
        <v>118</v>
      </c>
      <c r="M443" s="49">
        <v>3</v>
      </c>
      <c r="N443" s="49">
        <v>0</v>
      </c>
      <c r="O443" s="53">
        <v>1.15</v>
      </c>
      <c r="P443" s="53">
        <v>0</v>
      </c>
      <c r="Q443" s="53">
        <v>0</v>
      </c>
      <c r="R443" s="54">
        <f t="shared" si="43"/>
        <v>0</v>
      </c>
      <c r="S443" s="55">
        <f t="shared" si="44"/>
        <v>0</v>
      </c>
      <c r="T443" s="55">
        <f t="shared" si="45"/>
        <v>0.0254237288135593</v>
      </c>
      <c r="U443" s="54">
        <f t="shared" si="46"/>
        <v>0.383333333333333</v>
      </c>
      <c r="V443" s="54" t="e">
        <f t="shared" si="47"/>
        <v>#DIV/0!</v>
      </c>
      <c r="W443" s="55" t="e">
        <f t="shared" si="48"/>
        <v>#DIV/0!</v>
      </c>
      <c r="X443" s="55" t="e">
        <f t="shared" si="50"/>
        <v>#DIV/0!</v>
      </c>
      <c r="Y443" s="49" t="s">
        <v>62</v>
      </c>
    </row>
    <row r="444" customFormat="1" ht="22.5" customHeight="1" spans="1:25">
      <c r="A444" s="49" t="s">
        <v>71</v>
      </c>
      <c r="B444" s="49" t="s">
        <v>560</v>
      </c>
      <c r="C444" s="49" t="s">
        <v>391</v>
      </c>
      <c r="D444" s="64">
        <v>178072239367</v>
      </c>
      <c r="E444" s="49" t="s">
        <v>483</v>
      </c>
      <c r="F444" s="51">
        <v>46137</v>
      </c>
      <c r="G444" s="52">
        <v>46135</v>
      </c>
      <c r="H444" s="52">
        <v>46157</v>
      </c>
      <c r="I444" s="52" t="s">
        <v>496</v>
      </c>
      <c r="J444" s="52" t="s">
        <v>497</v>
      </c>
      <c r="K444" s="52" t="s">
        <v>34</v>
      </c>
      <c r="L444" s="49">
        <v>94</v>
      </c>
      <c r="M444" s="49">
        <v>3</v>
      </c>
      <c r="N444" s="49">
        <v>0</v>
      </c>
      <c r="O444" s="53">
        <v>1.42</v>
      </c>
      <c r="P444" s="53">
        <v>0</v>
      </c>
      <c r="Q444" s="53">
        <v>0</v>
      </c>
      <c r="R444" s="54">
        <f t="shared" si="43"/>
        <v>0</v>
      </c>
      <c r="S444" s="55">
        <f t="shared" si="44"/>
        <v>0</v>
      </c>
      <c r="T444" s="55">
        <f t="shared" si="45"/>
        <v>0.0319148936170213</v>
      </c>
      <c r="U444" s="54">
        <f t="shared" si="46"/>
        <v>0.473333333333333</v>
      </c>
      <c r="V444" s="54" t="e">
        <f t="shared" si="47"/>
        <v>#DIV/0!</v>
      </c>
      <c r="W444" s="55" t="e">
        <f t="shared" si="48"/>
        <v>#DIV/0!</v>
      </c>
      <c r="X444" s="55" t="e">
        <f t="shared" si="50"/>
        <v>#DIV/0!</v>
      </c>
      <c r="Y444" s="49" t="s">
        <v>62</v>
      </c>
    </row>
    <row r="445" customFormat="1" ht="22.5" customHeight="1" spans="1:25">
      <c r="A445" s="49" t="s">
        <v>71</v>
      </c>
      <c r="B445" s="49" t="s">
        <v>534</v>
      </c>
      <c r="C445" s="49" t="s">
        <v>368</v>
      </c>
      <c r="D445" s="64">
        <v>188197007336</v>
      </c>
      <c r="E445" s="49" t="s">
        <v>483</v>
      </c>
      <c r="F445" s="51">
        <v>46104</v>
      </c>
      <c r="G445" s="52">
        <v>46104</v>
      </c>
      <c r="H445" s="52">
        <v>46134</v>
      </c>
      <c r="I445" s="52" t="s">
        <v>484</v>
      </c>
      <c r="J445" s="52" t="s">
        <v>521</v>
      </c>
      <c r="K445" s="52" t="s">
        <v>34</v>
      </c>
      <c r="L445" s="49">
        <v>85</v>
      </c>
      <c r="M445" s="49">
        <v>3</v>
      </c>
      <c r="N445" s="49">
        <v>0</v>
      </c>
      <c r="O445" s="53">
        <v>0.84</v>
      </c>
      <c r="P445" s="53">
        <v>0</v>
      </c>
      <c r="Q445" s="53">
        <v>129</v>
      </c>
      <c r="R445" s="54">
        <f t="shared" si="43"/>
        <v>0</v>
      </c>
      <c r="S445" s="55">
        <f t="shared" si="44"/>
        <v>0</v>
      </c>
      <c r="T445" s="55">
        <f t="shared" si="45"/>
        <v>0.0352941176470588</v>
      </c>
      <c r="U445" s="54">
        <f t="shared" si="46"/>
        <v>0.28</v>
      </c>
      <c r="V445" s="54" t="e">
        <f t="shared" si="47"/>
        <v>#DIV/0!</v>
      </c>
      <c r="W445" s="55" t="e">
        <f t="shared" si="48"/>
        <v>#DIV/0!</v>
      </c>
      <c r="X445" s="55">
        <f t="shared" si="50"/>
        <v>0.00651162790697674</v>
      </c>
      <c r="Y445" s="49" t="s">
        <v>62</v>
      </c>
    </row>
    <row r="446" customFormat="1" ht="22.5" customHeight="1" spans="1:25">
      <c r="A446" s="49" t="s">
        <v>71</v>
      </c>
      <c r="B446" s="49" t="s">
        <v>586</v>
      </c>
      <c r="C446" s="49" t="s">
        <v>422</v>
      </c>
      <c r="D446" s="64">
        <v>188364385175</v>
      </c>
      <c r="E446" s="49" t="s">
        <v>483</v>
      </c>
      <c r="F446" s="51">
        <v>46141</v>
      </c>
      <c r="G446" s="52">
        <v>46151</v>
      </c>
      <c r="H446" s="52">
        <v>46153</v>
      </c>
      <c r="I446" s="52" t="s">
        <v>484</v>
      </c>
      <c r="J446" s="52" t="s">
        <v>485</v>
      </c>
      <c r="K446" s="52" t="s">
        <v>493</v>
      </c>
      <c r="L446" s="49">
        <v>56</v>
      </c>
      <c r="M446" s="49">
        <v>3</v>
      </c>
      <c r="N446" s="49">
        <v>0</v>
      </c>
      <c r="O446" s="53">
        <v>1.42</v>
      </c>
      <c r="P446" s="53">
        <v>0</v>
      </c>
      <c r="Q446" s="53">
        <v>255</v>
      </c>
      <c r="R446" s="54">
        <f t="shared" si="43"/>
        <v>0</v>
      </c>
      <c r="S446" s="55">
        <f t="shared" si="44"/>
        <v>0</v>
      </c>
      <c r="T446" s="55">
        <f t="shared" si="45"/>
        <v>0.0535714285714286</v>
      </c>
      <c r="U446" s="54">
        <f t="shared" si="46"/>
        <v>0.473333333333333</v>
      </c>
      <c r="V446" s="54" t="e">
        <f t="shared" si="47"/>
        <v>#DIV/0!</v>
      </c>
      <c r="W446" s="55" t="e">
        <f t="shared" si="48"/>
        <v>#DIV/0!</v>
      </c>
      <c r="X446" s="55">
        <f t="shared" si="50"/>
        <v>0.00556862745098039</v>
      </c>
      <c r="Y446" s="49" t="s">
        <v>62</v>
      </c>
    </row>
    <row r="447" customFormat="1" ht="22.5" customHeight="1" spans="1:25">
      <c r="A447" s="49" t="s">
        <v>71</v>
      </c>
      <c r="B447" s="49" t="s">
        <v>576</v>
      </c>
      <c r="C447" s="49" t="s">
        <v>414</v>
      </c>
      <c r="D447" s="64">
        <v>188330766999</v>
      </c>
      <c r="E447" s="49" t="s">
        <v>483</v>
      </c>
      <c r="F447" s="51">
        <v>46142</v>
      </c>
      <c r="G447" s="52">
        <v>46142</v>
      </c>
      <c r="H447" s="52">
        <v>46157</v>
      </c>
      <c r="I447" s="52" t="s">
        <v>496</v>
      </c>
      <c r="J447" s="52" t="s">
        <v>497</v>
      </c>
      <c r="K447" s="52" t="s">
        <v>493</v>
      </c>
      <c r="L447" s="49">
        <v>49</v>
      </c>
      <c r="M447" s="49">
        <v>3</v>
      </c>
      <c r="N447" s="49">
        <v>0</v>
      </c>
      <c r="O447" s="53">
        <v>1.19</v>
      </c>
      <c r="P447" s="53">
        <v>0</v>
      </c>
      <c r="Q447" s="53">
        <v>65</v>
      </c>
      <c r="R447" s="54">
        <f t="shared" si="43"/>
        <v>0</v>
      </c>
      <c r="S447" s="55">
        <f t="shared" si="44"/>
        <v>0</v>
      </c>
      <c r="T447" s="55">
        <f t="shared" si="45"/>
        <v>0.0612244897959184</v>
      </c>
      <c r="U447" s="54">
        <f t="shared" si="46"/>
        <v>0.396666666666667</v>
      </c>
      <c r="V447" s="54" t="e">
        <f t="shared" si="47"/>
        <v>#DIV/0!</v>
      </c>
      <c r="W447" s="55" t="e">
        <f t="shared" si="48"/>
        <v>#DIV/0!</v>
      </c>
      <c r="X447" s="55">
        <f t="shared" si="50"/>
        <v>0.0183076923076923</v>
      </c>
      <c r="Y447" s="49" t="s">
        <v>62</v>
      </c>
    </row>
    <row r="448" customFormat="1" ht="22.5" customHeight="1" spans="1:25">
      <c r="A448" s="49" t="s">
        <v>71</v>
      </c>
      <c r="B448" s="49" t="s">
        <v>596</v>
      </c>
      <c r="C448" s="49" t="s">
        <v>421</v>
      </c>
      <c r="D448" s="64">
        <v>178118526210</v>
      </c>
      <c r="E448" s="49" t="s">
        <v>483</v>
      </c>
      <c r="F448" s="51">
        <v>46151</v>
      </c>
      <c r="G448" s="52">
        <v>46151</v>
      </c>
      <c r="H448" s="52">
        <v>46160</v>
      </c>
      <c r="I448" s="52" t="s">
        <v>503</v>
      </c>
      <c r="J448" s="52" t="s">
        <v>497</v>
      </c>
      <c r="K448" s="52" t="s">
        <v>34</v>
      </c>
      <c r="L448" s="49">
        <v>26</v>
      </c>
      <c r="M448" s="49">
        <v>3</v>
      </c>
      <c r="N448" s="49">
        <v>0</v>
      </c>
      <c r="O448" s="53">
        <v>1.39</v>
      </c>
      <c r="P448" s="53">
        <v>0</v>
      </c>
      <c r="Q448" s="53">
        <v>109</v>
      </c>
      <c r="R448" s="54">
        <f t="shared" si="43"/>
        <v>0</v>
      </c>
      <c r="S448" s="55">
        <f t="shared" si="44"/>
        <v>0</v>
      </c>
      <c r="T448" s="55">
        <f t="shared" si="45"/>
        <v>0.115384615384615</v>
      </c>
      <c r="U448" s="54">
        <f t="shared" si="46"/>
        <v>0.463333333333333</v>
      </c>
      <c r="V448" s="54" t="e">
        <f t="shared" si="47"/>
        <v>#DIV/0!</v>
      </c>
      <c r="W448" s="55" t="e">
        <f t="shared" si="48"/>
        <v>#DIV/0!</v>
      </c>
      <c r="X448" s="55">
        <f t="shared" si="50"/>
        <v>0.0127522935779816</v>
      </c>
      <c r="Y448" s="49" t="s">
        <v>62</v>
      </c>
    </row>
    <row r="449" customFormat="1" ht="22.5" customHeight="1" spans="1:25">
      <c r="A449" s="49" t="s">
        <v>71</v>
      </c>
      <c r="B449" s="49" t="s">
        <v>611</v>
      </c>
      <c r="C449" s="49" t="s">
        <v>439</v>
      </c>
      <c r="D449" s="64">
        <v>188395435756</v>
      </c>
      <c r="E449" s="49" t="s">
        <v>483</v>
      </c>
      <c r="F449" s="51">
        <v>46161</v>
      </c>
      <c r="G449" s="52">
        <v>46160</v>
      </c>
      <c r="H449" s="52">
        <v>46161</v>
      </c>
      <c r="I449" s="52" t="s">
        <v>503</v>
      </c>
      <c r="J449" s="52" t="s">
        <v>489</v>
      </c>
      <c r="K449" s="52" t="s">
        <v>34</v>
      </c>
      <c r="L449" s="49">
        <v>12</v>
      </c>
      <c r="M449" s="49">
        <v>3</v>
      </c>
      <c r="N449" s="49">
        <v>0</v>
      </c>
      <c r="O449" s="53">
        <v>0.98</v>
      </c>
      <c r="P449" s="53">
        <v>0</v>
      </c>
      <c r="Q449" s="53">
        <v>190</v>
      </c>
      <c r="R449" s="54">
        <f t="shared" si="43"/>
        <v>0</v>
      </c>
      <c r="S449" s="55">
        <f t="shared" si="44"/>
        <v>0</v>
      </c>
      <c r="T449" s="55">
        <f t="shared" si="45"/>
        <v>0.25</v>
      </c>
      <c r="U449" s="54">
        <f t="shared" si="46"/>
        <v>0.326666666666667</v>
      </c>
      <c r="V449" s="54" t="e">
        <f t="shared" si="47"/>
        <v>#DIV/0!</v>
      </c>
      <c r="W449" s="55" t="e">
        <f t="shared" si="48"/>
        <v>#DIV/0!</v>
      </c>
      <c r="X449" s="55">
        <f t="shared" si="50"/>
        <v>0.00515789473684211</v>
      </c>
      <c r="Y449" s="49" t="s">
        <v>62</v>
      </c>
    </row>
    <row r="450" customFormat="1" ht="22.5" customHeight="1" spans="1:25">
      <c r="A450" s="49" t="s">
        <v>71</v>
      </c>
      <c r="B450" s="49" t="s">
        <v>598</v>
      </c>
      <c r="C450" s="49" t="s">
        <v>341</v>
      </c>
      <c r="D450" s="64">
        <v>117083115196</v>
      </c>
      <c r="E450" s="49" t="s">
        <v>502</v>
      </c>
      <c r="F450" s="51">
        <v>46159</v>
      </c>
      <c r="G450" s="52">
        <v>46092</v>
      </c>
      <c r="H450" s="52">
        <v>46112</v>
      </c>
      <c r="I450" s="52" t="s">
        <v>505</v>
      </c>
      <c r="J450" s="52" t="s">
        <v>489</v>
      </c>
      <c r="K450" s="52" t="s">
        <v>493</v>
      </c>
      <c r="L450" s="49">
        <v>1314</v>
      </c>
      <c r="M450" s="49">
        <v>2</v>
      </c>
      <c r="N450" s="49">
        <v>0</v>
      </c>
      <c r="O450" s="53">
        <v>1.3</v>
      </c>
      <c r="P450" s="53">
        <v>0</v>
      </c>
      <c r="Q450" s="53">
        <v>34</v>
      </c>
      <c r="R450" s="54">
        <f t="shared" ref="R450:R486" si="51">P450/O450</f>
        <v>0</v>
      </c>
      <c r="S450" s="55">
        <f t="shared" ref="S450:S486" si="52">N450/M450</f>
        <v>0</v>
      </c>
      <c r="T450" s="55">
        <f t="shared" ref="T450:T486" si="53">M450/L450</f>
        <v>0.0015220700152207</v>
      </c>
      <c r="U450" s="54">
        <f t="shared" ref="U450:U486" si="54">O450/M450</f>
        <v>0.65</v>
      </c>
      <c r="V450" s="54" t="e">
        <f t="shared" ref="V450:V486" si="55">O450/N450</f>
        <v>#DIV/0!</v>
      </c>
      <c r="W450" s="55" t="e">
        <f t="shared" ref="W450:W486" si="56">O450/P450</f>
        <v>#DIV/0!</v>
      </c>
      <c r="X450" s="55">
        <f t="shared" si="50"/>
        <v>0.0382352941176471</v>
      </c>
      <c r="Y450" s="49" t="s">
        <v>49</v>
      </c>
    </row>
    <row r="451" customFormat="1" ht="22.5" customHeight="1" spans="1:25">
      <c r="A451" s="49" t="s">
        <v>71</v>
      </c>
      <c r="B451" s="49" t="s">
        <v>597</v>
      </c>
      <c r="C451" s="49" t="s">
        <v>411</v>
      </c>
      <c r="D451" s="64">
        <v>117178501579</v>
      </c>
      <c r="E451" s="49" t="s">
        <v>502</v>
      </c>
      <c r="F451" s="51">
        <v>46153</v>
      </c>
      <c r="G451" s="52">
        <v>46142</v>
      </c>
      <c r="H451" s="52">
        <v>46144</v>
      </c>
      <c r="I451" s="52" t="s">
        <v>503</v>
      </c>
      <c r="J451" s="52" t="s">
        <v>489</v>
      </c>
      <c r="K451" s="52" t="s">
        <v>493</v>
      </c>
      <c r="L451" s="49">
        <v>940</v>
      </c>
      <c r="M451" s="49">
        <v>2</v>
      </c>
      <c r="N451" s="49">
        <v>0</v>
      </c>
      <c r="O451" s="53">
        <v>0.44</v>
      </c>
      <c r="P451" s="53">
        <v>0</v>
      </c>
      <c r="Q451" s="53">
        <v>90</v>
      </c>
      <c r="R451" s="54">
        <f t="shared" si="51"/>
        <v>0</v>
      </c>
      <c r="S451" s="55">
        <f t="shared" si="52"/>
        <v>0</v>
      </c>
      <c r="T451" s="55">
        <f t="shared" si="53"/>
        <v>0.00212765957446809</v>
      </c>
      <c r="U451" s="54">
        <f t="shared" si="54"/>
        <v>0.22</v>
      </c>
      <c r="V451" s="54" t="e">
        <f t="shared" si="55"/>
        <v>#DIV/0!</v>
      </c>
      <c r="W451" s="55" t="e">
        <f t="shared" si="56"/>
        <v>#DIV/0!</v>
      </c>
      <c r="X451" s="55">
        <f t="shared" si="50"/>
        <v>0.00488888888888889</v>
      </c>
      <c r="Y451" s="49" t="s">
        <v>62</v>
      </c>
    </row>
    <row r="452" customFormat="1" ht="22.5" customHeight="1" spans="1:25">
      <c r="A452" s="49" t="s">
        <v>71</v>
      </c>
      <c r="B452" s="49" t="s">
        <v>599</v>
      </c>
      <c r="C452" s="49" t="s">
        <v>339</v>
      </c>
      <c r="D452" s="64">
        <v>188144177490</v>
      </c>
      <c r="E452" s="49" t="s">
        <v>483</v>
      </c>
      <c r="F452" s="51">
        <v>46104</v>
      </c>
      <c r="G452" s="52">
        <v>46092</v>
      </c>
      <c r="H452" s="52">
        <v>46104</v>
      </c>
      <c r="I452" s="52" t="s">
        <v>484</v>
      </c>
      <c r="J452" s="52" t="s">
        <v>489</v>
      </c>
      <c r="K452" s="52" t="s">
        <v>34</v>
      </c>
      <c r="L452" s="49">
        <v>588</v>
      </c>
      <c r="M452" s="49">
        <v>2</v>
      </c>
      <c r="N452" s="49">
        <v>0</v>
      </c>
      <c r="O452" s="53">
        <v>0.7</v>
      </c>
      <c r="P452" s="53">
        <v>0</v>
      </c>
      <c r="Q452" s="53">
        <v>34.67</v>
      </c>
      <c r="R452" s="54">
        <f t="shared" si="51"/>
        <v>0</v>
      </c>
      <c r="S452" s="55">
        <f t="shared" si="52"/>
        <v>0</v>
      </c>
      <c r="T452" s="55">
        <f t="shared" si="53"/>
        <v>0.00340136054421769</v>
      </c>
      <c r="U452" s="54">
        <f t="shared" si="54"/>
        <v>0.35</v>
      </c>
      <c r="V452" s="54" t="e">
        <f t="shared" si="55"/>
        <v>#DIV/0!</v>
      </c>
      <c r="W452" s="55" t="e">
        <f t="shared" si="56"/>
        <v>#DIV/0!</v>
      </c>
      <c r="X452" s="55">
        <f t="shared" si="50"/>
        <v>0.0201903663109316</v>
      </c>
      <c r="Y452" s="49" t="s">
        <v>62</v>
      </c>
    </row>
    <row r="453" customFormat="1" ht="22.5" customHeight="1" spans="1:25">
      <c r="A453" s="49" t="s">
        <v>71</v>
      </c>
      <c r="B453" s="49" t="s">
        <v>622</v>
      </c>
      <c r="C453" s="49" t="s">
        <v>455</v>
      </c>
      <c r="D453" s="64">
        <v>178152604132</v>
      </c>
      <c r="E453" s="49" t="s">
        <v>483</v>
      </c>
      <c r="F453" s="51">
        <v>46164</v>
      </c>
      <c r="G453" s="52">
        <v>46163</v>
      </c>
      <c r="H453" s="52" t="s">
        <v>149</v>
      </c>
      <c r="I453" s="52" t="s">
        <v>503</v>
      </c>
      <c r="J453" s="52" t="s">
        <v>518</v>
      </c>
      <c r="K453" s="52" t="s">
        <v>34</v>
      </c>
      <c r="L453" s="49">
        <v>450</v>
      </c>
      <c r="M453" s="49">
        <v>2</v>
      </c>
      <c r="N453" s="49">
        <v>0</v>
      </c>
      <c r="O453" s="53">
        <v>2.4</v>
      </c>
      <c r="P453" s="53">
        <v>0</v>
      </c>
      <c r="Q453" s="53">
        <v>0</v>
      </c>
      <c r="R453" s="54">
        <f t="shared" si="51"/>
        <v>0</v>
      </c>
      <c r="S453" s="55">
        <f t="shared" si="52"/>
        <v>0</v>
      </c>
      <c r="T453" s="55">
        <f t="shared" si="53"/>
        <v>0.00444444444444444</v>
      </c>
      <c r="U453" s="54">
        <f t="shared" si="54"/>
        <v>1.2</v>
      </c>
      <c r="V453" s="54" t="e">
        <f t="shared" si="55"/>
        <v>#DIV/0!</v>
      </c>
      <c r="W453" s="55" t="e">
        <f t="shared" si="56"/>
        <v>#DIV/0!</v>
      </c>
      <c r="X453" s="55" t="e">
        <f t="shared" si="50"/>
        <v>#DIV/0!</v>
      </c>
      <c r="Y453" s="49" t="s">
        <v>62</v>
      </c>
    </row>
    <row r="454" customFormat="1" ht="22.5" customHeight="1" spans="1:25">
      <c r="A454" s="49" t="s">
        <v>71</v>
      </c>
      <c r="B454" s="49" t="s">
        <v>603</v>
      </c>
      <c r="C454" s="49" t="s">
        <v>432</v>
      </c>
      <c r="D454" s="64">
        <v>188370869619</v>
      </c>
      <c r="E454" s="49" t="s">
        <v>483</v>
      </c>
      <c r="F454" s="51">
        <v>46154</v>
      </c>
      <c r="G454" s="52">
        <v>46153</v>
      </c>
      <c r="H454" s="52">
        <v>46168</v>
      </c>
      <c r="I454" s="52" t="s">
        <v>505</v>
      </c>
      <c r="J454" s="52" t="s">
        <v>518</v>
      </c>
      <c r="K454" s="52" t="s">
        <v>493</v>
      </c>
      <c r="L454" s="49">
        <v>269</v>
      </c>
      <c r="M454" s="49">
        <v>2</v>
      </c>
      <c r="N454" s="49">
        <v>0</v>
      </c>
      <c r="O454" s="53">
        <v>0.82</v>
      </c>
      <c r="P454" s="53">
        <v>0</v>
      </c>
      <c r="Q454" s="53">
        <v>0</v>
      </c>
      <c r="R454" s="54">
        <f t="shared" si="51"/>
        <v>0</v>
      </c>
      <c r="S454" s="55">
        <f t="shared" si="52"/>
        <v>0</v>
      </c>
      <c r="T454" s="55">
        <f t="shared" si="53"/>
        <v>0.00743494423791822</v>
      </c>
      <c r="U454" s="54">
        <f t="shared" si="54"/>
        <v>0.41</v>
      </c>
      <c r="V454" s="54" t="e">
        <f t="shared" si="55"/>
        <v>#DIV/0!</v>
      </c>
      <c r="W454" s="55" t="e">
        <f t="shared" si="56"/>
        <v>#DIV/0!</v>
      </c>
      <c r="X454" s="55" t="e">
        <f t="shared" si="50"/>
        <v>#DIV/0!</v>
      </c>
      <c r="Y454" s="49" t="s">
        <v>62</v>
      </c>
    </row>
    <row r="455" customFormat="1" ht="22.5" customHeight="1" spans="1:25">
      <c r="A455" s="49" t="s">
        <v>71</v>
      </c>
      <c r="B455" s="49" t="s">
        <v>612</v>
      </c>
      <c r="C455" s="49" t="s">
        <v>440</v>
      </c>
      <c r="D455" s="64">
        <v>188397858058</v>
      </c>
      <c r="E455" s="49" t="s">
        <v>483</v>
      </c>
      <c r="F455" s="51">
        <v>46161</v>
      </c>
      <c r="G455" s="52">
        <v>46160</v>
      </c>
      <c r="H455" s="52" t="s">
        <v>149</v>
      </c>
      <c r="I455" s="52" t="s">
        <v>520</v>
      </c>
      <c r="J455" s="52" t="s">
        <v>521</v>
      </c>
      <c r="K455" s="52" t="s">
        <v>34</v>
      </c>
      <c r="L455" s="49">
        <v>126</v>
      </c>
      <c r="M455" s="49">
        <v>2</v>
      </c>
      <c r="N455" s="49">
        <v>0</v>
      </c>
      <c r="O455" s="53">
        <v>1.07</v>
      </c>
      <c r="P455" s="53">
        <v>0</v>
      </c>
      <c r="Q455" s="53">
        <v>0</v>
      </c>
      <c r="R455" s="54">
        <f t="shared" si="51"/>
        <v>0</v>
      </c>
      <c r="S455" s="55">
        <f t="shared" si="52"/>
        <v>0</v>
      </c>
      <c r="T455" s="55">
        <f t="shared" si="53"/>
        <v>0.0158730158730159</v>
      </c>
      <c r="U455" s="54">
        <f t="shared" si="54"/>
        <v>0.535</v>
      </c>
      <c r="V455" s="54" t="e">
        <f t="shared" si="55"/>
        <v>#DIV/0!</v>
      </c>
      <c r="W455" s="55" t="e">
        <f t="shared" si="56"/>
        <v>#DIV/0!</v>
      </c>
      <c r="X455" s="55" t="e">
        <f t="shared" si="50"/>
        <v>#DIV/0!</v>
      </c>
      <c r="Y455" s="49" t="s">
        <v>62</v>
      </c>
    </row>
    <row r="456" customFormat="1" ht="22.5" customHeight="1" spans="1:25">
      <c r="A456" s="49" t="s">
        <v>71</v>
      </c>
      <c r="B456" s="49" t="s">
        <v>573</v>
      </c>
      <c r="C456" s="49" t="s">
        <v>404</v>
      </c>
      <c r="D456" s="64">
        <v>188328121506</v>
      </c>
      <c r="E456" s="49" t="s">
        <v>483</v>
      </c>
      <c r="F456" s="51">
        <v>46142</v>
      </c>
      <c r="G456" s="52">
        <v>46141</v>
      </c>
      <c r="H456" s="52">
        <v>46147</v>
      </c>
      <c r="I456" s="52" t="s">
        <v>496</v>
      </c>
      <c r="J456" s="52" t="s">
        <v>497</v>
      </c>
      <c r="K456" s="52" t="s">
        <v>493</v>
      </c>
      <c r="L456" s="49">
        <v>111</v>
      </c>
      <c r="M456" s="49">
        <v>2</v>
      </c>
      <c r="N456" s="49">
        <v>0</v>
      </c>
      <c r="O456" s="53">
        <v>1.09</v>
      </c>
      <c r="P456" s="53">
        <v>0</v>
      </c>
      <c r="Q456" s="53">
        <v>60</v>
      </c>
      <c r="R456" s="54">
        <f t="shared" si="51"/>
        <v>0</v>
      </c>
      <c r="S456" s="55">
        <f t="shared" si="52"/>
        <v>0</v>
      </c>
      <c r="T456" s="55">
        <f t="shared" si="53"/>
        <v>0.018018018018018</v>
      </c>
      <c r="U456" s="54">
        <f t="shared" si="54"/>
        <v>0.545</v>
      </c>
      <c r="V456" s="54" t="e">
        <f t="shared" si="55"/>
        <v>#DIV/0!</v>
      </c>
      <c r="W456" s="55" t="e">
        <f t="shared" si="56"/>
        <v>#DIV/0!</v>
      </c>
      <c r="X456" s="55">
        <f t="shared" si="50"/>
        <v>0.0181666666666667</v>
      </c>
      <c r="Y456" s="49" t="s">
        <v>62</v>
      </c>
    </row>
    <row r="457" customFormat="1" ht="22.5" customHeight="1" spans="1:25">
      <c r="A457" s="49" t="s">
        <v>71</v>
      </c>
      <c r="B457" s="49" t="s">
        <v>576</v>
      </c>
      <c r="C457" s="49" t="s">
        <v>413</v>
      </c>
      <c r="D457" s="64">
        <v>178090483656</v>
      </c>
      <c r="E457" s="49" t="s">
        <v>483</v>
      </c>
      <c r="F457" s="51">
        <v>46142</v>
      </c>
      <c r="G457" s="52">
        <v>46142</v>
      </c>
      <c r="H457" s="52">
        <v>46147</v>
      </c>
      <c r="I457" s="52" t="s">
        <v>496</v>
      </c>
      <c r="J457" s="52" t="s">
        <v>497</v>
      </c>
      <c r="K457" s="52" t="s">
        <v>493</v>
      </c>
      <c r="L457" s="49">
        <v>52</v>
      </c>
      <c r="M457" s="49">
        <v>2</v>
      </c>
      <c r="N457" s="49">
        <v>0</v>
      </c>
      <c r="O457" s="53">
        <v>0.84</v>
      </c>
      <c r="P457" s="53">
        <v>0</v>
      </c>
      <c r="Q457" s="53">
        <v>65</v>
      </c>
      <c r="R457" s="54">
        <f t="shared" si="51"/>
        <v>0</v>
      </c>
      <c r="S457" s="55">
        <f t="shared" si="52"/>
        <v>0</v>
      </c>
      <c r="T457" s="55">
        <f t="shared" si="53"/>
        <v>0.0384615384615385</v>
      </c>
      <c r="U457" s="54">
        <f t="shared" si="54"/>
        <v>0.42</v>
      </c>
      <c r="V457" s="54" t="e">
        <f t="shared" si="55"/>
        <v>#DIV/0!</v>
      </c>
      <c r="W457" s="55" t="e">
        <f t="shared" si="56"/>
        <v>#DIV/0!</v>
      </c>
      <c r="X457" s="55">
        <f t="shared" si="50"/>
        <v>0.0129230769230769</v>
      </c>
      <c r="Y457" s="49" t="s">
        <v>62</v>
      </c>
    </row>
    <row r="458" customFormat="1" ht="22.5" customHeight="1" spans="1:25">
      <c r="A458" s="49" t="s">
        <v>71</v>
      </c>
      <c r="B458" s="49" t="s">
        <v>575</v>
      </c>
      <c r="C458" s="49" t="s">
        <v>396</v>
      </c>
      <c r="D458" s="64">
        <v>178087821129</v>
      </c>
      <c r="E458" s="49" t="s">
        <v>483</v>
      </c>
      <c r="F458" s="51">
        <v>46142</v>
      </c>
      <c r="G458" s="52">
        <v>46140</v>
      </c>
      <c r="H458" s="52">
        <v>46160</v>
      </c>
      <c r="I458" s="52" t="s">
        <v>503</v>
      </c>
      <c r="J458" s="52" t="s">
        <v>497</v>
      </c>
      <c r="K458" s="52" t="s">
        <v>34</v>
      </c>
      <c r="L458" s="49">
        <v>49</v>
      </c>
      <c r="M458" s="49">
        <v>2</v>
      </c>
      <c r="N458" s="49">
        <v>0</v>
      </c>
      <c r="O458" s="53">
        <v>0.78</v>
      </c>
      <c r="P458" s="53">
        <v>0</v>
      </c>
      <c r="Q458" s="53">
        <v>330</v>
      </c>
      <c r="R458" s="54">
        <f t="shared" si="51"/>
        <v>0</v>
      </c>
      <c r="S458" s="55">
        <f t="shared" si="52"/>
        <v>0</v>
      </c>
      <c r="T458" s="55">
        <f t="shared" si="53"/>
        <v>0.0408163265306122</v>
      </c>
      <c r="U458" s="54">
        <f t="shared" si="54"/>
        <v>0.39</v>
      </c>
      <c r="V458" s="54" t="e">
        <f t="shared" si="55"/>
        <v>#DIV/0!</v>
      </c>
      <c r="W458" s="55" t="e">
        <f t="shared" si="56"/>
        <v>#DIV/0!</v>
      </c>
      <c r="X458" s="55">
        <f t="shared" si="50"/>
        <v>0.00236363636363636</v>
      </c>
      <c r="Y458" s="49" t="s">
        <v>62</v>
      </c>
    </row>
    <row r="459" customFormat="1" ht="22.5" customHeight="1" spans="1:25">
      <c r="A459" s="49" t="s">
        <v>71</v>
      </c>
      <c r="B459" s="49" t="s">
        <v>574</v>
      </c>
      <c r="C459" s="49" t="s">
        <v>407</v>
      </c>
      <c r="D459" s="64">
        <v>178088538756</v>
      </c>
      <c r="E459" s="49" t="s">
        <v>483</v>
      </c>
      <c r="F459" s="51">
        <v>46142</v>
      </c>
      <c r="G459" s="52">
        <v>46141</v>
      </c>
      <c r="H459" s="52">
        <v>46153</v>
      </c>
      <c r="I459" s="52" t="s">
        <v>484</v>
      </c>
      <c r="J459" s="52" t="s">
        <v>497</v>
      </c>
      <c r="K459" s="52" t="s">
        <v>34</v>
      </c>
      <c r="L459" s="49">
        <v>36</v>
      </c>
      <c r="M459" s="49">
        <v>2</v>
      </c>
      <c r="N459" s="49">
        <v>0</v>
      </c>
      <c r="O459" s="53">
        <v>1.37</v>
      </c>
      <c r="P459" s="53">
        <v>0</v>
      </c>
      <c r="Q459" s="53">
        <v>120</v>
      </c>
      <c r="R459" s="54">
        <f t="shared" si="51"/>
        <v>0</v>
      </c>
      <c r="S459" s="55">
        <f t="shared" si="52"/>
        <v>0</v>
      </c>
      <c r="T459" s="55">
        <f t="shared" si="53"/>
        <v>0.0555555555555556</v>
      </c>
      <c r="U459" s="54">
        <f t="shared" si="54"/>
        <v>0.685</v>
      </c>
      <c r="V459" s="54" t="e">
        <f t="shared" si="55"/>
        <v>#DIV/0!</v>
      </c>
      <c r="W459" s="55" t="e">
        <f t="shared" si="56"/>
        <v>#DIV/0!</v>
      </c>
      <c r="X459" s="55">
        <f t="shared" si="50"/>
        <v>0.0114166666666667</v>
      </c>
      <c r="Y459" s="49" t="s">
        <v>62</v>
      </c>
    </row>
    <row r="460" customFormat="1" ht="22.5" customHeight="1" spans="1:25">
      <c r="A460" s="49" t="s">
        <v>71</v>
      </c>
      <c r="B460" s="49" t="s">
        <v>574</v>
      </c>
      <c r="C460" s="49" t="s">
        <v>395</v>
      </c>
      <c r="D460" s="64">
        <v>188307751556</v>
      </c>
      <c r="E460" s="49" t="s">
        <v>483</v>
      </c>
      <c r="F460" s="51">
        <v>46142</v>
      </c>
      <c r="G460" s="52">
        <v>46135</v>
      </c>
      <c r="H460" s="52">
        <v>46142</v>
      </c>
      <c r="I460" s="52" t="s">
        <v>484</v>
      </c>
      <c r="J460" s="52" t="s">
        <v>497</v>
      </c>
      <c r="K460" s="52" t="s">
        <v>34</v>
      </c>
      <c r="L460" s="49">
        <v>27</v>
      </c>
      <c r="M460" s="49">
        <v>2</v>
      </c>
      <c r="N460" s="49">
        <v>0</v>
      </c>
      <c r="O460" s="53">
        <v>1.42</v>
      </c>
      <c r="P460" s="53">
        <v>0</v>
      </c>
      <c r="Q460" s="53">
        <v>150</v>
      </c>
      <c r="R460" s="54">
        <f t="shared" si="51"/>
        <v>0</v>
      </c>
      <c r="S460" s="55">
        <f t="shared" si="52"/>
        <v>0</v>
      </c>
      <c r="T460" s="55">
        <f t="shared" si="53"/>
        <v>0.0740740740740741</v>
      </c>
      <c r="U460" s="54">
        <f t="shared" si="54"/>
        <v>0.71</v>
      </c>
      <c r="V460" s="54" t="e">
        <f t="shared" si="55"/>
        <v>#DIV/0!</v>
      </c>
      <c r="W460" s="55" t="e">
        <f t="shared" si="56"/>
        <v>#DIV/0!</v>
      </c>
      <c r="X460" s="55">
        <f t="shared" si="50"/>
        <v>0.00946666666666667</v>
      </c>
      <c r="Y460" s="49" t="s">
        <v>62</v>
      </c>
    </row>
    <row r="461" customFormat="1" ht="22.5" customHeight="1" spans="1:25">
      <c r="A461" s="49" t="s">
        <v>71</v>
      </c>
      <c r="B461" s="49" t="s">
        <v>611</v>
      </c>
      <c r="C461" s="49" t="s">
        <v>438</v>
      </c>
      <c r="D461" s="64">
        <v>188395433417</v>
      </c>
      <c r="E461" s="49" t="s">
        <v>483</v>
      </c>
      <c r="F461" s="51">
        <v>46161</v>
      </c>
      <c r="G461" s="52">
        <v>46160</v>
      </c>
      <c r="H461" s="52">
        <v>46161</v>
      </c>
      <c r="I461" s="52" t="s">
        <v>503</v>
      </c>
      <c r="J461" s="52" t="s">
        <v>489</v>
      </c>
      <c r="K461" s="52" t="s">
        <v>34</v>
      </c>
      <c r="L461" s="49">
        <v>10</v>
      </c>
      <c r="M461" s="49">
        <v>2</v>
      </c>
      <c r="N461" s="49">
        <v>0</v>
      </c>
      <c r="O461" s="53">
        <v>0.7</v>
      </c>
      <c r="P461" s="53">
        <v>0</v>
      </c>
      <c r="Q461" s="53">
        <v>285</v>
      </c>
      <c r="R461" s="54">
        <f t="shared" si="51"/>
        <v>0</v>
      </c>
      <c r="S461" s="55">
        <f t="shared" si="52"/>
        <v>0</v>
      </c>
      <c r="T461" s="55">
        <f t="shared" si="53"/>
        <v>0.2</v>
      </c>
      <c r="U461" s="54">
        <f t="shared" si="54"/>
        <v>0.35</v>
      </c>
      <c r="V461" s="54" t="e">
        <f t="shared" si="55"/>
        <v>#DIV/0!</v>
      </c>
      <c r="W461" s="55" t="e">
        <f t="shared" si="56"/>
        <v>#DIV/0!</v>
      </c>
      <c r="X461" s="55">
        <f t="shared" si="50"/>
        <v>0.00245614035087719</v>
      </c>
      <c r="Y461" s="49" t="s">
        <v>62</v>
      </c>
    </row>
    <row r="462" customFormat="1" ht="22.5" customHeight="1" spans="1:25">
      <c r="A462" s="49" t="s">
        <v>71</v>
      </c>
      <c r="B462" s="49" t="s">
        <v>573</v>
      </c>
      <c r="C462" s="49" t="s">
        <v>405</v>
      </c>
      <c r="D462" s="64">
        <v>188328124623</v>
      </c>
      <c r="E462" s="49" t="s">
        <v>483</v>
      </c>
      <c r="F462" s="51">
        <v>46142</v>
      </c>
      <c r="G462" s="52">
        <v>46141</v>
      </c>
      <c r="H462" s="52">
        <v>46152</v>
      </c>
      <c r="I462" s="52" t="s">
        <v>496</v>
      </c>
      <c r="J462" s="52" t="s">
        <v>497</v>
      </c>
      <c r="K462" s="52" t="s">
        <v>493</v>
      </c>
      <c r="L462" s="49">
        <v>993</v>
      </c>
      <c r="M462" s="49">
        <v>1</v>
      </c>
      <c r="N462" s="49">
        <v>0</v>
      </c>
      <c r="O462" s="53">
        <v>0.35</v>
      </c>
      <c r="P462" s="53">
        <v>0</v>
      </c>
      <c r="Q462" s="53">
        <v>60</v>
      </c>
      <c r="R462" s="54">
        <f t="shared" si="51"/>
        <v>0</v>
      </c>
      <c r="S462" s="55">
        <f t="shared" si="52"/>
        <v>0</v>
      </c>
      <c r="T462" s="55">
        <f t="shared" si="53"/>
        <v>0.00100704934541793</v>
      </c>
      <c r="U462" s="54">
        <f t="shared" si="54"/>
        <v>0.35</v>
      </c>
      <c r="V462" s="54" t="e">
        <f t="shared" si="55"/>
        <v>#DIV/0!</v>
      </c>
      <c r="W462" s="55" t="e">
        <f t="shared" si="56"/>
        <v>#DIV/0!</v>
      </c>
      <c r="X462" s="55">
        <f t="shared" si="50"/>
        <v>0.00583333333333333</v>
      </c>
      <c r="Y462" s="49" t="s">
        <v>49</v>
      </c>
    </row>
    <row r="463" customFormat="1" ht="22.5" customHeight="1" spans="1:25">
      <c r="A463" s="49" t="s">
        <v>71</v>
      </c>
      <c r="B463" s="49" t="s">
        <v>587</v>
      </c>
      <c r="C463" s="49" t="s">
        <v>397</v>
      </c>
      <c r="D463" s="64">
        <v>117169587615</v>
      </c>
      <c r="E463" s="49" t="s">
        <v>502</v>
      </c>
      <c r="F463" s="51">
        <v>46148</v>
      </c>
      <c r="G463" s="52">
        <v>46140</v>
      </c>
      <c r="H463" s="52">
        <v>46142</v>
      </c>
      <c r="I463" s="52" t="s">
        <v>484</v>
      </c>
      <c r="J463" s="52" t="s">
        <v>485</v>
      </c>
      <c r="K463" s="52" t="s">
        <v>34</v>
      </c>
      <c r="L463" s="49">
        <v>259</v>
      </c>
      <c r="M463" s="49">
        <v>1</v>
      </c>
      <c r="N463" s="49">
        <v>0</v>
      </c>
      <c r="O463" s="53">
        <v>0.47</v>
      </c>
      <c r="P463" s="53">
        <v>0</v>
      </c>
      <c r="Q463" s="53">
        <v>89</v>
      </c>
      <c r="R463" s="54">
        <f t="shared" si="51"/>
        <v>0</v>
      </c>
      <c r="S463" s="55">
        <f t="shared" si="52"/>
        <v>0</v>
      </c>
      <c r="T463" s="55">
        <f t="shared" si="53"/>
        <v>0.00386100386100386</v>
      </c>
      <c r="U463" s="54">
        <f t="shared" si="54"/>
        <v>0.47</v>
      </c>
      <c r="V463" s="54" t="e">
        <f t="shared" si="55"/>
        <v>#DIV/0!</v>
      </c>
      <c r="W463" s="55" t="e">
        <f t="shared" si="56"/>
        <v>#DIV/0!</v>
      </c>
      <c r="X463" s="55">
        <f t="shared" si="50"/>
        <v>0.00528089887640449</v>
      </c>
      <c r="Y463" s="49" t="s">
        <v>62</v>
      </c>
    </row>
    <row r="464" customFormat="1" ht="22.5" customHeight="1" spans="1:25">
      <c r="A464" s="49" t="s">
        <v>71</v>
      </c>
      <c r="B464" s="49" t="s">
        <v>538</v>
      </c>
      <c r="C464" s="49" t="s">
        <v>333</v>
      </c>
      <c r="D464" s="64">
        <v>188139762062</v>
      </c>
      <c r="E464" s="49" t="s">
        <v>483</v>
      </c>
      <c r="F464" s="51">
        <v>46092</v>
      </c>
      <c r="G464" s="52">
        <v>46091</v>
      </c>
      <c r="H464" s="52">
        <v>46101</v>
      </c>
      <c r="I464" s="52" t="s">
        <v>484</v>
      </c>
      <c r="J464" s="52" t="s">
        <v>489</v>
      </c>
      <c r="K464" s="52" t="s">
        <v>34</v>
      </c>
      <c r="L464" s="49">
        <v>201</v>
      </c>
      <c r="M464" s="49">
        <v>1</v>
      </c>
      <c r="N464" s="49">
        <v>0</v>
      </c>
      <c r="O464" s="53">
        <v>0.36</v>
      </c>
      <c r="P464" s="53">
        <v>0</v>
      </c>
      <c r="Q464" s="53">
        <v>0</v>
      </c>
      <c r="R464" s="54">
        <f t="shared" si="51"/>
        <v>0</v>
      </c>
      <c r="S464" s="55">
        <f t="shared" si="52"/>
        <v>0</v>
      </c>
      <c r="T464" s="55">
        <f t="shared" si="53"/>
        <v>0.00497512437810945</v>
      </c>
      <c r="U464" s="54">
        <f t="shared" si="54"/>
        <v>0.36</v>
      </c>
      <c r="V464" s="54" t="e">
        <f t="shared" si="55"/>
        <v>#DIV/0!</v>
      </c>
      <c r="W464" s="55" t="e">
        <f t="shared" si="56"/>
        <v>#DIV/0!</v>
      </c>
      <c r="X464" s="55" t="e">
        <f t="shared" si="50"/>
        <v>#DIV/0!</v>
      </c>
      <c r="Y464" s="49" t="s">
        <v>49</v>
      </c>
    </row>
    <row r="465" customFormat="1" ht="22.5" customHeight="1" spans="1:25">
      <c r="A465" s="49" t="s">
        <v>71</v>
      </c>
      <c r="B465" s="49" t="s">
        <v>585</v>
      </c>
      <c r="C465" s="49" t="s">
        <v>417</v>
      </c>
      <c r="D465" s="64">
        <v>178090479690</v>
      </c>
      <c r="E465" s="49" t="s">
        <v>483</v>
      </c>
      <c r="F465" s="51">
        <v>46143</v>
      </c>
      <c r="G465" s="52">
        <v>46142</v>
      </c>
      <c r="H465" s="52" t="s">
        <v>149</v>
      </c>
      <c r="I465" s="52" t="s">
        <v>505</v>
      </c>
      <c r="J465" s="52" t="s">
        <v>518</v>
      </c>
      <c r="K465" s="52" t="s">
        <v>34</v>
      </c>
      <c r="L465" s="49">
        <v>165</v>
      </c>
      <c r="M465" s="49">
        <v>1</v>
      </c>
      <c r="N465" s="49">
        <v>0</v>
      </c>
      <c r="O465" s="53">
        <v>0.38</v>
      </c>
      <c r="P465" s="53">
        <v>0</v>
      </c>
      <c r="Q465" s="53">
        <v>0</v>
      </c>
      <c r="R465" s="54">
        <f t="shared" si="51"/>
        <v>0</v>
      </c>
      <c r="S465" s="55">
        <f t="shared" si="52"/>
        <v>0</v>
      </c>
      <c r="T465" s="55">
        <f t="shared" si="53"/>
        <v>0.00606060606060606</v>
      </c>
      <c r="U465" s="54">
        <f t="shared" si="54"/>
        <v>0.38</v>
      </c>
      <c r="V465" s="54" t="e">
        <f t="shared" si="55"/>
        <v>#DIV/0!</v>
      </c>
      <c r="W465" s="55" t="e">
        <f t="shared" si="56"/>
        <v>#DIV/0!</v>
      </c>
      <c r="X465" s="55" t="e">
        <f t="shared" si="50"/>
        <v>#DIV/0!</v>
      </c>
      <c r="Y465" s="49" t="s">
        <v>62</v>
      </c>
    </row>
    <row r="466" customFormat="1" ht="22.5" customHeight="1" spans="1:25">
      <c r="A466" s="49" t="s">
        <v>71</v>
      </c>
      <c r="B466" s="49" t="s">
        <v>623</v>
      </c>
      <c r="C466" s="49" t="s">
        <v>444</v>
      </c>
      <c r="D466" s="64">
        <v>178149836206</v>
      </c>
      <c r="E466" s="49" t="s">
        <v>483</v>
      </c>
      <c r="F466" s="51">
        <v>46163</v>
      </c>
      <c r="G466" s="52">
        <v>46162</v>
      </c>
      <c r="H466" s="52">
        <v>46168</v>
      </c>
      <c r="I466" s="52" t="s">
        <v>503</v>
      </c>
      <c r="J466" s="52" t="s">
        <v>521</v>
      </c>
      <c r="K466" s="52" t="s">
        <v>493</v>
      </c>
      <c r="L466" s="49">
        <v>140</v>
      </c>
      <c r="M466" s="49">
        <v>1</v>
      </c>
      <c r="N466" s="49">
        <v>0</v>
      </c>
      <c r="O466" s="53">
        <v>0.56</v>
      </c>
      <c r="P466" s="53">
        <v>0</v>
      </c>
      <c r="Q466" s="53">
        <v>0</v>
      </c>
      <c r="R466" s="54">
        <f t="shared" si="51"/>
        <v>0</v>
      </c>
      <c r="S466" s="55">
        <f t="shared" si="52"/>
        <v>0</v>
      </c>
      <c r="T466" s="55">
        <f t="shared" si="53"/>
        <v>0.00714285714285714</v>
      </c>
      <c r="U466" s="54">
        <f t="shared" si="54"/>
        <v>0.56</v>
      </c>
      <c r="V466" s="54" t="e">
        <f t="shared" si="55"/>
        <v>#DIV/0!</v>
      </c>
      <c r="W466" s="55" t="e">
        <f t="shared" si="56"/>
        <v>#DIV/0!</v>
      </c>
      <c r="X466" s="55" t="e">
        <f t="shared" si="50"/>
        <v>#DIV/0!</v>
      </c>
      <c r="Y466" s="49" t="s">
        <v>62</v>
      </c>
    </row>
    <row r="467" customFormat="1" ht="22.5" customHeight="1" spans="1:25">
      <c r="A467" s="49" t="s">
        <v>71</v>
      </c>
      <c r="B467" s="49" t="s">
        <v>586</v>
      </c>
      <c r="C467" s="49" t="s">
        <v>397</v>
      </c>
      <c r="D467" s="64">
        <v>178087818624</v>
      </c>
      <c r="E467" s="49" t="s">
        <v>483</v>
      </c>
      <c r="F467" s="51">
        <v>46141</v>
      </c>
      <c r="G467" s="52">
        <v>46140</v>
      </c>
      <c r="H467" s="52">
        <v>46142</v>
      </c>
      <c r="I467" s="52" t="s">
        <v>484</v>
      </c>
      <c r="J467" s="52" t="s">
        <v>485</v>
      </c>
      <c r="K467" s="52" t="s">
        <v>34</v>
      </c>
      <c r="L467" s="49">
        <v>81</v>
      </c>
      <c r="M467" s="49">
        <v>1</v>
      </c>
      <c r="N467" s="49">
        <v>0</v>
      </c>
      <c r="O467" s="53">
        <v>0.36</v>
      </c>
      <c r="P467" s="53">
        <v>0</v>
      </c>
      <c r="Q467" s="53">
        <v>89</v>
      </c>
      <c r="R467" s="54">
        <f t="shared" si="51"/>
        <v>0</v>
      </c>
      <c r="S467" s="55">
        <f t="shared" si="52"/>
        <v>0</v>
      </c>
      <c r="T467" s="55">
        <f t="shared" si="53"/>
        <v>0.0123456790123457</v>
      </c>
      <c r="U467" s="54">
        <f t="shared" si="54"/>
        <v>0.36</v>
      </c>
      <c r="V467" s="54" t="e">
        <f t="shared" si="55"/>
        <v>#DIV/0!</v>
      </c>
      <c r="W467" s="55" t="e">
        <f t="shared" si="56"/>
        <v>#DIV/0!</v>
      </c>
      <c r="X467" s="55">
        <f t="shared" si="50"/>
        <v>0.00404494382022472</v>
      </c>
      <c r="Y467" s="49" t="s">
        <v>62</v>
      </c>
    </row>
    <row r="468" customFormat="1" ht="22.5" customHeight="1" spans="1:25">
      <c r="A468" s="49" t="s">
        <v>71</v>
      </c>
      <c r="B468" s="49" t="s">
        <v>557</v>
      </c>
      <c r="C468" s="49" t="s">
        <v>388</v>
      </c>
      <c r="D468" s="64">
        <v>178071423591</v>
      </c>
      <c r="E468" s="49" t="s">
        <v>483</v>
      </c>
      <c r="F468" s="51">
        <v>46136</v>
      </c>
      <c r="G468" s="52">
        <v>46135</v>
      </c>
      <c r="H468" s="52">
        <v>46139</v>
      </c>
      <c r="I468" s="52" t="s">
        <v>484</v>
      </c>
      <c r="J468" s="52" t="s">
        <v>564</v>
      </c>
      <c r="K468" s="52" t="s">
        <v>34</v>
      </c>
      <c r="L468" s="49">
        <v>20</v>
      </c>
      <c r="M468" s="49">
        <v>1</v>
      </c>
      <c r="N468" s="49">
        <v>0</v>
      </c>
      <c r="O468" s="53">
        <v>0.4</v>
      </c>
      <c r="P468" s="53">
        <v>0</v>
      </c>
      <c r="Q468" s="53">
        <v>0</v>
      </c>
      <c r="R468" s="54">
        <f t="shared" si="51"/>
        <v>0</v>
      </c>
      <c r="S468" s="55">
        <f t="shared" si="52"/>
        <v>0</v>
      </c>
      <c r="T468" s="55">
        <f t="shared" si="53"/>
        <v>0.05</v>
      </c>
      <c r="U468" s="54">
        <f t="shared" si="54"/>
        <v>0.4</v>
      </c>
      <c r="V468" s="54" t="e">
        <f t="shared" si="55"/>
        <v>#DIV/0!</v>
      </c>
      <c r="W468" s="55" t="e">
        <f t="shared" si="56"/>
        <v>#DIV/0!</v>
      </c>
      <c r="X468" s="55" t="e">
        <f t="shared" si="50"/>
        <v>#DIV/0!</v>
      </c>
      <c r="Y468" s="49" t="s">
        <v>62</v>
      </c>
    </row>
    <row r="469" customFormat="1" ht="22.5" customHeight="1" spans="1:25">
      <c r="A469" s="49" t="s">
        <v>71</v>
      </c>
      <c r="B469" s="49" t="s">
        <v>624</v>
      </c>
      <c r="C469" s="49" t="s">
        <v>457</v>
      </c>
      <c r="D469" s="64">
        <v>188405840004</v>
      </c>
      <c r="E469" s="49" t="s">
        <v>483</v>
      </c>
      <c r="F469" s="51">
        <v>46163</v>
      </c>
      <c r="G469" s="52">
        <v>46163</v>
      </c>
      <c r="H469" s="52" t="s">
        <v>149</v>
      </c>
      <c r="I469" s="52" t="s">
        <v>520</v>
      </c>
      <c r="J469" s="52" t="s">
        <v>564</v>
      </c>
      <c r="K469" s="52" t="s">
        <v>34</v>
      </c>
      <c r="L469" s="49">
        <v>9</v>
      </c>
      <c r="M469" s="49">
        <v>1</v>
      </c>
      <c r="N469" s="49">
        <v>0</v>
      </c>
      <c r="O469" s="53">
        <v>0.45</v>
      </c>
      <c r="P469" s="53">
        <v>0</v>
      </c>
      <c r="Q469" s="53">
        <v>0</v>
      </c>
      <c r="R469" s="54">
        <f t="shared" si="51"/>
        <v>0</v>
      </c>
      <c r="S469" s="55">
        <f t="shared" si="52"/>
        <v>0</v>
      </c>
      <c r="T469" s="55">
        <f t="shared" si="53"/>
        <v>0.111111111111111</v>
      </c>
      <c r="U469" s="54">
        <f t="shared" si="54"/>
        <v>0.45</v>
      </c>
      <c r="V469" s="54" t="e">
        <f t="shared" si="55"/>
        <v>#DIV/0!</v>
      </c>
      <c r="W469" s="55" t="e">
        <f t="shared" si="56"/>
        <v>#DIV/0!</v>
      </c>
      <c r="X469" s="55" t="e">
        <f t="shared" si="50"/>
        <v>#DIV/0!</v>
      </c>
      <c r="Y469" s="49" t="s">
        <v>62</v>
      </c>
    </row>
    <row r="470" customFormat="1" ht="22.5" customHeight="1" spans="1:25">
      <c r="A470" s="49" t="s">
        <v>71</v>
      </c>
      <c r="B470" s="49" t="s">
        <v>592</v>
      </c>
      <c r="C470" s="49" t="s">
        <v>329</v>
      </c>
      <c r="D470" s="64">
        <v>227242600308</v>
      </c>
      <c r="E470" s="49" t="s">
        <v>488</v>
      </c>
      <c r="F470" s="51">
        <v>46087</v>
      </c>
      <c r="G470" s="52">
        <v>46086</v>
      </c>
      <c r="H470" s="52">
        <v>46094</v>
      </c>
      <c r="I470" s="52" t="s">
        <v>496</v>
      </c>
      <c r="J470" s="52" t="s">
        <v>30</v>
      </c>
      <c r="K470" s="52" t="s">
        <v>34</v>
      </c>
      <c r="L470" s="49">
        <v>1266</v>
      </c>
      <c r="M470" s="49">
        <v>0</v>
      </c>
      <c r="N470" s="49">
        <v>0</v>
      </c>
      <c r="O470" s="53">
        <v>0</v>
      </c>
      <c r="P470" s="53">
        <v>0</v>
      </c>
      <c r="Q470" s="53">
        <v>66</v>
      </c>
      <c r="R470" s="54" t="e">
        <f t="shared" si="51"/>
        <v>#DIV/0!</v>
      </c>
      <c r="S470" s="55" t="e">
        <f t="shared" si="52"/>
        <v>#DIV/0!</v>
      </c>
      <c r="T470" s="55">
        <f t="shared" si="53"/>
        <v>0</v>
      </c>
      <c r="U470" s="54" t="e">
        <f t="shared" si="54"/>
        <v>#DIV/0!</v>
      </c>
      <c r="V470" s="54" t="e">
        <f t="shared" si="55"/>
        <v>#DIV/0!</v>
      </c>
      <c r="W470" s="55" t="e">
        <f t="shared" si="56"/>
        <v>#DIV/0!</v>
      </c>
      <c r="X470" s="55">
        <f t="shared" si="50"/>
        <v>0</v>
      </c>
      <c r="Y470" s="49" t="s">
        <v>49</v>
      </c>
    </row>
    <row r="471" customFormat="1" ht="22.5" customHeight="1" spans="1:25">
      <c r="A471" s="49" t="s">
        <v>71</v>
      </c>
      <c r="B471" s="49" t="s">
        <v>610</v>
      </c>
      <c r="C471" s="49" t="s">
        <v>338</v>
      </c>
      <c r="D471" s="64">
        <v>117083094658</v>
      </c>
      <c r="E471" s="49" t="s">
        <v>502</v>
      </c>
      <c r="F471" s="51">
        <v>46162</v>
      </c>
      <c r="G471" s="52">
        <v>46092</v>
      </c>
      <c r="H471" s="52">
        <v>46099</v>
      </c>
      <c r="I471" s="52" t="s">
        <v>484</v>
      </c>
      <c r="J471" s="52" t="s">
        <v>485</v>
      </c>
      <c r="K471" s="52" t="s">
        <v>34</v>
      </c>
      <c r="L471" s="49">
        <v>208</v>
      </c>
      <c r="M471" s="49">
        <v>0</v>
      </c>
      <c r="N471" s="49">
        <v>0</v>
      </c>
      <c r="O471" s="53">
        <v>0</v>
      </c>
      <c r="P471" s="53">
        <v>0</v>
      </c>
      <c r="Q471" s="53">
        <v>168</v>
      </c>
      <c r="R471" s="54" t="e">
        <f t="shared" si="51"/>
        <v>#DIV/0!</v>
      </c>
      <c r="S471" s="55" t="e">
        <f t="shared" si="52"/>
        <v>#DIV/0!</v>
      </c>
      <c r="T471" s="55">
        <f t="shared" si="53"/>
        <v>0</v>
      </c>
      <c r="U471" s="54" t="e">
        <f t="shared" si="54"/>
        <v>#DIV/0!</v>
      </c>
      <c r="V471" s="54" t="e">
        <f t="shared" si="55"/>
        <v>#DIV/0!</v>
      </c>
      <c r="W471" s="55" t="e">
        <f t="shared" si="56"/>
        <v>#DIV/0!</v>
      </c>
      <c r="X471" s="55">
        <f t="shared" si="50"/>
        <v>0</v>
      </c>
      <c r="Y471" s="49" t="s">
        <v>62</v>
      </c>
    </row>
    <row r="472" customFormat="1" ht="22.5" customHeight="1" spans="1:25">
      <c r="A472" s="49" t="s">
        <v>71</v>
      </c>
      <c r="B472" s="49" t="s">
        <v>625</v>
      </c>
      <c r="C472" s="49" t="s">
        <v>454</v>
      </c>
      <c r="D472" s="64">
        <v>178152594239</v>
      </c>
      <c r="E472" s="49" t="s">
        <v>483</v>
      </c>
      <c r="F472" s="51">
        <v>46164</v>
      </c>
      <c r="G472" s="52">
        <v>46163</v>
      </c>
      <c r="H472" s="52" t="s">
        <v>149</v>
      </c>
      <c r="I472" s="52" t="s">
        <v>503</v>
      </c>
      <c r="J472" s="52" t="s">
        <v>518</v>
      </c>
      <c r="K472" s="52" t="s">
        <v>34</v>
      </c>
      <c r="L472" s="49">
        <v>50</v>
      </c>
      <c r="M472" s="49">
        <v>0</v>
      </c>
      <c r="N472" s="49">
        <v>0</v>
      </c>
      <c r="O472" s="53">
        <v>0</v>
      </c>
      <c r="P472" s="53">
        <v>0</v>
      </c>
      <c r="Q472" s="53">
        <v>0</v>
      </c>
      <c r="R472" s="54" t="e">
        <f t="shared" si="51"/>
        <v>#DIV/0!</v>
      </c>
      <c r="S472" s="55" t="e">
        <f t="shared" si="52"/>
        <v>#DIV/0!</v>
      </c>
      <c r="T472" s="55">
        <f t="shared" si="53"/>
        <v>0</v>
      </c>
      <c r="U472" s="54" t="e">
        <f t="shared" si="54"/>
        <v>#DIV/0!</v>
      </c>
      <c r="V472" s="54" t="e">
        <f t="shared" si="55"/>
        <v>#DIV/0!</v>
      </c>
      <c r="W472" s="55" t="e">
        <f t="shared" si="56"/>
        <v>#DIV/0!</v>
      </c>
      <c r="X472" s="55" t="e">
        <f t="shared" si="50"/>
        <v>#DIV/0!</v>
      </c>
      <c r="Y472" s="49" t="s">
        <v>62</v>
      </c>
    </row>
    <row r="473" customFormat="1" ht="22.5" customHeight="1" spans="1:25">
      <c r="A473" s="49" t="s">
        <v>71</v>
      </c>
      <c r="B473" s="49" t="s">
        <v>626</v>
      </c>
      <c r="C473" s="49" t="s">
        <v>450</v>
      </c>
      <c r="D473" s="64">
        <v>227357381996</v>
      </c>
      <c r="E473" s="49" t="s">
        <v>488</v>
      </c>
      <c r="F473" s="51">
        <v>46167</v>
      </c>
      <c r="G473" s="52">
        <v>46162</v>
      </c>
      <c r="H473" s="52">
        <v>46162</v>
      </c>
      <c r="I473" s="52" t="s">
        <v>484</v>
      </c>
      <c r="J473" s="52" t="s">
        <v>521</v>
      </c>
      <c r="K473" s="52" t="s">
        <v>34</v>
      </c>
      <c r="L473" s="49">
        <v>49</v>
      </c>
      <c r="M473" s="49">
        <v>0</v>
      </c>
      <c r="N473" s="49">
        <v>0</v>
      </c>
      <c r="O473" s="53">
        <v>0</v>
      </c>
      <c r="P473" s="53">
        <v>0</v>
      </c>
      <c r="Q473" s="53">
        <v>82</v>
      </c>
      <c r="R473" s="54" t="e">
        <f t="shared" si="51"/>
        <v>#DIV/0!</v>
      </c>
      <c r="S473" s="55" t="e">
        <f t="shared" si="52"/>
        <v>#DIV/0!</v>
      </c>
      <c r="T473" s="55">
        <f t="shared" si="53"/>
        <v>0</v>
      </c>
      <c r="U473" s="54" t="e">
        <f t="shared" si="54"/>
        <v>#DIV/0!</v>
      </c>
      <c r="V473" s="54" t="e">
        <f t="shared" si="55"/>
        <v>#DIV/0!</v>
      </c>
      <c r="W473" s="55" t="e">
        <f t="shared" si="56"/>
        <v>#DIV/0!</v>
      </c>
      <c r="X473" s="55">
        <f t="shared" si="50"/>
        <v>0</v>
      </c>
      <c r="Y473" s="49" t="s">
        <v>62</v>
      </c>
    </row>
    <row r="474" customFormat="1" ht="22.5" customHeight="1" spans="1:25">
      <c r="A474" s="49" t="s">
        <v>71</v>
      </c>
      <c r="B474" s="49" t="s">
        <v>627</v>
      </c>
      <c r="C474" s="49" t="s">
        <v>450</v>
      </c>
      <c r="D474" s="64">
        <v>117208931830</v>
      </c>
      <c r="E474" s="49" t="s">
        <v>502</v>
      </c>
      <c r="F474" s="51">
        <v>46167</v>
      </c>
      <c r="G474" s="52">
        <v>46162</v>
      </c>
      <c r="H474" s="52">
        <v>46162</v>
      </c>
      <c r="I474" s="52" t="s">
        <v>484</v>
      </c>
      <c r="J474" s="52" t="s">
        <v>521</v>
      </c>
      <c r="K474" s="52" t="s">
        <v>34</v>
      </c>
      <c r="L474" s="49">
        <v>40</v>
      </c>
      <c r="M474" s="49">
        <v>0</v>
      </c>
      <c r="N474" s="49">
        <v>0</v>
      </c>
      <c r="O474" s="53">
        <v>0</v>
      </c>
      <c r="P474" s="53">
        <v>0</v>
      </c>
      <c r="Q474" s="53">
        <v>82</v>
      </c>
      <c r="R474" s="54" t="e">
        <f t="shared" si="51"/>
        <v>#DIV/0!</v>
      </c>
      <c r="S474" s="55" t="e">
        <f t="shared" si="52"/>
        <v>#DIV/0!</v>
      </c>
      <c r="T474" s="55">
        <f t="shared" si="53"/>
        <v>0</v>
      </c>
      <c r="U474" s="54" t="e">
        <f t="shared" si="54"/>
        <v>#DIV/0!</v>
      </c>
      <c r="V474" s="54" t="e">
        <f t="shared" si="55"/>
        <v>#DIV/0!</v>
      </c>
      <c r="W474" s="55" t="e">
        <f t="shared" si="56"/>
        <v>#DIV/0!</v>
      </c>
      <c r="X474" s="55">
        <f t="shared" si="50"/>
        <v>0</v>
      </c>
      <c r="Y474" s="49" t="s">
        <v>62</v>
      </c>
    </row>
    <row r="475" customFormat="1" ht="22.5" customHeight="1" spans="1:25">
      <c r="A475" s="49" t="s">
        <v>71</v>
      </c>
      <c r="B475" s="49" t="s">
        <v>628</v>
      </c>
      <c r="C475" s="49" t="s">
        <v>456</v>
      </c>
      <c r="D475" s="64">
        <v>117210634994</v>
      </c>
      <c r="E475" s="49" t="s">
        <v>502</v>
      </c>
      <c r="F475" s="51">
        <v>46167</v>
      </c>
      <c r="G475" s="52">
        <v>46163</v>
      </c>
      <c r="H475" s="52" t="s">
        <v>149</v>
      </c>
      <c r="I475" s="52" t="s">
        <v>484</v>
      </c>
      <c r="J475" s="52" t="s">
        <v>30</v>
      </c>
      <c r="K475" s="52" t="s">
        <v>34</v>
      </c>
      <c r="L475" s="49">
        <v>36</v>
      </c>
      <c r="M475" s="49">
        <v>0</v>
      </c>
      <c r="N475" s="49">
        <v>0</v>
      </c>
      <c r="O475" s="53">
        <v>0</v>
      </c>
      <c r="P475" s="53">
        <v>0</v>
      </c>
      <c r="Q475" s="53">
        <v>0</v>
      </c>
      <c r="R475" s="54" t="e">
        <f t="shared" si="51"/>
        <v>#DIV/0!</v>
      </c>
      <c r="S475" s="55" t="e">
        <f t="shared" si="52"/>
        <v>#DIV/0!</v>
      </c>
      <c r="T475" s="55">
        <f t="shared" si="53"/>
        <v>0</v>
      </c>
      <c r="U475" s="54" t="e">
        <f t="shared" si="54"/>
        <v>#DIV/0!</v>
      </c>
      <c r="V475" s="54" t="e">
        <f t="shared" si="55"/>
        <v>#DIV/0!</v>
      </c>
      <c r="W475" s="55" t="e">
        <f t="shared" si="56"/>
        <v>#DIV/0!</v>
      </c>
      <c r="X475" s="55" t="e">
        <f t="shared" si="50"/>
        <v>#DIV/0!</v>
      </c>
      <c r="Y475" s="49" t="s">
        <v>62</v>
      </c>
    </row>
    <row r="476" customFormat="1" ht="22.5" customHeight="1" spans="1:25">
      <c r="A476" s="49" t="s">
        <v>71</v>
      </c>
      <c r="B476" s="49" t="s">
        <v>598</v>
      </c>
      <c r="C476" s="49" t="s">
        <v>340</v>
      </c>
      <c r="D476" s="64">
        <v>117083102708</v>
      </c>
      <c r="E476" s="49" t="s">
        <v>502</v>
      </c>
      <c r="F476" s="51">
        <v>46159</v>
      </c>
      <c r="G476" s="52">
        <v>46092</v>
      </c>
      <c r="H476" s="52">
        <v>46096</v>
      </c>
      <c r="I476" s="52" t="s">
        <v>505</v>
      </c>
      <c r="J476" s="52" t="s">
        <v>489</v>
      </c>
      <c r="K476" s="52" t="s">
        <v>493</v>
      </c>
      <c r="L476" s="49">
        <v>35</v>
      </c>
      <c r="M476" s="49">
        <v>0</v>
      </c>
      <c r="N476" s="49">
        <v>0</v>
      </c>
      <c r="O476" s="53">
        <v>0</v>
      </c>
      <c r="P476" s="53">
        <v>0</v>
      </c>
      <c r="Q476" s="53">
        <v>34</v>
      </c>
      <c r="R476" s="54" t="e">
        <f t="shared" si="51"/>
        <v>#DIV/0!</v>
      </c>
      <c r="S476" s="55" t="e">
        <f t="shared" si="52"/>
        <v>#DIV/0!</v>
      </c>
      <c r="T476" s="55">
        <f t="shared" si="53"/>
        <v>0</v>
      </c>
      <c r="U476" s="54" t="e">
        <f t="shared" si="54"/>
        <v>#DIV/0!</v>
      </c>
      <c r="V476" s="54" t="e">
        <f t="shared" si="55"/>
        <v>#DIV/0!</v>
      </c>
      <c r="W476" s="55" t="e">
        <f t="shared" si="56"/>
        <v>#DIV/0!</v>
      </c>
      <c r="X476" s="55">
        <f t="shared" si="50"/>
        <v>0</v>
      </c>
      <c r="Y476" s="49" t="s">
        <v>62</v>
      </c>
    </row>
    <row r="477" customFormat="1" ht="22.5" customHeight="1" spans="1:25">
      <c r="A477" s="49" t="s">
        <v>71</v>
      </c>
      <c r="B477" s="49" t="s">
        <v>526</v>
      </c>
      <c r="C477" s="49" t="s">
        <v>348</v>
      </c>
      <c r="D477" s="64">
        <v>177951390007</v>
      </c>
      <c r="E477" s="49" t="s">
        <v>483</v>
      </c>
      <c r="F477" s="51">
        <v>46094</v>
      </c>
      <c r="G477" s="52">
        <v>46093</v>
      </c>
      <c r="H477" s="52">
        <v>46100</v>
      </c>
      <c r="I477" s="52" t="s">
        <v>484</v>
      </c>
      <c r="J477" s="52" t="s">
        <v>485</v>
      </c>
      <c r="K477" s="52" t="s">
        <v>34</v>
      </c>
      <c r="L477" s="49">
        <v>18</v>
      </c>
      <c r="M477" s="49">
        <v>0</v>
      </c>
      <c r="N477" s="49">
        <v>0</v>
      </c>
      <c r="O477" s="53">
        <v>0</v>
      </c>
      <c r="P477" s="53">
        <v>0</v>
      </c>
      <c r="Q477" s="53">
        <v>135</v>
      </c>
      <c r="R477" s="54" t="e">
        <f t="shared" si="51"/>
        <v>#DIV/0!</v>
      </c>
      <c r="S477" s="55" t="e">
        <f t="shared" si="52"/>
        <v>#DIV/0!</v>
      </c>
      <c r="T477" s="55">
        <f t="shared" si="53"/>
        <v>0</v>
      </c>
      <c r="U477" s="54" t="e">
        <f t="shared" si="54"/>
        <v>#DIV/0!</v>
      </c>
      <c r="V477" s="54" t="e">
        <f t="shared" si="55"/>
        <v>#DIV/0!</v>
      </c>
      <c r="W477" s="55" t="e">
        <f t="shared" si="56"/>
        <v>#DIV/0!</v>
      </c>
      <c r="X477" s="55">
        <f t="shared" si="50"/>
        <v>0</v>
      </c>
      <c r="Y477" s="49" t="s">
        <v>62</v>
      </c>
    </row>
    <row r="478" customFormat="1" ht="22.5" customHeight="1" spans="1:25">
      <c r="A478" s="49" t="s">
        <v>71</v>
      </c>
      <c r="B478" s="49" t="s">
        <v>629</v>
      </c>
      <c r="C478" s="49" t="s">
        <v>456</v>
      </c>
      <c r="D478" s="64">
        <v>178152564174</v>
      </c>
      <c r="E478" s="49" t="s">
        <v>483</v>
      </c>
      <c r="F478" s="51">
        <v>46163</v>
      </c>
      <c r="G478" s="52">
        <v>46163</v>
      </c>
      <c r="H478" s="52" t="s">
        <v>149</v>
      </c>
      <c r="I478" s="52" t="s">
        <v>484</v>
      </c>
      <c r="J478" s="52" t="s">
        <v>30</v>
      </c>
      <c r="K478" s="52" t="s">
        <v>34</v>
      </c>
      <c r="L478" s="49">
        <v>12</v>
      </c>
      <c r="M478" s="49">
        <v>0</v>
      </c>
      <c r="N478" s="49">
        <v>0</v>
      </c>
      <c r="O478" s="53">
        <v>0</v>
      </c>
      <c r="P478" s="53">
        <v>0</v>
      </c>
      <c r="Q478" s="53">
        <v>0</v>
      </c>
      <c r="R478" s="54" t="e">
        <f t="shared" si="51"/>
        <v>#DIV/0!</v>
      </c>
      <c r="S478" s="55" t="e">
        <f t="shared" si="52"/>
        <v>#DIV/0!</v>
      </c>
      <c r="T478" s="55">
        <f t="shared" si="53"/>
        <v>0</v>
      </c>
      <c r="U478" s="54" t="e">
        <f t="shared" si="54"/>
        <v>#DIV/0!</v>
      </c>
      <c r="V478" s="54" t="e">
        <f t="shared" si="55"/>
        <v>#DIV/0!</v>
      </c>
      <c r="W478" s="55" t="e">
        <f t="shared" si="56"/>
        <v>#DIV/0!</v>
      </c>
      <c r="X478" s="55" t="e">
        <f t="shared" si="50"/>
        <v>#DIV/0!</v>
      </c>
      <c r="Y478" s="49" t="s">
        <v>62</v>
      </c>
    </row>
    <row r="479" customFormat="1" ht="22.5" customHeight="1" spans="1:25">
      <c r="A479" s="49" t="s">
        <v>71</v>
      </c>
      <c r="B479" s="49" t="s">
        <v>630</v>
      </c>
      <c r="C479" s="49" t="s">
        <v>451</v>
      </c>
      <c r="D479" s="64">
        <v>227357384115</v>
      </c>
      <c r="E479" s="49" t="s">
        <v>488</v>
      </c>
      <c r="F479" s="51">
        <v>46167</v>
      </c>
      <c r="G479" s="52">
        <v>46162</v>
      </c>
      <c r="H479" s="52" t="s">
        <v>149</v>
      </c>
      <c r="I479" s="52" t="s">
        <v>484</v>
      </c>
      <c r="J479" s="52" t="s">
        <v>521</v>
      </c>
      <c r="K479" s="52" t="s">
        <v>34</v>
      </c>
      <c r="L479" s="49">
        <v>7</v>
      </c>
      <c r="M479" s="49">
        <v>0</v>
      </c>
      <c r="N479" s="49">
        <v>0</v>
      </c>
      <c r="O479" s="53">
        <v>0</v>
      </c>
      <c r="P479" s="53">
        <v>0</v>
      </c>
      <c r="Q479" s="53">
        <v>0</v>
      </c>
      <c r="R479" s="54" t="e">
        <f t="shared" si="51"/>
        <v>#DIV/0!</v>
      </c>
      <c r="S479" s="55" t="e">
        <f t="shared" si="52"/>
        <v>#DIV/0!</v>
      </c>
      <c r="T479" s="55">
        <f t="shared" si="53"/>
        <v>0</v>
      </c>
      <c r="U479" s="54" t="e">
        <f t="shared" si="54"/>
        <v>#DIV/0!</v>
      </c>
      <c r="V479" s="54" t="e">
        <f t="shared" si="55"/>
        <v>#DIV/0!</v>
      </c>
      <c r="W479" s="55" t="e">
        <f t="shared" si="56"/>
        <v>#DIV/0!</v>
      </c>
      <c r="X479" s="55" t="e">
        <f t="shared" si="50"/>
        <v>#DIV/0!</v>
      </c>
      <c r="Y479" s="49" t="s">
        <v>62</v>
      </c>
    </row>
    <row r="480" customFormat="1" ht="22.5" customHeight="1" spans="1:25">
      <c r="A480" s="49" t="s">
        <v>71</v>
      </c>
      <c r="B480" s="49" t="s">
        <v>631</v>
      </c>
      <c r="C480" s="49" t="s">
        <v>451</v>
      </c>
      <c r="D480" s="64">
        <v>336595920600</v>
      </c>
      <c r="E480" s="49" t="s">
        <v>515</v>
      </c>
      <c r="F480" s="51">
        <v>46167</v>
      </c>
      <c r="G480" s="52">
        <v>46162</v>
      </c>
      <c r="H480" s="52" t="s">
        <v>149</v>
      </c>
      <c r="I480" s="52" t="s">
        <v>484</v>
      </c>
      <c r="J480" s="52" t="s">
        <v>521</v>
      </c>
      <c r="K480" s="52" t="s">
        <v>34</v>
      </c>
      <c r="L480" s="49">
        <v>4</v>
      </c>
      <c r="M480" s="49">
        <v>0</v>
      </c>
      <c r="N480" s="49">
        <v>0</v>
      </c>
      <c r="O480" s="53">
        <v>0</v>
      </c>
      <c r="P480" s="53">
        <v>0</v>
      </c>
      <c r="Q480" s="53">
        <v>0</v>
      </c>
      <c r="R480" s="54" t="e">
        <f t="shared" si="51"/>
        <v>#DIV/0!</v>
      </c>
      <c r="S480" s="55" t="e">
        <f t="shared" si="52"/>
        <v>#DIV/0!</v>
      </c>
      <c r="T480" s="55">
        <f t="shared" si="53"/>
        <v>0</v>
      </c>
      <c r="U480" s="54" t="e">
        <f t="shared" si="54"/>
        <v>#DIV/0!</v>
      </c>
      <c r="V480" s="54" t="e">
        <f t="shared" si="55"/>
        <v>#DIV/0!</v>
      </c>
      <c r="W480" s="55" t="e">
        <f t="shared" si="56"/>
        <v>#DIV/0!</v>
      </c>
      <c r="X480" s="55" t="e">
        <f t="shared" si="50"/>
        <v>#DIV/0!</v>
      </c>
      <c r="Y480" s="49" t="s">
        <v>62</v>
      </c>
    </row>
    <row r="481" customFormat="1" ht="22.5" customHeight="1" spans="1:25">
      <c r="A481" s="49" t="s">
        <v>71</v>
      </c>
      <c r="B481" s="49" t="s">
        <v>632</v>
      </c>
      <c r="C481" s="49" t="s">
        <v>453</v>
      </c>
      <c r="D481" s="64">
        <v>117208949133</v>
      </c>
      <c r="E481" s="49" t="s">
        <v>502</v>
      </c>
      <c r="F481" s="51">
        <v>46170</v>
      </c>
      <c r="G481" s="52">
        <v>46163</v>
      </c>
      <c r="H481" s="52">
        <v>46166</v>
      </c>
      <c r="I481" s="52" t="s">
        <v>505</v>
      </c>
      <c r="J481" s="52" t="s">
        <v>518</v>
      </c>
      <c r="K481" s="52" t="s">
        <v>493</v>
      </c>
      <c r="L481" s="49">
        <v>0</v>
      </c>
      <c r="M481" s="49">
        <v>0</v>
      </c>
      <c r="N481" s="49">
        <v>0</v>
      </c>
      <c r="O481" s="53">
        <v>0</v>
      </c>
      <c r="P481" s="53">
        <v>0</v>
      </c>
      <c r="Q481" s="53">
        <v>180</v>
      </c>
      <c r="R481" s="54" t="e">
        <f t="shared" si="51"/>
        <v>#DIV/0!</v>
      </c>
      <c r="S481" s="55" t="e">
        <f t="shared" si="52"/>
        <v>#DIV/0!</v>
      </c>
      <c r="T481" s="55" t="e">
        <f t="shared" si="53"/>
        <v>#DIV/0!</v>
      </c>
      <c r="U481" s="54" t="e">
        <f t="shared" si="54"/>
        <v>#DIV/0!</v>
      </c>
      <c r="V481" s="54" t="e">
        <f t="shared" si="55"/>
        <v>#DIV/0!</v>
      </c>
      <c r="W481" s="55" t="e">
        <f t="shared" si="56"/>
        <v>#DIV/0!</v>
      </c>
      <c r="X481" s="55">
        <f t="shared" si="50"/>
        <v>0</v>
      </c>
      <c r="Y481" s="49" t="s">
        <v>62</v>
      </c>
    </row>
    <row r="482" customFormat="1" ht="22.5" customHeight="1" spans="1:25">
      <c r="A482" s="49" t="s">
        <v>71</v>
      </c>
      <c r="B482" s="49" t="s">
        <v>508</v>
      </c>
      <c r="C482" s="49" t="s">
        <v>325</v>
      </c>
      <c r="D482" s="64">
        <v>188126164114</v>
      </c>
      <c r="E482" s="49" t="s">
        <v>483</v>
      </c>
      <c r="F482" s="51">
        <v>46099</v>
      </c>
      <c r="G482" s="52">
        <v>46085</v>
      </c>
      <c r="H482" s="52">
        <v>46091</v>
      </c>
      <c r="I482" s="52" t="s">
        <v>496</v>
      </c>
      <c r="J482" s="52" t="s">
        <v>497</v>
      </c>
      <c r="K482" s="52" t="s">
        <v>34</v>
      </c>
      <c r="L482" s="49">
        <v>0</v>
      </c>
      <c r="M482" s="49">
        <v>0</v>
      </c>
      <c r="N482" s="49">
        <v>0</v>
      </c>
      <c r="O482" s="53">
        <v>0</v>
      </c>
      <c r="P482" s="53">
        <v>0</v>
      </c>
      <c r="Q482" s="53">
        <v>427</v>
      </c>
      <c r="R482" s="54" t="e">
        <f t="shared" si="51"/>
        <v>#DIV/0!</v>
      </c>
      <c r="S482" s="55" t="e">
        <f t="shared" si="52"/>
        <v>#DIV/0!</v>
      </c>
      <c r="T482" s="55" t="e">
        <f t="shared" si="53"/>
        <v>#DIV/0!</v>
      </c>
      <c r="U482" s="54" t="e">
        <f t="shared" si="54"/>
        <v>#DIV/0!</v>
      </c>
      <c r="V482" s="54" t="e">
        <f t="shared" si="55"/>
        <v>#DIV/0!</v>
      </c>
      <c r="W482" s="55" t="e">
        <f t="shared" si="56"/>
        <v>#DIV/0!</v>
      </c>
      <c r="X482" s="55">
        <f t="shared" si="50"/>
        <v>0</v>
      </c>
      <c r="Y482" s="49" t="s">
        <v>49</v>
      </c>
    </row>
    <row r="483" customFormat="1" ht="22.5" customHeight="1" spans="1:25">
      <c r="A483" s="49" t="s">
        <v>71</v>
      </c>
      <c r="B483" s="49" t="s">
        <v>588</v>
      </c>
      <c r="C483" s="49" t="s">
        <v>418</v>
      </c>
      <c r="D483" s="64">
        <v>188330773414</v>
      </c>
      <c r="E483" s="49" t="s">
        <v>483</v>
      </c>
      <c r="F483" s="51">
        <v>46147</v>
      </c>
      <c r="G483" s="52">
        <v>46142</v>
      </c>
      <c r="H483" s="52">
        <v>46153</v>
      </c>
      <c r="I483" s="52" t="s">
        <v>520</v>
      </c>
      <c r="J483" s="52" t="s">
        <v>521</v>
      </c>
      <c r="K483" s="52" t="s">
        <v>34</v>
      </c>
      <c r="L483" s="49">
        <v>0</v>
      </c>
      <c r="M483" s="49">
        <v>0</v>
      </c>
      <c r="N483" s="49">
        <v>0</v>
      </c>
      <c r="O483" s="53">
        <v>0</v>
      </c>
      <c r="P483" s="53">
        <v>0</v>
      </c>
      <c r="Q483" s="53">
        <v>516</v>
      </c>
      <c r="R483" s="54" t="e">
        <f t="shared" si="51"/>
        <v>#DIV/0!</v>
      </c>
      <c r="S483" s="55" t="e">
        <f t="shared" si="52"/>
        <v>#DIV/0!</v>
      </c>
      <c r="T483" s="55" t="e">
        <f t="shared" si="53"/>
        <v>#DIV/0!</v>
      </c>
      <c r="U483" s="54" t="e">
        <f t="shared" si="54"/>
        <v>#DIV/0!</v>
      </c>
      <c r="V483" s="54" t="e">
        <f t="shared" si="55"/>
        <v>#DIV/0!</v>
      </c>
      <c r="W483" s="55" t="e">
        <f t="shared" si="56"/>
        <v>#DIV/0!</v>
      </c>
      <c r="X483" s="55">
        <f t="shared" si="50"/>
        <v>0</v>
      </c>
      <c r="Y483" s="49" t="s">
        <v>62</v>
      </c>
    </row>
    <row r="484" customFormat="1" ht="22.5" customHeight="1" spans="1:25">
      <c r="A484" s="49" t="s">
        <v>71</v>
      </c>
      <c r="B484" s="49" t="s">
        <v>600</v>
      </c>
      <c r="C484" s="49" t="s">
        <v>424</v>
      </c>
      <c r="D484" s="64">
        <v>178118173971</v>
      </c>
      <c r="E484" s="49" t="s">
        <v>483</v>
      </c>
      <c r="F484" s="51">
        <v>46151</v>
      </c>
      <c r="G484" s="52">
        <v>46151</v>
      </c>
      <c r="H484" s="52">
        <v>46162</v>
      </c>
      <c r="I484" s="52" t="s">
        <v>496</v>
      </c>
      <c r="J484" s="52" t="s">
        <v>497</v>
      </c>
      <c r="K484" s="52" t="s">
        <v>34</v>
      </c>
      <c r="L484" s="49">
        <v>0</v>
      </c>
      <c r="M484" s="49">
        <v>0</v>
      </c>
      <c r="N484" s="49">
        <v>0</v>
      </c>
      <c r="O484" s="53">
        <v>0</v>
      </c>
      <c r="P484" s="53">
        <v>0</v>
      </c>
      <c r="Q484" s="53">
        <v>198</v>
      </c>
      <c r="R484" s="54" t="e">
        <f t="shared" si="51"/>
        <v>#DIV/0!</v>
      </c>
      <c r="S484" s="55" t="e">
        <f t="shared" si="52"/>
        <v>#DIV/0!</v>
      </c>
      <c r="T484" s="55" t="e">
        <f t="shared" si="53"/>
        <v>#DIV/0!</v>
      </c>
      <c r="U484" s="54" t="e">
        <f t="shared" si="54"/>
        <v>#DIV/0!</v>
      </c>
      <c r="V484" s="54" t="e">
        <f t="shared" si="55"/>
        <v>#DIV/0!</v>
      </c>
      <c r="W484" s="55" t="e">
        <f t="shared" si="56"/>
        <v>#DIV/0!</v>
      </c>
      <c r="X484" s="55">
        <f t="shared" si="50"/>
        <v>0</v>
      </c>
      <c r="Y484" s="49" t="s">
        <v>62</v>
      </c>
    </row>
    <row r="485" customFormat="1" ht="22.5" customHeight="1" spans="1:25">
      <c r="A485" s="49" t="s">
        <v>71</v>
      </c>
      <c r="B485" s="49" t="s">
        <v>633</v>
      </c>
      <c r="C485" s="49" t="s">
        <v>449</v>
      </c>
      <c r="D485" s="64">
        <v>178149860321</v>
      </c>
      <c r="E485" s="49" t="s">
        <v>483</v>
      </c>
      <c r="F485" s="51">
        <v>46169</v>
      </c>
      <c r="G485" s="52">
        <v>46162</v>
      </c>
      <c r="H485" s="52">
        <v>46169</v>
      </c>
      <c r="I485" s="52" t="s">
        <v>520</v>
      </c>
      <c r="J485" s="52" t="s">
        <v>521</v>
      </c>
      <c r="K485" s="52" t="s">
        <v>34</v>
      </c>
      <c r="L485" s="49">
        <v>0</v>
      </c>
      <c r="M485" s="49">
        <v>0</v>
      </c>
      <c r="N485" s="49">
        <v>0</v>
      </c>
      <c r="O485" s="53">
        <v>0</v>
      </c>
      <c r="P485" s="53">
        <v>0</v>
      </c>
      <c r="Q485" s="53">
        <v>0</v>
      </c>
      <c r="R485" s="54" t="e">
        <f t="shared" si="51"/>
        <v>#DIV/0!</v>
      </c>
      <c r="S485" s="55" t="e">
        <f t="shared" si="52"/>
        <v>#DIV/0!</v>
      </c>
      <c r="T485" s="55" t="e">
        <f t="shared" si="53"/>
        <v>#DIV/0!</v>
      </c>
      <c r="U485" s="54" t="e">
        <f t="shared" si="54"/>
        <v>#DIV/0!</v>
      </c>
      <c r="V485" s="54" t="e">
        <f t="shared" si="55"/>
        <v>#DIV/0!</v>
      </c>
      <c r="W485" s="55" t="e">
        <f t="shared" si="56"/>
        <v>#DIV/0!</v>
      </c>
      <c r="X485" s="55" t="e">
        <f t="shared" si="50"/>
        <v>#DIV/0!</v>
      </c>
      <c r="Y485" s="49" t="s">
        <v>62</v>
      </c>
    </row>
    <row r="486" customFormat="1" ht="22.5" customHeight="1" spans="1:25">
      <c r="A486" s="49" t="s">
        <v>71</v>
      </c>
      <c r="B486" s="49" t="s">
        <v>634</v>
      </c>
      <c r="C486" s="49" t="s">
        <v>337</v>
      </c>
      <c r="D486" s="64">
        <v>287199986176</v>
      </c>
      <c r="E486" s="49" t="s">
        <v>511</v>
      </c>
      <c r="F486" s="51">
        <v>46170</v>
      </c>
      <c r="G486" s="52">
        <v>46092</v>
      </c>
      <c r="H486" s="52">
        <v>46100</v>
      </c>
      <c r="I486" s="52" t="s">
        <v>484</v>
      </c>
      <c r="J486" s="52" t="s">
        <v>485</v>
      </c>
      <c r="K486" s="52" t="s">
        <v>34</v>
      </c>
      <c r="L486" s="49">
        <v>0</v>
      </c>
      <c r="M486" s="49">
        <v>0</v>
      </c>
      <c r="N486" s="49">
        <v>0</v>
      </c>
      <c r="O486" s="53">
        <v>0</v>
      </c>
      <c r="P486" s="53">
        <v>0</v>
      </c>
      <c r="Q486" s="53">
        <v>73.99</v>
      </c>
      <c r="R486" s="54" t="e">
        <f t="shared" si="51"/>
        <v>#DIV/0!</v>
      </c>
      <c r="S486" s="55" t="e">
        <f t="shared" si="52"/>
        <v>#DIV/0!</v>
      </c>
      <c r="T486" s="55" t="e">
        <f t="shared" si="53"/>
        <v>#DIV/0!</v>
      </c>
      <c r="U486" s="54" t="e">
        <f t="shared" si="54"/>
        <v>#DIV/0!</v>
      </c>
      <c r="V486" s="54" t="e">
        <f t="shared" si="55"/>
        <v>#DIV/0!</v>
      </c>
      <c r="W486" s="55" t="e">
        <f t="shared" si="56"/>
        <v>#DIV/0!</v>
      </c>
      <c r="X486" s="55">
        <f t="shared" si="50"/>
        <v>0</v>
      </c>
      <c r="Y486" s="49" t="s">
        <v>49</v>
      </c>
    </row>
    <row r="1048323" ht="14.25" customHeight="1"/>
    <row r="1048324" customFormat="1" ht="15.75" customHeight="1" spans="4:25">
      <c r="D1048324" s="23"/>
      <c r="G1048324" s="24"/>
      <c r="Y1048324" s="37"/>
    </row>
    <row r="1048325" customFormat="1" ht="17.25" customHeight="1" spans="4:25">
      <c r="D1048325" s="23"/>
      <c r="G1048325" s="24"/>
      <c r="Y1048325" s="48"/>
    </row>
    <row r="1048326" customFormat="1" ht="16.5" customHeight="1" spans="4:25">
      <c r="D1048326" s="23"/>
      <c r="G1048326" s="24"/>
      <c r="Y1048326" s="55"/>
    </row>
    <row r="1048327" customFormat="1" ht="16.5" customHeight="1" spans="4:25">
      <c r="D1048327" s="23"/>
      <c r="G1048327" s="24"/>
      <c r="Y1048327" s="55"/>
    </row>
    <row r="1048328" customFormat="1" ht="16.5" customHeight="1" spans="4:25">
      <c r="D1048328" s="23"/>
      <c r="G1048328" s="24"/>
      <c r="Y1048328" s="55"/>
    </row>
    <row r="1048329" customFormat="1" ht="16.5" customHeight="1" spans="4:25">
      <c r="D1048329" s="23"/>
      <c r="G1048329" s="24"/>
      <c r="Y1048329" s="55"/>
    </row>
    <row r="1048330" customFormat="1" ht="16.5" customHeight="1" spans="4:25">
      <c r="D1048330" s="23"/>
      <c r="G1048330" s="24"/>
      <c r="Y1048330" s="55"/>
    </row>
    <row r="1048331" customFormat="1" ht="16.5" customHeight="1" spans="4:25">
      <c r="D1048331" s="23"/>
      <c r="G1048331" s="24"/>
      <c r="Y1048331" s="55"/>
    </row>
    <row r="1048332" customFormat="1" ht="16.5" customHeight="1" spans="4:25">
      <c r="D1048332" s="23"/>
      <c r="G1048332" s="24"/>
      <c r="Y1048332" s="55"/>
    </row>
    <row r="1048333" customFormat="1" ht="16.5" customHeight="1" spans="4:25">
      <c r="D1048333" s="23"/>
      <c r="G1048333" s="24"/>
      <c r="Y1048333" s="55"/>
    </row>
    <row r="1048334" customFormat="1" ht="16.5" customHeight="1" spans="4:25">
      <c r="D1048334" s="23"/>
      <c r="G1048334" s="24"/>
      <c r="Y1048334" s="55"/>
    </row>
    <row r="1048335" customFormat="1" ht="16.5" customHeight="1" spans="4:25">
      <c r="D1048335" s="23"/>
      <c r="G1048335" s="24"/>
      <c r="Y1048335" s="55"/>
    </row>
    <row r="1048336" customFormat="1" ht="16.5" customHeight="1" spans="4:25">
      <c r="D1048336" s="23"/>
      <c r="G1048336" s="24"/>
      <c r="Y1048336" s="55"/>
    </row>
    <row r="1048337" customFormat="1" ht="16.5" customHeight="1" spans="4:25">
      <c r="D1048337" s="23"/>
      <c r="G1048337" s="24"/>
      <c r="Y1048337" s="55"/>
    </row>
    <row r="1048338" customFormat="1" ht="16.5" customHeight="1" spans="4:25">
      <c r="D1048338" s="23"/>
      <c r="G1048338" s="24"/>
      <c r="Y1048338" s="55"/>
    </row>
    <row r="1048339" customFormat="1" ht="16.5" customHeight="1" spans="4:25">
      <c r="D1048339" s="23"/>
      <c r="G1048339" s="24"/>
      <c r="Y1048339" s="55"/>
    </row>
    <row r="1048340" customFormat="1" ht="16.5" customHeight="1" spans="4:25">
      <c r="D1048340" s="23"/>
      <c r="G1048340" s="24"/>
      <c r="Y1048340" s="55"/>
    </row>
    <row r="1048341" customFormat="1" ht="16.5" customHeight="1" spans="4:25">
      <c r="D1048341" s="23"/>
      <c r="G1048341" s="24"/>
      <c r="Y1048341" s="55"/>
    </row>
    <row r="1048342" customFormat="1" ht="16.5" customHeight="1" spans="4:25">
      <c r="D1048342" s="23"/>
      <c r="G1048342" s="24"/>
      <c r="Y1048342" s="55"/>
    </row>
    <row r="1048343" customFormat="1" ht="16.5" customHeight="1" spans="4:25">
      <c r="D1048343" s="23"/>
      <c r="G1048343" s="24"/>
      <c r="Y1048343" s="55"/>
    </row>
    <row r="1048344" customFormat="1" ht="16.5" customHeight="1" spans="4:25">
      <c r="D1048344" s="23"/>
      <c r="G1048344" s="24"/>
      <c r="Y1048344" s="55"/>
    </row>
    <row r="1048345" customFormat="1" ht="16.5" customHeight="1" spans="4:25">
      <c r="D1048345" s="23"/>
      <c r="G1048345" s="24"/>
      <c r="Y1048345" s="55"/>
    </row>
    <row r="1048346" customFormat="1" ht="16.5" customHeight="1" spans="4:25">
      <c r="D1048346" s="23"/>
      <c r="G1048346" s="24"/>
      <c r="Y1048346" s="55"/>
    </row>
    <row r="1048347" customFormat="1" ht="16.5" customHeight="1" spans="4:25">
      <c r="D1048347" s="23"/>
      <c r="G1048347" s="24"/>
      <c r="Y1048347" s="55"/>
    </row>
    <row r="1048348" customFormat="1" ht="16.5" customHeight="1" spans="4:25">
      <c r="D1048348" s="23"/>
      <c r="G1048348" s="24"/>
      <c r="Y1048348" s="55"/>
    </row>
    <row r="1048349" customFormat="1" ht="16.5" customHeight="1" spans="4:25">
      <c r="D1048349" s="23"/>
      <c r="G1048349" s="24"/>
      <c r="Y1048349" s="55"/>
    </row>
    <row r="1048350" customFormat="1" ht="16.5" customHeight="1" spans="4:25">
      <c r="D1048350" s="23"/>
      <c r="G1048350" s="24"/>
      <c r="Y1048350" s="55"/>
    </row>
    <row r="1048351" customFormat="1" ht="16.5" customHeight="1" spans="4:25">
      <c r="D1048351" s="23"/>
      <c r="G1048351" s="24"/>
      <c r="Y1048351" s="55"/>
    </row>
    <row r="1048352" customFormat="1" ht="16.5" customHeight="1" spans="4:25">
      <c r="D1048352" s="23"/>
      <c r="G1048352" s="24"/>
      <c r="Y1048352" s="55"/>
    </row>
    <row r="1048353" customFormat="1" ht="16.5" customHeight="1" spans="4:25">
      <c r="D1048353" s="23"/>
      <c r="G1048353" s="24"/>
      <c r="Y1048353" s="55"/>
    </row>
    <row r="1048354" customFormat="1" ht="16.5" customHeight="1" spans="4:25">
      <c r="D1048354" s="23"/>
      <c r="G1048354" s="24"/>
      <c r="Y1048354" s="55"/>
    </row>
    <row r="1048355" customFormat="1" ht="16.5" customHeight="1" spans="4:25">
      <c r="D1048355" s="23"/>
      <c r="G1048355" s="24"/>
      <c r="Y1048355" s="55"/>
    </row>
    <row r="1048356" customFormat="1" ht="16.5" customHeight="1" spans="4:25">
      <c r="D1048356" s="23"/>
      <c r="G1048356" s="24"/>
      <c r="Y1048356" s="55"/>
    </row>
    <row r="1048357" customFormat="1" ht="16.5" customHeight="1" spans="4:25">
      <c r="D1048357" s="23"/>
      <c r="G1048357" s="24"/>
      <c r="Y1048357" s="55"/>
    </row>
    <row r="1048358" customFormat="1" ht="16.5" customHeight="1" spans="4:25">
      <c r="D1048358" s="23"/>
      <c r="G1048358" s="24"/>
      <c r="Y1048358" s="55"/>
    </row>
    <row r="1048359" customFormat="1" ht="16.5" customHeight="1" spans="4:25">
      <c r="D1048359" s="23"/>
      <c r="G1048359" s="24"/>
      <c r="Y1048359" s="55"/>
    </row>
    <row r="1048360" customFormat="1" ht="16.5" customHeight="1" spans="4:25">
      <c r="D1048360" s="23"/>
      <c r="G1048360" s="24"/>
      <c r="Y1048360" s="55"/>
    </row>
    <row r="1048361" customFormat="1" ht="16.5" customHeight="1" spans="4:25">
      <c r="D1048361" s="23"/>
      <c r="G1048361" s="24"/>
      <c r="Y1048361" s="55"/>
    </row>
    <row r="1048362" customFormat="1" ht="16.5" customHeight="1" spans="4:25">
      <c r="D1048362" s="23"/>
      <c r="G1048362" s="24"/>
      <c r="Y1048362" s="55"/>
    </row>
    <row r="1048363" customFormat="1" ht="16.5" customHeight="1" spans="4:25">
      <c r="D1048363" s="23"/>
      <c r="G1048363" s="24"/>
      <c r="Y1048363" s="55"/>
    </row>
    <row r="1048364" customFormat="1" ht="16.5" customHeight="1" spans="4:25">
      <c r="D1048364" s="23"/>
      <c r="G1048364" s="24"/>
      <c r="Y1048364" s="55"/>
    </row>
    <row r="1048365" customFormat="1" ht="16.5" customHeight="1" spans="4:25">
      <c r="D1048365" s="23"/>
      <c r="G1048365" s="24"/>
      <c r="Y1048365" s="55"/>
    </row>
    <row r="1048366" customFormat="1" ht="16.5" customHeight="1" spans="4:25">
      <c r="D1048366" s="23"/>
      <c r="G1048366" s="24"/>
      <c r="Y1048366" s="55"/>
    </row>
    <row r="1048367" customFormat="1" ht="16.5" customHeight="1" spans="4:25">
      <c r="D1048367" s="23"/>
      <c r="G1048367" s="24"/>
      <c r="Y1048367" s="55"/>
    </row>
    <row r="1048368" customFormat="1" ht="16.5" customHeight="1" spans="4:25">
      <c r="D1048368" s="23"/>
      <c r="G1048368" s="24"/>
      <c r="Y1048368" s="55"/>
    </row>
    <row r="1048369" customFormat="1" ht="16.5" customHeight="1" spans="4:25">
      <c r="D1048369" s="23"/>
      <c r="G1048369" s="24"/>
      <c r="Y1048369" s="55"/>
    </row>
    <row r="1048370" customFormat="1" ht="16.5" customHeight="1" spans="4:25">
      <c r="D1048370" s="23"/>
      <c r="G1048370" s="24"/>
      <c r="Y1048370" s="55"/>
    </row>
    <row r="1048371" customFormat="1" ht="16.5" customHeight="1" spans="4:25">
      <c r="D1048371" s="23"/>
      <c r="G1048371" s="24"/>
      <c r="Y1048371" s="55"/>
    </row>
    <row r="1048372" customFormat="1" ht="16.5" customHeight="1" spans="4:25">
      <c r="D1048372" s="23"/>
      <c r="G1048372" s="24"/>
      <c r="Y1048372" s="55"/>
    </row>
    <row r="1048373" customFormat="1" ht="16.5" customHeight="1" spans="4:25">
      <c r="D1048373" s="23"/>
      <c r="G1048373" s="24"/>
      <c r="Y1048373" s="55"/>
    </row>
    <row r="1048374" customFormat="1" ht="16.5" customHeight="1" spans="4:25">
      <c r="D1048374" s="23"/>
      <c r="G1048374" s="24"/>
      <c r="Y1048374" s="55"/>
    </row>
    <row r="1048375" customFormat="1" ht="16.5" customHeight="1" spans="4:25">
      <c r="D1048375" s="23"/>
      <c r="G1048375" s="24"/>
      <c r="Y1048375" s="55"/>
    </row>
    <row r="1048376" customFormat="1" ht="16.5" customHeight="1" spans="4:25">
      <c r="D1048376" s="23"/>
      <c r="G1048376" s="24"/>
      <c r="Y1048376" s="55"/>
    </row>
    <row r="1048377" customFormat="1" ht="16.5" customHeight="1" spans="4:25">
      <c r="D1048377" s="23"/>
      <c r="G1048377" s="24"/>
      <c r="Y1048377" s="55"/>
    </row>
    <row r="1048378" customFormat="1" ht="16.5" customHeight="1" spans="4:25">
      <c r="D1048378" s="23"/>
      <c r="G1048378" s="24"/>
      <c r="Y1048378" s="55"/>
    </row>
  </sheetData>
  <mergeCells count="21">
    <mergeCell ref="C2:E2"/>
    <mergeCell ref="F2:I2"/>
    <mergeCell ref="J2:K2"/>
    <mergeCell ref="C59:E59"/>
    <mergeCell ref="F59:I59"/>
    <mergeCell ref="J59:K59"/>
    <mergeCell ref="C120:E120"/>
    <mergeCell ref="F120:I120"/>
    <mergeCell ref="J120:K120"/>
    <mergeCell ref="C184:E184"/>
    <mergeCell ref="F184:I184"/>
    <mergeCell ref="J184:K184"/>
    <mergeCell ref="C238:E238"/>
    <mergeCell ref="F238:I238"/>
    <mergeCell ref="J238:K238"/>
    <mergeCell ref="C309:E309"/>
    <mergeCell ref="F309:I309"/>
    <mergeCell ref="J309:K309"/>
    <mergeCell ref="C393:E393"/>
    <mergeCell ref="F393:I393"/>
    <mergeCell ref="J393:K39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7984"/>
  <sheetViews>
    <sheetView workbookViewId="0">
      <selection activeCell="Q4" sqref="Q4"/>
    </sheetView>
  </sheetViews>
  <sheetFormatPr defaultColWidth="9" defaultRowHeight="13.5" outlineLevelCol="5"/>
  <cols>
    <col min="1" max="1" width="10.8416666666667" customWidth="1"/>
    <col min="2" max="6" width="12.0083333333333" style="5" customWidth="1"/>
  </cols>
  <sheetData>
    <row r="1" ht="30" customHeight="1" spans="1:6">
      <c r="A1" s="6" t="s">
        <v>635</v>
      </c>
      <c r="B1" s="6" t="s">
        <v>636</v>
      </c>
      <c r="C1" s="7" t="s">
        <v>637</v>
      </c>
      <c r="D1" s="7" t="s">
        <v>638</v>
      </c>
      <c r="E1" s="7"/>
      <c r="F1" s="7"/>
    </row>
    <row r="2" ht="16.5" customHeight="1" spans="1:6">
      <c r="A2" s="8" t="s">
        <v>639</v>
      </c>
      <c r="B2" s="8" t="s">
        <v>639</v>
      </c>
      <c r="C2" s="9">
        <v>3877</v>
      </c>
      <c r="D2" s="10">
        <v>275290.47</v>
      </c>
      <c r="E2" s="9"/>
      <c r="F2" s="10"/>
    </row>
    <row r="3" ht="16.5" customHeight="1" spans="1:6">
      <c r="A3" s="11">
        <v>243</v>
      </c>
      <c r="B3" s="11" t="s">
        <v>640</v>
      </c>
      <c r="C3" s="12">
        <v>5</v>
      </c>
      <c r="D3" s="13">
        <v>443.17</v>
      </c>
      <c r="E3" s="12"/>
      <c r="F3" s="13"/>
    </row>
    <row r="4" ht="16.5" customHeight="1" spans="1:6">
      <c r="A4" s="11">
        <v>260</v>
      </c>
      <c r="B4" s="11" t="s">
        <v>641</v>
      </c>
      <c r="C4" s="12">
        <v>2</v>
      </c>
      <c r="D4" s="13">
        <v>71.64</v>
      </c>
      <c r="E4" s="12"/>
      <c r="F4" s="13"/>
    </row>
    <row r="5" ht="49.5" customHeight="1" spans="1:6">
      <c r="A5" s="11">
        <v>278</v>
      </c>
      <c r="B5" s="11" t="s">
        <v>642</v>
      </c>
      <c r="C5" s="12">
        <v>7</v>
      </c>
      <c r="D5" s="13">
        <v>230.66</v>
      </c>
      <c r="E5" s="12"/>
      <c r="F5" s="13"/>
    </row>
    <row r="6" ht="16.5" customHeight="1" spans="1:6">
      <c r="A6" s="11">
        <v>290</v>
      </c>
      <c r="B6" s="11" t="s">
        <v>643</v>
      </c>
      <c r="C6" s="12">
        <v>2</v>
      </c>
      <c r="D6" s="13">
        <v>221.18</v>
      </c>
      <c r="E6" s="12"/>
      <c r="F6" s="13"/>
    </row>
    <row r="7" ht="16.5" customHeight="1" spans="1:6">
      <c r="A7" s="11">
        <v>338</v>
      </c>
      <c r="B7" s="11" t="s">
        <v>644</v>
      </c>
      <c r="C7" s="12">
        <v>5</v>
      </c>
      <c r="D7" s="13">
        <v>200.76</v>
      </c>
      <c r="E7" s="12"/>
      <c r="F7" s="13"/>
    </row>
    <row r="8" ht="16.5" customHeight="1" spans="1:6">
      <c r="A8" s="11">
        <v>347</v>
      </c>
      <c r="B8" s="11" t="s">
        <v>645</v>
      </c>
      <c r="C8" s="12">
        <v>0</v>
      </c>
      <c r="D8" s="13">
        <v>0</v>
      </c>
      <c r="E8" s="12"/>
      <c r="F8" s="13"/>
    </row>
    <row r="9" ht="16.5" customHeight="1" spans="1:6">
      <c r="A9" s="11">
        <v>349</v>
      </c>
      <c r="B9" s="11" t="s">
        <v>646</v>
      </c>
      <c r="C9" s="12">
        <v>3</v>
      </c>
      <c r="D9" s="13">
        <v>365.83</v>
      </c>
      <c r="E9" s="12"/>
      <c r="F9" s="13"/>
    </row>
    <row r="10" ht="16.5" customHeight="1" spans="1:6">
      <c r="A10" s="11">
        <v>350</v>
      </c>
      <c r="B10" s="11" t="s">
        <v>647</v>
      </c>
      <c r="C10" s="12">
        <v>0</v>
      </c>
      <c r="D10" s="13">
        <v>0</v>
      </c>
      <c r="E10" s="12"/>
      <c r="F10" s="13"/>
    </row>
    <row r="11" ht="16.5" customHeight="1" spans="1:6">
      <c r="A11" s="11">
        <v>3102</v>
      </c>
      <c r="B11" s="11" t="s">
        <v>648</v>
      </c>
      <c r="C11" s="12">
        <v>0</v>
      </c>
      <c r="D11" s="13">
        <v>0</v>
      </c>
      <c r="E11" s="12"/>
      <c r="F11" s="13"/>
    </row>
    <row r="12" ht="16.5" customHeight="1" spans="1:6">
      <c r="A12" s="11">
        <v>359</v>
      </c>
      <c r="B12" s="11" t="s">
        <v>649</v>
      </c>
      <c r="C12" s="12">
        <v>1</v>
      </c>
      <c r="D12" s="13">
        <v>41.78</v>
      </c>
      <c r="E12" s="12"/>
      <c r="F12" s="13"/>
    </row>
    <row r="13" ht="16.5" customHeight="1" spans="1:6">
      <c r="A13" s="11">
        <v>2547</v>
      </c>
      <c r="B13" s="11" t="s">
        <v>650</v>
      </c>
      <c r="C13" s="12">
        <v>0</v>
      </c>
      <c r="D13" s="13">
        <v>0</v>
      </c>
      <c r="E13" s="12"/>
      <c r="F13" s="13"/>
    </row>
    <row r="14" ht="49.5" customHeight="1" spans="1:6">
      <c r="A14" s="11">
        <v>3242</v>
      </c>
      <c r="B14" s="11" t="s">
        <v>651</v>
      </c>
      <c r="C14" s="12">
        <v>2</v>
      </c>
      <c r="D14" s="13">
        <v>75.85</v>
      </c>
      <c r="E14" s="12"/>
      <c r="F14" s="13"/>
    </row>
    <row r="15" ht="16.5" customHeight="1" spans="1:6">
      <c r="A15" s="11">
        <v>3187</v>
      </c>
      <c r="B15" s="11" t="s">
        <v>652</v>
      </c>
      <c r="C15" s="12">
        <v>1</v>
      </c>
      <c r="D15" s="13">
        <v>170.99</v>
      </c>
      <c r="E15" s="12"/>
      <c r="F15" s="13"/>
    </row>
    <row r="16" ht="16.5" customHeight="1" spans="1:6">
      <c r="A16" s="11">
        <v>423</v>
      </c>
      <c r="B16" s="11" t="s">
        <v>653</v>
      </c>
      <c r="C16" s="12">
        <v>1</v>
      </c>
      <c r="D16" s="13">
        <v>30.99</v>
      </c>
      <c r="E16" s="12"/>
      <c r="F16" s="13"/>
    </row>
    <row r="17" ht="16.5" customHeight="1" spans="1:6">
      <c r="A17" s="11">
        <v>425</v>
      </c>
      <c r="B17" s="11" t="s">
        <v>654</v>
      </c>
      <c r="C17" s="12">
        <v>1</v>
      </c>
      <c r="D17" s="13">
        <v>39.38</v>
      </c>
      <c r="E17" s="12"/>
      <c r="F17" s="13"/>
    </row>
    <row r="18" ht="16.5" customHeight="1" spans="1:6">
      <c r="A18" s="11">
        <v>656</v>
      </c>
      <c r="B18" s="11" t="s">
        <v>655</v>
      </c>
      <c r="C18" s="12">
        <v>11</v>
      </c>
      <c r="D18" s="13">
        <v>91.52</v>
      </c>
      <c r="E18" s="12"/>
      <c r="F18" s="13"/>
    </row>
    <row r="19" ht="16.5" customHeight="1" spans="1:6">
      <c r="A19" s="11">
        <v>3597</v>
      </c>
      <c r="B19" s="11" t="s">
        <v>656</v>
      </c>
      <c r="C19" s="12">
        <v>0</v>
      </c>
      <c r="D19" s="13">
        <v>0</v>
      </c>
      <c r="E19" s="12"/>
      <c r="F19" s="13"/>
    </row>
    <row r="20" ht="16.5" customHeight="1" spans="1:6">
      <c r="A20" s="11">
        <v>3013</v>
      </c>
      <c r="B20" s="11" t="s">
        <v>657</v>
      </c>
      <c r="C20" s="12">
        <v>2</v>
      </c>
      <c r="D20" s="13">
        <v>321.69</v>
      </c>
      <c r="E20" s="12"/>
      <c r="F20" s="13"/>
    </row>
    <row r="21" ht="16.5" customHeight="1" spans="1:6">
      <c r="A21" s="11">
        <v>3024</v>
      </c>
      <c r="B21" s="11" t="s">
        <v>658</v>
      </c>
      <c r="C21" s="12">
        <v>2</v>
      </c>
      <c r="D21" s="13">
        <v>177.19</v>
      </c>
      <c r="E21" s="12"/>
      <c r="F21" s="13"/>
    </row>
    <row r="22" ht="16.5" customHeight="1" spans="1:6">
      <c r="A22" s="11">
        <v>3103</v>
      </c>
      <c r="B22" s="11" t="s">
        <v>659</v>
      </c>
      <c r="C22" s="12">
        <v>1</v>
      </c>
      <c r="D22" s="13">
        <v>145.5</v>
      </c>
      <c r="E22" s="12"/>
      <c r="F22" s="13"/>
    </row>
    <row r="23" ht="16.5" customHeight="1" spans="1:6">
      <c r="A23" s="11">
        <v>3249</v>
      </c>
      <c r="B23" s="11" t="s">
        <v>660</v>
      </c>
      <c r="C23" s="12">
        <v>0</v>
      </c>
      <c r="D23" s="13">
        <v>0</v>
      </c>
      <c r="E23" s="12"/>
      <c r="F23" s="13"/>
    </row>
    <row r="24" ht="16.5" customHeight="1" spans="1:6">
      <c r="A24" s="11">
        <v>3231</v>
      </c>
      <c r="B24" s="11" t="s">
        <v>661</v>
      </c>
      <c r="C24" s="12">
        <v>2</v>
      </c>
      <c r="D24" s="13">
        <v>193.56</v>
      </c>
      <c r="E24" s="12"/>
      <c r="F24" s="13"/>
    </row>
    <row r="25" ht="16.5" customHeight="1" spans="1:6">
      <c r="A25" s="11">
        <v>3043</v>
      </c>
      <c r="B25" s="11" t="s">
        <v>662</v>
      </c>
      <c r="C25" s="12">
        <v>0</v>
      </c>
      <c r="D25" s="13">
        <v>0</v>
      </c>
      <c r="E25" s="12"/>
      <c r="F25" s="13"/>
    </row>
    <row r="26" ht="16.5" customHeight="1" spans="1:6">
      <c r="A26" s="11">
        <v>3104</v>
      </c>
      <c r="B26" s="11" t="s">
        <v>663</v>
      </c>
      <c r="C26" s="12">
        <v>4</v>
      </c>
      <c r="D26" s="13">
        <v>390.53</v>
      </c>
      <c r="E26" s="12"/>
      <c r="F26" s="13"/>
    </row>
    <row r="27" ht="16.5" customHeight="1" spans="1:6">
      <c r="A27" s="11">
        <v>2712</v>
      </c>
      <c r="B27" s="11" t="s">
        <v>664</v>
      </c>
      <c r="C27" s="12">
        <v>1</v>
      </c>
      <c r="D27" s="13">
        <v>107.25</v>
      </c>
      <c r="E27" s="12"/>
      <c r="F27" s="13"/>
    </row>
    <row r="28" ht="16.5" customHeight="1" spans="1:6">
      <c r="A28" s="11">
        <v>2732</v>
      </c>
      <c r="B28" s="11" t="s">
        <v>665</v>
      </c>
      <c r="C28" s="12">
        <v>2</v>
      </c>
      <c r="D28" s="13">
        <v>170.4</v>
      </c>
      <c r="E28" s="12"/>
      <c r="F28" s="13"/>
    </row>
    <row r="29" ht="16.5" customHeight="1" spans="1:6">
      <c r="A29" s="11">
        <v>1030</v>
      </c>
      <c r="B29" s="11" t="s">
        <v>666</v>
      </c>
      <c r="C29" s="12">
        <v>2</v>
      </c>
      <c r="D29" s="13">
        <v>138.78</v>
      </c>
      <c r="E29" s="12"/>
      <c r="F29" s="13"/>
    </row>
    <row r="30" ht="16.5" customHeight="1" spans="1:6">
      <c r="A30" s="11">
        <v>1031</v>
      </c>
      <c r="B30" s="11" t="s">
        <v>667</v>
      </c>
      <c r="C30" s="12">
        <v>3</v>
      </c>
      <c r="D30" s="13">
        <v>512.97</v>
      </c>
      <c r="E30" s="12"/>
      <c r="F30" s="13"/>
    </row>
    <row r="31" ht="16.5" customHeight="1" spans="1:6">
      <c r="A31" s="11">
        <v>1140</v>
      </c>
      <c r="B31" s="11" t="s">
        <v>668</v>
      </c>
      <c r="C31" s="12">
        <v>2</v>
      </c>
      <c r="D31" s="13">
        <v>169.98</v>
      </c>
      <c r="E31" s="12"/>
      <c r="F31" s="13"/>
    </row>
    <row r="32" ht="16.5" customHeight="1" spans="1:6">
      <c r="A32" s="11">
        <v>1144</v>
      </c>
      <c r="B32" s="11" t="s">
        <v>669</v>
      </c>
      <c r="C32" s="12">
        <v>5</v>
      </c>
      <c r="D32" s="13">
        <v>193.2</v>
      </c>
      <c r="E32" s="12"/>
      <c r="F32" s="13"/>
    </row>
    <row r="33" ht="16.5" customHeight="1" spans="1:6">
      <c r="A33" s="11">
        <v>1203</v>
      </c>
      <c r="B33" s="11" t="s">
        <v>670</v>
      </c>
      <c r="C33" s="12">
        <v>3</v>
      </c>
      <c r="D33" s="13">
        <v>119.97</v>
      </c>
      <c r="E33" s="12"/>
      <c r="F33" s="13"/>
    </row>
    <row r="34" ht="49.5" customHeight="1" spans="1:6">
      <c r="A34" s="11">
        <v>1251</v>
      </c>
      <c r="B34" s="11" t="s">
        <v>671</v>
      </c>
      <c r="C34" s="12">
        <v>0</v>
      </c>
      <c r="D34" s="13">
        <v>0</v>
      </c>
      <c r="E34" s="12"/>
      <c r="F34" s="13"/>
    </row>
    <row r="35" ht="16.5" customHeight="1" spans="1:6">
      <c r="A35" s="11">
        <v>1407</v>
      </c>
      <c r="B35" s="11" t="s">
        <v>672</v>
      </c>
      <c r="C35" s="12">
        <v>0</v>
      </c>
      <c r="D35" s="13">
        <v>0</v>
      </c>
      <c r="E35" s="12"/>
      <c r="F35" s="13"/>
    </row>
    <row r="36" ht="16.5" customHeight="1" spans="1:6">
      <c r="A36" s="11">
        <v>1446</v>
      </c>
      <c r="B36" s="11" t="s">
        <v>673</v>
      </c>
      <c r="C36" s="12">
        <v>1</v>
      </c>
      <c r="D36" s="13">
        <v>54.49</v>
      </c>
      <c r="E36" s="12"/>
      <c r="F36" s="13"/>
    </row>
    <row r="37" ht="16.5" customHeight="1" spans="1:6">
      <c r="A37" s="11">
        <v>1587</v>
      </c>
      <c r="B37" s="11" t="s">
        <v>674</v>
      </c>
      <c r="C37" s="12">
        <v>1</v>
      </c>
      <c r="D37" s="13">
        <v>115.99</v>
      </c>
      <c r="E37" s="12"/>
      <c r="F37" s="13"/>
    </row>
    <row r="38" ht="16.5" customHeight="1" spans="1:6">
      <c r="A38" s="11">
        <v>1655</v>
      </c>
      <c r="B38" s="11" t="s">
        <v>675</v>
      </c>
      <c r="C38" s="12">
        <v>9</v>
      </c>
      <c r="D38" s="13">
        <v>972.57</v>
      </c>
      <c r="E38" s="12"/>
      <c r="F38" s="13"/>
    </row>
    <row r="39" ht="16.5" customHeight="1" spans="1:6">
      <c r="A39" s="11">
        <v>1657</v>
      </c>
      <c r="B39" s="11" t="s">
        <v>676</v>
      </c>
      <c r="C39" s="12">
        <v>5</v>
      </c>
      <c r="D39" s="13">
        <v>368.2</v>
      </c>
      <c r="E39" s="12"/>
      <c r="F39" s="13"/>
    </row>
    <row r="40" ht="16.5" customHeight="1" spans="1:6">
      <c r="A40" s="11">
        <v>1690</v>
      </c>
      <c r="B40" s="11" t="s">
        <v>677</v>
      </c>
      <c r="C40" s="12">
        <v>0</v>
      </c>
      <c r="D40" s="13">
        <v>0</v>
      </c>
      <c r="E40" s="12"/>
      <c r="F40" s="13"/>
    </row>
    <row r="41" ht="16.5" customHeight="1" spans="1:6">
      <c r="A41" s="11">
        <v>1694</v>
      </c>
      <c r="B41" s="11" t="s">
        <v>678</v>
      </c>
      <c r="C41" s="12">
        <v>3</v>
      </c>
      <c r="D41" s="13">
        <v>269.7</v>
      </c>
      <c r="E41" s="12"/>
      <c r="F41" s="13"/>
    </row>
    <row r="42" ht="16.5" customHeight="1" spans="1:6">
      <c r="A42" s="11">
        <v>1696</v>
      </c>
      <c r="B42" s="11" t="s">
        <v>679</v>
      </c>
      <c r="C42" s="12">
        <v>4</v>
      </c>
      <c r="D42" s="13">
        <v>235.16</v>
      </c>
      <c r="E42" s="12"/>
      <c r="F42" s="13"/>
    </row>
    <row r="43" ht="16.5" customHeight="1" spans="1:6">
      <c r="A43" s="11">
        <v>1705</v>
      </c>
      <c r="B43" s="11" t="s">
        <v>680</v>
      </c>
      <c r="C43" s="12">
        <v>5</v>
      </c>
      <c r="D43" s="13">
        <v>325.6</v>
      </c>
      <c r="E43" s="12"/>
      <c r="F43" s="13"/>
    </row>
    <row r="44" ht="16.5" customHeight="1" spans="1:6">
      <c r="A44" s="11">
        <v>1715</v>
      </c>
      <c r="B44" s="11" t="s">
        <v>681</v>
      </c>
      <c r="C44" s="12">
        <v>0</v>
      </c>
      <c r="D44" s="13">
        <v>0</v>
      </c>
      <c r="E44" s="12"/>
      <c r="F44" s="13"/>
    </row>
    <row r="45" ht="16.5" customHeight="1" spans="1:6">
      <c r="A45" s="11">
        <v>1727</v>
      </c>
      <c r="B45" s="11" t="s">
        <v>682</v>
      </c>
      <c r="C45" s="12">
        <v>5</v>
      </c>
      <c r="D45" s="13">
        <v>796.8</v>
      </c>
      <c r="E45" s="12"/>
      <c r="F45" s="13"/>
    </row>
    <row r="46" ht="16.5" customHeight="1" spans="1:6">
      <c r="A46" s="11">
        <v>1734</v>
      </c>
      <c r="B46" s="11" t="s">
        <v>683</v>
      </c>
      <c r="C46" s="12">
        <v>4</v>
      </c>
      <c r="D46" s="13">
        <v>540</v>
      </c>
      <c r="E46" s="12"/>
      <c r="F46" s="13"/>
    </row>
    <row r="47" ht="16.5" customHeight="1" spans="1:6">
      <c r="A47" s="11">
        <v>1748</v>
      </c>
      <c r="B47" s="11" t="s">
        <v>684</v>
      </c>
      <c r="C47" s="12">
        <v>2</v>
      </c>
      <c r="D47" s="13">
        <v>133</v>
      </c>
      <c r="E47" s="12"/>
      <c r="F47" s="13"/>
    </row>
    <row r="48" ht="16.5" customHeight="1" spans="1:6">
      <c r="A48" s="11">
        <v>108</v>
      </c>
      <c r="B48" s="11" t="s">
        <v>685</v>
      </c>
      <c r="C48" s="12">
        <v>7</v>
      </c>
      <c r="D48" s="13">
        <v>396.78</v>
      </c>
      <c r="E48" s="12"/>
      <c r="F48" s="13"/>
    </row>
    <row r="49" ht="16.5" customHeight="1" spans="1:6">
      <c r="A49" s="11">
        <v>109</v>
      </c>
      <c r="B49" s="11" t="s">
        <v>686</v>
      </c>
      <c r="C49" s="12">
        <v>2</v>
      </c>
      <c r="D49" s="13">
        <v>91.4</v>
      </c>
      <c r="E49" s="12"/>
      <c r="F49" s="13"/>
    </row>
    <row r="50" ht="16.5" customHeight="1" spans="1:6">
      <c r="A50" s="11">
        <v>2623</v>
      </c>
      <c r="B50" s="11" t="s">
        <v>687</v>
      </c>
      <c r="C50" s="12">
        <v>2</v>
      </c>
      <c r="D50" s="13">
        <v>215.6</v>
      </c>
      <c r="E50" s="12"/>
      <c r="F50" s="13"/>
    </row>
    <row r="51" ht="16.5" customHeight="1" spans="1:6">
      <c r="A51" s="11">
        <v>111</v>
      </c>
      <c r="B51" s="11" t="s">
        <v>688</v>
      </c>
      <c r="C51" s="12">
        <v>2</v>
      </c>
      <c r="D51" s="13">
        <v>203.7</v>
      </c>
      <c r="E51" s="12"/>
      <c r="F51" s="13"/>
    </row>
    <row r="52" ht="16.5" customHeight="1" spans="1:6">
      <c r="A52" s="11">
        <v>2485</v>
      </c>
      <c r="B52" s="11" t="s">
        <v>689</v>
      </c>
      <c r="C52" s="12">
        <v>1</v>
      </c>
      <c r="D52" s="13">
        <v>164.85</v>
      </c>
      <c r="E52" s="12"/>
      <c r="F52" s="13"/>
    </row>
    <row r="53" ht="16.5" customHeight="1" spans="1:6">
      <c r="A53" s="11">
        <v>2995</v>
      </c>
      <c r="B53" s="11" t="s">
        <v>690</v>
      </c>
      <c r="C53" s="12">
        <v>0</v>
      </c>
      <c r="D53" s="13">
        <v>0</v>
      </c>
      <c r="E53" s="12"/>
      <c r="F53" s="13"/>
    </row>
    <row r="54" ht="16.5" customHeight="1" spans="1:6">
      <c r="A54" s="11">
        <v>395</v>
      </c>
      <c r="B54" s="11" t="s">
        <v>691</v>
      </c>
      <c r="C54" s="12">
        <v>0</v>
      </c>
      <c r="D54" s="13">
        <v>0</v>
      </c>
      <c r="E54" s="12"/>
      <c r="F54" s="13"/>
    </row>
    <row r="55" ht="16.5" customHeight="1" spans="1:6">
      <c r="A55" s="11">
        <v>545</v>
      </c>
      <c r="B55" s="11" t="s">
        <v>692</v>
      </c>
      <c r="C55" s="12">
        <v>17</v>
      </c>
      <c r="D55" s="13">
        <v>898.76</v>
      </c>
      <c r="E55" s="12"/>
      <c r="F55" s="13"/>
    </row>
    <row r="56" ht="49.5" customHeight="1" spans="1:6">
      <c r="A56" s="11">
        <v>547</v>
      </c>
      <c r="B56" s="11" t="s">
        <v>693</v>
      </c>
      <c r="C56" s="12">
        <v>2</v>
      </c>
      <c r="D56" s="13">
        <v>69.8</v>
      </c>
      <c r="E56" s="12"/>
      <c r="F56" s="13"/>
    </row>
    <row r="57" ht="16.5" customHeight="1" spans="1:6">
      <c r="A57" s="11">
        <v>839</v>
      </c>
      <c r="B57" s="11" t="s">
        <v>694</v>
      </c>
      <c r="C57" s="12">
        <v>3</v>
      </c>
      <c r="D57" s="13">
        <v>369.98</v>
      </c>
      <c r="E57" s="12"/>
      <c r="F57" s="13"/>
    </row>
    <row r="58" ht="16.5" customHeight="1" spans="1:6">
      <c r="A58" s="11">
        <v>840</v>
      </c>
      <c r="B58" s="11" t="s">
        <v>695</v>
      </c>
      <c r="C58" s="12">
        <v>3</v>
      </c>
      <c r="D58" s="13">
        <v>352.4</v>
      </c>
      <c r="E58" s="12"/>
      <c r="F58" s="13"/>
    </row>
    <row r="59" ht="16.5" customHeight="1" spans="1:6">
      <c r="A59" s="11">
        <v>1027</v>
      </c>
      <c r="B59" s="11" t="s">
        <v>696</v>
      </c>
      <c r="C59" s="12">
        <v>2</v>
      </c>
      <c r="D59" s="13">
        <v>220.98</v>
      </c>
      <c r="E59" s="12"/>
      <c r="F59" s="13"/>
    </row>
    <row r="60" ht="16.5" customHeight="1" spans="1:6">
      <c r="A60" s="11">
        <v>1044</v>
      </c>
      <c r="B60" s="11" t="s">
        <v>697</v>
      </c>
      <c r="C60" s="12">
        <v>0</v>
      </c>
      <c r="D60" s="13">
        <v>0</v>
      </c>
      <c r="E60" s="12"/>
      <c r="F60" s="13"/>
    </row>
    <row r="61" ht="16.5" customHeight="1" spans="1:6">
      <c r="A61" s="11">
        <v>1045</v>
      </c>
      <c r="B61" s="11" t="s">
        <v>698</v>
      </c>
      <c r="C61" s="12">
        <v>8</v>
      </c>
      <c r="D61" s="13">
        <v>955.87</v>
      </c>
      <c r="E61" s="12"/>
      <c r="F61" s="13"/>
    </row>
    <row r="62" ht="16.5" customHeight="1" spans="1:6">
      <c r="A62" s="11">
        <v>1159</v>
      </c>
      <c r="B62" s="11" t="s">
        <v>699</v>
      </c>
      <c r="C62" s="12">
        <v>0</v>
      </c>
      <c r="D62" s="13">
        <v>0</v>
      </c>
      <c r="E62" s="12"/>
      <c r="F62" s="13"/>
    </row>
    <row r="63" ht="16.5" customHeight="1" spans="1:6">
      <c r="A63" s="11">
        <v>1161</v>
      </c>
      <c r="B63" s="11" t="s">
        <v>700</v>
      </c>
      <c r="C63" s="12">
        <v>25</v>
      </c>
      <c r="D63" s="13">
        <v>1252.38</v>
      </c>
      <c r="E63" s="12"/>
      <c r="F63" s="13"/>
    </row>
    <row r="64" ht="16.5" customHeight="1" spans="1:6">
      <c r="A64" s="11">
        <v>1167</v>
      </c>
      <c r="B64" s="11" t="s">
        <v>701</v>
      </c>
      <c r="C64" s="12">
        <v>1</v>
      </c>
      <c r="D64" s="13">
        <v>132.4</v>
      </c>
      <c r="E64" s="12"/>
      <c r="F64" s="13"/>
    </row>
    <row r="65" ht="16.5" customHeight="1" spans="1:6">
      <c r="A65" s="11">
        <v>1178</v>
      </c>
      <c r="B65" s="11" t="s">
        <v>702</v>
      </c>
      <c r="C65" s="12">
        <v>4</v>
      </c>
      <c r="D65" s="13">
        <v>274</v>
      </c>
      <c r="E65" s="12"/>
      <c r="F65" s="13"/>
    </row>
    <row r="66" ht="16.5" customHeight="1" spans="1:6">
      <c r="A66" s="11">
        <v>1188</v>
      </c>
      <c r="B66" s="11" t="s">
        <v>703</v>
      </c>
      <c r="C66" s="12">
        <v>7</v>
      </c>
      <c r="D66" s="13">
        <v>419.93</v>
      </c>
      <c r="E66" s="12"/>
      <c r="F66" s="13"/>
    </row>
    <row r="67" ht="16.5" customHeight="1" spans="1:6">
      <c r="A67" s="11">
        <v>1235</v>
      </c>
      <c r="B67" s="11" t="s">
        <v>704</v>
      </c>
      <c r="C67" s="12">
        <v>2</v>
      </c>
      <c r="D67" s="13">
        <v>148.16</v>
      </c>
      <c r="E67" s="12"/>
      <c r="F67" s="13"/>
    </row>
    <row r="68" ht="16.5" customHeight="1" spans="1:6">
      <c r="A68" s="11">
        <v>1434</v>
      </c>
      <c r="B68" s="11" t="s">
        <v>705</v>
      </c>
      <c r="C68" s="12">
        <v>5</v>
      </c>
      <c r="D68" s="13">
        <v>451.45</v>
      </c>
      <c r="E68" s="12"/>
      <c r="F68" s="13"/>
    </row>
    <row r="69" ht="16.5" customHeight="1" spans="1:6">
      <c r="A69" s="11">
        <v>1473</v>
      </c>
      <c r="B69" s="11" t="s">
        <v>706</v>
      </c>
      <c r="C69" s="12">
        <v>1</v>
      </c>
      <c r="D69" s="13">
        <v>78.5</v>
      </c>
      <c r="E69" s="12"/>
      <c r="F69" s="13"/>
    </row>
    <row r="70" ht="16.5" customHeight="1" spans="1:6">
      <c r="A70" s="11">
        <v>1487</v>
      </c>
      <c r="B70" s="11" t="s">
        <v>707</v>
      </c>
      <c r="C70" s="12">
        <v>3</v>
      </c>
      <c r="D70" s="13">
        <v>641.04</v>
      </c>
      <c r="E70" s="12"/>
      <c r="F70" s="13"/>
    </row>
    <row r="71" ht="16.5" customHeight="1" spans="1:6">
      <c r="A71" s="11">
        <v>1494</v>
      </c>
      <c r="B71" s="11" t="s">
        <v>708</v>
      </c>
      <c r="C71" s="12">
        <v>3</v>
      </c>
      <c r="D71" s="13">
        <v>546.84</v>
      </c>
      <c r="E71" s="12"/>
      <c r="F71" s="13"/>
    </row>
    <row r="72" ht="16.5" customHeight="1" spans="1:6">
      <c r="A72" s="11">
        <v>1544</v>
      </c>
      <c r="B72" s="11" t="s">
        <v>709</v>
      </c>
      <c r="C72" s="12">
        <v>2</v>
      </c>
      <c r="D72" s="13">
        <v>133.33</v>
      </c>
      <c r="E72" s="12"/>
      <c r="F72" s="13"/>
    </row>
    <row r="73" ht="16.5" customHeight="1" spans="1:6">
      <c r="A73" s="11">
        <v>3750</v>
      </c>
      <c r="B73" s="11" t="s">
        <v>710</v>
      </c>
      <c r="C73" s="12">
        <v>1</v>
      </c>
      <c r="D73" s="13">
        <v>172.9</v>
      </c>
      <c r="E73" s="12"/>
      <c r="F73" s="13"/>
    </row>
    <row r="74" ht="16.5" customHeight="1" spans="1:6">
      <c r="A74" s="11">
        <v>3751</v>
      </c>
      <c r="B74" s="11" t="s">
        <v>711</v>
      </c>
      <c r="C74" s="12">
        <v>1</v>
      </c>
      <c r="D74" s="13">
        <v>132.06</v>
      </c>
      <c r="E74" s="12"/>
      <c r="F74" s="13"/>
    </row>
    <row r="75" ht="16.5" customHeight="1" spans="1:6">
      <c r="A75" s="11">
        <v>3731</v>
      </c>
      <c r="B75" s="11" t="s">
        <v>712</v>
      </c>
      <c r="C75" s="12">
        <v>2</v>
      </c>
      <c r="D75" s="13">
        <v>157.81</v>
      </c>
      <c r="E75" s="12"/>
      <c r="F75" s="13"/>
    </row>
    <row r="76" ht="16.5" customHeight="1" spans="1:6">
      <c r="A76" s="11">
        <v>5064</v>
      </c>
      <c r="B76" s="11" t="s">
        <v>713</v>
      </c>
      <c r="C76" s="12">
        <v>5</v>
      </c>
      <c r="D76" s="13">
        <v>982.95</v>
      </c>
      <c r="E76" s="12"/>
      <c r="F76" s="13"/>
    </row>
    <row r="77" ht="16.5" customHeight="1" spans="1:6">
      <c r="A77" s="11">
        <v>4328</v>
      </c>
      <c r="B77" s="11" t="s">
        <v>714</v>
      </c>
      <c r="C77" s="12">
        <v>1</v>
      </c>
      <c r="D77" s="13">
        <v>214.2</v>
      </c>
      <c r="E77" s="12"/>
      <c r="F77" s="13"/>
    </row>
    <row r="78" ht="33" customHeight="1" spans="1:6">
      <c r="A78" s="11">
        <v>5212</v>
      </c>
      <c r="B78" s="11" t="s">
        <v>715</v>
      </c>
      <c r="C78" s="12">
        <v>3</v>
      </c>
      <c r="D78" s="13">
        <v>89.14</v>
      </c>
      <c r="E78" s="12"/>
      <c r="F78" s="13"/>
    </row>
    <row r="79" ht="16.5" customHeight="1" spans="1:6">
      <c r="A79" s="11">
        <v>4658</v>
      </c>
      <c r="B79" s="11" t="s">
        <v>716</v>
      </c>
      <c r="C79" s="12">
        <v>1</v>
      </c>
      <c r="D79" s="13">
        <v>60.99</v>
      </c>
      <c r="E79" s="12"/>
      <c r="F79" s="13"/>
    </row>
    <row r="80" ht="16.5" customHeight="1" spans="1:6">
      <c r="A80" s="11">
        <v>5051</v>
      </c>
      <c r="B80" s="11" t="s">
        <v>717</v>
      </c>
      <c r="C80" s="12">
        <v>6</v>
      </c>
      <c r="D80" s="13">
        <v>361.36</v>
      </c>
      <c r="E80" s="12"/>
      <c r="F80" s="13"/>
    </row>
    <row r="81" ht="16.5" customHeight="1" spans="1:6">
      <c r="A81" s="11">
        <v>4311</v>
      </c>
      <c r="B81" s="11" t="s">
        <v>718</v>
      </c>
      <c r="C81" s="12">
        <v>4</v>
      </c>
      <c r="D81" s="13">
        <v>164.73</v>
      </c>
      <c r="E81" s="12"/>
      <c r="F81" s="13"/>
    </row>
    <row r="82" ht="16.5" customHeight="1" spans="1:6">
      <c r="A82" s="11">
        <v>4261</v>
      </c>
      <c r="B82" s="11" t="s">
        <v>719</v>
      </c>
      <c r="C82" s="12">
        <v>1</v>
      </c>
      <c r="D82" s="13">
        <v>69.4</v>
      </c>
      <c r="E82" s="12"/>
      <c r="F82" s="13"/>
    </row>
    <row r="83" ht="16.5" customHeight="1" spans="1:6">
      <c r="A83" s="11">
        <v>5573</v>
      </c>
      <c r="B83" s="11" t="s">
        <v>720</v>
      </c>
      <c r="C83" s="12">
        <v>7</v>
      </c>
      <c r="D83" s="13">
        <v>813.62</v>
      </c>
      <c r="E83" s="12"/>
      <c r="F83" s="13"/>
    </row>
    <row r="84" ht="16.5" customHeight="1" spans="1:6">
      <c r="A84" s="11">
        <v>6288</v>
      </c>
      <c r="B84" s="11" t="s">
        <v>721</v>
      </c>
      <c r="C84" s="12">
        <v>1</v>
      </c>
      <c r="D84" s="13">
        <v>195.36</v>
      </c>
      <c r="E84" s="12"/>
      <c r="F84" s="13"/>
    </row>
    <row r="85" ht="16.5" customHeight="1" spans="1:6">
      <c r="A85" s="11">
        <v>5447</v>
      </c>
      <c r="B85" s="11" t="s">
        <v>722</v>
      </c>
      <c r="C85" s="12">
        <v>1</v>
      </c>
      <c r="D85" s="13">
        <v>158.26</v>
      </c>
      <c r="E85" s="12"/>
      <c r="F85" s="13"/>
    </row>
    <row r="86" ht="16.5" customHeight="1" spans="1:6">
      <c r="A86" s="11">
        <v>5660</v>
      </c>
      <c r="B86" s="11" t="s">
        <v>723</v>
      </c>
      <c r="C86" s="12">
        <v>8</v>
      </c>
      <c r="D86" s="13">
        <v>107.14</v>
      </c>
      <c r="E86" s="12"/>
      <c r="F86" s="13"/>
    </row>
    <row r="87" ht="33" customHeight="1" spans="1:6">
      <c r="A87" s="11">
        <v>5567</v>
      </c>
      <c r="B87" s="11" t="s">
        <v>724</v>
      </c>
      <c r="C87" s="12">
        <v>6</v>
      </c>
      <c r="D87" s="13">
        <v>114.24</v>
      </c>
      <c r="E87" s="12"/>
      <c r="F87" s="13"/>
    </row>
    <row r="88" ht="16.5" customHeight="1" spans="1:6">
      <c r="A88" s="11">
        <v>5581</v>
      </c>
      <c r="B88" s="11" t="s">
        <v>725</v>
      </c>
      <c r="C88" s="12">
        <v>4</v>
      </c>
      <c r="D88" s="13">
        <v>754.74</v>
      </c>
      <c r="E88" s="12"/>
      <c r="F88" s="13"/>
    </row>
    <row r="89" ht="33" customHeight="1" spans="1:6">
      <c r="A89" s="11">
        <v>6762</v>
      </c>
      <c r="B89" s="11" t="s">
        <v>726</v>
      </c>
      <c r="C89" s="12">
        <v>1</v>
      </c>
      <c r="D89" s="13">
        <v>122.49</v>
      </c>
      <c r="E89" s="12"/>
      <c r="F89" s="13"/>
    </row>
    <row r="90" ht="33" customHeight="1" spans="1:6">
      <c r="A90" s="11">
        <v>6763</v>
      </c>
      <c r="B90" s="11" t="s">
        <v>727</v>
      </c>
      <c r="C90" s="12">
        <v>0</v>
      </c>
      <c r="D90" s="13">
        <v>0</v>
      </c>
      <c r="E90" s="12"/>
      <c r="F90" s="13"/>
    </row>
    <row r="91" ht="16.5" customHeight="1" spans="1:6">
      <c r="A91" s="11">
        <v>6162</v>
      </c>
      <c r="B91" s="11" t="s">
        <v>728</v>
      </c>
      <c r="C91" s="12">
        <v>0</v>
      </c>
      <c r="D91" s="13">
        <v>0</v>
      </c>
      <c r="E91" s="12"/>
      <c r="F91" s="13"/>
    </row>
    <row r="92" ht="16.5" customHeight="1" spans="1:6">
      <c r="A92" s="11">
        <v>7288</v>
      </c>
      <c r="B92" s="11" t="s">
        <v>729</v>
      </c>
      <c r="C92" s="12">
        <v>1</v>
      </c>
      <c r="D92" s="13">
        <v>208.93</v>
      </c>
      <c r="E92" s="12"/>
      <c r="F92" s="13"/>
    </row>
    <row r="93" ht="33" customHeight="1" spans="1:6">
      <c r="A93" s="11">
        <v>8461</v>
      </c>
      <c r="B93" s="11" t="s">
        <v>730</v>
      </c>
      <c r="C93" s="12">
        <v>0</v>
      </c>
      <c r="D93" s="13">
        <v>0</v>
      </c>
      <c r="E93" s="12"/>
      <c r="F93" s="13"/>
    </row>
    <row r="94" ht="33" customHeight="1" spans="1:6">
      <c r="A94" s="11">
        <v>8462</v>
      </c>
      <c r="B94" s="11" t="s">
        <v>731</v>
      </c>
      <c r="C94" s="12">
        <v>1</v>
      </c>
      <c r="D94" s="13">
        <v>257.1</v>
      </c>
      <c r="E94" s="12"/>
      <c r="F94" s="13"/>
    </row>
    <row r="95" ht="16.5" customHeight="1" spans="1:6">
      <c r="A95" s="11">
        <v>8463</v>
      </c>
      <c r="B95" s="11" t="s">
        <v>732</v>
      </c>
      <c r="C95" s="12">
        <v>3</v>
      </c>
      <c r="D95" s="13">
        <v>567.37</v>
      </c>
      <c r="E95" s="12"/>
      <c r="F95" s="13"/>
    </row>
    <row r="96" ht="49.5" customHeight="1" spans="1:6">
      <c r="A96" s="11">
        <v>7609</v>
      </c>
      <c r="B96" s="11" t="s">
        <v>733</v>
      </c>
      <c r="C96" s="12">
        <v>0</v>
      </c>
      <c r="D96" s="13">
        <v>0</v>
      </c>
      <c r="E96" s="12"/>
      <c r="F96" s="13"/>
    </row>
    <row r="97" ht="33" customHeight="1" spans="1:6">
      <c r="A97" s="11">
        <v>8234</v>
      </c>
      <c r="B97" s="11" t="s">
        <v>734</v>
      </c>
      <c r="C97" s="12">
        <v>3</v>
      </c>
      <c r="D97" s="13">
        <v>870</v>
      </c>
      <c r="E97" s="12"/>
      <c r="F97" s="13"/>
    </row>
    <row r="98" ht="33" customHeight="1" spans="1:6">
      <c r="A98" s="11">
        <v>8233</v>
      </c>
      <c r="B98" s="11" t="s">
        <v>735</v>
      </c>
      <c r="C98" s="12">
        <v>0</v>
      </c>
      <c r="D98" s="13">
        <v>0</v>
      </c>
      <c r="E98" s="12"/>
      <c r="F98" s="13"/>
    </row>
    <row r="99" ht="16.5" customHeight="1" spans="1:6">
      <c r="A99" s="11">
        <v>7173</v>
      </c>
      <c r="B99" s="11" t="s">
        <v>736</v>
      </c>
      <c r="C99" s="12">
        <v>12</v>
      </c>
      <c r="D99" s="13">
        <v>1282.41</v>
      </c>
      <c r="E99" s="12"/>
      <c r="F99" s="13"/>
    </row>
    <row r="100" ht="16.5" customHeight="1" spans="1:6">
      <c r="A100" s="11">
        <v>7893</v>
      </c>
      <c r="B100" s="11" t="s">
        <v>737</v>
      </c>
      <c r="C100" s="12">
        <v>1</v>
      </c>
      <c r="D100" s="13">
        <v>173.99</v>
      </c>
      <c r="E100" s="12"/>
      <c r="F100" s="13"/>
    </row>
    <row r="101" ht="16.5" customHeight="1" spans="1:6">
      <c r="A101" s="11">
        <v>7894</v>
      </c>
      <c r="B101" s="11" t="s">
        <v>738</v>
      </c>
      <c r="C101" s="12">
        <v>3</v>
      </c>
      <c r="D101" s="13">
        <v>492</v>
      </c>
      <c r="E101" s="12"/>
      <c r="F101" s="13"/>
    </row>
    <row r="102" ht="33" customHeight="1" spans="1:6">
      <c r="A102" s="11">
        <v>9481</v>
      </c>
      <c r="B102" s="11" t="s">
        <v>739</v>
      </c>
      <c r="C102" s="12">
        <v>0</v>
      </c>
      <c r="D102" s="13">
        <v>0</v>
      </c>
      <c r="E102" s="12"/>
      <c r="F102" s="13"/>
    </row>
    <row r="103" ht="16.5" customHeight="1" spans="1:6">
      <c r="A103" s="11">
        <v>9482</v>
      </c>
      <c r="B103" s="11" t="s">
        <v>740</v>
      </c>
      <c r="C103" s="12">
        <v>5</v>
      </c>
      <c r="D103" s="13">
        <v>650</v>
      </c>
      <c r="E103" s="12"/>
      <c r="F103" s="13"/>
    </row>
    <row r="104" ht="16.5" customHeight="1" spans="1:6">
      <c r="A104" s="11">
        <v>9777</v>
      </c>
      <c r="B104" s="11" t="s">
        <v>741</v>
      </c>
      <c r="C104" s="12">
        <v>0</v>
      </c>
      <c r="D104" s="13">
        <v>0</v>
      </c>
      <c r="E104" s="12"/>
      <c r="F104" s="13"/>
    </row>
    <row r="105" ht="16.5" customHeight="1" spans="1:6">
      <c r="A105" s="11">
        <v>228</v>
      </c>
      <c r="B105" s="11" t="s">
        <v>742</v>
      </c>
      <c r="C105" s="12">
        <v>6</v>
      </c>
      <c r="D105" s="13">
        <v>216.54</v>
      </c>
      <c r="E105" s="12"/>
      <c r="F105" s="13"/>
    </row>
    <row r="106" ht="16.5" customHeight="1" spans="1:6">
      <c r="A106" s="11">
        <v>259</v>
      </c>
      <c r="B106" s="11" t="s">
        <v>743</v>
      </c>
      <c r="C106" s="12">
        <v>17</v>
      </c>
      <c r="D106" s="13">
        <v>406.79</v>
      </c>
      <c r="E106" s="12"/>
      <c r="F106" s="13"/>
    </row>
    <row r="107" ht="16.5" customHeight="1" spans="1:6">
      <c r="A107" s="11">
        <v>262</v>
      </c>
      <c r="B107" s="11" t="s">
        <v>744</v>
      </c>
      <c r="C107" s="12">
        <v>2</v>
      </c>
      <c r="D107" s="13">
        <v>119.64</v>
      </c>
      <c r="E107" s="12"/>
      <c r="F107" s="13"/>
    </row>
    <row r="108" ht="16.5" customHeight="1" spans="1:6">
      <c r="A108" s="11">
        <v>2553</v>
      </c>
      <c r="B108" s="11" t="s">
        <v>745</v>
      </c>
      <c r="C108" s="12">
        <v>0</v>
      </c>
      <c r="D108" s="13">
        <v>0</v>
      </c>
      <c r="E108" s="12"/>
      <c r="F108" s="13"/>
    </row>
    <row r="109" ht="16.5" customHeight="1" spans="1:6">
      <c r="A109" s="11">
        <v>263</v>
      </c>
      <c r="B109" s="11" t="s">
        <v>746</v>
      </c>
      <c r="C109" s="12">
        <v>6</v>
      </c>
      <c r="D109" s="13">
        <v>329.1</v>
      </c>
      <c r="E109" s="12"/>
      <c r="F109" s="13"/>
    </row>
    <row r="110" ht="16.5" customHeight="1" spans="1:6">
      <c r="A110" s="11">
        <v>264</v>
      </c>
      <c r="B110" s="11" t="s">
        <v>747</v>
      </c>
      <c r="C110" s="12">
        <v>7</v>
      </c>
      <c r="D110" s="13">
        <v>342.93</v>
      </c>
      <c r="E110" s="12"/>
      <c r="F110" s="13"/>
    </row>
    <row r="111" ht="16.5" customHeight="1" spans="1:6">
      <c r="A111" s="11">
        <v>5670</v>
      </c>
      <c r="B111" s="11" t="s">
        <v>748</v>
      </c>
      <c r="C111" s="12">
        <v>15</v>
      </c>
      <c r="D111" s="13">
        <v>898.63</v>
      </c>
      <c r="E111" s="12"/>
      <c r="F111" s="13"/>
    </row>
    <row r="112" ht="16.5" customHeight="1" spans="1:6">
      <c r="A112" s="11">
        <v>2585</v>
      </c>
      <c r="B112" s="11" t="s">
        <v>749</v>
      </c>
      <c r="C112" s="12">
        <v>2</v>
      </c>
      <c r="D112" s="13">
        <v>43.98</v>
      </c>
      <c r="E112" s="12"/>
      <c r="F112" s="13"/>
    </row>
    <row r="113" ht="16.5" customHeight="1" spans="1:6">
      <c r="A113" s="11">
        <v>289</v>
      </c>
      <c r="B113" s="11" t="s">
        <v>750</v>
      </c>
      <c r="C113" s="12">
        <v>1</v>
      </c>
      <c r="D113" s="13">
        <v>93.5</v>
      </c>
      <c r="E113" s="12"/>
      <c r="F113" s="13"/>
    </row>
    <row r="114" ht="16.5" customHeight="1" spans="1:6">
      <c r="A114" s="11">
        <v>2638</v>
      </c>
      <c r="B114" s="11" t="s">
        <v>751</v>
      </c>
      <c r="C114" s="12">
        <v>5</v>
      </c>
      <c r="D114" s="13">
        <v>409.95</v>
      </c>
      <c r="E114" s="12"/>
      <c r="F114" s="13"/>
    </row>
    <row r="115" ht="16.5" customHeight="1" spans="1:6">
      <c r="A115" s="11">
        <v>292</v>
      </c>
      <c r="B115" s="11" t="s">
        <v>752</v>
      </c>
      <c r="C115" s="12">
        <v>69</v>
      </c>
      <c r="D115" s="13">
        <v>5766.41000000001</v>
      </c>
      <c r="E115" s="12"/>
      <c r="F115" s="13"/>
    </row>
    <row r="116" ht="16.5" customHeight="1" spans="1:6">
      <c r="A116" s="11">
        <v>2637</v>
      </c>
      <c r="B116" s="11" t="s">
        <v>753</v>
      </c>
      <c r="C116" s="12">
        <v>5</v>
      </c>
      <c r="D116" s="13">
        <v>433.13</v>
      </c>
      <c r="E116" s="12"/>
      <c r="F116" s="13"/>
    </row>
    <row r="117" ht="33" customHeight="1" spans="1:6">
      <c r="A117" s="11">
        <v>293</v>
      </c>
      <c r="B117" s="11" t="s">
        <v>754</v>
      </c>
      <c r="C117" s="12">
        <v>2</v>
      </c>
      <c r="D117" s="13">
        <v>146.6</v>
      </c>
      <c r="E117" s="12"/>
      <c r="F117" s="13"/>
    </row>
    <row r="118" ht="16.5" customHeight="1" spans="1:6">
      <c r="A118" s="11">
        <v>327</v>
      </c>
      <c r="B118" s="11" t="s">
        <v>755</v>
      </c>
      <c r="C118" s="12">
        <v>7</v>
      </c>
      <c r="D118" s="13">
        <v>333.64</v>
      </c>
      <c r="E118" s="12"/>
      <c r="F118" s="13"/>
    </row>
    <row r="119" ht="16.5" customHeight="1" spans="1:6">
      <c r="A119" s="11">
        <v>336</v>
      </c>
      <c r="B119" s="11" t="s">
        <v>756</v>
      </c>
      <c r="C119" s="12">
        <v>6</v>
      </c>
      <c r="D119" s="13">
        <v>150.9</v>
      </c>
      <c r="E119" s="12"/>
      <c r="F119" s="13"/>
    </row>
    <row r="120" ht="16.5" customHeight="1" spans="1:6">
      <c r="A120" s="11">
        <v>337</v>
      </c>
      <c r="B120" s="11" t="s">
        <v>757</v>
      </c>
      <c r="C120" s="12">
        <v>5</v>
      </c>
      <c r="D120" s="13">
        <v>218.48</v>
      </c>
      <c r="E120" s="12"/>
      <c r="F120" s="13"/>
    </row>
    <row r="121" ht="16.5" customHeight="1" spans="1:6">
      <c r="A121" s="11">
        <v>365</v>
      </c>
      <c r="B121" s="11" t="s">
        <v>758</v>
      </c>
      <c r="C121" s="12">
        <v>6</v>
      </c>
      <c r="D121" s="13">
        <v>489.22</v>
      </c>
      <c r="E121" s="12"/>
      <c r="F121" s="13"/>
    </row>
    <row r="122" ht="16.5" customHeight="1" spans="1:6">
      <c r="A122" s="11">
        <v>371</v>
      </c>
      <c r="B122" s="11" t="s">
        <v>759</v>
      </c>
      <c r="C122" s="12">
        <v>12</v>
      </c>
      <c r="D122" s="13">
        <v>315.04</v>
      </c>
      <c r="E122" s="12"/>
      <c r="F122" s="13"/>
    </row>
    <row r="123" ht="16.5" customHeight="1" spans="1:6">
      <c r="A123" s="11">
        <v>372</v>
      </c>
      <c r="B123" s="11" t="s">
        <v>760</v>
      </c>
      <c r="C123" s="12">
        <v>20</v>
      </c>
      <c r="D123" s="13">
        <v>561.4</v>
      </c>
      <c r="E123" s="12"/>
      <c r="F123" s="13"/>
    </row>
    <row r="124" ht="16.5" customHeight="1" spans="1:6">
      <c r="A124" s="11">
        <v>2554</v>
      </c>
      <c r="B124" s="11" t="s">
        <v>761</v>
      </c>
      <c r="C124" s="12">
        <v>0</v>
      </c>
      <c r="D124" s="13">
        <v>0</v>
      </c>
      <c r="E124" s="12"/>
      <c r="F124" s="13"/>
    </row>
    <row r="125" ht="16.5" customHeight="1" spans="1:6">
      <c r="A125" s="11">
        <v>419</v>
      </c>
      <c r="B125" s="11" t="s">
        <v>762</v>
      </c>
      <c r="C125" s="12">
        <v>0</v>
      </c>
      <c r="D125" s="13">
        <v>0</v>
      </c>
      <c r="E125" s="12"/>
      <c r="F125" s="13"/>
    </row>
    <row r="126" ht="16.5" customHeight="1" spans="1:6">
      <c r="A126" s="11">
        <v>421</v>
      </c>
      <c r="B126" s="11" t="s">
        <v>763</v>
      </c>
      <c r="C126" s="12">
        <v>3</v>
      </c>
      <c r="D126" s="13">
        <v>83.31</v>
      </c>
      <c r="E126" s="12"/>
      <c r="F126" s="13"/>
    </row>
    <row r="127" ht="16.5" customHeight="1" spans="1:6">
      <c r="A127" s="11">
        <v>428</v>
      </c>
      <c r="B127" s="11" t="s">
        <v>764</v>
      </c>
      <c r="C127" s="12">
        <v>2</v>
      </c>
      <c r="D127" s="13">
        <v>59.2</v>
      </c>
      <c r="E127" s="12"/>
      <c r="F127" s="13"/>
    </row>
    <row r="128" ht="16.5" customHeight="1" spans="1:6">
      <c r="A128" s="11">
        <v>453</v>
      </c>
      <c r="B128" s="11" t="s">
        <v>765</v>
      </c>
      <c r="C128" s="12">
        <v>18</v>
      </c>
      <c r="D128" s="13">
        <v>2290.77</v>
      </c>
      <c r="E128" s="12"/>
      <c r="F128" s="13"/>
    </row>
    <row r="129" ht="16.5" customHeight="1" spans="1:6">
      <c r="A129" s="11">
        <v>623</v>
      </c>
      <c r="B129" s="11" t="s">
        <v>766</v>
      </c>
      <c r="C129" s="12">
        <v>8</v>
      </c>
      <c r="D129" s="13">
        <v>153.72</v>
      </c>
      <c r="E129" s="12"/>
      <c r="F129" s="13"/>
    </row>
    <row r="130" ht="49.5" customHeight="1" spans="1:6">
      <c r="A130" s="11">
        <v>624</v>
      </c>
      <c r="B130" s="11" t="s">
        <v>767</v>
      </c>
      <c r="C130" s="12">
        <v>2</v>
      </c>
      <c r="D130" s="13">
        <v>56.4</v>
      </c>
      <c r="E130" s="12"/>
      <c r="F130" s="13"/>
    </row>
    <row r="131" ht="16.5" customHeight="1" spans="1:6">
      <c r="A131" s="11">
        <v>625</v>
      </c>
      <c r="B131" s="11" t="s">
        <v>768</v>
      </c>
      <c r="C131" s="12">
        <v>3</v>
      </c>
      <c r="D131" s="13">
        <v>51.27</v>
      </c>
      <c r="E131" s="12"/>
      <c r="F131" s="13"/>
    </row>
    <row r="132" ht="16.5" customHeight="1" spans="1:6">
      <c r="A132" s="11">
        <v>482</v>
      </c>
      <c r="B132" s="11" t="s">
        <v>769</v>
      </c>
      <c r="C132" s="12">
        <v>0</v>
      </c>
      <c r="D132" s="13">
        <v>0</v>
      </c>
      <c r="E132" s="12"/>
      <c r="F132" s="13"/>
    </row>
    <row r="133" ht="16.5" customHeight="1" spans="1:6">
      <c r="A133" s="11">
        <v>483</v>
      </c>
      <c r="B133" s="11" t="s">
        <v>770</v>
      </c>
      <c r="C133" s="12">
        <v>5</v>
      </c>
      <c r="D133" s="13">
        <v>374.9</v>
      </c>
      <c r="E133" s="12"/>
      <c r="F133" s="13"/>
    </row>
    <row r="134" ht="16.5" customHeight="1" spans="1:6">
      <c r="A134" s="11">
        <v>487</v>
      </c>
      <c r="B134" s="11" t="s">
        <v>771</v>
      </c>
      <c r="C134" s="12">
        <v>4</v>
      </c>
      <c r="D134" s="13">
        <v>540.34</v>
      </c>
      <c r="E134" s="12"/>
      <c r="F134" s="13"/>
    </row>
    <row r="135" ht="16.5" customHeight="1" spans="1:6">
      <c r="A135" s="11">
        <v>488</v>
      </c>
      <c r="B135" s="11" t="s">
        <v>772</v>
      </c>
      <c r="C135" s="12">
        <v>20</v>
      </c>
      <c r="D135" s="13">
        <v>1301.25</v>
      </c>
      <c r="E135" s="12"/>
      <c r="F135" s="13"/>
    </row>
    <row r="136" ht="16.5" customHeight="1" spans="1:6">
      <c r="A136" s="11">
        <v>489</v>
      </c>
      <c r="B136" s="11" t="s">
        <v>773</v>
      </c>
      <c r="C136" s="12">
        <v>7</v>
      </c>
      <c r="D136" s="13">
        <v>446.97</v>
      </c>
      <c r="E136" s="12"/>
      <c r="F136" s="13"/>
    </row>
    <row r="137" ht="16.5" customHeight="1" spans="1:6">
      <c r="A137" s="11">
        <v>490</v>
      </c>
      <c r="B137" s="11" t="s">
        <v>774</v>
      </c>
      <c r="C137" s="12">
        <v>21</v>
      </c>
      <c r="D137" s="13">
        <v>1256.31</v>
      </c>
      <c r="E137" s="12"/>
      <c r="F137" s="13"/>
    </row>
    <row r="138" ht="16.5" customHeight="1" spans="1:6">
      <c r="A138" s="11">
        <v>432</v>
      </c>
      <c r="B138" s="11" t="s">
        <v>775</v>
      </c>
      <c r="C138" s="12">
        <v>3</v>
      </c>
      <c r="D138" s="13">
        <v>92.83</v>
      </c>
      <c r="E138" s="12"/>
      <c r="F138" s="13"/>
    </row>
    <row r="139" ht="16.5" customHeight="1" spans="1:6">
      <c r="A139" s="11">
        <v>626</v>
      </c>
      <c r="B139" s="11" t="s">
        <v>776</v>
      </c>
      <c r="C139" s="12">
        <v>10</v>
      </c>
      <c r="D139" s="13">
        <v>74.94</v>
      </c>
      <c r="E139" s="12"/>
      <c r="F139" s="13"/>
    </row>
    <row r="140" ht="16.5" customHeight="1" spans="1:6">
      <c r="A140" s="11">
        <v>635</v>
      </c>
      <c r="B140" s="11" t="s">
        <v>777</v>
      </c>
      <c r="C140" s="12">
        <v>8</v>
      </c>
      <c r="D140" s="13">
        <v>83.07</v>
      </c>
      <c r="E140" s="12"/>
      <c r="F140" s="13"/>
    </row>
    <row r="141" ht="49.5" customHeight="1" spans="1:6">
      <c r="A141" s="11">
        <v>638</v>
      </c>
      <c r="B141" s="11" t="s">
        <v>778</v>
      </c>
      <c r="C141" s="12">
        <v>0</v>
      </c>
      <c r="D141" s="13">
        <v>0</v>
      </c>
      <c r="E141" s="12"/>
      <c r="F141" s="13"/>
    </row>
    <row r="142" ht="16.5" customHeight="1" spans="1:6">
      <c r="A142" s="11">
        <v>652</v>
      </c>
      <c r="B142" s="11" t="s">
        <v>779</v>
      </c>
      <c r="C142" s="12">
        <v>5</v>
      </c>
      <c r="D142" s="13">
        <v>50.25</v>
      </c>
      <c r="E142" s="12"/>
      <c r="F142" s="13"/>
    </row>
    <row r="143" ht="16.5" customHeight="1" spans="1:6">
      <c r="A143" s="11">
        <v>653</v>
      </c>
      <c r="B143" s="11" t="s">
        <v>780</v>
      </c>
      <c r="C143" s="12">
        <v>1</v>
      </c>
      <c r="D143" s="13">
        <v>14.47</v>
      </c>
      <c r="E143" s="12"/>
      <c r="F143" s="13"/>
    </row>
    <row r="144" ht="16.5" customHeight="1" spans="1:6">
      <c r="A144" s="11">
        <v>654</v>
      </c>
      <c r="B144" s="11" t="s">
        <v>781</v>
      </c>
      <c r="C144" s="12">
        <v>21</v>
      </c>
      <c r="D144" s="13">
        <v>223.09</v>
      </c>
      <c r="E144" s="12"/>
      <c r="F144" s="13"/>
    </row>
    <row r="145" ht="16.5" customHeight="1" spans="1:6">
      <c r="A145" s="11">
        <v>655</v>
      </c>
      <c r="B145" s="11" t="s">
        <v>782</v>
      </c>
      <c r="C145" s="12">
        <v>9</v>
      </c>
      <c r="D145" s="13">
        <v>72.43</v>
      </c>
      <c r="E145" s="12"/>
      <c r="F145" s="13"/>
    </row>
    <row r="146" ht="16.5" customHeight="1" spans="1:6">
      <c r="A146" s="11">
        <v>565</v>
      </c>
      <c r="B146" s="11" t="s">
        <v>783</v>
      </c>
      <c r="C146" s="12">
        <v>28</v>
      </c>
      <c r="D146" s="13">
        <v>362.3</v>
      </c>
      <c r="E146" s="12"/>
      <c r="F146" s="13"/>
    </row>
    <row r="147" ht="49.5" customHeight="1" spans="1:6">
      <c r="A147" s="11">
        <v>566</v>
      </c>
      <c r="B147" s="11" t="s">
        <v>784</v>
      </c>
      <c r="C147" s="12">
        <v>0</v>
      </c>
      <c r="D147" s="13">
        <v>0</v>
      </c>
      <c r="E147" s="12"/>
      <c r="F147" s="13"/>
    </row>
    <row r="148" ht="16.5" customHeight="1" spans="1:6">
      <c r="A148" s="11">
        <v>569</v>
      </c>
      <c r="B148" s="11" t="s">
        <v>785</v>
      </c>
      <c r="C148" s="12">
        <v>1</v>
      </c>
      <c r="D148" s="13">
        <v>69.88</v>
      </c>
      <c r="E148" s="12"/>
      <c r="F148" s="13"/>
    </row>
    <row r="149" ht="16.5" customHeight="1" spans="1:6">
      <c r="A149" s="11">
        <v>574</v>
      </c>
      <c r="B149" s="11" t="s">
        <v>786</v>
      </c>
      <c r="C149" s="12">
        <v>24</v>
      </c>
      <c r="D149" s="13">
        <v>934.2</v>
      </c>
      <c r="E149" s="12"/>
      <c r="F149" s="13"/>
    </row>
    <row r="150" ht="16.5" customHeight="1" spans="1:6">
      <c r="A150" s="11">
        <v>575</v>
      </c>
      <c r="B150" s="11" t="s">
        <v>787</v>
      </c>
      <c r="C150" s="12">
        <v>19</v>
      </c>
      <c r="D150" s="13">
        <v>798.85</v>
      </c>
      <c r="E150" s="12"/>
      <c r="F150" s="13"/>
    </row>
    <row r="151" ht="16.5" customHeight="1" spans="1:6">
      <c r="A151" s="11">
        <v>576</v>
      </c>
      <c r="B151" s="11" t="s">
        <v>788</v>
      </c>
      <c r="C151" s="12">
        <v>33</v>
      </c>
      <c r="D151" s="13">
        <v>1192.78</v>
      </c>
      <c r="E151" s="12"/>
      <c r="F151" s="13"/>
    </row>
    <row r="152" ht="16.5" customHeight="1" spans="1:6">
      <c r="A152" s="11">
        <v>585</v>
      </c>
      <c r="B152" s="11" t="s">
        <v>789</v>
      </c>
      <c r="C152" s="12">
        <v>4</v>
      </c>
      <c r="D152" s="13">
        <v>412.44</v>
      </c>
      <c r="E152" s="12"/>
      <c r="F152" s="13"/>
    </row>
    <row r="153" ht="16.5" customHeight="1" spans="1:6">
      <c r="A153" s="11">
        <v>586</v>
      </c>
      <c r="B153" s="11" t="s">
        <v>790</v>
      </c>
      <c r="C153" s="12">
        <v>20</v>
      </c>
      <c r="D153" s="13">
        <v>1520.75</v>
      </c>
      <c r="E153" s="12"/>
      <c r="F153" s="13"/>
    </row>
    <row r="154" ht="16.5" customHeight="1" spans="1:6">
      <c r="A154" s="11">
        <v>589</v>
      </c>
      <c r="B154" s="11" t="s">
        <v>791</v>
      </c>
      <c r="C154" s="12">
        <v>3</v>
      </c>
      <c r="D154" s="13">
        <v>78.08</v>
      </c>
      <c r="E154" s="12"/>
      <c r="F154" s="13"/>
    </row>
    <row r="155" ht="82.5" customHeight="1" spans="1:6">
      <c r="A155" s="11">
        <v>596</v>
      </c>
      <c r="B155" s="11" t="s">
        <v>792</v>
      </c>
      <c r="C155" s="12">
        <v>1</v>
      </c>
      <c r="D155" s="13">
        <v>41.09</v>
      </c>
      <c r="E155" s="12"/>
      <c r="F155" s="13"/>
    </row>
    <row r="156" ht="82.5" customHeight="1" spans="1:6">
      <c r="A156" s="11">
        <v>945</v>
      </c>
      <c r="B156" s="11" t="s">
        <v>793</v>
      </c>
      <c r="C156" s="12">
        <v>1</v>
      </c>
      <c r="D156" s="13">
        <v>34.78</v>
      </c>
      <c r="E156" s="12"/>
      <c r="F156" s="13"/>
    </row>
    <row r="157" ht="16.5" customHeight="1" spans="1:6">
      <c r="A157" s="11">
        <v>954</v>
      </c>
      <c r="B157" s="11" t="s">
        <v>794</v>
      </c>
      <c r="C157" s="12">
        <v>11</v>
      </c>
      <c r="D157" s="13">
        <v>368.29</v>
      </c>
      <c r="E157" s="12"/>
      <c r="F157" s="13"/>
    </row>
    <row r="158" ht="16.5" customHeight="1" spans="1:6">
      <c r="A158" s="11">
        <v>955</v>
      </c>
      <c r="B158" s="11" t="s">
        <v>795</v>
      </c>
      <c r="C158" s="12">
        <v>0</v>
      </c>
      <c r="D158" s="13">
        <v>0</v>
      </c>
      <c r="E158" s="12"/>
      <c r="F158" s="13"/>
    </row>
    <row r="159" ht="16.5" customHeight="1" spans="1:6">
      <c r="A159" s="11">
        <v>971</v>
      </c>
      <c r="B159" s="11" t="s">
        <v>796</v>
      </c>
      <c r="C159" s="12">
        <v>0</v>
      </c>
      <c r="D159" s="13">
        <v>0</v>
      </c>
      <c r="E159" s="12"/>
      <c r="F159" s="13"/>
    </row>
    <row r="160" ht="16.5" customHeight="1" spans="1:6">
      <c r="A160" s="11">
        <v>972</v>
      </c>
      <c r="B160" s="11" t="s">
        <v>797</v>
      </c>
      <c r="C160" s="12">
        <v>9</v>
      </c>
      <c r="D160" s="13">
        <v>878.1</v>
      </c>
      <c r="E160" s="12"/>
      <c r="F160" s="13"/>
    </row>
    <row r="161" ht="16.5" customHeight="1" spans="1:6">
      <c r="A161" s="11">
        <v>985</v>
      </c>
      <c r="B161" s="11" t="s">
        <v>798</v>
      </c>
      <c r="C161" s="12">
        <v>19</v>
      </c>
      <c r="D161" s="13">
        <v>1259.56</v>
      </c>
      <c r="E161" s="12"/>
      <c r="F161" s="13"/>
    </row>
    <row r="162" ht="49.5" customHeight="1" spans="1:6">
      <c r="A162" s="11">
        <v>1008</v>
      </c>
      <c r="B162" s="11" t="s">
        <v>799</v>
      </c>
      <c r="C162" s="12">
        <v>2</v>
      </c>
      <c r="D162" s="13">
        <v>153.18</v>
      </c>
      <c r="E162" s="12"/>
      <c r="F162" s="13"/>
    </row>
    <row r="163" ht="16.5" customHeight="1" spans="1:6">
      <c r="A163" s="11">
        <v>1010</v>
      </c>
      <c r="B163" s="11" t="s">
        <v>800</v>
      </c>
      <c r="C163" s="12">
        <v>2</v>
      </c>
      <c r="D163" s="13">
        <v>74.46</v>
      </c>
      <c r="E163" s="12"/>
      <c r="F163" s="13"/>
    </row>
    <row r="164" ht="49.5" customHeight="1" spans="1:6">
      <c r="A164" s="11">
        <v>1011</v>
      </c>
      <c r="B164" s="11" t="s">
        <v>801</v>
      </c>
      <c r="C164" s="12">
        <v>3</v>
      </c>
      <c r="D164" s="13">
        <v>239.97</v>
      </c>
      <c r="E164" s="12"/>
      <c r="F164" s="13"/>
    </row>
    <row r="165" ht="16.5" customHeight="1" spans="1:6">
      <c r="A165" s="11">
        <v>1022</v>
      </c>
      <c r="B165" s="11" t="s">
        <v>802</v>
      </c>
      <c r="C165" s="12">
        <v>1</v>
      </c>
      <c r="D165" s="13">
        <v>44</v>
      </c>
      <c r="E165" s="12"/>
      <c r="F165" s="13"/>
    </row>
    <row r="166" ht="16.5" customHeight="1" spans="1:6">
      <c r="A166" s="11">
        <v>1024</v>
      </c>
      <c r="B166" s="11" t="s">
        <v>803</v>
      </c>
      <c r="C166" s="12">
        <v>1</v>
      </c>
      <c r="D166" s="13">
        <v>31.1</v>
      </c>
      <c r="E166" s="12"/>
      <c r="F166" s="13"/>
    </row>
    <row r="167" ht="49.5" customHeight="1" spans="1:6">
      <c r="A167" s="11">
        <v>1025</v>
      </c>
      <c r="B167" s="11" t="s">
        <v>804</v>
      </c>
      <c r="C167" s="12">
        <v>5</v>
      </c>
      <c r="D167" s="13">
        <v>313.5</v>
      </c>
      <c r="E167" s="12"/>
      <c r="F167" s="13"/>
    </row>
    <row r="168" ht="16.5" customHeight="1" spans="1:6">
      <c r="A168" s="11">
        <v>1026</v>
      </c>
      <c r="B168" s="11" t="s">
        <v>805</v>
      </c>
      <c r="C168" s="12">
        <v>2</v>
      </c>
      <c r="D168" s="13">
        <v>68.27</v>
      </c>
      <c r="E168" s="12"/>
      <c r="F168" s="13"/>
    </row>
    <row r="169" ht="16.5" customHeight="1" spans="1:6">
      <c r="A169" s="11">
        <v>1032</v>
      </c>
      <c r="B169" s="11" t="s">
        <v>806</v>
      </c>
      <c r="C169" s="12">
        <v>8</v>
      </c>
      <c r="D169" s="13">
        <v>573.73</v>
      </c>
      <c r="E169" s="12"/>
      <c r="F169" s="13"/>
    </row>
    <row r="170" ht="16.5" customHeight="1" spans="1:6">
      <c r="A170" s="11">
        <v>1049</v>
      </c>
      <c r="B170" s="11" t="s">
        <v>807</v>
      </c>
      <c r="C170" s="12">
        <v>9</v>
      </c>
      <c r="D170" s="13">
        <v>623.31</v>
      </c>
      <c r="E170" s="12"/>
      <c r="F170" s="13"/>
    </row>
    <row r="171" ht="16.5" customHeight="1" spans="1:6">
      <c r="A171" s="11">
        <v>1051</v>
      </c>
      <c r="B171" s="11" t="s">
        <v>808</v>
      </c>
      <c r="C171" s="12">
        <v>54</v>
      </c>
      <c r="D171" s="13">
        <v>2583.8</v>
      </c>
      <c r="E171" s="12"/>
      <c r="F171" s="13"/>
    </row>
    <row r="172" ht="16.5" customHeight="1" spans="1:6">
      <c r="A172" s="11">
        <v>1116</v>
      </c>
      <c r="B172" s="11" t="s">
        <v>809</v>
      </c>
      <c r="C172" s="12">
        <v>4</v>
      </c>
      <c r="D172" s="13">
        <v>108.87</v>
      </c>
      <c r="E172" s="12"/>
      <c r="F172" s="13"/>
    </row>
    <row r="173" ht="49.5" customHeight="1" spans="1:6">
      <c r="A173" s="11">
        <v>1117</v>
      </c>
      <c r="B173" s="11" t="s">
        <v>810</v>
      </c>
      <c r="C173" s="12">
        <v>0</v>
      </c>
      <c r="D173" s="13">
        <v>0</v>
      </c>
      <c r="E173" s="12"/>
      <c r="F173" s="13"/>
    </row>
    <row r="174" ht="16.5" customHeight="1" spans="1:6">
      <c r="A174" s="11">
        <v>1118</v>
      </c>
      <c r="B174" s="11" t="s">
        <v>811</v>
      </c>
      <c r="C174" s="12">
        <v>0</v>
      </c>
      <c r="D174" s="13">
        <v>0</v>
      </c>
      <c r="E174" s="12"/>
      <c r="F174" s="13"/>
    </row>
    <row r="175" ht="16.5" customHeight="1" spans="1:6">
      <c r="A175" s="11">
        <v>1119</v>
      </c>
      <c r="B175" s="11" t="s">
        <v>812</v>
      </c>
      <c r="C175" s="12">
        <v>4</v>
      </c>
      <c r="D175" s="13">
        <v>477.56</v>
      </c>
      <c r="E175" s="12"/>
      <c r="F175" s="13"/>
    </row>
    <row r="176" ht="49.5" customHeight="1" spans="1:6">
      <c r="A176" s="11">
        <v>1120</v>
      </c>
      <c r="B176" s="11" t="s">
        <v>813</v>
      </c>
      <c r="C176" s="12">
        <v>8</v>
      </c>
      <c r="D176" s="13">
        <v>1081.15</v>
      </c>
      <c r="E176" s="12"/>
      <c r="F176" s="13"/>
    </row>
    <row r="177" ht="16.5" customHeight="1" spans="1:6">
      <c r="A177" s="11">
        <v>1121</v>
      </c>
      <c r="B177" s="11" t="s">
        <v>814</v>
      </c>
      <c r="C177" s="12">
        <v>1</v>
      </c>
      <c r="D177" s="13">
        <v>130.2</v>
      </c>
      <c r="E177" s="12"/>
      <c r="F177" s="13"/>
    </row>
    <row r="178" ht="16.5" customHeight="1" spans="1:6">
      <c r="A178" s="11">
        <v>1122</v>
      </c>
      <c r="B178" s="11" t="s">
        <v>815</v>
      </c>
      <c r="C178" s="12">
        <v>12</v>
      </c>
      <c r="D178" s="13">
        <v>1109.02</v>
      </c>
      <c r="E178" s="12"/>
      <c r="F178" s="13"/>
    </row>
    <row r="179" ht="16.5" customHeight="1" spans="1:6">
      <c r="A179" s="11">
        <v>1125</v>
      </c>
      <c r="B179" s="11" t="s">
        <v>816</v>
      </c>
      <c r="C179" s="12">
        <v>24</v>
      </c>
      <c r="D179" s="13">
        <v>313.8</v>
      </c>
      <c r="E179" s="12"/>
      <c r="F179" s="13"/>
    </row>
    <row r="180" ht="16.5" customHeight="1" spans="1:6">
      <c r="A180" s="11">
        <v>1126</v>
      </c>
      <c r="B180" s="11" t="s">
        <v>817</v>
      </c>
      <c r="C180" s="12">
        <v>1</v>
      </c>
      <c r="D180" s="13">
        <v>11.04</v>
      </c>
      <c r="E180" s="12"/>
      <c r="F180" s="13"/>
    </row>
    <row r="181" ht="16.5" customHeight="1" spans="1:6">
      <c r="A181" s="11">
        <v>1134</v>
      </c>
      <c r="B181" s="11" t="s">
        <v>818</v>
      </c>
      <c r="C181" s="12">
        <v>8</v>
      </c>
      <c r="D181" s="13">
        <v>526.32</v>
      </c>
      <c r="E181" s="12"/>
      <c r="F181" s="13"/>
    </row>
    <row r="182" ht="16.5" customHeight="1" spans="1:6">
      <c r="A182" s="11">
        <v>1135</v>
      </c>
      <c r="B182" s="11" t="s">
        <v>819</v>
      </c>
      <c r="C182" s="12">
        <v>20</v>
      </c>
      <c r="D182" s="13">
        <v>1084</v>
      </c>
      <c r="E182" s="12"/>
      <c r="F182" s="13"/>
    </row>
    <row r="183" ht="16.5" customHeight="1" spans="1:6">
      <c r="A183" s="11">
        <v>1141</v>
      </c>
      <c r="B183" s="11" t="s">
        <v>820</v>
      </c>
      <c r="C183" s="12">
        <v>2</v>
      </c>
      <c r="D183" s="13">
        <v>166</v>
      </c>
      <c r="E183" s="12"/>
      <c r="F183" s="13"/>
    </row>
    <row r="184" ht="16.5" customHeight="1" spans="1:6">
      <c r="A184" s="11">
        <v>1146</v>
      </c>
      <c r="B184" s="11" t="s">
        <v>821</v>
      </c>
      <c r="C184" s="12">
        <v>0</v>
      </c>
      <c r="D184" s="13">
        <v>0</v>
      </c>
      <c r="E184" s="12"/>
      <c r="F184" s="13"/>
    </row>
    <row r="185" ht="16.5" customHeight="1" spans="1:6">
      <c r="A185" s="11">
        <v>1150</v>
      </c>
      <c r="B185" s="11" t="s">
        <v>822</v>
      </c>
      <c r="C185" s="12">
        <v>3</v>
      </c>
      <c r="D185" s="13">
        <v>202.61</v>
      </c>
      <c r="E185" s="12"/>
      <c r="F185" s="13"/>
    </row>
    <row r="186" ht="16.5" customHeight="1" spans="1:6">
      <c r="A186" s="11">
        <v>1152</v>
      </c>
      <c r="B186" s="11" t="s">
        <v>823</v>
      </c>
      <c r="C186" s="12">
        <v>3</v>
      </c>
      <c r="D186" s="13">
        <v>151.98</v>
      </c>
      <c r="E186" s="12"/>
      <c r="F186" s="13"/>
    </row>
    <row r="187" ht="16.5" customHeight="1" spans="1:6">
      <c r="A187" s="11">
        <v>1154</v>
      </c>
      <c r="B187" s="11" t="s">
        <v>824</v>
      </c>
      <c r="C187" s="12">
        <v>13</v>
      </c>
      <c r="D187" s="13">
        <v>513.69</v>
      </c>
      <c r="E187" s="12"/>
      <c r="F187" s="13"/>
    </row>
    <row r="188" ht="16.5" customHeight="1" spans="1:6">
      <c r="A188" s="11">
        <v>1155</v>
      </c>
      <c r="B188" s="11" t="s">
        <v>825</v>
      </c>
      <c r="C188" s="12">
        <v>2</v>
      </c>
      <c r="D188" s="13">
        <v>156</v>
      </c>
      <c r="E188" s="12"/>
      <c r="F188" s="13"/>
    </row>
    <row r="189" ht="16.5" customHeight="1" spans="1:6">
      <c r="A189" s="11">
        <v>1191</v>
      </c>
      <c r="B189" s="11" t="s">
        <v>826</v>
      </c>
      <c r="C189" s="12">
        <v>8</v>
      </c>
      <c r="D189" s="13">
        <v>191.2</v>
      </c>
      <c r="E189" s="12"/>
      <c r="F189" s="13"/>
    </row>
    <row r="190" ht="16.5" customHeight="1" spans="1:6">
      <c r="A190" s="11">
        <v>1199</v>
      </c>
      <c r="B190" s="11" t="s">
        <v>827</v>
      </c>
      <c r="C190" s="12">
        <v>12</v>
      </c>
      <c r="D190" s="13">
        <v>409.44</v>
      </c>
      <c r="E190" s="12"/>
      <c r="F190" s="13"/>
    </row>
    <row r="191" ht="16.5" customHeight="1" spans="1:6">
      <c r="A191" s="11">
        <v>2518</v>
      </c>
      <c r="B191" s="11" t="s">
        <v>828</v>
      </c>
      <c r="C191" s="12">
        <v>6</v>
      </c>
      <c r="D191" s="13">
        <v>179.88</v>
      </c>
      <c r="E191" s="12"/>
      <c r="F191" s="13"/>
    </row>
    <row r="192" ht="16.5" customHeight="1" spans="1:6">
      <c r="A192" s="11">
        <v>1201</v>
      </c>
      <c r="B192" s="11" t="s">
        <v>829</v>
      </c>
      <c r="C192" s="12">
        <v>12</v>
      </c>
      <c r="D192" s="13">
        <v>727.14</v>
      </c>
      <c r="E192" s="12"/>
      <c r="F192" s="13"/>
    </row>
    <row r="193" ht="16.5" customHeight="1" spans="1:6">
      <c r="A193" s="11">
        <v>1247</v>
      </c>
      <c r="B193" s="11" t="s">
        <v>830</v>
      </c>
      <c r="C193" s="12">
        <v>6</v>
      </c>
      <c r="D193" s="13">
        <v>507.94</v>
      </c>
      <c r="E193" s="12"/>
      <c r="F193" s="13"/>
    </row>
    <row r="194" ht="16.5" customHeight="1" spans="1:6">
      <c r="A194" s="11">
        <v>1249</v>
      </c>
      <c r="B194" s="11" t="s">
        <v>831</v>
      </c>
      <c r="C194" s="12">
        <v>4</v>
      </c>
      <c r="D194" s="13">
        <v>352.99</v>
      </c>
      <c r="E194" s="12"/>
      <c r="F194" s="13"/>
    </row>
    <row r="195" ht="16.5" customHeight="1" spans="1:6">
      <c r="A195" s="11">
        <v>1286</v>
      </c>
      <c r="B195" s="11" t="s">
        <v>832</v>
      </c>
      <c r="C195" s="12">
        <v>0</v>
      </c>
      <c r="D195" s="13">
        <v>0</v>
      </c>
      <c r="E195" s="12"/>
      <c r="F195" s="13"/>
    </row>
    <row r="196" ht="16.5" customHeight="1" spans="1:6">
      <c r="A196" s="11">
        <v>1292</v>
      </c>
      <c r="B196" s="11" t="s">
        <v>833</v>
      </c>
      <c r="C196" s="12">
        <v>15</v>
      </c>
      <c r="D196" s="13">
        <v>994.95</v>
      </c>
      <c r="E196" s="12"/>
      <c r="F196" s="13"/>
    </row>
    <row r="197" ht="16.5" customHeight="1" spans="1:6">
      <c r="A197" s="11">
        <v>1302</v>
      </c>
      <c r="B197" s="11" t="s">
        <v>834</v>
      </c>
      <c r="C197" s="12">
        <v>20</v>
      </c>
      <c r="D197" s="13">
        <v>702.06</v>
      </c>
      <c r="E197" s="12"/>
      <c r="F197" s="13"/>
    </row>
    <row r="198" ht="16.5" customHeight="1" spans="1:6">
      <c r="A198" s="11">
        <v>1310</v>
      </c>
      <c r="B198" s="11" t="s">
        <v>835</v>
      </c>
      <c r="C198" s="12">
        <v>31</v>
      </c>
      <c r="D198" s="13">
        <v>200.26</v>
      </c>
      <c r="E198" s="12"/>
      <c r="F198" s="13"/>
    </row>
    <row r="199" ht="49.5" customHeight="1" spans="1:6">
      <c r="A199" s="11">
        <v>1320</v>
      </c>
      <c r="B199" s="11" t="s">
        <v>836</v>
      </c>
      <c r="C199" s="12">
        <v>0</v>
      </c>
      <c r="D199" s="13">
        <v>0</v>
      </c>
      <c r="E199" s="12"/>
      <c r="F199" s="13"/>
    </row>
    <row r="200" ht="16.5" customHeight="1" spans="1:6">
      <c r="A200" s="11">
        <v>1368</v>
      </c>
      <c r="B200" s="11" t="s">
        <v>837</v>
      </c>
      <c r="C200" s="12">
        <v>5</v>
      </c>
      <c r="D200" s="13">
        <v>308.34</v>
      </c>
      <c r="E200" s="12"/>
      <c r="F200" s="13"/>
    </row>
    <row r="201" ht="16.5" customHeight="1" spans="1:6">
      <c r="A201" s="11">
        <v>1369</v>
      </c>
      <c r="B201" s="11" t="s">
        <v>838</v>
      </c>
      <c r="C201" s="12">
        <v>2</v>
      </c>
      <c r="D201" s="13">
        <v>107.92</v>
      </c>
      <c r="E201" s="12"/>
      <c r="F201" s="13"/>
    </row>
    <row r="202" ht="16.5" customHeight="1" spans="1:6">
      <c r="A202" s="11">
        <v>1370</v>
      </c>
      <c r="B202" s="11" t="s">
        <v>839</v>
      </c>
      <c r="C202" s="12">
        <v>2</v>
      </c>
      <c r="D202" s="13">
        <v>135.58</v>
      </c>
      <c r="E202" s="12"/>
      <c r="F202" s="13"/>
    </row>
    <row r="203" ht="16.5" customHeight="1" spans="1:6">
      <c r="A203" s="11">
        <v>1371</v>
      </c>
      <c r="B203" s="11" t="s">
        <v>840</v>
      </c>
      <c r="C203" s="12">
        <v>6</v>
      </c>
      <c r="D203" s="13">
        <v>374.04</v>
      </c>
      <c r="E203" s="12"/>
      <c r="F203" s="13"/>
    </row>
    <row r="204" ht="16.5" customHeight="1" spans="1:6">
      <c r="A204" s="11">
        <v>1372</v>
      </c>
      <c r="B204" s="11" t="s">
        <v>841</v>
      </c>
      <c r="C204" s="12">
        <v>3</v>
      </c>
      <c r="D204" s="13">
        <v>190.37</v>
      </c>
      <c r="E204" s="12"/>
      <c r="F204" s="13"/>
    </row>
    <row r="205" ht="16.5" customHeight="1" spans="1:6">
      <c r="A205" s="11">
        <v>2752</v>
      </c>
      <c r="B205" s="11" t="s">
        <v>842</v>
      </c>
      <c r="C205" s="12">
        <v>1</v>
      </c>
      <c r="D205" s="13">
        <v>43.25</v>
      </c>
      <c r="E205" s="12"/>
      <c r="F205" s="13"/>
    </row>
    <row r="206" ht="16.5" customHeight="1" spans="1:6">
      <c r="A206" s="11">
        <v>1379</v>
      </c>
      <c r="B206" s="11" t="s">
        <v>843</v>
      </c>
      <c r="C206" s="12">
        <v>0</v>
      </c>
      <c r="D206" s="13">
        <v>0</v>
      </c>
      <c r="E206" s="12"/>
      <c r="F206" s="13"/>
    </row>
    <row r="207" ht="16.5" customHeight="1" spans="1:6">
      <c r="A207" s="11">
        <v>1390</v>
      </c>
      <c r="B207" s="11" t="s">
        <v>844</v>
      </c>
      <c r="C207" s="12">
        <v>10</v>
      </c>
      <c r="D207" s="13">
        <v>286.9</v>
      </c>
      <c r="E207" s="12"/>
      <c r="F207" s="13"/>
    </row>
    <row r="208" ht="16.5" customHeight="1" spans="1:6">
      <c r="A208" s="11">
        <v>1447</v>
      </c>
      <c r="B208" s="11" t="s">
        <v>845</v>
      </c>
      <c r="C208" s="12">
        <v>1</v>
      </c>
      <c r="D208" s="13">
        <v>56.89</v>
      </c>
      <c r="E208" s="12"/>
      <c r="F208" s="13"/>
    </row>
    <row r="209" ht="16.5" customHeight="1" spans="1:6">
      <c r="A209" s="11">
        <v>1448</v>
      </c>
      <c r="B209" s="11" t="s">
        <v>846</v>
      </c>
      <c r="C209" s="12">
        <v>3</v>
      </c>
      <c r="D209" s="13">
        <v>226.45</v>
      </c>
      <c r="E209" s="12"/>
      <c r="F209" s="13"/>
    </row>
    <row r="210" ht="16.5" customHeight="1" spans="1:6">
      <c r="A210" s="11">
        <v>1449</v>
      </c>
      <c r="B210" s="11" t="s">
        <v>847</v>
      </c>
      <c r="C210" s="12">
        <v>19</v>
      </c>
      <c r="D210" s="13">
        <v>1501.4</v>
      </c>
      <c r="E210" s="12"/>
      <c r="F210" s="13"/>
    </row>
    <row r="211" ht="16.5" customHeight="1" spans="1:6">
      <c r="A211" s="11">
        <v>1459</v>
      </c>
      <c r="B211" s="11" t="s">
        <v>848</v>
      </c>
      <c r="C211" s="12">
        <v>17</v>
      </c>
      <c r="D211" s="13">
        <v>1705</v>
      </c>
      <c r="E211" s="12"/>
      <c r="F211" s="13"/>
    </row>
    <row r="212" ht="16.5" customHeight="1" spans="1:6">
      <c r="A212" s="11">
        <v>1462</v>
      </c>
      <c r="B212" s="11" t="s">
        <v>849</v>
      </c>
      <c r="C212" s="12">
        <v>1</v>
      </c>
      <c r="D212" s="13">
        <v>74.99</v>
      </c>
      <c r="E212" s="12"/>
      <c r="F212" s="13"/>
    </row>
    <row r="213" ht="16.5" customHeight="1" spans="1:6">
      <c r="A213" s="11">
        <v>1497</v>
      </c>
      <c r="B213" s="11" t="s">
        <v>850</v>
      </c>
      <c r="C213" s="12">
        <v>4</v>
      </c>
      <c r="D213" s="13">
        <v>225.68</v>
      </c>
      <c r="E213" s="12"/>
      <c r="F213" s="13"/>
    </row>
    <row r="214" ht="16.5" customHeight="1" spans="1:6">
      <c r="A214" s="11">
        <v>1498</v>
      </c>
      <c r="B214" s="11" t="s">
        <v>851</v>
      </c>
      <c r="C214" s="12">
        <v>1</v>
      </c>
      <c r="D214" s="13">
        <v>166.24</v>
      </c>
      <c r="E214" s="12"/>
      <c r="F214" s="13"/>
    </row>
    <row r="215" ht="16.5" customHeight="1" spans="1:6">
      <c r="A215" s="11">
        <v>1513</v>
      </c>
      <c r="B215" s="11" t="s">
        <v>852</v>
      </c>
      <c r="C215" s="12">
        <v>14</v>
      </c>
      <c r="D215" s="13">
        <v>1328.79</v>
      </c>
      <c r="E215" s="12"/>
      <c r="F215" s="13"/>
    </row>
    <row r="216" ht="16.5" customHeight="1" spans="1:6">
      <c r="A216" s="11">
        <v>1520</v>
      </c>
      <c r="B216" s="11" t="s">
        <v>853</v>
      </c>
      <c r="C216" s="12">
        <v>9</v>
      </c>
      <c r="D216" s="13">
        <v>304.5</v>
      </c>
      <c r="E216" s="12"/>
      <c r="F216" s="13"/>
    </row>
    <row r="217" ht="49.5" customHeight="1" spans="1:6">
      <c r="A217" s="11">
        <v>1536</v>
      </c>
      <c r="B217" s="11" t="s">
        <v>854</v>
      </c>
      <c r="C217" s="12">
        <v>1</v>
      </c>
      <c r="D217" s="13">
        <v>75</v>
      </c>
      <c r="E217" s="12"/>
      <c r="F217" s="13"/>
    </row>
    <row r="218" ht="16.5" customHeight="1" spans="1:6">
      <c r="A218" s="11">
        <v>1538</v>
      </c>
      <c r="B218" s="11" t="s">
        <v>855</v>
      </c>
      <c r="C218" s="12">
        <v>20</v>
      </c>
      <c r="D218" s="13">
        <v>537.79</v>
      </c>
      <c r="E218" s="12"/>
      <c r="F218" s="13"/>
    </row>
    <row r="219" ht="16.5" customHeight="1" spans="1:6">
      <c r="A219" s="11">
        <v>1584</v>
      </c>
      <c r="B219" s="11" t="s">
        <v>856</v>
      </c>
      <c r="C219" s="12">
        <v>10</v>
      </c>
      <c r="D219" s="13">
        <v>671.92</v>
      </c>
      <c r="E219" s="12"/>
      <c r="F219" s="13"/>
    </row>
    <row r="220" ht="16.5" customHeight="1" spans="1:6">
      <c r="A220" s="11">
        <v>2993</v>
      </c>
      <c r="B220" s="11" t="s">
        <v>857</v>
      </c>
      <c r="C220" s="12">
        <v>17</v>
      </c>
      <c r="D220" s="13">
        <v>1213.08</v>
      </c>
      <c r="E220" s="12"/>
      <c r="F220" s="13"/>
    </row>
    <row r="221" ht="16.5" customHeight="1" spans="1:6">
      <c r="A221" s="11">
        <v>1586</v>
      </c>
      <c r="B221" s="11" t="s">
        <v>858</v>
      </c>
      <c r="C221" s="12">
        <v>0</v>
      </c>
      <c r="D221" s="13">
        <v>0</v>
      </c>
      <c r="E221" s="12"/>
      <c r="F221" s="13"/>
    </row>
    <row r="222" ht="16.5" customHeight="1" spans="1:6">
      <c r="A222" s="11">
        <v>1588</v>
      </c>
      <c r="B222" s="11" t="s">
        <v>859</v>
      </c>
      <c r="C222" s="12">
        <v>1</v>
      </c>
      <c r="D222" s="13">
        <v>82.31</v>
      </c>
      <c r="E222" s="12"/>
      <c r="F222" s="13"/>
    </row>
    <row r="223" ht="16.5" customHeight="1" spans="1:6">
      <c r="A223" s="11">
        <v>1634</v>
      </c>
      <c r="B223" s="11" t="s">
        <v>860</v>
      </c>
      <c r="C223" s="12">
        <v>4</v>
      </c>
      <c r="D223" s="13">
        <v>224.8</v>
      </c>
      <c r="E223" s="12"/>
      <c r="F223" s="13"/>
    </row>
    <row r="224" ht="16.5" customHeight="1" spans="1:6">
      <c r="A224" s="11">
        <v>1643</v>
      </c>
      <c r="B224" s="11" t="s">
        <v>861</v>
      </c>
      <c r="C224" s="12">
        <v>0</v>
      </c>
      <c r="D224" s="13">
        <v>0</v>
      </c>
      <c r="E224" s="12"/>
      <c r="F224" s="13"/>
    </row>
    <row r="225" ht="16.5" customHeight="1" spans="1:6">
      <c r="A225" s="11">
        <v>1691</v>
      </c>
      <c r="B225" s="11" t="s">
        <v>862</v>
      </c>
      <c r="C225" s="12">
        <v>0</v>
      </c>
      <c r="D225" s="13">
        <v>0</v>
      </c>
      <c r="E225" s="12"/>
      <c r="F225" s="13"/>
    </row>
    <row r="226" ht="16.5" customHeight="1" spans="1:6">
      <c r="A226" s="11">
        <v>1697</v>
      </c>
      <c r="B226" s="11" t="s">
        <v>863</v>
      </c>
      <c r="C226" s="12">
        <v>3</v>
      </c>
      <c r="D226" s="13">
        <v>177.17</v>
      </c>
      <c r="E226" s="12"/>
      <c r="F226" s="13"/>
    </row>
    <row r="227" ht="16.5" customHeight="1" spans="1:6">
      <c r="A227" s="11">
        <v>1698</v>
      </c>
      <c r="B227" s="11" t="s">
        <v>864</v>
      </c>
      <c r="C227" s="12">
        <v>5</v>
      </c>
      <c r="D227" s="13">
        <v>289.55</v>
      </c>
      <c r="E227" s="12"/>
      <c r="F227" s="13"/>
    </row>
    <row r="228" ht="16.5" customHeight="1" spans="1:6">
      <c r="A228" s="11">
        <v>1699</v>
      </c>
      <c r="B228" s="11" t="s">
        <v>865</v>
      </c>
      <c r="C228" s="12">
        <v>12</v>
      </c>
      <c r="D228" s="13">
        <v>815.56</v>
      </c>
      <c r="E228" s="12"/>
      <c r="F228" s="13"/>
    </row>
    <row r="229" ht="16.5" customHeight="1" spans="1:6">
      <c r="A229" s="11">
        <v>1700</v>
      </c>
      <c r="B229" s="11" t="s">
        <v>866</v>
      </c>
      <c r="C229" s="12">
        <v>9</v>
      </c>
      <c r="D229" s="13">
        <v>429.71</v>
      </c>
      <c r="E229" s="12"/>
      <c r="F229" s="13"/>
    </row>
    <row r="230" ht="16.5" customHeight="1" spans="1:6">
      <c r="A230" s="11">
        <v>1707</v>
      </c>
      <c r="B230" s="11" t="s">
        <v>867</v>
      </c>
      <c r="C230" s="12">
        <v>6</v>
      </c>
      <c r="D230" s="13">
        <v>324.12</v>
      </c>
      <c r="E230" s="12"/>
      <c r="F230" s="13"/>
    </row>
    <row r="231" ht="16.5" customHeight="1" spans="1:6">
      <c r="A231" s="11">
        <v>1708</v>
      </c>
      <c r="B231" s="11" t="s">
        <v>868</v>
      </c>
      <c r="C231" s="12">
        <v>4</v>
      </c>
      <c r="D231" s="13">
        <v>214.44</v>
      </c>
      <c r="E231" s="12"/>
      <c r="F231" s="13"/>
    </row>
    <row r="232" ht="16.5" customHeight="1" spans="1:6">
      <c r="A232" s="11">
        <v>1710</v>
      </c>
      <c r="B232" s="11" t="s">
        <v>869</v>
      </c>
      <c r="C232" s="12">
        <v>9</v>
      </c>
      <c r="D232" s="13">
        <v>623.61</v>
      </c>
      <c r="E232" s="12"/>
      <c r="F232" s="13"/>
    </row>
    <row r="233" ht="16.5" customHeight="1" spans="1:6">
      <c r="A233" s="11">
        <v>1712</v>
      </c>
      <c r="B233" s="11" t="s">
        <v>870</v>
      </c>
      <c r="C233" s="12">
        <v>5</v>
      </c>
      <c r="D233" s="13">
        <v>295.95</v>
      </c>
      <c r="E233" s="12"/>
      <c r="F233" s="13"/>
    </row>
    <row r="234" ht="16.5" customHeight="1" spans="1:6">
      <c r="A234" s="11">
        <v>1714</v>
      </c>
      <c r="B234" s="11" t="s">
        <v>871</v>
      </c>
      <c r="C234" s="12">
        <v>7</v>
      </c>
      <c r="D234" s="13">
        <v>485.34</v>
      </c>
      <c r="E234" s="12"/>
      <c r="F234" s="13"/>
    </row>
    <row r="235" ht="16.5" customHeight="1" spans="1:6">
      <c r="A235" s="11">
        <v>1716</v>
      </c>
      <c r="B235" s="11" t="s">
        <v>872</v>
      </c>
      <c r="C235" s="12">
        <v>11</v>
      </c>
      <c r="D235" s="13">
        <v>641.7</v>
      </c>
      <c r="E235" s="12"/>
      <c r="F235" s="13"/>
    </row>
    <row r="236" ht="16.5" customHeight="1" spans="1:6">
      <c r="A236" s="11">
        <v>1768</v>
      </c>
      <c r="B236" s="11" t="s">
        <v>873</v>
      </c>
      <c r="C236" s="12">
        <v>28</v>
      </c>
      <c r="D236" s="13">
        <v>2340.92</v>
      </c>
      <c r="E236" s="12"/>
      <c r="F236" s="13"/>
    </row>
    <row r="237" ht="49.5" customHeight="1" spans="1:6">
      <c r="A237" s="11">
        <v>3284</v>
      </c>
      <c r="B237" s="11" t="s">
        <v>874</v>
      </c>
      <c r="C237" s="12">
        <v>0</v>
      </c>
      <c r="D237" s="13">
        <v>0</v>
      </c>
      <c r="E237" s="12"/>
      <c r="F237" s="13"/>
    </row>
    <row r="238" ht="49.5" customHeight="1" spans="1:6">
      <c r="A238" s="11">
        <v>3341</v>
      </c>
      <c r="B238" s="11" t="s">
        <v>875</v>
      </c>
      <c r="C238" s="12">
        <v>0</v>
      </c>
      <c r="D238" s="13">
        <v>0</v>
      </c>
      <c r="E238" s="12"/>
      <c r="F238" s="13"/>
    </row>
    <row r="239" ht="16.5" customHeight="1" spans="1:6">
      <c r="A239" s="11">
        <v>2850</v>
      </c>
      <c r="B239" s="11" t="s">
        <v>876</v>
      </c>
      <c r="C239" s="12">
        <v>2</v>
      </c>
      <c r="D239" s="13">
        <v>190.06</v>
      </c>
      <c r="E239" s="12"/>
      <c r="F239" s="13"/>
    </row>
    <row r="240" ht="16.5" customHeight="1" spans="1:6">
      <c r="A240" s="11">
        <v>3385</v>
      </c>
      <c r="B240" s="11" t="s">
        <v>877</v>
      </c>
      <c r="C240" s="12">
        <v>0</v>
      </c>
      <c r="D240" s="13">
        <v>0</v>
      </c>
      <c r="E240" s="12"/>
      <c r="F240" s="13"/>
    </row>
    <row r="241" ht="16.5" customHeight="1" spans="1:6">
      <c r="A241" s="11">
        <v>3096</v>
      </c>
      <c r="B241" s="11" t="s">
        <v>878</v>
      </c>
      <c r="C241" s="12">
        <v>0</v>
      </c>
      <c r="D241" s="13">
        <v>0</v>
      </c>
      <c r="E241" s="12"/>
      <c r="F241" s="13"/>
    </row>
    <row r="242" ht="49.5" customHeight="1" spans="1:6">
      <c r="A242" s="11">
        <v>3118</v>
      </c>
      <c r="B242" s="11" t="s">
        <v>879</v>
      </c>
      <c r="C242" s="12">
        <v>9</v>
      </c>
      <c r="D242" s="13">
        <v>591.81</v>
      </c>
      <c r="E242" s="12"/>
      <c r="F242" s="13"/>
    </row>
    <row r="243" ht="16.5" customHeight="1" spans="1:6">
      <c r="A243" s="11">
        <v>3650</v>
      </c>
      <c r="B243" s="11" t="s">
        <v>880</v>
      </c>
      <c r="C243" s="12">
        <v>3</v>
      </c>
      <c r="D243" s="13">
        <v>168</v>
      </c>
      <c r="E243" s="12"/>
      <c r="F243" s="13"/>
    </row>
    <row r="244" ht="16.5" customHeight="1" spans="1:6">
      <c r="A244" s="11">
        <v>3681</v>
      </c>
      <c r="B244" s="11" t="s">
        <v>881</v>
      </c>
      <c r="C244" s="12">
        <v>0</v>
      </c>
      <c r="D244" s="13">
        <v>0</v>
      </c>
      <c r="E244" s="12"/>
      <c r="F244" s="13"/>
    </row>
    <row r="245" ht="16.5" customHeight="1" spans="1:6">
      <c r="A245" s="11">
        <v>3757</v>
      </c>
      <c r="B245" s="11" t="s">
        <v>882</v>
      </c>
      <c r="C245" s="12">
        <v>7</v>
      </c>
      <c r="D245" s="13">
        <v>317.49</v>
      </c>
      <c r="E245" s="12"/>
      <c r="F245" s="13"/>
    </row>
    <row r="246" ht="16.5" customHeight="1" spans="1:6">
      <c r="A246" s="11">
        <v>3584</v>
      </c>
      <c r="B246" s="11" t="s">
        <v>883</v>
      </c>
      <c r="C246" s="12">
        <v>3</v>
      </c>
      <c r="D246" s="13">
        <v>117.27</v>
      </c>
      <c r="E246" s="12"/>
      <c r="F246" s="13"/>
    </row>
    <row r="247" ht="16.5" customHeight="1" spans="1:6">
      <c r="A247" s="11">
        <v>3625</v>
      </c>
      <c r="B247" s="11" t="s">
        <v>884</v>
      </c>
      <c r="C247" s="12">
        <v>5</v>
      </c>
      <c r="D247" s="13">
        <v>256.83</v>
      </c>
      <c r="E247" s="12"/>
      <c r="F247" s="13"/>
    </row>
    <row r="248" ht="16.5" customHeight="1" spans="1:6">
      <c r="A248" s="11">
        <v>3645</v>
      </c>
      <c r="B248" s="11" t="s">
        <v>885</v>
      </c>
      <c r="C248" s="12">
        <v>1</v>
      </c>
      <c r="D248" s="13">
        <v>77.61</v>
      </c>
      <c r="E248" s="12"/>
      <c r="F248" s="13"/>
    </row>
    <row r="249" ht="16.5" customHeight="1" spans="1:6">
      <c r="A249" s="11">
        <v>3683</v>
      </c>
      <c r="B249" s="11" t="s">
        <v>886</v>
      </c>
      <c r="C249" s="12">
        <v>5</v>
      </c>
      <c r="D249" s="13">
        <v>441.32</v>
      </c>
      <c r="E249" s="12"/>
      <c r="F249" s="13"/>
    </row>
    <row r="250" ht="16.5" customHeight="1" spans="1:6">
      <c r="A250" s="11">
        <v>3684</v>
      </c>
      <c r="B250" s="11" t="s">
        <v>887</v>
      </c>
      <c r="C250" s="12">
        <v>2</v>
      </c>
      <c r="D250" s="13">
        <v>125</v>
      </c>
      <c r="E250" s="12"/>
      <c r="F250" s="13"/>
    </row>
    <row r="251" ht="16.5" customHeight="1" spans="1:6">
      <c r="A251" s="11">
        <v>3685</v>
      </c>
      <c r="B251" s="11" t="s">
        <v>888</v>
      </c>
      <c r="C251" s="12">
        <v>1</v>
      </c>
      <c r="D251" s="13">
        <v>54.99</v>
      </c>
      <c r="E251" s="12"/>
      <c r="F251" s="13"/>
    </row>
    <row r="252" ht="16.5" customHeight="1" spans="1:6">
      <c r="A252" s="11">
        <v>3758</v>
      </c>
      <c r="B252" s="11" t="s">
        <v>889</v>
      </c>
      <c r="C252" s="12">
        <v>3</v>
      </c>
      <c r="D252" s="13">
        <v>112.25</v>
      </c>
      <c r="E252" s="12"/>
      <c r="F252" s="13"/>
    </row>
    <row r="253" ht="16.5" customHeight="1" spans="1:6">
      <c r="A253" s="11">
        <v>3759</v>
      </c>
      <c r="B253" s="11" t="s">
        <v>890</v>
      </c>
      <c r="C253" s="12">
        <v>3</v>
      </c>
      <c r="D253" s="13">
        <v>99.36</v>
      </c>
      <c r="E253" s="12"/>
      <c r="F253" s="13"/>
    </row>
    <row r="254" ht="16.5" customHeight="1" spans="1:6">
      <c r="A254" s="11">
        <v>4326</v>
      </c>
      <c r="B254" s="11" t="s">
        <v>891</v>
      </c>
      <c r="C254" s="12">
        <v>6</v>
      </c>
      <c r="D254" s="13">
        <v>148.44</v>
      </c>
      <c r="E254" s="12"/>
      <c r="F254" s="13"/>
    </row>
    <row r="255" ht="16.5" customHeight="1" spans="1:6">
      <c r="A255" s="11">
        <v>4350</v>
      </c>
      <c r="B255" s="11" t="s">
        <v>892</v>
      </c>
      <c r="C255" s="12">
        <v>0</v>
      </c>
      <c r="D255" s="13">
        <v>0</v>
      </c>
      <c r="E255" s="12"/>
      <c r="F255" s="13"/>
    </row>
    <row r="256" ht="16.5" customHeight="1" spans="1:6">
      <c r="A256" s="11">
        <v>5078</v>
      </c>
      <c r="B256" s="11" t="s">
        <v>893</v>
      </c>
      <c r="C256" s="12">
        <v>6</v>
      </c>
      <c r="D256" s="13">
        <v>187.14</v>
      </c>
      <c r="E256" s="12"/>
      <c r="F256" s="13"/>
    </row>
    <row r="257" ht="16.5" customHeight="1" spans="1:6">
      <c r="A257" s="11">
        <v>5077</v>
      </c>
      <c r="B257" s="11" t="s">
        <v>894</v>
      </c>
      <c r="C257" s="12">
        <v>7</v>
      </c>
      <c r="D257" s="13">
        <v>237.96</v>
      </c>
      <c r="E257" s="12"/>
      <c r="F257" s="13"/>
    </row>
    <row r="258" ht="16.5" customHeight="1" spans="1:6">
      <c r="A258" s="11">
        <v>5708</v>
      </c>
      <c r="B258" s="11" t="s">
        <v>895</v>
      </c>
      <c r="C258" s="12">
        <v>10</v>
      </c>
      <c r="D258" s="13">
        <v>1462.19</v>
      </c>
      <c r="E258" s="12"/>
      <c r="F258" s="13"/>
    </row>
    <row r="259" ht="16.5" customHeight="1" spans="1:6">
      <c r="A259" s="11">
        <v>4267</v>
      </c>
      <c r="B259" s="11" t="s">
        <v>896</v>
      </c>
      <c r="C259" s="12">
        <v>13</v>
      </c>
      <c r="D259" s="13">
        <v>1451.8</v>
      </c>
      <c r="E259" s="12"/>
      <c r="F259" s="13"/>
    </row>
    <row r="260" ht="16.5" customHeight="1" spans="1:6">
      <c r="A260" s="11">
        <v>4663</v>
      </c>
      <c r="B260" s="11" t="s">
        <v>897</v>
      </c>
      <c r="C260" s="12">
        <v>7</v>
      </c>
      <c r="D260" s="13">
        <v>932.98</v>
      </c>
      <c r="E260" s="12"/>
      <c r="F260" s="13"/>
    </row>
    <row r="261" ht="16.5" customHeight="1" spans="1:6">
      <c r="A261" s="11">
        <v>4219</v>
      </c>
      <c r="B261" s="11" t="s">
        <v>898</v>
      </c>
      <c r="C261" s="12">
        <v>4</v>
      </c>
      <c r="D261" s="13">
        <v>262</v>
      </c>
      <c r="E261" s="12"/>
      <c r="F261" s="13"/>
    </row>
    <row r="262" ht="16.5" customHeight="1" spans="1:6">
      <c r="A262" s="11">
        <v>4794</v>
      </c>
      <c r="B262" s="11" t="s">
        <v>899</v>
      </c>
      <c r="C262" s="12">
        <v>14</v>
      </c>
      <c r="D262" s="13">
        <v>2227.36</v>
      </c>
      <c r="E262" s="12"/>
      <c r="F262" s="13"/>
    </row>
    <row r="263" ht="16.5" customHeight="1" spans="1:6">
      <c r="A263" s="11">
        <v>4756</v>
      </c>
      <c r="B263" s="11" t="s">
        <v>900</v>
      </c>
      <c r="C263" s="12">
        <v>0</v>
      </c>
      <c r="D263" s="13">
        <v>0</v>
      </c>
      <c r="E263" s="12"/>
      <c r="F263" s="13"/>
    </row>
    <row r="264" ht="16.5" customHeight="1" spans="1:6">
      <c r="A264" s="11">
        <v>3657</v>
      </c>
      <c r="B264" s="11" t="s">
        <v>901</v>
      </c>
      <c r="C264" s="12">
        <v>4</v>
      </c>
      <c r="D264" s="13">
        <v>279.98</v>
      </c>
      <c r="E264" s="12"/>
      <c r="F264" s="13"/>
    </row>
    <row r="265" ht="16.5" customHeight="1" spans="1:6">
      <c r="A265" s="11">
        <v>3920</v>
      </c>
      <c r="B265" s="11" t="s">
        <v>902</v>
      </c>
      <c r="C265" s="12">
        <v>7</v>
      </c>
      <c r="D265" s="13">
        <v>632.93</v>
      </c>
      <c r="E265" s="12"/>
      <c r="F265" s="13"/>
    </row>
    <row r="266" ht="16.5" customHeight="1" spans="1:6">
      <c r="A266" s="11">
        <v>3533</v>
      </c>
      <c r="B266" s="11" t="s">
        <v>903</v>
      </c>
      <c r="C266" s="12">
        <v>2</v>
      </c>
      <c r="D266" s="13">
        <v>201.24</v>
      </c>
      <c r="E266" s="12"/>
      <c r="F266" s="13"/>
    </row>
    <row r="267" ht="16.5" customHeight="1" spans="1:6">
      <c r="A267" s="11">
        <v>3608</v>
      </c>
      <c r="B267" s="11" t="s">
        <v>904</v>
      </c>
      <c r="C267" s="12">
        <v>1</v>
      </c>
      <c r="D267" s="13">
        <v>107.99</v>
      </c>
      <c r="E267" s="12"/>
      <c r="F267" s="13"/>
    </row>
    <row r="268" ht="16.5" customHeight="1" spans="1:6">
      <c r="A268" s="11">
        <v>3509</v>
      </c>
      <c r="B268" s="11" t="s">
        <v>905</v>
      </c>
      <c r="C268" s="12">
        <v>2</v>
      </c>
      <c r="D268" s="13">
        <v>119.28</v>
      </c>
      <c r="E268" s="12"/>
      <c r="F268" s="13"/>
    </row>
    <row r="269" ht="16.5" customHeight="1" spans="1:6">
      <c r="A269" s="11">
        <v>3686</v>
      </c>
      <c r="B269" s="11" t="s">
        <v>906</v>
      </c>
      <c r="C269" s="12">
        <v>1</v>
      </c>
      <c r="D269" s="13">
        <v>97.99</v>
      </c>
      <c r="E269" s="12"/>
      <c r="F269" s="13"/>
    </row>
    <row r="270" ht="16.5" customHeight="1" spans="1:6">
      <c r="A270" s="11">
        <v>3687</v>
      </c>
      <c r="B270" s="11" t="s">
        <v>907</v>
      </c>
      <c r="C270" s="12">
        <v>1</v>
      </c>
      <c r="D270" s="13">
        <v>107.4</v>
      </c>
      <c r="E270" s="12"/>
      <c r="F270" s="13"/>
    </row>
    <row r="271" ht="16.5" customHeight="1" spans="1:6">
      <c r="A271" s="11">
        <v>3760</v>
      </c>
      <c r="B271" s="11" t="s">
        <v>908</v>
      </c>
      <c r="C271" s="12">
        <v>1</v>
      </c>
      <c r="D271" s="13">
        <v>56.01</v>
      </c>
      <c r="E271" s="12"/>
      <c r="F271" s="13"/>
    </row>
    <row r="272" ht="16.5" customHeight="1" spans="1:6">
      <c r="A272" s="11">
        <v>3646</v>
      </c>
      <c r="B272" s="11" t="s">
        <v>909</v>
      </c>
      <c r="C272" s="12">
        <v>8</v>
      </c>
      <c r="D272" s="13">
        <v>635.78</v>
      </c>
      <c r="E272" s="12"/>
      <c r="F272" s="13"/>
    </row>
    <row r="273" ht="16.5" customHeight="1" spans="1:6">
      <c r="A273" s="11">
        <v>3713</v>
      </c>
      <c r="B273" s="11" t="s">
        <v>910</v>
      </c>
      <c r="C273" s="12">
        <v>0</v>
      </c>
      <c r="D273" s="13">
        <v>0</v>
      </c>
      <c r="E273" s="12"/>
      <c r="F273" s="13"/>
    </row>
    <row r="274" ht="16.5" customHeight="1" spans="1:6">
      <c r="A274" s="11">
        <v>3714</v>
      </c>
      <c r="B274" s="11" t="s">
        <v>911</v>
      </c>
      <c r="C274" s="12">
        <v>3</v>
      </c>
      <c r="D274" s="13">
        <v>190.59</v>
      </c>
      <c r="E274" s="12"/>
      <c r="F274" s="13"/>
    </row>
    <row r="275" ht="16.5" customHeight="1" spans="1:6">
      <c r="A275" s="11">
        <v>4534</v>
      </c>
      <c r="B275" s="11" t="s">
        <v>912</v>
      </c>
      <c r="C275" s="12">
        <v>0</v>
      </c>
      <c r="D275" s="13">
        <v>0</v>
      </c>
      <c r="E275" s="12"/>
      <c r="F275" s="13"/>
    </row>
    <row r="276" ht="16.5" customHeight="1" spans="1:6">
      <c r="A276" s="11">
        <v>3766</v>
      </c>
      <c r="B276" s="11" t="s">
        <v>913</v>
      </c>
      <c r="C276" s="12">
        <v>3</v>
      </c>
      <c r="D276" s="13">
        <v>315</v>
      </c>
      <c r="E276" s="12"/>
      <c r="F276" s="13"/>
    </row>
    <row r="277" ht="16.5" customHeight="1" spans="1:6">
      <c r="A277" s="11">
        <v>4088</v>
      </c>
      <c r="B277" s="11" t="s">
        <v>914</v>
      </c>
      <c r="C277" s="12">
        <v>1</v>
      </c>
      <c r="D277" s="13">
        <v>67</v>
      </c>
      <c r="E277" s="12"/>
      <c r="F277" s="13"/>
    </row>
    <row r="278" ht="16.5" customHeight="1" spans="1:6">
      <c r="A278" s="11">
        <v>3834</v>
      </c>
      <c r="B278" s="11" t="s">
        <v>915</v>
      </c>
      <c r="C278" s="12">
        <v>3</v>
      </c>
      <c r="D278" s="13">
        <v>329.7</v>
      </c>
      <c r="E278" s="12"/>
      <c r="F278" s="13"/>
    </row>
    <row r="279" ht="16.5" customHeight="1" spans="1:6">
      <c r="A279" s="11">
        <v>3555</v>
      </c>
      <c r="B279" s="11" t="s">
        <v>916</v>
      </c>
      <c r="C279" s="12">
        <v>4</v>
      </c>
      <c r="D279" s="13">
        <v>235.16</v>
      </c>
      <c r="E279" s="12"/>
      <c r="F279" s="13"/>
    </row>
    <row r="280" ht="16.5" customHeight="1" spans="1:6">
      <c r="A280" s="11">
        <v>3510</v>
      </c>
      <c r="B280" s="11" t="s">
        <v>917</v>
      </c>
      <c r="C280" s="12">
        <v>11</v>
      </c>
      <c r="D280" s="13">
        <v>620</v>
      </c>
      <c r="E280" s="12"/>
      <c r="F280" s="13"/>
    </row>
    <row r="281" ht="16.5" customHeight="1" spans="1:6">
      <c r="A281" s="11">
        <v>3845</v>
      </c>
      <c r="B281" s="11" t="s">
        <v>918</v>
      </c>
      <c r="C281" s="12">
        <v>0</v>
      </c>
      <c r="D281" s="13">
        <v>0</v>
      </c>
      <c r="E281" s="12"/>
      <c r="F281" s="13"/>
    </row>
    <row r="282" ht="16.5" customHeight="1" spans="1:6">
      <c r="A282" s="11">
        <v>4675</v>
      </c>
      <c r="B282" s="11" t="s">
        <v>919</v>
      </c>
      <c r="C282" s="12">
        <v>0</v>
      </c>
      <c r="D282" s="13">
        <v>0</v>
      </c>
      <c r="E282" s="12"/>
      <c r="F282" s="13"/>
    </row>
    <row r="283" ht="16.5" customHeight="1" spans="1:6">
      <c r="A283" s="11">
        <v>3846</v>
      </c>
      <c r="B283" s="11" t="s">
        <v>920</v>
      </c>
      <c r="C283" s="12">
        <v>3</v>
      </c>
      <c r="D283" s="13">
        <v>329.16</v>
      </c>
      <c r="E283" s="12"/>
      <c r="F283" s="13"/>
    </row>
    <row r="284" ht="16.5" customHeight="1" spans="1:6">
      <c r="A284" s="11">
        <v>4166</v>
      </c>
      <c r="B284" s="11" t="s">
        <v>921</v>
      </c>
      <c r="C284" s="12">
        <v>3</v>
      </c>
      <c r="D284" s="13">
        <v>253.59</v>
      </c>
      <c r="E284" s="12"/>
      <c r="F284" s="13"/>
    </row>
    <row r="285" ht="16.5" customHeight="1" spans="1:6">
      <c r="A285" s="11">
        <v>4091</v>
      </c>
      <c r="B285" s="11" t="s">
        <v>922</v>
      </c>
      <c r="C285" s="12">
        <v>0</v>
      </c>
      <c r="D285" s="13">
        <v>0</v>
      </c>
      <c r="E285" s="12"/>
      <c r="F285" s="13"/>
    </row>
    <row r="286" ht="16.5" customHeight="1" spans="1:6">
      <c r="A286" s="11">
        <v>3785</v>
      </c>
      <c r="B286" s="11" t="s">
        <v>923</v>
      </c>
      <c r="C286" s="12">
        <v>1</v>
      </c>
      <c r="D286" s="13">
        <v>109.41</v>
      </c>
      <c r="E286" s="12"/>
      <c r="F286" s="13"/>
    </row>
    <row r="287" ht="16.5" customHeight="1" spans="1:6">
      <c r="A287" s="11">
        <v>4094</v>
      </c>
      <c r="B287" s="11" t="s">
        <v>924</v>
      </c>
      <c r="C287" s="12">
        <v>1</v>
      </c>
      <c r="D287" s="13">
        <v>125.44</v>
      </c>
      <c r="E287" s="12"/>
      <c r="F287" s="13"/>
    </row>
    <row r="288" ht="16.5" customHeight="1" spans="1:6">
      <c r="A288" s="11">
        <v>4148</v>
      </c>
      <c r="B288" s="11" t="s">
        <v>925</v>
      </c>
      <c r="C288" s="12">
        <v>0</v>
      </c>
      <c r="D288" s="13">
        <v>0</v>
      </c>
      <c r="E288" s="12"/>
      <c r="F288" s="13"/>
    </row>
    <row r="289" ht="16.5" customHeight="1" spans="1:6">
      <c r="A289" s="11">
        <v>3715</v>
      </c>
      <c r="B289" s="11" t="s">
        <v>926</v>
      </c>
      <c r="C289" s="12">
        <v>5</v>
      </c>
      <c r="D289" s="13">
        <v>190.03</v>
      </c>
      <c r="E289" s="12"/>
      <c r="F289" s="13"/>
    </row>
    <row r="290" ht="16.5" customHeight="1" spans="1:6">
      <c r="A290" s="11">
        <v>5598</v>
      </c>
      <c r="B290" s="11" t="s">
        <v>927</v>
      </c>
      <c r="C290" s="12">
        <v>0</v>
      </c>
      <c r="D290" s="13">
        <v>0</v>
      </c>
      <c r="E290" s="12"/>
      <c r="F290" s="13"/>
    </row>
    <row r="291" ht="16.5" customHeight="1" spans="1:6">
      <c r="A291" s="11">
        <v>3876</v>
      </c>
      <c r="B291" s="11" t="s">
        <v>928</v>
      </c>
      <c r="C291" s="12">
        <v>4</v>
      </c>
      <c r="D291" s="13">
        <v>142.56</v>
      </c>
      <c r="E291" s="12"/>
      <c r="F291" s="13"/>
    </row>
    <row r="292" ht="16.5" customHeight="1" spans="1:6">
      <c r="A292" s="11">
        <v>5008</v>
      </c>
      <c r="B292" s="11" t="s">
        <v>929</v>
      </c>
      <c r="C292" s="12">
        <v>1</v>
      </c>
      <c r="D292" s="13">
        <v>95</v>
      </c>
      <c r="E292" s="12"/>
      <c r="F292" s="13"/>
    </row>
    <row r="293" ht="16.5" customHeight="1" spans="1:6">
      <c r="A293" s="11">
        <v>4184</v>
      </c>
      <c r="B293" s="11" t="s">
        <v>930</v>
      </c>
      <c r="C293" s="12">
        <v>7</v>
      </c>
      <c r="D293" s="13">
        <v>555.39</v>
      </c>
      <c r="E293" s="12"/>
      <c r="F293" s="13"/>
    </row>
    <row r="294" ht="16.5" customHeight="1" spans="1:6">
      <c r="A294" s="11">
        <v>4721</v>
      </c>
      <c r="B294" s="11" t="s">
        <v>931</v>
      </c>
      <c r="C294" s="12">
        <v>9</v>
      </c>
      <c r="D294" s="13">
        <v>600.23</v>
      </c>
      <c r="E294" s="12"/>
      <c r="F294" s="13"/>
    </row>
    <row r="295" ht="16.5" customHeight="1" spans="1:6">
      <c r="A295" s="11">
        <v>4482</v>
      </c>
      <c r="B295" s="11" t="s">
        <v>932</v>
      </c>
      <c r="C295" s="12">
        <v>5</v>
      </c>
      <c r="D295" s="13">
        <v>504.26</v>
      </c>
      <c r="E295" s="12"/>
      <c r="F295" s="13"/>
    </row>
    <row r="296" ht="16.5" customHeight="1" spans="1:6">
      <c r="A296" s="11">
        <v>4817</v>
      </c>
      <c r="B296" s="11" t="s">
        <v>933</v>
      </c>
      <c r="C296" s="12">
        <v>3</v>
      </c>
      <c r="D296" s="13">
        <v>160.44</v>
      </c>
      <c r="E296" s="12"/>
      <c r="F296" s="13"/>
    </row>
    <row r="297" ht="16.5" customHeight="1" spans="1:6">
      <c r="A297" s="11">
        <v>3837</v>
      </c>
      <c r="B297" s="11" t="s">
        <v>934</v>
      </c>
      <c r="C297" s="12">
        <v>2</v>
      </c>
      <c r="D297" s="13">
        <v>143.42</v>
      </c>
      <c r="E297" s="12"/>
      <c r="F297" s="13"/>
    </row>
    <row r="298" ht="16.5" customHeight="1" spans="1:6">
      <c r="A298" s="11">
        <v>3924</v>
      </c>
      <c r="B298" s="11" t="s">
        <v>935</v>
      </c>
      <c r="C298" s="12">
        <v>7</v>
      </c>
      <c r="D298" s="13">
        <v>510.93</v>
      </c>
      <c r="E298" s="12"/>
      <c r="F298" s="13"/>
    </row>
    <row r="299" ht="16.5" customHeight="1" spans="1:6">
      <c r="A299" s="11">
        <v>3799</v>
      </c>
      <c r="B299" s="11" t="s">
        <v>936</v>
      </c>
      <c r="C299" s="12">
        <v>5</v>
      </c>
      <c r="D299" s="13">
        <v>445</v>
      </c>
      <c r="E299" s="12"/>
      <c r="F299" s="13"/>
    </row>
    <row r="300" ht="16.5" customHeight="1" spans="1:6">
      <c r="A300" s="11">
        <v>4103</v>
      </c>
      <c r="B300" s="11" t="s">
        <v>937</v>
      </c>
      <c r="C300" s="12">
        <v>3</v>
      </c>
      <c r="D300" s="13">
        <v>242.97</v>
      </c>
      <c r="E300" s="12"/>
      <c r="F300" s="13"/>
    </row>
    <row r="301" ht="16.5" customHeight="1" spans="1:6">
      <c r="A301" s="11">
        <v>4105</v>
      </c>
      <c r="B301" s="11" t="s">
        <v>938</v>
      </c>
      <c r="C301" s="12">
        <v>4</v>
      </c>
      <c r="D301" s="13">
        <v>409.49</v>
      </c>
      <c r="E301" s="12"/>
      <c r="F301" s="13"/>
    </row>
    <row r="302" ht="16.5" customHeight="1" spans="1:6">
      <c r="A302" s="11">
        <v>4072</v>
      </c>
      <c r="B302" s="11" t="s">
        <v>939</v>
      </c>
      <c r="C302" s="12">
        <v>2</v>
      </c>
      <c r="D302" s="13">
        <v>156.42</v>
      </c>
      <c r="E302" s="12"/>
      <c r="F302" s="13"/>
    </row>
    <row r="303" ht="16.5" customHeight="1" spans="1:6">
      <c r="A303" s="11">
        <v>3926</v>
      </c>
      <c r="B303" s="11" t="s">
        <v>940</v>
      </c>
      <c r="C303" s="12">
        <v>8</v>
      </c>
      <c r="D303" s="13">
        <v>314.12</v>
      </c>
      <c r="E303" s="12"/>
      <c r="F303" s="13"/>
    </row>
    <row r="304" ht="16.5" customHeight="1" spans="1:6">
      <c r="A304" s="11">
        <v>4073</v>
      </c>
      <c r="B304" s="11" t="s">
        <v>941</v>
      </c>
      <c r="C304" s="12">
        <v>1</v>
      </c>
      <c r="D304" s="13">
        <v>93.09</v>
      </c>
      <c r="E304" s="12"/>
      <c r="F304" s="13"/>
    </row>
    <row r="305" ht="16.5" customHeight="1" spans="1:6">
      <c r="A305" s="11">
        <v>4497</v>
      </c>
      <c r="B305" s="11" t="s">
        <v>942</v>
      </c>
      <c r="C305" s="12">
        <v>1</v>
      </c>
      <c r="D305" s="13">
        <v>99.18</v>
      </c>
      <c r="E305" s="12"/>
      <c r="F305" s="13"/>
    </row>
    <row r="306" ht="16.5" customHeight="1" spans="1:6">
      <c r="A306" s="11">
        <v>4106</v>
      </c>
      <c r="B306" s="11" t="s">
        <v>943</v>
      </c>
      <c r="C306" s="12">
        <v>0</v>
      </c>
      <c r="D306" s="13">
        <v>0</v>
      </c>
      <c r="E306" s="12"/>
      <c r="F306" s="13"/>
    </row>
    <row r="307" ht="16.5" customHeight="1" spans="1:6">
      <c r="A307" s="11">
        <v>5538</v>
      </c>
      <c r="B307" s="11" t="s">
        <v>944</v>
      </c>
      <c r="C307" s="12">
        <v>1</v>
      </c>
      <c r="D307" s="13">
        <v>103.5</v>
      </c>
      <c r="E307" s="12"/>
      <c r="F307" s="13"/>
    </row>
    <row r="308" ht="16.5" customHeight="1" spans="1:6">
      <c r="A308" s="11">
        <v>4765</v>
      </c>
      <c r="B308" s="11" t="s">
        <v>945</v>
      </c>
      <c r="C308" s="12">
        <v>1</v>
      </c>
      <c r="D308" s="13">
        <v>58.49</v>
      </c>
      <c r="E308" s="12"/>
      <c r="F308" s="13"/>
    </row>
    <row r="309" ht="16.5" customHeight="1" spans="1:6">
      <c r="A309" s="11">
        <v>5441</v>
      </c>
      <c r="B309" s="11" t="s">
        <v>946</v>
      </c>
      <c r="C309" s="12">
        <v>4</v>
      </c>
      <c r="D309" s="13">
        <v>153.6</v>
      </c>
      <c r="E309" s="12"/>
      <c r="F309" s="13"/>
    </row>
    <row r="310" ht="16.5" customHeight="1" spans="1:6">
      <c r="A310" s="11">
        <v>5539</v>
      </c>
      <c r="B310" s="11" t="s">
        <v>947</v>
      </c>
      <c r="C310" s="12">
        <v>8</v>
      </c>
      <c r="D310" s="13">
        <v>1431.24</v>
      </c>
      <c r="E310" s="12"/>
      <c r="F310" s="13"/>
    </row>
    <row r="311" ht="16.5" customHeight="1" spans="1:6">
      <c r="A311" s="11">
        <v>4607</v>
      </c>
      <c r="B311" s="11" t="s">
        <v>948</v>
      </c>
      <c r="C311" s="12">
        <v>1</v>
      </c>
      <c r="D311" s="13">
        <v>30.39</v>
      </c>
      <c r="E311" s="12"/>
      <c r="F311" s="13"/>
    </row>
    <row r="312" ht="16.5" customHeight="1" spans="1:6">
      <c r="A312" s="11">
        <v>4610</v>
      </c>
      <c r="B312" s="11" t="s">
        <v>949</v>
      </c>
      <c r="C312" s="12">
        <v>0</v>
      </c>
      <c r="D312" s="13">
        <v>0</v>
      </c>
      <c r="E312" s="12"/>
      <c r="F312" s="13"/>
    </row>
    <row r="313" ht="16.5" customHeight="1" spans="1:6">
      <c r="A313" s="11">
        <v>4611</v>
      </c>
      <c r="B313" s="11" t="s">
        <v>950</v>
      </c>
      <c r="C313" s="12">
        <v>11</v>
      </c>
      <c r="D313" s="13">
        <v>341.66</v>
      </c>
      <c r="E313" s="12"/>
      <c r="F313" s="13"/>
    </row>
    <row r="314" ht="16.5" customHeight="1" spans="1:6">
      <c r="A314" s="11">
        <v>4612</v>
      </c>
      <c r="B314" s="11" t="s">
        <v>951</v>
      </c>
      <c r="C314" s="12">
        <v>2</v>
      </c>
      <c r="D314" s="13">
        <v>69.98</v>
      </c>
      <c r="E314" s="12"/>
      <c r="F314" s="13"/>
    </row>
    <row r="315" ht="16.5" customHeight="1" spans="1:6">
      <c r="A315" s="11">
        <v>4678</v>
      </c>
      <c r="B315" s="11" t="s">
        <v>952</v>
      </c>
      <c r="C315" s="12">
        <v>15</v>
      </c>
      <c r="D315" s="13">
        <v>577.77</v>
      </c>
      <c r="E315" s="12"/>
      <c r="F315" s="13"/>
    </row>
    <row r="316" ht="16.5" customHeight="1" spans="1:6">
      <c r="A316" s="11">
        <v>5121</v>
      </c>
      <c r="B316" s="11" t="s">
        <v>953</v>
      </c>
      <c r="C316" s="12">
        <v>5</v>
      </c>
      <c r="D316" s="13">
        <v>379.95</v>
      </c>
      <c r="E316" s="12"/>
      <c r="F316" s="13"/>
    </row>
    <row r="317" ht="16.5" customHeight="1" spans="1:6">
      <c r="A317" s="11">
        <v>4435</v>
      </c>
      <c r="B317" s="11" t="s">
        <v>954</v>
      </c>
      <c r="C317" s="12">
        <v>3</v>
      </c>
      <c r="D317" s="13">
        <v>118.72</v>
      </c>
      <c r="E317" s="12"/>
      <c r="F317" s="13"/>
    </row>
    <row r="318" ht="16.5" customHeight="1" spans="1:6">
      <c r="A318" s="11">
        <v>4665</v>
      </c>
      <c r="B318" s="11" t="s">
        <v>955</v>
      </c>
      <c r="C318" s="12">
        <v>2</v>
      </c>
      <c r="D318" s="13">
        <v>98.98</v>
      </c>
      <c r="E318" s="12"/>
      <c r="F318" s="13"/>
    </row>
    <row r="319" ht="16.5" customHeight="1" spans="1:6">
      <c r="A319" s="11">
        <v>5834</v>
      </c>
      <c r="B319" s="11" t="s">
        <v>956</v>
      </c>
      <c r="C319" s="12">
        <v>5</v>
      </c>
      <c r="D319" s="13">
        <v>336.72</v>
      </c>
      <c r="E319" s="12"/>
      <c r="F319" s="13"/>
    </row>
    <row r="320" ht="16.5" customHeight="1" spans="1:6">
      <c r="A320" s="11">
        <v>4208</v>
      </c>
      <c r="B320" s="11" t="s">
        <v>957</v>
      </c>
      <c r="C320" s="12">
        <v>1</v>
      </c>
      <c r="D320" s="13">
        <v>86.72</v>
      </c>
      <c r="E320" s="12"/>
      <c r="F320" s="13"/>
    </row>
    <row r="321" ht="16.5" customHeight="1" spans="1:6">
      <c r="A321" s="11">
        <v>4236</v>
      </c>
      <c r="B321" s="11" t="s">
        <v>958</v>
      </c>
      <c r="C321" s="12">
        <v>3</v>
      </c>
      <c r="D321" s="13">
        <v>172.38</v>
      </c>
      <c r="E321" s="12"/>
      <c r="F321" s="13"/>
    </row>
    <row r="322" ht="16.5" customHeight="1" spans="1:6">
      <c r="A322" s="11">
        <v>4535</v>
      </c>
      <c r="B322" s="11" t="s">
        <v>959</v>
      </c>
      <c r="C322" s="12">
        <v>1</v>
      </c>
      <c r="D322" s="13">
        <v>94.6</v>
      </c>
      <c r="E322" s="12"/>
      <c r="F322" s="13"/>
    </row>
    <row r="323" ht="16.5" customHeight="1" spans="1:6">
      <c r="A323" s="11">
        <v>4505</v>
      </c>
      <c r="B323" s="11" t="s">
        <v>960</v>
      </c>
      <c r="C323" s="12">
        <v>9</v>
      </c>
      <c r="D323" s="13">
        <v>701.52</v>
      </c>
      <c r="E323" s="12"/>
      <c r="F323" s="13"/>
    </row>
    <row r="324" ht="16.5" customHeight="1" spans="1:6">
      <c r="A324" s="11">
        <v>4646</v>
      </c>
      <c r="B324" s="11" t="s">
        <v>961</v>
      </c>
      <c r="C324" s="12">
        <v>1</v>
      </c>
      <c r="D324" s="13">
        <v>140.13</v>
      </c>
      <c r="E324" s="12"/>
      <c r="F324" s="13"/>
    </row>
    <row r="325" ht="16.5" customHeight="1" spans="1:6">
      <c r="A325" s="11">
        <v>4411</v>
      </c>
      <c r="B325" s="11" t="s">
        <v>962</v>
      </c>
      <c r="C325" s="12">
        <v>6</v>
      </c>
      <c r="D325" s="13">
        <v>381.54</v>
      </c>
      <c r="E325" s="12"/>
      <c r="F325" s="13"/>
    </row>
    <row r="326" ht="16.5" customHeight="1" spans="1:6">
      <c r="A326" s="11">
        <v>4209</v>
      </c>
      <c r="B326" s="11" t="s">
        <v>963</v>
      </c>
      <c r="C326" s="12">
        <v>1</v>
      </c>
      <c r="D326" s="13">
        <v>87.5</v>
      </c>
      <c r="E326" s="12"/>
      <c r="F326" s="13"/>
    </row>
    <row r="327" ht="16.5" customHeight="1" spans="1:6">
      <c r="A327" s="11">
        <v>4669</v>
      </c>
      <c r="B327" s="11" t="s">
        <v>964</v>
      </c>
      <c r="C327" s="12">
        <v>3</v>
      </c>
      <c r="D327" s="13">
        <v>469.35</v>
      </c>
      <c r="E327" s="12"/>
      <c r="F327" s="13"/>
    </row>
    <row r="328" ht="16.5" customHeight="1" spans="1:6">
      <c r="A328" s="11">
        <v>4282</v>
      </c>
      <c r="B328" s="11" t="s">
        <v>965</v>
      </c>
      <c r="C328" s="12">
        <v>0</v>
      </c>
      <c r="D328" s="13">
        <v>0</v>
      </c>
      <c r="E328" s="12"/>
      <c r="F328" s="13"/>
    </row>
    <row r="329" ht="16.5" customHeight="1" spans="1:6">
      <c r="A329" s="11">
        <v>5283</v>
      </c>
      <c r="B329" s="11" t="s">
        <v>966</v>
      </c>
      <c r="C329" s="12">
        <v>4</v>
      </c>
      <c r="D329" s="13">
        <v>946.85</v>
      </c>
      <c r="E329" s="12"/>
      <c r="F329" s="13"/>
    </row>
    <row r="330" ht="16.5" customHeight="1" spans="1:6">
      <c r="A330" s="11">
        <v>5671</v>
      </c>
      <c r="B330" s="11" t="s">
        <v>967</v>
      </c>
      <c r="C330" s="12">
        <v>3</v>
      </c>
      <c r="D330" s="13">
        <v>383.97</v>
      </c>
      <c r="E330" s="12"/>
      <c r="F330" s="13"/>
    </row>
    <row r="331" ht="16.5" customHeight="1" spans="1:6">
      <c r="A331" s="11">
        <v>5672</v>
      </c>
      <c r="B331" s="11" t="s">
        <v>968</v>
      </c>
      <c r="C331" s="12">
        <v>2</v>
      </c>
      <c r="D331" s="13">
        <v>249.76</v>
      </c>
      <c r="E331" s="12"/>
      <c r="F331" s="13"/>
    </row>
    <row r="332" ht="16.5" customHeight="1" spans="1:6">
      <c r="A332" s="11">
        <v>5589</v>
      </c>
      <c r="B332" s="11" t="s">
        <v>969</v>
      </c>
      <c r="C332" s="12">
        <v>3</v>
      </c>
      <c r="D332" s="13">
        <v>104</v>
      </c>
      <c r="E332" s="12"/>
      <c r="F332" s="13"/>
    </row>
    <row r="333" ht="16.5" customHeight="1" spans="1:6">
      <c r="A333" s="11">
        <v>5590</v>
      </c>
      <c r="B333" s="11" t="s">
        <v>970</v>
      </c>
      <c r="C333" s="12">
        <v>6</v>
      </c>
      <c r="D333" s="13">
        <v>184.8</v>
      </c>
      <c r="E333" s="12"/>
      <c r="F333" s="13"/>
    </row>
    <row r="334" ht="16.5" customHeight="1" spans="1:6">
      <c r="A334" s="11">
        <v>5835</v>
      </c>
      <c r="B334" s="11" t="s">
        <v>971</v>
      </c>
      <c r="C334" s="12">
        <v>0</v>
      </c>
      <c r="D334" s="13">
        <v>0</v>
      </c>
      <c r="E334" s="12"/>
      <c r="F334" s="13"/>
    </row>
    <row r="335" ht="16.5" customHeight="1" spans="1:6">
      <c r="A335" s="11">
        <v>7042</v>
      </c>
      <c r="B335" s="11" t="s">
        <v>972</v>
      </c>
      <c r="C335" s="12">
        <v>11</v>
      </c>
      <c r="D335" s="13">
        <v>185.17</v>
      </c>
      <c r="E335" s="12"/>
      <c r="F335" s="13"/>
    </row>
    <row r="336" ht="16.5" customHeight="1" spans="1:6">
      <c r="A336" s="11">
        <v>6031</v>
      </c>
      <c r="B336" s="11" t="s">
        <v>973</v>
      </c>
      <c r="C336" s="12">
        <v>3</v>
      </c>
      <c r="D336" s="13">
        <v>30.51</v>
      </c>
      <c r="E336" s="12"/>
      <c r="F336" s="13"/>
    </row>
    <row r="337" ht="16.5" customHeight="1" spans="1:6">
      <c r="A337" s="11">
        <v>6033</v>
      </c>
      <c r="B337" s="11" t="s">
        <v>974</v>
      </c>
      <c r="C337" s="12">
        <v>6</v>
      </c>
      <c r="D337" s="13">
        <v>180</v>
      </c>
      <c r="E337" s="12"/>
      <c r="F337" s="13"/>
    </row>
    <row r="338" ht="16.5" customHeight="1" spans="1:6">
      <c r="A338" s="11">
        <v>5571</v>
      </c>
      <c r="B338" s="11" t="s">
        <v>975</v>
      </c>
      <c r="C338" s="12">
        <v>0</v>
      </c>
      <c r="D338" s="13">
        <v>0</v>
      </c>
      <c r="E338" s="12"/>
      <c r="F338" s="13"/>
    </row>
    <row r="339" ht="16.5" customHeight="1" spans="1:6">
      <c r="A339" s="11">
        <v>5627</v>
      </c>
      <c r="B339" s="11" t="s">
        <v>976</v>
      </c>
      <c r="C339" s="12">
        <v>0</v>
      </c>
      <c r="D339" s="13">
        <v>0</v>
      </c>
      <c r="E339" s="12"/>
      <c r="F339" s="13"/>
    </row>
    <row r="340" ht="16.5" customHeight="1" spans="1:6">
      <c r="A340" s="11">
        <v>5728</v>
      </c>
      <c r="B340" s="11" t="s">
        <v>977</v>
      </c>
      <c r="C340" s="12">
        <v>5</v>
      </c>
      <c r="D340" s="13">
        <v>75.83</v>
      </c>
      <c r="E340" s="12"/>
      <c r="F340" s="13"/>
    </row>
    <row r="341" ht="16.5" customHeight="1" spans="1:6">
      <c r="A341" s="11">
        <v>5620</v>
      </c>
      <c r="B341" s="11" t="s">
        <v>978</v>
      </c>
      <c r="C341" s="12">
        <v>2</v>
      </c>
      <c r="D341" s="13">
        <v>21.4</v>
      </c>
      <c r="E341" s="12"/>
      <c r="F341" s="13"/>
    </row>
    <row r="342" ht="16.5" customHeight="1" spans="1:6">
      <c r="A342" s="11">
        <v>5841</v>
      </c>
      <c r="B342" s="11" t="s">
        <v>979</v>
      </c>
      <c r="C342" s="12">
        <v>10</v>
      </c>
      <c r="D342" s="13">
        <v>112.3</v>
      </c>
      <c r="E342" s="12"/>
      <c r="F342" s="13"/>
    </row>
    <row r="343" ht="33" customHeight="1" spans="1:6">
      <c r="A343" s="11">
        <v>5630</v>
      </c>
      <c r="B343" s="11" t="s">
        <v>980</v>
      </c>
      <c r="C343" s="12">
        <v>5</v>
      </c>
      <c r="D343" s="13">
        <v>55</v>
      </c>
      <c r="E343" s="12"/>
      <c r="F343" s="13"/>
    </row>
    <row r="344" ht="33" customHeight="1" spans="1:6">
      <c r="A344" s="11">
        <v>5455</v>
      </c>
      <c r="B344" s="11" t="s">
        <v>981</v>
      </c>
      <c r="C344" s="12">
        <v>0</v>
      </c>
      <c r="D344" s="13">
        <v>0</v>
      </c>
      <c r="E344" s="12"/>
      <c r="F344" s="13"/>
    </row>
    <row r="345" ht="33" customHeight="1" spans="1:6">
      <c r="A345" s="11">
        <v>5647</v>
      </c>
      <c r="B345" s="11" t="s">
        <v>982</v>
      </c>
      <c r="C345" s="12">
        <v>0</v>
      </c>
      <c r="D345" s="13">
        <v>0</v>
      </c>
      <c r="E345" s="12"/>
      <c r="F345" s="13"/>
    </row>
    <row r="346" ht="33" customHeight="1" spans="1:6">
      <c r="A346" s="11">
        <v>5092</v>
      </c>
      <c r="B346" s="11" t="s">
        <v>983</v>
      </c>
      <c r="C346" s="12">
        <v>4</v>
      </c>
      <c r="D346" s="13">
        <v>40.44</v>
      </c>
      <c r="E346" s="12"/>
      <c r="F346" s="13"/>
    </row>
    <row r="347" ht="16.5" customHeight="1" spans="1:6">
      <c r="A347" s="11">
        <v>5310</v>
      </c>
      <c r="B347" s="11" t="s">
        <v>984</v>
      </c>
      <c r="C347" s="12">
        <v>3</v>
      </c>
      <c r="D347" s="13">
        <v>608.12</v>
      </c>
      <c r="E347" s="12"/>
      <c r="F347" s="13"/>
    </row>
    <row r="348" ht="16.5" customHeight="1" spans="1:6">
      <c r="A348" s="11">
        <v>5336</v>
      </c>
      <c r="B348" s="11" t="s">
        <v>985</v>
      </c>
      <c r="C348" s="12">
        <v>8</v>
      </c>
      <c r="D348" s="13">
        <v>1101.95</v>
      </c>
      <c r="E348" s="12"/>
      <c r="F348" s="13"/>
    </row>
    <row r="349" ht="33" customHeight="1" spans="1:6">
      <c r="A349" s="11">
        <v>5843</v>
      </c>
      <c r="B349" s="11" t="s">
        <v>986</v>
      </c>
      <c r="C349" s="12">
        <v>3</v>
      </c>
      <c r="D349" s="13">
        <v>338.97</v>
      </c>
      <c r="E349" s="12"/>
      <c r="F349" s="13"/>
    </row>
    <row r="350" ht="33" customHeight="1" spans="1:6">
      <c r="A350" s="11">
        <v>5813</v>
      </c>
      <c r="B350" s="11" t="s">
        <v>987</v>
      </c>
      <c r="C350" s="12">
        <v>0</v>
      </c>
      <c r="D350" s="13">
        <v>0</v>
      </c>
      <c r="E350" s="12"/>
      <c r="F350" s="13"/>
    </row>
    <row r="351" ht="16.5" customHeight="1" spans="1:6">
      <c r="A351" s="11">
        <v>5787</v>
      </c>
      <c r="B351" s="11" t="s">
        <v>988</v>
      </c>
      <c r="C351" s="12">
        <v>1</v>
      </c>
      <c r="D351" s="13">
        <v>142.3</v>
      </c>
      <c r="E351" s="12"/>
      <c r="F351" s="13"/>
    </row>
    <row r="352" ht="16.5" customHeight="1" spans="1:6">
      <c r="A352" s="11">
        <v>5788</v>
      </c>
      <c r="B352" s="11" t="s">
        <v>989</v>
      </c>
      <c r="C352" s="12">
        <v>0</v>
      </c>
      <c r="D352" s="13">
        <v>0</v>
      </c>
      <c r="E352" s="12"/>
      <c r="F352" s="13"/>
    </row>
    <row r="353" ht="16.5" customHeight="1" spans="1:6">
      <c r="A353" s="11">
        <v>6821</v>
      </c>
      <c r="B353" s="11" t="s">
        <v>990</v>
      </c>
      <c r="C353" s="12">
        <v>3</v>
      </c>
      <c r="D353" s="13">
        <v>569.95</v>
      </c>
      <c r="E353" s="12"/>
      <c r="F353" s="13"/>
    </row>
    <row r="354" ht="16.5" customHeight="1" spans="1:6">
      <c r="A354" s="11">
        <v>7636</v>
      </c>
      <c r="B354" s="11" t="s">
        <v>991</v>
      </c>
      <c r="C354" s="12">
        <v>4</v>
      </c>
      <c r="D354" s="13">
        <v>286.59</v>
      </c>
      <c r="E354" s="12"/>
      <c r="F354" s="13"/>
    </row>
    <row r="355" ht="16.5" customHeight="1" spans="1:6">
      <c r="A355" s="11">
        <v>6725</v>
      </c>
      <c r="B355" s="11" t="s">
        <v>992</v>
      </c>
      <c r="C355" s="12">
        <v>9</v>
      </c>
      <c r="D355" s="13">
        <v>849.84</v>
      </c>
      <c r="E355" s="12"/>
      <c r="F355" s="13"/>
    </row>
    <row r="356" ht="16.5" customHeight="1" spans="1:6">
      <c r="A356" s="11">
        <v>6454</v>
      </c>
      <c r="B356" s="11" t="s">
        <v>993</v>
      </c>
      <c r="C356" s="12">
        <v>6</v>
      </c>
      <c r="D356" s="13">
        <v>263.77</v>
      </c>
      <c r="E356" s="12"/>
      <c r="F356" s="13"/>
    </row>
    <row r="357" ht="16.5" customHeight="1" spans="1:6">
      <c r="A357" s="11">
        <v>6058</v>
      </c>
      <c r="B357" s="11" t="s">
        <v>994</v>
      </c>
      <c r="C357" s="12">
        <v>3</v>
      </c>
      <c r="D357" s="13">
        <v>172</v>
      </c>
      <c r="E357" s="12"/>
      <c r="F357" s="13"/>
    </row>
    <row r="358" ht="16.5" customHeight="1" spans="1:6">
      <c r="A358" s="11">
        <v>7643</v>
      </c>
      <c r="B358" s="11" t="s">
        <v>995</v>
      </c>
      <c r="C358" s="12">
        <v>12</v>
      </c>
      <c r="D358" s="13">
        <v>305.52</v>
      </c>
      <c r="E358" s="12"/>
      <c r="F358" s="13"/>
    </row>
    <row r="359" ht="33" customHeight="1" spans="1:6">
      <c r="A359" s="11">
        <v>7104</v>
      </c>
      <c r="B359" s="11" t="s">
        <v>996</v>
      </c>
      <c r="C359" s="12">
        <v>6</v>
      </c>
      <c r="D359" s="13">
        <v>247.34</v>
      </c>
      <c r="E359" s="12"/>
      <c r="F359" s="13"/>
    </row>
    <row r="360" ht="16.5" customHeight="1" spans="1:6">
      <c r="A360" s="11">
        <v>6681</v>
      </c>
      <c r="B360" s="11" t="s">
        <v>997</v>
      </c>
      <c r="C360" s="12">
        <v>9</v>
      </c>
      <c r="D360" s="13">
        <v>428.48</v>
      </c>
      <c r="E360" s="12"/>
      <c r="F360" s="13"/>
    </row>
    <row r="361" ht="16.5" customHeight="1" spans="1:6">
      <c r="A361" s="11">
        <v>9551</v>
      </c>
      <c r="B361" s="11" t="s">
        <v>998</v>
      </c>
      <c r="C361" s="12">
        <v>3</v>
      </c>
      <c r="D361" s="13">
        <v>481.51</v>
      </c>
      <c r="E361" s="12"/>
      <c r="F361" s="13"/>
    </row>
    <row r="362" ht="16.5" customHeight="1" spans="1:6">
      <c r="A362" s="11">
        <v>9296</v>
      </c>
      <c r="B362" s="11" t="s">
        <v>999</v>
      </c>
      <c r="C362" s="12">
        <v>0</v>
      </c>
      <c r="D362" s="13">
        <v>0</v>
      </c>
      <c r="E362" s="12"/>
      <c r="F362" s="13"/>
    </row>
    <row r="363" ht="16.5" customHeight="1" spans="1:6">
      <c r="A363" s="11">
        <v>9821</v>
      </c>
      <c r="B363" s="11" t="s">
        <v>1000</v>
      </c>
      <c r="C363" s="12">
        <v>3</v>
      </c>
      <c r="D363" s="13">
        <v>594</v>
      </c>
      <c r="E363" s="12"/>
      <c r="F363" s="13"/>
    </row>
    <row r="364" ht="16.5" customHeight="1" spans="1:6">
      <c r="A364" s="11">
        <v>9174</v>
      </c>
      <c r="B364" s="11" t="s">
        <v>1001</v>
      </c>
      <c r="C364" s="12">
        <v>25</v>
      </c>
      <c r="D364" s="13">
        <v>3134.05</v>
      </c>
      <c r="E364" s="12"/>
      <c r="F364" s="13"/>
    </row>
    <row r="365" ht="16.5" customHeight="1" spans="1:6">
      <c r="A365" s="11">
        <v>8353</v>
      </c>
      <c r="B365" s="11" t="s">
        <v>1002</v>
      </c>
      <c r="C365" s="12">
        <v>1</v>
      </c>
      <c r="D365" s="13">
        <v>137.99</v>
      </c>
      <c r="E365" s="12"/>
      <c r="F365" s="13"/>
    </row>
    <row r="366" ht="16.5" customHeight="1" spans="1:6">
      <c r="A366" s="11">
        <v>8671</v>
      </c>
      <c r="B366" s="11" t="s">
        <v>1003</v>
      </c>
      <c r="C366" s="12">
        <v>2</v>
      </c>
      <c r="D366" s="13">
        <v>276</v>
      </c>
      <c r="E366" s="12"/>
      <c r="F366" s="13"/>
    </row>
    <row r="367" ht="16.5" customHeight="1" spans="1:6">
      <c r="A367" s="11">
        <v>9932</v>
      </c>
      <c r="B367" s="11" t="s">
        <v>1004</v>
      </c>
      <c r="C367" s="12">
        <v>6</v>
      </c>
      <c r="D367" s="13">
        <v>598</v>
      </c>
      <c r="E367" s="12"/>
      <c r="F367" s="13"/>
    </row>
    <row r="368" ht="16.5" customHeight="1" spans="1:6">
      <c r="A368" s="11">
        <v>9806</v>
      </c>
      <c r="B368" s="11" t="s">
        <v>1005</v>
      </c>
      <c r="C368" s="12">
        <v>7</v>
      </c>
      <c r="D368" s="13">
        <v>458.93</v>
      </c>
      <c r="E368" s="12"/>
      <c r="F368" s="13"/>
    </row>
    <row r="369" ht="33" customHeight="1" spans="1:6">
      <c r="A369" s="11">
        <v>9817</v>
      </c>
      <c r="B369" s="11" t="s">
        <v>1006</v>
      </c>
      <c r="C369" s="12">
        <v>0</v>
      </c>
      <c r="D369" s="13">
        <v>0</v>
      </c>
      <c r="E369" s="12"/>
      <c r="F369" s="13"/>
    </row>
    <row r="370" ht="16.5" customHeight="1" spans="1:6">
      <c r="A370" s="11">
        <v>9725</v>
      </c>
      <c r="B370" s="11" t="s">
        <v>1007</v>
      </c>
      <c r="C370" s="12">
        <v>3</v>
      </c>
      <c r="D370" s="13">
        <v>194.2</v>
      </c>
      <c r="E370" s="12"/>
      <c r="F370" s="13"/>
    </row>
    <row r="371" ht="16.5" customHeight="1" spans="1:6">
      <c r="A371" s="11">
        <v>9156</v>
      </c>
      <c r="B371" s="11" t="s">
        <v>1008</v>
      </c>
      <c r="C371" s="12">
        <v>0</v>
      </c>
      <c r="D371" s="13">
        <v>0</v>
      </c>
      <c r="E371" s="12"/>
      <c r="F371" s="13"/>
    </row>
    <row r="372" ht="33" customHeight="1" spans="1:6">
      <c r="A372" s="11">
        <v>9358</v>
      </c>
      <c r="B372" s="11" t="s">
        <v>1009</v>
      </c>
      <c r="C372" s="12">
        <v>2</v>
      </c>
      <c r="D372" s="13">
        <v>130.79</v>
      </c>
      <c r="E372" s="12"/>
      <c r="F372" s="13"/>
    </row>
    <row r="373" ht="16.5" customHeight="1" spans="1:6">
      <c r="A373" s="11">
        <v>9258</v>
      </c>
      <c r="B373" s="11" t="s">
        <v>1010</v>
      </c>
      <c r="C373" s="12">
        <v>0</v>
      </c>
      <c r="D373" s="13">
        <v>0</v>
      </c>
      <c r="E373" s="12"/>
      <c r="F373" s="13"/>
    </row>
    <row r="374" ht="33" customHeight="1" spans="1:6">
      <c r="A374" s="11">
        <v>8525</v>
      </c>
      <c r="B374" s="11" t="s">
        <v>1011</v>
      </c>
      <c r="C374" s="12">
        <v>0</v>
      </c>
      <c r="D374" s="13">
        <v>0</v>
      </c>
      <c r="E374" s="12"/>
      <c r="F374" s="13"/>
    </row>
    <row r="375" ht="33" customHeight="1" spans="1:6">
      <c r="A375" s="11">
        <v>8526</v>
      </c>
      <c r="B375" s="11" t="s">
        <v>1012</v>
      </c>
      <c r="C375" s="12">
        <v>1</v>
      </c>
      <c r="D375" s="13">
        <v>34.25</v>
      </c>
      <c r="E375" s="12"/>
      <c r="F375" s="13"/>
    </row>
    <row r="376" ht="16.5" customHeight="1" spans="1:6">
      <c r="A376" s="11">
        <v>9553</v>
      </c>
      <c r="B376" s="11" t="s">
        <v>1013</v>
      </c>
      <c r="C376" s="12">
        <v>1</v>
      </c>
      <c r="D376" s="13">
        <v>60.79</v>
      </c>
      <c r="E376" s="12"/>
      <c r="F376" s="13"/>
    </row>
    <row r="377" ht="16.5" customHeight="1" spans="1:6">
      <c r="A377" s="11">
        <v>9776</v>
      </c>
      <c r="B377" s="11" t="s">
        <v>1014</v>
      </c>
      <c r="C377" s="12">
        <v>18</v>
      </c>
      <c r="D377" s="13">
        <v>990</v>
      </c>
      <c r="E377" s="12"/>
      <c r="F377" s="13"/>
    </row>
    <row r="378" ht="33" customHeight="1" spans="1:6">
      <c r="A378" s="11">
        <v>9227</v>
      </c>
      <c r="B378" s="11" t="s">
        <v>1015</v>
      </c>
      <c r="C378" s="12">
        <v>0</v>
      </c>
      <c r="D378" s="13">
        <v>0</v>
      </c>
      <c r="E378" s="12"/>
      <c r="F378" s="13"/>
    </row>
    <row r="379" ht="33" customHeight="1" spans="1:6">
      <c r="A379" s="11">
        <v>9233</v>
      </c>
      <c r="B379" s="11" t="s">
        <v>1016</v>
      </c>
      <c r="C379" s="12">
        <v>3</v>
      </c>
      <c r="D379" s="13">
        <v>38.26</v>
      </c>
      <c r="E379" s="12"/>
      <c r="F379" s="13"/>
    </row>
    <row r="380" ht="33" customHeight="1" spans="1:6">
      <c r="A380" s="11">
        <v>9234</v>
      </c>
      <c r="B380" s="11" t="s">
        <v>1017</v>
      </c>
      <c r="C380" s="12">
        <v>1</v>
      </c>
      <c r="D380" s="13">
        <v>13</v>
      </c>
      <c r="E380" s="12"/>
      <c r="F380" s="13"/>
    </row>
    <row r="381" ht="33" customHeight="1" spans="1:6">
      <c r="A381" s="11">
        <v>9228</v>
      </c>
      <c r="B381" s="11" t="s">
        <v>1018</v>
      </c>
      <c r="C381" s="12">
        <v>1</v>
      </c>
      <c r="D381" s="13">
        <v>39.19</v>
      </c>
      <c r="E381" s="12"/>
      <c r="F381" s="13"/>
    </row>
    <row r="382" ht="33" customHeight="1" spans="1:6">
      <c r="A382" s="11">
        <v>8899</v>
      </c>
      <c r="B382" s="11" t="s">
        <v>1019</v>
      </c>
      <c r="C382" s="12">
        <v>2</v>
      </c>
      <c r="D382" s="13">
        <v>85.06</v>
      </c>
      <c r="E382" s="12"/>
      <c r="F382" s="13"/>
    </row>
    <row r="383" ht="33" customHeight="1" spans="1:6">
      <c r="A383" s="11">
        <v>8906</v>
      </c>
      <c r="B383" s="11" t="s">
        <v>1020</v>
      </c>
      <c r="C383" s="12">
        <v>2</v>
      </c>
      <c r="D383" s="13">
        <v>86.64</v>
      </c>
      <c r="E383" s="12"/>
      <c r="F383" s="13"/>
    </row>
    <row r="384" ht="33" customHeight="1" spans="1:6">
      <c r="A384" s="11">
        <v>9723</v>
      </c>
      <c r="B384" s="11" t="s">
        <v>1021</v>
      </c>
      <c r="C384" s="12">
        <v>4</v>
      </c>
      <c r="D384" s="13">
        <v>192</v>
      </c>
      <c r="E384" s="12"/>
      <c r="F384" s="13"/>
    </row>
    <row r="385" ht="33" customHeight="1" spans="1:6">
      <c r="A385" s="11">
        <v>8908</v>
      </c>
      <c r="B385" s="11" t="s">
        <v>1022</v>
      </c>
      <c r="C385" s="12">
        <v>0</v>
      </c>
      <c r="D385" s="13">
        <v>0</v>
      </c>
      <c r="E385" s="12"/>
      <c r="F385" s="13"/>
    </row>
    <row r="386" ht="33" customHeight="1" spans="1:6">
      <c r="A386" s="11">
        <v>8675</v>
      </c>
      <c r="B386" s="11" t="s">
        <v>1023</v>
      </c>
      <c r="C386" s="12">
        <v>0</v>
      </c>
      <c r="D386" s="13">
        <v>0</v>
      </c>
      <c r="E386" s="12"/>
      <c r="F386" s="13"/>
    </row>
    <row r="387" ht="16.5" customHeight="1" spans="1:6">
      <c r="A387" s="11">
        <v>8984</v>
      </c>
      <c r="B387" s="11" t="s">
        <v>1024</v>
      </c>
      <c r="C387" s="12">
        <v>2</v>
      </c>
      <c r="D387" s="13">
        <v>217.89</v>
      </c>
      <c r="E387" s="12"/>
      <c r="F387" s="13"/>
    </row>
    <row r="388" ht="33" customHeight="1" spans="1:6">
      <c r="A388" s="11">
        <v>9894</v>
      </c>
      <c r="B388" s="11" t="s">
        <v>1025</v>
      </c>
      <c r="C388" s="12">
        <v>1</v>
      </c>
      <c r="D388" s="13">
        <v>165.93</v>
      </c>
      <c r="E388" s="12"/>
      <c r="F388" s="13"/>
    </row>
    <row r="389" ht="33" customHeight="1" spans="1:6">
      <c r="A389" s="11">
        <v>9814</v>
      </c>
      <c r="B389" s="11" t="s">
        <v>1026</v>
      </c>
      <c r="C389" s="12">
        <v>0</v>
      </c>
      <c r="D389" s="13">
        <v>0</v>
      </c>
      <c r="E389" s="12"/>
      <c r="F389" s="13"/>
    </row>
    <row r="390" ht="33" customHeight="1" spans="1:6">
      <c r="A390" s="11">
        <v>9455</v>
      </c>
      <c r="B390" s="11" t="s">
        <v>1027</v>
      </c>
      <c r="C390" s="12">
        <v>0</v>
      </c>
      <c r="D390" s="13">
        <v>0</v>
      </c>
      <c r="E390" s="12"/>
      <c r="F390" s="13"/>
    </row>
    <row r="391" ht="33" customHeight="1" spans="1:6">
      <c r="A391" s="11">
        <v>9731</v>
      </c>
      <c r="B391" s="11" t="s">
        <v>1028</v>
      </c>
      <c r="C391" s="12">
        <v>0</v>
      </c>
      <c r="D391" s="13">
        <v>0</v>
      </c>
      <c r="E391" s="12"/>
      <c r="F391" s="13"/>
    </row>
    <row r="392" ht="33" customHeight="1" spans="1:6">
      <c r="A392" s="11">
        <v>9732</v>
      </c>
      <c r="B392" s="11" t="s">
        <v>1029</v>
      </c>
      <c r="C392" s="12">
        <v>1</v>
      </c>
      <c r="D392" s="13">
        <v>162.67</v>
      </c>
      <c r="E392" s="12"/>
      <c r="F392" s="13"/>
    </row>
    <row r="393" ht="16.5" customHeight="1" spans="1:6">
      <c r="A393" s="11">
        <v>7964</v>
      </c>
      <c r="B393" s="11" t="s">
        <v>1030</v>
      </c>
      <c r="C393" s="12">
        <v>11</v>
      </c>
      <c r="D393" s="13">
        <v>769.89</v>
      </c>
      <c r="E393" s="12"/>
      <c r="F393" s="13"/>
    </row>
    <row r="394" ht="33" customHeight="1" spans="1:6">
      <c r="A394" s="11">
        <v>8422</v>
      </c>
      <c r="B394" s="11" t="s">
        <v>1031</v>
      </c>
      <c r="C394" s="12">
        <v>2</v>
      </c>
      <c r="D394" s="13">
        <v>259.26</v>
      </c>
      <c r="E394" s="12"/>
      <c r="F394" s="13"/>
    </row>
    <row r="395" ht="33" customHeight="1" spans="1:6">
      <c r="A395" s="11">
        <v>9683</v>
      </c>
      <c r="B395" s="11" t="s">
        <v>1032</v>
      </c>
      <c r="C395" s="12">
        <v>11</v>
      </c>
      <c r="D395" s="13">
        <v>2361.5</v>
      </c>
      <c r="E395" s="12"/>
      <c r="F395" s="13"/>
    </row>
    <row r="396" ht="33" customHeight="1" spans="1:6">
      <c r="A396" s="11">
        <v>9375</v>
      </c>
      <c r="B396" s="11" t="s">
        <v>1033</v>
      </c>
      <c r="C396" s="12">
        <v>3</v>
      </c>
      <c r="D396" s="13">
        <v>404</v>
      </c>
      <c r="E396" s="12"/>
      <c r="F396" s="13"/>
    </row>
    <row r="397" ht="33" customHeight="1" spans="1:6">
      <c r="A397" s="11">
        <v>9685</v>
      </c>
      <c r="B397" s="11" t="s">
        <v>1034</v>
      </c>
      <c r="C397" s="12">
        <v>3</v>
      </c>
      <c r="D397" s="13">
        <v>128.6</v>
      </c>
      <c r="E397" s="12"/>
      <c r="F397" s="13"/>
    </row>
    <row r="398" ht="33" customHeight="1" spans="1:6">
      <c r="A398" s="11">
        <v>9686</v>
      </c>
      <c r="B398" s="11" t="s">
        <v>1035</v>
      </c>
      <c r="C398" s="12">
        <v>2</v>
      </c>
      <c r="D398" s="13">
        <v>26.6</v>
      </c>
      <c r="E398" s="12"/>
      <c r="F398" s="13"/>
    </row>
    <row r="399" ht="16.5" customHeight="1" spans="1:6">
      <c r="A399" s="11">
        <v>9490</v>
      </c>
      <c r="B399" s="11" t="s">
        <v>1036</v>
      </c>
      <c r="C399" s="12">
        <v>0</v>
      </c>
      <c r="D399" s="13">
        <v>0</v>
      </c>
      <c r="E399" s="12"/>
      <c r="F399" s="13"/>
    </row>
    <row r="400" ht="16.5" customHeight="1" spans="1:6">
      <c r="A400" s="11">
        <v>8985</v>
      </c>
      <c r="B400" s="11" t="s">
        <v>1037</v>
      </c>
      <c r="C400" s="12">
        <v>2</v>
      </c>
      <c r="D400" s="13">
        <v>178</v>
      </c>
      <c r="E400" s="12"/>
      <c r="F400" s="13"/>
    </row>
    <row r="401" ht="16.5" customHeight="1" spans="1:6">
      <c r="A401" s="11">
        <v>9386</v>
      </c>
      <c r="B401" s="11" t="s">
        <v>1038</v>
      </c>
      <c r="C401" s="12">
        <v>0</v>
      </c>
      <c r="D401" s="13">
        <v>0</v>
      </c>
      <c r="E401" s="12"/>
      <c r="F401" s="13"/>
    </row>
    <row r="402" ht="16.5" customHeight="1" spans="1:6">
      <c r="A402" s="11">
        <v>9035</v>
      </c>
      <c r="B402" s="11" t="s">
        <v>1039</v>
      </c>
      <c r="C402" s="12">
        <v>3</v>
      </c>
      <c r="D402" s="13">
        <v>52.74</v>
      </c>
      <c r="E402" s="12"/>
      <c r="F402" s="13"/>
    </row>
    <row r="403" ht="16.5" customHeight="1" spans="1:6">
      <c r="A403" s="11">
        <v>9387</v>
      </c>
      <c r="B403" s="11" t="s">
        <v>1040</v>
      </c>
      <c r="C403" s="12">
        <v>0</v>
      </c>
      <c r="D403" s="13">
        <v>0</v>
      </c>
      <c r="E403" s="12"/>
      <c r="F403" s="13"/>
    </row>
    <row r="404" ht="16.5" customHeight="1" spans="1:6">
      <c r="A404" s="11">
        <v>9112</v>
      </c>
      <c r="B404" s="11" t="s">
        <v>1041</v>
      </c>
      <c r="C404" s="12">
        <v>1</v>
      </c>
      <c r="D404" s="13">
        <v>9.79</v>
      </c>
      <c r="E404" s="12"/>
      <c r="F404" s="13"/>
    </row>
    <row r="405" ht="16.5" customHeight="1" spans="1:6">
      <c r="A405" s="11">
        <v>9113</v>
      </c>
      <c r="B405" s="11" t="s">
        <v>1042</v>
      </c>
      <c r="C405" s="12">
        <v>4</v>
      </c>
      <c r="D405" s="13">
        <v>70</v>
      </c>
      <c r="E405" s="12"/>
      <c r="F405" s="13"/>
    </row>
    <row r="406" ht="16.5" customHeight="1" spans="1:6">
      <c r="A406" s="11">
        <v>8986</v>
      </c>
      <c r="B406" s="11" t="s">
        <v>1043</v>
      </c>
      <c r="C406" s="12">
        <v>3</v>
      </c>
      <c r="D406" s="13">
        <v>39.57</v>
      </c>
      <c r="E406" s="12"/>
      <c r="F406" s="13"/>
    </row>
    <row r="407" ht="16.5" customHeight="1" spans="1:6">
      <c r="A407" s="11">
        <v>9114</v>
      </c>
      <c r="B407" s="11" t="s">
        <v>1044</v>
      </c>
      <c r="C407" s="12">
        <v>3</v>
      </c>
      <c r="D407" s="13">
        <v>46.56</v>
      </c>
      <c r="E407" s="12"/>
      <c r="F407" s="13"/>
    </row>
    <row r="408" ht="16.5" customHeight="1" spans="1:6">
      <c r="A408" s="11">
        <v>9115</v>
      </c>
      <c r="B408" s="11" t="s">
        <v>1045</v>
      </c>
      <c r="C408" s="12">
        <v>1</v>
      </c>
      <c r="D408" s="13">
        <v>24.79</v>
      </c>
      <c r="E408" s="12"/>
      <c r="F408" s="13"/>
    </row>
    <row r="409" ht="33" customHeight="1" spans="1:6">
      <c r="A409" s="11">
        <v>8677</v>
      </c>
      <c r="B409" s="11" t="s">
        <v>1046</v>
      </c>
      <c r="C409" s="12">
        <v>8</v>
      </c>
      <c r="D409" s="13">
        <v>101.72</v>
      </c>
      <c r="E409" s="12"/>
      <c r="F409" s="13"/>
    </row>
    <row r="410" ht="16.5" customHeight="1" spans="1:6">
      <c r="A410" s="11">
        <v>8602</v>
      </c>
      <c r="B410" s="11" t="s">
        <v>1047</v>
      </c>
      <c r="C410" s="12">
        <v>2</v>
      </c>
      <c r="D410" s="13">
        <v>39.12</v>
      </c>
      <c r="E410" s="12"/>
      <c r="F410" s="13"/>
    </row>
    <row r="411" ht="16.5" customHeight="1" spans="1:6">
      <c r="A411" s="11">
        <v>8532</v>
      </c>
      <c r="B411" s="11" t="s">
        <v>1048</v>
      </c>
      <c r="C411" s="12">
        <v>11</v>
      </c>
      <c r="D411" s="13">
        <v>1147.48</v>
      </c>
      <c r="E411" s="12"/>
      <c r="F411" s="13"/>
    </row>
    <row r="412" ht="33" customHeight="1" spans="1:6">
      <c r="A412" s="11">
        <v>8363</v>
      </c>
      <c r="B412" s="11" t="s">
        <v>1049</v>
      </c>
      <c r="C412" s="12">
        <v>2</v>
      </c>
      <c r="D412" s="13">
        <v>65.98</v>
      </c>
      <c r="E412" s="12"/>
      <c r="F412" s="13"/>
    </row>
    <row r="413" ht="33" customHeight="1" spans="1:6">
      <c r="A413" s="11">
        <v>8364</v>
      </c>
      <c r="B413" s="11" t="s">
        <v>1050</v>
      </c>
      <c r="C413" s="12">
        <v>5</v>
      </c>
      <c r="D413" s="13">
        <v>185.95</v>
      </c>
      <c r="E413" s="12"/>
      <c r="F413" s="13"/>
    </row>
    <row r="414" ht="33" customHeight="1" spans="1:6">
      <c r="A414" s="11">
        <v>8603</v>
      </c>
      <c r="B414" s="11" t="s">
        <v>1051</v>
      </c>
      <c r="C414" s="12">
        <v>2</v>
      </c>
      <c r="D414" s="13">
        <v>53.98</v>
      </c>
      <c r="E414" s="12"/>
      <c r="F414" s="13"/>
    </row>
    <row r="415" ht="33" customHeight="1" spans="1:6">
      <c r="A415" s="11">
        <v>8605</v>
      </c>
      <c r="B415" s="11" t="s">
        <v>1052</v>
      </c>
      <c r="C415" s="12">
        <v>0</v>
      </c>
      <c r="D415" s="13">
        <v>0</v>
      </c>
      <c r="E415" s="12"/>
      <c r="F415" s="13"/>
    </row>
    <row r="416" ht="33" customHeight="1" spans="1:6">
      <c r="A416" s="11">
        <v>8936</v>
      </c>
      <c r="B416" s="11" t="s">
        <v>1053</v>
      </c>
      <c r="C416" s="12">
        <v>6</v>
      </c>
      <c r="D416" s="13">
        <v>237.49</v>
      </c>
      <c r="E416" s="12"/>
      <c r="F416" s="13"/>
    </row>
    <row r="417" ht="33" customHeight="1" spans="1:6">
      <c r="A417" s="11">
        <v>8840</v>
      </c>
      <c r="B417" s="11" t="s">
        <v>1054</v>
      </c>
      <c r="C417" s="12">
        <v>0</v>
      </c>
      <c r="D417" s="13">
        <v>0</v>
      </c>
      <c r="E417" s="12"/>
      <c r="F417" s="13"/>
    </row>
    <row r="418" ht="33" customHeight="1" spans="1:6">
      <c r="A418" s="11">
        <v>8841</v>
      </c>
      <c r="B418" s="11" t="s">
        <v>1055</v>
      </c>
      <c r="C418" s="12">
        <v>1</v>
      </c>
      <c r="D418" s="13">
        <v>19.59</v>
      </c>
      <c r="E418" s="12"/>
      <c r="F418" s="13"/>
    </row>
    <row r="419" ht="33" customHeight="1" spans="1:6">
      <c r="A419" s="11">
        <v>8212</v>
      </c>
      <c r="B419" s="11" t="s">
        <v>1056</v>
      </c>
      <c r="C419" s="12">
        <v>9</v>
      </c>
      <c r="D419" s="13">
        <v>368.28</v>
      </c>
      <c r="E419" s="12"/>
      <c r="F419" s="13"/>
    </row>
    <row r="420" ht="33" customHeight="1" spans="1:6">
      <c r="A420" s="11">
        <v>8606</v>
      </c>
      <c r="B420" s="11" t="s">
        <v>1057</v>
      </c>
      <c r="C420" s="12">
        <v>23</v>
      </c>
      <c r="D420" s="13">
        <v>1023.35</v>
      </c>
      <c r="E420" s="12"/>
      <c r="F420" s="13"/>
    </row>
    <row r="421" ht="33" customHeight="1" spans="1:6">
      <c r="A421" s="11">
        <v>8607</v>
      </c>
      <c r="B421" s="11" t="s">
        <v>1058</v>
      </c>
      <c r="C421" s="12">
        <v>3</v>
      </c>
      <c r="D421" s="13">
        <v>83.21</v>
      </c>
      <c r="E421" s="12"/>
      <c r="F421" s="13"/>
    </row>
    <row r="422" ht="33" customHeight="1" spans="1:6">
      <c r="A422" s="11">
        <v>8608</v>
      </c>
      <c r="B422" s="11" t="s">
        <v>1059</v>
      </c>
      <c r="C422" s="12">
        <v>0</v>
      </c>
      <c r="D422" s="13">
        <v>0</v>
      </c>
      <c r="E422" s="12"/>
      <c r="F422" s="13"/>
    </row>
    <row r="423" ht="33" customHeight="1" spans="1:6">
      <c r="A423" s="11">
        <v>9439</v>
      </c>
      <c r="B423" s="11" t="s">
        <v>1060</v>
      </c>
      <c r="C423" s="12">
        <v>1</v>
      </c>
      <c r="D423" s="13">
        <v>42.47</v>
      </c>
      <c r="E423" s="12"/>
      <c r="F423" s="13"/>
    </row>
    <row r="424" ht="33" customHeight="1" spans="1:6">
      <c r="A424" s="11">
        <v>9557</v>
      </c>
      <c r="B424" s="11" t="s">
        <v>1061</v>
      </c>
      <c r="C424" s="12">
        <v>1</v>
      </c>
      <c r="D424" s="13">
        <v>23.12</v>
      </c>
      <c r="E424" s="12"/>
      <c r="F424" s="13"/>
    </row>
    <row r="425" ht="33" customHeight="1" spans="1:6">
      <c r="A425" s="11">
        <v>9558</v>
      </c>
      <c r="B425" s="11" t="s">
        <v>1062</v>
      </c>
      <c r="C425" s="12">
        <v>1</v>
      </c>
      <c r="D425" s="13">
        <v>23.87</v>
      </c>
      <c r="E425" s="12"/>
      <c r="F425" s="13"/>
    </row>
    <row r="426" ht="33" customHeight="1" spans="1:6">
      <c r="A426" s="11">
        <v>9456</v>
      </c>
      <c r="B426" s="11" t="s">
        <v>1063</v>
      </c>
      <c r="C426" s="12">
        <v>0</v>
      </c>
      <c r="D426" s="13">
        <v>0</v>
      </c>
      <c r="E426" s="12"/>
      <c r="F426" s="13"/>
    </row>
    <row r="427" ht="33" customHeight="1" spans="1:6">
      <c r="A427" s="11">
        <v>9560</v>
      </c>
      <c r="B427" s="11" t="s">
        <v>1064</v>
      </c>
      <c r="C427" s="12">
        <v>2</v>
      </c>
      <c r="D427" s="13">
        <v>59.29</v>
      </c>
      <c r="E427" s="12"/>
      <c r="F427" s="13"/>
    </row>
    <row r="428" ht="33" customHeight="1" spans="1:6">
      <c r="A428" s="11">
        <v>8089</v>
      </c>
      <c r="B428" s="11" t="s">
        <v>1065</v>
      </c>
      <c r="C428" s="12">
        <v>4</v>
      </c>
      <c r="D428" s="13">
        <v>141.64</v>
      </c>
      <c r="E428" s="12"/>
      <c r="F428" s="13"/>
    </row>
    <row r="429" ht="33" customHeight="1" spans="1:6">
      <c r="A429" s="11">
        <v>9491</v>
      </c>
      <c r="B429" s="11" t="s">
        <v>1066</v>
      </c>
      <c r="C429" s="12">
        <v>1</v>
      </c>
      <c r="D429" s="13">
        <v>41.94</v>
      </c>
      <c r="E429" s="12"/>
      <c r="F429" s="13"/>
    </row>
    <row r="430" ht="33" customHeight="1" spans="1:6">
      <c r="A430" s="11">
        <v>9492</v>
      </c>
      <c r="B430" s="11" t="s">
        <v>1067</v>
      </c>
      <c r="C430" s="12">
        <v>0</v>
      </c>
      <c r="D430" s="13">
        <v>0</v>
      </c>
      <c r="E430" s="12"/>
      <c r="F430" s="13"/>
    </row>
    <row r="431" ht="33" customHeight="1" spans="1:6">
      <c r="A431" s="11">
        <v>8609</v>
      </c>
      <c r="B431" s="11" t="s">
        <v>1068</v>
      </c>
      <c r="C431" s="12">
        <v>4</v>
      </c>
      <c r="D431" s="13">
        <v>210.96</v>
      </c>
      <c r="E431" s="12"/>
      <c r="F431" s="13"/>
    </row>
    <row r="432" ht="33" customHeight="1" spans="1:6">
      <c r="A432" s="11">
        <v>8610</v>
      </c>
      <c r="B432" s="11" t="s">
        <v>1069</v>
      </c>
      <c r="C432" s="12">
        <v>1</v>
      </c>
      <c r="D432" s="13">
        <v>27.85</v>
      </c>
      <c r="E432" s="12"/>
      <c r="F432" s="13"/>
    </row>
    <row r="433" ht="33" customHeight="1" spans="1:6">
      <c r="A433" s="11">
        <v>8611</v>
      </c>
      <c r="B433" s="11" t="s">
        <v>1070</v>
      </c>
      <c r="C433" s="12">
        <v>4</v>
      </c>
      <c r="D433" s="13">
        <v>99.22</v>
      </c>
      <c r="E433" s="12"/>
      <c r="F433" s="13"/>
    </row>
    <row r="434" ht="33" customHeight="1" spans="1:6">
      <c r="A434" s="11">
        <v>8988</v>
      </c>
      <c r="B434" s="11" t="s">
        <v>1071</v>
      </c>
      <c r="C434" s="12">
        <v>7</v>
      </c>
      <c r="D434" s="13">
        <v>275.5</v>
      </c>
      <c r="E434" s="12"/>
      <c r="F434" s="13"/>
    </row>
    <row r="435" ht="33" customHeight="1" spans="1:6">
      <c r="A435" s="11">
        <v>8960</v>
      </c>
      <c r="B435" s="11" t="s">
        <v>1072</v>
      </c>
      <c r="C435" s="12">
        <v>1</v>
      </c>
      <c r="D435" s="13">
        <v>21.92</v>
      </c>
      <c r="E435" s="12"/>
      <c r="F435" s="13"/>
    </row>
    <row r="436" ht="33" customHeight="1" spans="1:6">
      <c r="A436" s="11">
        <v>9499</v>
      </c>
      <c r="B436" s="11" t="s">
        <v>1073</v>
      </c>
      <c r="C436" s="12">
        <v>5</v>
      </c>
      <c r="D436" s="13">
        <v>292.41</v>
      </c>
      <c r="E436" s="12"/>
      <c r="F436" s="13"/>
    </row>
    <row r="437" ht="33" customHeight="1" spans="1:6">
      <c r="A437" s="11">
        <v>9500</v>
      </c>
      <c r="B437" s="11" t="s">
        <v>1074</v>
      </c>
      <c r="C437" s="12">
        <v>3</v>
      </c>
      <c r="D437" s="13">
        <v>74.97</v>
      </c>
      <c r="E437" s="12"/>
      <c r="F437" s="13"/>
    </row>
    <row r="438" ht="33" customHeight="1" spans="1:6">
      <c r="A438" s="11">
        <v>9501</v>
      </c>
      <c r="B438" s="11" t="s">
        <v>1075</v>
      </c>
      <c r="C438" s="12">
        <v>1</v>
      </c>
      <c r="D438" s="13">
        <v>34.49</v>
      </c>
      <c r="E438" s="12"/>
      <c r="F438" s="13"/>
    </row>
    <row r="439" ht="33" customHeight="1" spans="1:6">
      <c r="A439" s="11">
        <v>8423</v>
      </c>
      <c r="B439" s="11" t="s">
        <v>1076</v>
      </c>
      <c r="C439" s="12">
        <v>0</v>
      </c>
      <c r="D439" s="13">
        <v>0</v>
      </c>
      <c r="E439" s="12"/>
      <c r="F439" s="13"/>
    </row>
    <row r="440" ht="33" customHeight="1" spans="1:6">
      <c r="A440" s="11">
        <v>9388</v>
      </c>
      <c r="B440" s="11" t="s">
        <v>1077</v>
      </c>
      <c r="C440" s="12">
        <v>3</v>
      </c>
      <c r="D440" s="13">
        <v>126.84</v>
      </c>
      <c r="E440" s="12"/>
      <c r="F440" s="13"/>
    </row>
    <row r="441" ht="33" customHeight="1" spans="1:6">
      <c r="A441" s="11">
        <v>9389</v>
      </c>
      <c r="B441" s="11" t="s">
        <v>1078</v>
      </c>
      <c r="C441" s="12">
        <v>3</v>
      </c>
      <c r="D441" s="13">
        <v>84.07</v>
      </c>
      <c r="E441" s="12"/>
      <c r="F441" s="13"/>
    </row>
    <row r="442" ht="33" customHeight="1" spans="1:6">
      <c r="A442" s="11">
        <v>9390</v>
      </c>
      <c r="B442" s="11" t="s">
        <v>1079</v>
      </c>
      <c r="C442" s="12">
        <v>3</v>
      </c>
      <c r="D442" s="13">
        <v>91.03</v>
      </c>
      <c r="E442" s="12"/>
      <c r="F442" s="13"/>
    </row>
    <row r="443" ht="33" customHeight="1" spans="1:6">
      <c r="A443" s="11">
        <v>9694</v>
      </c>
      <c r="B443" s="11" t="s">
        <v>1080</v>
      </c>
      <c r="C443" s="12">
        <v>2</v>
      </c>
      <c r="D443" s="13">
        <v>143.98</v>
      </c>
      <c r="E443" s="12"/>
      <c r="F443" s="13"/>
    </row>
    <row r="444" ht="33" customHeight="1" spans="1:6">
      <c r="A444" s="11">
        <v>9695</v>
      </c>
      <c r="B444" s="11" t="s">
        <v>1081</v>
      </c>
      <c r="C444" s="12">
        <v>2</v>
      </c>
      <c r="D444" s="13">
        <v>80.75</v>
      </c>
      <c r="E444" s="12"/>
      <c r="F444" s="13"/>
    </row>
    <row r="445" ht="33" customHeight="1" spans="1:6">
      <c r="A445" s="11">
        <v>9696</v>
      </c>
      <c r="B445" s="11" t="s">
        <v>1082</v>
      </c>
      <c r="C445" s="12">
        <v>0</v>
      </c>
      <c r="D445" s="13">
        <v>0</v>
      </c>
      <c r="E445" s="12"/>
      <c r="F445" s="13"/>
    </row>
    <row r="446" ht="33" customHeight="1" spans="1:6">
      <c r="A446" s="11">
        <v>8087</v>
      </c>
      <c r="B446" s="11" t="s">
        <v>1083</v>
      </c>
      <c r="C446" s="12">
        <v>3</v>
      </c>
      <c r="D446" s="13">
        <v>191.16</v>
      </c>
      <c r="E446" s="12"/>
      <c r="F446" s="13"/>
    </row>
    <row r="447" ht="33" customHeight="1" spans="1:6">
      <c r="A447" s="11">
        <v>8082</v>
      </c>
      <c r="B447" s="11" t="s">
        <v>1084</v>
      </c>
      <c r="C447" s="12">
        <v>1</v>
      </c>
      <c r="D447" s="13">
        <v>33.07</v>
      </c>
      <c r="E447" s="12"/>
      <c r="F447" s="13"/>
    </row>
    <row r="448" ht="33" customHeight="1" spans="1:6">
      <c r="A448" s="11">
        <v>9316</v>
      </c>
      <c r="B448" s="11" t="s">
        <v>1085</v>
      </c>
      <c r="C448" s="12">
        <v>4</v>
      </c>
      <c r="D448" s="13">
        <v>269.75</v>
      </c>
      <c r="E448" s="12"/>
      <c r="F448" s="13"/>
    </row>
    <row r="449" ht="33" customHeight="1" spans="1:6">
      <c r="A449" s="11">
        <v>9445</v>
      </c>
      <c r="B449" s="11" t="s">
        <v>1086</v>
      </c>
      <c r="C449" s="12">
        <v>1</v>
      </c>
      <c r="D449" s="13">
        <v>38.99</v>
      </c>
      <c r="E449" s="12"/>
      <c r="F449" s="13"/>
    </row>
    <row r="450" ht="33" customHeight="1" spans="1:6">
      <c r="A450" s="11">
        <v>9446</v>
      </c>
      <c r="B450" s="11" t="s">
        <v>1087</v>
      </c>
      <c r="C450" s="12">
        <v>0</v>
      </c>
      <c r="D450" s="13">
        <v>0</v>
      </c>
      <c r="E450" s="12"/>
      <c r="F450" s="13"/>
    </row>
    <row r="451" ht="33" customHeight="1" spans="1:6">
      <c r="A451" s="11">
        <v>9359</v>
      </c>
      <c r="B451" s="11" t="s">
        <v>1088</v>
      </c>
      <c r="C451" s="12">
        <v>1</v>
      </c>
      <c r="D451" s="13">
        <v>64.79</v>
      </c>
      <c r="E451" s="12"/>
      <c r="F451" s="13"/>
    </row>
    <row r="452" ht="33" customHeight="1" spans="1:6">
      <c r="A452" s="11">
        <v>9360</v>
      </c>
      <c r="B452" s="11" t="s">
        <v>1089</v>
      </c>
      <c r="C452" s="12">
        <v>2</v>
      </c>
      <c r="D452" s="13">
        <v>73.96</v>
      </c>
      <c r="E452" s="12"/>
      <c r="F452" s="13"/>
    </row>
    <row r="453" ht="33" customHeight="1" spans="1:6">
      <c r="A453" s="11">
        <v>9361</v>
      </c>
      <c r="B453" s="11" t="s">
        <v>1090</v>
      </c>
      <c r="C453" s="12">
        <v>0</v>
      </c>
      <c r="D453" s="13">
        <v>0</v>
      </c>
      <c r="E453" s="12"/>
      <c r="F453" s="13"/>
    </row>
    <row r="454" ht="33" customHeight="1" spans="1:6">
      <c r="A454" s="11">
        <v>9362</v>
      </c>
      <c r="B454" s="11" t="s">
        <v>1091</v>
      </c>
      <c r="C454" s="12">
        <v>2</v>
      </c>
      <c r="D454" s="13">
        <v>110</v>
      </c>
      <c r="E454" s="12"/>
      <c r="F454" s="13"/>
    </row>
    <row r="455" ht="33" customHeight="1" spans="1:6">
      <c r="A455" s="11">
        <v>9363</v>
      </c>
      <c r="B455" s="11" t="s">
        <v>1092</v>
      </c>
      <c r="C455" s="12">
        <v>0</v>
      </c>
      <c r="D455" s="13">
        <v>0</v>
      </c>
      <c r="E455" s="12"/>
      <c r="F455" s="13"/>
    </row>
    <row r="456" ht="33" customHeight="1" spans="1:6">
      <c r="A456" s="11">
        <v>9364</v>
      </c>
      <c r="B456" s="11" t="s">
        <v>1093</v>
      </c>
      <c r="C456" s="12">
        <v>0</v>
      </c>
      <c r="D456" s="13">
        <v>0</v>
      </c>
      <c r="E456" s="12"/>
      <c r="F456" s="13"/>
    </row>
    <row r="457" ht="33" customHeight="1" spans="1:6">
      <c r="A457" s="11">
        <v>9171</v>
      </c>
      <c r="B457" s="11" t="s">
        <v>1094</v>
      </c>
      <c r="C457" s="12">
        <v>0</v>
      </c>
      <c r="D457" s="13">
        <v>0</v>
      </c>
      <c r="E457" s="12"/>
      <c r="F457" s="13"/>
    </row>
    <row r="458" ht="33" customHeight="1" spans="1:6">
      <c r="A458" s="11">
        <v>9159</v>
      </c>
      <c r="B458" s="11" t="s">
        <v>1095</v>
      </c>
      <c r="C458" s="12">
        <v>0</v>
      </c>
      <c r="D458" s="13">
        <v>0</v>
      </c>
      <c r="E458" s="12"/>
      <c r="F458" s="13"/>
    </row>
    <row r="459" ht="33" customHeight="1" spans="1:6">
      <c r="A459" s="11">
        <v>9160</v>
      </c>
      <c r="B459" s="11" t="s">
        <v>1096</v>
      </c>
      <c r="C459" s="12">
        <v>2</v>
      </c>
      <c r="D459" s="13">
        <v>50.38</v>
      </c>
      <c r="E459" s="12"/>
      <c r="F459" s="13"/>
    </row>
    <row r="460" ht="33" customHeight="1" spans="1:6">
      <c r="A460" s="11">
        <v>9733</v>
      </c>
      <c r="B460" s="11" t="s">
        <v>1097</v>
      </c>
      <c r="C460" s="12">
        <v>3</v>
      </c>
      <c r="D460" s="13">
        <v>212.17</v>
      </c>
      <c r="E460" s="12"/>
      <c r="F460" s="13"/>
    </row>
    <row r="461" ht="33" customHeight="1" spans="1:6">
      <c r="A461" s="11">
        <v>9697</v>
      </c>
      <c r="B461" s="11" t="s">
        <v>1098</v>
      </c>
      <c r="C461" s="12">
        <v>0</v>
      </c>
      <c r="D461" s="13">
        <v>0</v>
      </c>
      <c r="E461" s="12"/>
      <c r="F461" s="13"/>
    </row>
    <row r="462" ht="33" customHeight="1" spans="1:6">
      <c r="A462" s="11">
        <v>9698</v>
      </c>
      <c r="B462" s="11" t="s">
        <v>1099</v>
      </c>
      <c r="C462" s="12">
        <v>1</v>
      </c>
      <c r="D462" s="13">
        <v>46.41</v>
      </c>
      <c r="E462" s="12"/>
      <c r="F462" s="13"/>
    </row>
    <row r="463" ht="33" customHeight="1" spans="1:6">
      <c r="A463" s="11">
        <v>9302</v>
      </c>
      <c r="B463" s="11" t="s">
        <v>1100</v>
      </c>
      <c r="C463" s="12">
        <v>5</v>
      </c>
      <c r="D463" s="13">
        <v>157.95</v>
      </c>
      <c r="E463" s="12"/>
      <c r="F463" s="13"/>
    </row>
    <row r="464" ht="33" customHeight="1" spans="1:6">
      <c r="A464" s="11">
        <v>9303</v>
      </c>
      <c r="B464" s="11" t="s">
        <v>1101</v>
      </c>
      <c r="C464" s="12">
        <v>2</v>
      </c>
      <c r="D464" s="13">
        <v>38.4</v>
      </c>
      <c r="E464" s="12"/>
      <c r="F464" s="13"/>
    </row>
    <row r="465" ht="33" customHeight="1" spans="1:6">
      <c r="A465" s="11">
        <v>9304</v>
      </c>
      <c r="B465" s="11" t="s">
        <v>1102</v>
      </c>
      <c r="C465" s="12">
        <v>5</v>
      </c>
      <c r="D465" s="13">
        <v>99.8</v>
      </c>
      <c r="E465" s="12"/>
      <c r="F465" s="13"/>
    </row>
    <row r="466" ht="33" customHeight="1" spans="1:6">
      <c r="A466" s="11">
        <v>9803</v>
      </c>
      <c r="B466" s="11" t="s">
        <v>1103</v>
      </c>
      <c r="C466" s="12">
        <v>1</v>
      </c>
      <c r="D466" s="13">
        <v>42.9</v>
      </c>
      <c r="E466" s="12"/>
      <c r="F466" s="13"/>
    </row>
    <row r="467" ht="33" customHeight="1" spans="1:6">
      <c r="A467" s="11">
        <v>9494</v>
      </c>
      <c r="B467" s="11" t="s">
        <v>1104</v>
      </c>
      <c r="C467" s="12">
        <v>1</v>
      </c>
      <c r="D467" s="13">
        <v>22.19</v>
      </c>
      <c r="E467" s="12"/>
      <c r="F467" s="13"/>
    </row>
    <row r="468" ht="33" customHeight="1" spans="1:6">
      <c r="A468" s="11">
        <v>9495</v>
      </c>
      <c r="B468" s="11" t="s">
        <v>1105</v>
      </c>
      <c r="C468" s="12">
        <v>4</v>
      </c>
      <c r="D468" s="13">
        <v>94.99</v>
      </c>
      <c r="E468" s="12"/>
      <c r="F468" s="13"/>
    </row>
    <row r="469" ht="33" customHeight="1" spans="1:6">
      <c r="A469" s="11">
        <v>9561</v>
      </c>
      <c r="B469" s="11" t="s">
        <v>1106</v>
      </c>
      <c r="C469" s="12">
        <v>7</v>
      </c>
      <c r="D469" s="13">
        <v>254.73</v>
      </c>
      <c r="E469" s="12"/>
      <c r="F469" s="13"/>
    </row>
    <row r="470" ht="33" customHeight="1" spans="1:6">
      <c r="A470" s="11">
        <v>9539</v>
      </c>
      <c r="B470" s="11" t="s">
        <v>1107</v>
      </c>
      <c r="C470" s="12">
        <v>2</v>
      </c>
      <c r="D470" s="13">
        <v>40.96</v>
      </c>
      <c r="E470" s="12"/>
      <c r="F470" s="13"/>
    </row>
    <row r="471" ht="33" customHeight="1" spans="1:6">
      <c r="A471" s="11">
        <v>9540</v>
      </c>
      <c r="B471" s="11" t="s">
        <v>1108</v>
      </c>
      <c r="C471" s="12">
        <v>0</v>
      </c>
      <c r="D471" s="13">
        <v>0</v>
      </c>
      <c r="E471" s="12"/>
      <c r="F471" s="13"/>
    </row>
    <row r="472" ht="33" customHeight="1" spans="1:6">
      <c r="A472" s="11">
        <v>8944</v>
      </c>
      <c r="B472" s="11" t="s">
        <v>1109</v>
      </c>
      <c r="C472" s="12">
        <v>3</v>
      </c>
      <c r="D472" s="13">
        <v>104.97</v>
      </c>
      <c r="E472" s="12"/>
      <c r="F472" s="13"/>
    </row>
    <row r="473" ht="33" customHeight="1" spans="1:6">
      <c r="A473" s="11">
        <v>8989</v>
      </c>
      <c r="B473" s="11" t="s">
        <v>1110</v>
      </c>
      <c r="C473" s="12">
        <v>2</v>
      </c>
      <c r="D473" s="13">
        <v>44.84</v>
      </c>
      <c r="E473" s="12"/>
      <c r="F473" s="13"/>
    </row>
    <row r="474" ht="33" customHeight="1" spans="1:6">
      <c r="A474" s="11">
        <v>8990</v>
      </c>
      <c r="B474" s="11" t="s">
        <v>1111</v>
      </c>
      <c r="C474" s="12">
        <v>0</v>
      </c>
      <c r="D474" s="13">
        <v>0</v>
      </c>
      <c r="E474" s="12"/>
      <c r="F474" s="13"/>
    </row>
    <row r="475" ht="33" customHeight="1" spans="1:6">
      <c r="A475" s="11">
        <v>8678</v>
      </c>
      <c r="B475" s="11" t="s">
        <v>1112</v>
      </c>
      <c r="C475" s="12">
        <v>14</v>
      </c>
      <c r="D475" s="13">
        <v>522.9</v>
      </c>
      <c r="E475" s="12"/>
      <c r="F475" s="13"/>
    </row>
    <row r="476" ht="33" customHeight="1" spans="1:6">
      <c r="A476" s="11">
        <v>8679</v>
      </c>
      <c r="B476" s="11" t="s">
        <v>1113</v>
      </c>
      <c r="C476" s="12">
        <v>3</v>
      </c>
      <c r="D476" s="13">
        <v>74.25</v>
      </c>
      <c r="E476" s="12"/>
      <c r="F476" s="13"/>
    </row>
    <row r="477" ht="33" customHeight="1" spans="1:6">
      <c r="A477" s="11">
        <v>8680</v>
      </c>
      <c r="B477" s="11" t="s">
        <v>1114</v>
      </c>
      <c r="C477" s="12">
        <v>5</v>
      </c>
      <c r="D477" s="13">
        <v>118.75</v>
      </c>
      <c r="E477" s="12"/>
      <c r="F477" s="13"/>
    </row>
    <row r="478" ht="33" customHeight="1" spans="1:6">
      <c r="A478" s="11">
        <v>9305</v>
      </c>
      <c r="B478" s="11" t="s">
        <v>1115</v>
      </c>
      <c r="C478" s="12">
        <v>0</v>
      </c>
      <c r="D478" s="13">
        <v>0</v>
      </c>
      <c r="E478" s="12"/>
      <c r="F478" s="13"/>
    </row>
    <row r="479" ht="33" customHeight="1" spans="1:6">
      <c r="A479" s="11">
        <v>9306</v>
      </c>
      <c r="B479" s="11" t="s">
        <v>1116</v>
      </c>
      <c r="C479" s="12">
        <v>4</v>
      </c>
      <c r="D479" s="13">
        <v>78.74</v>
      </c>
      <c r="E479" s="12"/>
      <c r="F479" s="13"/>
    </row>
    <row r="480" ht="33" customHeight="1" spans="1:6">
      <c r="A480" s="11">
        <v>8842</v>
      </c>
      <c r="B480" s="11" t="s">
        <v>1117</v>
      </c>
      <c r="C480" s="12">
        <v>7</v>
      </c>
      <c r="D480" s="13">
        <v>354.27</v>
      </c>
      <c r="E480" s="12"/>
      <c r="F480" s="13"/>
    </row>
    <row r="481" ht="33" customHeight="1" spans="1:6">
      <c r="A481" s="11">
        <v>8843</v>
      </c>
      <c r="B481" s="11" t="s">
        <v>1118</v>
      </c>
      <c r="C481" s="12">
        <v>2</v>
      </c>
      <c r="D481" s="13">
        <v>58.68</v>
      </c>
      <c r="E481" s="12"/>
      <c r="F481" s="13"/>
    </row>
    <row r="482" ht="33" customHeight="1" spans="1:6">
      <c r="A482" s="11">
        <v>8844</v>
      </c>
      <c r="B482" s="11" t="s">
        <v>1119</v>
      </c>
      <c r="C482" s="12">
        <v>3</v>
      </c>
      <c r="D482" s="13">
        <v>90.97</v>
      </c>
      <c r="E482" s="12"/>
      <c r="F482" s="13"/>
    </row>
    <row r="483" ht="33" customHeight="1" spans="1:6">
      <c r="A483" s="11">
        <v>9116</v>
      </c>
      <c r="B483" s="11" t="s">
        <v>1120</v>
      </c>
      <c r="C483" s="12">
        <v>1</v>
      </c>
      <c r="D483" s="13">
        <v>45.95</v>
      </c>
      <c r="E483" s="12"/>
      <c r="F483" s="13"/>
    </row>
    <row r="484" ht="33" customHeight="1" spans="1:6">
      <c r="A484" s="11">
        <v>9172</v>
      </c>
      <c r="B484" s="11" t="s">
        <v>1121</v>
      </c>
      <c r="C484" s="12">
        <v>0</v>
      </c>
      <c r="D484" s="13">
        <v>0</v>
      </c>
      <c r="E484" s="12"/>
      <c r="F484" s="13"/>
    </row>
    <row r="485" ht="33" customHeight="1" spans="1:6">
      <c r="A485" s="11">
        <v>9173</v>
      </c>
      <c r="B485" s="11" t="s">
        <v>1122</v>
      </c>
      <c r="C485" s="12">
        <v>0</v>
      </c>
      <c r="D485" s="13">
        <v>0</v>
      </c>
      <c r="E485" s="12"/>
      <c r="F485" s="13"/>
    </row>
    <row r="486" ht="33" customHeight="1" spans="1:6">
      <c r="A486" s="11">
        <v>9064</v>
      </c>
      <c r="B486" s="11" t="s">
        <v>1123</v>
      </c>
      <c r="C486" s="12">
        <v>1</v>
      </c>
      <c r="D486" s="13">
        <v>58</v>
      </c>
      <c r="E486" s="12"/>
      <c r="F486" s="13"/>
    </row>
    <row r="487" ht="33" customHeight="1" spans="1:6">
      <c r="A487" s="11">
        <v>9065</v>
      </c>
      <c r="B487" s="11" t="s">
        <v>1124</v>
      </c>
      <c r="C487" s="12">
        <v>3</v>
      </c>
      <c r="D487" s="13">
        <v>104.97</v>
      </c>
      <c r="E487" s="12"/>
      <c r="F487" s="13"/>
    </row>
    <row r="488" ht="33" customHeight="1" spans="1:6">
      <c r="A488" s="11">
        <v>9284</v>
      </c>
      <c r="B488" s="11" t="s">
        <v>1125</v>
      </c>
      <c r="C488" s="12">
        <v>1</v>
      </c>
      <c r="D488" s="13">
        <v>37.8</v>
      </c>
      <c r="E488" s="12"/>
      <c r="F488" s="13"/>
    </row>
    <row r="489" ht="33" customHeight="1" spans="1:6">
      <c r="A489" s="11">
        <v>9117</v>
      </c>
      <c r="B489" s="11" t="s">
        <v>1126</v>
      </c>
      <c r="C489" s="12">
        <v>0</v>
      </c>
      <c r="D489" s="13">
        <v>0</v>
      </c>
      <c r="E489" s="12"/>
      <c r="F489" s="13"/>
    </row>
    <row r="490" ht="33" customHeight="1" spans="1:6">
      <c r="A490" s="11">
        <v>9068</v>
      </c>
      <c r="B490" s="11" t="s">
        <v>1127</v>
      </c>
      <c r="C490" s="12">
        <v>1</v>
      </c>
      <c r="D490" s="13">
        <v>22.04</v>
      </c>
      <c r="E490" s="12"/>
      <c r="F490" s="13"/>
    </row>
    <row r="491" ht="33" customHeight="1" spans="1:6">
      <c r="A491" s="11">
        <v>9037</v>
      </c>
      <c r="B491" s="11" t="s">
        <v>1128</v>
      </c>
      <c r="C491" s="12">
        <v>0</v>
      </c>
      <c r="D491" s="13">
        <v>0</v>
      </c>
      <c r="E491" s="12"/>
      <c r="F491" s="13"/>
    </row>
    <row r="492" ht="33" customHeight="1" spans="1:6">
      <c r="A492" s="11">
        <v>9038</v>
      </c>
      <c r="B492" s="11" t="s">
        <v>1129</v>
      </c>
      <c r="C492" s="12">
        <v>1</v>
      </c>
      <c r="D492" s="13">
        <v>31.96</v>
      </c>
      <c r="E492" s="12"/>
      <c r="F492" s="13"/>
    </row>
    <row r="493" ht="33" customHeight="1" spans="1:6">
      <c r="A493" s="11">
        <v>8993</v>
      </c>
      <c r="B493" s="11" t="s">
        <v>1130</v>
      </c>
      <c r="C493" s="12">
        <v>2</v>
      </c>
      <c r="D493" s="13">
        <v>72.42</v>
      </c>
      <c r="E493" s="12"/>
      <c r="F493" s="13"/>
    </row>
    <row r="494" ht="33" customHeight="1" spans="1:6">
      <c r="A494" s="11">
        <v>9039</v>
      </c>
      <c r="B494" s="11" t="s">
        <v>1131</v>
      </c>
      <c r="C494" s="12">
        <v>0</v>
      </c>
      <c r="D494" s="13">
        <v>0</v>
      </c>
      <c r="E494" s="12"/>
      <c r="F494" s="13"/>
    </row>
    <row r="495" ht="33" customHeight="1" spans="1:6">
      <c r="A495" s="11">
        <v>9040</v>
      </c>
      <c r="B495" s="11" t="s">
        <v>1132</v>
      </c>
      <c r="C495" s="12">
        <v>2</v>
      </c>
      <c r="D495" s="13">
        <v>44.08</v>
      </c>
      <c r="E495" s="12"/>
      <c r="F495" s="13"/>
    </row>
    <row r="496" ht="16.5" customHeight="1" spans="1:6">
      <c r="A496" s="11">
        <v>8426</v>
      </c>
      <c r="B496" s="11" t="s">
        <v>1133</v>
      </c>
      <c r="C496" s="12">
        <v>0</v>
      </c>
      <c r="D496" s="13">
        <v>0</v>
      </c>
      <c r="E496" s="12"/>
      <c r="F496" s="13"/>
    </row>
    <row r="497" ht="33" customHeight="1" spans="1:6">
      <c r="A497" s="11">
        <v>8612</v>
      </c>
      <c r="B497" s="11" t="s">
        <v>1134</v>
      </c>
      <c r="C497" s="12">
        <v>1</v>
      </c>
      <c r="D497" s="13">
        <v>49.72</v>
      </c>
      <c r="E497" s="12"/>
      <c r="F497" s="13"/>
    </row>
    <row r="498" ht="33" customHeight="1" spans="1:6">
      <c r="A498" s="11">
        <v>8681</v>
      </c>
      <c r="B498" s="11" t="s">
        <v>1135</v>
      </c>
      <c r="C498" s="12">
        <v>3</v>
      </c>
      <c r="D498" s="13">
        <v>148.2</v>
      </c>
      <c r="E498" s="12"/>
      <c r="F498" s="13"/>
    </row>
    <row r="499" ht="33" customHeight="1" spans="1:6">
      <c r="A499" s="11">
        <v>8684</v>
      </c>
      <c r="B499" s="11" t="s">
        <v>1136</v>
      </c>
      <c r="C499" s="12">
        <v>4</v>
      </c>
      <c r="D499" s="13">
        <v>368</v>
      </c>
      <c r="E499" s="12"/>
      <c r="F499" s="13"/>
    </row>
    <row r="500" ht="33" customHeight="1" spans="1:6">
      <c r="A500" s="11">
        <v>8686</v>
      </c>
      <c r="B500" s="11" t="s">
        <v>1137</v>
      </c>
      <c r="C500" s="12">
        <v>4</v>
      </c>
      <c r="D500" s="13">
        <v>94.2</v>
      </c>
      <c r="E500" s="12"/>
      <c r="F500" s="13"/>
    </row>
    <row r="501" ht="33" customHeight="1" spans="1:6">
      <c r="A501" s="11">
        <v>8687</v>
      </c>
      <c r="B501" s="11" t="s">
        <v>1138</v>
      </c>
      <c r="C501" s="12">
        <v>4</v>
      </c>
      <c r="D501" s="13">
        <v>125.78</v>
      </c>
      <c r="E501" s="12"/>
      <c r="F501" s="13"/>
    </row>
    <row r="502" ht="33" customHeight="1" spans="1:6">
      <c r="A502" s="11">
        <v>8752</v>
      </c>
      <c r="B502" s="11" t="s">
        <v>1139</v>
      </c>
      <c r="C502" s="12">
        <v>3</v>
      </c>
      <c r="D502" s="13">
        <v>131.94</v>
      </c>
      <c r="E502" s="12"/>
      <c r="F502" s="13"/>
    </row>
    <row r="503" ht="33" customHeight="1" spans="1:6">
      <c r="A503" s="11">
        <v>8753</v>
      </c>
      <c r="B503" s="11" t="s">
        <v>1140</v>
      </c>
      <c r="C503" s="12">
        <v>2</v>
      </c>
      <c r="D503" s="13">
        <v>52.65</v>
      </c>
      <c r="E503" s="12"/>
      <c r="F503" s="13"/>
    </row>
    <row r="504" ht="33" customHeight="1" spans="1:6">
      <c r="A504" s="11">
        <v>8754</v>
      </c>
      <c r="B504" s="11" t="s">
        <v>1141</v>
      </c>
      <c r="C504" s="12">
        <v>3</v>
      </c>
      <c r="D504" s="13">
        <v>72.5</v>
      </c>
      <c r="E504" s="12"/>
      <c r="F504" s="13"/>
    </row>
    <row r="505" ht="16.5" customHeight="1" spans="1:6">
      <c r="A505" s="11">
        <v>9391</v>
      </c>
      <c r="B505" s="11" t="s">
        <v>1142</v>
      </c>
      <c r="C505" s="12">
        <v>2</v>
      </c>
      <c r="D505" s="13">
        <v>394.4</v>
      </c>
      <c r="E505" s="12"/>
      <c r="F505" s="13"/>
    </row>
    <row r="506" ht="16.5" customHeight="1" spans="1:6">
      <c r="A506" s="11">
        <v>8533</v>
      </c>
      <c r="B506" s="11" t="s">
        <v>1143</v>
      </c>
      <c r="C506" s="12">
        <v>1</v>
      </c>
      <c r="D506" s="13">
        <v>15.73</v>
      </c>
      <c r="E506" s="12"/>
      <c r="F506" s="13"/>
    </row>
    <row r="507" ht="16.5" customHeight="1" spans="1:6">
      <c r="A507" s="11">
        <v>8900</v>
      </c>
      <c r="B507" s="11" t="s">
        <v>1144</v>
      </c>
      <c r="C507" s="12">
        <v>1</v>
      </c>
      <c r="D507" s="13">
        <v>199</v>
      </c>
      <c r="E507" s="12"/>
      <c r="F507" s="13"/>
    </row>
    <row r="508" ht="33" customHeight="1" spans="1:6">
      <c r="A508" s="11">
        <v>9645</v>
      </c>
      <c r="B508" s="11" t="s">
        <v>1145</v>
      </c>
      <c r="C508" s="12">
        <v>3</v>
      </c>
      <c r="D508" s="13">
        <v>218.26</v>
      </c>
      <c r="E508" s="12"/>
      <c r="F508" s="13"/>
    </row>
    <row r="509" ht="33" customHeight="1" spans="1:6">
      <c r="A509" s="11">
        <v>9646</v>
      </c>
      <c r="B509" s="11" t="s">
        <v>1146</v>
      </c>
      <c r="C509" s="12">
        <v>0</v>
      </c>
      <c r="D509" s="13">
        <v>0</v>
      </c>
      <c r="E509" s="12"/>
      <c r="F509" s="13"/>
    </row>
    <row r="510" ht="33" customHeight="1" spans="1:6">
      <c r="A510" s="11">
        <v>9647</v>
      </c>
      <c r="B510" s="11" t="s">
        <v>1147</v>
      </c>
      <c r="C510" s="12">
        <v>0</v>
      </c>
      <c r="D510" s="13">
        <v>0</v>
      </c>
      <c r="E510" s="12"/>
      <c r="F510" s="13"/>
    </row>
    <row r="511" ht="33" customHeight="1" spans="1:6">
      <c r="A511" s="11">
        <v>8541</v>
      </c>
      <c r="B511" s="11" t="s">
        <v>1148</v>
      </c>
      <c r="C511" s="12">
        <v>8</v>
      </c>
      <c r="D511" s="13">
        <v>565.54</v>
      </c>
      <c r="E511" s="12"/>
      <c r="F511" s="13"/>
    </row>
    <row r="512" ht="33" customHeight="1" spans="1:6">
      <c r="A512" s="11">
        <v>8542</v>
      </c>
      <c r="B512" s="11" t="s">
        <v>1149</v>
      </c>
      <c r="C512" s="12">
        <v>0</v>
      </c>
      <c r="D512" s="13">
        <v>0</v>
      </c>
      <c r="E512" s="12"/>
      <c r="F512" s="13"/>
    </row>
    <row r="513" ht="33" customHeight="1" spans="1:6">
      <c r="A513" s="11">
        <v>8543</v>
      </c>
      <c r="B513" s="11" t="s">
        <v>1150</v>
      </c>
      <c r="C513" s="12">
        <v>3</v>
      </c>
      <c r="D513" s="13">
        <v>146.97</v>
      </c>
      <c r="E513" s="12"/>
      <c r="F513" s="13"/>
    </row>
    <row r="514" ht="33" customHeight="1" spans="1:6">
      <c r="A514" s="11">
        <v>9584</v>
      </c>
      <c r="B514" s="11" t="s">
        <v>1151</v>
      </c>
      <c r="C514" s="12">
        <v>4</v>
      </c>
      <c r="D514" s="13">
        <v>147.28</v>
      </c>
      <c r="E514" s="12"/>
      <c r="F514" s="13"/>
    </row>
    <row r="515" ht="33" customHeight="1" spans="1:6">
      <c r="A515" s="11">
        <v>9605</v>
      </c>
      <c r="B515" s="11" t="s">
        <v>1152</v>
      </c>
      <c r="C515" s="12">
        <v>0</v>
      </c>
      <c r="D515" s="13">
        <v>0</v>
      </c>
      <c r="E515" s="12"/>
      <c r="F515" s="13"/>
    </row>
    <row r="516" ht="33" customHeight="1" spans="1:6">
      <c r="A516" s="11">
        <v>9606</v>
      </c>
      <c r="B516" s="11" t="s">
        <v>1153</v>
      </c>
      <c r="C516" s="12">
        <v>0</v>
      </c>
      <c r="D516" s="13">
        <v>0</v>
      </c>
      <c r="E516" s="12"/>
      <c r="F516" s="13"/>
    </row>
    <row r="517" ht="33" customHeight="1" spans="1:6">
      <c r="A517" s="11">
        <v>8485</v>
      </c>
      <c r="B517" s="11" t="s">
        <v>1154</v>
      </c>
      <c r="C517" s="12">
        <v>0</v>
      </c>
      <c r="D517" s="13">
        <v>0</v>
      </c>
      <c r="E517" s="12"/>
      <c r="F517" s="13"/>
    </row>
    <row r="518" ht="16.5" customHeight="1" spans="1:6">
      <c r="A518" s="11">
        <v>9084</v>
      </c>
      <c r="B518" s="11" t="s">
        <v>1155</v>
      </c>
      <c r="C518" s="12">
        <v>2</v>
      </c>
      <c r="D518" s="13">
        <v>25.98</v>
      </c>
      <c r="E518" s="12"/>
      <c r="F518" s="13"/>
    </row>
    <row r="519" ht="16.5" customHeight="1" spans="1:6">
      <c r="A519" s="11">
        <v>693</v>
      </c>
      <c r="B519" s="11" t="s">
        <v>1156</v>
      </c>
      <c r="C519" s="12">
        <v>2</v>
      </c>
      <c r="D519" s="13">
        <v>38.9</v>
      </c>
      <c r="E519" s="12"/>
      <c r="F519" s="13"/>
    </row>
    <row r="520" ht="16.5" customHeight="1" spans="1:6">
      <c r="A520" s="11">
        <v>2462</v>
      </c>
      <c r="B520" s="11" t="s">
        <v>1157</v>
      </c>
      <c r="C520" s="12">
        <v>0</v>
      </c>
      <c r="D520" s="13">
        <v>0</v>
      </c>
      <c r="E520" s="12"/>
      <c r="F520" s="13"/>
    </row>
    <row r="521" ht="16.5" customHeight="1" spans="1:6">
      <c r="A521" s="11">
        <v>3023</v>
      </c>
      <c r="B521" s="11" t="s">
        <v>1158</v>
      </c>
      <c r="C521" s="12">
        <v>10</v>
      </c>
      <c r="D521" s="13">
        <v>1815</v>
      </c>
      <c r="E521" s="12"/>
      <c r="F521" s="13"/>
    </row>
    <row r="522" ht="16.5" customHeight="1" spans="1:6">
      <c r="A522" s="11">
        <v>3511</v>
      </c>
      <c r="B522" s="11" t="s">
        <v>1159</v>
      </c>
      <c r="C522" s="12">
        <v>3</v>
      </c>
      <c r="D522" s="13">
        <v>528.21</v>
      </c>
      <c r="E522" s="12"/>
      <c r="F522" s="13"/>
    </row>
    <row r="523" ht="33" customHeight="1" spans="1:6">
      <c r="A523" s="11">
        <v>5919</v>
      </c>
      <c r="B523" s="11" t="s">
        <v>1160</v>
      </c>
      <c r="C523" s="12">
        <v>3</v>
      </c>
      <c r="D523" s="13">
        <v>643.56</v>
      </c>
      <c r="E523" s="12"/>
      <c r="F523" s="13"/>
    </row>
    <row r="524" ht="16.5" customHeight="1" spans="1:6">
      <c r="A524" s="11">
        <v>3575</v>
      </c>
      <c r="B524" s="11" t="s">
        <v>1161</v>
      </c>
      <c r="C524" s="12">
        <v>1</v>
      </c>
      <c r="D524" s="13">
        <v>147.2</v>
      </c>
      <c r="E524" s="12"/>
      <c r="F524" s="13"/>
    </row>
    <row r="525" ht="16.5" customHeight="1" spans="1:6">
      <c r="A525" s="11">
        <v>3031</v>
      </c>
      <c r="B525" s="11" t="s">
        <v>1162</v>
      </c>
      <c r="C525" s="12">
        <v>3</v>
      </c>
      <c r="D525" s="13">
        <v>406.56</v>
      </c>
      <c r="E525" s="12"/>
      <c r="F525" s="13"/>
    </row>
    <row r="526" ht="16.5" customHeight="1" spans="1:6">
      <c r="A526" s="11">
        <v>5208</v>
      </c>
      <c r="B526" s="11" t="s">
        <v>1163</v>
      </c>
      <c r="C526" s="12">
        <v>0</v>
      </c>
      <c r="D526" s="13">
        <v>0</v>
      </c>
      <c r="E526" s="12"/>
      <c r="F526" s="13"/>
    </row>
    <row r="527" ht="16.5" customHeight="1" spans="1:6">
      <c r="A527" s="11">
        <v>3238</v>
      </c>
      <c r="B527" s="11" t="s">
        <v>1164</v>
      </c>
      <c r="C527" s="12">
        <v>1</v>
      </c>
      <c r="D527" s="13">
        <v>178.32</v>
      </c>
      <c r="E527" s="12"/>
      <c r="F527" s="13"/>
    </row>
    <row r="528" ht="16.5" customHeight="1" spans="1:6">
      <c r="A528" s="11">
        <v>2834</v>
      </c>
      <c r="B528" s="11" t="s">
        <v>1165</v>
      </c>
      <c r="C528" s="12">
        <v>9</v>
      </c>
      <c r="D528" s="13">
        <v>866.15</v>
      </c>
      <c r="E528" s="12"/>
      <c r="F528" s="13"/>
    </row>
    <row r="529" ht="16.5" customHeight="1" spans="1:6">
      <c r="A529" s="11">
        <v>3708</v>
      </c>
      <c r="B529" s="11" t="s">
        <v>1166</v>
      </c>
      <c r="C529" s="12">
        <v>5</v>
      </c>
      <c r="D529" s="13">
        <v>925.08</v>
      </c>
      <c r="E529" s="12"/>
      <c r="F529" s="13"/>
    </row>
    <row r="530" ht="16.5" customHeight="1" spans="1:6">
      <c r="A530" s="11">
        <v>3512</v>
      </c>
      <c r="B530" s="11" t="s">
        <v>1167</v>
      </c>
      <c r="C530" s="12">
        <v>3</v>
      </c>
      <c r="D530" s="13">
        <v>680.34</v>
      </c>
      <c r="E530" s="12"/>
      <c r="F530" s="13"/>
    </row>
    <row r="531" ht="16.5" customHeight="1" spans="1:6">
      <c r="A531" s="11">
        <v>3796</v>
      </c>
      <c r="B531" s="11" t="s">
        <v>1168</v>
      </c>
      <c r="C531" s="12">
        <v>2</v>
      </c>
      <c r="D531" s="13">
        <v>418.31</v>
      </c>
      <c r="E531" s="12"/>
      <c r="F531" s="13"/>
    </row>
    <row r="532" ht="16.5" customHeight="1" spans="1:6">
      <c r="A532" s="11">
        <v>3534</v>
      </c>
      <c r="B532" s="11" t="s">
        <v>1169</v>
      </c>
      <c r="C532" s="12">
        <v>4</v>
      </c>
      <c r="D532" s="13">
        <v>757.74</v>
      </c>
      <c r="E532" s="12"/>
      <c r="F532" s="13"/>
    </row>
    <row r="533" ht="16.5" customHeight="1" spans="1:6">
      <c r="A533" s="11">
        <v>3535</v>
      </c>
      <c r="B533" s="11" t="s">
        <v>1170</v>
      </c>
      <c r="C533" s="12">
        <v>1</v>
      </c>
      <c r="D533" s="13">
        <v>207.23</v>
      </c>
      <c r="E533" s="12"/>
      <c r="F533" s="13"/>
    </row>
    <row r="534" ht="16.5" customHeight="1" spans="1:6">
      <c r="A534" s="11">
        <v>2851</v>
      </c>
      <c r="B534" s="11" t="s">
        <v>1171</v>
      </c>
      <c r="C534" s="12">
        <v>1</v>
      </c>
      <c r="D534" s="13">
        <v>105.23</v>
      </c>
      <c r="E534" s="12"/>
      <c r="F534" s="13"/>
    </row>
    <row r="535" ht="16.5" customHeight="1" spans="1:6">
      <c r="A535" s="11">
        <v>3536</v>
      </c>
      <c r="B535" s="11" t="s">
        <v>1172</v>
      </c>
      <c r="C535" s="12">
        <v>1</v>
      </c>
      <c r="D535" s="13">
        <v>240.31</v>
      </c>
      <c r="E535" s="12"/>
      <c r="F535" s="13"/>
    </row>
    <row r="536" ht="16.5" customHeight="1" spans="1:6">
      <c r="A536" s="11">
        <v>1405</v>
      </c>
      <c r="B536" s="11" t="s">
        <v>1173</v>
      </c>
      <c r="C536" s="12">
        <v>2</v>
      </c>
      <c r="D536" s="13">
        <v>357.76</v>
      </c>
      <c r="E536" s="12"/>
      <c r="F536" s="13"/>
    </row>
    <row r="537" ht="16.5" customHeight="1" spans="1:6">
      <c r="A537" s="11">
        <v>3262</v>
      </c>
      <c r="B537" s="11" t="s">
        <v>1174</v>
      </c>
      <c r="C537" s="12">
        <v>14</v>
      </c>
      <c r="D537" s="13">
        <v>2047.94</v>
      </c>
      <c r="E537" s="12"/>
      <c r="F537" s="13"/>
    </row>
    <row r="538" ht="16.5" customHeight="1" spans="1:6">
      <c r="A538" s="11">
        <v>1406</v>
      </c>
      <c r="B538" s="11" t="s">
        <v>1175</v>
      </c>
      <c r="C538" s="12">
        <v>2</v>
      </c>
      <c r="D538" s="13">
        <v>282.55</v>
      </c>
      <c r="E538" s="12"/>
      <c r="F538" s="13"/>
    </row>
    <row r="539" ht="16.5" customHeight="1" spans="1:6">
      <c r="A539" s="11">
        <v>3776</v>
      </c>
      <c r="B539" s="11" t="s">
        <v>1176</v>
      </c>
      <c r="C539" s="12">
        <v>4</v>
      </c>
      <c r="D539" s="13">
        <v>424.66</v>
      </c>
      <c r="E539" s="12"/>
      <c r="F539" s="13"/>
    </row>
    <row r="540" ht="16.5" customHeight="1" spans="1:6">
      <c r="A540" s="11">
        <v>4491</v>
      </c>
      <c r="B540" s="11" t="s">
        <v>1177</v>
      </c>
      <c r="C540" s="12">
        <v>4</v>
      </c>
      <c r="D540" s="13">
        <v>595.28</v>
      </c>
      <c r="E540" s="12"/>
      <c r="F540" s="13"/>
    </row>
    <row r="541" ht="16.5" customHeight="1" spans="1:6">
      <c r="A541" s="11">
        <v>4537</v>
      </c>
      <c r="B541" s="11" t="s">
        <v>1178</v>
      </c>
      <c r="C541" s="12">
        <v>2</v>
      </c>
      <c r="D541" s="13">
        <v>348.07</v>
      </c>
      <c r="E541" s="12"/>
      <c r="F541" s="13"/>
    </row>
    <row r="542" ht="16.5" customHeight="1" spans="1:6">
      <c r="A542" s="11">
        <v>4120</v>
      </c>
      <c r="B542" s="11" t="s">
        <v>1179</v>
      </c>
      <c r="C542" s="12">
        <v>0</v>
      </c>
      <c r="D542" s="13">
        <v>0</v>
      </c>
      <c r="E542" s="12"/>
      <c r="F542" s="13"/>
    </row>
    <row r="543" ht="16.5" customHeight="1" spans="1:6">
      <c r="A543" s="11">
        <v>4647</v>
      </c>
      <c r="B543" s="11" t="s">
        <v>1180</v>
      </c>
      <c r="C543" s="12">
        <v>0</v>
      </c>
      <c r="D543" s="13">
        <v>0</v>
      </c>
      <c r="E543" s="12"/>
      <c r="F543" s="13"/>
    </row>
    <row r="544" ht="16.5" customHeight="1" spans="1:6">
      <c r="A544" s="11">
        <v>4324</v>
      </c>
      <c r="B544" s="11" t="s">
        <v>1181</v>
      </c>
      <c r="C544" s="12">
        <v>0</v>
      </c>
      <c r="D544" s="13">
        <v>0</v>
      </c>
      <c r="E544" s="12"/>
      <c r="F544" s="13"/>
    </row>
    <row r="545" ht="16.5" customHeight="1" spans="1:6">
      <c r="A545" s="11">
        <v>4323</v>
      </c>
      <c r="B545" s="11" t="s">
        <v>1182</v>
      </c>
      <c r="C545" s="12">
        <v>4</v>
      </c>
      <c r="D545" s="13">
        <v>861.92</v>
      </c>
      <c r="E545" s="12"/>
      <c r="F545" s="13"/>
    </row>
    <row r="546" ht="16.5" customHeight="1" spans="1:6">
      <c r="A546" s="11">
        <v>5012</v>
      </c>
      <c r="B546" s="11" t="s">
        <v>1183</v>
      </c>
      <c r="C546" s="12">
        <v>0</v>
      </c>
      <c r="D546" s="13">
        <v>0</v>
      </c>
      <c r="E546" s="12"/>
      <c r="F546" s="13"/>
    </row>
    <row r="547" ht="16.5" customHeight="1" spans="1:6">
      <c r="A547" s="11">
        <v>4812</v>
      </c>
      <c r="B547" s="11" t="s">
        <v>1184</v>
      </c>
      <c r="C547" s="12">
        <v>3</v>
      </c>
      <c r="D547" s="13">
        <v>555.12</v>
      </c>
      <c r="E547" s="12"/>
      <c r="F547" s="13"/>
    </row>
    <row r="548" ht="16.5" customHeight="1" spans="1:6">
      <c r="A548" s="11">
        <v>5122</v>
      </c>
      <c r="B548" s="11" t="s">
        <v>1185</v>
      </c>
      <c r="C548" s="12">
        <v>2</v>
      </c>
      <c r="D548" s="13">
        <v>476.32</v>
      </c>
      <c r="E548" s="12"/>
      <c r="F548" s="13"/>
    </row>
    <row r="549" ht="16.5" customHeight="1" spans="1:6">
      <c r="A549" s="11">
        <v>4325</v>
      </c>
      <c r="B549" s="11" t="s">
        <v>1186</v>
      </c>
      <c r="C549" s="12">
        <v>2</v>
      </c>
      <c r="D549" s="13">
        <v>417.7</v>
      </c>
      <c r="E549" s="12"/>
      <c r="F549" s="13"/>
    </row>
    <row r="550" ht="16.5" customHeight="1" spans="1:6">
      <c r="A550" s="11">
        <v>4543</v>
      </c>
      <c r="B550" s="11" t="s">
        <v>1187</v>
      </c>
      <c r="C550" s="12">
        <v>11</v>
      </c>
      <c r="D550" s="13">
        <v>1673.34</v>
      </c>
      <c r="E550" s="12"/>
      <c r="F550" s="13"/>
    </row>
    <row r="551" ht="16.5" customHeight="1" spans="1:6">
      <c r="A551" s="11">
        <v>4671</v>
      </c>
      <c r="B551" s="11" t="s">
        <v>1188</v>
      </c>
      <c r="C551" s="12">
        <v>0</v>
      </c>
      <c r="D551" s="13">
        <v>0</v>
      </c>
      <c r="E551" s="12"/>
      <c r="F551" s="13"/>
    </row>
    <row r="552" ht="16.5" customHeight="1" spans="1:6">
      <c r="A552" s="11">
        <v>5060</v>
      </c>
      <c r="B552" s="11" t="s">
        <v>1189</v>
      </c>
      <c r="C552" s="12">
        <v>1</v>
      </c>
      <c r="D552" s="13">
        <v>153.23</v>
      </c>
      <c r="E552" s="12"/>
      <c r="F552" s="13"/>
    </row>
    <row r="553" ht="16.5" customHeight="1" spans="1:6">
      <c r="A553" s="11">
        <v>5061</v>
      </c>
      <c r="B553" s="11" t="s">
        <v>1190</v>
      </c>
      <c r="C553" s="12">
        <v>2</v>
      </c>
      <c r="D553" s="13">
        <v>374.64</v>
      </c>
      <c r="E553" s="12"/>
      <c r="F553" s="13"/>
    </row>
    <row r="554" ht="16.5" customHeight="1" spans="1:6">
      <c r="A554" s="11">
        <v>4691</v>
      </c>
      <c r="B554" s="11" t="s">
        <v>1191</v>
      </c>
      <c r="C554" s="12">
        <v>5</v>
      </c>
      <c r="D554" s="13">
        <v>1264</v>
      </c>
      <c r="E554" s="12"/>
      <c r="F554" s="13"/>
    </row>
    <row r="555" ht="16.5" customHeight="1" spans="1:6">
      <c r="A555" s="11">
        <v>4692</v>
      </c>
      <c r="B555" s="11" t="s">
        <v>1192</v>
      </c>
      <c r="C555" s="12">
        <v>1</v>
      </c>
      <c r="D555" s="13">
        <v>299</v>
      </c>
      <c r="E555" s="12"/>
      <c r="F555" s="13"/>
    </row>
    <row r="556" ht="16.5" customHeight="1" spans="1:6">
      <c r="A556" s="11">
        <v>5096</v>
      </c>
      <c r="B556" s="11" t="s">
        <v>1193</v>
      </c>
      <c r="C556" s="12">
        <v>2</v>
      </c>
      <c r="D556" s="13">
        <v>610.16</v>
      </c>
      <c r="E556" s="12"/>
      <c r="F556" s="13"/>
    </row>
    <row r="557" ht="16.5" customHeight="1" spans="1:6">
      <c r="A557" s="11">
        <v>5611</v>
      </c>
      <c r="B557" s="11" t="s">
        <v>1194</v>
      </c>
      <c r="C557" s="12">
        <v>6</v>
      </c>
      <c r="D557" s="13">
        <v>73.94</v>
      </c>
      <c r="E557" s="12"/>
      <c r="F557" s="13"/>
    </row>
    <row r="558" ht="16.5" customHeight="1" spans="1:6">
      <c r="A558" s="11">
        <v>5125</v>
      </c>
      <c r="B558" s="11" t="s">
        <v>1195</v>
      </c>
      <c r="C558" s="12">
        <v>1</v>
      </c>
      <c r="D558" s="13">
        <v>155.42</v>
      </c>
      <c r="E558" s="12"/>
      <c r="F558" s="13"/>
    </row>
    <row r="559" ht="16.5" customHeight="1" spans="1:6">
      <c r="A559" s="11">
        <v>6906</v>
      </c>
      <c r="B559" s="11" t="s">
        <v>1196</v>
      </c>
      <c r="C559" s="12">
        <v>3</v>
      </c>
      <c r="D559" s="13">
        <v>951</v>
      </c>
      <c r="E559" s="12"/>
      <c r="F559" s="13"/>
    </row>
    <row r="560" ht="16.5" customHeight="1" spans="1:6">
      <c r="A560" s="11">
        <v>6907</v>
      </c>
      <c r="B560" s="11" t="s">
        <v>1197</v>
      </c>
      <c r="C560" s="12">
        <v>1</v>
      </c>
      <c r="D560" s="13">
        <v>324</v>
      </c>
      <c r="E560" s="12"/>
      <c r="F560" s="13"/>
    </row>
    <row r="561" ht="16.5" customHeight="1" spans="1:6">
      <c r="A561" s="11">
        <v>6872</v>
      </c>
      <c r="B561" s="11" t="s">
        <v>1198</v>
      </c>
      <c r="C561" s="12">
        <v>3</v>
      </c>
      <c r="D561" s="13">
        <v>588.48</v>
      </c>
      <c r="E561" s="12"/>
      <c r="F561" s="13"/>
    </row>
    <row r="562" ht="16.5" customHeight="1" spans="1:6">
      <c r="A562" s="11">
        <v>6873</v>
      </c>
      <c r="B562" s="11" t="s">
        <v>1199</v>
      </c>
      <c r="C562" s="12">
        <v>0</v>
      </c>
      <c r="D562" s="13">
        <v>0</v>
      </c>
      <c r="E562" s="12"/>
      <c r="F562" s="13"/>
    </row>
    <row r="563" ht="16.5" customHeight="1" spans="1:6">
      <c r="A563" s="11">
        <v>6908</v>
      </c>
      <c r="B563" s="11" t="s">
        <v>1200</v>
      </c>
      <c r="C563" s="12">
        <v>0</v>
      </c>
      <c r="D563" s="13">
        <v>0</v>
      </c>
      <c r="E563" s="12"/>
      <c r="F563" s="13"/>
    </row>
    <row r="564" ht="16.5" customHeight="1" spans="1:6">
      <c r="A564" s="11">
        <v>6909</v>
      </c>
      <c r="B564" s="11" t="s">
        <v>1201</v>
      </c>
      <c r="C564" s="12">
        <v>0</v>
      </c>
      <c r="D564" s="13">
        <v>0</v>
      </c>
      <c r="E564" s="12"/>
      <c r="F564" s="13"/>
    </row>
    <row r="565" ht="16.5" customHeight="1" spans="1:6">
      <c r="A565" s="11">
        <v>6910</v>
      </c>
      <c r="B565" s="11" t="s">
        <v>1202</v>
      </c>
      <c r="C565" s="12">
        <v>5</v>
      </c>
      <c r="D565" s="13">
        <v>1237.31</v>
      </c>
      <c r="E565" s="12"/>
      <c r="F565" s="13"/>
    </row>
    <row r="566" ht="16.5" customHeight="1" spans="1:6">
      <c r="A566" s="11">
        <v>6911</v>
      </c>
      <c r="B566" s="11" t="s">
        <v>1203</v>
      </c>
      <c r="C566" s="12">
        <v>0</v>
      </c>
      <c r="D566" s="13">
        <v>0</v>
      </c>
      <c r="E566" s="12"/>
      <c r="F566" s="13"/>
    </row>
    <row r="567" ht="16.5" customHeight="1" spans="1:6">
      <c r="A567" s="11">
        <v>6912</v>
      </c>
      <c r="B567" s="11" t="s">
        <v>1204</v>
      </c>
      <c r="C567" s="12">
        <v>2</v>
      </c>
      <c r="D567" s="13">
        <v>409.1</v>
      </c>
      <c r="E567" s="12"/>
      <c r="F567" s="13"/>
    </row>
    <row r="568" ht="16.5" customHeight="1" spans="1:6">
      <c r="A568" s="11">
        <v>6913</v>
      </c>
      <c r="B568" s="11" t="s">
        <v>1205</v>
      </c>
      <c r="C568" s="12">
        <v>1</v>
      </c>
      <c r="D568" s="13">
        <v>197.9</v>
      </c>
      <c r="E568" s="12"/>
      <c r="F568" s="13"/>
    </row>
    <row r="569" ht="16.5" customHeight="1" spans="1:6">
      <c r="A569" s="11">
        <v>6914</v>
      </c>
      <c r="B569" s="11" t="s">
        <v>1206</v>
      </c>
      <c r="C569" s="12">
        <v>1</v>
      </c>
      <c r="D569" s="13">
        <v>269.59</v>
      </c>
      <c r="E569" s="12"/>
      <c r="F569" s="13"/>
    </row>
    <row r="570" ht="16.5" customHeight="1" spans="1:6">
      <c r="A570" s="11">
        <v>6915</v>
      </c>
      <c r="B570" s="11" t="s">
        <v>1207</v>
      </c>
      <c r="C570" s="12">
        <v>1</v>
      </c>
      <c r="D570" s="13">
        <v>312.32</v>
      </c>
      <c r="E570" s="12"/>
      <c r="F570" s="13"/>
    </row>
    <row r="571" ht="16.5" customHeight="1" spans="1:6">
      <c r="A571" s="11">
        <v>7189</v>
      </c>
      <c r="B571" s="11" t="s">
        <v>1208</v>
      </c>
      <c r="C571" s="12">
        <v>1</v>
      </c>
      <c r="D571" s="13">
        <v>245</v>
      </c>
      <c r="E571" s="12"/>
      <c r="F571" s="13"/>
    </row>
    <row r="572" ht="16.5" customHeight="1" spans="1:6">
      <c r="A572" s="11">
        <v>7190</v>
      </c>
      <c r="B572" s="11" t="s">
        <v>1209</v>
      </c>
      <c r="C572" s="12">
        <v>1</v>
      </c>
      <c r="D572" s="13">
        <v>237.16</v>
      </c>
      <c r="E572" s="12"/>
      <c r="F572" s="13"/>
    </row>
    <row r="573" ht="16.5" customHeight="1" spans="1:6">
      <c r="A573" s="11">
        <v>7314</v>
      </c>
      <c r="B573" s="11" t="s">
        <v>1210</v>
      </c>
      <c r="C573" s="12">
        <v>0</v>
      </c>
      <c r="D573" s="13">
        <v>0</v>
      </c>
      <c r="E573" s="12"/>
      <c r="F573" s="13"/>
    </row>
    <row r="574" ht="16.5" customHeight="1" spans="1:6">
      <c r="A574" s="11">
        <v>7315</v>
      </c>
      <c r="B574" s="11" t="s">
        <v>1211</v>
      </c>
      <c r="C574" s="12">
        <v>2</v>
      </c>
      <c r="D574" s="13">
        <v>470.5</v>
      </c>
      <c r="E574" s="12"/>
      <c r="F574" s="13"/>
    </row>
    <row r="575" ht="16.5" customHeight="1" spans="1:6">
      <c r="A575" s="11">
        <v>7248</v>
      </c>
      <c r="B575" s="11" t="s">
        <v>1212</v>
      </c>
      <c r="C575" s="12">
        <v>7</v>
      </c>
      <c r="D575" s="13">
        <v>623</v>
      </c>
      <c r="E575" s="12"/>
      <c r="F575" s="13"/>
    </row>
    <row r="576" ht="16.5" customHeight="1" spans="1:6">
      <c r="A576" s="11">
        <v>7316</v>
      </c>
      <c r="B576" s="11" t="s">
        <v>1213</v>
      </c>
      <c r="C576" s="12">
        <v>0</v>
      </c>
      <c r="D576" s="13">
        <v>0</v>
      </c>
      <c r="E576" s="12"/>
      <c r="F576" s="13"/>
    </row>
    <row r="577" ht="16.5" customHeight="1" spans="1:6">
      <c r="A577" s="11">
        <v>7317</v>
      </c>
      <c r="B577" s="11" t="s">
        <v>1214</v>
      </c>
      <c r="C577" s="12">
        <v>0</v>
      </c>
      <c r="D577" s="13">
        <v>0</v>
      </c>
      <c r="E577" s="12"/>
      <c r="F577" s="13"/>
    </row>
    <row r="578" ht="16.5" customHeight="1" spans="1:6">
      <c r="A578" s="11">
        <v>7249</v>
      </c>
      <c r="B578" s="11" t="s">
        <v>1215</v>
      </c>
      <c r="C578" s="12">
        <v>8</v>
      </c>
      <c r="D578" s="13">
        <v>869.82</v>
      </c>
      <c r="E578" s="12"/>
      <c r="F578" s="13"/>
    </row>
    <row r="579" ht="16.5" customHeight="1" spans="1:6">
      <c r="A579" s="11">
        <v>7250</v>
      </c>
      <c r="B579" s="11" t="s">
        <v>1216</v>
      </c>
      <c r="C579" s="12">
        <v>7</v>
      </c>
      <c r="D579" s="13">
        <v>738</v>
      </c>
      <c r="E579" s="12"/>
      <c r="F579" s="13"/>
    </row>
    <row r="580" ht="16.5" customHeight="1" spans="1:6">
      <c r="A580" s="11">
        <v>7318</v>
      </c>
      <c r="B580" s="11" t="s">
        <v>1217</v>
      </c>
      <c r="C580" s="12">
        <v>3</v>
      </c>
      <c r="D580" s="13">
        <v>543.9</v>
      </c>
      <c r="E580" s="12"/>
      <c r="F580" s="13"/>
    </row>
    <row r="581" ht="16.5" customHeight="1" spans="1:6">
      <c r="A581" s="11">
        <v>7319</v>
      </c>
      <c r="B581" s="11" t="s">
        <v>1218</v>
      </c>
      <c r="C581" s="12">
        <v>0</v>
      </c>
      <c r="D581" s="13">
        <v>0</v>
      </c>
      <c r="E581" s="12"/>
      <c r="F581" s="13"/>
    </row>
    <row r="582" ht="16.5" customHeight="1" spans="1:6">
      <c r="A582" s="11">
        <v>7348</v>
      </c>
      <c r="B582" s="11" t="s">
        <v>1219</v>
      </c>
      <c r="C582" s="12">
        <v>0</v>
      </c>
      <c r="D582" s="13">
        <v>0</v>
      </c>
      <c r="E582" s="12"/>
      <c r="F582" s="13"/>
    </row>
    <row r="583" ht="16.5" customHeight="1" spans="1:6">
      <c r="A583" s="11">
        <v>7349</v>
      </c>
      <c r="B583" s="11" t="s">
        <v>1220</v>
      </c>
      <c r="C583" s="12">
        <v>0</v>
      </c>
      <c r="D583" s="13">
        <v>0</v>
      </c>
      <c r="E583" s="12"/>
      <c r="F583" s="13"/>
    </row>
    <row r="584" ht="16.5" customHeight="1" spans="1:6">
      <c r="A584" s="11">
        <v>7193</v>
      </c>
      <c r="B584" s="11" t="s">
        <v>1221</v>
      </c>
      <c r="C584" s="12">
        <v>0</v>
      </c>
      <c r="D584" s="13">
        <v>0</v>
      </c>
      <c r="E584" s="12"/>
      <c r="F584" s="13"/>
    </row>
    <row r="585" ht="16.5" customHeight="1" spans="1:6">
      <c r="A585" s="11">
        <v>7194</v>
      </c>
      <c r="B585" s="11" t="s">
        <v>1222</v>
      </c>
      <c r="C585" s="12">
        <v>3</v>
      </c>
      <c r="D585" s="13">
        <v>502.71</v>
      </c>
      <c r="E585" s="12"/>
      <c r="F585" s="13"/>
    </row>
    <row r="586" ht="16.5" customHeight="1" spans="1:6">
      <c r="A586" s="11">
        <v>7421</v>
      </c>
      <c r="B586" s="11" t="s">
        <v>1223</v>
      </c>
      <c r="C586" s="12">
        <v>0</v>
      </c>
      <c r="D586" s="13">
        <v>0</v>
      </c>
      <c r="E586" s="12"/>
      <c r="F586" s="13"/>
    </row>
    <row r="587" ht="16.5" customHeight="1" spans="1:6">
      <c r="A587" s="11">
        <v>7422</v>
      </c>
      <c r="B587" s="11" t="s">
        <v>1224</v>
      </c>
      <c r="C587" s="12">
        <v>0</v>
      </c>
      <c r="D587" s="13">
        <v>0</v>
      </c>
      <c r="E587" s="12"/>
      <c r="F587" s="13"/>
    </row>
    <row r="588" ht="16.5" customHeight="1" spans="1:6">
      <c r="A588" s="11">
        <v>7251</v>
      </c>
      <c r="B588" s="11" t="s">
        <v>1225</v>
      </c>
      <c r="C588" s="12">
        <v>0</v>
      </c>
      <c r="D588" s="13">
        <v>0</v>
      </c>
      <c r="E588" s="12"/>
      <c r="F588" s="13"/>
    </row>
    <row r="589" ht="16.5" customHeight="1" spans="1:6">
      <c r="A589" s="11">
        <v>7252</v>
      </c>
      <c r="B589" s="11" t="s">
        <v>1226</v>
      </c>
      <c r="C589" s="12">
        <v>3</v>
      </c>
      <c r="D589" s="13">
        <v>546.89</v>
      </c>
      <c r="E589" s="12"/>
      <c r="F589" s="13"/>
    </row>
    <row r="590" ht="16.5" customHeight="1" spans="1:6">
      <c r="A590" s="11">
        <v>7195</v>
      </c>
      <c r="B590" s="11" t="s">
        <v>1227</v>
      </c>
      <c r="C590" s="12">
        <v>0</v>
      </c>
      <c r="D590" s="13">
        <v>0</v>
      </c>
      <c r="E590" s="12"/>
      <c r="F590" s="13"/>
    </row>
    <row r="591" ht="16.5" customHeight="1" spans="1:6">
      <c r="A591" s="11">
        <v>7196</v>
      </c>
      <c r="B591" s="11" t="s">
        <v>1228</v>
      </c>
      <c r="C591" s="12">
        <v>0</v>
      </c>
      <c r="D591" s="13">
        <v>0</v>
      </c>
      <c r="E591" s="12"/>
      <c r="F591" s="13"/>
    </row>
    <row r="592" ht="16.5" customHeight="1" spans="1:6">
      <c r="A592" s="11">
        <v>8196</v>
      </c>
      <c r="B592" s="11" t="s">
        <v>1229</v>
      </c>
      <c r="C592" s="12">
        <v>0</v>
      </c>
      <c r="D592" s="13">
        <v>0</v>
      </c>
      <c r="E592" s="12"/>
      <c r="F592" s="13"/>
    </row>
    <row r="593" ht="16.5" customHeight="1" spans="1:6">
      <c r="A593" s="11">
        <v>8125</v>
      </c>
      <c r="B593" s="11" t="s">
        <v>1230</v>
      </c>
      <c r="C593" s="12">
        <v>3</v>
      </c>
      <c r="D593" s="13">
        <v>663</v>
      </c>
      <c r="E593" s="12"/>
      <c r="F593" s="13"/>
    </row>
    <row r="594" ht="16.5" customHeight="1" spans="1:6">
      <c r="A594" s="11">
        <v>8392</v>
      </c>
      <c r="B594" s="11" t="s">
        <v>1231</v>
      </c>
      <c r="C594" s="12">
        <v>4</v>
      </c>
      <c r="D594" s="13">
        <v>906</v>
      </c>
      <c r="E594" s="12"/>
      <c r="F594" s="13"/>
    </row>
    <row r="595" ht="33" customHeight="1" spans="1:6">
      <c r="A595" s="11">
        <v>8757</v>
      </c>
      <c r="B595" s="11" t="s">
        <v>1232</v>
      </c>
      <c r="C595" s="12">
        <v>1</v>
      </c>
      <c r="D595" s="13">
        <v>63.6</v>
      </c>
      <c r="E595" s="12"/>
      <c r="F595" s="13"/>
    </row>
    <row r="596" ht="33" customHeight="1" spans="1:6">
      <c r="A596" s="11">
        <v>8758</v>
      </c>
      <c r="B596" s="11" t="s">
        <v>1233</v>
      </c>
      <c r="C596" s="12">
        <v>1</v>
      </c>
      <c r="D596" s="13">
        <v>78</v>
      </c>
      <c r="E596" s="12"/>
      <c r="F596" s="13"/>
    </row>
    <row r="597" ht="33" customHeight="1" spans="1:6">
      <c r="A597" s="11">
        <v>8759</v>
      </c>
      <c r="B597" s="11" t="s">
        <v>1234</v>
      </c>
      <c r="C597" s="12">
        <v>1</v>
      </c>
      <c r="D597" s="13">
        <v>65.94</v>
      </c>
      <c r="E597" s="12"/>
      <c r="F597" s="13"/>
    </row>
    <row r="598" ht="33" customHeight="1" spans="1:6">
      <c r="A598" s="11">
        <v>8760</v>
      </c>
      <c r="B598" s="11" t="s">
        <v>1235</v>
      </c>
      <c r="C598" s="12">
        <v>4</v>
      </c>
      <c r="D598" s="13">
        <v>288.36</v>
      </c>
      <c r="E598" s="12"/>
      <c r="F598" s="13"/>
    </row>
    <row r="599" ht="16.5" customHeight="1" spans="1:6">
      <c r="A599" s="11">
        <v>9649</v>
      </c>
      <c r="B599" s="11" t="s">
        <v>1236</v>
      </c>
      <c r="C599" s="12">
        <v>8</v>
      </c>
      <c r="D599" s="13">
        <v>497.42</v>
      </c>
      <c r="E599" s="12"/>
      <c r="F599" s="13"/>
    </row>
    <row r="600" ht="16.5" customHeight="1" spans="1:6">
      <c r="A600" s="11">
        <v>9650</v>
      </c>
      <c r="B600" s="11" t="s">
        <v>1237</v>
      </c>
      <c r="C600" s="12">
        <v>8</v>
      </c>
      <c r="D600" s="13">
        <v>500.32</v>
      </c>
      <c r="E600" s="12"/>
      <c r="F600" s="13"/>
    </row>
    <row r="601" ht="16.5" customHeight="1" spans="1:6">
      <c r="A601" s="11">
        <v>9165</v>
      </c>
      <c r="B601" s="11" t="s">
        <v>1238</v>
      </c>
      <c r="C601" s="12">
        <v>0</v>
      </c>
      <c r="D601" s="13">
        <v>0</v>
      </c>
      <c r="E601" s="12"/>
      <c r="F601" s="13"/>
    </row>
    <row r="602" ht="16.5" customHeight="1" spans="1:6">
      <c r="A602" s="11">
        <v>9121</v>
      </c>
      <c r="B602" s="11" t="s">
        <v>1239</v>
      </c>
      <c r="C602" s="12">
        <v>1</v>
      </c>
      <c r="D602" s="13">
        <v>58.9</v>
      </c>
      <c r="E602" s="12"/>
      <c r="F602" s="13"/>
    </row>
    <row r="603" ht="16.5" customHeight="1" spans="1:6">
      <c r="A603" s="11">
        <v>9901</v>
      </c>
      <c r="B603" s="11" t="s">
        <v>1240</v>
      </c>
      <c r="C603" s="12">
        <v>3</v>
      </c>
      <c r="D603" s="13">
        <v>317.18</v>
      </c>
      <c r="E603" s="12"/>
      <c r="F603" s="13"/>
    </row>
    <row r="604" ht="16.5" customHeight="1" spans="1:6">
      <c r="A604" s="11">
        <v>9895</v>
      </c>
      <c r="B604" s="11" t="s">
        <v>1241</v>
      </c>
      <c r="C604" s="12">
        <v>2</v>
      </c>
      <c r="D604" s="13">
        <v>214</v>
      </c>
      <c r="E604" s="12"/>
      <c r="F604" s="13"/>
    </row>
    <row r="605" ht="16.5" customHeight="1" spans="1:6">
      <c r="A605" s="11">
        <v>8116</v>
      </c>
      <c r="B605" s="11" t="s">
        <v>1242</v>
      </c>
      <c r="C605" s="12">
        <v>3</v>
      </c>
      <c r="D605" s="13">
        <v>248</v>
      </c>
      <c r="E605" s="12"/>
      <c r="F605" s="13"/>
    </row>
    <row r="606" ht="33" customHeight="1" spans="1:6">
      <c r="A606" s="11">
        <v>8727</v>
      </c>
      <c r="B606" s="11" t="s">
        <v>1243</v>
      </c>
      <c r="C606" s="12">
        <v>1</v>
      </c>
      <c r="D606" s="13">
        <v>107</v>
      </c>
      <c r="E606" s="12"/>
      <c r="F606" s="13"/>
    </row>
    <row r="607" ht="16.5" customHeight="1" spans="1:6">
      <c r="A607" s="11">
        <v>8845</v>
      </c>
      <c r="B607" s="11" t="s">
        <v>1244</v>
      </c>
      <c r="C607" s="12">
        <v>3</v>
      </c>
      <c r="D607" s="13">
        <v>316.35</v>
      </c>
      <c r="E607" s="12"/>
      <c r="F607" s="13"/>
    </row>
    <row r="608" ht="16.5" customHeight="1" spans="1:6">
      <c r="A608" s="11">
        <v>9513</v>
      </c>
      <c r="B608" s="11" t="s">
        <v>1245</v>
      </c>
      <c r="C608" s="12">
        <v>8</v>
      </c>
      <c r="D608" s="13">
        <v>1444.4</v>
      </c>
      <c r="E608" s="12"/>
      <c r="F608" s="13"/>
    </row>
    <row r="609" ht="16.5" customHeight="1" spans="1:6">
      <c r="A609" s="11">
        <v>9625</v>
      </c>
      <c r="B609" s="11" t="s">
        <v>1246</v>
      </c>
      <c r="C609" s="12">
        <v>0</v>
      </c>
      <c r="D609" s="13">
        <v>0</v>
      </c>
      <c r="E609" s="12"/>
      <c r="F609" s="13"/>
    </row>
    <row r="610" ht="16.5" customHeight="1" spans="1:6">
      <c r="A610" s="11">
        <v>8847</v>
      </c>
      <c r="B610" s="11" t="s">
        <v>1247</v>
      </c>
      <c r="C610" s="12">
        <v>4</v>
      </c>
      <c r="D610" s="13">
        <v>402</v>
      </c>
      <c r="E610" s="12"/>
      <c r="F610" s="13"/>
    </row>
    <row r="611" ht="16.5" customHeight="1" spans="1:6">
      <c r="A611" s="11">
        <v>8848</v>
      </c>
      <c r="B611" s="11" t="s">
        <v>1248</v>
      </c>
      <c r="C611" s="12">
        <v>1</v>
      </c>
      <c r="D611" s="13">
        <v>89</v>
      </c>
      <c r="E611" s="12"/>
      <c r="F611" s="13"/>
    </row>
    <row r="612" ht="16.5" customHeight="1" spans="1:6">
      <c r="A612" s="11">
        <v>9514</v>
      </c>
      <c r="B612" s="11" t="s">
        <v>1249</v>
      </c>
      <c r="C612" s="12">
        <v>1</v>
      </c>
      <c r="D612" s="13">
        <v>143.28</v>
      </c>
      <c r="E612" s="12"/>
      <c r="F612" s="13"/>
    </row>
    <row r="613" ht="16.5" customHeight="1" spans="1:6">
      <c r="A613" s="11">
        <v>8437</v>
      </c>
      <c r="B613" s="11" t="s">
        <v>1250</v>
      </c>
      <c r="C613" s="12">
        <v>4</v>
      </c>
      <c r="D613" s="13">
        <v>225.06</v>
      </c>
      <c r="E613" s="12"/>
      <c r="F613" s="13"/>
    </row>
    <row r="614" ht="16.5" customHeight="1" spans="1:6">
      <c r="A614" s="11">
        <v>8766</v>
      </c>
      <c r="B614" s="11" t="s">
        <v>1251</v>
      </c>
      <c r="C614" s="12">
        <v>4</v>
      </c>
      <c r="D614" s="13">
        <v>338</v>
      </c>
      <c r="E614" s="12"/>
      <c r="F614" s="13"/>
    </row>
    <row r="615" ht="16.5" customHeight="1" spans="1:6">
      <c r="A615" s="11">
        <v>8767</v>
      </c>
      <c r="B615" s="11" t="s">
        <v>1252</v>
      </c>
      <c r="C615" s="12">
        <v>2</v>
      </c>
      <c r="D615" s="13">
        <v>168</v>
      </c>
      <c r="E615" s="12"/>
      <c r="F615" s="13"/>
    </row>
    <row r="616" ht="16.5" customHeight="1" spans="1:6">
      <c r="A616" s="11">
        <v>8768</v>
      </c>
      <c r="B616" s="11" t="s">
        <v>1253</v>
      </c>
      <c r="C616" s="12">
        <v>0</v>
      </c>
      <c r="D616" s="13">
        <v>0</v>
      </c>
      <c r="E616" s="12"/>
      <c r="F616" s="13"/>
    </row>
    <row r="617" ht="16.5" customHeight="1" spans="1:6">
      <c r="A617" s="11">
        <v>8769</v>
      </c>
      <c r="B617" s="11" t="s">
        <v>1254</v>
      </c>
      <c r="C617" s="12">
        <v>1</v>
      </c>
      <c r="D617" s="13">
        <v>218.9</v>
      </c>
      <c r="E617" s="12"/>
      <c r="F617" s="13"/>
    </row>
    <row r="618" ht="16.5" customHeight="1" spans="1:6">
      <c r="A618" s="11">
        <v>8697</v>
      </c>
      <c r="B618" s="11" t="s">
        <v>1255</v>
      </c>
      <c r="C618" s="12">
        <v>1</v>
      </c>
      <c r="D618" s="13">
        <v>92.27</v>
      </c>
      <c r="E618" s="12"/>
      <c r="F618" s="13"/>
    </row>
    <row r="619" ht="16.5" customHeight="1" spans="1:6">
      <c r="A619" s="11">
        <v>8849</v>
      </c>
      <c r="B619" s="11" t="s">
        <v>1256</v>
      </c>
      <c r="C619" s="12">
        <v>1</v>
      </c>
      <c r="D619" s="13">
        <v>109</v>
      </c>
      <c r="E619" s="12"/>
      <c r="F619" s="13"/>
    </row>
    <row r="620" ht="16.5" customHeight="1" spans="1:6">
      <c r="A620" s="11">
        <v>8850</v>
      </c>
      <c r="B620" s="11" t="s">
        <v>1257</v>
      </c>
      <c r="C620" s="12">
        <v>3</v>
      </c>
      <c r="D620" s="13">
        <v>315</v>
      </c>
      <c r="E620" s="12"/>
      <c r="F620" s="13"/>
    </row>
    <row r="621" ht="16.5" customHeight="1" spans="1:6">
      <c r="A621" s="11">
        <v>8851</v>
      </c>
      <c r="B621" s="11" t="s">
        <v>1258</v>
      </c>
      <c r="C621" s="12">
        <v>2</v>
      </c>
      <c r="D621" s="13">
        <v>189.59</v>
      </c>
      <c r="E621" s="12"/>
      <c r="F621" s="13"/>
    </row>
    <row r="622" ht="16.5" customHeight="1" spans="1:6">
      <c r="A622" s="11">
        <v>8852</v>
      </c>
      <c r="B622" s="11" t="s">
        <v>1259</v>
      </c>
      <c r="C622" s="12">
        <v>2</v>
      </c>
      <c r="D622" s="13">
        <v>176.52</v>
      </c>
      <c r="E622" s="12"/>
      <c r="F622" s="13"/>
    </row>
    <row r="623" ht="16.5" customHeight="1" spans="1:6">
      <c r="A623" s="11">
        <v>9287</v>
      </c>
      <c r="B623" s="11" t="s">
        <v>1260</v>
      </c>
      <c r="C623" s="12">
        <v>0</v>
      </c>
      <c r="D623" s="13">
        <v>0</v>
      </c>
      <c r="E623" s="12"/>
      <c r="F623" s="13"/>
    </row>
    <row r="624" ht="16.5" customHeight="1" spans="1:6">
      <c r="A624" s="11">
        <v>9288</v>
      </c>
      <c r="B624" s="11" t="s">
        <v>1261</v>
      </c>
      <c r="C624" s="12">
        <v>0</v>
      </c>
      <c r="D624" s="13">
        <v>0</v>
      </c>
      <c r="E624" s="12"/>
      <c r="F624" s="13"/>
    </row>
    <row r="625" ht="16.5" customHeight="1" spans="1:6">
      <c r="A625" s="11">
        <v>9123</v>
      </c>
      <c r="B625" s="11" t="s">
        <v>1262</v>
      </c>
      <c r="C625" s="12">
        <v>0</v>
      </c>
      <c r="D625" s="13">
        <v>0</v>
      </c>
      <c r="E625" s="12"/>
      <c r="F625" s="13"/>
    </row>
    <row r="626" ht="16.5" customHeight="1" spans="1:6">
      <c r="A626" s="11">
        <v>8616</v>
      </c>
      <c r="B626" s="11" t="s">
        <v>1263</v>
      </c>
      <c r="C626" s="12">
        <v>4</v>
      </c>
      <c r="D626" s="13">
        <v>318.4</v>
      </c>
      <c r="E626" s="12"/>
      <c r="F626" s="13"/>
    </row>
    <row r="627" ht="16.5" customHeight="1" spans="1:6">
      <c r="A627" s="11">
        <v>8617</v>
      </c>
      <c r="B627" s="11" t="s">
        <v>1264</v>
      </c>
      <c r="C627" s="12">
        <v>0</v>
      </c>
      <c r="D627" s="13">
        <v>0</v>
      </c>
      <c r="E627" s="12"/>
      <c r="F627" s="13"/>
    </row>
    <row r="628" ht="16.5" customHeight="1" spans="1:6">
      <c r="A628" s="11">
        <v>8770</v>
      </c>
      <c r="B628" s="11" t="s">
        <v>1265</v>
      </c>
      <c r="C628" s="12">
        <v>0</v>
      </c>
      <c r="D628" s="13">
        <v>0</v>
      </c>
      <c r="E628" s="12"/>
      <c r="F628" s="13"/>
    </row>
    <row r="629" ht="16.5" customHeight="1" spans="1:6">
      <c r="A629" s="11">
        <v>8771</v>
      </c>
      <c r="B629" s="11" t="s">
        <v>1266</v>
      </c>
      <c r="C629" s="12">
        <v>1</v>
      </c>
      <c r="D629" s="13">
        <v>62.57</v>
      </c>
      <c r="E629" s="12"/>
      <c r="F629" s="13"/>
    </row>
    <row r="630" ht="16.5" customHeight="1" spans="1:6">
      <c r="A630" s="11">
        <v>9812</v>
      </c>
      <c r="B630" s="11" t="s">
        <v>1267</v>
      </c>
      <c r="C630" s="12">
        <v>1</v>
      </c>
      <c r="D630" s="13">
        <v>176</v>
      </c>
      <c r="E630" s="12"/>
      <c r="F630" s="13"/>
    </row>
    <row r="631" ht="16.5" customHeight="1" spans="1:6">
      <c r="A631" s="11">
        <v>8772</v>
      </c>
      <c r="B631" s="11" t="s">
        <v>1268</v>
      </c>
      <c r="C631" s="12">
        <v>1</v>
      </c>
      <c r="D631" s="13">
        <v>71.4</v>
      </c>
      <c r="E631" s="12"/>
      <c r="F631" s="13"/>
    </row>
    <row r="632" ht="16.5" customHeight="1" spans="1:6">
      <c r="A632" s="11">
        <v>9088</v>
      </c>
      <c r="B632" s="11" t="s">
        <v>1269</v>
      </c>
      <c r="C632" s="12">
        <v>1</v>
      </c>
      <c r="D632" s="13">
        <v>60.45</v>
      </c>
      <c r="E632" s="12"/>
      <c r="F632" s="13"/>
    </row>
    <row r="633" ht="16.5" customHeight="1" spans="1:6">
      <c r="A633" s="11">
        <v>9089</v>
      </c>
      <c r="B633" s="11" t="s">
        <v>1270</v>
      </c>
      <c r="C633" s="12">
        <v>1</v>
      </c>
      <c r="D633" s="13">
        <v>68</v>
      </c>
      <c r="E633" s="12"/>
      <c r="F633" s="13"/>
    </row>
    <row r="634" ht="16.5" customHeight="1" spans="1:6">
      <c r="A634" s="11">
        <v>9045</v>
      </c>
      <c r="B634" s="11" t="s">
        <v>1271</v>
      </c>
      <c r="C634" s="12">
        <v>3</v>
      </c>
      <c r="D634" s="13">
        <v>209.4</v>
      </c>
      <c r="E634" s="12"/>
      <c r="F634" s="13"/>
    </row>
    <row r="635" ht="16.5" customHeight="1" spans="1:6">
      <c r="A635" s="11">
        <v>9046</v>
      </c>
      <c r="B635" s="11" t="s">
        <v>1272</v>
      </c>
      <c r="C635" s="12">
        <v>0</v>
      </c>
      <c r="D635" s="13">
        <v>0</v>
      </c>
      <c r="E635" s="12"/>
      <c r="F635" s="13"/>
    </row>
    <row r="636" ht="16.5" customHeight="1" spans="1:6">
      <c r="A636" s="11">
        <v>9515</v>
      </c>
      <c r="B636" s="11" t="s">
        <v>1273</v>
      </c>
      <c r="C636" s="12">
        <v>4</v>
      </c>
      <c r="D636" s="13">
        <v>260</v>
      </c>
      <c r="E636" s="12"/>
      <c r="F636" s="13"/>
    </row>
    <row r="637" ht="16.5" customHeight="1" spans="1:6">
      <c r="A637" s="11">
        <v>9516</v>
      </c>
      <c r="B637" s="11" t="s">
        <v>1274</v>
      </c>
      <c r="C637" s="12">
        <v>4</v>
      </c>
      <c r="D637" s="13">
        <v>273</v>
      </c>
      <c r="E637" s="12"/>
      <c r="F637" s="13"/>
    </row>
    <row r="638" ht="16.5" customHeight="1" spans="1:6">
      <c r="A638" s="11">
        <v>8618</v>
      </c>
      <c r="B638" s="11" t="s">
        <v>1275</v>
      </c>
      <c r="C638" s="12">
        <v>2</v>
      </c>
      <c r="D638" s="13">
        <v>116.46</v>
      </c>
      <c r="E638" s="12"/>
      <c r="F638" s="13"/>
    </row>
    <row r="639" ht="16.5" customHeight="1" spans="1:6">
      <c r="A639" s="11">
        <v>9517</v>
      </c>
      <c r="B639" s="11" t="s">
        <v>1276</v>
      </c>
      <c r="C639" s="12">
        <v>3</v>
      </c>
      <c r="D639" s="13">
        <v>207</v>
      </c>
      <c r="E639" s="12"/>
      <c r="F639" s="13"/>
    </row>
    <row r="640" ht="16.5" customHeight="1" spans="1:6">
      <c r="A640" s="11">
        <v>9518</v>
      </c>
      <c r="B640" s="11" t="s">
        <v>1277</v>
      </c>
      <c r="C640" s="12">
        <v>1</v>
      </c>
      <c r="D640" s="13">
        <v>72.45</v>
      </c>
      <c r="E640" s="12"/>
      <c r="F640" s="13"/>
    </row>
    <row r="641" ht="16.5" customHeight="1" spans="1:6">
      <c r="A641" s="11">
        <v>8775</v>
      </c>
      <c r="B641" s="11" t="s">
        <v>1278</v>
      </c>
      <c r="C641" s="12">
        <v>0</v>
      </c>
      <c r="D641" s="13">
        <v>0</v>
      </c>
      <c r="E641" s="12"/>
      <c r="F641" s="13"/>
    </row>
    <row r="642" ht="16.5" customHeight="1" spans="1:6">
      <c r="A642" s="11">
        <v>9282</v>
      </c>
      <c r="B642" s="11" t="s">
        <v>1279</v>
      </c>
      <c r="C642" s="12">
        <v>1</v>
      </c>
      <c r="D642" s="13">
        <v>119.99</v>
      </c>
      <c r="E642" s="12"/>
      <c r="F642" s="13"/>
    </row>
    <row r="643" ht="16.5" customHeight="1" spans="1:6">
      <c r="A643" s="11">
        <v>9311</v>
      </c>
      <c r="B643" s="11" t="s">
        <v>1280</v>
      </c>
      <c r="C643" s="12">
        <v>3</v>
      </c>
      <c r="D643" s="13">
        <v>364.56</v>
      </c>
      <c r="E643" s="12"/>
      <c r="F643" s="13"/>
    </row>
    <row r="644" ht="16.5" customHeight="1" spans="1:6">
      <c r="A644" s="11">
        <v>8620</v>
      </c>
      <c r="B644" s="11" t="s">
        <v>1281</v>
      </c>
      <c r="C644" s="12">
        <v>1</v>
      </c>
      <c r="D644" s="13">
        <v>61.11</v>
      </c>
      <c r="E644" s="12"/>
      <c r="F644" s="13"/>
    </row>
    <row r="645" ht="16.5" customHeight="1" spans="1:6">
      <c r="A645" s="11">
        <v>8621</v>
      </c>
      <c r="B645" s="11" t="s">
        <v>1282</v>
      </c>
      <c r="C645" s="12">
        <v>0</v>
      </c>
      <c r="D645" s="13">
        <v>0</v>
      </c>
      <c r="E645" s="12"/>
      <c r="F645" s="13"/>
    </row>
    <row r="646" ht="16.5" customHeight="1" spans="1:6">
      <c r="A646" s="11">
        <v>8999</v>
      </c>
      <c r="B646" s="11" t="s">
        <v>1283</v>
      </c>
      <c r="C646" s="12">
        <v>0</v>
      </c>
      <c r="D646" s="13">
        <v>0</v>
      </c>
      <c r="E646" s="12"/>
      <c r="F646" s="13"/>
    </row>
    <row r="647" ht="16.5" customHeight="1" spans="1:6">
      <c r="A647" s="11">
        <v>9771</v>
      </c>
      <c r="B647" s="11" t="s">
        <v>1284</v>
      </c>
      <c r="C647" s="12">
        <v>1</v>
      </c>
      <c r="D647" s="13">
        <v>76.8</v>
      </c>
      <c r="E647" s="12"/>
      <c r="F647" s="13"/>
    </row>
    <row r="648" ht="16.5" customHeight="1" spans="1:6">
      <c r="A648" s="11">
        <v>9805</v>
      </c>
      <c r="B648" s="11" t="s">
        <v>1285</v>
      </c>
      <c r="C648" s="12">
        <v>1</v>
      </c>
      <c r="D648" s="13">
        <v>68.5</v>
      </c>
      <c r="E648" s="12"/>
      <c r="F648" s="13"/>
    </row>
    <row r="649" ht="16.5" customHeight="1" spans="1:6">
      <c r="A649" s="11">
        <v>8622</v>
      </c>
      <c r="B649" s="11" t="s">
        <v>1286</v>
      </c>
      <c r="C649" s="12">
        <v>0</v>
      </c>
      <c r="D649" s="13">
        <v>0</v>
      </c>
      <c r="E649" s="12"/>
      <c r="F649" s="13"/>
    </row>
    <row r="650" ht="16.5" customHeight="1" spans="1:6">
      <c r="A650" s="11">
        <v>9049</v>
      </c>
      <c r="B650" s="11" t="s">
        <v>1287</v>
      </c>
      <c r="C650" s="12">
        <v>1</v>
      </c>
      <c r="D650" s="13">
        <v>56</v>
      </c>
      <c r="E650" s="12"/>
      <c r="F650" s="13"/>
    </row>
    <row r="651" ht="16.5" customHeight="1" spans="1:6">
      <c r="A651" s="11">
        <v>9289</v>
      </c>
      <c r="B651" s="11" t="s">
        <v>1288</v>
      </c>
      <c r="C651" s="12">
        <v>1</v>
      </c>
      <c r="D651" s="13">
        <v>63.44</v>
      </c>
      <c r="E651" s="12"/>
      <c r="F651" s="13"/>
    </row>
    <row r="652" ht="16.5" customHeight="1" spans="1:6">
      <c r="A652" s="11">
        <v>9290</v>
      </c>
      <c r="B652" s="11" t="s">
        <v>1289</v>
      </c>
      <c r="C652" s="12">
        <v>3</v>
      </c>
      <c r="D652" s="13">
        <v>202.47</v>
      </c>
      <c r="E652" s="12"/>
      <c r="F652" s="13"/>
    </row>
    <row r="653" ht="16.5" customHeight="1" spans="1:6">
      <c r="A653" s="11">
        <v>8550</v>
      </c>
      <c r="B653" s="11" t="s">
        <v>1290</v>
      </c>
      <c r="C653" s="12">
        <v>2</v>
      </c>
      <c r="D653" s="13">
        <v>157.39</v>
      </c>
      <c r="E653" s="12"/>
      <c r="F653" s="13"/>
    </row>
    <row r="654" ht="16.5" customHeight="1" spans="1:6">
      <c r="A654" s="11">
        <v>8551</v>
      </c>
      <c r="B654" s="11" t="s">
        <v>1291</v>
      </c>
      <c r="C654" s="12">
        <v>3</v>
      </c>
      <c r="D654" s="13">
        <v>218.5</v>
      </c>
      <c r="E654" s="12"/>
      <c r="F654" s="13"/>
    </row>
    <row r="655" ht="16.5" customHeight="1" spans="1:6">
      <c r="A655" s="11">
        <v>9626</v>
      </c>
      <c r="B655" s="11" t="s">
        <v>1292</v>
      </c>
      <c r="C655" s="12">
        <v>0</v>
      </c>
      <c r="D655" s="13">
        <v>0</v>
      </c>
      <c r="E655" s="12"/>
      <c r="F655" s="13"/>
    </row>
    <row r="656" ht="16.5" customHeight="1" spans="1:6">
      <c r="A656" s="11">
        <v>9904</v>
      </c>
      <c r="B656" s="11" t="s">
        <v>1293</v>
      </c>
      <c r="C656" s="12">
        <v>0</v>
      </c>
      <c r="D656" s="13">
        <v>0</v>
      </c>
      <c r="E656" s="12"/>
      <c r="F656" s="13"/>
    </row>
    <row r="657" ht="16.5" customHeight="1" spans="1:6">
      <c r="A657" s="11">
        <v>8780</v>
      </c>
      <c r="B657" s="11" t="s">
        <v>1294</v>
      </c>
      <c r="C657" s="12">
        <v>1</v>
      </c>
      <c r="D657" s="13">
        <v>76.48</v>
      </c>
      <c r="E657" s="12"/>
      <c r="F657" s="13"/>
    </row>
    <row r="658" ht="16.5" customHeight="1" spans="1:6">
      <c r="A658" s="11">
        <v>8728</v>
      </c>
      <c r="B658" s="11" t="s">
        <v>1295</v>
      </c>
      <c r="C658" s="12">
        <v>1</v>
      </c>
      <c r="D658" s="13">
        <v>72.49</v>
      </c>
      <c r="E658" s="12"/>
      <c r="F658" s="13"/>
    </row>
    <row r="659" ht="16.5" customHeight="1" spans="1:6">
      <c r="A659" s="11">
        <v>8810</v>
      </c>
      <c r="B659" s="11" t="s">
        <v>1296</v>
      </c>
      <c r="C659" s="12">
        <v>0</v>
      </c>
      <c r="D659" s="13">
        <v>0</v>
      </c>
      <c r="E659" s="12"/>
      <c r="F659" s="13"/>
    </row>
    <row r="660" ht="16.5" customHeight="1" spans="1:6">
      <c r="A660" s="11">
        <v>10349</v>
      </c>
      <c r="B660" s="11" t="s">
        <v>1297</v>
      </c>
      <c r="C660" s="12">
        <v>0</v>
      </c>
      <c r="D660" s="13">
        <v>0</v>
      </c>
      <c r="E660" s="12"/>
      <c r="F660" s="13"/>
    </row>
    <row r="661" ht="16.5" customHeight="1" spans="1:6">
      <c r="A661" s="11">
        <v>8552</v>
      </c>
      <c r="B661" s="11" t="s">
        <v>1298</v>
      </c>
      <c r="C661" s="12">
        <v>1</v>
      </c>
      <c r="D661" s="13">
        <v>85.28</v>
      </c>
      <c r="E661" s="12"/>
      <c r="F661" s="13"/>
    </row>
    <row r="662" ht="16.5" customHeight="1" spans="1:6">
      <c r="A662" s="11">
        <v>8553</v>
      </c>
      <c r="B662" s="11" t="s">
        <v>1299</v>
      </c>
      <c r="C662" s="12">
        <v>1</v>
      </c>
      <c r="D662" s="13">
        <v>95.26</v>
      </c>
      <c r="E662" s="12"/>
      <c r="F662" s="13"/>
    </row>
    <row r="663" ht="16.5" customHeight="1" spans="1:6">
      <c r="A663" s="11">
        <v>8624</v>
      </c>
      <c r="B663" s="11" t="s">
        <v>1300</v>
      </c>
      <c r="C663" s="12">
        <v>3</v>
      </c>
      <c r="D663" s="13">
        <v>175.05</v>
      </c>
      <c r="E663" s="12"/>
      <c r="F663" s="13"/>
    </row>
    <row r="664" ht="16.5" customHeight="1" spans="1:6">
      <c r="A664" s="11">
        <v>8625</v>
      </c>
      <c r="B664" s="11" t="s">
        <v>1301</v>
      </c>
      <c r="C664" s="12">
        <v>2</v>
      </c>
      <c r="D664" s="13">
        <v>113.02</v>
      </c>
      <c r="E664" s="12"/>
      <c r="F664" s="13"/>
    </row>
    <row r="665" ht="16.5" customHeight="1" spans="1:6">
      <c r="A665" s="11">
        <v>9912</v>
      </c>
      <c r="B665" s="11" t="s">
        <v>1302</v>
      </c>
      <c r="C665" s="12">
        <v>2</v>
      </c>
      <c r="D665" s="13">
        <v>375</v>
      </c>
      <c r="E665" s="12"/>
      <c r="F665" s="13"/>
    </row>
    <row r="666" ht="16.5" customHeight="1" spans="1:6">
      <c r="A666" s="11">
        <v>9981</v>
      </c>
      <c r="B666" s="11" t="s">
        <v>1303</v>
      </c>
      <c r="C666" s="12">
        <v>7</v>
      </c>
      <c r="D666" s="13">
        <v>1380</v>
      </c>
      <c r="E666" s="12"/>
      <c r="F666" s="13"/>
    </row>
    <row r="667" ht="33" customHeight="1" spans="1:6">
      <c r="A667" s="11">
        <v>8781</v>
      </c>
      <c r="B667" s="11" t="s">
        <v>1304</v>
      </c>
      <c r="C667" s="12">
        <v>0</v>
      </c>
      <c r="D667" s="13">
        <v>0</v>
      </c>
      <c r="E667" s="12"/>
      <c r="F667" s="13"/>
    </row>
    <row r="668" ht="33" customHeight="1" spans="1:6">
      <c r="A668" s="11">
        <v>8783</v>
      </c>
      <c r="B668" s="11" t="s">
        <v>1305</v>
      </c>
      <c r="C668" s="12">
        <v>1</v>
      </c>
      <c r="D668" s="13">
        <v>121</v>
      </c>
      <c r="E668" s="12"/>
      <c r="F668" s="13"/>
    </row>
    <row r="669" ht="16.5" customHeight="1" spans="1:6">
      <c r="A669" s="11">
        <v>9938</v>
      </c>
      <c r="B669" s="11" t="s">
        <v>1306</v>
      </c>
      <c r="C669" s="12">
        <v>3</v>
      </c>
      <c r="D669" s="13">
        <v>532.8</v>
      </c>
      <c r="E669" s="12"/>
      <c r="F669" s="13"/>
    </row>
    <row r="670" ht="16.5" customHeight="1" spans="1:6">
      <c r="A670" s="11">
        <v>8699</v>
      </c>
      <c r="B670" s="11" t="s">
        <v>1307</v>
      </c>
      <c r="C670" s="12">
        <v>1</v>
      </c>
      <c r="D670" s="13">
        <v>62.1</v>
      </c>
      <c r="E670" s="12"/>
      <c r="F670" s="13"/>
    </row>
    <row r="671" ht="16.5" customHeight="1" spans="1:6">
      <c r="A671" s="11">
        <v>9627</v>
      </c>
      <c r="B671" s="11" t="s">
        <v>1308</v>
      </c>
      <c r="C671" s="12">
        <v>1</v>
      </c>
      <c r="D671" s="13">
        <v>155</v>
      </c>
      <c r="E671" s="12"/>
      <c r="F671" s="13"/>
    </row>
    <row r="672" ht="16.5" customHeight="1" spans="1:6">
      <c r="A672" s="11">
        <v>9860</v>
      </c>
      <c r="B672" s="11" t="s">
        <v>1309</v>
      </c>
      <c r="C672" s="12">
        <v>3</v>
      </c>
      <c r="D672" s="13">
        <v>237</v>
      </c>
      <c r="E672" s="12"/>
      <c r="F672" s="13"/>
    </row>
    <row r="673" ht="16.5" customHeight="1" spans="1:6">
      <c r="A673" s="11">
        <v>542</v>
      </c>
      <c r="B673" s="11" t="s">
        <v>1310</v>
      </c>
      <c r="C673" s="12">
        <v>13</v>
      </c>
      <c r="D673" s="13">
        <v>329.39</v>
      </c>
      <c r="E673" s="12"/>
      <c r="F673" s="13"/>
    </row>
    <row r="674" ht="16.5" customHeight="1" spans="1:6">
      <c r="A674" s="11">
        <v>5869</v>
      </c>
      <c r="B674" s="11" t="s">
        <v>1311</v>
      </c>
      <c r="C674" s="12">
        <v>1</v>
      </c>
      <c r="D674" s="13">
        <v>163.95</v>
      </c>
      <c r="E674" s="12"/>
      <c r="F674" s="13"/>
    </row>
    <row r="675" ht="16.5" customHeight="1" spans="1:6">
      <c r="A675" s="11">
        <v>5987</v>
      </c>
      <c r="B675" s="11" t="s">
        <v>1312</v>
      </c>
      <c r="C675" s="12">
        <v>0</v>
      </c>
      <c r="D675" s="13">
        <v>0</v>
      </c>
      <c r="E675" s="12"/>
      <c r="F675" s="13"/>
    </row>
    <row r="676" ht="16.5" customHeight="1" spans="1:6">
      <c r="A676" s="11">
        <v>5362</v>
      </c>
      <c r="B676" s="11" t="s">
        <v>1313</v>
      </c>
      <c r="C676" s="12">
        <v>1</v>
      </c>
      <c r="D676" s="13">
        <v>186.4</v>
      </c>
      <c r="E676" s="12"/>
      <c r="F676" s="13"/>
    </row>
    <row r="677" ht="16.5" customHeight="1" spans="1:6">
      <c r="A677" s="11">
        <v>5363</v>
      </c>
      <c r="B677" s="11" t="s">
        <v>1314</v>
      </c>
      <c r="C677" s="12">
        <v>0</v>
      </c>
      <c r="D677" s="13">
        <v>0</v>
      </c>
      <c r="E677" s="12"/>
      <c r="F677" s="13"/>
    </row>
    <row r="678" ht="16.5" customHeight="1" spans="1:6">
      <c r="A678" s="11">
        <v>9953</v>
      </c>
      <c r="B678" s="11" t="s">
        <v>1315</v>
      </c>
      <c r="C678" s="12">
        <v>0</v>
      </c>
      <c r="D678" s="13">
        <v>0</v>
      </c>
      <c r="E678" s="12"/>
      <c r="F678" s="13"/>
    </row>
    <row r="679" ht="16.5" customHeight="1" spans="1:6">
      <c r="A679" s="11">
        <v>9008</v>
      </c>
      <c r="B679" s="11" t="s">
        <v>1316</v>
      </c>
      <c r="C679" s="12">
        <v>3</v>
      </c>
      <c r="D679" s="13">
        <v>344.97</v>
      </c>
      <c r="E679" s="12"/>
      <c r="F679" s="13"/>
    </row>
    <row r="680" ht="16.5" customHeight="1" spans="1:6">
      <c r="A680" s="11">
        <v>2763</v>
      </c>
      <c r="B680" s="11" t="s">
        <v>1317</v>
      </c>
      <c r="C680" s="12">
        <v>2</v>
      </c>
      <c r="D680" s="13">
        <v>175</v>
      </c>
      <c r="E680" s="12"/>
      <c r="F680" s="13"/>
    </row>
    <row r="681" ht="16.5" customHeight="1" spans="1:6">
      <c r="A681" s="11">
        <v>2764</v>
      </c>
      <c r="B681" s="11" t="s">
        <v>1318</v>
      </c>
      <c r="C681" s="12">
        <v>1</v>
      </c>
      <c r="D681" s="13">
        <v>81.79</v>
      </c>
      <c r="E681" s="12"/>
      <c r="F681" s="13"/>
    </row>
    <row r="682" ht="16.5" customHeight="1" spans="1:6">
      <c r="A682" s="11">
        <v>2798</v>
      </c>
      <c r="B682" s="11" t="s">
        <v>1319</v>
      </c>
      <c r="C682" s="12">
        <v>0</v>
      </c>
      <c r="D682" s="13">
        <v>0</v>
      </c>
      <c r="E682" s="12"/>
      <c r="F682" s="13"/>
    </row>
    <row r="683" ht="16.5" customHeight="1" spans="1:6">
      <c r="A683" s="11">
        <v>2772</v>
      </c>
      <c r="B683" s="11" t="s">
        <v>1320</v>
      </c>
      <c r="C683" s="12">
        <v>1</v>
      </c>
      <c r="D683" s="13">
        <v>130.2</v>
      </c>
      <c r="E683" s="12"/>
      <c r="F683" s="13"/>
    </row>
    <row r="684" ht="16.5" customHeight="1" spans="1:6">
      <c r="A684" s="11">
        <v>2893</v>
      </c>
      <c r="B684" s="11" t="s">
        <v>1321</v>
      </c>
      <c r="C684" s="12">
        <v>1</v>
      </c>
      <c r="D684" s="13">
        <v>156.99</v>
      </c>
      <c r="E684" s="12"/>
      <c r="F684" s="13"/>
    </row>
    <row r="685" ht="16.5" customHeight="1" spans="1:6">
      <c r="A685" s="11">
        <v>2388</v>
      </c>
      <c r="B685" s="11" t="s">
        <v>1322</v>
      </c>
      <c r="C685" s="12">
        <v>12</v>
      </c>
      <c r="D685" s="13">
        <v>455.36</v>
      </c>
      <c r="E685" s="12"/>
      <c r="F685" s="13"/>
    </row>
    <row r="686" ht="16.5" customHeight="1" spans="1:6">
      <c r="A686" s="11">
        <v>3452</v>
      </c>
      <c r="B686" s="11" t="s">
        <v>1323</v>
      </c>
      <c r="C686" s="12">
        <v>5</v>
      </c>
      <c r="D686" s="13">
        <v>167.63</v>
      </c>
      <c r="E686" s="12"/>
      <c r="F686" s="13"/>
    </row>
    <row r="687" ht="16.5" customHeight="1" spans="1:6">
      <c r="A687" s="11">
        <v>9135</v>
      </c>
      <c r="B687" s="11" t="s">
        <v>1324</v>
      </c>
      <c r="C687" s="12">
        <v>0</v>
      </c>
      <c r="D687" s="13">
        <v>0</v>
      </c>
      <c r="E687" s="12"/>
      <c r="F687" s="13"/>
    </row>
    <row r="688" ht="16.5" customHeight="1" spans="1:6">
      <c r="A688" s="11">
        <v>9577</v>
      </c>
      <c r="B688" s="11" t="s">
        <v>1325</v>
      </c>
      <c r="C688" s="12">
        <v>2</v>
      </c>
      <c r="D688" s="13">
        <v>485</v>
      </c>
      <c r="E688" s="12"/>
      <c r="F688" s="13"/>
    </row>
    <row r="689" ht="33" customHeight="1" spans="1:6">
      <c r="A689" s="11">
        <v>10008</v>
      </c>
      <c r="B689" s="11" t="s">
        <v>1326</v>
      </c>
      <c r="C689" s="12">
        <v>6</v>
      </c>
      <c r="D689" s="13">
        <v>246</v>
      </c>
      <c r="E689" s="12"/>
      <c r="F689" s="13"/>
    </row>
    <row r="690" ht="33" customHeight="1" spans="1:6">
      <c r="A690" s="11">
        <v>10009</v>
      </c>
      <c r="B690" s="11" t="s">
        <v>1327</v>
      </c>
      <c r="C690" s="12">
        <v>1</v>
      </c>
      <c r="D690" s="13">
        <v>28</v>
      </c>
      <c r="E690" s="12"/>
      <c r="F690" s="13"/>
    </row>
    <row r="691" ht="33" customHeight="1" spans="1:6">
      <c r="A691" s="11">
        <v>10010</v>
      </c>
      <c r="B691" s="11" t="s">
        <v>1328</v>
      </c>
      <c r="C691" s="12">
        <v>2</v>
      </c>
      <c r="D691" s="13">
        <v>53.6</v>
      </c>
      <c r="E691" s="12"/>
      <c r="F691" s="13"/>
    </row>
    <row r="692" ht="33" customHeight="1" spans="1:6">
      <c r="A692" s="11">
        <v>10012</v>
      </c>
      <c r="B692" s="11" t="s">
        <v>1329</v>
      </c>
      <c r="C692" s="12">
        <v>0</v>
      </c>
      <c r="D692" s="13">
        <v>0</v>
      </c>
      <c r="E692" s="12"/>
      <c r="F692" s="13"/>
    </row>
    <row r="693" ht="16.5" customHeight="1" spans="1:6">
      <c r="A693" s="11">
        <v>10059</v>
      </c>
      <c r="B693" s="11" t="s">
        <v>1330</v>
      </c>
      <c r="C693" s="12">
        <v>5</v>
      </c>
      <c r="D693" s="13">
        <v>94.65</v>
      </c>
      <c r="E693" s="12"/>
      <c r="F693" s="13"/>
    </row>
    <row r="694" ht="16.5" customHeight="1" spans="1:6">
      <c r="A694" s="11">
        <v>10060</v>
      </c>
      <c r="B694" s="11" t="s">
        <v>1331</v>
      </c>
      <c r="C694" s="12">
        <v>2</v>
      </c>
      <c r="D694" s="13">
        <v>37</v>
      </c>
      <c r="E694" s="12"/>
      <c r="F694" s="13"/>
    </row>
    <row r="695" ht="16.5" customHeight="1" spans="1:6">
      <c r="A695" s="11">
        <v>10061</v>
      </c>
      <c r="B695" s="11" t="s">
        <v>1332</v>
      </c>
      <c r="C695" s="12">
        <v>0</v>
      </c>
      <c r="D695" s="13">
        <v>0</v>
      </c>
      <c r="E695" s="12"/>
      <c r="F695" s="13"/>
    </row>
    <row r="696" ht="16.5" customHeight="1" spans="1:6">
      <c r="A696" s="11">
        <v>10062</v>
      </c>
      <c r="B696" s="11" t="s">
        <v>1333</v>
      </c>
      <c r="C696" s="12">
        <v>3</v>
      </c>
      <c r="D696" s="13">
        <v>66.93</v>
      </c>
      <c r="E696" s="12"/>
      <c r="F696" s="13"/>
    </row>
    <row r="697" ht="33" customHeight="1" spans="1:6">
      <c r="A697" s="11">
        <v>10089</v>
      </c>
      <c r="B697" s="11" t="s">
        <v>1334</v>
      </c>
      <c r="C697" s="12">
        <v>0</v>
      </c>
      <c r="D697" s="13">
        <v>0</v>
      </c>
      <c r="E697" s="12"/>
      <c r="F697" s="13"/>
    </row>
    <row r="698" ht="33" customHeight="1" spans="1:6">
      <c r="A698" s="11">
        <v>10090</v>
      </c>
      <c r="B698" s="11" t="s">
        <v>1335</v>
      </c>
      <c r="C698" s="12">
        <v>1</v>
      </c>
      <c r="D698" s="13">
        <v>295</v>
      </c>
      <c r="E698" s="12"/>
      <c r="F698" s="13"/>
    </row>
    <row r="699" ht="33" customHeight="1" spans="1:6">
      <c r="A699" s="11">
        <v>10091</v>
      </c>
      <c r="B699" s="11" t="s">
        <v>1336</v>
      </c>
      <c r="C699" s="12">
        <v>1</v>
      </c>
      <c r="D699" s="13">
        <v>544.78</v>
      </c>
      <c r="E699" s="12"/>
      <c r="F699" s="13"/>
    </row>
    <row r="700" ht="33" customHeight="1" spans="1:6">
      <c r="A700" s="11">
        <v>10107</v>
      </c>
      <c r="B700" s="11" t="s">
        <v>1337</v>
      </c>
      <c r="C700" s="12">
        <v>2</v>
      </c>
      <c r="D700" s="13">
        <v>467.22</v>
      </c>
      <c r="E700" s="12"/>
      <c r="F700" s="13"/>
    </row>
    <row r="701" ht="33" customHeight="1" spans="1:6">
      <c r="A701" s="11">
        <v>10127</v>
      </c>
      <c r="B701" s="11" t="s">
        <v>1338</v>
      </c>
      <c r="C701" s="12">
        <v>0</v>
      </c>
      <c r="D701" s="13">
        <v>0</v>
      </c>
      <c r="E701" s="12"/>
      <c r="F701" s="13"/>
    </row>
    <row r="702" ht="33" customHeight="1" spans="1:6">
      <c r="A702" s="11">
        <v>10128</v>
      </c>
      <c r="B702" s="11" t="s">
        <v>1339</v>
      </c>
      <c r="C702" s="12">
        <v>5</v>
      </c>
      <c r="D702" s="13">
        <v>201</v>
      </c>
      <c r="E702" s="12"/>
      <c r="F702" s="13"/>
    </row>
    <row r="703" ht="33" customHeight="1" spans="1:6">
      <c r="A703" s="11">
        <v>10133</v>
      </c>
      <c r="B703" s="11" t="s">
        <v>1340</v>
      </c>
      <c r="C703" s="12">
        <v>0</v>
      </c>
      <c r="D703" s="13">
        <v>0</v>
      </c>
      <c r="E703" s="12"/>
      <c r="F703" s="13"/>
    </row>
    <row r="704" ht="33" customHeight="1" spans="1:6">
      <c r="A704" s="11">
        <v>10135</v>
      </c>
      <c r="B704" s="11" t="s">
        <v>1341</v>
      </c>
      <c r="C704" s="12">
        <v>1</v>
      </c>
      <c r="D704" s="13">
        <v>69.01</v>
      </c>
      <c r="E704" s="12"/>
      <c r="F704" s="13"/>
    </row>
    <row r="705" ht="33" customHeight="1" spans="1:6">
      <c r="A705" s="11">
        <v>10138</v>
      </c>
      <c r="B705" s="11" t="s">
        <v>1342</v>
      </c>
      <c r="C705" s="12">
        <v>0</v>
      </c>
      <c r="D705" s="13">
        <v>0</v>
      </c>
      <c r="E705" s="12"/>
      <c r="F705" s="13"/>
    </row>
    <row r="706" ht="33" customHeight="1" spans="1:6">
      <c r="A706" s="11">
        <v>10171</v>
      </c>
      <c r="B706" s="11" t="s">
        <v>1343</v>
      </c>
      <c r="C706" s="12">
        <v>3</v>
      </c>
      <c r="D706" s="13">
        <v>181.88</v>
      </c>
      <c r="E706" s="12"/>
      <c r="F706" s="13"/>
    </row>
    <row r="707" ht="16.5" customHeight="1" spans="1:6">
      <c r="A707" s="11">
        <v>10172</v>
      </c>
      <c r="B707" s="11" t="s">
        <v>1344</v>
      </c>
      <c r="C707" s="12">
        <v>0</v>
      </c>
      <c r="D707" s="13">
        <v>0</v>
      </c>
      <c r="E707" s="12"/>
      <c r="F707" s="13"/>
    </row>
    <row r="708" ht="16.5" customHeight="1" spans="1:6">
      <c r="A708" s="11">
        <v>10226</v>
      </c>
      <c r="B708" s="11" t="s">
        <v>1345</v>
      </c>
      <c r="C708" s="12">
        <v>3</v>
      </c>
      <c r="D708" s="13">
        <v>56.97</v>
      </c>
      <c r="E708" s="12"/>
      <c r="F708" s="13"/>
    </row>
    <row r="709" ht="33" customHeight="1" spans="1:6">
      <c r="A709" s="11">
        <v>10298</v>
      </c>
      <c r="B709" s="11" t="s">
        <v>1346</v>
      </c>
      <c r="C709" s="12">
        <v>1</v>
      </c>
      <c r="D709" s="13">
        <v>42.99</v>
      </c>
      <c r="E709" s="12"/>
      <c r="F709" s="13"/>
    </row>
    <row r="710" ht="33" customHeight="1" spans="1:6">
      <c r="A710" s="11">
        <v>7119</v>
      </c>
      <c r="B710" s="11" t="s">
        <v>1347</v>
      </c>
      <c r="C710" s="12">
        <v>4</v>
      </c>
      <c r="D710" s="13">
        <v>178.59</v>
      </c>
      <c r="E710" s="12"/>
      <c r="F710" s="13"/>
    </row>
    <row r="711" ht="33" customHeight="1" spans="1:6">
      <c r="A711" s="11">
        <v>8083</v>
      </c>
      <c r="B711" s="11" t="s">
        <v>1348</v>
      </c>
      <c r="C711" s="12">
        <v>5</v>
      </c>
      <c r="D711" s="13">
        <v>129.5</v>
      </c>
      <c r="E711" s="12"/>
      <c r="F711" s="13"/>
    </row>
    <row r="712" ht="33" customHeight="1" spans="1:6">
      <c r="A712" s="11">
        <v>8254</v>
      </c>
      <c r="B712" s="11" t="s">
        <v>1349</v>
      </c>
      <c r="C712" s="12">
        <v>2</v>
      </c>
      <c r="D712" s="13">
        <v>76.82</v>
      </c>
      <c r="E712" s="12"/>
      <c r="F712" s="13"/>
    </row>
    <row r="713" ht="16.5" customHeight="1" spans="1:6">
      <c r="A713" s="11">
        <v>8181</v>
      </c>
      <c r="B713" s="11" t="s">
        <v>1350</v>
      </c>
      <c r="C713" s="12">
        <v>3</v>
      </c>
      <c r="D713" s="13">
        <v>141.9</v>
      </c>
      <c r="E713" s="12"/>
      <c r="F713" s="13"/>
    </row>
    <row r="714" ht="33" customHeight="1" spans="1:6">
      <c r="A714" s="11">
        <v>8374</v>
      </c>
      <c r="B714" s="11" t="s">
        <v>1351</v>
      </c>
      <c r="C714" s="12">
        <v>2</v>
      </c>
      <c r="D714" s="13">
        <v>126.89</v>
      </c>
      <c r="E714" s="12"/>
      <c r="F714" s="13"/>
    </row>
    <row r="715" ht="16.5" customHeight="1" spans="1:6">
      <c r="A715" s="11">
        <v>7247</v>
      </c>
      <c r="B715" s="11" t="s">
        <v>1352</v>
      </c>
      <c r="C715" s="12">
        <v>1</v>
      </c>
      <c r="D715" s="13">
        <v>118.09</v>
      </c>
      <c r="E715" s="12"/>
      <c r="F715" s="13"/>
    </row>
    <row r="716" ht="16.5" customHeight="1" spans="1:6">
      <c r="A716" s="11">
        <v>7688</v>
      </c>
      <c r="B716" s="11" t="s">
        <v>1353</v>
      </c>
      <c r="C716" s="12">
        <v>4</v>
      </c>
      <c r="D716" s="13">
        <v>140.6</v>
      </c>
      <c r="E716" s="12"/>
      <c r="F716" s="13"/>
    </row>
    <row r="717" ht="33" customHeight="1" spans="1:6">
      <c r="A717" s="11">
        <v>7689</v>
      </c>
      <c r="B717" s="11" t="s">
        <v>1354</v>
      </c>
      <c r="C717" s="12">
        <v>10</v>
      </c>
      <c r="D717" s="13">
        <v>367.42</v>
      </c>
      <c r="E717" s="12"/>
      <c r="F717" s="13"/>
    </row>
    <row r="718" ht="16.5" customHeight="1" spans="1:6">
      <c r="A718" s="11">
        <v>10386</v>
      </c>
      <c r="B718" s="11" t="s">
        <v>1355</v>
      </c>
      <c r="C718" s="12">
        <v>7</v>
      </c>
      <c r="D718" s="13">
        <v>936.76</v>
      </c>
      <c r="E718" s="12"/>
      <c r="F718" s="13"/>
    </row>
    <row r="719" ht="16.5" customHeight="1" spans="1:6">
      <c r="A719" s="11">
        <v>10381</v>
      </c>
      <c r="B719" s="11" t="s">
        <v>1356</v>
      </c>
      <c r="C719" s="12">
        <v>3</v>
      </c>
      <c r="D719" s="13">
        <v>185.97</v>
      </c>
      <c r="E719" s="12"/>
      <c r="F719" s="13"/>
    </row>
    <row r="720" ht="16.5" customHeight="1" spans="1:6">
      <c r="A720" s="11">
        <v>8126</v>
      </c>
      <c r="B720" s="11" t="s">
        <v>1357</v>
      </c>
      <c r="C720" s="12">
        <v>0</v>
      </c>
      <c r="D720" s="13">
        <v>0</v>
      </c>
      <c r="E720" s="12"/>
      <c r="F720" s="13"/>
    </row>
    <row r="721" ht="33" customHeight="1" spans="1:6">
      <c r="A721" s="11">
        <v>10464</v>
      </c>
      <c r="B721" s="11" t="s">
        <v>1358</v>
      </c>
      <c r="C721" s="12">
        <v>0</v>
      </c>
      <c r="D721" s="13">
        <v>0</v>
      </c>
      <c r="E721" s="12"/>
      <c r="F721" s="13"/>
    </row>
    <row r="722" ht="16.5" customHeight="1" spans="1:6">
      <c r="A722" s="11">
        <v>10554</v>
      </c>
      <c r="B722" s="11" t="s">
        <v>1359</v>
      </c>
      <c r="C722" s="12">
        <v>1</v>
      </c>
      <c r="D722" s="13">
        <v>39</v>
      </c>
      <c r="E722" s="12"/>
      <c r="F722" s="13"/>
    </row>
    <row r="723" ht="16.5" customHeight="1" spans="1:6">
      <c r="A723" s="11">
        <v>10544</v>
      </c>
      <c r="B723" s="11" t="s">
        <v>1360</v>
      </c>
      <c r="C723" s="12">
        <v>1</v>
      </c>
      <c r="D723" s="13">
        <v>129</v>
      </c>
      <c r="E723" s="12"/>
      <c r="F723" s="13"/>
    </row>
    <row r="724" ht="16.5" customHeight="1" spans="1:6">
      <c r="A724" s="11">
        <v>10518</v>
      </c>
      <c r="B724" s="11" t="s">
        <v>1361</v>
      </c>
      <c r="C724" s="12">
        <v>2</v>
      </c>
      <c r="D724" s="13">
        <v>351.98</v>
      </c>
      <c r="E724" s="12"/>
      <c r="F724" s="13"/>
    </row>
    <row r="725" ht="16.5" customHeight="1" spans="1:6">
      <c r="A725" s="11">
        <v>10519</v>
      </c>
      <c r="B725" s="11" t="s">
        <v>1362</v>
      </c>
      <c r="C725" s="12">
        <v>2</v>
      </c>
      <c r="D725" s="13">
        <v>186.9</v>
      </c>
      <c r="E725" s="12"/>
      <c r="F725" s="13"/>
    </row>
    <row r="726" ht="33" customHeight="1" spans="1:6">
      <c r="A726" s="11">
        <v>10546</v>
      </c>
      <c r="B726" s="11" t="s">
        <v>1363</v>
      </c>
      <c r="C726" s="12">
        <v>4</v>
      </c>
      <c r="D726" s="13">
        <v>111.64</v>
      </c>
      <c r="E726" s="12"/>
      <c r="F726" s="13"/>
    </row>
    <row r="727" ht="16.5" customHeight="1" spans="1:6">
      <c r="A727" s="11">
        <v>10553</v>
      </c>
      <c r="B727" s="11" t="s">
        <v>1364</v>
      </c>
      <c r="C727" s="12">
        <v>2</v>
      </c>
      <c r="D727" s="13">
        <v>104.15</v>
      </c>
      <c r="E727" s="12"/>
      <c r="F727" s="13"/>
    </row>
    <row r="728" ht="33" customHeight="1" spans="1:6">
      <c r="A728" s="11">
        <v>10593</v>
      </c>
      <c r="B728" s="11" t="s">
        <v>1365</v>
      </c>
      <c r="C728" s="12">
        <v>0</v>
      </c>
      <c r="D728" s="13">
        <v>0</v>
      </c>
      <c r="E728" s="12"/>
      <c r="F728" s="13"/>
    </row>
    <row r="729" ht="16.5" customHeight="1" spans="1:6">
      <c r="A729" s="11">
        <v>10639</v>
      </c>
      <c r="B729" s="11" t="s">
        <v>1366</v>
      </c>
      <c r="C729" s="12">
        <v>3</v>
      </c>
      <c r="D729" s="13">
        <v>105</v>
      </c>
      <c r="E729" s="12"/>
      <c r="F729" s="13"/>
    </row>
    <row r="730" ht="33" customHeight="1" spans="1:6">
      <c r="A730" s="11">
        <v>10653</v>
      </c>
      <c r="B730" s="11" t="s">
        <v>1367</v>
      </c>
      <c r="C730" s="12">
        <v>2</v>
      </c>
      <c r="D730" s="13">
        <v>410.28</v>
      </c>
      <c r="E730" s="12"/>
      <c r="F730" s="13"/>
    </row>
    <row r="731" ht="33" customHeight="1" spans="1:6">
      <c r="A731" s="11">
        <v>10774</v>
      </c>
      <c r="B731" s="11" t="s">
        <v>1368</v>
      </c>
      <c r="C731" s="12">
        <v>0</v>
      </c>
      <c r="D731" s="13">
        <v>0</v>
      </c>
      <c r="E731" s="12"/>
      <c r="F731" s="13"/>
    </row>
    <row r="732" ht="16.5" customHeight="1" spans="1:6">
      <c r="A732" s="11">
        <v>10785</v>
      </c>
      <c r="B732" s="11" t="s">
        <v>1369</v>
      </c>
      <c r="C732" s="12">
        <v>6</v>
      </c>
      <c r="D732" s="13">
        <v>299.94</v>
      </c>
      <c r="E732" s="12"/>
      <c r="F732" s="13"/>
    </row>
    <row r="733" ht="16.5" customHeight="1" spans="1:6">
      <c r="A733" s="11">
        <v>10786</v>
      </c>
      <c r="B733" s="11" t="s">
        <v>1370</v>
      </c>
      <c r="C733" s="12">
        <v>6</v>
      </c>
      <c r="D733" s="13">
        <v>321.24</v>
      </c>
      <c r="E733" s="12"/>
      <c r="F733" s="13"/>
    </row>
    <row r="734" ht="16.5" customHeight="1" spans="1:6">
      <c r="A734" s="11">
        <v>10787</v>
      </c>
      <c r="B734" s="11" t="s">
        <v>1371</v>
      </c>
      <c r="C734" s="12">
        <v>7</v>
      </c>
      <c r="D734" s="13">
        <v>286.93</v>
      </c>
      <c r="E734" s="12"/>
      <c r="F734" s="13"/>
    </row>
    <row r="735" ht="33" customHeight="1" spans="1:6">
      <c r="A735" s="11">
        <v>10811</v>
      </c>
      <c r="B735" s="11" t="s">
        <v>1372</v>
      </c>
      <c r="C735" s="12">
        <v>0</v>
      </c>
      <c r="D735" s="13">
        <v>0</v>
      </c>
      <c r="E735" s="12"/>
      <c r="F735" s="13"/>
    </row>
    <row r="736" ht="16.5" customHeight="1" spans="1:6">
      <c r="A736" s="11">
        <v>10813</v>
      </c>
      <c r="B736" s="11" t="s">
        <v>1373</v>
      </c>
      <c r="C736" s="12">
        <v>3</v>
      </c>
      <c r="D736" s="13">
        <v>118.9</v>
      </c>
      <c r="E736" s="12"/>
      <c r="F736" s="13"/>
    </row>
    <row r="737" ht="16.5" customHeight="1" spans="1:6">
      <c r="A737" s="11">
        <v>10858</v>
      </c>
      <c r="B737" s="11" t="s">
        <v>1374</v>
      </c>
      <c r="C737" s="12">
        <v>0</v>
      </c>
      <c r="D737" s="13">
        <v>0</v>
      </c>
      <c r="E737" s="12"/>
      <c r="F737" s="13"/>
    </row>
    <row r="738" ht="16.5" customHeight="1" spans="1:6">
      <c r="A738" s="11">
        <v>10859</v>
      </c>
      <c r="B738" s="11" t="s">
        <v>1375</v>
      </c>
      <c r="C738" s="12">
        <v>0</v>
      </c>
      <c r="D738" s="13">
        <v>0</v>
      </c>
      <c r="E738" s="12"/>
      <c r="F738" s="13"/>
    </row>
    <row r="739" ht="33" customHeight="1" spans="1:6">
      <c r="A739" s="11">
        <v>10894</v>
      </c>
      <c r="B739" s="11" t="s">
        <v>1376</v>
      </c>
      <c r="C739" s="12">
        <v>2</v>
      </c>
      <c r="D739" s="13">
        <v>166.66</v>
      </c>
      <c r="E739" s="12"/>
      <c r="F739" s="13"/>
    </row>
    <row r="740" ht="16.5" customHeight="1" spans="1:6">
      <c r="A740" s="11">
        <v>10920</v>
      </c>
      <c r="B740" s="11" t="s">
        <v>1377</v>
      </c>
      <c r="C740" s="12">
        <v>0</v>
      </c>
      <c r="D740" s="13">
        <v>0</v>
      </c>
      <c r="E740" s="12"/>
      <c r="F740" s="13"/>
    </row>
    <row r="741" ht="16.5" customHeight="1" spans="1:6">
      <c r="A741" s="11">
        <v>10937</v>
      </c>
      <c r="B741" s="11" t="s">
        <v>1378</v>
      </c>
      <c r="C741" s="12">
        <v>0</v>
      </c>
      <c r="D741" s="13">
        <v>0</v>
      </c>
      <c r="E741" s="12"/>
      <c r="F741" s="13"/>
    </row>
    <row r="742" ht="16.5" customHeight="1" spans="1:6">
      <c r="A742" s="11">
        <v>10988</v>
      </c>
      <c r="B742" s="11" t="s">
        <v>1379</v>
      </c>
      <c r="C742" s="12">
        <v>19</v>
      </c>
      <c r="D742" s="13">
        <v>375.63</v>
      </c>
      <c r="E742" s="12"/>
      <c r="F742" s="13"/>
    </row>
    <row r="743" ht="16.5" customHeight="1" spans="1:6">
      <c r="A743" s="11">
        <v>11002</v>
      </c>
      <c r="B743" s="11" t="s">
        <v>1380</v>
      </c>
      <c r="C743" s="12">
        <v>4</v>
      </c>
      <c r="D743" s="13">
        <v>596</v>
      </c>
      <c r="E743" s="12"/>
      <c r="F743" s="13"/>
    </row>
    <row r="744" ht="33" customHeight="1" spans="1:6">
      <c r="A744" s="11">
        <v>11003</v>
      </c>
      <c r="B744" s="11" t="s">
        <v>1381</v>
      </c>
      <c r="C744" s="12">
        <v>4</v>
      </c>
      <c r="D744" s="13">
        <v>208</v>
      </c>
      <c r="E744" s="12"/>
      <c r="F744" s="13"/>
    </row>
    <row r="745" ht="33" customHeight="1" spans="1:6">
      <c r="A745" s="11">
        <v>11004</v>
      </c>
      <c r="B745" s="11" t="s">
        <v>1382</v>
      </c>
      <c r="C745" s="12">
        <v>0</v>
      </c>
      <c r="D745" s="13">
        <v>0</v>
      </c>
      <c r="E745" s="12"/>
      <c r="F745" s="13"/>
    </row>
    <row r="746" ht="33" customHeight="1" spans="1:6">
      <c r="A746" s="11">
        <v>11030</v>
      </c>
      <c r="B746" s="11" t="s">
        <v>1383</v>
      </c>
      <c r="C746" s="12">
        <v>1</v>
      </c>
      <c r="D746" s="13">
        <v>67.55</v>
      </c>
      <c r="E746" s="12"/>
      <c r="F746" s="13"/>
    </row>
    <row r="747" ht="16.5" customHeight="1" spans="1:6">
      <c r="A747" s="11">
        <v>11033</v>
      </c>
      <c r="B747" s="11" t="s">
        <v>1384</v>
      </c>
      <c r="C747" s="12">
        <v>2</v>
      </c>
      <c r="D747" s="13">
        <v>264.6</v>
      </c>
      <c r="E747" s="12"/>
      <c r="F747" s="13"/>
    </row>
    <row r="748" ht="16.5" customHeight="1" spans="1:6">
      <c r="A748" s="11">
        <v>11043</v>
      </c>
      <c r="B748" s="11" t="s">
        <v>1385</v>
      </c>
      <c r="C748" s="12">
        <v>22</v>
      </c>
      <c r="D748" s="13">
        <v>1657.6</v>
      </c>
      <c r="E748" s="12"/>
      <c r="F748" s="13"/>
    </row>
    <row r="749" ht="16.5" customHeight="1" spans="1:6">
      <c r="A749" s="11">
        <v>8393</v>
      </c>
      <c r="B749" s="11" t="s">
        <v>1386</v>
      </c>
      <c r="C749" s="12">
        <v>0</v>
      </c>
      <c r="D749" s="13">
        <v>0</v>
      </c>
      <c r="E749" s="12"/>
      <c r="F749" s="13"/>
    </row>
    <row r="750" ht="33" customHeight="1" spans="1:6">
      <c r="A750" s="11">
        <v>11064</v>
      </c>
      <c r="B750" s="11" t="s">
        <v>1387</v>
      </c>
      <c r="C750" s="12">
        <v>1</v>
      </c>
      <c r="D750" s="13">
        <v>102.48</v>
      </c>
      <c r="E750" s="12"/>
      <c r="F750" s="13"/>
    </row>
    <row r="751" ht="16.5" customHeight="1" spans="1:6">
      <c r="A751" s="11">
        <v>11076</v>
      </c>
      <c r="B751" s="11" t="s">
        <v>1388</v>
      </c>
      <c r="C751" s="12">
        <v>2</v>
      </c>
      <c r="D751" s="13">
        <v>267</v>
      </c>
      <c r="E751" s="12"/>
      <c r="F751" s="13"/>
    </row>
    <row r="752" ht="16.5" customHeight="1" spans="1:6">
      <c r="A752" s="11">
        <v>11086</v>
      </c>
      <c r="B752" s="11" t="s">
        <v>1389</v>
      </c>
      <c r="C752" s="12">
        <v>1</v>
      </c>
      <c r="D752" s="13">
        <v>125</v>
      </c>
      <c r="E752" s="12"/>
      <c r="F752" s="13"/>
    </row>
    <row r="753" ht="16.5" customHeight="1" spans="1:6">
      <c r="A753" s="11">
        <v>11091</v>
      </c>
      <c r="B753" s="11" t="s">
        <v>1390</v>
      </c>
      <c r="C753" s="12">
        <v>5</v>
      </c>
      <c r="D753" s="13">
        <v>389.95</v>
      </c>
      <c r="E753" s="12"/>
      <c r="F753" s="13"/>
    </row>
    <row r="754" ht="16.5" customHeight="1" spans="1:6">
      <c r="A754" s="11">
        <v>11093</v>
      </c>
      <c r="B754" s="11" t="s">
        <v>1391</v>
      </c>
      <c r="C754" s="12">
        <v>4</v>
      </c>
      <c r="D754" s="13">
        <v>126.44</v>
      </c>
      <c r="E754" s="12"/>
      <c r="F754" s="13"/>
    </row>
    <row r="755" ht="33" customHeight="1" spans="1:6">
      <c r="A755" s="11">
        <v>11100</v>
      </c>
      <c r="B755" s="11" t="s">
        <v>1392</v>
      </c>
      <c r="C755" s="12">
        <v>0</v>
      </c>
      <c r="D755" s="13">
        <v>0</v>
      </c>
      <c r="E755" s="12"/>
      <c r="F755" s="13"/>
    </row>
    <row r="756" ht="33" customHeight="1" spans="1:6">
      <c r="A756" s="11">
        <v>11101</v>
      </c>
      <c r="B756" s="11" t="s">
        <v>1393</v>
      </c>
      <c r="C756" s="12">
        <v>0</v>
      </c>
      <c r="D756" s="13">
        <v>0</v>
      </c>
      <c r="E756" s="12"/>
      <c r="F756" s="13"/>
    </row>
    <row r="757" ht="33" customHeight="1" spans="1:6">
      <c r="A757" s="11">
        <v>11102</v>
      </c>
      <c r="B757" s="11" t="s">
        <v>319</v>
      </c>
      <c r="C757" s="12">
        <v>3</v>
      </c>
      <c r="D757" s="13">
        <v>83.53</v>
      </c>
      <c r="E757" s="12"/>
      <c r="F757" s="13"/>
    </row>
    <row r="758" ht="16.5" customHeight="1" spans="1:6">
      <c r="A758" s="11">
        <v>11103</v>
      </c>
      <c r="B758" s="11" t="s">
        <v>1394</v>
      </c>
      <c r="C758" s="12">
        <v>5</v>
      </c>
      <c r="D758" s="13">
        <v>135</v>
      </c>
      <c r="E758" s="12"/>
      <c r="F758" s="13"/>
    </row>
    <row r="759" ht="16.5" customHeight="1" spans="1:6">
      <c r="A759" s="11">
        <v>11104</v>
      </c>
      <c r="B759" s="11" t="s">
        <v>1395</v>
      </c>
      <c r="C759" s="12">
        <v>4</v>
      </c>
      <c r="D759" s="13">
        <v>89.98</v>
      </c>
      <c r="E759" s="12"/>
      <c r="F759" s="13"/>
    </row>
    <row r="760" ht="16.5" customHeight="1" spans="1:6">
      <c r="A760" s="11">
        <v>11106</v>
      </c>
      <c r="B760" s="11" t="s">
        <v>1396</v>
      </c>
      <c r="C760" s="12">
        <v>1</v>
      </c>
      <c r="D760" s="13">
        <v>43</v>
      </c>
      <c r="E760" s="12"/>
      <c r="F760" s="13"/>
    </row>
    <row r="761" ht="16.5" customHeight="1" spans="1:6">
      <c r="A761" s="11">
        <v>11137</v>
      </c>
      <c r="B761" s="11" t="s">
        <v>1397</v>
      </c>
      <c r="C761" s="12">
        <v>0</v>
      </c>
      <c r="D761" s="13">
        <v>0</v>
      </c>
      <c r="E761" s="12"/>
      <c r="F761" s="13"/>
    </row>
    <row r="762" ht="16.5" customHeight="1" spans="1:6">
      <c r="A762" s="11">
        <v>11179</v>
      </c>
      <c r="B762" s="11" t="s">
        <v>1398</v>
      </c>
      <c r="C762" s="12">
        <v>1</v>
      </c>
      <c r="D762" s="13">
        <v>112.27</v>
      </c>
      <c r="E762" s="12"/>
      <c r="F762" s="13"/>
    </row>
    <row r="763" ht="16.5" customHeight="1" spans="1:6">
      <c r="A763" s="11">
        <v>11187</v>
      </c>
      <c r="B763" s="11" t="s">
        <v>1399</v>
      </c>
      <c r="C763" s="12">
        <v>0</v>
      </c>
      <c r="D763" s="13">
        <v>0</v>
      </c>
      <c r="E763" s="12"/>
      <c r="F763" s="13"/>
    </row>
    <row r="764" ht="16.5" customHeight="1" spans="1:6">
      <c r="A764" s="11">
        <v>11188</v>
      </c>
      <c r="B764" s="11" t="s">
        <v>1400</v>
      </c>
      <c r="C764" s="12">
        <v>1</v>
      </c>
      <c r="D764" s="13">
        <v>101.04</v>
      </c>
      <c r="E764" s="12"/>
      <c r="F764" s="13"/>
    </row>
    <row r="765" ht="16.5" customHeight="1" spans="1:6">
      <c r="A765" s="11">
        <v>11192</v>
      </c>
      <c r="B765" s="11" t="s">
        <v>1401</v>
      </c>
      <c r="C765" s="12">
        <v>0</v>
      </c>
      <c r="D765" s="13">
        <v>0</v>
      </c>
      <c r="E765" s="12"/>
      <c r="F765" s="13"/>
    </row>
    <row r="766" ht="16.5" customHeight="1" spans="1:6">
      <c r="A766" s="11">
        <v>11193</v>
      </c>
      <c r="B766" s="11" t="s">
        <v>1402</v>
      </c>
      <c r="C766" s="12">
        <v>3</v>
      </c>
      <c r="D766" s="13">
        <v>117</v>
      </c>
      <c r="E766" s="12"/>
      <c r="F766" s="13"/>
    </row>
    <row r="767" ht="33" customHeight="1" spans="1:6">
      <c r="A767" s="11">
        <v>11219</v>
      </c>
      <c r="B767" s="11" t="s">
        <v>1403</v>
      </c>
      <c r="C767" s="12">
        <v>0</v>
      </c>
      <c r="D767" s="13">
        <v>0</v>
      </c>
      <c r="E767" s="12"/>
      <c r="F767" s="13"/>
    </row>
    <row r="768" ht="16.5" customHeight="1" spans="1:6">
      <c r="A768" s="11">
        <v>11223</v>
      </c>
      <c r="B768" s="11" t="s">
        <v>1404</v>
      </c>
      <c r="C768" s="12">
        <v>0</v>
      </c>
      <c r="D768" s="13">
        <v>0</v>
      </c>
      <c r="E768" s="12"/>
      <c r="F768" s="13"/>
    </row>
    <row r="769" ht="16.5" customHeight="1" spans="1:6">
      <c r="A769" s="11">
        <v>11230</v>
      </c>
      <c r="B769" s="11" t="s">
        <v>1405</v>
      </c>
      <c r="C769" s="12">
        <v>2</v>
      </c>
      <c r="D769" s="13">
        <v>141.56</v>
      </c>
      <c r="E769" s="12"/>
      <c r="F769" s="13"/>
    </row>
    <row r="770" ht="33" customHeight="1" spans="1:6">
      <c r="A770" s="11">
        <v>11233</v>
      </c>
      <c r="B770" s="11" t="s">
        <v>1406</v>
      </c>
      <c r="C770" s="12">
        <v>0</v>
      </c>
      <c r="D770" s="13">
        <v>0</v>
      </c>
      <c r="E770" s="12"/>
      <c r="F770" s="13"/>
    </row>
    <row r="771" ht="16.5" customHeight="1" spans="1:6">
      <c r="A771" s="11">
        <v>11240</v>
      </c>
      <c r="B771" s="11" t="s">
        <v>1407</v>
      </c>
      <c r="C771" s="12">
        <v>0</v>
      </c>
      <c r="D771" s="13">
        <v>0</v>
      </c>
      <c r="E771" s="12"/>
      <c r="F771" s="13"/>
    </row>
    <row r="772" ht="33" customHeight="1" spans="1:6">
      <c r="A772" s="11">
        <v>11244</v>
      </c>
      <c r="B772" s="11" t="s">
        <v>1408</v>
      </c>
      <c r="C772" s="12">
        <v>0</v>
      </c>
      <c r="D772" s="13">
        <v>0</v>
      </c>
      <c r="E772" s="12"/>
      <c r="F772" s="13"/>
    </row>
    <row r="773" ht="33" customHeight="1" spans="1:6">
      <c r="A773" s="11">
        <v>11245</v>
      </c>
      <c r="B773" s="11" t="s">
        <v>1409</v>
      </c>
      <c r="C773" s="12">
        <v>0</v>
      </c>
      <c r="D773" s="13">
        <v>0</v>
      </c>
      <c r="E773" s="12"/>
      <c r="F773" s="13"/>
    </row>
    <row r="774" ht="33" customHeight="1" spans="1:6">
      <c r="A774" s="11">
        <v>11246</v>
      </c>
      <c r="B774" s="11" t="s">
        <v>1410</v>
      </c>
      <c r="C774" s="12">
        <v>0</v>
      </c>
      <c r="D774" s="13">
        <v>0</v>
      </c>
      <c r="E774" s="12"/>
      <c r="F774" s="13"/>
    </row>
    <row r="775" ht="33" customHeight="1" spans="1:6">
      <c r="A775" s="11">
        <v>11262</v>
      </c>
      <c r="B775" s="11" t="s">
        <v>1411</v>
      </c>
      <c r="C775" s="12">
        <v>0</v>
      </c>
      <c r="D775" s="13">
        <v>0</v>
      </c>
      <c r="E775" s="12"/>
      <c r="F775" s="13"/>
    </row>
    <row r="776" ht="33" customHeight="1" spans="1:6">
      <c r="A776" s="11">
        <v>11270</v>
      </c>
      <c r="B776" s="11" t="s">
        <v>1412</v>
      </c>
      <c r="C776" s="12">
        <v>0</v>
      </c>
      <c r="D776" s="13">
        <v>0</v>
      </c>
      <c r="E776" s="12"/>
      <c r="F776" s="13"/>
    </row>
    <row r="777" ht="33" customHeight="1" spans="1:6">
      <c r="A777" s="11">
        <v>11284</v>
      </c>
      <c r="B777" s="11" t="s">
        <v>1413</v>
      </c>
      <c r="C777" s="12">
        <v>0</v>
      </c>
      <c r="D777" s="13">
        <v>0</v>
      </c>
      <c r="E777" s="12"/>
      <c r="F777" s="13"/>
    </row>
    <row r="778" ht="33" customHeight="1" spans="1:6">
      <c r="A778" s="11">
        <v>11288</v>
      </c>
      <c r="B778" s="11" t="s">
        <v>1414</v>
      </c>
      <c r="C778" s="12">
        <v>1</v>
      </c>
      <c r="D778" s="13">
        <v>31.61</v>
      </c>
      <c r="E778" s="12"/>
      <c r="F778" s="13"/>
    </row>
    <row r="779" ht="33" customHeight="1" spans="1:6">
      <c r="A779" s="11">
        <v>11290</v>
      </c>
      <c r="B779" s="11" t="s">
        <v>1415</v>
      </c>
      <c r="C779" s="12">
        <v>6</v>
      </c>
      <c r="D779" s="13">
        <v>396.5</v>
      </c>
      <c r="E779" s="12"/>
      <c r="F779" s="13"/>
    </row>
    <row r="780" ht="33" customHeight="1" spans="1:6">
      <c r="A780" s="11">
        <v>11312</v>
      </c>
      <c r="B780" s="11" t="s">
        <v>1416</v>
      </c>
      <c r="C780" s="12">
        <v>3</v>
      </c>
      <c r="D780" s="13">
        <v>405</v>
      </c>
      <c r="E780" s="12"/>
      <c r="F780" s="13"/>
    </row>
    <row r="781" ht="16.5" customHeight="1" spans="1:6">
      <c r="A781" s="11">
        <v>11327</v>
      </c>
      <c r="B781" s="11" t="s">
        <v>1417</v>
      </c>
      <c r="C781" s="12">
        <v>1</v>
      </c>
      <c r="D781" s="13">
        <v>146.59</v>
      </c>
      <c r="E781" s="12"/>
      <c r="F781" s="13"/>
    </row>
    <row r="782" ht="33" customHeight="1" spans="1:6">
      <c r="A782" s="11">
        <v>11330</v>
      </c>
      <c r="B782" s="11" t="s">
        <v>1418</v>
      </c>
      <c r="C782" s="12">
        <v>4</v>
      </c>
      <c r="D782" s="13">
        <v>141.86</v>
      </c>
      <c r="E782" s="12"/>
      <c r="F782" s="13"/>
    </row>
    <row r="783" ht="33" customHeight="1" spans="1:6">
      <c r="A783" s="11">
        <v>11331</v>
      </c>
      <c r="B783" s="11" t="s">
        <v>1419</v>
      </c>
      <c r="C783" s="12">
        <v>4</v>
      </c>
      <c r="D783" s="13">
        <v>129.16</v>
      </c>
      <c r="E783" s="12"/>
      <c r="F783" s="13"/>
    </row>
    <row r="784" ht="16.5" customHeight="1" spans="1:6">
      <c r="A784" s="11">
        <v>11345</v>
      </c>
      <c r="B784" s="11" t="s">
        <v>1420</v>
      </c>
      <c r="C784" s="12">
        <v>0</v>
      </c>
      <c r="D784" s="13">
        <v>0</v>
      </c>
      <c r="E784" s="12"/>
      <c r="F784" s="13"/>
    </row>
    <row r="785" ht="33" customHeight="1" spans="1:6">
      <c r="A785" s="11">
        <v>11346</v>
      </c>
      <c r="B785" s="11" t="s">
        <v>1421</v>
      </c>
      <c r="C785" s="12">
        <v>0</v>
      </c>
      <c r="D785" s="13">
        <v>0</v>
      </c>
      <c r="E785" s="12"/>
      <c r="F785" s="13"/>
    </row>
    <row r="786" ht="16.5" customHeight="1" spans="1:6">
      <c r="A786" s="11">
        <v>11348</v>
      </c>
      <c r="B786" s="11" t="s">
        <v>1422</v>
      </c>
      <c r="C786" s="12">
        <v>2</v>
      </c>
      <c r="D786" s="13">
        <v>238</v>
      </c>
      <c r="E786" s="12"/>
      <c r="F786" s="13"/>
    </row>
    <row r="787" ht="16.5" customHeight="1" spans="1:6">
      <c r="A787" s="11">
        <v>11349</v>
      </c>
      <c r="B787" s="11" t="s">
        <v>1423</v>
      </c>
      <c r="C787" s="12">
        <v>0</v>
      </c>
      <c r="D787" s="13">
        <v>0</v>
      </c>
      <c r="E787" s="12"/>
      <c r="F787" s="13"/>
    </row>
    <row r="788" ht="33" customHeight="1" spans="1:6">
      <c r="A788" s="11">
        <v>11350</v>
      </c>
      <c r="B788" s="11" t="s">
        <v>1424</v>
      </c>
      <c r="C788" s="12">
        <v>1</v>
      </c>
      <c r="D788" s="13">
        <v>180</v>
      </c>
      <c r="E788" s="12"/>
      <c r="F788" s="13"/>
    </row>
    <row r="789" ht="16.5" customHeight="1" spans="1:6">
      <c r="A789" s="11">
        <v>11380</v>
      </c>
      <c r="B789" s="11" t="s">
        <v>1425</v>
      </c>
      <c r="C789" s="12">
        <v>0</v>
      </c>
      <c r="D789" s="13">
        <v>0</v>
      </c>
      <c r="E789" s="12"/>
      <c r="F789" s="13"/>
    </row>
    <row r="790" ht="33" customHeight="1" spans="1:6">
      <c r="A790" s="11">
        <v>11398</v>
      </c>
      <c r="B790" s="11" t="s">
        <v>1426</v>
      </c>
      <c r="C790" s="12">
        <v>2</v>
      </c>
      <c r="D790" s="13">
        <v>399</v>
      </c>
      <c r="E790" s="12"/>
      <c r="F790" s="13"/>
    </row>
    <row r="791" ht="33" customHeight="1" spans="1:6">
      <c r="A791" s="11">
        <v>11446</v>
      </c>
      <c r="B791" s="11" t="s">
        <v>1427</v>
      </c>
      <c r="C791" s="12">
        <v>2</v>
      </c>
      <c r="D791" s="13">
        <v>23.4</v>
      </c>
      <c r="E791" s="12"/>
      <c r="F791" s="13"/>
    </row>
    <row r="792" ht="33" customHeight="1" spans="1:6">
      <c r="A792" s="11">
        <v>11405</v>
      </c>
      <c r="B792" s="11" t="s">
        <v>1428</v>
      </c>
      <c r="C792" s="12">
        <v>1</v>
      </c>
      <c r="D792" s="13">
        <v>175</v>
      </c>
      <c r="E792" s="12"/>
      <c r="F792" s="13"/>
    </row>
    <row r="793" ht="33" customHeight="1" spans="1:6">
      <c r="A793" s="11">
        <v>11406</v>
      </c>
      <c r="B793" s="11" t="s">
        <v>1429</v>
      </c>
      <c r="C793" s="12">
        <v>0</v>
      </c>
      <c r="D793" s="13">
        <v>0</v>
      </c>
      <c r="E793" s="12"/>
      <c r="F793" s="13"/>
    </row>
    <row r="794" ht="33" customHeight="1" spans="1:6">
      <c r="A794" s="11">
        <v>11455</v>
      </c>
      <c r="B794" s="11" t="s">
        <v>1430</v>
      </c>
      <c r="C794" s="12">
        <v>2</v>
      </c>
      <c r="D794" s="13">
        <v>79.52</v>
      </c>
      <c r="E794" s="12"/>
      <c r="F794" s="13"/>
    </row>
    <row r="795" ht="33" customHeight="1" spans="1:6">
      <c r="A795" s="11">
        <v>11456</v>
      </c>
      <c r="B795" s="11" t="s">
        <v>1431</v>
      </c>
      <c r="C795" s="12">
        <v>2</v>
      </c>
      <c r="D795" s="13">
        <v>60</v>
      </c>
      <c r="E795" s="12"/>
      <c r="F795" s="13"/>
    </row>
    <row r="796" ht="33" customHeight="1" spans="1:6">
      <c r="A796" s="11">
        <v>11464</v>
      </c>
      <c r="B796" s="11" t="s">
        <v>1432</v>
      </c>
      <c r="C796" s="12">
        <v>3</v>
      </c>
      <c r="D796" s="13">
        <v>585</v>
      </c>
      <c r="E796" s="12"/>
      <c r="F796" s="13"/>
    </row>
    <row r="797" ht="33" customHeight="1" spans="1:6">
      <c r="A797" s="11">
        <v>11465</v>
      </c>
      <c r="B797" s="11" t="s">
        <v>1433</v>
      </c>
      <c r="C797" s="12">
        <v>2</v>
      </c>
      <c r="D797" s="13">
        <v>176.9</v>
      </c>
      <c r="E797" s="12"/>
      <c r="F797" s="13"/>
    </row>
    <row r="798" ht="66" customHeight="1" spans="1:6">
      <c r="A798" s="11">
        <v>11490</v>
      </c>
      <c r="B798" s="11" t="s">
        <v>1434</v>
      </c>
      <c r="C798" s="12">
        <v>3</v>
      </c>
      <c r="D798" s="13">
        <v>342</v>
      </c>
      <c r="E798" s="12"/>
      <c r="F798" s="13"/>
    </row>
    <row r="799" ht="16.5" customHeight="1" spans="1:6">
      <c r="A799" s="11">
        <v>4133</v>
      </c>
      <c r="B799" s="11" t="s">
        <v>1435</v>
      </c>
      <c r="C799" s="12">
        <v>2</v>
      </c>
      <c r="D799" s="13">
        <v>77.76</v>
      </c>
      <c r="E799" s="12"/>
      <c r="F799" s="13"/>
    </row>
    <row r="800" ht="33" customHeight="1" spans="1:6">
      <c r="A800" s="14">
        <v>11510</v>
      </c>
      <c r="B800" s="11" t="s">
        <v>1436</v>
      </c>
      <c r="C800" s="12">
        <v>2</v>
      </c>
      <c r="D800" s="13">
        <v>123.2</v>
      </c>
      <c r="E800" s="12"/>
      <c r="F800" s="13"/>
    </row>
    <row r="801" ht="33" customHeight="1" spans="1:6">
      <c r="A801" s="14">
        <v>11512</v>
      </c>
      <c r="B801" s="11" t="s">
        <v>1437</v>
      </c>
      <c r="C801" s="12">
        <v>1</v>
      </c>
      <c r="D801" s="13">
        <v>46.08</v>
      </c>
      <c r="E801" s="12"/>
      <c r="F801" s="13"/>
    </row>
    <row r="802" ht="33" customHeight="1" spans="1:6">
      <c r="A802" s="14">
        <v>11513</v>
      </c>
      <c r="B802" s="11" t="s">
        <v>1438</v>
      </c>
      <c r="C802" s="12">
        <v>4</v>
      </c>
      <c r="D802" s="13">
        <v>235.56</v>
      </c>
      <c r="E802" s="12"/>
      <c r="F802" s="13"/>
    </row>
    <row r="803" ht="33" customHeight="1" spans="1:6">
      <c r="A803" s="14">
        <v>11528</v>
      </c>
      <c r="B803" s="11" t="s">
        <v>1439</v>
      </c>
      <c r="C803" s="12">
        <v>0</v>
      </c>
      <c r="D803" s="13">
        <v>0</v>
      </c>
      <c r="E803" s="12"/>
      <c r="F803" s="13"/>
    </row>
    <row r="804" ht="33" customHeight="1" spans="1:6">
      <c r="A804" s="14">
        <v>11546</v>
      </c>
      <c r="B804" s="11" t="s">
        <v>1440</v>
      </c>
      <c r="C804" s="12">
        <v>0</v>
      </c>
      <c r="D804" s="13">
        <v>0</v>
      </c>
      <c r="E804" s="12"/>
      <c r="F804" s="13"/>
    </row>
    <row r="805" ht="33" customHeight="1" spans="1:6">
      <c r="A805" s="14">
        <v>11547</v>
      </c>
      <c r="B805" s="11" t="s">
        <v>1441</v>
      </c>
      <c r="C805" s="12">
        <v>0</v>
      </c>
      <c r="D805" s="13">
        <v>0</v>
      </c>
      <c r="E805" s="12"/>
      <c r="F805" s="13"/>
    </row>
    <row r="806" ht="33" customHeight="1" spans="1:6">
      <c r="A806" s="14">
        <v>11552</v>
      </c>
      <c r="B806" s="11" t="s">
        <v>1442</v>
      </c>
      <c r="C806" s="12">
        <v>0</v>
      </c>
      <c r="D806" s="13">
        <v>0</v>
      </c>
      <c r="E806" s="12"/>
      <c r="F806" s="13"/>
    </row>
    <row r="807" ht="33" customHeight="1" spans="1:6">
      <c r="A807" s="14">
        <v>11553</v>
      </c>
      <c r="B807" s="11" t="s">
        <v>1443</v>
      </c>
      <c r="C807" s="12">
        <v>1</v>
      </c>
      <c r="D807" s="13">
        <v>27</v>
      </c>
      <c r="E807" s="12"/>
      <c r="F807" s="13"/>
    </row>
    <row r="808" ht="33" customHeight="1" spans="1:6">
      <c r="A808" s="14">
        <v>11554</v>
      </c>
      <c r="B808" s="11" t="s">
        <v>1444</v>
      </c>
      <c r="C808" s="12">
        <v>0</v>
      </c>
      <c r="D808" s="13">
        <v>0</v>
      </c>
      <c r="E808" s="12"/>
      <c r="F808" s="13"/>
    </row>
    <row r="809" ht="33" customHeight="1" spans="1:6">
      <c r="A809" s="14">
        <v>11600</v>
      </c>
      <c r="B809" s="11" t="s">
        <v>1445</v>
      </c>
      <c r="C809" s="12">
        <v>7</v>
      </c>
      <c r="D809" s="13">
        <v>241</v>
      </c>
      <c r="E809" s="12"/>
      <c r="F809" s="13"/>
    </row>
    <row r="810" ht="33" customHeight="1" spans="1:6">
      <c r="A810" s="14">
        <v>11601</v>
      </c>
      <c r="B810" s="11" t="s">
        <v>1446</v>
      </c>
      <c r="C810" s="12">
        <v>3</v>
      </c>
      <c r="D810" s="13">
        <v>102</v>
      </c>
      <c r="E810" s="12"/>
      <c r="F810" s="13"/>
    </row>
    <row r="811" ht="33" customHeight="1" spans="1:6">
      <c r="A811" s="14">
        <v>11603</v>
      </c>
      <c r="B811" s="11" t="s">
        <v>1447</v>
      </c>
      <c r="C811" s="12">
        <v>1</v>
      </c>
      <c r="D811" s="13">
        <v>119</v>
      </c>
      <c r="E811" s="12"/>
      <c r="F811" s="13"/>
    </row>
    <row r="812" ht="16.5" customHeight="1" spans="1:6">
      <c r="A812" s="14">
        <v>11650</v>
      </c>
      <c r="B812" s="11" t="s">
        <v>1448</v>
      </c>
      <c r="C812" s="12">
        <v>1</v>
      </c>
      <c r="D812" s="13">
        <v>125</v>
      </c>
      <c r="E812" s="12"/>
      <c r="F812" s="13"/>
    </row>
    <row r="813" ht="33" customHeight="1" spans="1:6">
      <c r="A813" s="14">
        <v>11655</v>
      </c>
      <c r="B813" s="11" t="s">
        <v>1449</v>
      </c>
      <c r="C813" s="12">
        <v>1</v>
      </c>
      <c r="D813" s="13">
        <v>31.59</v>
      </c>
      <c r="E813" s="12"/>
      <c r="F813" s="13"/>
    </row>
    <row r="814" ht="33" customHeight="1" spans="1:6">
      <c r="A814" s="14">
        <v>11656</v>
      </c>
      <c r="B814" s="11" t="s">
        <v>1450</v>
      </c>
      <c r="C814" s="12">
        <v>0</v>
      </c>
      <c r="D814" s="13">
        <v>0</v>
      </c>
      <c r="E814" s="12"/>
      <c r="F814" s="13"/>
    </row>
    <row r="815" ht="33" customHeight="1" spans="1:6">
      <c r="A815" s="14">
        <v>11668</v>
      </c>
      <c r="B815" s="11" t="s">
        <v>1451</v>
      </c>
      <c r="C815" s="12">
        <v>0</v>
      </c>
      <c r="D815" s="13">
        <v>0</v>
      </c>
      <c r="E815" s="12"/>
      <c r="F815" s="13"/>
    </row>
    <row r="816" ht="16.5" customHeight="1" spans="1:6">
      <c r="A816" s="14">
        <v>11674</v>
      </c>
      <c r="B816" s="11" t="s">
        <v>1452</v>
      </c>
      <c r="C816" s="12">
        <v>0</v>
      </c>
      <c r="D816" s="13">
        <v>0</v>
      </c>
      <c r="E816" s="12"/>
      <c r="F816" s="13"/>
    </row>
    <row r="817" ht="33" customHeight="1" spans="1:6">
      <c r="A817" s="14">
        <v>11681</v>
      </c>
      <c r="B817" s="11" t="s">
        <v>1453</v>
      </c>
      <c r="C817" s="12">
        <v>0</v>
      </c>
      <c r="D817" s="13">
        <v>0</v>
      </c>
      <c r="E817" s="12"/>
      <c r="F817" s="13"/>
    </row>
    <row r="818" ht="33" customHeight="1" spans="1:6">
      <c r="A818" s="14">
        <v>11682</v>
      </c>
      <c r="B818" s="11" t="s">
        <v>1454</v>
      </c>
      <c r="C818" s="12">
        <v>0</v>
      </c>
      <c r="D818" s="13">
        <v>0</v>
      </c>
      <c r="E818" s="12"/>
      <c r="F818" s="13"/>
    </row>
    <row r="819" ht="33" customHeight="1" spans="1:6">
      <c r="A819" s="14">
        <v>11683</v>
      </c>
      <c r="B819" s="11" t="s">
        <v>1455</v>
      </c>
      <c r="C819" s="12">
        <v>0</v>
      </c>
      <c r="D819" s="13">
        <v>0</v>
      </c>
      <c r="E819" s="12"/>
      <c r="F819" s="13"/>
    </row>
    <row r="820" ht="33" customHeight="1" spans="1:6">
      <c r="A820" s="14">
        <v>11699</v>
      </c>
      <c r="B820" s="11" t="s">
        <v>1456</v>
      </c>
      <c r="C820" s="12">
        <v>1</v>
      </c>
      <c r="D820" s="13">
        <v>110</v>
      </c>
      <c r="E820" s="12"/>
      <c r="F820" s="13"/>
    </row>
    <row r="821" ht="33" customHeight="1" spans="1:6">
      <c r="A821" s="14">
        <v>11704</v>
      </c>
      <c r="B821" s="11" t="s">
        <v>1457</v>
      </c>
      <c r="C821" s="12">
        <v>1</v>
      </c>
      <c r="D821" s="13">
        <v>95.55</v>
      </c>
      <c r="E821" s="12"/>
      <c r="F821" s="13"/>
    </row>
    <row r="822" ht="33" customHeight="1" spans="1:6">
      <c r="A822" s="14">
        <v>11733</v>
      </c>
      <c r="B822" s="11" t="s">
        <v>1458</v>
      </c>
      <c r="C822" s="12">
        <v>0</v>
      </c>
      <c r="D822" s="13">
        <v>0</v>
      </c>
      <c r="E822" s="12"/>
      <c r="F822" s="13"/>
    </row>
    <row r="823" ht="33" customHeight="1" spans="1:6">
      <c r="A823" s="14">
        <v>11736</v>
      </c>
      <c r="B823" s="11" t="s">
        <v>1459</v>
      </c>
      <c r="C823" s="12">
        <v>4</v>
      </c>
      <c r="D823" s="13">
        <v>435.21</v>
      </c>
      <c r="E823" s="12"/>
      <c r="F823" s="13"/>
    </row>
    <row r="824" ht="33" customHeight="1" spans="1:6">
      <c r="A824" s="14">
        <v>11742</v>
      </c>
      <c r="B824" s="11" t="s">
        <v>1460</v>
      </c>
      <c r="C824" s="12">
        <v>2</v>
      </c>
      <c r="D824" s="13">
        <v>220</v>
      </c>
      <c r="E824" s="12"/>
      <c r="F824" s="13"/>
    </row>
    <row r="825" ht="16.5" customHeight="1" spans="1:6">
      <c r="A825" s="14">
        <v>11745</v>
      </c>
      <c r="B825" s="11" t="s">
        <v>1461</v>
      </c>
      <c r="C825" s="12">
        <v>2</v>
      </c>
      <c r="D825" s="13">
        <v>132.98</v>
      </c>
      <c r="E825" s="12"/>
      <c r="F825" s="13"/>
    </row>
    <row r="826" ht="16.5" customHeight="1" spans="1:6">
      <c r="A826" s="14">
        <v>11751</v>
      </c>
      <c r="B826" s="11" t="s">
        <v>1462</v>
      </c>
      <c r="C826" s="12">
        <v>1</v>
      </c>
      <c r="D826" s="13">
        <v>69</v>
      </c>
      <c r="E826" s="12"/>
      <c r="F826" s="13"/>
    </row>
    <row r="827" ht="33" customHeight="1" spans="1:6">
      <c r="A827" s="14">
        <v>11756</v>
      </c>
      <c r="B827" s="11" t="s">
        <v>1463</v>
      </c>
      <c r="C827" s="12">
        <v>0</v>
      </c>
      <c r="D827" s="13">
        <v>0</v>
      </c>
      <c r="E827" s="12"/>
      <c r="F827" s="13"/>
    </row>
    <row r="828" ht="33" customHeight="1" spans="1:6">
      <c r="A828" s="14">
        <v>11757</v>
      </c>
      <c r="B828" s="11" t="s">
        <v>1464</v>
      </c>
      <c r="C828" s="12">
        <v>1</v>
      </c>
      <c r="D828" s="13">
        <v>48</v>
      </c>
      <c r="E828" s="12"/>
      <c r="F828" s="13"/>
    </row>
    <row r="829" ht="33" customHeight="1" spans="1:6">
      <c r="A829" s="14">
        <v>11758</v>
      </c>
      <c r="B829" s="11" t="s">
        <v>1465</v>
      </c>
      <c r="C829" s="12">
        <v>5</v>
      </c>
      <c r="D829" s="13">
        <v>227.23</v>
      </c>
      <c r="E829" s="12"/>
      <c r="F829" s="13"/>
    </row>
    <row r="830" ht="16.5" customHeight="1" spans="1:6">
      <c r="A830" s="14">
        <v>11764</v>
      </c>
      <c r="B830" s="11" t="e">
        <v>#N/A</v>
      </c>
      <c r="C830" s="12">
        <v>0</v>
      </c>
      <c r="D830" s="13">
        <v>0</v>
      </c>
      <c r="E830" s="12"/>
      <c r="F830" s="13"/>
    </row>
    <row r="831" ht="16.5" customHeight="1" spans="1:6">
      <c r="A831" s="14">
        <v>11765</v>
      </c>
      <c r="B831" s="11" t="e">
        <v>#N/A</v>
      </c>
      <c r="C831" s="12">
        <v>0</v>
      </c>
      <c r="D831" s="13">
        <v>0</v>
      </c>
      <c r="E831" s="12"/>
      <c r="F831" s="13"/>
    </row>
    <row r="832" ht="16.5" customHeight="1" spans="1:6">
      <c r="A832" s="14">
        <v>11777</v>
      </c>
      <c r="B832" s="11" t="s">
        <v>1466</v>
      </c>
      <c r="C832" s="12">
        <v>0</v>
      </c>
      <c r="D832" s="13">
        <v>0</v>
      </c>
      <c r="E832" s="12"/>
      <c r="F832" s="13"/>
    </row>
    <row r="833" ht="33" customHeight="1" spans="1:6">
      <c r="A833" s="14">
        <v>11778</v>
      </c>
      <c r="B833" s="11" t="s">
        <v>1467</v>
      </c>
      <c r="C833" s="12">
        <v>0</v>
      </c>
      <c r="D833" s="13">
        <v>0</v>
      </c>
      <c r="E833" s="12"/>
      <c r="F833" s="13"/>
    </row>
    <row r="834" ht="33" customHeight="1" spans="1:6">
      <c r="A834" s="14">
        <v>11780</v>
      </c>
      <c r="B834" s="11" t="s">
        <v>1468</v>
      </c>
      <c r="C834" s="12">
        <v>0</v>
      </c>
      <c r="D834" s="13">
        <v>0</v>
      </c>
      <c r="E834" s="12"/>
      <c r="F834" s="13"/>
    </row>
    <row r="835" ht="33" customHeight="1" spans="1:6">
      <c r="A835" s="14">
        <v>11781</v>
      </c>
      <c r="B835" s="11" t="s">
        <v>1469</v>
      </c>
      <c r="C835" s="12">
        <v>1</v>
      </c>
      <c r="D835" s="13">
        <v>27.5</v>
      </c>
      <c r="E835" s="12"/>
      <c r="F835" s="13"/>
    </row>
    <row r="836" ht="33" customHeight="1" spans="1:6">
      <c r="A836" s="14">
        <v>11792</v>
      </c>
      <c r="B836" s="11" t="s">
        <v>1470</v>
      </c>
      <c r="C836" s="12">
        <v>0</v>
      </c>
      <c r="D836" s="13">
        <v>0</v>
      </c>
      <c r="E836" s="12"/>
      <c r="F836" s="13"/>
    </row>
    <row r="837" ht="33" customHeight="1" spans="1:6">
      <c r="A837" s="14">
        <v>11793</v>
      </c>
      <c r="B837" s="11" t="s">
        <v>1471</v>
      </c>
      <c r="C837" s="12">
        <v>1</v>
      </c>
      <c r="D837" s="13">
        <v>30</v>
      </c>
      <c r="E837" s="12"/>
      <c r="F837" s="13"/>
    </row>
    <row r="838" ht="16.5" customHeight="1" spans="1:6">
      <c r="A838" s="14">
        <v>11794</v>
      </c>
      <c r="B838" s="11" t="s">
        <v>1472</v>
      </c>
      <c r="C838" s="12">
        <v>2</v>
      </c>
      <c r="D838" s="13">
        <v>155.95</v>
      </c>
      <c r="E838" s="12"/>
      <c r="F838" s="13"/>
    </row>
    <row r="839" ht="33" customHeight="1" spans="1:6">
      <c r="A839" s="14">
        <v>11808</v>
      </c>
      <c r="B839" s="11" t="s">
        <v>1473</v>
      </c>
      <c r="C839" s="12">
        <v>0</v>
      </c>
      <c r="D839" s="13">
        <v>0</v>
      </c>
      <c r="E839" s="12"/>
      <c r="F839" s="13"/>
    </row>
    <row r="840" ht="33" customHeight="1" spans="1:6">
      <c r="A840" s="14">
        <v>11809</v>
      </c>
      <c r="B840" s="11" t="s">
        <v>1474</v>
      </c>
      <c r="C840" s="12">
        <v>3</v>
      </c>
      <c r="D840" s="13">
        <v>152.99</v>
      </c>
      <c r="E840" s="12"/>
      <c r="F840" s="13"/>
    </row>
    <row r="841" ht="16.5" customHeight="1" spans="1:6">
      <c r="A841" s="14">
        <v>11814</v>
      </c>
      <c r="B841" s="11" t="s">
        <v>1475</v>
      </c>
      <c r="C841" s="12">
        <v>0</v>
      </c>
      <c r="D841" s="13">
        <v>0</v>
      </c>
      <c r="E841" s="12"/>
      <c r="F841" s="13"/>
    </row>
    <row r="842" ht="16.5" customHeight="1" spans="1:6">
      <c r="A842" s="14">
        <v>11815</v>
      </c>
      <c r="B842" s="11" t="s">
        <v>1476</v>
      </c>
      <c r="C842" s="12">
        <v>0</v>
      </c>
      <c r="D842" s="13">
        <v>0</v>
      </c>
      <c r="E842" s="12"/>
      <c r="F842" s="13"/>
    </row>
    <row r="843" ht="33" customHeight="1" spans="1:6">
      <c r="A843" s="14">
        <v>11823</v>
      </c>
      <c r="B843" s="11" t="s">
        <v>1477</v>
      </c>
      <c r="C843" s="12">
        <v>1</v>
      </c>
      <c r="D843" s="13">
        <v>37</v>
      </c>
      <c r="E843" s="12"/>
      <c r="F843" s="13"/>
    </row>
    <row r="844" ht="16.5" customHeight="1" spans="1:6">
      <c r="A844" s="14">
        <v>11824</v>
      </c>
      <c r="B844" s="11" t="s">
        <v>1478</v>
      </c>
      <c r="C844" s="12">
        <v>3</v>
      </c>
      <c r="D844" s="13">
        <v>405</v>
      </c>
      <c r="E844" s="12"/>
      <c r="F844" s="13"/>
    </row>
    <row r="845" ht="16.5" customHeight="1" spans="1:6">
      <c r="A845" s="14">
        <v>11826</v>
      </c>
      <c r="B845" s="11" t="s">
        <v>1479</v>
      </c>
      <c r="C845" s="12">
        <v>3</v>
      </c>
      <c r="D845" s="13">
        <v>135</v>
      </c>
      <c r="E845" s="12"/>
      <c r="F845" s="13"/>
    </row>
    <row r="846" ht="16.5" customHeight="1" spans="1:6">
      <c r="A846" s="14">
        <v>11830</v>
      </c>
      <c r="B846" s="11" t="s">
        <v>1480</v>
      </c>
      <c r="C846" s="12">
        <v>1</v>
      </c>
      <c r="D846" s="13">
        <v>59</v>
      </c>
      <c r="E846" s="12"/>
      <c r="F846" s="13"/>
    </row>
    <row r="847" ht="16.5" customHeight="1" spans="1:6">
      <c r="A847" s="14">
        <v>11833</v>
      </c>
      <c r="B847" s="11" t="s">
        <v>1481</v>
      </c>
      <c r="C847" s="12">
        <v>1</v>
      </c>
      <c r="D847" s="13">
        <v>45</v>
      </c>
      <c r="E847" s="12"/>
      <c r="F847" s="13"/>
    </row>
    <row r="848" ht="16.5" customHeight="1" spans="1:6">
      <c r="A848" s="14">
        <v>11839</v>
      </c>
      <c r="B848" s="11" t="s">
        <v>1482</v>
      </c>
      <c r="C848" s="12">
        <v>1</v>
      </c>
      <c r="D848" s="13">
        <v>47</v>
      </c>
      <c r="E848" s="12"/>
      <c r="F848" s="13"/>
    </row>
    <row r="849" ht="16.5" customHeight="1" spans="1:6">
      <c r="A849" s="14">
        <v>11840</v>
      </c>
      <c r="B849" s="11" t="s">
        <v>1483</v>
      </c>
      <c r="C849" s="12">
        <v>2</v>
      </c>
      <c r="D849" s="13">
        <v>106.82</v>
      </c>
      <c r="E849" s="12"/>
      <c r="F849" s="13"/>
    </row>
    <row r="850" ht="33" customHeight="1" spans="1:6">
      <c r="A850" s="14">
        <v>11848</v>
      </c>
      <c r="B850" s="11" t="s">
        <v>1484</v>
      </c>
      <c r="C850" s="12">
        <v>0</v>
      </c>
      <c r="D850" s="13">
        <v>0</v>
      </c>
      <c r="E850" s="12"/>
      <c r="F850" s="13"/>
    </row>
    <row r="851" ht="33" customHeight="1" spans="1:6">
      <c r="A851" s="14">
        <v>11852</v>
      </c>
      <c r="B851" s="11" t="s">
        <v>1485</v>
      </c>
      <c r="C851" s="12">
        <v>5</v>
      </c>
      <c r="D851" s="13">
        <v>2093.59</v>
      </c>
      <c r="E851" s="12"/>
      <c r="F851" s="13"/>
    </row>
    <row r="852" ht="33" customHeight="1" spans="1:6">
      <c r="A852" s="14">
        <v>11855</v>
      </c>
      <c r="B852" s="11" t="s">
        <v>1486</v>
      </c>
      <c r="C852" s="12">
        <v>0</v>
      </c>
      <c r="D852" s="13">
        <v>0</v>
      </c>
      <c r="E852" s="12"/>
      <c r="F852" s="13"/>
    </row>
    <row r="853" ht="33" customHeight="1" spans="1:6">
      <c r="A853" s="14">
        <v>11856</v>
      </c>
      <c r="B853" s="11" t="s">
        <v>1487</v>
      </c>
      <c r="C853" s="12">
        <v>0</v>
      </c>
      <c r="D853" s="13">
        <v>0</v>
      </c>
      <c r="E853" s="12"/>
      <c r="F853" s="13"/>
    </row>
    <row r="854" ht="33" customHeight="1" spans="1:6">
      <c r="A854" s="14">
        <v>11857</v>
      </c>
      <c r="B854" s="11" t="s">
        <v>1488</v>
      </c>
      <c r="C854" s="12">
        <v>0</v>
      </c>
      <c r="D854" s="13">
        <v>0</v>
      </c>
      <c r="E854" s="12"/>
      <c r="F854" s="13"/>
    </row>
    <row r="855" ht="33" customHeight="1" spans="1:6">
      <c r="A855" s="14">
        <v>11866</v>
      </c>
      <c r="B855" s="11" t="s">
        <v>1489</v>
      </c>
      <c r="C855" s="12">
        <v>1</v>
      </c>
      <c r="D855" s="13">
        <v>25.5</v>
      </c>
      <c r="E855" s="12"/>
      <c r="F855" s="13"/>
    </row>
    <row r="856" ht="33" customHeight="1" spans="1:6">
      <c r="A856" s="14">
        <v>11867</v>
      </c>
      <c r="B856" s="11" t="s">
        <v>1490</v>
      </c>
      <c r="C856" s="12">
        <v>2</v>
      </c>
      <c r="D856" s="13">
        <v>52</v>
      </c>
      <c r="E856" s="12"/>
      <c r="F856" s="13"/>
    </row>
    <row r="857" ht="16.5" customHeight="1" spans="1:6">
      <c r="A857" s="14">
        <v>11874</v>
      </c>
      <c r="B857" s="11" t="s">
        <v>1491</v>
      </c>
      <c r="C857" s="12">
        <v>0</v>
      </c>
      <c r="D857" s="13">
        <v>0</v>
      </c>
      <c r="E857" s="12"/>
      <c r="F857" s="13"/>
    </row>
    <row r="858" ht="33" customHeight="1" spans="1:6">
      <c r="A858" s="14">
        <v>11875</v>
      </c>
      <c r="B858" s="11" t="s">
        <v>1492</v>
      </c>
      <c r="C858" s="12">
        <v>0</v>
      </c>
      <c r="D858" s="13">
        <v>0</v>
      </c>
      <c r="E858" s="12"/>
      <c r="F858" s="13"/>
    </row>
    <row r="859" ht="33" customHeight="1" spans="1:6">
      <c r="A859" s="14">
        <v>11876</v>
      </c>
      <c r="B859" s="11" t="s">
        <v>1493</v>
      </c>
      <c r="C859" s="12">
        <v>0</v>
      </c>
      <c r="D859" s="13">
        <v>0</v>
      </c>
      <c r="E859" s="12"/>
      <c r="F859" s="13"/>
    </row>
    <row r="860" ht="16.5" customHeight="1" spans="1:6">
      <c r="A860" s="14">
        <v>11884</v>
      </c>
      <c r="B860" s="11" t="e">
        <v>#N/A</v>
      </c>
      <c r="C860" s="12">
        <v>0</v>
      </c>
      <c r="D860" s="13">
        <v>0</v>
      </c>
      <c r="E860" s="12"/>
      <c r="F860" s="13"/>
    </row>
    <row r="861" ht="16.5" customHeight="1" spans="1:6">
      <c r="A861" s="14">
        <v>11885</v>
      </c>
      <c r="B861" s="11" t="e">
        <v>#N/A</v>
      </c>
      <c r="C861" s="12">
        <v>0</v>
      </c>
      <c r="D861" s="13">
        <v>0</v>
      </c>
      <c r="E861" s="12"/>
      <c r="F861" s="13"/>
    </row>
    <row r="862" ht="33" customHeight="1" spans="1:6">
      <c r="A862" s="14">
        <v>11890</v>
      </c>
      <c r="B862" s="11" t="s">
        <v>1494</v>
      </c>
      <c r="C862" s="12">
        <v>1</v>
      </c>
      <c r="D862" s="13">
        <v>42.3</v>
      </c>
      <c r="E862" s="12"/>
      <c r="F862" s="13"/>
    </row>
    <row r="863" ht="33" customHeight="1" spans="1:6">
      <c r="A863" s="14">
        <v>11904</v>
      </c>
      <c r="B863" s="11" t="s">
        <v>1495</v>
      </c>
      <c r="C863" s="12">
        <v>2</v>
      </c>
      <c r="D863" s="13">
        <v>158.28</v>
      </c>
      <c r="E863" s="12"/>
      <c r="F863" s="13"/>
    </row>
    <row r="864" ht="33" customHeight="1" spans="1:6">
      <c r="A864" s="14">
        <v>11911</v>
      </c>
      <c r="B864" s="11" t="s">
        <v>1496</v>
      </c>
      <c r="C864" s="12">
        <v>5</v>
      </c>
      <c r="D864" s="13">
        <v>313.24</v>
      </c>
      <c r="E864" s="12"/>
      <c r="F864" s="13"/>
    </row>
    <row r="865" ht="33" customHeight="1" spans="1:6">
      <c r="A865" s="14">
        <v>11921</v>
      </c>
      <c r="B865" s="11" t="s">
        <v>1497</v>
      </c>
      <c r="C865" s="12">
        <v>4</v>
      </c>
      <c r="D865" s="13">
        <v>651</v>
      </c>
      <c r="E865" s="12"/>
      <c r="F865" s="13"/>
    </row>
    <row r="866" ht="33" customHeight="1" spans="1:6">
      <c r="A866" s="14">
        <v>11922</v>
      </c>
      <c r="B866" s="11" t="s">
        <v>1498</v>
      </c>
      <c r="C866" s="12">
        <v>4</v>
      </c>
      <c r="D866" s="13">
        <v>739.5</v>
      </c>
      <c r="E866" s="12"/>
      <c r="F866" s="13"/>
    </row>
    <row r="867" ht="33" customHeight="1" spans="1:6">
      <c r="A867" s="14">
        <v>11923</v>
      </c>
      <c r="B867" s="11" t="s">
        <v>1499</v>
      </c>
      <c r="C867" s="12">
        <v>3</v>
      </c>
      <c r="D867" s="13">
        <v>477</v>
      </c>
      <c r="E867" s="12"/>
      <c r="F867" s="13"/>
    </row>
    <row r="868" ht="33" customHeight="1" spans="1:6">
      <c r="A868" s="14">
        <v>11925</v>
      </c>
      <c r="B868" s="11" t="s">
        <v>1500</v>
      </c>
      <c r="C868" s="12">
        <v>3</v>
      </c>
      <c r="D868" s="13">
        <v>946.73</v>
      </c>
      <c r="E868" s="12"/>
      <c r="F868" s="13"/>
    </row>
    <row r="869" ht="33" customHeight="1" spans="1:6">
      <c r="A869" s="14">
        <v>11926</v>
      </c>
      <c r="B869" s="11" t="s">
        <v>568</v>
      </c>
      <c r="C869" s="12">
        <v>4</v>
      </c>
      <c r="D869" s="13">
        <v>316</v>
      </c>
      <c r="E869" s="12"/>
      <c r="F869" s="13"/>
    </row>
    <row r="870" ht="33" customHeight="1" spans="1:6">
      <c r="A870" s="14">
        <v>11927</v>
      </c>
      <c r="B870" s="11" t="s">
        <v>1501</v>
      </c>
      <c r="C870" s="12">
        <v>2</v>
      </c>
      <c r="D870" s="13">
        <v>60</v>
      </c>
      <c r="E870" s="12"/>
      <c r="F870" s="13"/>
    </row>
    <row r="871" ht="33" customHeight="1" spans="1:6">
      <c r="A871" s="14">
        <v>11928</v>
      </c>
      <c r="B871" s="11" t="s">
        <v>1502</v>
      </c>
      <c r="C871" s="12">
        <v>0</v>
      </c>
      <c r="D871" s="13">
        <v>0</v>
      </c>
      <c r="E871" s="12"/>
      <c r="F871" s="13"/>
    </row>
    <row r="872" ht="16.5" customHeight="1" spans="1:6">
      <c r="A872" s="14">
        <v>11929</v>
      </c>
      <c r="B872" s="11" t="s">
        <v>1503</v>
      </c>
      <c r="C872" s="12">
        <v>0</v>
      </c>
      <c r="D872" s="13">
        <v>0</v>
      </c>
      <c r="E872" s="12"/>
      <c r="F872" s="13"/>
    </row>
    <row r="873" ht="16.5" customHeight="1" spans="1:6">
      <c r="A873" s="14">
        <v>11933</v>
      </c>
      <c r="B873" s="11" t="s">
        <v>1504</v>
      </c>
      <c r="C873" s="12">
        <v>1</v>
      </c>
      <c r="D873" s="13">
        <v>69</v>
      </c>
      <c r="E873" s="12"/>
      <c r="F873" s="13"/>
    </row>
    <row r="874" ht="33" customHeight="1" spans="1:6">
      <c r="A874" s="14">
        <v>11936</v>
      </c>
      <c r="B874" s="11" t="s">
        <v>1505</v>
      </c>
      <c r="C874" s="12">
        <v>1</v>
      </c>
      <c r="D874" s="13">
        <v>25</v>
      </c>
      <c r="E874" s="12"/>
      <c r="F874" s="13"/>
    </row>
    <row r="875" ht="33" customHeight="1" spans="1:6">
      <c r="A875" s="14">
        <v>11937</v>
      </c>
      <c r="B875" s="11" t="s">
        <v>1506</v>
      </c>
      <c r="C875" s="12">
        <v>0</v>
      </c>
      <c r="D875" s="13">
        <v>0</v>
      </c>
      <c r="E875" s="12"/>
      <c r="F875" s="13"/>
    </row>
    <row r="876" ht="33" customHeight="1" spans="1:6">
      <c r="A876" s="14">
        <v>11938</v>
      </c>
      <c r="B876" s="11" t="s">
        <v>1507</v>
      </c>
      <c r="C876" s="12">
        <v>1</v>
      </c>
      <c r="D876" s="13">
        <v>38.99</v>
      </c>
      <c r="E876" s="12"/>
      <c r="F876" s="13"/>
    </row>
    <row r="877" ht="33" customHeight="1" spans="1:6">
      <c r="A877" s="14">
        <v>11982</v>
      </c>
      <c r="B877" s="11" t="s">
        <v>1508</v>
      </c>
      <c r="C877" s="12">
        <v>2</v>
      </c>
      <c r="D877" s="13">
        <v>310</v>
      </c>
      <c r="E877" s="12"/>
      <c r="F877" s="13"/>
    </row>
    <row r="878" ht="33" customHeight="1" spans="1:6">
      <c r="A878" s="14">
        <v>12303</v>
      </c>
      <c r="B878" s="11" t="s">
        <v>1509</v>
      </c>
      <c r="C878" s="12">
        <v>3</v>
      </c>
      <c r="D878" s="13">
        <v>114.1</v>
      </c>
      <c r="E878" s="12"/>
      <c r="F878" s="13"/>
    </row>
    <row r="879" ht="16.5" customHeight="1" spans="1:6">
      <c r="A879" s="14">
        <v>2429</v>
      </c>
      <c r="B879" s="11" t="s">
        <v>1510</v>
      </c>
      <c r="C879" s="12">
        <v>0</v>
      </c>
      <c r="D879" s="13">
        <v>0</v>
      </c>
      <c r="E879" s="12"/>
      <c r="F879" s="13"/>
    </row>
    <row r="880" ht="16.5" customHeight="1" spans="1:6">
      <c r="A880" s="14">
        <v>5836</v>
      </c>
      <c r="B880" s="11" t="s">
        <v>1511</v>
      </c>
      <c r="C880" s="12">
        <v>0</v>
      </c>
      <c r="D880" s="13">
        <v>0</v>
      </c>
      <c r="E880" s="12"/>
      <c r="F880" s="13"/>
    </row>
    <row r="881" ht="49.5" customHeight="1" spans="1:6">
      <c r="A881" s="14">
        <v>12359</v>
      </c>
      <c r="B881" s="11" t="s">
        <v>1512</v>
      </c>
      <c r="C881" s="12">
        <v>0</v>
      </c>
      <c r="D881" s="13">
        <v>0</v>
      </c>
      <c r="E881" s="12"/>
      <c r="F881" s="13"/>
    </row>
    <row r="882" ht="16.5" customHeight="1" spans="1:6">
      <c r="A882" s="15">
        <v>12000</v>
      </c>
      <c r="B882" s="11" t="e">
        <v>#N/A</v>
      </c>
      <c r="C882" s="12">
        <v>0</v>
      </c>
      <c r="D882" s="13">
        <v>0</v>
      </c>
      <c r="E882" s="12"/>
      <c r="F882" s="13"/>
    </row>
    <row r="883" ht="33" customHeight="1" spans="1:6">
      <c r="A883" s="11">
        <v>11981</v>
      </c>
      <c r="B883" s="11" t="s">
        <v>1513</v>
      </c>
      <c r="C883" s="12">
        <v>1</v>
      </c>
      <c r="D883" s="13">
        <v>159</v>
      </c>
      <c r="E883" s="12"/>
      <c r="F883" s="13"/>
    </row>
    <row r="884" ht="33" customHeight="1" spans="1:6">
      <c r="A884" s="11">
        <v>12002</v>
      </c>
      <c r="B884" s="11" t="s">
        <v>544</v>
      </c>
      <c r="C884" s="12">
        <v>0</v>
      </c>
      <c r="D884" s="13">
        <v>0</v>
      </c>
      <c r="E884" s="12"/>
      <c r="F884" s="13"/>
    </row>
    <row r="885" ht="16.5" customHeight="1" spans="1:6">
      <c r="A885" s="11">
        <v>12005</v>
      </c>
      <c r="B885" s="11" t="s">
        <v>494</v>
      </c>
      <c r="C885" s="12">
        <v>8</v>
      </c>
      <c r="D885" s="13">
        <v>538.2</v>
      </c>
      <c r="E885" s="12"/>
      <c r="F885" s="13"/>
    </row>
    <row r="886" ht="16.5" customHeight="1" spans="1:6">
      <c r="A886" s="11">
        <v>12006</v>
      </c>
      <c r="B886" s="11" t="s">
        <v>487</v>
      </c>
      <c r="C886" s="12">
        <v>10</v>
      </c>
      <c r="D886" s="13">
        <v>649.9</v>
      </c>
      <c r="E886" s="12"/>
      <c r="F886" s="13"/>
    </row>
    <row r="887" ht="16.5" customHeight="1" spans="1:6">
      <c r="A887" s="16">
        <v>12021</v>
      </c>
      <c r="B887" s="11" t="s">
        <v>523</v>
      </c>
      <c r="C887" s="12">
        <v>1</v>
      </c>
      <c r="D887" s="13">
        <v>50.99</v>
      </c>
      <c r="E887" s="12"/>
      <c r="F887" s="13"/>
    </row>
    <row r="888" ht="16.5" customHeight="1" spans="1:6">
      <c r="A888" s="11">
        <v>12023</v>
      </c>
      <c r="B888" s="11" t="s">
        <v>1514</v>
      </c>
      <c r="C888" s="12">
        <v>2</v>
      </c>
      <c r="D888" s="13">
        <v>106</v>
      </c>
      <c r="E888" s="12"/>
      <c r="F888" s="13"/>
    </row>
    <row r="889" ht="33" customHeight="1" spans="1:6">
      <c r="A889" s="11">
        <v>11998</v>
      </c>
      <c r="B889" s="11" t="s">
        <v>1515</v>
      </c>
      <c r="C889" s="12">
        <v>2</v>
      </c>
      <c r="D889" s="13">
        <v>1000</v>
      </c>
      <c r="E889" s="12"/>
      <c r="F889" s="13"/>
    </row>
    <row r="890" ht="33" customHeight="1" spans="1:6">
      <c r="A890" s="11">
        <v>12088</v>
      </c>
      <c r="B890" s="11" t="s">
        <v>533</v>
      </c>
      <c r="C890" s="12">
        <v>0</v>
      </c>
      <c r="D890" s="13">
        <v>0</v>
      </c>
      <c r="E890" s="12"/>
      <c r="F890" s="13"/>
    </row>
    <row r="891" ht="33" customHeight="1" spans="1:6">
      <c r="A891" s="11">
        <v>12089</v>
      </c>
      <c r="B891" s="11" t="s">
        <v>525</v>
      </c>
      <c r="C891" s="12">
        <v>1</v>
      </c>
      <c r="D891" s="13">
        <v>79.46</v>
      </c>
      <c r="E891" s="12"/>
      <c r="F891" s="13"/>
    </row>
    <row r="892" ht="16.5" customHeight="1" spans="1:6">
      <c r="A892" s="11">
        <v>12011</v>
      </c>
      <c r="B892" s="11" t="s">
        <v>1516</v>
      </c>
      <c r="C892" s="12">
        <v>3</v>
      </c>
      <c r="D892" s="13">
        <v>359.98</v>
      </c>
      <c r="E892" s="12"/>
      <c r="F892" s="13"/>
    </row>
    <row r="893" ht="33" customHeight="1" spans="1:6">
      <c r="A893" s="11">
        <v>12061</v>
      </c>
      <c r="B893" s="11" t="s">
        <v>491</v>
      </c>
      <c r="C893" s="12">
        <v>6</v>
      </c>
      <c r="D893" s="13">
        <v>300.38</v>
      </c>
      <c r="E893" s="12"/>
      <c r="F893" s="13"/>
    </row>
    <row r="894" ht="16.5" customHeight="1" spans="1:6">
      <c r="A894" s="11">
        <v>11989</v>
      </c>
      <c r="B894" s="11" t="s">
        <v>1517</v>
      </c>
      <c r="C894" s="12">
        <v>1</v>
      </c>
      <c r="D894" s="13">
        <v>105</v>
      </c>
      <c r="E894" s="12"/>
      <c r="F894" s="13"/>
    </row>
    <row r="895" ht="33" customHeight="1" spans="1:6">
      <c r="A895" s="11">
        <v>11990</v>
      </c>
      <c r="B895" s="11" t="s">
        <v>517</v>
      </c>
      <c r="C895" s="12">
        <v>0</v>
      </c>
      <c r="D895" s="13">
        <v>0</v>
      </c>
      <c r="E895" s="12"/>
      <c r="F895" s="13"/>
    </row>
    <row r="896" ht="33" customHeight="1" spans="1:6">
      <c r="A896" s="11">
        <v>11991</v>
      </c>
      <c r="B896" s="11" t="s">
        <v>1518</v>
      </c>
      <c r="C896" s="12">
        <v>0</v>
      </c>
      <c r="D896" s="13">
        <v>0</v>
      </c>
      <c r="E896" s="12"/>
      <c r="F896" s="13"/>
    </row>
    <row r="897" ht="16.5" customHeight="1" spans="1:6">
      <c r="A897" s="11">
        <v>12139</v>
      </c>
      <c r="B897" s="11" t="s">
        <v>1519</v>
      </c>
      <c r="C897" s="12">
        <v>0</v>
      </c>
      <c r="D897" s="13">
        <v>0</v>
      </c>
      <c r="E897" s="12"/>
      <c r="F897" s="13"/>
    </row>
    <row r="898" ht="16.5" customHeight="1" spans="1:6">
      <c r="A898" s="11">
        <v>12087</v>
      </c>
      <c r="B898" s="11" t="s">
        <v>1520</v>
      </c>
      <c r="C898" s="12">
        <v>1</v>
      </c>
      <c r="D898" s="13">
        <v>47</v>
      </c>
      <c r="E898" s="12"/>
      <c r="F898" s="13"/>
    </row>
    <row r="899" ht="33" customHeight="1" spans="1:6">
      <c r="A899" s="11">
        <v>12105</v>
      </c>
      <c r="B899" s="11" t="s">
        <v>528</v>
      </c>
      <c r="C899" s="12">
        <v>0</v>
      </c>
      <c r="D899" s="13">
        <v>0</v>
      </c>
      <c r="E899" s="12"/>
      <c r="F899" s="13"/>
    </row>
    <row r="900" ht="33" customHeight="1" spans="1:6">
      <c r="A900" s="11">
        <v>12106</v>
      </c>
      <c r="B900" s="11" t="s">
        <v>546</v>
      </c>
      <c r="C900" s="12">
        <v>2</v>
      </c>
      <c r="D900" s="13">
        <v>104</v>
      </c>
      <c r="E900" s="12"/>
      <c r="F900" s="13"/>
    </row>
    <row r="901" ht="33" customHeight="1" spans="1:6">
      <c r="A901" s="11">
        <v>12058</v>
      </c>
      <c r="B901" s="11" t="s">
        <v>510</v>
      </c>
      <c r="C901" s="12">
        <v>3</v>
      </c>
      <c r="D901" s="13">
        <v>58.8</v>
      </c>
      <c r="E901" s="12"/>
      <c r="F901" s="13"/>
    </row>
    <row r="902" ht="33" customHeight="1" spans="1:6">
      <c r="A902" s="11">
        <v>12059</v>
      </c>
      <c r="B902" s="11" t="s">
        <v>501</v>
      </c>
      <c r="C902" s="12">
        <v>1</v>
      </c>
      <c r="D902" s="13">
        <v>19.19</v>
      </c>
      <c r="E902" s="12"/>
      <c r="F902" s="13"/>
    </row>
    <row r="903" ht="33" customHeight="1" spans="1:6">
      <c r="A903" s="11">
        <v>12060</v>
      </c>
      <c r="B903" s="11" t="s">
        <v>1521</v>
      </c>
      <c r="C903" s="12">
        <v>3</v>
      </c>
      <c r="D903" s="13">
        <v>65.97</v>
      </c>
      <c r="E903" s="12"/>
      <c r="F903" s="13"/>
    </row>
    <row r="904" ht="16.5" customHeight="1" spans="1:6">
      <c r="A904" s="11">
        <v>12143</v>
      </c>
      <c r="B904" s="11" t="s">
        <v>1522</v>
      </c>
      <c r="C904" s="12">
        <v>0</v>
      </c>
      <c r="D904" s="13">
        <v>0</v>
      </c>
      <c r="E904" s="12"/>
      <c r="F904" s="13"/>
    </row>
    <row r="905" ht="16.5" customHeight="1" spans="1:6">
      <c r="A905" s="11">
        <v>12079</v>
      </c>
      <c r="B905" s="11" t="s">
        <v>1523</v>
      </c>
      <c r="C905" s="12">
        <v>5</v>
      </c>
      <c r="D905" s="13">
        <v>638.55</v>
      </c>
      <c r="E905" s="12"/>
      <c r="F905" s="13"/>
    </row>
    <row r="906" ht="16.5" customHeight="1" spans="1:6">
      <c r="A906" s="11">
        <v>12104</v>
      </c>
      <c r="B906" s="11" t="s">
        <v>547</v>
      </c>
      <c r="C906" s="12">
        <v>0</v>
      </c>
      <c r="D906" s="13">
        <v>0</v>
      </c>
      <c r="E906" s="12"/>
      <c r="F906" s="13"/>
    </row>
    <row r="907" ht="33" customHeight="1" spans="1:6">
      <c r="A907" s="11">
        <v>12072</v>
      </c>
      <c r="B907" s="11" t="s">
        <v>323</v>
      </c>
      <c r="C907" s="12">
        <v>0</v>
      </c>
      <c r="D907" s="13">
        <v>0</v>
      </c>
      <c r="E907" s="12"/>
      <c r="F907" s="13"/>
    </row>
    <row r="908" ht="16.5" customHeight="1" spans="1:6">
      <c r="A908" s="11">
        <v>12073</v>
      </c>
      <c r="B908" s="11" t="s">
        <v>14</v>
      </c>
      <c r="C908" s="12">
        <v>1</v>
      </c>
      <c r="D908" s="13">
        <v>420</v>
      </c>
      <c r="E908" s="12"/>
      <c r="F908" s="13"/>
    </row>
    <row r="909" ht="16.5" customHeight="1" spans="1:6">
      <c r="A909" s="11">
        <v>12074</v>
      </c>
      <c r="B909" s="11" t="s">
        <v>309</v>
      </c>
      <c r="C909" s="12">
        <v>0</v>
      </c>
      <c r="D909" s="13">
        <v>0</v>
      </c>
      <c r="E909" s="12"/>
      <c r="F909" s="13"/>
    </row>
    <row r="910" ht="16.5" customHeight="1" spans="1:6">
      <c r="A910" s="11">
        <v>12075</v>
      </c>
      <c r="B910" s="11" t="s">
        <v>311</v>
      </c>
      <c r="C910" s="12">
        <v>0</v>
      </c>
      <c r="D910" s="13">
        <v>0</v>
      </c>
      <c r="E910" s="12"/>
      <c r="F910" s="13"/>
    </row>
    <row r="911" ht="33" customHeight="1" spans="1:6">
      <c r="A911" s="11">
        <v>12252</v>
      </c>
      <c r="B911" s="11" t="s">
        <v>312</v>
      </c>
      <c r="C911" s="12">
        <v>1</v>
      </c>
      <c r="D911" s="13">
        <v>40</v>
      </c>
      <c r="E911" s="12"/>
      <c r="F911" s="13"/>
    </row>
    <row r="912" ht="33" customHeight="1" spans="1:6">
      <c r="A912" s="11">
        <v>12205</v>
      </c>
      <c r="B912" s="11" t="s">
        <v>327</v>
      </c>
      <c r="C912" s="12">
        <v>2</v>
      </c>
      <c r="D912" s="13">
        <v>42.68</v>
      </c>
      <c r="E912" s="12"/>
      <c r="F912" s="13"/>
    </row>
    <row r="913" ht="33" customHeight="1" spans="1:6">
      <c r="A913" s="11">
        <v>12206</v>
      </c>
      <c r="B913" s="11" t="s">
        <v>1524</v>
      </c>
      <c r="C913" s="12">
        <v>4</v>
      </c>
      <c r="D913" s="13">
        <v>88</v>
      </c>
      <c r="E913" s="12"/>
      <c r="F913" s="13"/>
    </row>
    <row r="914" ht="16.5" customHeight="1" spans="1:6">
      <c r="A914" s="11">
        <v>12165</v>
      </c>
      <c r="B914" s="11" t="s">
        <v>317</v>
      </c>
      <c r="C914" s="12">
        <v>1</v>
      </c>
      <c r="D914" s="13">
        <v>172</v>
      </c>
      <c r="E914" s="12"/>
      <c r="F914" s="13"/>
    </row>
    <row r="915" ht="33" customHeight="1" spans="1:6">
      <c r="A915" s="11">
        <v>12240</v>
      </c>
      <c r="B915" s="11" t="s">
        <v>540</v>
      </c>
      <c r="C915" s="12">
        <v>0</v>
      </c>
      <c r="D915" s="13">
        <v>0</v>
      </c>
      <c r="E915" s="12"/>
      <c r="F915" s="13"/>
    </row>
    <row r="916" ht="16.5" customHeight="1" spans="1:6">
      <c r="A916" s="11">
        <v>12225</v>
      </c>
      <c r="B916" s="11" t="s">
        <v>530</v>
      </c>
      <c r="C916" s="12">
        <v>2</v>
      </c>
      <c r="D916" s="13">
        <v>118</v>
      </c>
      <c r="E916" s="12"/>
      <c r="F916" s="13"/>
    </row>
    <row r="917" ht="16.5" customHeight="1" spans="1:6">
      <c r="A917" s="11">
        <v>12248</v>
      </c>
      <c r="B917" s="11" t="s">
        <v>325</v>
      </c>
      <c r="C917" s="12">
        <v>7</v>
      </c>
      <c r="D917" s="13">
        <v>601</v>
      </c>
      <c r="E917" s="12"/>
      <c r="F917" s="13"/>
    </row>
    <row r="918" ht="16.5" customHeight="1" spans="1:6">
      <c r="A918" s="11">
        <v>12246</v>
      </c>
      <c r="B918" s="11" t="s">
        <v>326</v>
      </c>
      <c r="C918" s="12">
        <v>7</v>
      </c>
      <c r="D918" s="13">
        <v>627.1</v>
      </c>
      <c r="E918" s="12"/>
      <c r="F918" s="13"/>
    </row>
    <row r="919" ht="16.5" customHeight="1" spans="1:6">
      <c r="A919" s="11">
        <v>12247</v>
      </c>
      <c r="B919" s="11" t="s">
        <v>318</v>
      </c>
      <c r="C919" s="12">
        <v>5</v>
      </c>
      <c r="D919" s="13">
        <v>503.25</v>
      </c>
      <c r="E919" s="12"/>
      <c r="F919" s="13"/>
    </row>
    <row r="920" ht="16.5" customHeight="1" spans="1:6">
      <c r="A920" s="11">
        <v>11997</v>
      </c>
      <c r="B920" s="11" t="s">
        <v>330</v>
      </c>
      <c r="C920" s="12">
        <v>1</v>
      </c>
      <c r="D920" s="13">
        <v>139</v>
      </c>
      <c r="E920" s="12"/>
      <c r="F920" s="13"/>
    </row>
    <row r="921" ht="33" customHeight="1" spans="1:6">
      <c r="A921" s="11">
        <v>12071</v>
      </c>
      <c r="B921" s="11" t="s">
        <v>321</v>
      </c>
      <c r="C921" s="12">
        <v>2</v>
      </c>
      <c r="D921" s="13">
        <v>598</v>
      </c>
      <c r="E921" s="12"/>
      <c r="F921" s="13"/>
    </row>
    <row r="922" ht="33" customHeight="1" spans="1:6">
      <c r="A922" s="11">
        <v>12304</v>
      </c>
      <c r="B922" s="11" t="s">
        <v>335</v>
      </c>
      <c r="C922" s="12">
        <v>1</v>
      </c>
      <c r="D922" s="13">
        <v>499</v>
      </c>
      <c r="E922" s="12"/>
      <c r="F922" s="13"/>
    </row>
    <row r="923" ht="33" customHeight="1" spans="1:6">
      <c r="A923" s="11">
        <v>12086</v>
      </c>
      <c r="B923" s="11" t="s">
        <v>337</v>
      </c>
      <c r="C923" s="12">
        <v>1</v>
      </c>
      <c r="D923" s="13">
        <v>73.99</v>
      </c>
      <c r="E923" s="12"/>
      <c r="F923" s="13"/>
    </row>
    <row r="924" ht="16.5" customHeight="1" spans="1:6">
      <c r="A924" s="11">
        <v>12258</v>
      </c>
      <c r="B924" s="11" t="s">
        <v>338</v>
      </c>
      <c r="C924" s="12">
        <v>12</v>
      </c>
      <c r="D924" s="13">
        <v>336</v>
      </c>
      <c r="E924" s="12"/>
      <c r="F924" s="13"/>
    </row>
    <row r="925" ht="16.5" customHeight="1" spans="1:6">
      <c r="A925" s="11">
        <v>12210</v>
      </c>
      <c r="B925" s="11" t="s">
        <v>339</v>
      </c>
      <c r="C925" s="12">
        <v>9</v>
      </c>
      <c r="D925" s="13">
        <v>101.13</v>
      </c>
      <c r="E925" s="12"/>
      <c r="F925" s="13"/>
    </row>
    <row r="926" ht="33" customHeight="1" spans="1:6">
      <c r="A926" s="11">
        <v>12250</v>
      </c>
      <c r="B926" s="11" t="s">
        <v>340</v>
      </c>
      <c r="C926" s="12">
        <v>2</v>
      </c>
      <c r="D926" s="13">
        <v>68</v>
      </c>
      <c r="E926" s="12"/>
      <c r="F926" s="13"/>
    </row>
    <row r="927" ht="33" customHeight="1" spans="1:6">
      <c r="A927" s="11">
        <v>12251</v>
      </c>
      <c r="B927" s="11" t="s">
        <v>341</v>
      </c>
      <c r="C927" s="12">
        <v>0</v>
      </c>
      <c r="D927" s="13">
        <v>0</v>
      </c>
      <c r="E927" s="12"/>
      <c r="F927" s="13"/>
    </row>
    <row r="928" ht="16.5" customHeight="1" spans="1:6">
      <c r="A928" s="11">
        <v>12262</v>
      </c>
      <c r="B928" s="11" t="s">
        <v>332</v>
      </c>
      <c r="C928" s="12">
        <v>1</v>
      </c>
      <c r="D928" s="13">
        <v>142</v>
      </c>
      <c r="E928" s="12"/>
      <c r="F928" s="13"/>
    </row>
    <row r="929" ht="16.5" customHeight="1" spans="1:6">
      <c r="A929" s="11">
        <v>12244</v>
      </c>
      <c r="B929" s="11" t="s">
        <v>333</v>
      </c>
      <c r="C929" s="12">
        <v>0</v>
      </c>
      <c r="D929" s="13">
        <v>0</v>
      </c>
      <c r="E929" s="12"/>
      <c r="F929" s="13"/>
    </row>
    <row r="930" ht="33" customHeight="1" spans="1:6">
      <c r="A930" s="11">
        <v>12243</v>
      </c>
      <c r="B930" s="11" t="s">
        <v>334</v>
      </c>
      <c r="C930" s="12">
        <v>2</v>
      </c>
      <c r="D930" s="13">
        <v>74.86</v>
      </c>
      <c r="E930" s="12"/>
      <c r="F930" s="13"/>
    </row>
    <row r="931" ht="16.5" customHeight="1" spans="1:6">
      <c r="A931" s="11">
        <v>12332</v>
      </c>
      <c r="B931" s="11" t="s">
        <v>342</v>
      </c>
      <c r="C931" s="12">
        <v>4</v>
      </c>
      <c r="D931" s="13">
        <v>456</v>
      </c>
      <c r="E931" s="12"/>
      <c r="F931" s="13"/>
    </row>
    <row r="932" ht="16.5" customHeight="1" spans="1:6">
      <c r="A932" s="11">
        <v>12368</v>
      </c>
      <c r="B932" s="11" t="s">
        <v>359</v>
      </c>
      <c r="C932" s="12">
        <v>0</v>
      </c>
      <c r="D932" s="13">
        <v>0</v>
      </c>
      <c r="E932" s="12"/>
      <c r="F932" s="13"/>
    </row>
    <row r="933" ht="33" customHeight="1" spans="1:6">
      <c r="A933" s="11">
        <v>12085</v>
      </c>
      <c r="B933" s="11" t="s">
        <v>336</v>
      </c>
      <c r="C933" s="12">
        <v>1</v>
      </c>
      <c r="D933" s="13">
        <v>85</v>
      </c>
      <c r="E933" s="12"/>
      <c r="F933" s="13"/>
    </row>
    <row r="934" ht="16.5" customHeight="1" spans="1:6">
      <c r="A934" s="11">
        <v>12227</v>
      </c>
      <c r="B934" s="11" t="s">
        <v>343</v>
      </c>
      <c r="C934" s="12">
        <v>5</v>
      </c>
      <c r="D934" s="13">
        <v>362.55</v>
      </c>
      <c r="E934" s="12"/>
      <c r="F934" s="13"/>
    </row>
    <row r="935" ht="33" customHeight="1" spans="1:6">
      <c r="A935" s="11">
        <v>12271</v>
      </c>
      <c r="B935" s="11" t="s">
        <v>349</v>
      </c>
      <c r="C935" s="12">
        <v>1</v>
      </c>
      <c r="D935" s="13">
        <v>300</v>
      </c>
      <c r="E935" s="12"/>
      <c r="F935" s="13"/>
    </row>
    <row r="936" ht="33" customHeight="1" spans="1:6">
      <c r="A936" s="11">
        <v>12270</v>
      </c>
      <c r="B936" s="11" t="s">
        <v>350</v>
      </c>
      <c r="C936" s="12">
        <v>0</v>
      </c>
      <c r="D936" s="13">
        <v>0</v>
      </c>
      <c r="E936" s="12"/>
      <c r="F936" s="13"/>
    </row>
    <row r="937" ht="16.5" customHeight="1" spans="1:6">
      <c r="A937" s="11">
        <v>12292</v>
      </c>
      <c r="B937" s="11" t="s">
        <v>356</v>
      </c>
      <c r="C937" s="12">
        <v>1</v>
      </c>
      <c r="D937" s="13">
        <v>89</v>
      </c>
      <c r="E937" s="12"/>
      <c r="F937" s="13"/>
    </row>
    <row r="938" ht="16.5" customHeight="1" spans="1:6">
      <c r="A938" s="11">
        <v>12213</v>
      </c>
      <c r="B938" s="11" t="s">
        <v>385</v>
      </c>
      <c r="C938" s="12">
        <v>10</v>
      </c>
      <c r="D938" s="13">
        <v>350</v>
      </c>
      <c r="E938" s="12"/>
      <c r="F938" s="13"/>
    </row>
    <row r="939" ht="33" customHeight="1" spans="1:6">
      <c r="A939" s="11">
        <v>12293</v>
      </c>
      <c r="B939" s="11" t="s">
        <v>363</v>
      </c>
      <c r="C939" s="12">
        <v>0</v>
      </c>
      <c r="D939" s="13">
        <v>0</v>
      </c>
      <c r="E939" s="12"/>
      <c r="F939" s="13"/>
    </row>
    <row r="940" ht="33" customHeight="1" spans="1:6">
      <c r="A940" s="11">
        <v>12298</v>
      </c>
      <c r="B940" s="11" t="s">
        <v>364</v>
      </c>
      <c r="C940" s="12">
        <v>0</v>
      </c>
      <c r="D940" s="13">
        <v>0</v>
      </c>
      <c r="E940" s="12"/>
      <c r="F940" s="13"/>
    </row>
    <row r="941" ht="33" customHeight="1" spans="1:6">
      <c r="A941" s="11">
        <v>12299</v>
      </c>
      <c r="B941" s="11" t="s">
        <v>366</v>
      </c>
      <c r="C941" s="12">
        <v>0</v>
      </c>
      <c r="D941" s="13">
        <v>0</v>
      </c>
      <c r="E941" s="12"/>
      <c r="F941" s="13"/>
    </row>
    <row r="942" ht="16.5" customHeight="1" spans="1:6">
      <c r="A942" s="11">
        <v>12320</v>
      </c>
      <c r="B942" s="11" t="s">
        <v>352</v>
      </c>
      <c r="C942" s="12">
        <v>1</v>
      </c>
      <c r="D942" s="13">
        <v>75</v>
      </c>
      <c r="E942" s="12"/>
      <c r="F942" s="13"/>
    </row>
    <row r="943" ht="16.5" customHeight="1" spans="1:6">
      <c r="A943" s="11">
        <v>12333</v>
      </c>
      <c r="B943" s="11" t="s">
        <v>357</v>
      </c>
      <c r="C943" s="12">
        <v>1</v>
      </c>
      <c r="D943" s="13">
        <v>72</v>
      </c>
      <c r="E943" s="12"/>
      <c r="F943" s="13"/>
    </row>
    <row r="944" ht="16.5" customHeight="1" spans="1:6">
      <c r="A944" s="11">
        <v>12334</v>
      </c>
      <c r="B944" s="11" t="s">
        <v>358</v>
      </c>
      <c r="C944" s="12">
        <v>3</v>
      </c>
      <c r="D944" s="13">
        <v>266</v>
      </c>
      <c r="E944" s="12"/>
      <c r="F944" s="13"/>
    </row>
    <row r="945" ht="16.5" customHeight="1" spans="1:6">
      <c r="A945" s="11">
        <v>12305</v>
      </c>
      <c r="B945" s="11" t="s">
        <v>353</v>
      </c>
      <c r="C945" s="12">
        <v>0</v>
      </c>
      <c r="D945" s="13">
        <v>0</v>
      </c>
      <c r="E945" s="12"/>
      <c r="F945" s="13"/>
    </row>
    <row r="946" ht="16.5" customHeight="1" spans="1:6">
      <c r="A946" s="11">
        <v>12306</v>
      </c>
      <c r="B946" s="11" t="s">
        <v>360</v>
      </c>
      <c r="C946" s="12">
        <v>3</v>
      </c>
      <c r="D946" s="13">
        <v>1789</v>
      </c>
      <c r="E946" s="12"/>
      <c r="F946" s="13"/>
    </row>
    <row r="947" ht="16.5" customHeight="1" spans="1:6">
      <c r="A947" s="11">
        <v>12307</v>
      </c>
      <c r="B947" s="11" t="s">
        <v>361</v>
      </c>
      <c r="C947" s="12">
        <v>1</v>
      </c>
      <c r="D947" s="13">
        <v>580</v>
      </c>
      <c r="E947" s="12"/>
      <c r="F947" s="13"/>
    </row>
    <row r="948" ht="16.5" customHeight="1" spans="1:6">
      <c r="A948" s="11">
        <v>12308</v>
      </c>
      <c r="B948" s="11" t="s">
        <v>362</v>
      </c>
      <c r="C948" s="12">
        <v>3</v>
      </c>
      <c r="D948" s="13">
        <v>1779</v>
      </c>
      <c r="E948" s="12"/>
      <c r="F948" s="13"/>
    </row>
    <row r="949" ht="16.5" customHeight="1" spans="1:6">
      <c r="A949" s="11">
        <v>12309</v>
      </c>
      <c r="B949" s="11" t="s">
        <v>344</v>
      </c>
      <c r="C949" s="12">
        <v>2</v>
      </c>
      <c r="D949" s="13">
        <v>957</v>
      </c>
      <c r="E949" s="12"/>
      <c r="F949" s="13"/>
    </row>
    <row r="950" ht="16.5" customHeight="1" spans="1:6">
      <c r="A950" s="11">
        <v>12310</v>
      </c>
      <c r="B950" s="11" t="s">
        <v>345</v>
      </c>
      <c r="C950" s="12">
        <v>0</v>
      </c>
      <c r="D950" s="13">
        <v>0</v>
      </c>
      <c r="E950" s="12"/>
      <c r="F950" s="13"/>
    </row>
    <row r="951" ht="33" customHeight="1" spans="1:6">
      <c r="A951" s="11">
        <v>12321</v>
      </c>
      <c r="B951" s="11" t="s">
        <v>354</v>
      </c>
      <c r="C951" s="12">
        <v>8</v>
      </c>
      <c r="D951" s="13">
        <v>287.2</v>
      </c>
      <c r="E951" s="12"/>
      <c r="F951" s="13"/>
    </row>
    <row r="952" ht="16.5" customHeight="1" spans="1:6">
      <c r="A952" s="11">
        <v>12272</v>
      </c>
      <c r="B952" s="11" t="s">
        <v>355</v>
      </c>
      <c r="C952" s="12">
        <v>2</v>
      </c>
      <c r="D952" s="13">
        <v>145</v>
      </c>
      <c r="E952" s="12"/>
      <c r="F952" s="13"/>
    </row>
    <row r="953" ht="16.5" customHeight="1" spans="1:6">
      <c r="A953" s="11">
        <v>12311</v>
      </c>
      <c r="B953" s="11" t="s">
        <v>346</v>
      </c>
      <c r="C953" s="12">
        <v>1</v>
      </c>
      <c r="D953" s="13">
        <v>480</v>
      </c>
      <c r="E953" s="12"/>
      <c r="F953" s="13"/>
    </row>
    <row r="954" ht="16.5" customHeight="1" spans="1:6">
      <c r="A954" s="11">
        <v>12312</v>
      </c>
      <c r="B954" s="11" t="s">
        <v>347</v>
      </c>
      <c r="C954" s="12">
        <v>0</v>
      </c>
      <c r="D954" s="13">
        <v>0</v>
      </c>
      <c r="E954" s="12"/>
      <c r="F954" s="13"/>
    </row>
    <row r="955" ht="16.5" customHeight="1" spans="1:6">
      <c r="A955" s="11">
        <v>12069</v>
      </c>
      <c r="B955" s="11" t="s">
        <v>433</v>
      </c>
      <c r="C955" s="12">
        <v>0</v>
      </c>
      <c r="D955" s="13">
        <v>0</v>
      </c>
      <c r="E955" s="12"/>
      <c r="F955" s="13"/>
    </row>
    <row r="956" ht="16.5" customHeight="1" spans="1:6">
      <c r="A956" s="11">
        <v>12290</v>
      </c>
      <c r="B956" s="11" t="s">
        <v>369</v>
      </c>
      <c r="C956" s="12">
        <v>1</v>
      </c>
      <c r="D956" s="13">
        <v>118</v>
      </c>
      <c r="E956" s="12"/>
      <c r="F956" s="13"/>
    </row>
    <row r="957" ht="16.5" customHeight="1" spans="1:6">
      <c r="A957" s="11">
        <v>12291</v>
      </c>
      <c r="B957" s="11" t="s">
        <v>368</v>
      </c>
      <c r="C957" s="12">
        <v>1</v>
      </c>
      <c r="D957" s="13">
        <v>129</v>
      </c>
      <c r="E957" s="12"/>
      <c r="F957" s="13"/>
    </row>
    <row r="958" ht="16.5" customHeight="1" spans="1:6">
      <c r="A958" s="11">
        <v>12318</v>
      </c>
      <c r="B958" s="11" t="s">
        <v>351</v>
      </c>
      <c r="C958" s="12">
        <v>0</v>
      </c>
      <c r="D958" s="13">
        <v>0</v>
      </c>
      <c r="E958" s="12"/>
      <c r="F958" s="13"/>
    </row>
    <row r="959" ht="16.5" customHeight="1" spans="1:6">
      <c r="A959" s="11">
        <v>12357</v>
      </c>
      <c r="B959" s="11" t="s">
        <v>372</v>
      </c>
      <c r="C959" s="12">
        <v>1</v>
      </c>
      <c r="D959" s="13">
        <v>99</v>
      </c>
      <c r="E959" s="12"/>
      <c r="F959" s="13"/>
    </row>
    <row r="960" ht="16.5" customHeight="1" spans="1:6">
      <c r="A960" s="11">
        <v>12441</v>
      </c>
      <c r="B960" s="11" t="s">
        <v>348</v>
      </c>
      <c r="C960" s="12">
        <v>1</v>
      </c>
      <c r="D960" s="13">
        <v>135</v>
      </c>
      <c r="E960" s="12"/>
      <c r="F960" s="13"/>
    </row>
    <row r="961" ht="16.5" customHeight="1" spans="1:6">
      <c r="A961" s="11">
        <v>7440</v>
      </c>
      <c r="B961" s="11" t="s">
        <v>1525</v>
      </c>
      <c r="C961" s="12">
        <v>0</v>
      </c>
      <c r="D961" s="13">
        <v>0</v>
      </c>
      <c r="E961" s="12"/>
      <c r="F961" s="13"/>
    </row>
    <row r="962" ht="33" customHeight="1" spans="1:6">
      <c r="A962" s="11">
        <v>12396</v>
      </c>
      <c r="B962" s="11" t="s">
        <v>367</v>
      </c>
      <c r="C962" s="12">
        <v>0</v>
      </c>
      <c r="D962" s="13">
        <v>0</v>
      </c>
      <c r="E962" s="12"/>
      <c r="F962" s="13"/>
    </row>
    <row r="963" ht="33" customHeight="1" spans="1:6">
      <c r="A963" s="11">
        <v>12391</v>
      </c>
      <c r="B963" s="11" t="s">
        <v>370</v>
      </c>
      <c r="C963" s="12">
        <v>0</v>
      </c>
      <c r="D963" s="13">
        <v>0</v>
      </c>
      <c r="E963" s="12"/>
      <c r="F963" s="13"/>
    </row>
    <row r="964" ht="33" customHeight="1" spans="1:6">
      <c r="A964" s="11">
        <v>12398</v>
      </c>
      <c r="B964" s="11" t="s">
        <v>371</v>
      </c>
      <c r="C964" s="12">
        <v>1</v>
      </c>
      <c r="D964" s="13">
        <v>49</v>
      </c>
      <c r="E964" s="12"/>
      <c r="F964" s="13"/>
    </row>
    <row r="965" ht="16.5" customHeight="1" spans="1:6">
      <c r="A965" s="11">
        <v>12423</v>
      </c>
      <c r="B965" s="11" t="s">
        <v>373</v>
      </c>
      <c r="C965" s="12">
        <v>0</v>
      </c>
      <c r="D965" s="13">
        <v>0</v>
      </c>
      <c r="E965" s="12"/>
      <c r="F965" s="13"/>
    </row>
    <row r="966" ht="16.5" customHeight="1" spans="1:6">
      <c r="A966" s="11">
        <v>12387</v>
      </c>
      <c r="B966" s="11" t="s">
        <v>374</v>
      </c>
      <c r="C966" s="12">
        <v>0</v>
      </c>
      <c r="D966" s="13">
        <v>0</v>
      </c>
      <c r="E966" s="12"/>
      <c r="F966" s="13"/>
    </row>
    <row r="967" ht="16.5" customHeight="1" spans="1:6">
      <c r="A967" s="11">
        <v>12388</v>
      </c>
      <c r="B967" s="11" t="s">
        <v>375</v>
      </c>
      <c r="C967" s="12">
        <v>0</v>
      </c>
      <c r="D967" s="13">
        <v>0</v>
      </c>
      <c r="E967" s="12"/>
      <c r="F967" s="13"/>
    </row>
    <row r="968" ht="16.5" customHeight="1" spans="1:6">
      <c r="A968" s="11">
        <v>6903</v>
      </c>
      <c r="B968" s="11" t="s">
        <v>1526</v>
      </c>
      <c r="C968" s="12">
        <v>12</v>
      </c>
      <c r="D968" s="13">
        <v>812.45</v>
      </c>
      <c r="E968" s="12"/>
      <c r="F968" s="13"/>
    </row>
    <row r="969" ht="16.5" customHeight="1" spans="1:6">
      <c r="A969" s="11">
        <v>2713</v>
      </c>
      <c r="B969" s="11" t="s">
        <v>1527</v>
      </c>
      <c r="C969" s="12">
        <v>2</v>
      </c>
      <c r="D969" s="13">
        <v>278.45</v>
      </c>
      <c r="E969" s="12"/>
      <c r="F969" s="13"/>
    </row>
    <row r="970" ht="16.5" customHeight="1" spans="1:6">
      <c r="A970" s="11">
        <v>4134</v>
      </c>
      <c r="B970" s="11" t="s">
        <v>1528</v>
      </c>
      <c r="C970" s="12">
        <v>17</v>
      </c>
      <c r="D970" s="13">
        <v>624.15</v>
      </c>
      <c r="E970" s="12"/>
      <c r="F970" s="13"/>
    </row>
    <row r="971" ht="16.5" customHeight="1" spans="1:6">
      <c r="A971" s="11">
        <v>994</v>
      </c>
      <c r="B971" s="11" t="s">
        <v>1529</v>
      </c>
      <c r="C971" s="12">
        <v>7</v>
      </c>
      <c r="D971" s="13">
        <v>720.46</v>
      </c>
      <c r="E971" s="12"/>
      <c r="F971" s="13"/>
    </row>
    <row r="972" ht="16.5" customHeight="1" spans="1:6">
      <c r="A972" s="11">
        <v>1160</v>
      </c>
      <c r="B972" s="11" t="s">
        <v>1530</v>
      </c>
      <c r="C972" s="12">
        <v>0</v>
      </c>
      <c r="D972" s="13">
        <v>0</v>
      </c>
      <c r="E972" s="12"/>
      <c r="F972" s="13"/>
    </row>
    <row r="973" ht="16.5" customHeight="1" spans="1:6">
      <c r="A973" s="11">
        <v>3183</v>
      </c>
      <c r="B973" s="11" t="s">
        <v>1531</v>
      </c>
      <c r="C973" s="12">
        <v>5</v>
      </c>
      <c r="D973" s="13">
        <v>840.17</v>
      </c>
      <c r="E973" s="12"/>
      <c r="F973" s="13"/>
    </row>
    <row r="974" ht="16.5" customHeight="1" spans="1:6">
      <c r="A974" s="11">
        <v>3855</v>
      </c>
      <c r="B974" s="11" t="s">
        <v>1532</v>
      </c>
      <c r="C974" s="12">
        <v>16</v>
      </c>
      <c r="D974" s="13">
        <v>1216.7</v>
      </c>
      <c r="E974" s="12"/>
      <c r="F974" s="13"/>
    </row>
    <row r="975" ht="16.5" customHeight="1" spans="1:6">
      <c r="A975" s="11">
        <v>4181</v>
      </c>
      <c r="B975" s="11" t="s">
        <v>1533</v>
      </c>
      <c r="C975" s="12">
        <v>2</v>
      </c>
      <c r="D975" s="13">
        <v>112</v>
      </c>
      <c r="E975" s="12"/>
      <c r="F975" s="13"/>
    </row>
    <row r="976" ht="16.5" customHeight="1" spans="1:6">
      <c r="A976" s="11">
        <v>3517</v>
      </c>
      <c r="B976" s="11" t="s">
        <v>1534</v>
      </c>
      <c r="C976" s="12">
        <v>8</v>
      </c>
      <c r="D976" s="13">
        <v>396.92</v>
      </c>
      <c r="E976" s="12"/>
      <c r="F976" s="13"/>
    </row>
    <row r="977" ht="16.5" customHeight="1" spans="1:6">
      <c r="A977" s="11">
        <v>3833</v>
      </c>
      <c r="B977" s="11" t="s">
        <v>1535</v>
      </c>
      <c r="C977" s="12">
        <v>11</v>
      </c>
      <c r="D977" s="13">
        <v>797.5</v>
      </c>
      <c r="E977" s="12"/>
      <c r="F977" s="13"/>
    </row>
    <row r="978" ht="16.5" customHeight="1" spans="1:6">
      <c r="A978" s="11">
        <v>3598</v>
      </c>
      <c r="B978" s="11" t="s">
        <v>1536</v>
      </c>
      <c r="C978" s="12">
        <v>3</v>
      </c>
      <c r="D978" s="13">
        <v>173.37</v>
      </c>
      <c r="E978" s="12"/>
      <c r="F978" s="13"/>
    </row>
    <row r="979" ht="16.5" customHeight="1" spans="1:6">
      <c r="A979" s="11">
        <v>3599</v>
      </c>
      <c r="B979" s="11" t="s">
        <v>1537</v>
      </c>
      <c r="C979" s="12">
        <v>12</v>
      </c>
      <c r="D979" s="13">
        <v>637.9</v>
      </c>
      <c r="E979" s="12"/>
      <c r="F979" s="13"/>
    </row>
    <row r="980" ht="16.5" customHeight="1" spans="1:6">
      <c r="A980" s="11">
        <v>4547</v>
      </c>
      <c r="B980" s="11" t="s">
        <v>1538</v>
      </c>
      <c r="C980" s="12">
        <v>15</v>
      </c>
      <c r="D980" s="13">
        <v>1378.11</v>
      </c>
      <c r="E980" s="12"/>
      <c r="F980" s="13"/>
    </row>
    <row r="981" ht="16.5" customHeight="1" spans="1:6">
      <c r="A981" s="11">
        <v>9061</v>
      </c>
      <c r="B981" s="11" t="s">
        <v>1539</v>
      </c>
      <c r="C981" s="12">
        <v>9</v>
      </c>
      <c r="D981" s="13">
        <v>1460.9</v>
      </c>
      <c r="E981" s="12"/>
      <c r="F981" s="13"/>
    </row>
    <row r="982" ht="33" customHeight="1" spans="1:6">
      <c r="A982" s="11">
        <v>9580</v>
      </c>
      <c r="B982" s="11" t="s">
        <v>1540</v>
      </c>
      <c r="C982" s="12">
        <v>11</v>
      </c>
      <c r="D982" s="13">
        <v>1022.97</v>
      </c>
      <c r="E982" s="12"/>
      <c r="F982" s="13"/>
    </row>
    <row r="983" ht="16.5" customHeight="1" spans="1:6">
      <c r="A983" s="11">
        <v>5493</v>
      </c>
      <c r="B983" s="11" t="s">
        <v>1541</v>
      </c>
      <c r="C983" s="12">
        <v>10</v>
      </c>
      <c r="D983" s="13">
        <v>221.8</v>
      </c>
      <c r="E983" s="12"/>
      <c r="F983" s="13"/>
    </row>
    <row r="984" ht="33" customHeight="1" spans="1:6">
      <c r="A984" s="11">
        <v>8685</v>
      </c>
      <c r="B984" s="11" t="s">
        <v>1542</v>
      </c>
      <c r="C984" s="12">
        <v>17</v>
      </c>
      <c r="D984" s="13">
        <v>745.03</v>
      </c>
      <c r="E984" s="12"/>
      <c r="F984" s="13"/>
    </row>
    <row r="985" ht="16.5" customHeight="1" spans="1:6">
      <c r="A985" s="11">
        <v>8749</v>
      </c>
      <c r="B985" s="11" t="s">
        <v>1543</v>
      </c>
      <c r="C985" s="12">
        <v>3</v>
      </c>
      <c r="D985" s="13">
        <v>41.28</v>
      </c>
      <c r="E985" s="12"/>
      <c r="F985" s="13"/>
    </row>
    <row r="986" ht="16.5" customHeight="1" spans="1:6">
      <c r="A986" s="11">
        <v>8879</v>
      </c>
      <c r="B986" s="11" t="s">
        <v>1544</v>
      </c>
      <c r="C986" s="12">
        <v>3</v>
      </c>
      <c r="D986" s="13">
        <v>30.24</v>
      </c>
      <c r="E986" s="12"/>
      <c r="F986" s="13"/>
    </row>
    <row r="987" ht="33" customHeight="1" spans="1:6">
      <c r="A987" s="11">
        <v>8961</v>
      </c>
      <c r="B987" s="11" t="s">
        <v>1545</v>
      </c>
      <c r="C987" s="12">
        <v>3</v>
      </c>
      <c r="D987" s="13">
        <v>63</v>
      </c>
      <c r="E987" s="12"/>
      <c r="F987" s="13"/>
    </row>
    <row r="988" ht="16.5" customHeight="1" spans="1:6">
      <c r="A988" s="11">
        <v>424</v>
      </c>
      <c r="B988" s="11" t="s">
        <v>1546</v>
      </c>
      <c r="C988" s="12">
        <v>3</v>
      </c>
      <c r="D988" s="13">
        <v>72.51</v>
      </c>
      <c r="E988" s="12"/>
      <c r="F988" s="13"/>
    </row>
    <row r="989" ht="33" customHeight="1" spans="1:6">
      <c r="A989" s="11">
        <v>9063</v>
      </c>
      <c r="B989" s="11" t="s">
        <v>1547</v>
      </c>
      <c r="C989" s="12">
        <v>3</v>
      </c>
      <c r="D989" s="13">
        <v>179.97</v>
      </c>
      <c r="E989" s="12"/>
      <c r="F989" s="13"/>
    </row>
    <row r="990" ht="33" customHeight="1" spans="1:6">
      <c r="A990" s="11">
        <v>9066</v>
      </c>
      <c r="B990" s="11" t="s">
        <v>1548</v>
      </c>
      <c r="C990" s="12">
        <v>5</v>
      </c>
      <c r="D990" s="13">
        <v>174</v>
      </c>
      <c r="E990" s="12"/>
      <c r="F990" s="13"/>
    </row>
    <row r="991" ht="33" customHeight="1" spans="1:6">
      <c r="A991" s="11">
        <v>9307</v>
      </c>
      <c r="B991" s="11" t="s">
        <v>1549</v>
      </c>
      <c r="C991" s="12">
        <v>6</v>
      </c>
      <c r="D991" s="13">
        <v>120.34</v>
      </c>
      <c r="E991" s="12"/>
      <c r="F991" s="13"/>
    </row>
    <row r="992" ht="16.5" customHeight="1" spans="1:6">
      <c r="A992" s="11">
        <v>5542</v>
      </c>
      <c r="B992" s="11" t="s">
        <v>1550</v>
      </c>
      <c r="C992" s="12">
        <v>5</v>
      </c>
      <c r="D992" s="13">
        <v>70.95</v>
      </c>
      <c r="E992" s="12"/>
      <c r="F992" s="13"/>
    </row>
    <row r="993" ht="16.5" customHeight="1" spans="1:6">
      <c r="A993" s="11">
        <v>651</v>
      </c>
      <c r="B993" s="11" t="s">
        <v>1551</v>
      </c>
      <c r="C993" s="12">
        <v>21</v>
      </c>
      <c r="D993" s="13">
        <v>183.49</v>
      </c>
      <c r="E993" s="12"/>
      <c r="F993" s="13"/>
    </row>
    <row r="994" ht="16.5" customHeight="1" spans="1:6">
      <c r="A994" s="11">
        <v>3379</v>
      </c>
      <c r="B994" s="11" t="s">
        <v>1552</v>
      </c>
      <c r="C994" s="12">
        <v>9</v>
      </c>
      <c r="D994" s="13">
        <v>1872.25</v>
      </c>
      <c r="E994" s="12"/>
      <c r="F994" s="13"/>
    </row>
    <row r="995" ht="16.5" customHeight="1" spans="1:6">
      <c r="A995" s="11">
        <v>922</v>
      </c>
      <c r="B995" s="11" t="s">
        <v>1553</v>
      </c>
      <c r="C995" s="12">
        <v>6</v>
      </c>
      <c r="D995" s="13">
        <v>92.94</v>
      </c>
      <c r="E995" s="12"/>
      <c r="F995" s="13"/>
    </row>
    <row r="996" ht="16.5" customHeight="1" spans="1:6">
      <c r="A996" s="11">
        <v>1014</v>
      </c>
      <c r="B996" s="11" t="s">
        <v>1554</v>
      </c>
      <c r="C996" s="12">
        <v>1</v>
      </c>
      <c r="D996" s="13">
        <v>45.99</v>
      </c>
      <c r="E996" s="12"/>
      <c r="F996" s="13"/>
    </row>
    <row r="997" ht="16.5" customHeight="1" spans="1:6">
      <c r="A997" s="11">
        <v>944</v>
      </c>
      <c r="B997" s="11" t="s">
        <v>1555</v>
      </c>
      <c r="C997" s="12">
        <v>7</v>
      </c>
      <c r="D997" s="13">
        <v>400.66</v>
      </c>
      <c r="E997" s="12"/>
      <c r="F997" s="13"/>
    </row>
    <row r="998" ht="16.5" customHeight="1" spans="1:6">
      <c r="A998" s="11">
        <v>1642</v>
      </c>
      <c r="B998" s="11" t="s">
        <v>1556</v>
      </c>
      <c r="C998" s="12">
        <v>3</v>
      </c>
      <c r="D998" s="13">
        <v>141.6</v>
      </c>
      <c r="E998" s="12"/>
      <c r="F998" s="13"/>
    </row>
    <row r="999" ht="16.5" customHeight="1" spans="1:6">
      <c r="A999" s="11">
        <v>1689</v>
      </c>
      <c r="B999" s="11" t="s">
        <v>1557</v>
      </c>
      <c r="C999" s="12">
        <v>4</v>
      </c>
      <c r="D999" s="13">
        <v>276.06</v>
      </c>
      <c r="E999" s="12"/>
      <c r="F999" s="13"/>
    </row>
    <row r="1000" ht="16.5" customHeight="1" spans="1:6">
      <c r="A1000" s="11">
        <v>409</v>
      </c>
      <c r="B1000" s="11" t="s">
        <v>1558</v>
      </c>
      <c r="C1000" s="12">
        <v>5</v>
      </c>
      <c r="D1000" s="13">
        <v>84.95</v>
      </c>
      <c r="E1000" s="12"/>
      <c r="F1000" s="13"/>
    </row>
    <row r="1001" ht="16.5" customHeight="1" spans="1:6">
      <c r="A1001" s="11">
        <v>1290</v>
      </c>
      <c r="B1001" s="11" t="s">
        <v>1559</v>
      </c>
      <c r="C1001" s="12">
        <v>5</v>
      </c>
      <c r="D1001" s="13">
        <v>419.45</v>
      </c>
      <c r="E1001" s="12"/>
      <c r="F1001" s="13"/>
    </row>
    <row r="1002" ht="16.5" customHeight="1" spans="1:6">
      <c r="A1002" s="11">
        <v>4657</v>
      </c>
      <c r="B1002" s="11" t="s">
        <v>1560</v>
      </c>
      <c r="C1002" s="12">
        <v>4</v>
      </c>
      <c r="D1002" s="13">
        <v>319.6</v>
      </c>
      <c r="E1002" s="12"/>
      <c r="F1002" s="13"/>
    </row>
    <row r="1003" ht="16.5" customHeight="1" spans="1:6">
      <c r="A1003" s="11">
        <v>3871</v>
      </c>
      <c r="B1003" s="11" t="s">
        <v>1561</v>
      </c>
      <c r="C1003" s="12">
        <v>0</v>
      </c>
      <c r="D1003" s="13">
        <v>0</v>
      </c>
      <c r="E1003" s="12"/>
      <c r="F1003" s="13"/>
    </row>
    <row r="1004" ht="16.5" customHeight="1" spans="1:6">
      <c r="A1004" s="11">
        <v>1296</v>
      </c>
      <c r="B1004" s="11" t="s">
        <v>1562</v>
      </c>
      <c r="C1004" s="12">
        <v>9</v>
      </c>
      <c r="D1004" s="13">
        <v>161.82</v>
      </c>
      <c r="E1004" s="12"/>
      <c r="F1004" s="13"/>
    </row>
    <row r="1005" ht="16.5" customHeight="1" spans="1:6">
      <c r="A1005" s="11">
        <v>5690</v>
      </c>
      <c r="B1005" s="11" t="s">
        <v>1563</v>
      </c>
      <c r="C1005" s="12">
        <v>3</v>
      </c>
      <c r="D1005" s="13">
        <v>48.27</v>
      </c>
      <c r="E1005" s="12"/>
      <c r="F1005" s="13"/>
    </row>
    <row r="1006" ht="16.5" customHeight="1" spans="1:6">
      <c r="A1006" s="11">
        <v>1424</v>
      </c>
      <c r="B1006" s="11" t="s">
        <v>1564</v>
      </c>
      <c r="C1006" s="12">
        <v>0</v>
      </c>
      <c r="D1006" s="13">
        <v>0</v>
      </c>
      <c r="E1006" s="12"/>
      <c r="F1006" s="13"/>
    </row>
    <row r="1007" ht="16.5" customHeight="1" spans="1:6">
      <c r="A1007" s="11">
        <v>2481</v>
      </c>
      <c r="B1007" s="11" t="s">
        <v>1565</v>
      </c>
      <c r="C1007" s="12">
        <v>10</v>
      </c>
      <c r="D1007" s="13">
        <v>165.4</v>
      </c>
      <c r="E1007" s="12"/>
      <c r="F1007" s="13"/>
    </row>
    <row r="1008" ht="16.5" customHeight="1" spans="1:6">
      <c r="A1008" s="11">
        <v>322</v>
      </c>
      <c r="B1008" s="11" t="s">
        <v>1566</v>
      </c>
      <c r="C1008" s="12">
        <v>6</v>
      </c>
      <c r="D1008" s="13">
        <v>332.34</v>
      </c>
      <c r="E1008" s="12"/>
      <c r="F1008" s="13"/>
    </row>
    <row r="1009" ht="16.5" customHeight="1" spans="1:6">
      <c r="A1009" s="11">
        <v>481</v>
      </c>
      <c r="B1009" s="11" t="s">
        <v>1567</v>
      </c>
      <c r="C1009" s="12">
        <v>0</v>
      </c>
      <c r="D1009" s="13">
        <v>0</v>
      </c>
      <c r="E1009" s="12"/>
      <c r="F1009" s="13"/>
    </row>
    <row r="1010" ht="16.5" customHeight="1" spans="1:6">
      <c r="A1010" s="11">
        <v>634</v>
      </c>
      <c r="B1010" s="11" t="s">
        <v>1568</v>
      </c>
      <c r="C1010" s="12">
        <v>18</v>
      </c>
      <c r="D1010" s="13">
        <v>194.62</v>
      </c>
      <c r="E1010" s="12"/>
      <c r="F1010" s="13"/>
    </row>
    <row r="1011" ht="16.5" customHeight="1" spans="1:6">
      <c r="A1011" s="11">
        <v>636</v>
      </c>
      <c r="B1011" s="11" t="s">
        <v>1569</v>
      </c>
      <c r="C1011" s="12">
        <v>7</v>
      </c>
      <c r="D1011" s="13">
        <v>90.58</v>
      </c>
      <c r="E1011" s="12"/>
      <c r="F1011" s="13"/>
    </row>
    <row r="1012" ht="16.5" customHeight="1" spans="1:6">
      <c r="A1012" s="11">
        <v>657</v>
      </c>
      <c r="B1012" s="11" t="s">
        <v>1570</v>
      </c>
      <c r="C1012" s="12">
        <v>9</v>
      </c>
      <c r="D1012" s="13">
        <v>245.47</v>
      </c>
      <c r="E1012" s="12"/>
      <c r="F1012" s="13"/>
    </row>
    <row r="1013" ht="16.5" customHeight="1" spans="1:6">
      <c r="A1013" s="11">
        <v>567</v>
      </c>
      <c r="B1013" s="11" t="s">
        <v>1571</v>
      </c>
      <c r="C1013" s="12">
        <v>20</v>
      </c>
      <c r="D1013" s="13">
        <v>250.65</v>
      </c>
      <c r="E1013" s="12"/>
      <c r="F1013" s="13"/>
    </row>
    <row r="1014" ht="16.5" customHeight="1" spans="1:6">
      <c r="A1014" s="11">
        <v>1007</v>
      </c>
      <c r="B1014" s="11" t="s">
        <v>1572</v>
      </c>
      <c r="C1014" s="12">
        <v>6</v>
      </c>
      <c r="D1014" s="13">
        <v>207.8</v>
      </c>
      <c r="E1014" s="12"/>
      <c r="F1014" s="13"/>
    </row>
    <row r="1015" ht="16.5" customHeight="1" spans="1:6">
      <c r="A1015" s="11">
        <v>1009</v>
      </c>
      <c r="B1015" s="11" t="s">
        <v>1573</v>
      </c>
      <c r="C1015" s="12">
        <v>3</v>
      </c>
      <c r="D1015" s="13">
        <v>127.7</v>
      </c>
      <c r="E1015" s="12"/>
      <c r="F1015" s="13"/>
    </row>
    <row r="1016" ht="16.5" customHeight="1" spans="1:6">
      <c r="A1016" s="11">
        <v>1050</v>
      </c>
      <c r="B1016" s="11" t="s">
        <v>1574</v>
      </c>
      <c r="C1016" s="12">
        <v>31</v>
      </c>
      <c r="D1016" s="13">
        <v>1222.29</v>
      </c>
      <c r="E1016" s="12"/>
      <c r="F1016" s="13"/>
    </row>
    <row r="1017" ht="16.5" customHeight="1" spans="1:6">
      <c r="A1017" s="11">
        <v>3376</v>
      </c>
      <c r="B1017" s="11" t="s">
        <v>1575</v>
      </c>
      <c r="C1017" s="12">
        <v>0</v>
      </c>
      <c r="D1017" s="13">
        <v>0</v>
      </c>
      <c r="E1017" s="12"/>
      <c r="F1017" s="13"/>
    </row>
    <row r="1018" ht="16.5" customHeight="1" spans="1:6">
      <c r="A1018" s="11">
        <v>1307</v>
      </c>
      <c r="B1018" s="11" t="s">
        <v>1576</v>
      </c>
      <c r="C1018" s="12">
        <v>8</v>
      </c>
      <c r="D1018" s="13">
        <v>139.92</v>
      </c>
      <c r="E1018" s="12"/>
      <c r="F1018" s="13"/>
    </row>
    <row r="1019" ht="16.5" customHeight="1" spans="1:6">
      <c r="A1019" s="11">
        <v>1585</v>
      </c>
      <c r="B1019" s="11" t="s">
        <v>1577</v>
      </c>
      <c r="C1019" s="12">
        <v>4</v>
      </c>
      <c r="D1019" s="13">
        <v>367.38</v>
      </c>
      <c r="E1019" s="12"/>
      <c r="F1019" s="13"/>
    </row>
    <row r="1020" ht="16.5" customHeight="1" spans="1:6">
      <c r="A1020" s="11">
        <v>1717</v>
      </c>
      <c r="B1020" s="11" t="s">
        <v>1578</v>
      </c>
      <c r="C1020" s="12">
        <v>1</v>
      </c>
      <c r="D1020" s="13">
        <v>50.95</v>
      </c>
      <c r="E1020" s="12"/>
      <c r="F1020" s="13"/>
    </row>
    <row r="1021" ht="16.5" customHeight="1" spans="1:6">
      <c r="A1021" s="11">
        <v>434</v>
      </c>
      <c r="B1021" s="11" t="s">
        <v>1579</v>
      </c>
      <c r="C1021" s="12">
        <v>6</v>
      </c>
      <c r="D1021" s="13">
        <v>302.4</v>
      </c>
      <c r="E1021" s="12"/>
      <c r="F1021" s="13"/>
    </row>
    <row r="1022" ht="16.5" customHeight="1" spans="1:6">
      <c r="A1022" s="11">
        <v>1775</v>
      </c>
      <c r="B1022" s="11" t="s">
        <v>1580</v>
      </c>
      <c r="C1022" s="12">
        <v>4</v>
      </c>
      <c r="D1022" s="13">
        <v>184</v>
      </c>
      <c r="E1022" s="12"/>
      <c r="F1022" s="13"/>
    </row>
    <row r="1023" ht="16.5" customHeight="1" spans="1:6">
      <c r="A1023" s="11">
        <v>3651</v>
      </c>
      <c r="B1023" s="11" t="s">
        <v>1581</v>
      </c>
      <c r="C1023" s="12">
        <v>9</v>
      </c>
      <c r="D1023" s="13">
        <v>628.21</v>
      </c>
      <c r="E1023" s="12"/>
      <c r="F1023" s="13"/>
    </row>
    <row r="1024" ht="16.5" customHeight="1" spans="1:6">
      <c r="A1024" s="11">
        <v>3626</v>
      </c>
      <c r="B1024" s="11" t="s">
        <v>1582</v>
      </c>
      <c r="C1024" s="12">
        <v>7</v>
      </c>
      <c r="D1024" s="13">
        <v>664.16</v>
      </c>
      <c r="E1024" s="12"/>
      <c r="F1024" s="13"/>
    </row>
    <row r="1025" ht="16.5" customHeight="1" spans="1:6">
      <c r="A1025" s="11">
        <v>3901</v>
      </c>
      <c r="B1025" s="11" t="s">
        <v>1583</v>
      </c>
      <c r="C1025" s="12">
        <v>1</v>
      </c>
      <c r="D1025" s="13">
        <v>63.99</v>
      </c>
      <c r="E1025" s="12"/>
      <c r="F1025" s="13"/>
    </row>
    <row r="1026" ht="16.5" customHeight="1" spans="1:6">
      <c r="A1026" s="11">
        <v>5007</v>
      </c>
      <c r="B1026" s="11" t="s">
        <v>1584</v>
      </c>
      <c r="C1026" s="12">
        <v>4</v>
      </c>
      <c r="D1026" s="13">
        <v>161.16</v>
      </c>
      <c r="E1026" s="12"/>
      <c r="F1026" s="13"/>
    </row>
    <row r="1027" ht="16.5" customHeight="1" spans="1:6">
      <c r="A1027" s="11">
        <v>3794</v>
      </c>
      <c r="B1027" s="11" t="s">
        <v>1585</v>
      </c>
      <c r="C1027" s="12">
        <v>5</v>
      </c>
      <c r="D1027" s="13">
        <v>221.05</v>
      </c>
      <c r="E1027" s="12"/>
      <c r="F1027" s="13"/>
    </row>
    <row r="1028" ht="16.5" customHeight="1" spans="1:6">
      <c r="A1028" s="11">
        <v>4056</v>
      </c>
      <c r="B1028" s="11" t="s">
        <v>1586</v>
      </c>
      <c r="C1028" s="12">
        <v>0</v>
      </c>
      <c r="D1028" s="13">
        <v>0</v>
      </c>
      <c r="E1028" s="12"/>
      <c r="F1028" s="13"/>
    </row>
    <row r="1029" ht="16.5" customHeight="1" spans="1:6">
      <c r="A1029" s="11">
        <v>4483</v>
      </c>
      <c r="B1029" s="11" t="s">
        <v>1587</v>
      </c>
      <c r="C1029" s="12">
        <v>3</v>
      </c>
      <c r="D1029" s="13">
        <v>240.78</v>
      </c>
      <c r="E1029" s="12"/>
      <c r="F1029" s="13"/>
    </row>
    <row r="1030" ht="16.5" customHeight="1" spans="1:6">
      <c r="A1030" s="11">
        <v>4802</v>
      </c>
      <c r="B1030" s="11" t="s">
        <v>1588</v>
      </c>
      <c r="C1030" s="12">
        <v>0</v>
      </c>
      <c r="D1030" s="13">
        <v>0</v>
      </c>
      <c r="E1030" s="12"/>
      <c r="F1030" s="13"/>
    </row>
    <row r="1031" ht="16.5" customHeight="1" spans="1:6">
      <c r="A1031" s="11">
        <v>4613</v>
      </c>
      <c r="B1031" s="11" t="s">
        <v>1589</v>
      </c>
      <c r="C1031" s="12">
        <v>3</v>
      </c>
      <c r="D1031" s="13">
        <v>89.85</v>
      </c>
      <c r="E1031" s="12"/>
      <c r="F1031" s="13"/>
    </row>
    <row r="1032" ht="16.5" customHeight="1" spans="1:6">
      <c r="A1032" s="11">
        <v>4536</v>
      </c>
      <c r="B1032" s="11" t="s">
        <v>1590</v>
      </c>
      <c r="C1032" s="12">
        <v>2</v>
      </c>
      <c r="D1032" s="13">
        <v>172.98</v>
      </c>
      <c r="E1032" s="12"/>
      <c r="F1032" s="13"/>
    </row>
    <row r="1033" ht="49.5" customHeight="1" spans="1:6">
      <c r="A1033" s="11">
        <v>6267</v>
      </c>
      <c r="B1033" s="11" t="s">
        <v>1591</v>
      </c>
      <c r="C1033" s="12">
        <v>14</v>
      </c>
      <c r="D1033" s="13">
        <v>1833.5</v>
      </c>
      <c r="E1033" s="12"/>
      <c r="F1033" s="13"/>
    </row>
    <row r="1034" ht="16.5" customHeight="1" spans="1:6">
      <c r="A1034" s="11">
        <v>6027</v>
      </c>
      <c r="B1034" s="11" t="s">
        <v>1592</v>
      </c>
      <c r="C1034" s="12">
        <v>0</v>
      </c>
      <c r="D1034" s="13">
        <v>0</v>
      </c>
      <c r="E1034" s="12"/>
      <c r="F1034" s="13"/>
    </row>
    <row r="1035" ht="33" customHeight="1" spans="1:6">
      <c r="A1035" s="11">
        <v>5958</v>
      </c>
      <c r="B1035" s="11" t="s">
        <v>1593</v>
      </c>
      <c r="C1035" s="12">
        <v>6</v>
      </c>
      <c r="D1035" s="13">
        <v>89.4</v>
      </c>
      <c r="E1035" s="12"/>
      <c r="F1035" s="13"/>
    </row>
    <row r="1036" ht="33" customHeight="1" spans="1:6">
      <c r="A1036" s="11">
        <v>5993</v>
      </c>
      <c r="B1036" s="11" t="s">
        <v>1594</v>
      </c>
      <c r="C1036" s="12">
        <v>14</v>
      </c>
      <c r="D1036" s="13">
        <v>253.4</v>
      </c>
      <c r="E1036" s="12"/>
      <c r="F1036" s="13"/>
    </row>
    <row r="1037" ht="16.5" customHeight="1" spans="1:6">
      <c r="A1037" s="11">
        <v>4272</v>
      </c>
      <c r="B1037" s="11" t="s">
        <v>1595</v>
      </c>
      <c r="C1037" s="12">
        <v>5</v>
      </c>
      <c r="D1037" s="13">
        <v>300.9</v>
      </c>
      <c r="E1037" s="12"/>
      <c r="F1037" s="13"/>
    </row>
    <row r="1038" ht="16.5" customHeight="1" spans="1:6">
      <c r="A1038" s="11">
        <v>5618</v>
      </c>
      <c r="B1038" s="11" t="s">
        <v>1596</v>
      </c>
      <c r="C1038" s="12">
        <v>16</v>
      </c>
      <c r="D1038" s="13">
        <v>254.84</v>
      </c>
      <c r="E1038" s="12"/>
      <c r="F1038" s="13"/>
    </row>
    <row r="1039" ht="16.5" customHeight="1" spans="1:6">
      <c r="A1039" s="11">
        <v>5619</v>
      </c>
      <c r="B1039" s="11" t="s">
        <v>1597</v>
      </c>
      <c r="C1039" s="12">
        <v>3</v>
      </c>
      <c r="D1039" s="13">
        <v>34.42</v>
      </c>
      <c r="E1039" s="12"/>
      <c r="F1039" s="13"/>
    </row>
    <row r="1040" ht="16.5" customHeight="1" spans="1:6">
      <c r="A1040" s="11">
        <v>7242</v>
      </c>
      <c r="B1040" s="11" t="s">
        <v>1598</v>
      </c>
      <c r="C1040" s="12">
        <v>5</v>
      </c>
      <c r="D1040" s="13">
        <v>761.29</v>
      </c>
      <c r="E1040" s="12"/>
      <c r="F1040" s="13"/>
    </row>
    <row r="1041" ht="16.5" customHeight="1" spans="1:6">
      <c r="A1041" s="11">
        <v>6787</v>
      </c>
      <c r="B1041" s="11" t="s">
        <v>1599</v>
      </c>
      <c r="C1041" s="12">
        <v>0</v>
      </c>
      <c r="D1041" s="13">
        <v>0</v>
      </c>
      <c r="E1041" s="12"/>
      <c r="F1041" s="13"/>
    </row>
    <row r="1042" ht="16.5" customHeight="1" spans="1:6">
      <c r="A1042" s="11">
        <v>7686</v>
      </c>
      <c r="B1042" s="11" t="s">
        <v>1600</v>
      </c>
      <c r="C1042" s="12">
        <v>1</v>
      </c>
      <c r="D1042" s="13">
        <v>24.29</v>
      </c>
      <c r="E1042" s="12"/>
      <c r="F1042" s="13"/>
    </row>
    <row r="1043" ht="16.5" customHeight="1" spans="1:6">
      <c r="A1043" s="11">
        <v>7443</v>
      </c>
      <c r="B1043" s="11" t="s">
        <v>1601</v>
      </c>
      <c r="C1043" s="12">
        <v>1</v>
      </c>
      <c r="D1043" s="13">
        <v>29.99</v>
      </c>
      <c r="E1043" s="12"/>
      <c r="F1043" s="13"/>
    </row>
    <row r="1044" ht="33" customHeight="1" spans="1:6">
      <c r="A1044" s="11">
        <v>8354</v>
      </c>
      <c r="B1044" s="11" t="s">
        <v>1602</v>
      </c>
      <c r="C1044" s="12">
        <v>21</v>
      </c>
      <c r="D1044" s="13">
        <v>1274.39</v>
      </c>
      <c r="E1044" s="12"/>
      <c r="F1044" s="13"/>
    </row>
    <row r="1045" ht="33" customHeight="1" spans="1:6">
      <c r="A1045" s="11">
        <v>7965</v>
      </c>
      <c r="B1045" s="11" t="s">
        <v>1603</v>
      </c>
      <c r="C1045" s="12">
        <v>4</v>
      </c>
      <c r="D1045" s="13">
        <v>345.78</v>
      </c>
      <c r="E1045" s="12"/>
      <c r="F1045" s="13"/>
    </row>
    <row r="1046" ht="16.5" customHeight="1" spans="1:6">
      <c r="A1046" s="11">
        <v>5079</v>
      </c>
      <c r="B1046" s="11" t="s">
        <v>1604</v>
      </c>
      <c r="C1046" s="12">
        <v>5</v>
      </c>
      <c r="D1046" s="13">
        <v>222.55</v>
      </c>
      <c r="E1046" s="12"/>
      <c r="F1046" s="13"/>
    </row>
    <row r="1047" ht="16.5" customHeight="1" spans="1:6">
      <c r="A1047" s="11">
        <v>5439</v>
      </c>
      <c r="B1047" s="11" t="s">
        <v>1605</v>
      </c>
      <c r="C1047" s="12">
        <v>5</v>
      </c>
      <c r="D1047" s="13">
        <v>289.64</v>
      </c>
      <c r="E1047" s="12"/>
      <c r="F1047" s="13"/>
    </row>
    <row r="1048" ht="16.5" customHeight="1" spans="1:6">
      <c r="A1048" s="11">
        <v>5509</v>
      </c>
      <c r="B1048" s="11" t="s">
        <v>1606</v>
      </c>
      <c r="C1048" s="12">
        <v>7</v>
      </c>
      <c r="D1048" s="13">
        <v>109.13</v>
      </c>
      <c r="E1048" s="12"/>
      <c r="F1048" s="13"/>
    </row>
    <row r="1049" ht="16.5" customHeight="1" spans="1:6">
      <c r="A1049" s="11">
        <v>357</v>
      </c>
      <c r="B1049" s="11" t="s">
        <v>1607</v>
      </c>
      <c r="C1049" s="12">
        <v>1</v>
      </c>
      <c r="D1049" s="13">
        <v>35.2</v>
      </c>
      <c r="E1049" s="12"/>
      <c r="F1049" s="13"/>
    </row>
    <row r="1050" ht="16.5" customHeight="1" spans="1:6">
      <c r="A1050" s="11">
        <v>6531</v>
      </c>
      <c r="B1050" s="11" t="s">
        <v>1608</v>
      </c>
      <c r="C1050" s="12">
        <v>19</v>
      </c>
      <c r="D1050" s="13">
        <v>792.81</v>
      </c>
      <c r="E1050" s="12"/>
      <c r="F1050" s="13"/>
    </row>
    <row r="1051" ht="16.5" customHeight="1" spans="1:6">
      <c r="A1051" s="11">
        <v>6532</v>
      </c>
      <c r="B1051" s="11" t="s">
        <v>1609</v>
      </c>
      <c r="C1051" s="12">
        <v>4</v>
      </c>
      <c r="D1051" s="13">
        <v>153.92</v>
      </c>
      <c r="E1051" s="12"/>
      <c r="F1051" s="13"/>
    </row>
    <row r="1052" ht="16.5" customHeight="1" spans="1:6">
      <c r="A1052" s="11">
        <v>6977</v>
      </c>
      <c r="B1052" s="11" t="s">
        <v>1610</v>
      </c>
      <c r="C1052" s="12">
        <v>1</v>
      </c>
      <c r="D1052" s="13">
        <v>35.09</v>
      </c>
      <c r="E1052" s="12"/>
      <c r="F1052" s="13"/>
    </row>
    <row r="1053" ht="33" customHeight="1" spans="1:6">
      <c r="A1053" s="11">
        <v>8350</v>
      </c>
      <c r="B1053" s="11" t="s">
        <v>1611</v>
      </c>
      <c r="C1053" s="12">
        <v>2</v>
      </c>
      <c r="D1053" s="13">
        <v>153</v>
      </c>
      <c r="E1053" s="12"/>
      <c r="F1053" s="13"/>
    </row>
    <row r="1054" ht="16.5" customHeight="1" spans="1:6">
      <c r="A1054" s="11">
        <v>491</v>
      </c>
      <c r="B1054" s="11" t="s">
        <v>1612</v>
      </c>
      <c r="C1054" s="12">
        <v>8</v>
      </c>
      <c r="D1054" s="13">
        <v>465.92</v>
      </c>
      <c r="E1054" s="12"/>
      <c r="F1054" s="13"/>
    </row>
    <row r="1055" ht="16.5" customHeight="1" spans="1:6">
      <c r="A1055" s="11">
        <v>1212</v>
      </c>
      <c r="B1055" s="11" t="s">
        <v>1613</v>
      </c>
      <c r="C1055" s="12">
        <v>3</v>
      </c>
      <c r="D1055" s="13">
        <v>73.98</v>
      </c>
      <c r="E1055" s="12"/>
      <c r="F1055" s="13"/>
    </row>
    <row r="1056" ht="16.5" customHeight="1" spans="1:6">
      <c r="A1056" s="11">
        <v>3900</v>
      </c>
      <c r="B1056" s="11" t="s">
        <v>1614</v>
      </c>
      <c r="C1056" s="12">
        <v>0</v>
      </c>
      <c r="D1056" s="13">
        <v>0</v>
      </c>
      <c r="E1056" s="12"/>
      <c r="F1056" s="13"/>
    </row>
    <row r="1057" ht="16.5" customHeight="1" spans="1:6">
      <c r="A1057" s="11">
        <v>3516</v>
      </c>
      <c r="B1057" s="11" t="s">
        <v>1615</v>
      </c>
      <c r="C1057" s="12">
        <v>0</v>
      </c>
      <c r="D1057" s="13">
        <v>0</v>
      </c>
      <c r="E1057" s="12"/>
      <c r="F1057" s="13"/>
    </row>
    <row r="1058" ht="16.5" customHeight="1" spans="1:6">
      <c r="A1058" s="11">
        <v>1753</v>
      </c>
      <c r="B1058" s="11" t="s">
        <v>1616</v>
      </c>
      <c r="C1058" s="12">
        <v>3</v>
      </c>
      <c r="D1058" s="13">
        <v>118.1</v>
      </c>
      <c r="E1058" s="12"/>
      <c r="F1058" s="13"/>
    </row>
    <row r="1059" ht="16.5" customHeight="1" spans="1:6">
      <c r="A1059" s="11">
        <v>1437</v>
      </c>
      <c r="B1059" s="11" t="s">
        <v>1617</v>
      </c>
      <c r="C1059" s="12">
        <v>1</v>
      </c>
      <c r="D1059" s="13">
        <v>130.56</v>
      </c>
      <c r="E1059" s="12"/>
      <c r="F1059" s="13"/>
    </row>
    <row r="1060" ht="16.5" customHeight="1" spans="1:6">
      <c r="A1060" s="11">
        <v>6465</v>
      </c>
      <c r="B1060" s="11" t="s">
        <v>1618</v>
      </c>
      <c r="C1060" s="12">
        <v>2</v>
      </c>
      <c r="D1060" s="13">
        <v>131.18</v>
      </c>
      <c r="E1060" s="12"/>
      <c r="F1060" s="13"/>
    </row>
    <row r="1061" ht="16.5" customHeight="1" spans="1:6">
      <c r="A1061" s="11">
        <v>6559</v>
      </c>
      <c r="B1061" s="11" t="s">
        <v>1619</v>
      </c>
      <c r="C1061" s="12">
        <v>5</v>
      </c>
      <c r="D1061" s="13">
        <v>144.48</v>
      </c>
      <c r="E1061" s="12"/>
      <c r="F1061" s="13"/>
    </row>
    <row r="1062" ht="16.5" customHeight="1" spans="1:6">
      <c r="A1062" s="11">
        <v>6990</v>
      </c>
      <c r="B1062" s="11" t="s">
        <v>1620</v>
      </c>
      <c r="C1062" s="12">
        <v>0</v>
      </c>
      <c r="D1062" s="13">
        <v>0</v>
      </c>
      <c r="E1062" s="12"/>
      <c r="F1062" s="13"/>
    </row>
    <row r="1063" ht="16.5" customHeight="1" spans="1:6">
      <c r="A1063" s="11">
        <v>6991</v>
      </c>
      <c r="B1063" s="11" t="s">
        <v>1621</v>
      </c>
      <c r="C1063" s="12">
        <v>11</v>
      </c>
      <c r="D1063" s="13">
        <v>417.89</v>
      </c>
      <c r="E1063" s="12"/>
      <c r="F1063" s="13"/>
    </row>
    <row r="1064" ht="33" customHeight="1" spans="1:6">
      <c r="A1064" s="11">
        <v>7103</v>
      </c>
      <c r="B1064" s="11" t="s">
        <v>1622</v>
      </c>
      <c r="C1064" s="12">
        <v>2</v>
      </c>
      <c r="D1064" s="13">
        <v>95.36</v>
      </c>
      <c r="E1064" s="12"/>
      <c r="F1064" s="13"/>
    </row>
    <row r="1065" ht="16.5" customHeight="1" spans="1:6">
      <c r="A1065" s="11">
        <v>7486</v>
      </c>
      <c r="B1065" s="11" t="s">
        <v>1623</v>
      </c>
      <c r="C1065" s="12">
        <v>25</v>
      </c>
      <c r="D1065" s="13">
        <v>243.35</v>
      </c>
      <c r="E1065" s="12"/>
      <c r="F1065" s="13"/>
    </row>
    <row r="1066" ht="16.5" customHeight="1" spans="1:6">
      <c r="A1066" s="11">
        <v>7918</v>
      </c>
      <c r="B1066" s="11" t="s">
        <v>1624</v>
      </c>
      <c r="C1066" s="12">
        <v>5</v>
      </c>
      <c r="D1066" s="13">
        <v>374.95</v>
      </c>
      <c r="E1066" s="12"/>
      <c r="F1066" s="13"/>
    </row>
    <row r="1067" ht="16.5" customHeight="1" spans="1:6">
      <c r="A1067" s="11">
        <v>8053</v>
      </c>
      <c r="B1067" s="11" t="s">
        <v>1625</v>
      </c>
      <c r="C1067" s="12">
        <v>0</v>
      </c>
      <c r="D1067" s="13">
        <v>0</v>
      </c>
      <c r="E1067" s="12"/>
      <c r="F1067" s="13"/>
    </row>
    <row r="1068" ht="33" customHeight="1" spans="1:6">
      <c r="A1068" s="11">
        <v>8088</v>
      </c>
      <c r="B1068" s="11" t="s">
        <v>1626</v>
      </c>
      <c r="C1068" s="12">
        <v>1</v>
      </c>
      <c r="D1068" s="13">
        <v>23.09</v>
      </c>
      <c r="E1068" s="12"/>
      <c r="F1068" s="13"/>
    </row>
    <row r="1069" ht="16.5" customHeight="1" spans="1:6">
      <c r="A1069" s="11">
        <v>8124</v>
      </c>
      <c r="B1069" s="11" t="s">
        <v>1627</v>
      </c>
      <c r="C1069" s="12">
        <v>2</v>
      </c>
      <c r="D1069" s="13">
        <v>370.62</v>
      </c>
      <c r="E1069" s="12"/>
      <c r="F1069" s="13"/>
    </row>
    <row r="1070" ht="16.5" customHeight="1" spans="1:6">
      <c r="A1070" s="11">
        <v>8127</v>
      </c>
      <c r="B1070" s="11" t="s">
        <v>1628</v>
      </c>
      <c r="C1070" s="12">
        <v>0</v>
      </c>
      <c r="D1070" s="13">
        <v>0</v>
      </c>
      <c r="E1070" s="12"/>
      <c r="F1070" s="13"/>
    </row>
    <row r="1071" ht="33" customHeight="1" spans="1:6">
      <c r="A1071" s="11">
        <v>8201</v>
      </c>
      <c r="B1071" s="11" t="s">
        <v>1629</v>
      </c>
      <c r="C1071" s="12">
        <v>0</v>
      </c>
      <c r="D1071" s="13">
        <v>0</v>
      </c>
      <c r="E1071" s="12"/>
      <c r="F1071" s="13"/>
    </row>
    <row r="1072" ht="33" customHeight="1" spans="1:6">
      <c r="A1072" s="11">
        <v>8213</v>
      </c>
      <c r="B1072" s="11" t="s">
        <v>1630</v>
      </c>
      <c r="C1072" s="12">
        <v>3</v>
      </c>
      <c r="D1072" s="13">
        <v>77.85</v>
      </c>
      <c r="E1072" s="12"/>
      <c r="F1072" s="13"/>
    </row>
    <row r="1073" ht="33" customHeight="1" spans="1:6">
      <c r="A1073" s="11">
        <v>8277</v>
      </c>
      <c r="B1073" s="11" t="s">
        <v>1631</v>
      </c>
      <c r="C1073" s="12">
        <v>2</v>
      </c>
      <c r="D1073" s="13">
        <v>78.98</v>
      </c>
      <c r="E1073" s="12"/>
      <c r="F1073" s="13"/>
    </row>
    <row r="1074" ht="33" customHeight="1" spans="1:6">
      <c r="A1074" s="11">
        <v>8307</v>
      </c>
      <c r="B1074" s="11" t="s">
        <v>1632</v>
      </c>
      <c r="C1074" s="12">
        <v>1</v>
      </c>
      <c r="D1074" s="13">
        <v>65.95</v>
      </c>
      <c r="E1074" s="12"/>
      <c r="F1074" s="13"/>
    </row>
    <row r="1075" ht="16.5" customHeight="1" spans="1:6">
      <c r="A1075" s="11">
        <v>8333</v>
      </c>
      <c r="B1075" s="11" t="s">
        <v>1633</v>
      </c>
      <c r="C1075" s="12">
        <v>2</v>
      </c>
      <c r="D1075" s="13">
        <v>191.98</v>
      </c>
      <c r="E1075" s="12"/>
      <c r="F1075" s="13"/>
    </row>
    <row r="1076" ht="16.5" customHeight="1" spans="1:6">
      <c r="A1076" s="11">
        <v>8338</v>
      </c>
      <c r="B1076" s="11" t="s">
        <v>1634</v>
      </c>
      <c r="C1076" s="12">
        <v>0</v>
      </c>
      <c r="D1076" s="13">
        <v>0</v>
      </c>
      <c r="E1076" s="12"/>
      <c r="F1076" s="13"/>
    </row>
    <row r="1077" ht="33" customHeight="1" spans="1:6">
      <c r="A1077" s="11">
        <v>8359</v>
      </c>
      <c r="B1077" s="11" t="s">
        <v>1635</v>
      </c>
      <c r="C1077" s="12">
        <v>14</v>
      </c>
      <c r="D1077" s="13">
        <v>668.36</v>
      </c>
      <c r="E1077" s="12"/>
      <c r="F1077" s="13"/>
    </row>
    <row r="1078" ht="33" customHeight="1" spans="1:6">
      <c r="A1078" s="11">
        <v>8366</v>
      </c>
      <c r="B1078" s="11" t="s">
        <v>1636</v>
      </c>
      <c r="C1078" s="12">
        <v>3</v>
      </c>
      <c r="D1078" s="13">
        <v>118.27</v>
      </c>
      <c r="E1078" s="12"/>
      <c r="F1078" s="13"/>
    </row>
    <row r="1079" ht="33" customHeight="1" spans="1:6">
      <c r="A1079" s="11">
        <v>8373</v>
      </c>
      <c r="B1079" s="11" t="s">
        <v>1637</v>
      </c>
      <c r="C1079" s="12">
        <v>0</v>
      </c>
      <c r="D1079" s="13">
        <v>0</v>
      </c>
      <c r="E1079" s="12"/>
      <c r="F1079" s="13"/>
    </row>
    <row r="1080" ht="33" customHeight="1" spans="1:6">
      <c r="A1080" s="11">
        <v>8429</v>
      </c>
      <c r="B1080" s="11" t="s">
        <v>1638</v>
      </c>
      <c r="C1080" s="12">
        <v>1</v>
      </c>
      <c r="D1080" s="13">
        <v>50.93</v>
      </c>
      <c r="E1080" s="12"/>
      <c r="F1080" s="13"/>
    </row>
    <row r="1081" ht="33" customHeight="1" spans="1:6">
      <c r="A1081" s="11">
        <v>8483</v>
      </c>
      <c r="B1081" s="11" t="s">
        <v>1639</v>
      </c>
      <c r="C1081" s="12">
        <v>5</v>
      </c>
      <c r="D1081" s="13">
        <v>218.88</v>
      </c>
      <c r="E1081" s="12"/>
      <c r="F1081" s="13"/>
    </row>
    <row r="1082" ht="16.5" customHeight="1" spans="1:6">
      <c r="A1082" s="11">
        <v>467</v>
      </c>
      <c r="B1082" s="11" t="s">
        <v>1640</v>
      </c>
      <c r="C1082" s="12">
        <v>3</v>
      </c>
      <c r="D1082" s="13">
        <v>540.2</v>
      </c>
      <c r="E1082" s="12"/>
      <c r="F1082" s="13"/>
    </row>
    <row r="1083" ht="33" customHeight="1" spans="1:6">
      <c r="A1083" s="11">
        <v>12386</v>
      </c>
      <c r="B1083" s="11" t="s">
        <v>379</v>
      </c>
      <c r="C1083" s="12">
        <v>1</v>
      </c>
      <c r="D1083" s="13">
        <v>29.99</v>
      </c>
      <c r="E1083" s="12"/>
      <c r="F1083" s="13"/>
    </row>
    <row r="1084" ht="33" customHeight="1" spans="1:6">
      <c r="A1084" s="11">
        <v>12414</v>
      </c>
      <c r="B1084" s="11" t="s">
        <v>383</v>
      </c>
      <c r="C1084" s="12">
        <v>0</v>
      </c>
      <c r="D1084" s="13">
        <v>0</v>
      </c>
      <c r="E1084" s="12"/>
      <c r="F1084" s="13"/>
    </row>
    <row r="1085" ht="33" customHeight="1" spans="1:6">
      <c r="A1085" s="11">
        <v>12422</v>
      </c>
      <c r="B1085" s="11" t="s">
        <v>384</v>
      </c>
      <c r="C1085" s="12">
        <v>0</v>
      </c>
      <c r="D1085" s="13">
        <v>0</v>
      </c>
      <c r="E1085" s="12"/>
      <c r="F1085" s="13"/>
    </row>
    <row r="1086" ht="33" customHeight="1" spans="1:6">
      <c r="A1086" s="11">
        <v>12424</v>
      </c>
      <c r="B1086" s="11" t="s">
        <v>378</v>
      </c>
      <c r="C1086" s="12">
        <v>0</v>
      </c>
      <c r="D1086" s="13">
        <v>0</v>
      </c>
      <c r="E1086" s="12"/>
      <c r="F1086" s="13"/>
    </row>
    <row r="1087" ht="16.5" customHeight="1" spans="1:6">
      <c r="A1087" s="11">
        <v>12426</v>
      </c>
      <c r="B1087" s="11" t="s">
        <v>380</v>
      </c>
      <c r="C1087" s="12">
        <v>5</v>
      </c>
      <c r="D1087" s="13">
        <v>325</v>
      </c>
      <c r="E1087" s="12"/>
      <c r="F1087" s="13"/>
    </row>
    <row r="1088" ht="33" customHeight="1" spans="1:6">
      <c r="A1088" s="11">
        <v>12429</v>
      </c>
      <c r="B1088" s="11" t="s">
        <v>377</v>
      </c>
      <c r="C1088" s="12">
        <v>1</v>
      </c>
      <c r="D1088" s="13">
        <v>255</v>
      </c>
      <c r="E1088" s="12"/>
      <c r="F1088" s="13"/>
    </row>
    <row r="1089" ht="16.5" customHeight="1" spans="1:6">
      <c r="A1089" s="11">
        <v>12474</v>
      </c>
      <c r="B1089" s="11" t="s">
        <v>376</v>
      </c>
      <c r="C1089" s="12">
        <v>1</v>
      </c>
      <c r="D1089" s="13">
        <v>85.5</v>
      </c>
      <c r="E1089" s="12"/>
      <c r="F1089" s="13"/>
    </row>
    <row r="1090" ht="16.5" customHeight="1" spans="1:6">
      <c r="A1090" s="11">
        <v>12483</v>
      </c>
      <c r="B1090" s="11" t="s">
        <v>381</v>
      </c>
      <c r="C1090" s="12">
        <v>1</v>
      </c>
      <c r="D1090" s="13">
        <v>117</v>
      </c>
      <c r="E1090" s="12"/>
      <c r="F1090" s="13"/>
    </row>
    <row r="1091" ht="16.5" customHeight="1" spans="1:6">
      <c r="A1091" s="11">
        <v>12484</v>
      </c>
      <c r="B1091" s="11" t="s">
        <v>382</v>
      </c>
      <c r="C1091" s="12">
        <v>5</v>
      </c>
      <c r="D1091" s="13">
        <v>582.2</v>
      </c>
      <c r="E1091" s="12"/>
      <c r="F1091" s="13"/>
    </row>
    <row r="1092" ht="33" customHeight="1" spans="1:6">
      <c r="A1092" s="11">
        <v>12461</v>
      </c>
      <c r="B1092" s="11" t="s">
        <v>386</v>
      </c>
      <c r="C1092" s="12">
        <v>1</v>
      </c>
      <c r="D1092" s="13">
        <v>119</v>
      </c>
      <c r="E1092" s="12"/>
      <c r="F1092" s="13"/>
    </row>
    <row r="1093" ht="16.5" customHeight="1" spans="1:6">
      <c r="A1093" s="11">
        <v>12489</v>
      </c>
      <c r="B1093" s="11" t="s">
        <v>387</v>
      </c>
      <c r="C1093" s="12">
        <v>7</v>
      </c>
      <c r="D1093" s="13">
        <v>315</v>
      </c>
      <c r="E1093" s="12"/>
      <c r="F1093" s="13"/>
    </row>
    <row r="1094" ht="16.5" customHeight="1" spans="1:6">
      <c r="A1094" s="11">
        <v>12480</v>
      </c>
      <c r="B1094" s="11" t="s">
        <v>388</v>
      </c>
      <c r="C1094" s="12">
        <v>0</v>
      </c>
      <c r="D1094" s="13">
        <v>0</v>
      </c>
      <c r="E1094" s="12"/>
      <c r="F1094" s="13"/>
    </row>
    <row r="1095" ht="16.5" customHeight="1" spans="1:6">
      <c r="A1095" s="11">
        <v>12558</v>
      </c>
      <c r="B1095" s="11" t="s">
        <v>389</v>
      </c>
      <c r="C1095" s="12">
        <v>2</v>
      </c>
      <c r="D1095" s="13">
        <v>170</v>
      </c>
      <c r="E1095" s="12"/>
      <c r="F1095" s="13"/>
    </row>
    <row r="1096" ht="16.5" customHeight="1" spans="1:6">
      <c r="A1096" s="11">
        <v>12473</v>
      </c>
      <c r="B1096" s="11" t="s">
        <v>390</v>
      </c>
      <c r="C1096" s="12">
        <v>8</v>
      </c>
      <c r="D1096" s="13">
        <v>793.6</v>
      </c>
      <c r="E1096" s="12"/>
      <c r="F1096" s="13"/>
    </row>
    <row r="1097" ht="33" customHeight="1" spans="1:6">
      <c r="A1097" s="11">
        <v>12464</v>
      </c>
      <c r="B1097" s="11" t="s">
        <v>78</v>
      </c>
      <c r="C1097" s="12">
        <v>2</v>
      </c>
      <c r="D1097" s="13">
        <v>250</v>
      </c>
      <c r="E1097" s="12"/>
      <c r="F1097" s="13"/>
    </row>
    <row r="1098" ht="16.5" customHeight="1" spans="1:6">
      <c r="A1098" s="11">
        <v>12540</v>
      </c>
      <c r="B1098" s="11" t="s">
        <v>391</v>
      </c>
      <c r="C1098" s="12">
        <v>1</v>
      </c>
      <c r="D1098" s="13">
        <v>60</v>
      </c>
      <c r="E1098" s="12"/>
      <c r="F1098" s="13"/>
    </row>
    <row r="1099" ht="16.5" customHeight="1" spans="1:6">
      <c r="A1099" s="11">
        <v>12541</v>
      </c>
      <c r="B1099" s="11" t="s">
        <v>392</v>
      </c>
      <c r="C1099" s="12">
        <v>2</v>
      </c>
      <c r="D1099" s="13">
        <v>300</v>
      </c>
      <c r="E1099" s="12"/>
      <c r="F1099" s="13"/>
    </row>
    <row r="1100" ht="16.5" customHeight="1" spans="1:6">
      <c r="A1100" s="11">
        <v>12542</v>
      </c>
      <c r="B1100" s="11" t="s">
        <v>393</v>
      </c>
      <c r="C1100" s="12">
        <v>0</v>
      </c>
      <c r="D1100" s="13">
        <v>0</v>
      </c>
      <c r="E1100" s="12"/>
      <c r="F1100" s="13"/>
    </row>
    <row r="1101" ht="16.5" customHeight="1" spans="1:6">
      <c r="A1101" s="11">
        <v>12543</v>
      </c>
      <c r="B1101" s="11" t="s">
        <v>394</v>
      </c>
      <c r="C1101" s="12">
        <v>0</v>
      </c>
      <c r="D1101" s="13">
        <v>0</v>
      </c>
      <c r="E1101" s="12"/>
      <c r="F1101" s="13"/>
    </row>
    <row r="1102" ht="16.5" customHeight="1" spans="1:6">
      <c r="A1102" s="11">
        <v>12544</v>
      </c>
      <c r="B1102" s="11" t="s">
        <v>395</v>
      </c>
      <c r="C1102" s="12">
        <v>2</v>
      </c>
      <c r="D1102" s="13">
        <v>300</v>
      </c>
      <c r="E1102" s="12"/>
      <c r="F1102" s="13"/>
    </row>
    <row r="1103" ht="16.5" customHeight="1" spans="1:6">
      <c r="A1103" s="11">
        <v>12612</v>
      </c>
      <c r="B1103" s="11" t="s">
        <v>396</v>
      </c>
      <c r="C1103" s="12">
        <v>1</v>
      </c>
      <c r="D1103" s="13">
        <v>165</v>
      </c>
      <c r="E1103" s="12"/>
      <c r="F1103" s="13"/>
    </row>
    <row r="1104" ht="33" customHeight="1" spans="1:6">
      <c r="A1104" s="11">
        <v>12651</v>
      </c>
      <c r="B1104" s="11" t="s">
        <v>397</v>
      </c>
      <c r="C1104" s="12">
        <v>2</v>
      </c>
      <c r="D1104" s="13">
        <v>178</v>
      </c>
      <c r="E1104" s="12"/>
      <c r="F1104" s="13"/>
    </row>
    <row r="1105" ht="16.5" customHeight="1" spans="1:6">
      <c r="A1105" s="11">
        <v>12604</v>
      </c>
      <c r="B1105" s="11" t="s">
        <v>398</v>
      </c>
      <c r="C1105" s="12">
        <v>0</v>
      </c>
      <c r="D1105" s="13">
        <v>0</v>
      </c>
      <c r="E1105" s="12"/>
      <c r="F1105" s="13"/>
    </row>
    <row r="1106" ht="16.5" customHeight="1" spans="1:6">
      <c r="A1106" s="11">
        <v>12526</v>
      </c>
      <c r="B1106" s="11" t="s">
        <v>399</v>
      </c>
      <c r="C1106" s="12">
        <v>0</v>
      </c>
      <c r="D1106" s="13">
        <v>0</v>
      </c>
      <c r="E1106" s="12"/>
      <c r="F1106" s="13"/>
    </row>
    <row r="1107" ht="33" customHeight="1" spans="1:6">
      <c r="A1107" s="11">
        <v>12590</v>
      </c>
      <c r="B1107" s="11" t="s">
        <v>400</v>
      </c>
      <c r="C1107" s="12">
        <v>2</v>
      </c>
      <c r="D1107" s="13">
        <v>250</v>
      </c>
      <c r="E1107" s="12"/>
      <c r="F1107" s="13"/>
    </row>
    <row r="1108" ht="16.5" customHeight="1" spans="1:6">
      <c r="A1108" s="11">
        <v>12586</v>
      </c>
      <c r="B1108" s="11" t="s">
        <v>401</v>
      </c>
      <c r="C1108" s="12">
        <v>1</v>
      </c>
      <c r="D1108" s="13">
        <v>70</v>
      </c>
      <c r="E1108" s="12"/>
      <c r="F1108" s="13"/>
    </row>
    <row r="1109" ht="33" customHeight="1" spans="1:6">
      <c r="A1109" s="11">
        <v>12615</v>
      </c>
      <c r="B1109" s="11" t="s">
        <v>402</v>
      </c>
      <c r="C1109" s="12">
        <v>0</v>
      </c>
      <c r="D1109" s="13">
        <v>0</v>
      </c>
      <c r="E1109" s="12"/>
      <c r="F1109" s="13"/>
    </row>
    <row r="1110" ht="33" customHeight="1" spans="1:6">
      <c r="A1110" s="11">
        <v>12616</v>
      </c>
      <c r="B1110" s="11" t="s">
        <v>403</v>
      </c>
      <c r="C1110" s="12">
        <v>0</v>
      </c>
      <c r="D1110" s="13">
        <v>0</v>
      </c>
      <c r="E1110" s="12"/>
      <c r="F1110" s="13"/>
    </row>
    <row r="1111" ht="16.5" customHeight="1" spans="1:6">
      <c r="A1111" s="11">
        <v>12572</v>
      </c>
      <c r="B1111" s="11" t="s">
        <v>404</v>
      </c>
      <c r="C1111" s="12">
        <v>2</v>
      </c>
      <c r="D1111" s="13">
        <v>120</v>
      </c>
      <c r="E1111" s="12"/>
      <c r="F1111" s="13"/>
    </row>
    <row r="1112" ht="33" customHeight="1" spans="1:6">
      <c r="A1112" s="11">
        <v>12573</v>
      </c>
      <c r="B1112" s="11" t="s">
        <v>405</v>
      </c>
      <c r="C1112" s="12">
        <v>1</v>
      </c>
      <c r="D1112" s="13">
        <v>60</v>
      </c>
      <c r="E1112" s="12"/>
      <c r="F1112" s="13"/>
    </row>
    <row r="1113" ht="16.5" customHeight="1" spans="1:6">
      <c r="A1113" s="11">
        <v>12650</v>
      </c>
      <c r="B1113" s="11" t="s">
        <v>406</v>
      </c>
      <c r="C1113" s="12">
        <v>0</v>
      </c>
      <c r="D1113" s="13">
        <v>0</v>
      </c>
      <c r="E1113" s="12"/>
      <c r="F1113" s="13"/>
    </row>
    <row r="1114" ht="16.5" customHeight="1" spans="1:6">
      <c r="A1114" s="11">
        <v>12649</v>
      </c>
      <c r="B1114" s="11" t="s">
        <v>407</v>
      </c>
      <c r="C1114" s="12">
        <v>2</v>
      </c>
      <c r="D1114" s="13">
        <v>240</v>
      </c>
      <c r="E1114" s="12"/>
      <c r="F1114" s="13"/>
    </row>
    <row r="1115" ht="16.5" customHeight="1" spans="1:6">
      <c r="A1115" s="11">
        <v>12629</v>
      </c>
      <c r="B1115" s="11" t="s">
        <v>415</v>
      </c>
      <c r="C1115" s="12">
        <v>0</v>
      </c>
      <c r="D1115" s="13">
        <v>0</v>
      </c>
      <c r="E1115" s="12"/>
      <c r="F1115" s="13"/>
    </row>
    <row r="1116" ht="33" customHeight="1" spans="1:6">
      <c r="A1116" s="11">
        <v>12591</v>
      </c>
      <c r="B1116" s="11" t="s">
        <v>416</v>
      </c>
      <c r="C1116" s="12">
        <v>0</v>
      </c>
      <c r="D1116" s="13">
        <v>0</v>
      </c>
      <c r="E1116" s="12"/>
      <c r="F1116" s="13"/>
    </row>
    <row r="1117" ht="16.5" customHeight="1" spans="1:6">
      <c r="A1117" s="11">
        <v>12606</v>
      </c>
      <c r="B1117" s="11" t="s">
        <v>417</v>
      </c>
      <c r="C1117" s="12">
        <v>0</v>
      </c>
      <c r="D1117" s="13">
        <v>0</v>
      </c>
      <c r="E1117" s="12"/>
      <c r="F1117" s="13"/>
    </row>
    <row r="1118" ht="16.5" customHeight="1" spans="1:6">
      <c r="A1118" s="11">
        <v>12614</v>
      </c>
      <c r="B1118" s="11" t="s">
        <v>418</v>
      </c>
      <c r="C1118" s="12">
        <v>2</v>
      </c>
      <c r="D1118" s="13">
        <v>258</v>
      </c>
      <c r="E1118" s="12"/>
      <c r="F1118" s="13"/>
    </row>
    <row r="1119" ht="33" customHeight="1" spans="1:6">
      <c r="A1119" s="11">
        <v>12632</v>
      </c>
      <c r="B1119" s="11" t="s">
        <v>408</v>
      </c>
      <c r="C1119" s="12">
        <v>0</v>
      </c>
      <c r="D1119" s="13">
        <v>0</v>
      </c>
      <c r="E1119" s="12"/>
      <c r="F1119" s="13"/>
    </row>
    <row r="1120" ht="33" customHeight="1" spans="1:6">
      <c r="A1120" s="11">
        <v>12631</v>
      </c>
      <c r="B1120" s="11" t="s">
        <v>409</v>
      </c>
      <c r="C1120" s="12">
        <v>2</v>
      </c>
      <c r="D1120" s="13">
        <v>250</v>
      </c>
      <c r="E1120" s="12"/>
      <c r="F1120" s="13"/>
    </row>
    <row r="1121" ht="33" customHeight="1" spans="1:6">
      <c r="A1121" s="11">
        <v>12630</v>
      </c>
      <c r="B1121" s="11" t="s">
        <v>410</v>
      </c>
      <c r="C1121" s="12">
        <v>2</v>
      </c>
      <c r="D1121" s="13">
        <v>490</v>
      </c>
      <c r="E1121" s="12"/>
      <c r="F1121" s="13"/>
    </row>
    <row r="1122" ht="33" customHeight="1" spans="1:6">
      <c r="A1122" s="11">
        <v>12587</v>
      </c>
      <c r="B1122" s="11" t="s">
        <v>411</v>
      </c>
      <c r="C1122" s="12">
        <v>3</v>
      </c>
      <c r="D1122" s="13">
        <v>142.98</v>
      </c>
      <c r="E1122" s="12"/>
      <c r="F1122" s="13"/>
    </row>
    <row r="1123" ht="16.5" customHeight="1" spans="1:6">
      <c r="A1123" s="11">
        <v>12569</v>
      </c>
      <c r="B1123" s="11" t="s">
        <v>412</v>
      </c>
      <c r="C1123" s="12">
        <v>0</v>
      </c>
      <c r="D1123" s="13">
        <v>0</v>
      </c>
      <c r="E1123" s="12"/>
      <c r="F1123" s="13"/>
    </row>
    <row r="1124" ht="33" customHeight="1" spans="1:6">
      <c r="A1124" s="11">
        <v>12575</v>
      </c>
      <c r="B1124" s="11" t="s">
        <v>413</v>
      </c>
      <c r="C1124" s="12">
        <v>0</v>
      </c>
      <c r="D1124" s="13">
        <v>0</v>
      </c>
      <c r="E1124" s="12"/>
      <c r="F1124" s="13"/>
    </row>
    <row r="1125" ht="16.5" customHeight="1" spans="1:6">
      <c r="A1125" s="11">
        <v>12574</v>
      </c>
      <c r="B1125" s="11" t="s">
        <v>414</v>
      </c>
      <c r="C1125" s="12">
        <v>0</v>
      </c>
      <c r="D1125" s="13">
        <v>0</v>
      </c>
      <c r="E1125" s="12"/>
      <c r="F1125" s="13"/>
    </row>
    <row r="1126" ht="16.5" customHeight="1" spans="1:6">
      <c r="A1126" s="11">
        <v>12532</v>
      </c>
      <c r="B1126" s="11" t="s">
        <v>419</v>
      </c>
      <c r="C1126" s="12">
        <v>0</v>
      </c>
      <c r="D1126" s="13">
        <v>0</v>
      </c>
      <c r="E1126" s="12"/>
      <c r="F1126" s="13"/>
    </row>
    <row r="1127" ht="16.5" customHeight="1" spans="1:6">
      <c r="A1127" s="11">
        <v>12713</v>
      </c>
      <c r="B1127" s="11" t="s">
        <v>420</v>
      </c>
      <c r="C1127" s="12">
        <v>1</v>
      </c>
      <c r="D1127" s="13">
        <v>139</v>
      </c>
      <c r="E1127" s="12"/>
      <c r="F1127" s="13"/>
    </row>
    <row r="1128" ht="16.5" customHeight="1" spans="1:6">
      <c r="A1128" s="11">
        <v>12732</v>
      </c>
      <c r="B1128" s="11" t="s">
        <v>421</v>
      </c>
      <c r="C1128" s="12">
        <v>0</v>
      </c>
      <c r="D1128" s="13">
        <v>0</v>
      </c>
      <c r="E1128" s="12"/>
      <c r="F1128" s="13"/>
    </row>
    <row r="1129" ht="33" customHeight="1" spans="1:6">
      <c r="A1129" s="11">
        <v>12658</v>
      </c>
      <c r="B1129" s="11" t="s">
        <v>422</v>
      </c>
      <c r="C1129" s="12">
        <v>2</v>
      </c>
      <c r="D1129" s="13">
        <v>214</v>
      </c>
      <c r="E1129" s="12"/>
      <c r="F1129" s="13"/>
    </row>
    <row r="1130" ht="16.5" customHeight="1" spans="1:6">
      <c r="A1130" s="11">
        <v>12741</v>
      </c>
      <c r="B1130" s="11" t="s">
        <v>423</v>
      </c>
      <c r="C1130" s="12">
        <v>1</v>
      </c>
      <c r="D1130" s="13">
        <v>96</v>
      </c>
      <c r="E1130" s="12"/>
      <c r="F1130" s="13"/>
    </row>
    <row r="1131" ht="16.5" customHeight="1" spans="1:6">
      <c r="A1131" s="11">
        <v>12740</v>
      </c>
      <c r="B1131" s="11" t="s">
        <v>424</v>
      </c>
      <c r="C1131" s="12">
        <v>2</v>
      </c>
      <c r="D1131" s="13">
        <v>198</v>
      </c>
      <c r="E1131" s="12"/>
      <c r="F1131" s="13"/>
    </row>
    <row r="1132" ht="16.5" customHeight="1" spans="1:6">
      <c r="A1132" s="11">
        <v>12743</v>
      </c>
      <c r="B1132" s="11" t="s">
        <v>425</v>
      </c>
      <c r="C1132" s="12">
        <v>0</v>
      </c>
      <c r="D1132" s="13">
        <v>0</v>
      </c>
      <c r="E1132" s="12"/>
      <c r="F1132" s="13"/>
    </row>
    <row r="1133" ht="16.5" customHeight="1" spans="1:6">
      <c r="A1133" s="11">
        <v>12742</v>
      </c>
      <c r="B1133" s="11" t="s">
        <v>426</v>
      </c>
      <c r="C1133" s="12">
        <v>0</v>
      </c>
      <c r="D1133" s="13">
        <v>0</v>
      </c>
      <c r="E1133" s="12"/>
      <c r="F1133" s="13"/>
    </row>
    <row r="1134" ht="33" customHeight="1" spans="1:6">
      <c r="A1134" s="11">
        <v>12595</v>
      </c>
      <c r="B1134" s="11" t="s">
        <v>427</v>
      </c>
      <c r="C1134" s="12">
        <v>2</v>
      </c>
      <c r="D1134" s="13">
        <v>190</v>
      </c>
      <c r="E1134" s="12"/>
      <c r="F1134" s="13"/>
    </row>
    <row r="1135" ht="33" customHeight="1" spans="1:6">
      <c r="A1135" s="11">
        <v>12588</v>
      </c>
      <c r="B1135" s="11" t="s">
        <v>428</v>
      </c>
      <c r="C1135" s="12">
        <v>1</v>
      </c>
      <c r="D1135" s="13">
        <v>105</v>
      </c>
      <c r="E1135" s="12"/>
      <c r="F1135" s="13"/>
    </row>
    <row r="1136" ht="33" customHeight="1" spans="1:6">
      <c r="A1136" s="11">
        <v>12596</v>
      </c>
      <c r="B1136" s="11" t="s">
        <v>429</v>
      </c>
      <c r="C1136" s="12">
        <v>5</v>
      </c>
      <c r="D1136" s="13">
        <v>575</v>
      </c>
      <c r="E1136" s="12"/>
      <c r="F1136" s="13"/>
    </row>
    <row r="1137" ht="33" customHeight="1" spans="1:6">
      <c r="A1137" s="11">
        <v>12589</v>
      </c>
      <c r="B1137" s="11" t="s">
        <v>430</v>
      </c>
      <c r="C1137" s="12">
        <v>2</v>
      </c>
      <c r="D1137" s="13">
        <v>250</v>
      </c>
      <c r="E1137" s="12"/>
      <c r="F1137" s="13"/>
    </row>
    <row r="1138" ht="33" customHeight="1" spans="1:6">
      <c r="A1138" s="11">
        <v>12597</v>
      </c>
      <c r="B1138" s="11" t="s">
        <v>431</v>
      </c>
      <c r="C1138" s="12">
        <v>2</v>
      </c>
      <c r="D1138" s="13">
        <v>230</v>
      </c>
      <c r="E1138" s="12"/>
      <c r="F1138" s="13"/>
    </row>
    <row r="1139" ht="33" customHeight="1" spans="1:6">
      <c r="A1139" s="11">
        <v>12598</v>
      </c>
      <c r="B1139" s="11" t="s">
        <v>432</v>
      </c>
      <c r="C1139" s="12">
        <v>1</v>
      </c>
      <c r="D1139" s="13">
        <v>100</v>
      </c>
      <c r="E1139" s="12"/>
      <c r="F1139" s="13"/>
    </row>
    <row r="1140" ht="16.5" customHeight="1" spans="1:6">
      <c r="A1140" s="11">
        <v>12833</v>
      </c>
      <c r="B1140" s="11" t="s">
        <v>434</v>
      </c>
      <c r="C1140" s="12">
        <v>14</v>
      </c>
      <c r="D1140" s="13">
        <v>1232</v>
      </c>
      <c r="E1140" s="12"/>
      <c r="F1140" s="13"/>
    </row>
    <row r="1141" ht="16.5" customHeight="1" spans="1:6">
      <c r="A1141" s="11">
        <v>12519</v>
      </c>
      <c r="B1141" s="11" t="s">
        <v>435</v>
      </c>
      <c r="C1141" s="12">
        <v>2</v>
      </c>
      <c r="D1141" s="13">
        <v>218</v>
      </c>
      <c r="E1141" s="12"/>
      <c r="F1141" s="13"/>
    </row>
    <row r="1142" ht="16.5" customHeight="1" spans="1:6">
      <c r="A1142" s="11">
        <v>12686</v>
      </c>
      <c r="B1142" s="11" t="s">
        <v>436</v>
      </c>
      <c r="C1142" s="12">
        <v>3</v>
      </c>
      <c r="D1142" s="13">
        <v>165</v>
      </c>
      <c r="E1142" s="12"/>
      <c r="F1142" s="13"/>
    </row>
    <row r="1143" ht="33" customHeight="1" spans="1:6">
      <c r="A1143" s="11">
        <v>12687</v>
      </c>
      <c r="B1143" s="11" t="s">
        <v>437</v>
      </c>
      <c r="C1143" s="12">
        <v>3</v>
      </c>
      <c r="D1143" s="13">
        <v>165</v>
      </c>
      <c r="E1143" s="12"/>
      <c r="F1143" s="13"/>
    </row>
    <row r="1144" ht="16.5" customHeight="1" spans="1:6">
      <c r="A1144" s="11">
        <v>12701</v>
      </c>
      <c r="B1144" s="11" t="s">
        <v>438</v>
      </c>
      <c r="C1144" s="12">
        <v>4</v>
      </c>
      <c r="D1144" s="13">
        <v>380</v>
      </c>
      <c r="E1144" s="12"/>
      <c r="F1144" s="13"/>
    </row>
    <row r="1145" ht="33" customHeight="1" spans="1:6">
      <c r="A1145" s="11">
        <v>12700</v>
      </c>
      <c r="B1145" s="11" t="s">
        <v>439</v>
      </c>
      <c r="C1145" s="12">
        <v>2</v>
      </c>
      <c r="D1145" s="13">
        <v>190</v>
      </c>
      <c r="E1145" s="12"/>
      <c r="F1145" s="13"/>
    </row>
    <row r="1146" ht="16.5" customHeight="1" spans="1:6">
      <c r="A1146" s="11">
        <v>12779</v>
      </c>
      <c r="B1146" s="11" t="s">
        <v>440</v>
      </c>
      <c r="C1146" s="12">
        <v>0</v>
      </c>
      <c r="D1146" s="13">
        <v>0</v>
      </c>
      <c r="E1146" s="12"/>
      <c r="F1146" s="13"/>
    </row>
    <row r="1147" ht="33" customHeight="1" spans="1:6">
      <c r="A1147" s="11">
        <v>12602</v>
      </c>
      <c r="B1147" s="11" t="s">
        <v>441</v>
      </c>
      <c r="C1147" s="12">
        <v>1</v>
      </c>
      <c r="D1147" s="13">
        <v>120</v>
      </c>
    </row>
    <row r="1148" ht="16.5" customHeight="1" spans="1:6">
      <c r="A1148" s="11">
        <v>12786</v>
      </c>
      <c r="B1148" s="11" t="s">
        <v>442</v>
      </c>
      <c r="C1148" s="12">
        <v>1</v>
      </c>
      <c r="D1148" s="13">
        <v>150</v>
      </c>
    </row>
    <row r="1149" ht="16.5" customHeight="1" spans="1:6">
      <c r="A1149" s="11">
        <v>12840</v>
      </c>
      <c r="B1149" s="11" t="s">
        <v>443</v>
      </c>
      <c r="C1149" s="12">
        <v>0</v>
      </c>
      <c r="D1149" s="13">
        <v>0</v>
      </c>
    </row>
    <row r="1150" ht="16.5" customHeight="1" spans="1:6">
      <c r="A1150" s="11">
        <v>12892</v>
      </c>
      <c r="B1150" s="11" t="s">
        <v>444</v>
      </c>
      <c r="C1150" s="12">
        <v>1</v>
      </c>
      <c r="D1150" s="13">
        <v>71</v>
      </c>
    </row>
    <row r="1151" ht="33" customHeight="1" spans="1:6">
      <c r="A1151" s="11">
        <v>12781</v>
      </c>
      <c r="B1151" s="11" t="s">
        <v>445</v>
      </c>
      <c r="C1151" s="12">
        <v>0</v>
      </c>
      <c r="D1151" s="13">
        <v>0</v>
      </c>
    </row>
    <row r="1152" ht="33" customHeight="1" spans="1:6">
      <c r="A1152" s="11">
        <v>12778</v>
      </c>
      <c r="B1152" s="11" t="s">
        <v>446</v>
      </c>
      <c r="C1152" s="12">
        <v>0</v>
      </c>
      <c r="D1152" s="13">
        <v>0</v>
      </c>
    </row>
    <row r="1153" ht="16.5" customHeight="1" spans="1:4">
      <c r="A1153" s="11">
        <v>12714</v>
      </c>
      <c r="B1153" s="11" t="s">
        <v>447</v>
      </c>
      <c r="C1153" s="12">
        <v>1</v>
      </c>
      <c r="D1153" s="13">
        <v>105</v>
      </c>
    </row>
    <row r="1154" ht="16.5" customHeight="1" spans="1:4">
      <c r="A1154" s="11">
        <v>12761</v>
      </c>
      <c r="B1154" s="11" t="s">
        <v>448</v>
      </c>
      <c r="C1154" s="12">
        <v>3</v>
      </c>
      <c r="D1154" s="13">
        <v>450</v>
      </c>
    </row>
    <row r="1155" ht="16.5" customHeight="1" spans="1:4">
      <c r="A1155" s="11">
        <v>12771</v>
      </c>
      <c r="B1155" s="11" t="s">
        <v>449</v>
      </c>
      <c r="C1155" s="12">
        <v>1</v>
      </c>
      <c r="D1155" s="13">
        <v>130</v>
      </c>
    </row>
    <row r="1156" ht="16.5" customHeight="1" spans="1:4">
      <c r="A1156" s="11">
        <v>12715</v>
      </c>
      <c r="B1156" s="11" t="s">
        <v>450</v>
      </c>
      <c r="C1156" s="12">
        <v>2</v>
      </c>
      <c r="D1156" s="13">
        <v>151.9</v>
      </c>
    </row>
    <row r="1157" ht="16.5" customHeight="1" spans="1:4">
      <c r="A1157" s="11">
        <v>12762</v>
      </c>
      <c r="B1157" s="11" t="s">
        <v>451</v>
      </c>
      <c r="C1157" s="12">
        <v>0</v>
      </c>
      <c r="D1157" s="13">
        <v>0</v>
      </c>
    </row>
    <row r="1158" ht="33" customHeight="1" spans="1:4">
      <c r="A1158" s="11">
        <v>12726</v>
      </c>
      <c r="B1158" s="11" t="s">
        <v>452</v>
      </c>
      <c r="C1158" s="12">
        <v>0</v>
      </c>
      <c r="D1158" s="13">
        <v>0</v>
      </c>
    </row>
    <row r="1159" ht="33" customHeight="1" spans="1:4">
      <c r="A1159" s="11">
        <v>12605</v>
      </c>
      <c r="B1159" s="11" t="s">
        <v>453</v>
      </c>
      <c r="C1159" s="12">
        <v>1</v>
      </c>
      <c r="D1159" s="13">
        <v>180</v>
      </c>
    </row>
    <row r="1160" ht="16.5" customHeight="1" spans="1:4">
      <c r="A1160" s="11">
        <v>12708</v>
      </c>
      <c r="B1160" s="11" t="s">
        <v>454</v>
      </c>
      <c r="C1160" s="12">
        <v>0</v>
      </c>
      <c r="D1160" s="13">
        <v>0</v>
      </c>
    </row>
    <row r="1161" ht="16.5" customHeight="1" spans="1:4">
      <c r="A1161" s="11">
        <v>12527</v>
      </c>
      <c r="B1161" s="11" t="s">
        <v>455</v>
      </c>
      <c r="C1161" s="12">
        <v>0</v>
      </c>
      <c r="D1161" s="13">
        <v>0</v>
      </c>
    </row>
    <row r="1162" ht="33" customHeight="1" spans="1:4">
      <c r="A1162" s="11">
        <v>12838</v>
      </c>
      <c r="B1162" s="11" t="s">
        <v>1641</v>
      </c>
      <c r="C1162" s="12">
        <v>0</v>
      </c>
      <c r="D1162" s="13">
        <v>0</v>
      </c>
    </row>
    <row r="1163" ht="16.5" customHeight="1" spans="1:4">
      <c r="A1163" s="11">
        <v>12839</v>
      </c>
      <c r="B1163" s="11" t="s">
        <v>456</v>
      </c>
      <c r="C1163" s="12">
        <v>0</v>
      </c>
      <c r="D1163" s="13">
        <v>0</v>
      </c>
    </row>
    <row r="1164" ht="16.5" customHeight="1" spans="1:4">
      <c r="A1164" s="11">
        <v>12795</v>
      </c>
      <c r="B1164" s="11" t="s">
        <v>457</v>
      </c>
      <c r="C1164" s="12">
        <v>0</v>
      </c>
      <c r="D1164" s="13">
        <v>0</v>
      </c>
    </row>
    <row r="1165" ht="15" customHeight="1" spans="1:4">
      <c r="A1165" s="17"/>
      <c r="B1165" s="18"/>
      <c r="C1165" s="19"/>
      <c r="D1165" s="19"/>
    </row>
    <row r="1166" spans="1:4">
      <c r="A1166" s="20"/>
    </row>
    <row r="1167" spans="1:4">
      <c r="A1167" s="20"/>
    </row>
    <row r="1168" ht="16.5" customHeight="1" spans="1:4">
      <c r="A1168" s="21"/>
    </row>
    <row r="1169" ht="16.5" customHeight="1" spans="1:1">
      <c r="A1169" s="21"/>
    </row>
    <row r="1170" ht="16.5" customHeight="1" spans="1:1">
      <c r="A1170" s="21"/>
    </row>
    <row r="1171" ht="16.5" customHeight="1" spans="1:1">
      <c r="A1171" s="21"/>
    </row>
    <row r="1172" ht="16.5" customHeight="1" spans="1:1">
      <c r="A1172" s="21"/>
    </row>
    <row r="1173" ht="16.5" customHeight="1" spans="1:1">
      <c r="A1173" s="21"/>
    </row>
    <row r="1174" ht="16.5" customHeight="1" spans="1:1">
      <c r="A1174" s="21"/>
    </row>
    <row r="1175" spans="1:1">
      <c r="A1175" s="20"/>
    </row>
    <row r="1176" spans="1:1">
      <c r="A1176" s="20"/>
    </row>
    <row r="1177" spans="1:1">
      <c r="A1177" s="20"/>
    </row>
    <row r="1178" spans="1:1">
      <c r="A1178" s="20"/>
    </row>
    <row r="1179" spans="1:1">
      <c r="A1179" s="20"/>
    </row>
    <row r="1180" spans="1:1">
      <c r="A1180" s="20"/>
    </row>
    <row r="1181" spans="1:1">
      <c r="A1181" s="20"/>
    </row>
    <row r="1182" ht="16.5" customHeight="1" spans="1:1">
      <c r="A1182" s="21"/>
    </row>
    <row r="1183" ht="16.5" customHeight="1" spans="1:1">
      <c r="A1183" s="21"/>
    </row>
    <row r="1184" ht="16.5" customHeight="1" spans="1:1">
      <c r="A1184" s="21"/>
    </row>
    <row r="1185" ht="16.5" customHeight="1" spans="1:1">
      <c r="A1185" s="21"/>
    </row>
    <row r="1186" spans="1:1">
      <c r="A1186" s="20"/>
    </row>
    <row r="1187" ht="16.5" customHeight="1" spans="1:1">
      <c r="A1187" s="21"/>
    </row>
    <row r="1188" spans="1:1">
      <c r="A1188" s="22"/>
    </row>
    <row r="1189" ht="16.5" customHeight="1" spans="1:1">
      <c r="A1189" s="21"/>
    </row>
    <row r="1190" ht="16.5" customHeight="1" spans="1:1">
      <c r="A1190" s="21"/>
    </row>
    <row r="1191" ht="16.5" customHeight="1" spans="1:1">
      <c r="A1191" s="21"/>
    </row>
    <row r="1192" ht="16.5" customHeight="1" spans="1:1">
      <c r="A1192" s="21"/>
    </row>
    <row r="1193" ht="16.5" customHeight="1" spans="1:1">
      <c r="A1193" s="21"/>
    </row>
    <row r="1194" spans="1:1">
      <c r="A1194" s="20"/>
    </row>
    <row r="1195" spans="1:1">
      <c r="A1195" s="20"/>
    </row>
    <row r="1196" spans="1:1">
      <c r="A1196" s="20"/>
    </row>
    <row r="1197" spans="1:1">
      <c r="A1197" s="20"/>
    </row>
    <row r="1198" spans="1:1">
      <c r="A1198" s="20"/>
    </row>
    <row r="1199" spans="1:1">
      <c r="A1199" s="20"/>
    </row>
    <row r="1200" spans="1:1">
      <c r="A1200" s="22"/>
    </row>
    <row r="1201" spans="1:1">
      <c r="A1201" s="22"/>
    </row>
    <row r="1202" ht="16.5" customHeight="1" spans="1:1">
      <c r="A1202" s="21"/>
    </row>
    <row r="1203" spans="1:1">
      <c r="A1203" s="22"/>
    </row>
    <row r="1204" spans="1:1">
      <c r="A1204" s="22"/>
    </row>
    <row r="1205" spans="1:1">
      <c r="A1205" s="22"/>
    </row>
    <row r="1206" spans="1:1">
      <c r="A1206" s="22"/>
    </row>
    <row r="1207" spans="1:1">
      <c r="A1207" s="22"/>
    </row>
    <row r="1208" spans="1:1">
      <c r="A1208" s="20"/>
    </row>
    <row r="1209" spans="1:1">
      <c r="A1209" s="20"/>
    </row>
    <row r="1210" spans="1:1">
      <c r="A1210" s="20"/>
    </row>
    <row r="1211" spans="1:1">
      <c r="A1211" s="22"/>
    </row>
    <row r="1212" spans="1:1">
      <c r="A1212" s="22"/>
    </row>
    <row r="1213" spans="1:1">
      <c r="A1213" s="22"/>
    </row>
    <row r="1214" spans="1:1">
      <c r="A1214" s="22"/>
    </row>
    <row r="1215" spans="1:1">
      <c r="A1215" s="22"/>
    </row>
    <row r="1216" spans="1:1">
      <c r="A1216" s="22"/>
    </row>
    <row r="1217" spans="1:1">
      <c r="A1217" s="22"/>
    </row>
    <row r="1218" spans="1:1">
      <c r="A1218" s="22"/>
    </row>
    <row r="1219" spans="1:1">
      <c r="A1219" s="20"/>
    </row>
    <row r="1220" spans="1:1">
      <c r="A1220" s="20"/>
    </row>
    <row r="1221" spans="1:1">
      <c r="A1221" s="20"/>
    </row>
    <row r="1222" spans="1:1">
      <c r="A1222" s="20"/>
    </row>
    <row r="1223" spans="1:1">
      <c r="A1223" s="22"/>
    </row>
    <row r="1224" spans="1:1">
      <c r="A1224" s="22"/>
    </row>
    <row r="1225" spans="1:1">
      <c r="A1225" s="22"/>
    </row>
    <row r="1226" spans="1:1">
      <c r="A1226" s="20"/>
    </row>
    <row r="1227" spans="1:1">
      <c r="A1227" s="20"/>
    </row>
    <row r="1228" spans="1:1">
      <c r="A1228" s="20"/>
    </row>
    <row r="1047735" spans="2:6">
      <c r="B1047735"/>
      <c r="C1047735"/>
      <c r="D1047735"/>
      <c r="E1047735"/>
      <c r="F1047735"/>
    </row>
    <row r="1047736" spans="2:6">
      <c r="B1047736"/>
      <c r="C1047736"/>
      <c r="D1047736"/>
      <c r="E1047736"/>
      <c r="F1047736"/>
    </row>
    <row r="1047737" spans="2:6">
      <c r="B1047737"/>
      <c r="C1047737"/>
      <c r="D1047737"/>
      <c r="E1047737"/>
      <c r="F1047737"/>
    </row>
    <row r="1047738" spans="2:6">
      <c r="B1047738"/>
      <c r="C1047738"/>
      <c r="D1047738"/>
      <c r="E1047738"/>
      <c r="F1047738"/>
    </row>
    <row r="1047739" spans="2:6">
      <c r="B1047739"/>
      <c r="C1047739"/>
      <c r="D1047739"/>
      <c r="E1047739"/>
      <c r="F1047739"/>
    </row>
    <row r="1047740" spans="2:6">
      <c r="B1047740"/>
      <c r="C1047740"/>
      <c r="D1047740"/>
      <c r="E1047740"/>
      <c r="F1047740"/>
    </row>
    <row r="1047741" spans="2:6">
      <c r="B1047741"/>
      <c r="C1047741"/>
      <c r="D1047741"/>
      <c r="E1047741"/>
      <c r="F1047741"/>
    </row>
    <row r="1047742" spans="2:6">
      <c r="B1047742"/>
      <c r="C1047742"/>
      <c r="D1047742"/>
      <c r="E1047742"/>
      <c r="F1047742"/>
    </row>
    <row r="1047743" spans="2:6">
      <c r="B1047743"/>
      <c r="C1047743"/>
      <c r="D1047743"/>
      <c r="E1047743"/>
      <c r="F1047743"/>
    </row>
    <row r="1047744" spans="2:6">
      <c r="B1047744"/>
      <c r="C1047744"/>
      <c r="D1047744"/>
      <c r="E1047744"/>
      <c r="F1047744"/>
    </row>
    <row r="1047745" spans="2:6">
      <c r="B1047745"/>
      <c r="C1047745"/>
      <c r="D1047745"/>
      <c r="E1047745"/>
      <c r="F1047745"/>
    </row>
    <row r="1047746" spans="2:6">
      <c r="B1047746"/>
      <c r="C1047746"/>
      <c r="D1047746"/>
      <c r="E1047746"/>
      <c r="F1047746"/>
    </row>
    <row r="1047747" spans="2:6">
      <c r="B1047747"/>
      <c r="C1047747"/>
      <c r="D1047747"/>
      <c r="E1047747"/>
      <c r="F1047747"/>
    </row>
    <row r="1047748" spans="2:6">
      <c r="B1047748"/>
      <c r="C1047748"/>
      <c r="D1047748"/>
      <c r="E1047748"/>
      <c r="F1047748"/>
    </row>
    <row r="1047749" spans="2:6">
      <c r="B1047749"/>
      <c r="C1047749"/>
      <c r="D1047749"/>
      <c r="E1047749"/>
      <c r="F1047749"/>
    </row>
    <row r="1047750" spans="2:6">
      <c r="B1047750"/>
      <c r="C1047750"/>
      <c r="D1047750"/>
      <c r="E1047750"/>
      <c r="F1047750"/>
    </row>
    <row r="1047751" spans="2:6">
      <c r="B1047751"/>
      <c r="C1047751"/>
      <c r="D1047751"/>
      <c r="E1047751"/>
      <c r="F1047751"/>
    </row>
    <row r="1047752" spans="2:6">
      <c r="B1047752"/>
      <c r="C1047752"/>
      <c r="D1047752"/>
      <c r="E1047752"/>
      <c r="F1047752"/>
    </row>
    <row r="1047753" spans="2:6">
      <c r="B1047753"/>
      <c r="C1047753"/>
      <c r="D1047753"/>
      <c r="E1047753"/>
      <c r="F1047753"/>
    </row>
    <row r="1047754" spans="2:6">
      <c r="B1047754"/>
      <c r="C1047754"/>
      <c r="D1047754"/>
      <c r="E1047754"/>
      <c r="F1047754"/>
    </row>
    <row r="1047755" spans="2:6">
      <c r="B1047755"/>
      <c r="C1047755"/>
      <c r="D1047755"/>
      <c r="E1047755"/>
      <c r="F1047755"/>
    </row>
    <row r="1047756" spans="2:6">
      <c r="B1047756"/>
      <c r="C1047756"/>
      <c r="D1047756"/>
      <c r="E1047756"/>
      <c r="F1047756"/>
    </row>
    <row r="1047757" spans="2:6">
      <c r="B1047757"/>
      <c r="C1047757"/>
      <c r="D1047757"/>
      <c r="E1047757"/>
      <c r="F1047757"/>
    </row>
    <row r="1047758" spans="2:6">
      <c r="B1047758"/>
      <c r="C1047758"/>
      <c r="D1047758"/>
      <c r="E1047758"/>
      <c r="F1047758"/>
    </row>
    <row r="1047759" spans="2:6">
      <c r="B1047759"/>
      <c r="C1047759"/>
      <c r="D1047759"/>
      <c r="E1047759"/>
      <c r="F1047759"/>
    </row>
    <row r="1047760" spans="2:6">
      <c r="B1047760"/>
      <c r="C1047760"/>
      <c r="D1047760"/>
      <c r="E1047760"/>
      <c r="F1047760"/>
    </row>
    <row r="1047761" spans="2:6">
      <c r="B1047761"/>
      <c r="C1047761"/>
      <c r="D1047761"/>
      <c r="E1047761"/>
      <c r="F1047761"/>
    </row>
    <row r="1047762" spans="2:6">
      <c r="B1047762"/>
      <c r="C1047762"/>
      <c r="D1047762"/>
      <c r="E1047762"/>
      <c r="F1047762"/>
    </row>
    <row r="1047763" spans="2:6">
      <c r="B1047763"/>
      <c r="C1047763"/>
      <c r="D1047763"/>
      <c r="E1047763"/>
      <c r="F1047763"/>
    </row>
    <row r="1047764" spans="2:6">
      <c r="B1047764"/>
      <c r="C1047764"/>
      <c r="D1047764"/>
      <c r="E1047764"/>
      <c r="F1047764"/>
    </row>
    <row r="1047765" spans="2:6">
      <c r="B1047765"/>
      <c r="C1047765"/>
      <c r="D1047765"/>
      <c r="E1047765"/>
      <c r="F1047765"/>
    </row>
    <row r="1047766" spans="2:6">
      <c r="B1047766"/>
      <c r="C1047766"/>
      <c r="D1047766"/>
      <c r="E1047766"/>
      <c r="F1047766"/>
    </row>
    <row r="1047767" spans="2:6">
      <c r="B1047767"/>
      <c r="C1047767"/>
      <c r="D1047767"/>
      <c r="E1047767"/>
      <c r="F1047767"/>
    </row>
    <row r="1047768" spans="2:6">
      <c r="B1047768"/>
      <c r="C1047768"/>
      <c r="D1047768"/>
      <c r="E1047768"/>
      <c r="F1047768"/>
    </row>
    <row r="1047769" spans="2:6">
      <c r="B1047769"/>
      <c r="C1047769"/>
      <c r="D1047769"/>
      <c r="E1047769"/>
      <c r="F1047769"/>
    </row>
    <row r="1047770" spans="2:6">
      <c r="B1047770"/>
      <c r="C1047770"/>
      <c r="D1047770"/>
      <c r="E1047770"/>
      <c r="F1047770"/>
    </row>
    <row r="1047771" spans="2:6">
      <c r="B1047771"/>
      <c r="C1047771"/>
      <c r="D1047771"/>
      <c r="E1047771"/>
      <c r="F1047771"/>
    </row>
    <row r="1047772" spans="2:6">
      <c r="B1047772"/>
      <c r="C1047772"/>
      <c r="D1047772"/>
      <c r="E1047772"/>
      <c r="F1047772"/>
    </row>
    <row r="1047773" spans="2:6">
      <c r="B1047773"/>
      <c r="C1047773"/>
      <c r="D1047773"/>
      <c r="E1047773"/>
      <c r="F1047773"/>
    </row>
    <row r="1047774" spans="2:6">
      <c r="B1047774"/>
      <c r="C1047774"/>
      <c r="D1047774"/>
      <c r="E1047774"/>
      <c r="F1047774"/>
    </row>
    <row r="1047775" spans="2:6">
      <c r="B1047775"/>
      <c r="C1047775"/>
      <c r="D1047775"/>
      <c r="E1047775"/>
      <c r="F1047775"/>
    </row>
    <row r="1047776" spans="2:6">
      <c r="B1047776"/>
      <c r="C1047776"/>
      <c r="D1047776"/>
      <c r="E1047776"/>
      <c r="F1047776"/>
    </row>
    <row r="1047777" spans="2:6">
      <c r="B1047777"/>
      <c r="C1047777"/>
      <c r="D1047777"/>
      <c r="E1047777"/>
      <c r="F1047777"/>
    </row>
    <row r="1047778" spans="2:6">
      <c r="B1047778"/>
      <c r="C1047778"/>
      <c r="D1047778"/>
      <c r="E1047778"/>
      <c r="F1047778"/>
    </row>
    <row r="1047779" spans="2:6">
      <c r="B1047779"/>
      <c r="C1047779"/>
      <c r="D1047779"/>
      <c r="E1047779"/>
      <c r="F1047779"/>
    </row>
    <row r="1047780" spans="2:6">
      <c r="B1047780"/>
      <c r="C1047780"/>
      <c r="D1047780"/>
      <c r="E1047780"/>
      <c r="F1047780"/>
    </row>
    <row r="1047781" spans="2:6">
      <c r="B1047781"/>
      <c r="C1047781"/>
      <c r="D1047781"/>
      <c r="E1047781"/>
      <c r="F1047781"/>
    </row>
    <row r="1047782" spans="2:6">
      <c r="B1047782"/>
      <c r="C1047782"/>
      <c r="D1047782"/>
      <c r="E1047782"/>
      <c r="F1047782"/>
    </row>
    <row r="1047783" spans="2:6">
      <c r="B1047783"/>
      <c r="C1047783"/>
      <c r="D1047783"/>
      <c r="E1047783"/>
      <c r="F1047783"/>
    </row>
    <row r="1047784" spans="2:6">
      <c r="B1047784"/>
      <c r="C1047784"/>
      <c r="D1047784"/>
      <c r="E1047784"/>
      <c r="F1047784"/>
    </row>
    <row r="1047785" spans="2:6">
      <c r="B1047785"/>
      <c r="C1047785"/>
      <c r="D1047785"/>
      <c r="E1047785"/>
      <c r="F1047785"/>
    </row>
    <row r="1047786" spans="2:6">
      <c r="B1047786"/>
      <c r="C1047786"/>
      <c r="D1047786"/>
      <c r="E1047786"/>
      <c r="F1047786"/>
    </row>
    <row r="1047787" spans="2:6">
      <c r="B1047787"/>
      <c r="C1047787"/>
      <c r="D1047787"/>
      <c r="E1047787"/>
      <c r="F1047787"/>
    </row>
    <row r="1047788" spans="2:6">
      <c r="B1047788"/>
      <c r="C1047788"/>
      <c r="D1047788"/>
      <c r="E1047788"/>
      <c r="F1047788"/>
    </row>
    <row r="1047789" spans="2:6">
      <c r="B1047789"/>
      <c r="C1047789"/>
      <c r="D1047789"/>
      <c r="E1047789"/>
      <c r="F1047789"/>
    </row>
    <row r="1047790" spans="2:6">
      <c r="B1047790"/>
      <c r="C1047790"/>
      <c r="D1047790"/>
      <c r="E1047790"/>
      <c r="F1047790"/>
    </row>
    <row r="1047791" spans="2:6">
      <c r="B1047791"/>
      <c r="C1047791"/>
      <c r="D1047791"/>
      <c r="E1047791"/>
      <c r="F1047791"/>
    </row>
    <row r="1047792" spans="2:6">
      <c r="B1047792"/>
      <c r="C1047792"/>
      <c r="D1047792"/>
      <c r="E1047792"/>
      <c r="F1047792"/>
    </row>
    <row r="1047793" spans="2:6">
      <c r="B1047793"/>
      <c r="C1047793"/>
      <c r="D1047793"/>
      <c r="E1047793"/>
      <c r="F1047793"/>
    </row>
    <row r="1047794" spans="2:6">
      <c r="B1047794"/>
      <c r="C1047794"/>
      <c r="D1047794"/>
      <c r="E1047794"/>
      <c r="F1047794"/>
    </row>
    <row r="1047795" spans="2:6">
      <c r="B1047795"/>
      <c r="C1047795"/>
      <c r="D1047795"/>
      <c r="E1047795"/>
      <c r="F1047795"/>
    </row>
    <row r="1047796" spans="2:6">
      <c r="B1047796"/>
      <c r="C1047796"/>
      <c r="D1047796"/>
      <c r="E1047796"/>
      <c r="F1047796"/>
    </row>
    <row r="1047797" spans="2:6">
      <c r="B1047797"/>
      <c r="C1047797"/>
      <c r="D1047797"/>
      <c r="E1047797"/>
      <c r="F1047797"/>
    </row>
    <row r="1047798" spans="2:6">
      <c r="B1047798"/>
      <c r="C1047798"/>
      <c r="D1047798"/>
      <c r="E1047798"/>
      <c r="F1047798"/>
    </row>
    <row r="1047799" spans="2:6">
      <c r="B1047799"/>
      <c r="C1047799"/>
      <c r="D1047799"/>
      <c r="E1047799"/>
      <c r="F1047799"/>
    </row>
    <row r="1047800" spans="2:6">
      <c r="B1047800"/>
      <c r="C1047800"/>
      <c r="D1047800"/>
      <c r="E1047800"/>
      <c r="F1047800"/>
    </row>
    <row r="1047801" spans="2:6">
      <c r="B1047801"/>
      <c r="C1047801"/>
      <c r="D1047801"/>
      <c r="E1047801"/>
      <c r="F1047801"/>
    </row>
    <row r="1047802" spans="2:6">
      <c r="B1047802"/>
      <c r="C1047802"/>
      <c r="D1047802"/>
      <c r="E1047802"/>
      <c r="F1047802"/>
    </row>
    <row r="1047803" spans="2:6">
      <c r="B1047803"/>
      <c r="C1047803"/>
      <c r="D1047803"/>
      <c r="E1047803"/>
      <c r="F1047803"/>
    </row>
    <row r="1047804" spans="2:6">
      <c r="B1047804"/>
      <c r="C1047804"/>
      <c r="D1047804"/>
      <c r="E1047804"/>
      <c r="F1047804"/>
    </row>
    <row r="1047805" spans="2:6">
      <c r="B1047805"/>
      <c r="C1047805"/>
      <c r="D1047805"/>
      <c r="E1047805"/>
      <c r="F1047805"/>
    </row>
    <row r="1047806" spans="2:6">
      <c r="B1047806"/>
      <c r="C1047806"/>
      <c r="D1047806"/>
      <c r="E1047806"/>
      <c r="F1047806"/>
    </row>
    <row r="1047807" spans="2:6">
      <c r="B1047807"/>
      <c r="C1047807"/>
      <c r="D1047807"/>
      <c r="E1047807"/>
      <c r="F1047807"/>
    </row>
    <row r="1047808" spans="2:6">
      <c r="B1047808"/>
      <c r="C1047808"/>
      <c r="D1047808"/>
      <c r="E1047808"/>
      <c r="F1047808"/>
    </row>
    <row r="1047809" spans="2:6">
      <c r="B1047809"/>
      <c r="C1047809"/>
      <c r="D1047809"/>
      <c r="E1047809"/>
      <c r="F1047809"/>
    </row>
    <row r="1047810" spans="2:6">
      <c r="B1047810"/>
      <c r="C1047810"/>
      <c r="D1047810"/>
      <c r="E1047810"/>
      <c r="F1047810"/>
    </row>
    <row r="1047811" spans="2:6">
      <c r="B1047811"/>
      <c r="C1047811"/>
      <c r="D1047811"/>
      <c r="E1047811"/>
      <c r="F1047811"/>
    </row>
    <row r="1047812" spans="2:6">
      <c r="B1047812"/>
      <c r="C1047812"/>
      <c r="D1047812"/>
      <c r="E1047812"/>
      <c r="F1047812"/>
    </row>
    <row r="1047813" spans="2:6">
      <c r="B1047813"/>
      <c r="C1047813"/>
      <c r="D1047813"/>
      <c r="E1047813"/>
      <c r="F1047813"/>
    </row>
    <row r="1047814" spans="2:6">
      <c r="B1047814"/>
      <c r="C1047814"/>
      <c r="D1047814"/>
      <c r="E1047814"/>
      <c r="F1047814"/>
    </row>
    <row r="1047815" spans="2:6">
      <c r="B1047815"/>
      <c r="C1047815"/>
      <c r="D1047815"/>
      <c r="E1047815"/>
      <c r="F1047815"/>
    </row>
    <row r="1047816" spans="2:6">
      <c r="B1047816"/>
      <c r="C1047816"/>
      <c r="D1047816"/>
      <c r="E1047816"/>
      <c r="F1047816"/>
    </row>
    <row r="1047817" spans="2:6">
      <c r="B1047817"/>
      <c r="C1047817"/>
      <c r="D1047817"/>
      <c r="E1047817"/>
      <c r="F1047817"/>
    </row>
    <row r="1047818" spans="2:6">
      <c r="B1047818"/>
      <c r="C1047818"/>
      <c r="D1047818"/>
      <c r="E1047818"/>
      <c r="F1047818"/>
    </row>
    <row r="1047819" spans="2:6">
      <c r="B1047819"/>
      <c r="C1047819"/>
      <c r="D1047819"/>
      <c r="E1047819"/>
      <c r="F1047819"/>
    </row>
    <row r="1047820" spans="2:6">
      <c r="B1047820"/>
      <c r="C1047820"/>
      <c r="D1047820"/>
      <c r="E1047820"/>
      <c r="F1047820"/>
    </row>
    <row r="1047821" spans="2:6">
      <c r="B1047821"/>
      <c r="C1047821"/>
      <c r="D1047821"/>
      <c r="E1047821"/>
      <c r="F1047821"/>
    </row>
    <row r="1047822" spans="2:6">
      <c r="B1047822"/>
      <c r="C1047822"/>
      <c r="D1047822"/>
      <c r="E1047822"/>
      <c r="F1047822"/>
    </row>
    <row r="1047823" spans="2:6">
      <c r="B1047823"/>
      <c r="C1047823"/>
      <c r="D1047823"/>
      <c r="E1047823"/>
      <c r="F1047823"/>
    </row>
    <row r="1047824" spans="2:6">
      <c r="B1047824"/>
      <c r="C1047824"/>
      <c r="D1047824"/>
      <c r="E1047824"/>
      <c r="F1047824"/>
    </row>
    <row r="1047825" spans="2:6">
      <c r="B1047825"/>
      <c r="C1047825"/>
      <c r="D1047825"/>
      <c r="E1047825"/>
      <c r="F1047825"/>
    </row>
    <row r="1047826" spans="2:6">
      <c r="B1047826"/>
      <c r="C1047826"/>
      <c r="D1047826"/>
      <c r="E1047826"/>
      <c r="F1047826"/>
    </row>
    <row r="1047827" spans="2:6">
      <c r="B1047827"/>
      <c r="C1047827"/>
      <c r="D1047827"/>
      <c r="E1047827"/>
      <c r="F1047827"/>
    </row>
    <row r="1047828" spans="2:6">
      <c r="B1047828"/>
      <c r="C1047828"/>
      <c r="D1047828"/>
      <c r="E1047828"/>
      <c r="F1047828"/>
    </row>
    <row r="1047829" spans="2:6">
      <c r="B1047829"/>
      <c r="C1047829"/>
      <c r="D1047829"/>
      <c r="E1047829"/>
      <c r="F1047829"/>
    </row>
    <row r="1047830" spans="2:6">
      <c r="B1047830"/>
      <c r="C1047830"/>
      <c r="D1047830"/>
      <c r="E1047830"/>
      <c r="F1047830"/>
    </row>
    <row r="1047831" spans="2:6">
      <c r="B1047831"/>
      <c r="C1047831"/>
      <c r="D1047831"/>
      <c r="E1047831"/>
      <c r="F1047831"/>
    </row>
    <row r="1047832" spans="2:6">
      <c r="B1047832"/>
      <c r="C1047832"/>
      <c r="D1047832"/>
      <c r="E1047832"/>
      <c r="F1047832"/>
    </row>
    <row r="1047833" spans="2:6">
      <c r="B1047833"/>
      <c r="C1047833"/>
      <c r="D1047833"/>
      <c r="E1047833"/>
      <c r="F1047833"/>
    </row>
    <row r="1047834" spans="2:6">
      <c r="B1047834"/>
      <c r="C1047834"/>
      <c r="D1047834"/>
      <c r="E1047834"/>
      <c r="F1047834"/>
    </row>
    <row r="1047835" spans="2:6">
      <c r="B1047835"/>
      <c r="C1047835"/>
      <c r="D1047835"/>
      <c r="E1047835"/>
      <c r="F1047835"/>
    </row>
    <row r="1047836" spans="2:6">
      <c r="B1047836"/>
      <c r="C1047836"/>
      <c r="D1047836"/>
      <c r="E1047836"/>
      <c r="F1047836"/>
    </row>
    <row r="1047837" spans="2:6">
      <c r="B1047837"/>
      <c r="C1047837"/>
      <c r="D1047837"/>
      <c r="E1047837"/>
      <c r="F1047837"/>
    </row>
    <row r="1047838" spans="2:6">
      <c r="B1047838"/>
      <c r="C1047838"/>
      <c r="D1047838"/>
      <c r="E1047838"/>
      <c r="F1047838"/>
    </row>
    <row r="1047839" spans="2:6">
      <c r="B1047839"/>
      <c r="C1047839"/>
      <c r="D1047839"/>
      <c r="E1047839"/>
      <c r="F1047839"/>
    </row>
    <row r="1047840" spans="2:6">
      <c r="B1047840"/>
      <c r="C1047840"/>
      <c r="D1047840"/>
      <c r="E1047840"/>
      <c r="F1047840"/>
    </row>
    <row r="1047841" spans="2:6">
      <c r="B1047841"/>
      <c r="C1047841"/>
      <c r="D1047841"/>
      <c r="E1047841"/>
      <c r="F1047841"/>
    </row>
    <row r="1047842" spans="2:6">
      <c r="B1047842"/>
      <c r="C1047842"/>
      <c r="D1047842"/>
      <c r="E1047842"/>
      <c r="F1047842"/>
    </row>
    <row r="1047843" spans="2:6">
      <c r="B1047843"/>
      <c r="C1047843"/>
      <c r="D1047843"/>
      <c r="E1047843"/>
      <c r="F1047843"/>
    </row>
    <row r="1047844" spans="2:6">
      <c r="B1047844"/>
      <c r="C1047844"/>
      <c r="D1047844"/>
      <c r="E1047844"/>
      <c r="F1047844"/>
    </row>
    <row r="1047845" spans="2:6">
      <c r="B1047845"/>
      <c r="C1047845"/>
      <c r="D1047845"/>
      <c r="E1047845"/>
      <c r="F1047845"/>
    </row>
    <row r="1047846" spans="2:6">
      <c r="B1047846"/>
      <c r="C1047846"/>
      <c r="D1047846"/>
      <c r="E1047846"/>
      <c r="F1047846"/>
    </row>
    <row r="1047847" spans="2:6">
      <c r="B1047847"/>
      <c r="C1047847"/>
      <c r="D1047847"/>
      <c r="E1047847"/>
      <c r="F1047847"/>
    </row>
    <row r="1047848" spans="2:6">
      <c r="B1047848"/>
      <c r="C1047848"/>
      <c r="D1047848"/>
      <c r="E1047848"/>
      <c r="F1047848"/>
    </row>
    <row r="1047849" spans="2:6">
      <c r="B1047849"/>
      <c r="C1047849"/>
      <c r="D1047849"/>
      <c r="E1047849"/>
      <c r="F1047849"/>
    </row>
    <row r="1047850" spans="2:6">
      <c r="B1047850"/>
      <c r="C1047850"/>
      <c r="D1047850"/>
      <c r="E1047850"/>
      <c r="F1047850"/>
    </row>
    <row r="1047851" spans="2:6">
      <c r="B1047851"/>
      <c r="C1047851"/>
      <c r="D1047851"/>
      <c r="E1047851"/>
      <c r="F1047851"/>
    </row>
    <row r="1047852" spans="2:6">
      <c r="B1047852"/>
      <c r="C1047852"/>
      <c r="D1047852"/>
      <c r="E1047852"/>
      <c r="F1047852"/>
    </row>
    <row r="1047853" spans="2:6">
      <c r="B1047853"/>
      <c r="C1047853"/>
      <c r="D1047853"/>
      <c r="E1047853"/>
      <c r="F1047853"/>
    </row>
    <row r="1047854" spans="2:6">
      <c r="B1047854"/>
      <c r="C1047854"/>
      <c r="D1047854"/>
      <c r="E1047854"/>
      <c r="F1047854"/>
    </row>
    <row r="1047855" spans="2:6">
      <c r="B1047855"/>
      <c r="C1047855"/>
      <c r="D1047855"/>
      <c r="E1047855"/>
      <c r="F1047855"/>
    </row>
    <row r="1047856" spans="2:6">
      <c r="B1047856"/>
      <c r="C1047856"/>
      <c r="D1047856"/>
      <c r="E1047856"/>
      <c r="F1047856"/>
    </row>
    <row r="1047857" spans="2:6">
      <c r="B1047857"/>
      <c r="C1047857"/>
      <c r="D1047857"/>
      <c r="E1047857"/>
      <c r="F1047857"/>
    </row>
    <row r="1047858" spans="2:6">
      <c r="B1047858"/>
      <c r="C1047858"/>
      <c r="D1047858"/>
      <c r="E1047858"/>
      <c r="F1047858"/>
    </row>
    <row r="1047859" spans="2:6">
      <c r="B1047859"/>
      <c r="C1047859"/>
      <c r="D1047859"/>
      <c r="E1047859"/>
      <c r="F1047859"/>
    </row>
    <row r="1047860" spans="2:6">
      <c r="B1047860"/>
      <c r="C1047860"/>
      <c r="D1047860"/>
      <c r="E1047860"/>
      <c r="F1047860"/>
    </row>
    <row r="1047861" spans="2:6">
      <c r="B1047861"/>
      <c r="C1047861"/>
      <c r="D1047861"/>
      <c r="E1047861"/>
      <c r="F1047861"/>
    </row>
    <row r="1047862" spans="2:6">
      <c r="B1047862"/>
      <c r="C1047862"/>
      <c r="D1047862"/>
      <c r="E1047862"/>
      <c r="F1047862"/>
    </row>
    <row r="1047863" spans="2:6">
      <c r="B1047863"/>
      <c r="C1047863"/>
      <c r="D1047863"/>
      <c r="E1047863"/>
      <c r="F1047863"/>
    </row>
    <row r="1047864" spans="2:6">
      <c r="B1047864"/>
      <c r="C1047864"/>
      <c r="D1047864"/>
      <c r="E1047864"/>
      <c r="F1047864"/>
    </row>
    <row r="1047865" spans="2:6">
      <c r="B1047865"/>
      <c r="C1047865"/>
      <c r="D1047865"/>
      <c r="E1047865"/>
      <c r="F1047865"/>
    </row>
    <row r="1047866" spans="2:6">
      <c r="B1047866"/>
      <c r="C1047866"/>
      <c r="D1047866"/>
      <c r="E1047866"/>
      <c r="F1047866"/>
    </row>
    <row r="1047867" spans="2:6">
      <c r="B1047867"/>
      <c r="C1047867"/>
      <c r="D1047867"/>
      <c r="E1047867"/>
      <c r="F1047867"/>
    </row>
    <row r="1047868" spans="2:6">
      <c r="B1047868"/>
      <c r="C1047868"/>
      <c r="D1047868"/>
      <c r="E1047868"/>
      <c r="F1047868"/>
    </row>
    <row r="1047869" spans="2:6">
      <c r="B1047869"/>
      <c r="C1047869"/>
      <c r="D1047869"/>
      <c r="E1047869"/>
      <c r="F1047869"/>
    </row>
    <row r="1047870" spans="2:6">
      <c r="B1047870"/>
      <c r="C1047870"/>
      <c r="D1047870"/>
      <c r="E1047870"/>
      <c r="F1047870"/>
    </row>
    <row r="1047871" spans="2:6">
      <c r="B1047871"/>
      <c r="C1047871"/>
      <c r="D1047871"/>
      <c r="E1047871"/>
      <c r="F1047871"/>
    </row>
    <row r="1047872" spans="2:6">
      <c r="B1047872"/>
      <c r="C1047872"/>
      <c r="D1047872"/>
      <c r="E1047872"/>
      <c r="F1047872"/>
    </row>
    <row r="1047873" spans="2:6">
      <c r="B1047873"/>
      <c r="C1047873"/>
      <c r="D1047873"/>
      <c r="E1047873"/>
      <c r="F1047873"/>
    </row>
    <row r="1047874" spans="2:6">
      <c r="B1047874"/>
      <c r="C1047874"/>
      <c r="D1047874"/>
      <c r="E1047874"/>
      <c r="F1047874"/>
    </row>
    <row r="1047875" spans="2:6">
      <c r="B1047875"/>
      <c r="C1047875"/>
      <c r="D1047875"/>
      <c r="E1047875"/>
      <c r="F1047875"/>
    </row>
    <row r="1047876" spans="2:6">
      <c r="B1047876"/>
      <c r="C1047876"/>
      <c r="D1047876"/>
      <c r="E1047876"/>
      <c r="F1047876"/>
    </row>
    <row r="1047877" spans="2:6">
      <c r="B1047877"/>
      <c r="C1047877"/>
      <c r="D1047877"/>
      <c r="E1047877"/>
      <c r="F1047877"/>
    </row>
    <row r="1047878" spans="2:6">
      <c r="B1047878"/>
      <c r="C1047878"/>
      <c r="D1047878"/>
      <c r="E1047878"/>
      <c r="F1047878"/>
    </row>
    <row r="1047879" spans="2:6">
      <c r="B1047879"/>
      <c r="C1047879"/>
      <c r="D1047879"/>
      <c r="E1047879"/>
      <c r="F1047879"/>
    </row>
    <row r="1047880" spans="2:6">
      <c r="B1047880"/>
      <c r="C1047880"/>
      <c r="D1047880"/>
      <c r="E1047880"/>
      <c r="F1047880"/>
    </row>
    <row r="1047881" spans="2:6">
      <c r="B1047881"/>
      <c r="C1047881"/>
      <c r="D1047881"/>
      <c r="E1047881"/>
      <c r="F1047881"/>
    </row>
    <row r="1047882" spans="2:6">
      <c r="B1047882"/>
      <c r="C1047882"/>
      <c r="D1047882"/>
      <c r="E1047882"/>
      <c r="F1047882"/>
    </row>
    <row r="1047883" spans="2:6">
      <c r="B1047883"/>
      <c r="C1047883"/>
      <c r="D1047883"/>
      <c r="E1047883"/>
      <c r="F1047883"/>
    </row>
    <row r="1047884" spans="2:6">
      <c r="B1047884"/>
      <c r="C1047884"/>
      <c r="D1047884"/>
      <c r="E1047884"/>
      <c r="F1047884"/>
    </row>
    <row r="1047885" spans="2:6">
      <c r="B1047885"/>
      <c r="C1047885"/>
      <c r="D1047885"/>
      <c r="E1047885"/>
      <c r="F1047885"/>
    </row>
    <row r="1047886" spans="2:6">
      <c r="B1047886"/>
      <c r="C1047886"/>
      <c r="D1047886"/>
      <c r="E1047886"/>
      <c r="F1047886"/>
    </row>
    <row r="1047887" spans="2:6">
      <c r="B1047887"/>
      <c r="C1047887"/>
      <c r="D1047887"/>
      <c r="E1047887"/>
      <c r="F1047887"/>
    </row>
    <row r="1047888" spans="2:6">
      <c r="B1047888"/>
      <c r="C1047888"/>
      <c r="D1047888"/>
      <c r="E1047888"/>
      <c r="F1047888"/>
    </row>
    <row r="1047889" spans="2:6">
      <c r="B1047889"/>
      <c r="C1047889"/>
      <c r="D1047889"/>
      <c r="E1047889"/>
      <c r="F1047889"/>
    </row>
    <row r="1047890" spans="2:6">
      <c r="B1047890"/>
      <c r="C1047890"/>
      <c r="D1047890"/>
      <c r="E1047890"/>
      <c r="F1047890"/>
    </row>
    <row r="1047891" spans="2:6">
      <c r="B1047891"/>
      <c r="C1047891"/>
      <c r="D1047891"/>
      <c r="E1047891"/>
      <c r="F1047891"/>
    </row>
    <row r="1047892" spans="2:6">
      <c r="B1047892"/>
      <c r="C1047892"/>
      <c r="D1047892"/>
      <c r="E1047892"/>
      <c r="F1047892"/>
    </row>
    <row r="1047893" spans="2:6">
      <c r="B1047893"/>
      <c r="C1047893"/>
      <c r="D1047893"/>
      <c r="E1047893"/>
      <c r="F1047893"/>
    </row>
    <row r="1047894" spans="2:6">
      <c r="B1047894"/>
      <c r="C1047894"/>
      <c r="D1047894"/>
      <c r="E1047894"/>
      <c r="F1047894"/>
    </row>
    <row r="1047895" spans="2:6">
      <c r="B1047895"/>
      <c r="C1047895"/>
      <c r="D1047895"/>
      <c r="E1047895"/>
      <c r="F1047895"/>
    </row>
    <row r="1047896" spans="2:6">
      <c r="B1047896"/>
      <c r="C1047896"/>
      <c r="D1047896"/>
      <c r="E1047896"/>
      <c r="F1047896"/>
    </row>
    <row r="1047897" spans="2:6">
      <c r="B1047897"/>
      <c r="C1047897"/>
      <c r="D1047897"/>
      <c r="E1047897"/>
      <c r="F1047897"/>
    </row>
    <row r="1047898" spans="2:6">
      <c r="B1047898"/>
      <c r="C1047898"/>
      <c r="D1047898"/>
      <c r="E1047898"/>
      <c r="F1047898"/>
    </row>
    <row r="1047899" spans="2:6">
      <c r="B1047899"/>
      <c r="C1047899"/>
      <c r="D1047899"/>
      <c r="E1047899"/>
      <c r="F1047899"/>
    </row>
    <row r="1047900" spans="2:6">
      <c r="B1047900"/>
      <c r="C1047900"/>
      <c r="D1047900"/>
      <c r="E1047900"/>
      <c r="F1047900"/>
    </row>
    <row r="1047901" spans="2:6">
      <c r="B1047901"/>
      <c r="C1047901"/>
      <c r="D1047901"/>
      <c r="E1047901"/>
      <c r="F1047901"/>
    </row>
    <row r="1047902" spans="2:6">
      <c r="B1047902"/>
      <c r="C1047902"/>
      <c r="D1047902"/>
      <c r="E1047902"/>
      <c r="F1047902"/>
    </row>
    <row r="1047903" spans="2:6">
      <c r="B1047903"/>
      <c r="C1047903"/>
      <c r="D1047903"/>
      <c r="E1047903"/>
      <c r="F1047903"/>
    </row>
    <row r="1047904" spans="2:6">
      <c r="B1047904"/>
      <c r="C1047904"/>
      <c r="D1047904"/>
      <c r="E1047904"/>
      <c r="F1047904"/>
    </row>
    <row r="1047905" spans="2:6">
      <c r="B1047905"/>
      <c r="C1047905"/>
      <c r="D1047905"/>
      <c r="E1047905"/>
      <c r="F1047905"/>
    </row>
    <row r="1047906" spans="2:6">
      <c r="B1047906"/>
      <c r="C1047906"/>
      <c r="D1047906"/>
      <c r="E1047906"/>
      <c r="F1047906"/>
    </row>
    <row r="1047907" spans="2:6">
      <c r="B1047907"/>
      <c r="C1047907"/>
      <c r="D1047907"/>
      <c r="E1047907"/>
      <c r="F1047907"/>
    </row>
    <row r="1047908" spans="2:6">
      <c r="B1047908"/>
      <c r="C1047908"/>
      <c r="D1047908"/>
      <c r="E1047908"/>
      <c r="F1047908"/>
    </row>
    <row r="1047909" spans="2:6">
      <c r="B1047909"/>
      <c r="C1047909"/>
      <c r="D1047909"/>
      <c r="E1047909"/>
      <c r="F1047909"/>
    </row>
    <row r="1047910" spans="2:6">
      <c r="B1047910"/>
      <c r="C1047910"/>
      <c r="D1047910"/>
      <c r="E1047910"/>
      <c r="F1047910"/>
    </row>
    <row r="1047911" spans="2:6">
      <c r="B1047911"/>
      <c r="C1047911"/>
      <c r="D1047911"/>
      <c r="E1047911"/>
      <c r="F1047911"/>
    </row>
    <row r="1047912" spans="2:6">
      <c r="B1047912"/>
      <c r="C1047912"/>
      <c r="D1047912"/>
      <c r="E1047912"/>
      <c r="F1047912"/>
    </row>
    <row r="1047913" spans="2:6">
      <c r="B1047913"/>
      <c r="C1047913"/>
      <c r="D1047913"/>
      <c r="E1047913"/>
      <c r="F1047913"/>
    </row>
    <row r="1047914" spans="2:6">
      <c r="B1047914"/>
      <c r="C1047914"/>
      <c r="D1047914"/>
      <c r="E1047914"/>
      <c r="F1047914"/>
    </row>
    <row r="1047915" spans="2:6">
      <c r="B1047915"/>
      <c r="C1047915"/>
      <c r="D1047915"/>
      <c r="E1047915"/>
      <c r="F1047915"/>
    </row>
    <row r="1047916" spans="2:6">
      <c r="B1047916"/>
      <c r="C1047916"/>
      <c r="D1047916"/>
      <c r="E1047916"/>
      <c r="F1047916"/>
    </row>
    <row r="1047917" spans="2:6">
      <c r="B1047917"/>
      <c r="C1047917"/>
      <c r="D1047917"/>
      <c r="E1047917"/>
      <c r="F1047917"/>
    </row>
    <row r="1047918" spans="2:6">
      <c r="B1047918"/>
      <c r="C1047918"/>
      <c r="D1047918"/>
      <c r="E1047918"/>
      <c r="F1047918"/>
    </row>
    <row r="1047919" spans="2:6">
      <c r="B1047919"/>
      <c r="C1047919"/>
      <c r="D1047919"/>
      <c r="E1047919"/>
      <c r="F1047919"/>
    </row>
    <row r="1047920" spans="2:6">
      <c r="B1047920"/>
      <c r="C1047920"/>
      <c r="D1047920"/>
      <c r="E1047920"/>
      <c r="F1047920"/>
    </row>
    <row r="1047921" spans="2:6">
      <c r="B1047921"/>
      <c r="C1047921"/>
      <c r="D1047921"/>
      <c r="E1047921"/>
      <c r="F1047921"/>
    </row>
    <row r="1047922" spans="2:6">
      <c r="B1047922"/>
      <c r="C1047922"/>
      <c r="D1047922"/>
      <c r="E1047922"/>
      <c r="F1047922"/>
    </row>
    <row r="1047923" spans="2:6">
      <c r="B1047923"/>
      <c r="C1047923"/>
      <c r="D1047923"/>
      <c r="E1047923"/>
      <c r="F1047923"/>
    </row>
    <row r="1047924" spans="2:6">
      <c r="B1047924"/>
      <c r="C1047924"/>
      <c r="D1047924"/>
      <c r="E1047924"/>
      <c r="F1047924"/>
    </row>
    <row r="1047925" spans="2:6">
      <c r="B1047925"/>
      <c r="C1047925"/>
      <c r="D1047925"/>
      <c r="E1047925"/>
      <c r="F1047925"/>
    </row>
    <row r="1047926" spans="2:6">
      <c r="B1047926"/>
      <c r="C1047926"/>
      <c r="D1047926"/>
      <c r="E1047926"/>
      <c r="F1047926"/>
    </row>
    <row r="1047927" spans="2:6">
      <c r="B1047927"/>
      <c r="C1047927"/>
      <c r="D1047927"/>
      <c r="E1047927"/>
      <c r="F1047927"/>
    </row>
    <row r="1047928" spans="2:6">
      <c r="B1047928"/>
      <c r="C1047928"/>
      <c r="D1047928"/>
      <c r="E1047928"/>
      <c r="F1047928"/>
    </row>
    <row r="1047929" spans="2:6">
      <c r="B1047929"/>
      <c r="C1047929"/>
      <c r="D1047929"/>
      <c r="E1047929"/>
      <c r="F1047929"/>
    </row>
    <row r="1047930" spans="2:6">
      <c r="B1047930"/>
      <c r="C1047930"/>
      <c r="D1047930"/>
      <c r="E1047930"/>
      <c r="F1047930"/>
    </row>
    <row r="1047931" spans="2:6">
      <c r="B1047931"/>
      <c r="C1047931"/>
      <c r="D1047931"/>
      <c r="E1047931"/>
      <c r="F1047931"/>
    </row>
    <row r="1047932" spans="2:6">
      <c r="B1047932"/>
      <c r="C1047932"/>
      <c r="D1047932"/>
      <c r="E1047932"/>
      <c r="F1047932"/>
    </row>
    <row r="1047933" spans="2:6">
      <c r="B1047933"/>
      <c r="C1047933"/>
      <c r="D1047933"/>
      <c r="E1047933"/>
      <c r="F1047933"/>
    </row>
    <row r="1047934" spans="2:6">
      <c r="B1047934"/>
      <c r="C1047934"/>
      <c r="D1047934"/>
      <c r="E1047934"/>
      <c r="F1047934"/>
    </row>
    <row r="1047935" spans="2:6">
      <c r="B1047935"/>
      <c r="C1047935"/>
      <c r="D1047935"/>
      <c r="E1047935"/>
      <c r="F1047935"/>
    </row>
    <row r="1047936" spans="2:6">
      <c r="B1047936"/>
      <c r="C1047936"/>
      <c r="D1047936"/>
      <c r="E1047936"/>
      <c r="F1047936"/>
    </row>
    <row r="1047937" spans="2:6">
      <c r="B1047937"/>
      <c r="C1047937"/>
      <c r="D1047937"/>
      <c r="E1047937"/>
      <c r="F1047937"/>
    </row>
    <row r="1047938" spans="2:6">
      <c r="B1047938"/>
      <c r="C1047938"/>
      <c r="D1047938"/>
      <c r="E1047938"/>
      <c r="F1047938"/>
    </row>
    <row r="1047939" spans="2:6">
      <c r="B1047939"/>
      <c r="C1047939"/>
      <c r="D1047939"/>
      <c r="E1047939"/>
      <c r="F1047939"/>
    </row>
    <row r="1047940" spans="2:6">
      <c r="B1047940"/>
      <c r="C1047940"/>
      <c r="D1047940"/>
      <c r="E1047940"/>
      <c r="F1047940"/>
    </row>
    <row r="1047941" spans="2:6">
      <c r="B1047941"/>
      <c r="C1047941"/>
      <c r="D1047941"/>
      <c r="E1047941"/>
      <c r="F1047941"/>
    </row>
    <row r="1047942" spans="2:6">
      <c r="B1047942"/>
      <c r="C1047942"/>
      <c r="D1047942"/>
      <c r="E1047942"/>
      <c r="F1047942"/>
    </row>
    <row r="1047943" spans="2:6">
      <c r="B1047943"/>
      <c r="C1047943"/>
      <c r="D1047943"/>
      <c r="E1047943"/>
      <c r="F1047943"/>
    </row>
    <row r="1047944" spans="2:6">
      <c r="B1047944"/>
      <c r="C1047944"/>
      <c r="D1047944"/>
      <c r="E1047944"/>
      <c r="F1047944"/>
    </row>
    <row r="1047945" spans="2:6">
      <c r="B1047945"/>
      <c r="C1047945"/>
      <c r="D1047945"/>
      <c r="E1047945"/>
      <c r="F1047945"/>
    </row>
    <row r="1047946" spans="2:6">
      <c r="B1047946"/>
      <c r="C1047946"/>
      <c r="D1047946"/>
      <c r="E1047946"/>
      <c r="F1047946"/>
    </row>
    <row r="1047947" spans="2:6">
      <c r="B1047947"/>
      <c r="C1047947"/>
      <c r="D1047947"/>
      <c r="E1047947"/>
      <c r="F1047947"/>
    </row>
    <row r="1047948" spans="2:6">
      <c r="B1047948"/>
      <c r="C1047948"/>
      <c r="D1047948"/>
      <c r="E1047948"/>
      <c r="F1047948"/>
    </row>
    <row r="1047949" spans="2:6">
      <c r="B1047949"/>
      <c r="C1047949"/>
      <c r="D1047949"/>
      <c r="E1047949"/>
      <c r="F1047949"/>
    </row>
    <row r="1047950" spans="2:6">
      <c r="B1047950"/>
      <c r="C1047950"/>
      <c r="D1047950"/>
      <c r="E1047950"/>
      <c r="F1047950"/>
    </row>
    <row r="1047951" spans="2:6">
      <c r="B1047951"/>
      <c r="C1047951"/>
      <c r="D1047951"/>
      <c r="E1047951"/>
      <c r="F1047951"/>
    </row>
    <row r="1047952" spans="2:6">
      <c r="B1047952"/>
      <c r="C1047952"/>
      <c r="D1047952"/>
      <c r="E1047952"/>
      <c r="F1047952"/>
    </row>
    <row r="1047953" spans="2:6">
      <c r="B1047953"/>
      <c r="C1047953"/>
      <c r="D1047953"/>
      <c r="E1047953"/>
      <c r="F1047953"/>
    </row>
    <row r="1047954" spans="2:6">
      <c r="B1047954"/>
      <c r="C1047954"/>
      <c r="D1047954"/>
      <c r="E1047954"/>
      <c r="F1047954"/>
    </row>
    <row r="1047955" spans="2:6">
      <c r="B1047955"/>
      <c r="C1047955"/>
      <c r="D1047955"/>
      <c r="E1047955"/>
      <c r="F1047955"/>
    </row>
    <row r="1047956" spans="2:6">
      <c r="B1047956"/>
      <c r="C1047956"/>
      <c r="D1047956"/>
      <c r="E1047956"/>
      <c r="F1047956"/>
    </row>
    <row r="1047957" spans="2:6">
      <c r="B1047957"/>
      <c r="C1047957"/>
      <c r="D1047957"/>
      <c r="E1047957"/>
      <c r="F1047957"/>
    </row>
    <row r="1047958" spans="2:6">
      <c r="B1047958"/>
      <c r="C1047958"/>
      <c r="D1047958"/>
      <c r="E1047958"/>
      <c r="F1047958"/>
    </row>
    <row r="1047959" spans="2:6">
      <c r="B1047959"/>
      <c r="C1047959"/>
      <c r="D1047959"/>
      <c r="E1047959"/>
      <c r="F1047959"/>
    </row>
    <row r="1047960" spans="2:6">
      <c r="B1047960"/>
      <c r="C1047960"/>
      <c r="D1047960"/>
      <c r="E1047960"/>
      <c r="F1047960"/>
    </row>
    <row r="1047961" spans="2:6">
      <c r="B1047961"/>
      <c r="C1047961"/>
      <c r="D1047961"/>
      <c r="E1047961"/>
      <c r="F1047961"/>
    </row>
    <row r="1047962" spans="2:6">
      <c r="B1047962"/>
      <c r="C1047962"/>
      <c r="D1047962"/>
      <c r="E1047962"/>
      <c r="F1047962"/>
    </row>
    <row r="1047963" spans="2:6">
      <c r="B1047963"/>
      <c r="C1047963"/>
      <c r="D1047963"/>
      <c r="E1047963"/>
      <c r="F1047963"/>
    </row>
    <row r="1047964" spans="2:6">
      <c r="B1047964"/>
      <c r="C1047964"/>
      <c r="D1047964"/>
      <c r="E1047964"/>
      <c r="F1047964"/>
    </row>
    <row r="1047965" spans="2:6">
      <c r="B1047965"/>
      <c r="C1047965"/>
      <c r="D1047965"/>
      <c r="E1047965"/>
      <c r="F1047965"/>
    </row>
    <row r="1047966" spans="2:6">
      <c r="B1047966"/>
      <c r="C1047966"/>
      <c r="D1047966"/>
      <c r="E1047966"/>
      <c r="F1047966"/>
    </row>
    <row r="1047967" spans="2:6">
      <c r="B1047967"/>
      <c r="C1047967"/>
      <c r="D1047967"/>
      <c r="E1047967"/>
      <c r="F1047967"/>
    </row>
    <row r="1047968" spans="2:6">
      <c r="B1047968"/>
      <c r="C1047968"/>
      <c r="D1047968"/>
      <c r="E1047968"/>
      <c r="F1047968"/>
    </row>
    <row r="1047969" spans="2:6">
      <c r="B1047969"/>
      <c r="C1047969"/>
      <c r="D1047969"/>
      <c r="E1047969"/>
      <c r="F1047969"/>
    </row>
    <row r="1047970" spans="2:6">
      <c r="B1047970"/>
      <c r="C1047970"/>
      <c r="D1047970"/>
      <c r="E1047970"/>
      <c r="F1047970"/>
    </row>
    <row r="1047971" spans="2:6">
      <c r="B1047971"/>
      <c r="C1047971"/>
      <c r="D1047971"/>
      <c r="E1047971"/>
      <c r="F1047971"/>
    </row>
    <row r="1047972" spans="2:6">
      <c r="B1047972"/>
      <c r="C1047972"/>
      <c r="D1047972"/>
      <c r="E1047972"/>
      <c r="F1047972"/>
    </row>
    <row r="1047973" spans="2:6">
      <c r="B1047973"/>
      <c r="C1047973"/>
      <c r="D1047973"/>
      <c r="E1047973"/>
      <c r="F1047973"/>
    </row>
    <row r="1047974" spans="2:6">
      <c r="B1047974"/>
      <c r="C1047974"/>
      <c r="D1047974"/>
      <c r="E1047974"/>
      <c r="F1047974"/>
    </row>
    <row r="1047975" spans="2:6">
      <c r="B1047975"/>
      <c r="C1047975"/>
      <c r="D1047975"/>
      <c r="E1047975"/>
      <c r="F1047975"/>
    </row>
    <row r="1047976" spans="2:6">
      <c r="B1047976"/>
      <c r="C1047976"/>
      <c r="D1047976"/>
      <c r="E1047976"/>
      <c r="F1047976"/>
    </row>
    <row r="1047977" spans="2:6">
      <c r="B1047977"/>
      <c r="C1047977"/>
      <c r="D1047977"/>
      <c r="E1047977"/>
      <c r="F1047977"/>
    </row>
    <row r="1047978" spans="2:6">
      <c r="B1047978"/>
      <c r="C1047978"/>
      <c r="D1047978"/>
      <c r="E1047978"/>
      <c r="F1047978"/>
    </row>
    <row r="1047979" spans="2:6">
      <c r="B1047979"/>
      <c r="C1047979"/>
      <c r="D1047979"/>
      <c r="E1047979"/>
      <c r="F1047979"/>
    </row>
    <row r="1047980" spans="2:6">
      <c r="B1047980"/>
      <c r="C1047980"/>
      <c r="D1047980"/>
      <c r="E1047980"/>
      <c r="F1047980"/>
    </row>
    <row r="1047981" spans="2:6">
      <c r="B1047981"/>
      <c r="C1047981"/>
      <c r="D1047981"/>
      <c r="E1047981"/>
      <c r="F1047981"/>
    </row>
    <row r="1047982" spans="2:6">
      <c r="B1047982"/>
      <c r="C1047982"/>
      <c r="D1047982"/>
      <c r="E1047982"/>
      <c r="F1047982"/>
    </row>
    <row r="1047983" spans="2:6">
      <c r="B1047983"/>
      <c r="C1047983"/>
      <c r="D1047983"/>
      <c r="E1047983"/>
      <c r="F1047983"/>
    </row>
    <row r="1047984" spans="2:6">
      <c r="B1047984"/>
      <c r="C1047984"/>
      <c r="D1047984"/>
      <c r="E1047984"/>
      <c r="F1047984"/>
    </row>
  </sheetData>
  <conditionalFormatting sqref="A$1:A$1048576">
    <cfRule type="expression" dxfId="0" priority="3">
      <formula>AND(SUMPRODUCT(IFERROR(1*(($A$1:$A$1048576&amp;"x")=(A1&amp;"x")),0))&gt;1,NOT(ISBLANK(A1)))</formula>
    </cfRule>
  </conditionalFormatting>
  <conditionalFormatting sqref="B$1:B$1048576">
    <cfRule type="duplicateValues" dxfId="1" priority="2"/>
  </conditionalFormatting>
  <conditionalFormatting sqref="D3:D1935">
    <cfRule type="cellIs" dxfId="2" priority="1" operator="notEqual">
      <formula>C3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3"/>
  <sheetViews>
    <sheetView workbookViewId="0">
      <selection activeCell="C42" sqref="C42"/>
    </sheetView>
  </sheetViews>
  <sheetFormatPr defaultColWidth="8.725" defaultRowHeight="13.5" outlineLevelCol="3"/>
  <cols>
    <col min="1" max="1" width="8.725" customWidth="1"/>
    <col min="2" max="2" width="17.725" customWidth="1"/>
    <col min="3" max="3" width="13.0916666666667" customWidth="1"/>
    <col min="4" max="4" width="24" customWidth="1"/>
  </cols>
  <sheetData>
    <row r="1" spans="1:4">
      <c r="A1" t="s">
        <v>161</v>
      </c>
      <c r="B1" s="1" t="s">
        <v>635</v>
      </c>
      <c r="C1" s="1" t="s">
        <v>1642</v>
      </c>
      <c r="D1" s="1" t="s">
        <v>1643</v>
      </c>
    </row>
    <row r="2" spans="1:4">
      <c r="A2" t="e">
        <f>_xlfn.XLOOKUP(B2,[1]四三数据累计!$A:$A,[1]四三数据累计!$B:$B)</f>
        <v>#N/A</v>
      </c>
      <c r="B2" s="2">
        <v>108</v>
      </c>
      <c r="C2" s="2">
        <v>8</v>
      </c>
      <c r="D2" s="2">
        <v>453.71</v>
      </c>
    </row>
    <row r="3" spans="1:4">
      <c r="A3" t="e">
        <f>_xlfn.XLOOKUP(B3,[1]四三数据累计!$A:$A,[1]四三数据累计!$B:$B)</f>
        <v>#N/A</v>
      </c>
      <c r="B3" s="2">
        <v>109</v>
      </c>
      <c r="C3" s="2">
        <v>2</v>
      </c>
      <c r="D3" s="2">
        <v>95.6</v>
      </c>
    </row>
    <row r="4" spans="1:4">
      <c r="A4" t="e">
        <f>_xlfn.XLOOKUP(B4,[1]四三数据累计!$A:$A,[1]四三数据累计!$B:$B)</f>
        <v>#N/A</v>
      </c>
      <c r="B4" s="2">
        <v>111</v>
      </c>
      <c r="C4" s="2">
        <v>1</v>
      </c>
      <c r="D4" s="2">
        <v>101.85</v>
      </c>
    </row>
    <row r="5" spans="1:4">
      <c r="A5" t="e">
        <f>_xlfn.XLOOKUP(B5,[1]四三数据累计!$A:$A,[1]四三数据累计!$B:$B)</f>
        <v>#N/A</v>
      </c>
      <c r="B5" s="2">
        <v>228</v>
      </c>
      <c r="C5" s="2">
        <v>6</v>
      </c>
      <c r="D5" s="2">
        <v>211.11</v>
      </c>
    </row>
    <row r="6" spans="1:4">
      <c r="A6" t="e">
        <f>_xlfn.XLOOKUP(B6,[1]四三数据累计!$A:$A,[1]四三数据累计!$B:$B)</f>
        <v>#N/A</v>
      </c>
      <c r="B6" s="2">
        <v>243</v>
      </c>
      <c r="C6" s="2">
        <v>7</v>
      </c>
      <c r="D6" s="2">
        <v>621.15</v>
      </c>
    </row>
    <row r="7" spans="1:4">
      <c r="A7" t="e">
        <f>_xlfn.XLOOKUP(B7,[1]四三数据累计!$A:$A,[1]四三数据累计!$B:$B)</f>
        <v>#N/A</v>
      </c>
      <c r="B7" s="2">
        <v>259</v>
      </c>
      <c r="C7" s="2">
        <v>20</v>
      </c>
      <c r="D7" s="2">
        <v>476.69</v>
      </c>
    </row>
    <row r="8" spans="1:4">
      <c r="A8" t="e">
        <f>_xlfn.XLOOKUP(B8,[1]四三数据累计!$A:$A,[1]四三数据累计!$B:$B)</f>
        <v>#N/A</v>
      </c>
      <c r="B8" s="2">
        <v>263</v>
      </c>
      <c r="C8" s="2">
        <v>10</v>
      </c>
      <c r="D8" s="2">
        <v>546.2</v>
      </c>
    </row>
    <row r="9" spans="1:4">
      <c r="A9" t="e">
        <f>_xlfn.XLOOKUP(B9,[1]四三数据累计!$A:$A,[1]四三数据累计!$B:$B)</f>
        <v>#N/A</v>
      </c>
      <c r="B9" s="2">
        <v>264</v>
      </c>
      <c r="C9" s="2">
        <v>4</v>
      </c>
      <c r="D9" s="2">
        <v>195.96</v>
      </c>
    </row>
    <row r="10" spans="1:4">
      <c r="A10" t="e">
        <f>_xlfn.XLOOKUP(B10,[1]四三数据累计!$A:$A,[1]四三数据累计!$B:$B)</f>
        <v>#N/A</v>
      </c>
      <c r="B10" s="2">
        <v>278</v>
      </c>
      <c r="C10" s="2">
        <v>11</v>
      </c>
      <c r="D10" s="2">
        <v>367.15</v>
      </c>
    </row>
    <row r="11" spans="1:4">
      <c r="A11" t="e">
        <f>_xlfn.XLOOKUP(B11,[1]四三数据累计!$A:$A,[1]四三数据累计!$B:$B)</f>
        <v>#N/A</v>
      </c>
      <c r="B11" s="2">
        <v>289</v>
      </c>
      <c r="C11" s="2">
        <v>1</v>
      </c>
      <c r="D11" s="2">
        <v>93.5</v>
      </c>
    </row>
    <row r="12" spans="1:4">
      <c r="A12" t="e">
        <f>_xlfn.XLOOKUP(B12,[1]四三数据累计!$A:$A,[1]四三数据累计!$B:$B)</f>
        <v>#N/A</v>
      </c>
      <c r="B12" s="2">
        <v>290</v>
      </c>
      <c r="C12" s="2">
        <v>1</v>
      </c>
      <c r="D12" s="2">
        <v>111.59</v>
      </c>
    </row>
    <row r="13" spans="1:4">
      <c r="A13" t="e">
        <f>_xlfn.XLOOKUP(B13,[1]四三数据累计!$A:$A,[1]四三数据累计!$B:$B)</f>
        <v>#N/A</v>
      </c>
      <c r="B13" s="2">
        <v>292</v>
      </c>
      <c r="C13" s="2">
        <v>72</v>
      </c>
      <c r="D13" s="2">
        <v>6014.58000000001</v>
      </c>
    </row>
    <row r="14" spans="1:4">
      <c r="A14" t="e">
        <f>_xlfn.XLOOKUP(B14,[1]四三数据累计!$A:$A,[1]四三数据累计!$B:$B)</f>
        <v>#N/A</v>
      </c>
      <c r="B14" s="2">
        <v>293</v>
      </c>
      <c r="C14" s="2">
        <v>1</v>
      </c>
      <c r="D14" s="2">
        <v>77.13</v>
      </c>
    </row>
    <row r="15" spans="1:4">
      <c r="A15" t="e">
        <f>_xlfn.XLOOKUP(B15,[1]四三数据累计!$A:$A,[1]四三数据累计!$B:$B)</f>
        <v>#N/A</v>
      </c>
      <c r="B15" s="2">
        <v>322</v>
      </c>
      <c r="C15" s="2">
        <v>4</v>
      </c>
      <c r="D15" s="2">
        <v>234.6</v>
      </c>
    </row>
    <row r="16" spans="1:4">
      <c r="A16" t="e">
        <f>_xlfn.XLOOKUP(B16,[1]四三数据累计!$A:$A,[1]四三数据累计!$B:$B)</f>
        <v>#N/A</v>
      </c>
      <c r="B16" s="2">
        <v>327</v>
      </c>
      <c r="C16" s="2">
        <v>7</v>
      </c>
      <c r="D16" s="2">
        <v>330.75</v>
      </c>
    </row>
    <row r="17" spans="1:4">
      <c r="A17" t="e">
        <f>_xlfn.XLOOKUP(B17,[1]四三数据累计!$A:$A,[1]四三数据累计!$B:$B)</f>
        <v>#N/A</v>
      </c>
      <c r="B17" s="2">
        <v>336</v>
      </c>
      <c r="C17" s="2">
        <v>15</v>
      </c>
      <c r="D17" s="2">
        <v>376.5</v>
      </c>
    </row>
    <row r="18" spans="1:4">
      <c r="A18" t="e">
        <f>_xlfn.XLOOKUP(B18,[1]四三数据累计!$A:$A,[1]四三数据累计!$B:$B)</f>
        <v>#N/A</v>
      </c>
      <c r="B18" s="2">
        <v>337</v>
      </c>
      <c r="C18" s="2">
        <v>5</v>
      </c>
      <c r="D18" s="2">
        <v>217.45</v>
      </c>
    </row>
    <row r="19" spans="1:4">
      <c r="A19" t="e">
        <f>_xlfn.XLOOKUP(B19,[1]四三数据累计!$A:$A,[1]四三数据累计!$B:$B)</f>
        <v>#N/A</v>
      </c>
      <c r="B19" s="2">
        <v>338</v>
      </c>
      <c r="C19" s="2">
        <v>7</v>
      </c>
      <c r="D19" s="2">
        <v>282.45</v>
      </c>
    </row>
    <row r="20" spans="1:4">
      <c r="A20" t="e">
        <f>_xlfn.XLOOKUP(B20,[1]四三数据累计!$A:$A,[1]四三数据累计!$B:$B)</f>
        <v>#N/A</v>
      </c>
      <c r="B20" s="2">
        <v>347</v>
      </c>
      <c r="C20" s="2">
        <v>1</v>
      </c>
      <c r="D20" s="2">
        <v>69.1</v>
      </c>
    </row>
    <row r="21" spans="1:4">
      <c r="A21" t="e">
        <f>_xlfn.XLOOKUP(B21,[1]四三数据累计!$A:$A,[1]四三数据累计!$B:$B)</f>
        <v>#N/A</v>
      </c>
      <c r="B21" s="2">
        <v>349</v>
      </c>
      <c r="C21" s="2">
        <v>3</v>
      </c>
      <c r="D21" s="2">
        <v>370.77</v>
      </c>
    </row>
    <row r="22" spans="1:4">
      <c r="A22" t="e">
        <f>_xlfn.XLOOKUP(B22,[1]四三数据累计!$A:$A,[1]四三数据累计!$B:$B)</f>
        <v>#N/A</v>
      </c>
      <c r="B22" s="2">
        <v>350</v>
      </c>
      <c r="C22" s="2">
        <v>2</v>
      </c>
      <c r="D22" s="2">
        <v>174.4</v>
      </c>
    </row>
    <row r="23" spans="1:4">
      <c r="A23" t="e">
        <f>_xlfn.XLOOKUP(B23,[1]四三数据累计!$A:$A,[1]四三数据累计!$B:$B)</f>
        <v>#N/A</v>
      </c>
      <c r="B23" s="2">
        <v>357</v>
      </c>
      <c r="C23" s="2">
        <v>1</v>
      </c>
      <c r="D23" s="2">
        <v>35.2</v>
      </c>
    </row>
    <row r="24" spans="1:4">
      <c r="A24" t="e">
        <f>_xlfn.XLOOKUP(B24,[1]四三数据累计!$A:$A,[1]四三数据累计!$B:$B)</f>
        <v>#N/A</v>
      </c>
      <c r="B24" s="2">
        <v>359</v>
      </c>
      <c r="C24" s="2">
        <v>3</v>
      </c>
      <c r="D24" s="2">
        <v>124.87</v>
      </c>
    </row>
    <row r="25" spans="1:4">
      <c r="A25" t="e">
        <f>_xlfn.XLOOKUP(B25,[1]四三数据累计!$A:$A,[1]四三数据累计!$B:$B)</f>
        <v>#N/A</v>
      </c>
      <c r="B25" s="2">
        <v>365</v>
      </c>
      <c r="C25" s="2">
        <v>4</v>
      </c>
      <c r="D25" s="2">
        <v>327.27</v>
      </c>
    </row>
    <row r="26" spans="1:4">
      <c r="A26" t="e">
        <f>_xlfn.XLOOKUP(B26,[1]四三数据累计!$A:$A,[1]四三数据累计!$B:$B)</f>
        <v>#N/A</v>
      </c>
      <c r="B26" s="2">
        <v>371</v>
      </c>
      <c r="C26" s="2">
        <v>11</v>
      </c>
      <c r="D26" s="2">
        <v>290.82</v>
      </c>
    </row>
    <row r="27" spans="1:4">
      <c r="A27" t="e">
        <f>_xlfn.XLOOKUP(B27,[1]四三数据累计!$A:$A,[1]四三数据累计!$B:$B)</f>
        <v>#N/A</v>
      </c>
      <c r="B27" s="2">
        <v>372</v>
      </c>
      <c r="C27" s="2">
        <v>18</v>
      </c>
      <c r="D27" s="2">
        <v>505.5</v>
      </c>
    </row>
    <row r="28" spans="1:4">
      <c r="A28" t="e">
        <f>_xlfn.XLOOKUP(B28,[1]四三数据累计!$A:$A,[1]四三数据累计!$B:$B)</f>
        <v>#N/A</v>
      </c>
      <c r="B28" s="2">
        <v>409</v>
      </c>
      <c r="C28" s="2">
        <v>1</v>
      </c>
      <c r="D28" s="2">
        <v>16.99</v>
      </c>
    </row>
    <row r="29" spans="1:4">
      <c r="A29" t="e">
        <f>_xlfn.XLOOKUP(B29,[1]四三数据累计!$A:$A,[1]四三数据累计!$B:$B)</f>
        <v>#N/A</v>
      </c>
      <c r="B29" s="2">
        <v>421</v>
      </c>
      <c r="C29" s="2">
        <v>3</v>
      </c>
      <c r="D29" s="2">
        <v>83.31</v>
      </c>
    </row>
    <row r="30" spans="1:4">
      <c r="A30" t="e">
        <f>_xlfn.XLOOKUP(B30,[1]四三数据累计!$A:$A,[1]四三数据累计!$B:$B)</f>
        <v>#N/A</v>
      </c>
      <c r="B30" s="2">
        <v>424</v>
      </c>
      <c r="C30" s="2">
        <v>1</v>
      </c>
      <c r="D30" s="2">
        <v>24.49</v>
      </c>
    </row>
    <row r="31" spans="1:4">
      <c r="A31" t="e">
        <f>_xlfn.XLOOKUP(B31,[1]四三数据累计!$A:$A,[1]四三数据累计!$B:$B)</f>
        <v>#N/A</v>
      </c>
      <c r="B31" s="2">
        <v>425</v>
      </c>
      <c r="C31" s="2">
        <v>2</v>
      </c>
      <c r="D31" s="2">
        <v>77.97</v>
      </c>
    </row>
    <row r="32" spans="1:4">
      <c r="A32" t="e">
        <f>_xlfn.XLOOKUP(B32,[1]四三数据累计!$A:$A,[1]四三数据累计!$B:$B)</f>
        <v>#N/A</v>
      </c>
      <c r="B32" s="2">
        <v>428</v>
      </c>
      <c r="C32" s="2">
        <v>3</v>
      </c>
      <c r="D32" s="2">
        <v>91.86</v>
      </c>
    </row>
    <row r="33" spans="1:4">
      <c r="A33" t="e">
        <f>_xlfn.XLOOKUP(B33,[1]四三数据累计!$A:$A,[1]四三数据累计!$B:$B)</f>
        <v>#N/A</v>
      </c>
      <c r="B33" s="2">
        <v>432</v>
      </c>
      <c r="C33" s="2">
        <v>1</v>
      </c>
      <c r="D33" s="2">
        <v>30.53</v>
      </c>
    </row>
    <row r="34" spans="1:4">
      <c r="A34" t="e">
        <f>_xlfn.XLOOKUP(B34,[1]四三数据累计!$A:$A,[1]四三数据累计!$B:$B)</f>
        <v>#N/A</v>
      </c>
      <c r="B34" s="2">
        <v>434</v>
      </c>
      <c r="C34" s="2">
        <v>8</v>
      </c>
      <c r="D34" s="2">
        <v>405.2</v>
      </c>
    </row>
    <row r="35" spans="1:4">
      <c r="A35" t="e">
        <f>_xlfn.XLOOKUP(B35,[1]四三数据累计!$A:$A,[1]四三数据累计!$B:$B)</f>
        <v>#N/A</v>
      </c>
      <c r="B35" s="2">
        <v>453</v>
      </c>
      <c r="C35" s="2">
        <v>15</v>
      </c>
      <c r="D35" s="2">
        <v>1912.83</v>
      </c>
    </row>
    <row r="36" spans="1:4">
      <c r="A36" t="e">
        <f>_xlfn.XLOOKUP(B36,[1]四三数据累计!$A:$A,[1]四三数据累计!$B:$B)</f>
        <v>#N/A</v>
      </c>
      <c r="B36" s="2">
        <v>467</v>
      </c>
      <c r="C36" s="2">
        <v>5</v>
      </c>
      <c r="D36" s="2">
        <v>901.55</v>
      </c>
    </row>
    <row r="37" spans="1:4">
      <c r="A37" t="e">
        <f>_xlfn.XLOOKUP(B37,[1]四三数据累计!$A:$A,[1]四三数据累计!$B:$B)</f>
        <v>#N/A</v>
      </c>
      <c r="B37" s="2">
        <v>482</v>
      </c>
      <c r="C37" s="2">
        <v>1</v>
      </c>
      <c r="D37" s="2">
        <v>83.99</v>
      </c>
    </row>
    <row r="38" spans="1:4">
      <c r="A38" t="e">
        <f>_xlfn.XLOOKUP(B38,[1]四三数据累计!$A:$A,[1]四三数据累计!$B:$B)</f>
        <v>#N/A</v>
      </c>
      <c r="B38" s="2">
        <v>483</v>
      </c>
      <c r="C38" s="2">
        <v>4</v>
      </c>
      <c r="D38" s="2">
        <v>303.53</v>
      </c>
    </row>
    <row r="39" spans="1:4">
      <c r="A39" t="e">
        <f>_xlfn.XLOOKUP(B39,[1]四三数据累计!$A:$A,[1]四三数据累计!$B:$B)</f>
        <v>#N/A</v>
      </c>
      <c r="B39" s="2">
        <v>487</v>
      </c>
      <c r="C39" s="2">
        <v>2</v>
      </c>
      <c r="D39" s="2">
        <v>272.9</v>
      </c>
    </row>
    <row r="40" spans="1:4">
      <c r="A40" t="e">
        <f>_xlfn.XLOOKUP(B40,[1]四三数据累计!$A:$A,[1]四三数据累计!$B:$B)</f>
        <v>#N/A</v>
      </c>
      <c r="B40" s="2">
        <v>488</v>
      </c>
      <c r="C40" s="2">
        <v>25</v>
      </c>
      <c r="D40" s="2">
        <v>1637.19</v>
      </c>
    </row>
    <row r="41" spans="1:4">
      <c r="A41" t="e">
        <f>_xlfn.XLOOKUP(B41,[1]四三数据累计!$A:$A,[1]四三数据累计!$B:$B)</f>
        <v>#N/A</v>
      </c>
      <c r="B41" s="2">
        <v>489</v>
      </c>
      <c r="C41" s="2">
        <v>6</v>
      </c>
      <c r="D41" s="2">
        <v>383.08</v>
      </c>
    </row>
    <row r="42" spans="1:4">
      <c r="A42" t="e">
        <f>_xlfn.XLOOKUP(B42,[1]四三数据累计!$A:$A,[1]四三数据累计!$B:$B)</f>
        <v>#N/A</v>
      </c>
      <c r="B42" s="2">
        <v>490</v>
      </c>
      <c r="C42" s="2">
        <v>19</v>
      </c>
      <c r="D42" s="2">
        <v>1140.84</v>
      </c>
    </row>
    <row r="43" spans="1:4">
      <c r="A43" t="e">
        <f>_xlfn.XLOOKUP(B43,[1]四三数据累计!$A:$A,[1]四三数据累计!$B:$B)</f>
        <v>#N/A</v>
      </c>
      <c r="B43" s="2">
        <v>491</v>
      </c>
      <c r="C43" s="2">
        <v>8</v>
      </c>
      <c r="D43" s="2">
        <v>468.92</v>
      </c>
    </row>
    <row r="44" spans="1:4">
      <c r="A44" t="e">
        <f>_xlfn.XLOOKUP(B44,[1]四三数据累计!$A:$A,[1]四三数据累计!$B:$B)</f>
        <v>#N/A</v>
      </c>
      <c r="B44" s="2">
        <v>542</v>
      </c>
      <c r="C44" s="2">
        <v>9</v>
      </c>
      <c r="D44" s="2">
        <v>228.56</v>
      </c>
    </row>
    <row r="45" spans="1:4">
      <c r="A45" t="e">
        <f>_xlfn.XLOOKUP(B45,[1]四三数据累计!$A:$A,[1]四三数据累计!$B:$B)</f>
        <v>#N/A</v>
      </c>
      <c r="B45" s="2">
        <v>545</v>
      </c>
      <c r="C45" s="2">
        <v>14</v>
      </c>
      <c r="D45" s="2">
        <v>800.29</v>
      </c>
    </row>
    <row r="46" spans="1:4">
      <c r="A46" t="e">
        <f>_xlfn.XLOOKUP(B46,[1]四三数据累计!$A:$A,[1]四三数据累计!$B:$B)</f>
        <v>#N/A</v>
      </c>
      <c r="B46" s="2">
        <v>547</v>
      </c>
      <c r="C46" s="2">
        <v>2</v>
      </c>
      <c r="D46" s="2">
        <v>69.8</v>
      </c>
    </row>
    <row r="47" spans="1:4">
      <c r="A47" t="e">
        <f>_xlfn.XLOOKUP(B47,[1]四三数据累计!$A:$A,[1]四三数据累计!$B:$B)</f>
        <v>#N/A</v>
      </c>
      <c r="B47" s="2">
        <v>565</v>
      </c>
      <c r="C47" s="2">
        <v>28</v>
      </c>
      <c r="D47" s="2">
        <v>368</v>
      </c>
    </row>
    <row r="48" spans="1:4">
      <c r="A48" t="e">
        <f>_xlfn.XLOOKUP(B48,[1]四三数据累计!$A:$A,[1]四三数据累计!$B:$B)</f>
        <v>#N/A</v>
      </c>
      <c r="B48" s="2">
        <v>566</v>
      </c>
      <c r="C48" s="2">
        <v>1</v>
      </c>
      <c r="D48" s="2">
        <v>27.74</v>
      </c>
    </row>
    <row r="49" spans="1:4">
      <c r="A49" t="e">
        <f>_xlfn.XLOOKUP(B49,[1]四三数据累计!$A:$A,[1]四三数据累计!$B:$B)</f>
        <v>#N/A</v>
      </c>
      <c r="B49" s="2">
        <v>567</v>
      </c>
      <c r="C49" s="2">
        <v>14</v>
      </c>
      <c r="D49" s="2">
        <v>176.16</v>
      </c>
    </row>
    <row r="50" spans="1:4">
      <c r="A50" t="e">
        <f>_xlfn.XLOOKUP(B50,[1]四三数据累计!$A:$A,[1]四三数据累计!$B:$B)</f>
        <v>#N/A</v>
      </c>
      <c r="B50" s="2">
        <v>569</v>
      </c>
      <c r="C50" s="2">
        <v>6</v>
      </c>
      <c r="D50" s="2">
        <v>417.1</v>
      </c>
    </row>
    <row r="51" spans="1:4">
      <c r="A51" t="e">
        <f>_xlfn.XLOOKUP(B51,[1]四三数据累计!$A:$A,[1]四三数据累计!$B:$B)</f>
        <v>#N/A</v>
      </c>
      <c r="B51" s="2">
        <v>574</v>
      </c>
      <c r="C51" s="2">
        <v>24</v>
      </c>
      <c r="D51" s="2">
        <v>934</v>
      </c>
    </row>
    <row r="52" spans="1:4">
      <c r="A52" t="e">
        <f>_xlfn.XLOOKUP(B52,[1]四三数据累计!$A:$A,[1]四三数据累计!$B:$B)</f>
        <v>#N/A</v>
      </c>
      <c r="B52" s="2">
        <v>575</v>
      </c>
      <c r="C52" s="2">
        <v>17</v>
      </c>
      <c r="D52" s="2">
        <v>721.3</v>
      </c>
    </row>
    <row r="53" spans="1:4">
      <c r="A53" t="e">
        <f>_xlfn.XLOOKUP(B53,[1]四三数据累计!$A:$A,[1]四三数据累计!$B:$B)</f>
        <v>#N/A</v>
      </c>
      <c r="B53" s="2">
        <v>576</v>
      </c>
      <c r="C53" s="2">
        <v>28</v>
      </c>
      <c r="D53" s="2">
        <v>1014.1</v>
      </c>
    </row>
    <row r="54" spans="1:4">
      <c r="A54" t="e">
        <f>_xlfn.XLOOKUP(B54,[1]四三数据累计!$A:$A,[1]四三数据累计!$B:$B)</f>
        <v>#N/A</v>
      </c>
      <c r="B54" s="2">
        <v>585</v>
      </c>
      <c r="C54" s="2">
        <v>5</v>
      </c>
      <c r="D54" s="2">
        <v>514.23</v>
      </c>
    </row>
    <row r="55" spans="1:4">
      <c r="A55" t="e">
        <f>_xlfn.XLOOKUP(B55,[1]四三数据累计!$A:$A,[1]四三数据累计!$B:$B)</f>
        <v>#N/A</v>
      </c>
      <c r="B55" s="2">
        <v>586</v>
      </c>
      <c r="C55" s="2">
        <v>26</v>
      </c>
      <c r="D55" s="2">
        <v>2032.62</v>
      </c>
    </row>
    <row r="56" spans="1:4">
      <c r="A56" t="e">
        <f>_xlfn.XLOOKUP(B56,[1]四三数据累计!$A:$A,[1]四三数据累计!$B:$B)</f>
        <v>#N/A</v>
      </c>
      <c r="B56" s="2">
        <v>589</v>
      </c>
      <c r="C56" s="2">
        <v>3</v>
      </c>
      <c r="D56" s="2">
        <v>78.08</v>
      </c>
    </row>
    <row r="57" spans="1:4">
      <c r="A57" t="e">
        <f>_xlfn.XLOOKUP(B57,[1]四三数据累计!$A:$A,[1]四三数据累计!$B:$B)</f>
        <v>#N/A</v>
      </c>
      <c r="B57" s="2">
        <v>623</v>
      </c>
      <c r="C57" s="2">
        <v>8</v>
      </c>
      <c r="D57" s="2">
        <v>153.22</v>
      </c>
    </row>
    <row r="58" spans="1:4">
      <c r="A58" t="e">
        <f>_xlfn.XLOOKUP(B58,[1]四三数据累计!$A:$A,[1]四三数据累计!$B:$B)</f>
        <v>#N/A</v>
      </c>
      <c r="B58" s="2">
        <v>625</v>
      </c>
      <c r="C58" s="2">
        <v>6</v>
      </c>
      <c r="D58" s="2">
        <v>103.94</v>
      </c>
    </row>
    <row r="59" spans="1:4">
      <c r="A59" t="e">
        <f>_xlfn.XLOOKUP(B59,[1]四三数据累计!$A:$A,[1]四三数据累计!$B:$B)</f>
        <v>#N/A</v>
      </c>
      <c r="B59" s="2">
        <v>626</v>
      </c>
      <c r="C59" s="2">
        <v>8</v>
      </c>
      <c r="D59" s="2">
        <v>60.78</v>
      </c>
    </row>
    <row r="60" spans="1:4">
      <c r="A60" t="e">
        <f>_xlfn.XLOOKUP(B60,[1]四三数据累计!$A:$A,[1]四三数据累计!$B:$B)</f>
        <v>#N/A</v>
      </c>
      <c r="B60" s="2">
        <v>634</v>
      </c>
      <c r="C60" s="2">
        <v>19</v>
      </c>
      <c r="D60" s="2">
        <v>205.71</v>
      </c>
    </row>
    <row r="61" spans="1:4">
      <c r="A61" t="e">
        <f>_xlfn.XLOOKUP(B61,[1]四三数据累计!$A:$A,[1]四三数据累计!$B:$B)</f>
        <v>#N/A</v>
      </c>
      <c r="B61" s="2">
        <v>635</v>
      </c>
      <c r="C61" s="2">
        <v>9</v>
      </c>
      <c r="D61" s="2">
        <v>95.64</v>
      </c>
    </row>
    <row r="62" spans="1:4">
      <c r="A62" t="e">
        <f>_xlfn.XLOOKUP(B62,[1]四三数据累计!$A:$A,[1]四三数据累计!$B:$B)</f>
        <v>#N/A</v>
      </c>
      <c r="B62" s="2">
        <v>636</v>
      </c>
      <c r="C62" s="2">
        <v>6</v>
      </c>
      <c r="D62" s="2">
        <v>78.74</v>
      </c>
    </row>
    <row r="63" spans="1:4">
      <c r="A63" t="e">
        <f>_xlfn.XLOOKUP(B63,[1]四三数据累计!$A:$A,[1]四三数据累计!$B:$B)</f>
        <v>#N/A</v>
      </c>
      <c r="B63" s="2">
        <v>638</v>
      </c>
      <c r="C63" s="2">
        <v>1</v>
      </c>
      <c r="D63" s="2">
        <v>25.8</v>
      </c>
    </row>
    <row r="64" spans="1:4">
      <c r="A64" t="e">
        <f>_xlfn.XLOOKUP(B64,[1]四三数据累计!$A:$A,[1]四三数据累计!$B:$B)</f>
        <v>#N/A</v>
      </c>
      <c r="B64" s="2">
        <v>651</v>
      </c>
      <c r="C64" s="2">
        <v>16</v>
      </c>
      <c r="D64" s="2">
        <v>142.59</v>
      </c>
    </row>
    <row r="65" spans="1:4">
      <c r="A65" t="e">
        <f>_xlfn.XLOOKUP(B65,[1]四三数据累计!$A:$A,[1]四三数据累计!$B:$B)</f>
        <v>#N/A</v>
      </c>
      <c r="B65" s="2">
        <v>652</v>
      </c>
      <c r="C65" s="2">
        <v>3</v>
      </c>
      <c r="D65" s="2">
        <v>29.85</v>
      </c>
    </row>
    <row r="66" spans="1:4">
      <c r="A66" t="e">
        <f>_xlfn.XLOOKUP(B66,[1]四三数据累计!$A:$A,[1]四三数据累计!$B:$B)</f>
        <v>#N/A</v>
      </c>
      <c r="B66" s="2">
        <v>654</v>
      </c>
      <c r="C66" s="2">
        <v>36</v>
      </c>
      <c r="D66" s="2">
        <v>381.56</v>
      </c>
    </row>
    <row r="67" spans="1:4">
      <c r="A67" t="e">
        <f>_xlfn.XLOOKUP(B67,[1]四三数据累计!$A:$A,[1]四三数据累计!$B:$B)</f>
        <v>#N/A</v>
      </c>
      <c r="B67" s="2">
        <v>655</v>
      </c>
      <c r="C67" s="2">
        <v>12</v>
      </c>
      <c r="D67" s="2">
        <v>95.89</v>
      </c>
    </row>
    <row r="68" spans="1:4">
      <c r="A68" t="e">
        <f>_xlfn.XLOOKUP(B68,[1]四三数据累计!$A:$A,[1]四三数据累计!$B:$B)</f>
        <v>#N/A</v>
      </c>
      <c r="B68" s="2">
        <v>656</v>
      </c>
      <c r="C68" s="2">
        <v>10</v>
      </c>
      <c r="D68" s="2">
        <v>83.72</v>
      </c>
    </row>
    <row r="69" spans="1:4">
      <c r="A69" t="e">
        <f>_xlfn.XLOOKUP(B69,[1]四三数据累计!$A:$A,[1]四三数据累计!$B:$B)</f>
        <v>#N/A</v>
      </c>
      <c r="B69" s="2">
        <v>657</v>
      </c>
      <c r="C69" s="2">
        <v>5</v>
      </c>
      <c r="D69" s="2">
        <v>148.21</v>
      </c>
    </row>
    <row r="70" spans="1:4">
      <c r="A70" t="e">
        <f>_xlfn.XLOOKUP(B70,[1]四三数据累计!$A:$A,[1]四三数据累计!$B:$B)</f>
        <v>#N/A</v>
      </c>
      <c r="B70" s="2">
        <v>693</v>
      </c>
      <c r="C70" s="2">
        <v>1</v>
      </c>
      <c r="D70" s="2">
        <v>19.45</v>
      </c>
    </row>
    <row r="71" spans="1:4">
      <c r="A71" t="e">
        <f>_xlfn.XLOOKUP(B71,[1]四三数据累计!$A:$A,[1]四三数据累计!$B:$B)</f>
        <v>#N/A</v>
      </c>
      <c r="B71" s="2">
        <v>839</v>
      </c>
      <c r="C71" s="2">
        <v>3</v>
      </c>
      <c r="D71" s="2">
        <v>369.98</v>
      </c>
    </row>
    <row r="72" spans="1:4">
      <c r="A72" t="e">
        <f>_xlfn.XLOOKUP(B72,[1]四三数据累计!$A:$A,[1]四三数据累计!$B:$B)</f>
        <v>#N/A</v>
      </c>
      <c r="B72" s="2">
        <v>840</v>
      </c>
      <c r="C72" s="2">
        <v>1</v>
      </c>
      <c r="D72" s="2">
        <v>115.64</v>
      </c>
    </row>
    <row r="73" spans="1:4">
      <c r="A73" t="e">
        <f>_xlfn.XLOOKUP(B73,[1]四三数据累计!$A:$A,[1]四三数据累计!$B:$B)</f>
        <v>#N/A</v>
      </c>
      <c r="B73" s="2">
        <v>922</v>
      </c>
      <c r="C73" s="2">
        <v>5</v>
      </c>
      <c r="D73" s="2">
        <v>78.05</v>
      </c>
    </row>
    <row r="74" spans="1:4">
      <c r="A74" t="e">
        <f>_xlfn.XLOOKUP(B74,[1]四三数据累计!$A:$A,[1]四三数据累计!$B:$B)</f>
        <v>#N/A</v>
      </c>
      <c r="B74" s="2">
        <v>944</v>
      </c>
      <c r="C74" s="2">
        <v>5</v>
      </c>
      <c r="D74" s="2">
        <v>287.18</v>
      </c>
    </row>
    <row r="75" spans="1:4">
      <c r="A75" t="e">
        <f>_xlfn.XLOOKUP(B75,[1]四三数据累计!$A:$A,[1]四三数据累计!$B:$B)</f>
        <v>#N/A</v>
      </c>
      <c r="B75" s="2">
        <v>945</v>
      </c>
      <c r="C75" s="2">
        <v>1</v>
      </c>
      <c r="D75" s="2">
        <v>34.36</v>
      </c>
    </row>
    <row r="76" spans="1:4">
      <c r="A76" t="e">
        <f>_xlfn.XLOOKUP(B76,[1]四三数据累计!$A:$A,[1]四三数据累计!$B:$B)</f>
        <v>#N/A</v>
      </c>
      <c r="B76" s="2">
        <v>954</v>
      </c>
      <c r="C76" s="2">
        <v>8</v>
      </c>
      <c r="D76" s="2">
        <v>267.4</v>
      </c>
    </row>
    <row r="77" spans="1:4">
      <c r="A77" t="e">
        <f>_xlfn.XLOOKUP(B77,[1]四三数据累计!$A:$A,[1]四三数据累计!$B:$B)</f>
        <v>#N/A</v>
      </c>
      <c r="B77" s="2">
        <v>971</v>
      </c>
      <c r="C77" s="2">
        <v>2</v>
      </c>
      <c r="D77" s="2">
        <v>393.82</v>
      </c>
    </row>
    <row r="78" spans="1:4">
      <c r="A78" t="e">
        <f>_xlfn.XLOOKUP(B78,[1]四三数据累计!$A:$A,[1]四三数据累计!$B:$B)</f>
        <v>#N/A</v>
      </c>
      <c r="B78" s="2">
        <v>972</v>
      </c>
      <c r="C78" s="2">
        <v>10</v>
      </c>
      <c r="D78" s="2">
        <v>976.46</v>
      </c>
    </row>
    <row r="79" spans="1:4">
      <c r="A79" t="e">
        <f>_xlfn.XLOOKUP(B79,[1]四三数据累计!$A:$A,[1]四三数据累计!$B:$B)</f>
        <v>#N/A</v>
      </c>
      <c r="B79" s="2">
        <v>985</v>
      </c>
      <c r="C79" s="2">
        <v>13</v>
      </c>
      <c r="D79" s="2">
        <v>884.12</v>
      </c>
    </row>
    <row r="80" spans="1:4">
      <c r="A80" t="e">
        <f>_xlfn.XLOOKUP(B80,[1]四三数据累计!$A:$A,[1]四三数据累计!$B:$B)</f>
        <v>#N/A</v>
      </c>
      <c r="B80" s="2">
        <v>994</v>
      </c>
      <c r="C80" s="2">
        <v>2</v>
      </c>
      <c r="D80" s="2">
        <v>204.56</v>
      </c>
    </row>
    <row r="81" spans="1:4">
      <c r="A81" t="e">
        <f>_xlfn.XLOOKUP(B81,[1]四三数据累计!$A:$A,[1]四三数据累计!$B:$B)</f>
        <v>#N/A</v>
      </c>
      <c r="B81" s="2">
        <v>1007</v>
      </c>
      <c r="C81" s="2">
        <v>5</v>
      </c>
      <c r="D81" s="2">
        <v>171</v>
      </c>
    </row>
    <row r="82" spans="1:4">
      <c r="A82" t="e">
        <f>_xlfn.XLOOKUP(B82,[1]四三数据累计!$A:$A,[1]四三数据累计!$B:$B)</f>
        <v>#N/A</v>
      </c>
      <c r="B82" s="2">
        <v>1008</v>
      </c>
      <c r="C82" s="2">
        <v>2</v>
      </c>
      <c r="D82" s="2">
        <v>153.18</v>
      </c>
    </row>
    <row r="83" spans="1:4">
      <c r="A83" t="e">
        <f>_xlfn.XLOOKUP(B83,[1]四三数据累计!$A:$A,[1]四三数据累计!$B:$B)</f>
        <v>#N/A</v>
      </c>
      <c r="B83" s="2">
        <v>1009</v>
      </c>
      <c r="C83" s="2">
        <v>3</v>
      </c>
      <c r="D83" s="2">
        <v>127.7</v>
      </c>
    </row>
    <row r="84" spans="1:4">
      <c r="A84" t="e">
        <f>_xlfn.XLOOKUP(B84,[1]四三数据累计!$A:$A,[1]四三数据累计!$B:$B)</f>
        <v>#N/A</v>
      </c>
      <c r="B84" s="2">
        <v>1010</v>
      </c>
      <c r="C84" s="2">
        <v>3</v>
      </c>
      <c r="D84" s="2">
        <v>111.69</v>
      </c>
    </row>
    <row r="85" spans="1:4">
      <c r="A85" t="e">
        <f>_xlfn.XLOOKUP(B85,[1]四三数据累计!$A:$A,[1]四三数据累计!$B:$B)</f>
        <v>#N/A</v>
      </c>
      <c r="B85" s="2">
        <v>1011</v>
      </c>
      <c r="C85" s="2">
        <v>3</v>
      </c>
      <c r="D85" s="2">
        <v>239.97</v>
      </c>
    </row>
    <row r="86" spans="1:4">
      <c r="A86" t="e">
        <f>_xlfn.XLOOKUP(B86,[1]四三数据累计!$A:$A,[1]四三数据累计!$B:$B)</f>
        <v>#N/A</v>
      </c>
      <c r="B86" s="2">
        <v>1014</v>
      </c>
      <c r="C86" s="2">
        <v>2</v>
      </c>
      <c r="D86" s="2">
        <v>91.98</v>
      </c>
    </row>
    <row r="87" spans="1:4">
      <c r="A87" t="e">
        <f>_xlfn.XLOOKUP(B87,[1]四三数据累计!$A:$A,[1]四三数据累计!$B:$B)</f>
        <v>#N/A</v>
      </c>
      <c r="B87" s="2">
        <v>1022</v>
      </c>
      <c r="C87" s="2">
        <v>1</v>
      </c>
      <c r="D87" s="2">
        <v>44</v>
      </c>
    </row>
    <row r="88" spans="1:4">
      <c r="A88" t="e">
        <f>_xlfn.XLOOKUP(B88,[1]四三数据累计!$A:$A,[1]四三数据累计!$B:$B)</f>
        <v>#N/A</v>
      </c>
      <c r="B88" s="2">
        <v>1024</v>
      </c>
      <c r="C88" s="2">
        <v>1</v>
      </c>
      <c r="D88" s="2">
        <v>31.1</v>
      </c>
    </row>
    <row r="89" spans="1:4">
      <c r="A89" t="e">
        <f>_xlfn.XLOOKUP(B89,[1]四三数据累计!$A:$A,[1]四三数据累计!$B:$B)</f>
        <v>#N/A</v>
      </c>
      <c r="B89" s="2">
        <v>1027</v>
      </c>
      <c r="C89" s="2">
        <v>3</v>
      </c>
      <c r="D89" s="2">
        <v>327.05</v>
      </c>
    </row>
    <row r="90" spans="1:4">
      <c r="A90" t="e">
        <f>_xlfn.XLOOKUP(B90,[1]四三数据累计!$A:$A,[1]四三数据累计!$B:$B)</f>
        <v>#N/A</v>
      </c>
      <c r="B90" s="2">
        <v>1030</v>
      </c>
      <c r="C90" s="2">
        <v>4</v>
      </c>
      <c r="D90" s="2">
        <v>280.36</v>
      </c>
    </row>
    <row r="91" spans="1:4">
      <c r="A91" t="e">
        <f>_xlfn.XLOOKUP(B91,[1]四三数据累计!$A:$A,[1]四三数据累计!$B:$B)</f>
        <v>#N/A</v>
      </c>
      <c r="B91" s="2">
        <v>1031</v>
      </c>
      <c r="C91" s="2">
        <v>4</v>
      </c>
      <c r="D91" s="2">
        <v>683.96</v>
      </c>
    </row>
    <row r="92" spans="1:4">
      <c r="A92" t="e">
        <f>_xlfn.XLOOKUP(B92,[1]四三数据累计!$A:$A,[1]四三数据累计!$B:$B)</f>
        <v>#N/A</v>
      </c>
      <c r="B92" s="2">
        <v>1032</v>
      </c>
      <c r="C92" s="2">
        <v>8</v>
      </c>
      <c r="D92" s="2">
        <v>577.71</v>
      </c>
    </row>
    <row r="93" spans="1:4">
      <c r="A93" t="e">
        <f>_xlfn.XLOOKUP(B93,[1]四三数据累计!$A:$A,[1]四三数据累计!$B:$B)</f>
        <v>#N/A</v>
      </c>
      <c r="B93" s="2">
        <v>1045</v>
      </c>
      <c r="C93" s="2">
        <v>9</v>
      </c>
      <c r="D93" s="2">
        <v>1076.78</v>
      </c>
    </row>
    <row r="94" spans="1:4">
      <c r="A94" t="e">
        <f>_xlfn.XLOOKUP(B94,[1]四三数据累计!$A:$A,[1]四三数据累计!$B:$B)</f>
        <v>#N/A</v>
      </c>
      <c r="B94" s="2">
        <v>1049</v>
      </c>
      <c r="C94" s="2">
        <v>6</v>
      </c>
      <c r="D94" s="2">
        <v>428.35</v>
      </c>
    </row>
    <row r="95" spans="1:4">
      <c r="A95" t="e">
        <f>_xlfn.XLOOKUP(B95,[1]四三数据累计!$A:$A,[1]四三数据累计!$B:$B)</f>
        <v>#N/A</v>
      </c>
      <c r="B95" s="2">
        <v>1050</v>
      </c>
      <c r="C95" s="2">
        <v>22</v>
      </c>
      <c r="D95" s="2">
        <v>890.2</v>
      </c>
    </row>
    <row r="96" spans="1:4">
      <c r="A96" t="e">
        <f>_xlfn.XLOOKUP(B96,[1]四三数据累计!$A:$A,[1]四三数据累计!$B:$B)</f>
        <v>#N/A</v>
      </c>
      <c r="B96" s="2">
        <v>1051</v>
      </c>
      <c r="C96" s="2">
        <v>48</v>
      </c>
      <c r="D96" s="2">
        <v>2375.6</v>
      </c>
    </row>
    <row r="97" spans="1:4">
      <c r="A97" t="e">
        <f>_xlfn.XLOOKUP(B97,[1]四三数据累计!$A:$A,[1]四三数据累计!$B:$B)</f>
        <v>#N/A</v>
      </c>
      <c r="B97" s="2">
        <v>1116</v>
      </c>
      <c r="C97" s="2">
        <v>6</v>
      </c>
      <c r="D97" s="2">
        <v>161.67</v>
      </c>
    </row>
    <row r="98" spans="1:4">
      <c r="A98" t="e">
        <f>_xlfn.XLOOKUP(B98,[1]四三数据累计!$A:$A,[1]四三数据累计!$B:$B)</f>
        <v>#N/A</v>
      </c>
      <c r="B98" s="2">
        <v>1119</v>
      </c>
      <c r="C98" s="2">
        <v>3</v>
      </c>
      <c r="D98" s="2">
        <v>357.57</v>
      </c>
    </row>
    <row r="99" spans="1:4">
      <c r="A99" t="e">
        <f>_xlfn.XLOOKUP(B99,[1]四三数据累计!$A:$A,[1]四三数据累计!$B:$B)</f>
        <v>#N/A</v>
      </c>
      <c r="B99" s="2">
        <v>1120</v>
      </c>
      <c r="C99" s="2">
        <v>7</v>
      </c>
      <c r="D99" s="2">
        <v>952.15</v>
      </c>
    </row>
    <row r="100" spans="1:4">
      <c r="A100" t="e">
        <f>_xlfn.XLOOKUP(B100,[1]四三数据累计!$A:$A,[1]四三数据累计!$B:$B)</f>
        <v>#N/A</v>
      </c>
      <c r="B100" s="2">
        <v>1121</v>
      </c>
      <c r="C100" s="2">
        <v>2</v>
      </c>
      <c r="D100" s="2">
        <v>253.89</v>
      </c>
    </row>
    <row r="101" spans="1:4">
      <c r="A101" t="e">
        <f>_xlfn.XLOOKUP(B101,[1]四三数据累计!$A:$A,[1]四三数据累计!$B:$B)</f>
        <v>#N/A</v>
      </c>
      <c r="B101" s="2">
        <v>1122</v>
      </c>
      <c r="C101" s="2">
        <v>11</v>
      </c>
      <c r="D101" s="2">
        <v>1019.16</v>
      </c>
    </row>
    <row r="102" spans="1:4">
      <c r="A102" t="e">
        <f>_xlfn.XLOOKUP(B102,[1]四三数据累计!$A:$A,[1]四三数据累计!$B:$B)</f>
        <v>#N/A</v>
      </c>
      <c r="B102" s="2">
        <v>1125</v>
      </c>
      <c r="C102" s="2">
        <v>25</v>
      </c>
      <c r="D102" s="2">
        <v>327.7</v>
      </c>
    </row>
    <row r="103" spans="1:4">
      <c r="A103" t="e">
        <f>_xlfn.XLOOKUP(B103,[1]四三数据累计!$A:$A,[1]四三数据累计!$B:$B)</f>
        <v>#N/A</v>
      </c>
      <c r="B103" s="2">
        <v>1126</v>
      </c>
      <c r="C103" s="2">
        <v>4</v>
      </c>
      <c r="D103" s="2">
        <v>44.16</v>
      </c>
    </row>
    <row r="104" spans="1:4">
      <c r="A104" t="e">
        <f>_xlfn.XLOOKUP(B104,[1]四三数据累计!$A:$A,[1]四三数据累计!$B:$B)</f>
        <v>#N/A</v>
      </c>
      <c r="B104" s="2">
        <v>1134</v>
      </c>
      <c r="C104" s="2">
        <v>6</v>
      </c>
      <c r="D104" s="2">
        <v>394.74</v>
      </c>
    </row>
    <row r="105" spans="1:4">
      <c r="A105" t="e">
        <f>_xlfn.XLOOKUP(B105,[1]四三数据累计!$A:$A,[1]四三数据累计!$B:$B)</f>
        <v>#N/A</v>
      </c>
      <c r="B105" s="2">
        <v>1135</v>
      </c>
      <c r="C105" s="2">
        <v>16</v>
      </c>
      <c r="D105" s="2">
        <v>867.2</v>
      </c>
    </row>
    <row r="106" spans="1:4">
      <c r="A106" t="e">
        <f>_xlfn.XLOOKUP(B106,[1]四三数据累计!$A:$A,[1]四三数据累计!$B:$B)</f>
        <v>#N/A</v>
      </c>
      <c r="B106" s="2">
        <v>1140</v>
      </c>
      <c r="C106" s="2">
        <v>1</v>
      </c>
      <c r="D106" s="2">
        <v>84.99</v>
      </c>
    </row>
    <row r="107" spans="1:4">
      <c r="A107" t="e">
        <f>_xlfn.XLOOKUP(B107,[1]四三数据累计!$A:$A,[1]四三数据累计!$B:$B)</f>
        <v>#N/A</v>
      </c>
      <c r="B107" s="2">
        <v>1141</v>
      </c>
      <c r="C107" s="2">
        <v>3</v>
      </c>
      <c r="D107" s="2">
        <v>245.99</v>
      </c>
    </row>
    <row r="108" spans="1:4">
      <c r="A108" t="e">
        <f>_xlfn.XLOOKUP(B108,[1]四三数据累计!$A:$A,[1]四三数据累计!$B:$B)</f>
        <v>#N/A</v>
      </c>
      <c r="B108" s="2">
        <v>1144</v>
      </c>
      <c r="C108" s="2">
        <v>3</v>
      </c>
      <c r="D108" s="2">
        <v>120.05</v>
      </c>
    </row>
    <row r="109" spans="1:4">
      <c r="A109" t="e">
        <f>_xlfn.XLOOKUP(B109,[1]四三数据累计!$A:$A,[1]四三数据累计!$B:$B)</f>
        <v>#N/A</v>
      </c>
      <c r="B109" s="2">
        <v>1146</v>
      </c>
      <c r="C109" s="2">
        <v>1</v>
      </c>
      <c r="D109" s="2">
        <v>29.75</v>
      </c>
    </row>
    <row r="110" spans="1:4">
      <c r="A110" t="e">
        <f>_xlfn.XLOOKUP(B110,[1]四三数据累计!$A:$A,[1]四三数据累计!$B:$B)</f>
        <v>#N/A</v>
      </c>
      <c r="B110" s="2">
        <v>1150</v>
      </c>
      <c r="C110" s="2">
        <v>3</v>
      </c>
      <c r="D110" s="2">
        <v>202.61</v>
      </c>
    </row>
    <row r="111" spans="1:4">
      <c r="A111" t="e">
        <f>_xlfn.XLOOKUP(B111,[1]四三数据累计!$A:$A,[1]四三数据累计!$B:$B)</f>
        <v>#N/A</v>
      </c>
      <c r="B111" s="2">
        <v>1152</v>
      </c>
      <c r="C111" s="2">
        <v>2</v>
      </c>
      <c r="D111" s="2">
        <v>100</v>
      </c>
    </row>
    <row r="112" spans="1:4">
      <c r="A112" t="e">
        <f>_xlfn.XLOOKUP(B112,[1]四三数据累计!$A:$A,[1]四三数据累计!$B:$B)</f>
        <v>#N/A</v>
      </c>
      <c r="B112" s="2">
        <v>1154</v>
      </c>
      <c r="C112" s="2">
        <v>18</v>
      </c>
      <c r="D112" s="2">
        <v>702.48</v>
      </c>
    </row>
    <row r="113" spans="1:4">
      <c r="A113" t="e">
        <f>_xlfn.XLOOKUP(B113,[1]四三数据累计!$A:$A,[1]四三数据累计!$B:$B)</f>
        <v>#N/A</v>
      </c>
      <c r="B113" s="2">
        <v>1155</v>
      </c>
      <c r="C113" s="2">
        <v>2</v>
      </c>
      <c r="D113" s="2">
        <v>156</v>
      </c>
    </row>
    <row r="114" spans="1:4">
      <c r="A114" t="e">
        <f>_xlfn.XLOOKUP(B114,[1]四三数据累计!$A:$A,[1]四三数据累计!$B:$B)</f>
        <v>#N/A</v>
      </c>
      <c r="B114" s="2">
        <v>1159</v>
      </c>
      <c r="C114" s="2">
        <v>1</v>
      </c>
      <c r="D114" s="2">
        <v>73.99</v>
      </c>
    </row>
    <row r="115" spans="1:4">
      <c r="A115" t="e">
        <f>_xlfn.XLOOKUP(B115,[1]四三数据累计!$A:$A,[1]四三数据累计!$B:$B)</f>
        <v>#N/A</v>
      </c>
      <c r="B115" s="2">
        <v>1160</v>
      </c>
      <c r="C115" s="2">
        <v>5</v>
      </c>
      <c r="D115" s="2">
        <v>315.95</v>
      </c>
    </row>
    <row r="116" spans="1:4">
      <c r="A116" t="e">
        <f>_xlfn.XLOOKUP(B116,[1]四三数据累计!$A:$A,[1]四三数据累计!$B:$B)</f>
        <v>#N/A</v>
      </c>
      <c r="B116" s="2">
        <v>1161</v>
      </c>
      <c r="C116" s="2">
        <v>26</v>
      </c>
      <c r="D116" s="2">
        <v>1301.3</v>
      </c>
    </row>
    <row r="117" spans="1:4">
      <c r="A117" t="e">
        <f>_xlfn.XLOOKUP(B117,[1]四三数据累计!$A:$A,[1]四三数据累计!$B:$B)</f>
        <v>#N/A</v>
      </c>
      <c r="B117" s="2">
        <v>1167</v>
      </c>
      <c r="C117" s="2">
        <v>3</v>
      </c>
      <c r="D117" s="2">
        <v>394.55</v>
      </c>
    </row>
    <row r="118" spans="1:4">
      <c r="A118" t="e">
        <f>_xlfn.XLOOKUP(B118,[1]四三数据累计!$A:$A,[1]四三数据累计!$B:$B)</f>
        <v>#N/A</v>
      </c>
      <c r="B118" s="2">
        <v>1178</v>
      </c>
      <c r="C118" s="2">
        <v>6</v>
      </c>
      <c r="D118" s="2">
        <v>414.49</v>
      </c>
    </row>
    <row r="119" spans="1:4">
      <c r="A119" t="e">
        <f>_xlfn.XLOOKUP(B119,[1]四三数据累计!$A:$A,[1]四三数据累计!$B:$B)</f>
        <v>#N/A</v>
      </c>
      <c r="B119" s="2">
        <v>1188</v>
      </c>
      <c r="C119" s="2">
        <v>4</v>
      </c>
      <c r="D119" s="2">
        <v>243.96</v>
      </c>
    </row>
    <row r="120" spans="1:4">
      <c r="A120" t="e">
        <f>_xlfn.XLOOKUP(B120,[1]四三数据累计!$A:$A,[1]四三数据累计!$B:$B)</f>
        <v>#N/A</v>
      </c>
      <c r="B120" s="2">
        <v>1191</v>
      </c>
      <c r="C120" s="2">
        <v>10</v>
      </c>
      <c r="D120" s="2">
        <v>239</v>
      </c>
    </row>
    <row r="121" spans="1:4">
      <c r="A121" t="e">
        <f>_xlfn.XLOOKUP(B121,[1]四三数据累计!$A:$A,[1]四三数据累计!$B:$B)</f>
        <v>#N/A</v>
      </c>
      <c r="B121" s="2">
        <v>1199</v>
      </c>
      <c r="C121" s="2">
        <v>11</v>
      </c>
      <c r="D121" s="2">
        <v>376.93</v>
      </c>
    </row>
    <row r="122" spans="1:4">
      <c r="A122" t="e">
        <f>_xlfn.XLOOKUP(B122,[1]四三数据累计!$A:$A,[1]四三数据累计!$B:$B)</f>
        <v>#N/A</v>
      </c>
      <c r="B122" s="2">
        <v>1201</v>
      </c>
      <c r="C122" s="2">
        <v>12</v>
      </c>
      <c r="D122" s="2">
        <v>742.02</v>
      </c>
    </row>
    <row r="123" spans="1:4">
      <c r="A123" t="e">
        <f>_xlfn.XLOOKUP(B123,[1]四三数据累计!$A:$A,[1]四三数据累计!$B:$B)</f>
        <v>#N/A</v>
      </c>
      <c r="B123" s="2">
        <v>1203</v>
      </c>
      <c r="C123" s="2">
        <v>2</v>
      </c>
      <c r="D123" s="2">
        <v>79.98</v>
      </c>
    </row>
    <row r="124" spans="1:4">
      <c r="A124" t="e">
        <f>_xlfn.XLOOKUP(B124,[1]四三数据累计!$A:$A,[1]四三数据累计!$B:$B)</f>
        <v>#N/A</v>
      </c>
      <c r="B124" s="2">
        <v>1212</v>
      </c>
      <c r="C124" s="2">
        <v>1</v>
      </c>
      <c r="D124" s="2">
        <v>25.5</v>
      </c>
    </row>
    <row r="125" spans="1:4">
      <c r="A125" t="e">
        <f>_xlfn.XLOOKUP(B125,[1]四三数据累计!$A:$A,[1]四三数据累计!$B:$B)</f>
        <v>#N/A</v>
      </c>
      <c r="B125" s="2">
        <v>1235</v>
      </c>
      <c r="C125" s="2">
        <v>4</v>
      </c>
      <c r="D125" s="2">
        <v>296.32</v>
      </c>
    </row>
    <row r="126" spans="1:4">
      <c r="A126" t="e">
        <f>_xlfn.XLOOKUP(B126,[1]四三数据累计!$A:$A,[1]四三数据累计!$B:$B)</f>
        <v>#N/A</v>
      </c>
      <c r="B126" s="2">
        <v>1247</v>
      </c>
      <c r="C126" s="2">
        <v>7</v>
      </c>
      <c r="D126" s="2">
        <v>580.93</v>
      </c>
    </row>
    <row r="127" spans="1:4">
      <c r="A127" t="e">
        <f>_xlfn.XLOOKUP(B127,[1]四三数据累计!$A:$A,[1]四三数据累计!$B:$B)</f>
        <v>#N/A</v>
      </c>
      <c r="B127" s="2">
        <v>1249</v>
      </c>
      <c r="C127" s="2">
        <v>7</v>
      </c>
      <c r="D127" s="2">
        <v>616.39</v>
      </c>
    </row>
    <row r="128" spans="1:4">
      <c r="A128" t="e">
        <f>_xlfn.XLOOKUP(B128,[1]四三数据累计!$A:$A,[1]四三数据累计!$B:$B)</f>
        <v>#N/A</v>
      </c>
      <c r="B128" s="2">
        <v>1251</v>
      </c>
      <c r="C128" s="2">
        <v>1</v>
      </c>
      <c r="D128" s="2">
        <v>83.09</v>
      </c>
    </row>
    <row r="129" spans="1:4">
      <c r="A129" t="e">
        <f>_xlfn.XLOOKUP(B129,[1]四三数据累计!$A:$A,[1]四三数据累计!$B:$B)</f>
        <v>#N/A</v>
      </c>
      <c r="B129" s="2">
        <v>1290</v>
      </c>
      <c r="C129" s="2">
        <v>5</v>
      </c>
      <c r="D129" s="2">
        <v>419.45</v>
      </c>
    </row>
    <row r="130" spans="1:4">
      <c r="A130" t="e">
        <f>_xlfn.XLOOKUP(B130,[1]四三数据累计!$A:$A,[1]四三数据累计!$B:$B)</f>
        <v>#N/A</v>
      </c>
      <c r="B130" s="2">
        <v>1292</v>
      </c>
      <c r="C130" s="2">
        <v>13</v>
      </c>
      <c r="D130" s="2">
        <v>866.45</v>
      </c>
    </row>
    <row r="131" spans="1:4">
      <c r="A131" t="e">
        <f>_xlfn.XLOOKUP(B131,[1]四三数据累计!$A:$A,[1]四三数据累计!$B:$B)</f>
        <v>#N/A</v>
      </c>
      <c r="B131" s="2">
        <v>1296</v>
      </c>
      <c r="C131" s="2">
        <v>10</v>
      </c>
      <c r="D131" s="2">
        <v>182.32</v>
      </c>
    </row>
    <row r="132" spans="1:4">
      <c r="A132" t="e">
        <f>_xlfn.XLOOKUP(B132,[1]四三数据累计!$A:$A,[1]四三数据累计!$B:$B)</f>
        <v>#N/A</v>
      </c>
      <c r="B132" s="2">
        <v>1302</v>
      </c>
      <c r="C132" s="2">
        <v>16</v>
      </c>
      <c r="D132" s="2">
        <v>559.16</v>
      </c>
    </row>
    <row r="133" spans="1:4">
      <c r="A133" t="e">
        <f>_xlfn.XLOOKUP(B133,[1]四三数据累计!$A:$A,[1]四三数据累计!$B:$B)</f>
        <v>#N/A</v>
      </c>
      <c r="B133" s="2">
        <v>1307</v>
      </c>
      <c r="C133" s="2">
        <v>5</v>
      </c>
      <c r="D133" s="2">
        <v>87.45</v>
      </c>
    </row>
    <row r="134" spans="1:4">
      <c r="A134" t="e">
        <f>_xlfn.XLOOKUP(B134,[1]四三数据累计!$A:$A,[1]四三数据累计!$B:$B)</f>
        <v>#N/A</v>
      </c>
      <c r="B134" s="2">
        <v>1310</v>
      </c>
      <c r="C134" s="2">
        <v>29</v>
      </c>
      <c r="D134" s="2">
        <v>187.34</v>
      </c>
    </row>
    <row r="135" spans="1:4">
      <c r="A135" t="e">
        <f>_xlfn.XLOOKUP(B135,[1]四三数据累计!$A:$A,[1]四三数据累计!$B:$B)</f>
        <v>#N/A</v>
      </c>
      <c r="B135" s="2">
        <v>1368</v>
      </c>
      <c r="C135" s="2">
        <v>2</v>
      </c>
      <c r="D135" s="2">
        <v>127.6</v>
      </c>
    </row>
    <row r="136" spans="1:4">
      <c r="A136" t="e">
        <f>_xlfn.XLOOKUP(B136,[1]四三数据累计!$A:$A,[1]四三数据累计!$B:$B)</f>
        <v>#N/A</v>
      </c>
      <c r="B136" s="2">
        <v>1369</v>
      </c>
      <c r="C136" s="2">
        <v>3</v>
      </c>
      <c r="D136" s="2">
        <v>162.7</v>
      </c>
    </row>
    <row r="137" spans="1:4">
      <c r="A137" t="e">
        <f>_xlfn.XLOOKUP(B137,[1]四三数据累计!$A:$A,[1]四三数据累计!$B:$B)</f>
        <v>#N/A</v>
      </c>
      <c r="B137" s="2">
        <v>1370</v>
      </c>
      <c r="C137" s="2">
        <v>1</v>
      </c>
      <c r="D137" s="2">
        <v>67.79</v>
      </c>
    </row>
    <row r="138" spans="1:4">
      <c r="A138" t="e">
        <f>_xlfn.XLOOKUP(B138,[1]四三数据累计!$A:$A,[1]四三数据累计!$B:$B)</f>
        <v>#N/A</v>
      </c>
      <c r="B138" s="2">
        <v>1371</v>
      </c>
      <c r="C138" s="2">
        <v>3</v>
      </c>
      <c r="D138" s="2">
        <v>187.41</v>
      </c>
    </row>
    <row r="139" spans="1:4">
      <c r="A139" t="e">
        <f>_xlfn.XLOOKUP(B139,[1]四三数据累计!$A:$A,[1]四三数据累计!$B:$B)</f>
        <v>#N/A</v>
      </c>
      <c r="B139" s="2">
        <v>1372</v>
      </c>
      <c r="C139" s="2">
        <v>4</v>
      </c>
      <c r="D139" s="2">
        <v>257.4</v>
      </c>
    </row>
    <row r="140" spans="1:4">
      <c r="A140" t="e">
        <f>_xlfn.XLOOKUP(B140,[1]四三数据累计!$A:$A,[1]四三数据累计!$B:$B)</f>
        <v>#N/A</v>
      </c>
      <c r="B140" s="2">
        <v>1379</v>
      </c>
      <c r="C140" s="2">
        <v>4</v>
      </c>
      <c r="D140" s="2">
        <v>232.96</v>
      </c>
    </row>
    <row r="141" spans="1:4">
      <c r="A141" t="e">
        <f>_xlfn.XLOOKUP(B141,[1]四三数据累计!$A:$A,[1]四三数据累计!$B:$B)</f>
        <v>#N/A</v>
      </c>
      <c r="B141" s="2">
        <v>1390</v>
      </c>
      <c r="C141" s="2">
        <v>16</v>
      </c>
      <c r="D141" s="2">
        <v>465.78</v>
      </c>
    </row>
    <row r="142" spans="1:4">
      <c r="A142" t="e">
        <f>_xlfn.XLOOKUP(B142,[1]四三数据累计!$A:$A,[1]四三数据累计!$B:$B)</f>
        <v>#N/A</v>
      </c>
      <c r="B142" s="2">
        <v>1405</v>
      </c>
      <c r="C142" s="2">
        <v>2</v>
      </c>
      <c r="D142" s="2">
        <v>357.76</v>
      </c>
    </row>
    <row r="143" spans="1:4">
      <c r="A143" t="e">
        <f>_xlfn.XLOOKUP(B143,[1]四三数据累计!$A:$A,[1]四三数据累计!$B:$B)</f>
        <v>#N/A</v>
      </c>
      <c r="B143" s="2">
        <v>1406</v>
      </c>
      <c r="C143" s="2">
        <v>11</v>
      </c>
      <c r="D143" s="2">
        <v>1482.58</v>
      </c>
    </row>
    <row r="144" spans="1:4">
      <c r="A144" t="e">
        <f>_xlfn.XLOOKUP(B144,[1]四三数据累计!$A:$A,[1]四三数据累计!$B:$B)</f>
        <v>#N/A</v>
      </c>
      <c r="B144" s="2">
        <v>1434</v>
      </c>
      <c r="C144" s="2">
        <v>3</v>
      </c>
      <c r="D144" s="2">
        <v>270.87</v>
      </c>
    </row>
    <row r="145" spans="1:4">
      <c r="A145" t="e">
        <f>_xlfn.XLOOKUP(B145,[1]四三数据累计!$A:$A,[1]四三数据累计!$B:$B)</f>
        <v>#N/A</v>
      </c>
      <c r="B145" s="2">
        <v>1437</v>
      </c>
      <c r="C145" s="2">
        <v>3</v>
      </c>
      <c r="D145" s="2">
        <v>408</v>
      </c>
    </row>
    <row r="146" spans="1:4">
      <c r="A146" t="e">
        <f>_xlfn.XLOOKUP(B146,[1]四三数据累计!$A:$A,[1]四三数据累计!$B:$B)</f>
        <v>#N/A</v>
      </c>
      <c r="B146" s="2">
        <v>1446</v>
      </c>
      <c r="C146" s="2">
        <v>2</v>
      </c>
      <c r="D146" s="2">
        <v>108.98</v>
      </c>
    </row>
    <row r="147" spans="1:4">
      <c r="A147" t="e">
        <f>_xlfn.XLOOKUP(B147,[1]四三数据累计!$A:$A,[1]四三数据累计!$B:$B)</f>
        <v>#N/A</v>
      </c>
      <c r="B147" s="2">
        <v>1447</v>
      </c>
      <c r="C147" s="2">
        <v>1</v>
      </c>
      <c r="D147" s="2">
        <v>56.89</v>
      </c>
    </row>
    <row r="148" spans="1:4">
      <c r="A148" t="e">
        <f>_xlfn.XLOOKUP(B148,[1]四三数据累计!$A:$A,[1]四三数据累计!$B:$B)</f>
        <v>#N/A</v>
      </c>
      <c r="B148" s="2">
        <v>1448</v>
      </c>
      <c r="C148" s="2">
        <v>4</v>
      </c>
      <c r="D148" s="2">
        <v>302.44</v>
      </c>
    </row>
    <row r="149" spans="1:4">
      <c r="A149" t="e">
        <f>_xlfn.XLOOKUP(B149,[1]四三数据累计!$A:$A,[1]四三数据累计!$B:$B)</f>
        <v>#N/A</v>
      </c>
      <c r="B149" s="2">
        <v>1449</v>
      </c>
      <c r="C149" s="2">
        <v>17</v>
      </c>
      <c r="D149" s="2">
        <v>1350.1</v>
      </c>
    </row>
    <row r="150" spans="1:4">
      <c r="A150" t="e">
        <f>_xlfn.XLOOKUP(B150,[1]四三数据累计!$A:$A,[1]四三数据累计!$B:$B)</f>
        <v>#N/A</v>
      </c>
      <c r="B150" s="2">
        <v>1459</v>
      </c>
      <c r="C150" s="2">
        <v>11</v>
      </c>
      <c r="D150" s="2">
        <v>1105</v>
      </c>
    </row>
    <row r="151" spans="1:4">
      <c r="A151" t="e">
        <f>_xlfn.XLOOKUP(B151,[1]四三数据累计!$A:$A,[1]四三数据累计!$B:$B)</f>
        <v>#N/A</v>
      </c>
      <c r="B151" s="2">
        <v>1462</v>
      </c>
      <c r="C151" s="2">
        <v>1</v>
      </c>
      <c r="D151" s="2">
        <v>82.99</v>
      </c>
    </row>
    <row r="152" spans="1:4">
      <c r="A152" t="e">
        <f>_xlfn.XLOOKUP(B152,[1]四三数据累计!$A:$A,[1]四三数据累计!$B:$B)</f>
        <v>#N/A</v>
      </c>
      <c r="B152" s="2">
        <v>1487</v>
      </c>
      <c r="C152" s="2">
        <v>3</v>
      </c>
      <c r="D152" s="2">
        <v>641.04</v>
      </c>
    </row>
    <row r="153" spans="1:4">
      <c r="A153" t="e">
        <f>_xlfn.XLOOKUP(B153,[1]四三数据累计!$A:$A,[1]四三数据累计!$B:$B)</f>
        <v>#N/A</v>
      </c>
      <c r="B153" s="2">
        <v>1494</v>
      </c>
      <c r="C153" s="2">
        <v>1</v>
      </c>
      <c r="D153" s="2">
        <v>182.28</v>
      </c>
    </row>
    <row r="154" spans="1:4">
      <c r="A154" t="e">
        <f>_xlfn.XLOOKUP(B154,[1]四三数据累计!$A:$A,[1]四三数据累计!$B:$B)</f>
        <v>#N/A</v>
      </c>
      <c r="B154" s="2">
        <v>1497</v>
      </c>
      <c r="C154" s="2">
        <v>5</v>
      </c>
      <c r="D154" s="2">
        <v>282.67</v>
      </c>
    </row>
    <row r="155" spans="1:4">
      <c r="A155" t="e">
        <f>_xlfn.XLOOKUP(B155,[1]四三数据累计!$A:$A,[1]四三数据累计!$B:$B)</f>
        <v>#N/A</v>
      </c>
      <c r="B155" s="2">
        <v>1498</v>
      </c>
      <c r="C155" s="2">
        <v>1</v>
      </c>
      <c r="D155" s="2">
        <v>166.24</v>
      </c>
    </row>
    <row r="156" spans="1:4">
      <c r="A156" t="e">
        <f>_xlfn.XLOOKUP(B156,[1]四三数据累计!$A:$A,[1]四三数据累计!$B:$B)</f>
        <v>#N/A</v>
      </c>
      <c r="B156" s="2">
        <v>1513</v>
      </c>
      <c r="C156" s="2">
        <v>20</v>
      </c>
      <c r="D156" s="2">
        <v>1918.36</v>
      </c>
    </row>
    <row r="157" spans="1:4">
      <c r="A157" t="e">
        <f>_xlfn.XLOOKUP(B157,[1]四三数据累计!$A:$A,[1]四三数据累计!$B:$B)</f>
        <v>#N/A</v>
      </c>
      <c r="B157" s="2">
        <v>1520</v>
      </c>
      <c r="C157" s="2">
        <v>10</v>
      </c>
      <c r="D157" s="2">
        <v>341.9</v>
      </c>
    </row>
    <row r="158" spans="1:4">
      <c r="A158" t="e">
        <f>_xlfn.XLOOKUP(B158,[1]四三数据累计!$A:$A,[1]四三数据累计!$B:$B)</f>
        <v>#N/A</v>
      </c>
      <c r="B158" s="2">
        <v>1538</v>
      </c>
      <c r="C158" s="2">
        <v>23</v>
      </c>
      <c r="D158" s="2">
        <v>611.28</v>
      </c>
    </row>
    <row r="159" spans="1:4">
      <c r="A159" t="e">
        <f>_xlfn.XLOOKUP(B159,[1]四三数据累计!$A:$A,[1]四三数据累计!$B:$B)</f>
        <v>#N/A</v>
      </c>
      <c r="B159" s="2">
        <v>1544</v>
      </c>
      <c r="C159" s="2">
        <v>3</v>
      </c>
      <c r="D159" s="2">
        <v>209.59</v>
      </c>
    </row>
    <row r="160" spans="1:4">
      <c r="A160" t="e">
        <f>_xlfn.XLOOKUP(B160,[1]四三数据累计!$A:$A,[1]四三数据累计!$B:$B)</f>
        <v>#N/A</v>
      </c>
      <c r="B160" s="2">
        <v>1584</v>
      </c>
      <c r="C160" s="2">
        <v>10</v>
      </c>
      <c r="D160" s="2">
        <v>671.92</v>
      </c>
    </row>
    <row r="161" spans="1:4">
      <c r="A161" t="e">
        <f>_xlfn.XLOOKUP(B161,[1]四三数据累计!$A:$A,[1]四三数据累计!$B:$B)</f>
        <v>#N/A</v>
      </c>
      <c r="B161" s="2">
        <v>1585</v>
      </c>
      <c r="C161" s="2">
        <v>3</v>
      </c>
      <c r="D161" s="2">
        <v>275.29</v>
      </c>
    </row>
    <row r="162" spans="1:4">
      <c r="A162" t="e">
        <f>_xlfn.XLOOKUP(B162,[1]四三数据累计!$A:$A,[1]四三数据累计!$B:$B)</f>
        <v>#N/A</v>
      </c>
      <c r="B162" s="2">
        <v>1586</v>
      </c>
      <c r="C162" s="2">
        <v>1</v>
      </c>
      <c r="D162" s="2">
        <v>67.32</v>
      </c>
    </row>
    <row r="163" spans="1:4">
      <c r="A163" t="e">
        <f>_xlfn.XLOOKUP(B163,[1]四三数据累计!$A:$A,[1]四三数据累计!$B:$B)</f>
        <v>#N/A</v>
      </c>
      <c r="B163" s="2">
        <v>1587</v>
      </c>
      <c r="C163" s="2">
        <v>1</v>
      </c>
      <c r="D163" s="2">
        <v>115.99</v>
      </c>
    </row>
    <row r="164" spans="1:4">
      <c r="A164" t="e">
        <f>_xlfn.XLOOKUP(B164,[1]四三数据累计!$A:$A,[1]四三数据累计!$B:$B)</f>
        <v>#N/A</v>
      </c>
      <c r="B164" s="2">
        <v>1634</v>
      </c>
      <c r="C164" s="2">
        <v>4</v>
      </c>
      <c r="D164" s="2">
        <v>224.8</v>
      </c>
    </row>
    <row r="165" spans="1:4">
      <c r="A165" t="e">
        <f>_xlfn.XLOOKUP(B165,[1]四三数据累计!$A:$A,[1]四三数据累计!$B:$B)</f>
        <v>#N/A</v>
      </c>
      <c r="B165" s="2">
        <v>1643</v>
      </c>
      <c r="C165" s="2">
        <v>1</v>
      </c>
      <c r="D165" s="2">
        <v>58.99</v>
      </c>
    </row>
    <row r="166" spans="1:4">
      <c r="A166" t="e">
        <f>_xlfn.XLOOKUP(B166,[1]四三数据累计!$A:$A,[1]四三数据累计!$B:$B)</f>
        <v>#N/A</v>
      </c>
      <c r="B166" s="2">
        <v>1655</v>
      </c>
      <c r="C166" s="2">
        <v>8</v>
      </c>
      <c r="D166" s="2">
        <v>915.92</v>
      </c>
    </row>
    <row r="167" spans="1:4">
      <c r="A167" t="e">
        <f>_xlfn.XLOOKUP(B167,[1]四三数据累计!$A:$A,[1]四三数据累计!$B:$B)</f>
        <v>#N/A</v>
      </c>
      <c r="B167" s="2">
        <v>1657</v>
      </c>
      <c r="C167" s="2">
        <v>3</v>
      </c>
      <c r="D167" s="2">
        <v>224.97</v>
      </c>
    </row>
    <row r="168" spans="1:4">
      <c r="A168" t="e">
        <f>_xlfn.XLOOKUP(B168,[1]四三数据累计!$A:$A,[1]四三数据累计!$B:$B)</f>
        <v>#N/A</v>
      </c>
      <c r="B168" s="2">
        <v>1689</v>
      </c>
      <c r="C168" s="2">
        <v>4</v>
      </c>
      <c r="D168" s="2">
        <v>271.56</v>
      </c>
    </row>
    <row r="169" spans="1:4">
      <c r="A169" t="e">
        <f>_xlfn.XLOOKUP(B169,[1]四三数据累计!$A:$A,[1]四三数据累计!$B:$B)</f>
        <v>#N/A</v>
      </c>
      <c r="B169" s="2">
        <v>1694</v>
      </c>
      <c r="C169" s="2">
        <v>4</v>
      </c>
      <c r="D169" s="2">
        <v>359.6</v>
      </c>
    </row>
    <row r="170" spans="1:4">
      <c r="A170" t="e">
        <f>_xlfn.XLOOKUP(B170,[1]四三数据累计!$A:$A,[1]四三数据累计!$B:$B)</f>
        <v>#N/A</v>
      </c>
      <c r="B170" s="2">
        <v>1696</v>
      </c>
      <c r="C170" s="2">
        <v>8</v>
      </c>
      <c r="D170" s="2">
        <v>470.32</v>
      </c>
    </row>
    <row r="171" spans="1:4">
      <c r="A171" t="e">
        <f>_xlfn.XLOOKUP(B171,[1]四三数据累计!$A:$A,[1]四三数据累计!$B:$B)</f>
        <v>#N/A</v>
      </c>
      <c r="B171" s="2">
        <v>1697</v>
      </c>
      <c r="C171" s="2">
        <v>1</v>
      </c>
      <c r="D171" s="2">
        <v>65.99</v>
      </c>
    </row>
    <row r="172" spans="1:4">
      <c r="A172" t="e">
        <f>_xlfn.XLOOKUP(B172,[1]四三数据累计!$A:$A,[1]四三数据累计!$B:$B)</f>
        <v>#N/A</v>
      </c>
      <c r="B172" s="2">
        <v>1699</v>
      </c>
      <c r="C172" s="2">
        <v>6</v>
      </c>
      <c r="D172" s="2">
        <v>416.86</v>
      </c>
    </row>
    <row r="173" spans="1:4">
      <c r="A173" t="e">
        <f>_xlfn.XLOOKUP(B173,[1]四三数据累计!$A:$A,[1]四三数据累计!$B:$B)</f>
        <v>#N/A</v>
      </c>
      <c r="B173" s="2">
        <v>1700</v>
      </c>
      <c r="C173" s="2">
        <v>16</v>
      </c>
      <c r="D173" s="2">
        <v>764.36</v>
      </c>
    </row>
    <row r="174" spans="1:4">
      <c r="A174" t="e">
        <f>_xlfn.XLOOKUP(B174,[1]四三数据累计!$A:$A,[1]四三数据累计!$B:$B)</f>
        <v>#N/A</v>
      </c>
      <c r="B174" s="2">
        <v>1705</v>
      </c>
      <c r="C174" s="2">
        <v>3</v>
      </c>
      <c r="D174" s="2">
        <v>195.36</v>
      </c>
    </row>
    <row r="175" spans="1:4">
      <c r="A175" t="e">
        <f>_xlfn.XLOOKUP(B175,[1]四三数据累计!$A:$A,[1]四三数据累计!$B:$B)</f>
        <v>#N/A</v>
      </c>
      <c r="B175" s="2">
        <v>1707</v>
      </c>
      <c r="C175" s="2">
        <v>6</v>
      </c>
      <c r="D175" s="2">
        <v>324.12</v>
      </c>
    </row>
    <row r="176" spans="1:4">
      <c r="A176" t="e">
        <f>_xlfn.XLOOKUP(B176,[1]四三数据累计!$A:$A,[1]四三数据累计!$B:$B)</f>
        <v>#N/A</v>
      </c>
      <c r="B176" s="2">
        <v>1708</v>
      </c>
      <c r="C176" s="2">
        <v>4</v>
      </c>
      <c r="D176" s="2">
        <v>214.44</v>
      </c>
    </row>
    <row r="177" spans="1:4">
      <c r="A177" t="e">
        <f>_xlfn.XLOOKUP(B177,[1]四三数据累计!$A:$A,[1]四三数据累计!$B:$B)</f>
        <v>#N/A</v>
      </c>
      <c r="B177" s="2">
        <v>1710</v>
      </c>
      <c r="C177" s="2">
        <v>5</v>
      </c>
      <c r="D177" s="2">
        <v>346.45</v>
      </c>
    </row>
    <row r="178" spans="1:4">
      <c r="A178" t="e">
        <f>_xlfn.XLOOKUP(B178,[1]四三数据累计!$A:$A,[1]四三数据累计!$B:$B)</f>
        <v>#N/A</v>
      </c>
      <c r="B178" s="2">
        <v>1712</v>
      </c>
      <c r="C178" s="2">
        <v>6</v>
      </c>
      <c r="D178" s="2">
        <v>359.94</v>
      </c>
    </row>
    <row r="179" spans="1:4">
      <c r="A179" t="e">
        <f>_xlfn.XLOOKUP(B179,[1]四三数据累计!$A:$A,[1]四三数据累计!$B:$B)</f>
        <v>#N/A</v>
      </c>
      <c r="B179" s="2">
        <v>1714</v>
      </c>
      <c r="C179" s="2">
        <v>6</v>
      </c>
      <c r="D179" s="2">
        <v>419.44</v>
      </c>
    </row>
    <row r="180" spans="1:4">
      <c r="A180" t="e">
        <f>_xlfn.XLOOKUP(B180,[1]四三数据累计!$A:$A,[1]四三数据累计!$B:$B)</f>
        <v>#N/A</v>
      </c>
      <c r="B180" s="2">
        <v>1715</v>
      </c>
      <c r="C180" s="2">
        <v>1</v>
      </c>
      <c r="D180" s="2">
        <v>56.16</v>
      </c>
    </row>
    <row r="181" spans="1:4">
      <c r="A181" t="e">
        <f>_xlfn.XLOOKUP(B181,[1]四三数据累计!$A:$A,[1]四三数据累计!$B:$B)</f>
        <v>#N/A</v>
      </c>
      <c r="B181" s="2">
        <v>1716</v>
      </c>
      <c r="C181" s="2">
        <v>8</v>
      </c>
      <c r="D181" s="2">
        <v>467.1</v>
      </c>
    </row>
    <row r="182" spans="1:4">
      <c r="A182" t="e">
        <f>_xlfn.XLOOKUP(B182,[1]四三数据累计!$A:$A,[1]四三数据累计!$B:$B)</f>
        <v>#N/A</v>
      </c>
      <c r="B182" s="2">
        <v>1717</v>
      </c>
      <c r="C182" s="2">
        <v>2</v>
      </c>
      <c r="D182" s="2">
        <v>102.95</v>
      </c>
    </row>
    <row r="183" spans="1:4">
      <c r="A183" t="e">
        <f>_xlfn.XLOOKUP(B183,[1]四三数据累计!$A:$A,[1]四三数据累计!$B:$B)</f>
        <v>#N/A</v>
      </c>
      <c r="B183" s="2">
        <v>1727</v>
      </c>
      <c r="C183" s="2">
        <v>3</v>
      </c>
      <c r="D183" s="2">
        <v>476.8</v>
      </c>
    </row>
    <row r="184" spans="1:4">
      <c r="A184" t="e">
        <f>_xlfn.XLOOKUP(B184,[1]四三数据累计!$A:$A,[1]四三数据累计!$B:$B)</f>
        <v>#N/A</v>
      </c>
      <c r="B184" s="2">
        <v>1734</v>
      </c>
      <c r="C184" s="2">
        <v>3</v>
      </c>
      <c r="D184" s="2">
        <v>405</v>
      </c>
    </row>
    <row r="185" spans="1:4">
      <c r="A185" t="e">
        <f>_xlfn.XLOOKUP(B185,[1]四三数据累计!$A:$A,[1]四三数据累计!$B:$B)</f>
        <v>#N/A</v>
      </c>
      <c r="B185" s="2">
        <v>1748</v>
      </c>
      <c r="C185" s="2">
        <v>2</v>
      </c>
      <c r="D185" s="2">
        <v>133</v>
      </c>
    </row>
    <row r="186" spans="1:4">
      <c r="A186" t="e">
        <f>_xlfn.XLOOKUP(B186,[1]四三数据累计!$A:$A,[1]四三数据累计!$B:$B)</f>
        <v>#N/A</v>
      </c>
      <c r="B186" s="2">
        <v>1753</v>
      </c>
      <c r="C186" s="2">
        <v>5</v>
      </c>
      <c r="D186" s="2">
        <v>197.1</v>
      </c>
    </row>
    <row r="187" spans="1:4">
      <c r="A187" t="e">
        <f>_xlfn.XLOOKUP(B187,[1]四三数据累计!$A:$A,[1]四三数据累计!$B:$B)</f>
        <v>#N/A</v>
      </c>
      <c r="B187" s="2">
        <v>1768</v>
      </c>
      <c r="C187" s="2">
        <v>26</v>
      </c>
      <c r="D187" s="2">
        <v>2172.58</v>
      </c>
    </row>
    <row r="188" spans="1:4">
      <c r="A188" t="e">
        <f>_xlfn.XLOOKUP(B188,[1]四三数据累计!$A:$A,[1]四三数据累计!$B:$B)</f>
        <v>#N/A</v>
      </c>
      <c r="B188" s="2">
        <v>1775</v>
      </c>
      <c r="C188" s="2">
        <v>3</v>
      </c>
      <c r="D188" s="2">
        <v>138.5</v>
      </c>
    </row>
    <row r="189" spans="1:4">
      <c r="A189" t="e">
        <f>_xlfn.XLOOKUP(B189,[1]四三数据累计!$A:$A,[1]四三数据累计!$B:$B)</f>
        <v>#N/A</v>
      </c>
      <c r="B189" s="2">
        <v>2388</v>
      </c>
      <c r="C189" s="2">
        <v>13</v>
      </c>
      <c r="D189" s="2">
        <v>492.2</v>
      </c>
    </row>
    <row r="190" spans="1:4">
      <c r="A190" t="e">
        <f>_xlfn.XLOOKUP(B190,[1]四三数据累计!$A:$A,[1]四三数据累计!$B:$B)</f>
        <v>#N/A</v>
      </c>
      <c r="B190" s="2">
        <v>2481</v>
      </c>
      <c r="C190" s="2">
        <v>8</v>
      </c>
      <c r="D190" s="2">
        <v>132.72</v>
      </c>
    </row>
    <row r="191" spans="1:4">
      <c r="A191" t="e">
        <f>_xlfn.XLOOKUP(B191,[1]四三数据累计!$A:$A,[1]四三数据累计!$B:$B)</f>
        <v>#N/A</v>
      </c>
      <c r="B191" s="2">
        <v>2485</v>
      </c>
      <c r="C191" s="2">
        <v>1</v>
      </c>
      <c r="D191" s="2">
        <v>164.85</v>
      </c>
    </row>
    <row r="192" spans="1:4">
      <c r="A192" t="e">
        <f>_xlfn.XLOOKUP(B192,[1]四三数据累计!$A:$A,[1]四三数据累计!$B:$B)</f>
        <v>#N/A</v>
      </c>
      <c r="B192" s="2">
        <v>2518</v>
      </c>
      <c r="C192" s="2">
        <v>4</v>
      </c>
      <c r="D192" s="2">
        <v>121.14</v>
      </c>
    </row>
    <row r="193" spans="1:4">
      <c r="A193" t="e">
        <f>_xlfn.XLOOKUP(B193,[1]四三数据累计!$A:$A,[1]四三数据累计!$B:$B)</f>
        <v>#N/A</v>
      </c>
      <c r="B193" s="2">
        <v>2585</v>
      </c>
      <c r="C193" s="2">
        <v>2</v>
      </c>
      <c r="D193" s="2">
        <v>43.98</v>
      </c>
    </row>
    <row r="194" spans="1:4">
      <c r="A194" t="e">
        <f>_xlfn.XLOOKUP(B194,[1]四三数据累计!$A:$A,[1]四三数据累计!$B:$B)</f>
        <v>#N/A</v>
      </c>
      <c r="B194" s="2">
        <v>2623</v>
      </c>
      <c r="C194" s="2">
        <v>3</v>
      </c>
      <c r="D194" s="2">
        <v>320.32</v>
      </c>
    </row>
    <row r="195" spans="1:4">
      <c r="A195" t="e">
        <f>_xlfn.XLOOKUP(B195,[1]四三数据累计!$A:$A,[1]四三数据累计!$B:$B)</f>
        <v>#N/A</v>
      </c>
      <c r="B195" s="2">
        <v>2637</v>
      </c>
      <c r="C195" s="2">
        <v>5</v>
      </c>
      <c r="D195" s="2">
        <v>434.89</v>
      </c>
    </row>
    <row r="196" spans="1:4">
      <c r="A196" t="e">
        <f>_xlfn.XLOOKUP(B196,[1]四三数据累计!$A:$A,[1]四三数据累计!$B:$B)</f>
        <v>#N/A</v>
      </c>
      <c r="B196" s="2">
        <v>2638</v>
      </c>
      <c r="C196" s="2">
        <v>1</v>
      </c>
      <c r="D196" s="2">
        <v>81.99</v>
      </c>
    </row>
    <row r="197" spans="1:4">
      <c r="A197" t="e">
        <f>_xlfn.XLOOKUP(B197,[1]四三数据累计!$A:$A,[1]四三数据累计!$B:$B)</f>
        <v>#N/A</v>
      </c>
      <c r="B197" s="2">
        <v>2713</v>
      </c>
      <c r="C197" s="2">
        <v>2</v>
      </c>
      <c r="D197" s="2">
        <v>281.12</v>
      </c>
    </row>
    <row r="198" spans="1:4">
      <c r="A198" t="e">
        <f>_xlfn.XLOOKUP(B198,[1]四三数据累计!$A:$A,[1]四三数据累计!$B:$B)</f>
        <v>#N/A</v>
      </c>
      <c r="B198" s="2">
        <v>2732</v>
      </c>
      <c r="C198" s="2">
        <v>1</v>
      </c>
      <c r="D198" s="2">
        <v>85.2</v>
      </c>
    </row>
    <row r="199" spans="1:4">
      <c r="A199" t="e">
        <f>_xlfn.XLOOKUP(B199,[1]四三数据累计!$A:$A,[1]四三数据累计!$B:$B)</f>
        <v>#N/A</v>
      </c>
      <c r="B199" s="2">
        <v>2763</v>
      </c>
      <c r="C199" s="2">
        <v>5</v>
      </c>
      <c r="D199" s="2">
        <v>481.92</v>
      </c>
    </row>
    <row r="200" spans="1:4">
      <c r="A200" t="e">
        <f>_xlfn.XLOOKUP(B200,[1]四三数据累计!$A:$A,[1]四三数据累计!$B:$B)</f>
        <v>#N/A</v>
      </c>
      <c r="B200" s="2">
        <v>2772</v>
      </c>
      <c r="C200" s="2">
        <v>3</v>
      </c>
      <c r="D200" s="2">
        <v>396.26</v>
      </c>
    </row>
    <row r="201" spans="1:4">
      <c r="A201" t="e">
        <f>_xlfn.XLOOKUP(B201,[1]四三数据累计!$A:$A,[1]四三数据累计!$B:$B)</f>
        <v>#N/A</v>
      </c>
      <c r="B201" s="2">
        <v>2798</v>
      </c>
      <c r="C201" s="2">
        <v>1</v>
      </c>
      <c r="D201" s="2">
        <v>97.01</v>
      </c>
    </row>
    <row r="202" spans="1:4">
      <c r="A202" t="e">
        <f>_xlfn.XLOOKUP(B202,[1]四三数据累计!$A:$A,[1]四三数据累计!$B:$B)</f>
        <v>#N/A</v>
      </c>
      <c r="B202" s="2">
        <v>2834</v>
      </c>
      <c r="C202" s="2">
        <v>11</v>
      </c>
      <c r="D202" s="2">
        <v>1084.29</v>
      </c>
    </row>
    <row r="203" spans="1:4">
      <c r="A203" t="e">
        <f>_xlfn.XLOOKUP(B203,[1]四三数据累计!$A:$A,[1]四三数据累计!$B:$B)</f>
        <v>#N/A</v>
      </c>
      <c r="B203" s="2">
        <v>2850</v>
      </c>
      <c r="C203" s="2">
        <v>2</v>
      </c>
      <c r="D203" s="2">
        <v>190.06</v>
      </c>
    </row>
    <row r="204" spans="1:4">
      <c r="A204" t="e">
        <f>_xlfn.XLOOKUP(B204,[1]四三数据累计!$A:$A,[1]四三数据累计!$B:$B)</f>
        <v>#N/A</v>
      </c>
      <c r="B204" s="2">
        <v>2893</v>
      </c>
      <c r="C204" s="2">
        <v>2</v>
      </c>
      <c r="D204" s="2">
        <v>318.98</v>
      </c>
    </row>
    <row r="205" spans="1:4">
      <c r="A205" t="e">
        <f>_xlfn.XLOOKUP(B205,[1]四三数据累计!$A:$A,[1]四三数据累计!$B:$B)</f>
        <v>#N/A</v>
      </c>
      <c r="B205" s="2">
        <v>2993</v>
      </c>
      <c r="C205" s="2">
        <v>17</v>
      </c>
      <c r="D205" s="2">
        <v>1255.08</v>
      </c>
    </row>
    <row r="206" spans="1:4">
      <c r="A206" t="e">
        <f>_xlfn.XLOOKUP(B206,[1]四三数据累计!$A:$A,[1]四三数据累计!$B:$B)</f>
        <v>#N/A</v>
      </c>
      <c r="B206" s="2">
        <v>3013</v>
      </c>
      <c r="C206" s="2">
        <v>1</v>
      </c>
      <c r="D206" s="2">
        <v>162.47</v>
      </c>
    </row>
    <row r="207" spans="1:4">
      <c r="A207" t="e">
        <f>_xlfn.XLOOKUP(B207,[1]四三数据累计!$A:$A,[1]四三数据累计!$B:$B)</f>
        <v>#N/A</v>
      </c>
      <c r="B207" s="2">
        <v>3023</v>
      </c>
      <c r="C207" s="2">
        <v>11</v>
      </c>
      <c r="D207" s="2">
        <v>2000.6</v>
      </c>
    </row>
    <row r="208" spans="1:4">
      <c r="A208" t="e">
        <f>_xlfn.XLOOKUP(B208,[1]四三数据累计!$A:$A,[1]四三数据累计!$B:$B)</f>
        <v>#N/A</v>
      </c>
      <c r="B208" s="2">
        <v>3024</v>
      </c>
      <c r="C208" s="2">
        <v>2</v>
      </c>
      <c r="D208" s="2">
        <v>181.98</v>
      </c>
    </row>
    <row r="209" spans="1:4">
      <c r="A209" t="e">
        <f>_xlfn.XLOOKUP(B209,[1]四三数据累计!$A:$A,[1]四三数据累计!$B:$B)</f>
        <v>#N/A</v>
      </c>
      <c r="B209" s="2">
        <v>3031</v>
      </c>
      <c r="C209" s="2">
        <v>4</v>
      </c>
      <c r="D209" s="2">
        <v>542.08</v>
      </c>
    </row>
    <row r="210" spans="1:4">
      <c r="A210" t="e">
        <f>_xlfn.XLOOKUP(B210,[1]四三数据累计!$A:$A,[1]四三数据累计!$B:$B)</f>
        <v>#N/A</v>
      </c>
      <c r="B210" s="2">
        <v>3103</v>
      </c>
      <c r="C210" s="2">
        <v>2</v>
      </c>
      <c r="D210" s="2">
        <v>291</v>
      </c>
    </row>
    <row r="211" spans="1:4">
      <c r="A211" t="e">
        <f>_xlfn.XLOOKUP(B211,[1]四三数据累计!$A:$A,[1]四三数据累计!$B:$B)</f>
        <v>#N/A</v>
      </c>
      <c r="B211" s="2">
        <v>3104</v>
      </c>
      <c r="C211" s="2">
        <v>2</v>
      </c>
      <c r="D211" s="2">
        <v>217</v>
      </c>
    </row>
    <row r="212" spans="1:4">
      <c r="A212" t="e">
        <f>_xlfn.XLOOKUP(B212,[1]四三数据累计!$A:$A,[1]四三数据累计!$B:$B)</f>
        <v>#N/A</v>
      </c>
      <c r="B212" s="2">
        <v>3118</v>
      </c>
      <c r="C212" s="2">
        <v>6</v>
      </c>
      <c r="D212" s="2">
        <v>400.23</v>
      </c>
    </row>
    <row r="213" spans="1:4">
      <c r="A213" t="e">
        <f>_xlfn.XLOOKUP(B213,[1]四三数据累计!$A:$A,[1]四三数据累计!$B:$B)</f>
        <v>#N/A</v>
      </c>
      <c r="B213" s="2">
        <v>3183</v>
      </c>
      <c r="C213" s="2">
        <v>4</v>
      </c>
      <c r="D213" s="2">
        <v>673.57</v>
      </c>
    </row>
    <row r="214" spans="1:4">
      <c r="A214" t="e">
        <f>_xlfn.XLOOKUP(B214,[1]四三数据累计!$A:$A,[1]四三数据累计!$B:$B)</f>
        <v>#N/A</v>
      </c>
      <c r="B214" s="2">
        <v>3231</v>
      </c>
      <c r="C214" s="2">
        <v>2</v>
      </c>
      <c r="D214" s="2">
        <v>193.56</v>
      </c>
    </row>
    <row r="215" spans="1:4">
      <c r="A215" t="e">
        <f>_xlfn.XLOOKUP(B215,[1]四三数据累计!$A:$A,[1]四三数据累计!$B:$B)</f>
        <v>#N/A</v>
      </c>
      <c r="B215" s="2">
        <v>3238</v>
      </c>
      <c r="C215" s="2">
        <v>1</v>
      </c>
      <c r="D215" s="2">
        <v>178.32</v>
      </c>
    </row>
    <row r="216" spans="1:4">
      <c r="A216" t="e">
        <f>_xlfn.XLOOKUP(B216,[1]四三数据累计!$A:$A,[1]四三数据累计!$B:$B)</f>
        <v>#N/A</v>
      </c>
      <c r="B216" s="2">
        <v>3262</v>
      </c>
      <c r="C216" s="2">
        <v>15</v>
      </c>
      <c r="D216" s="2">
        <v>2192.28</v>
      </c>
    </row>
    <row r="217" spans="1:4">
      <c r="A217" t="e">
        <f>_xlfn.XLOOKUP(B217,[1]四三数据累计!$A:$A,[1]四三数据累计!$B:$B)</f>
        <v>#N/A</v>
      </c>
      <c r="B217" s="2">
        <v>3341</v>
      </c>
      <c r="C217" s="2">
        <v>1</v>
      </c>
      <c r="D217" s="2">
        <v>40.52</v>
      </c>
    </row>
    <row r="218" spans="1:4">
      <c r="A218" t="e">
        <f>_xlfn.XLOOKUP(B218,[1]四三数据累计!$A:$A,[1]四三数据累计!$B:$B)</f>
        <v>#N/A</v>
      </c>
      <c r="B218" s="2">
        <v>3379</v>
      </c>
      <c r="C218" s="2">
        <v>5</v>
      </c>
      <c r="D218" s="2">
        <v>1078.45</v>
      </c>
    </row>
    <row r="219" spans="1:4">
      <c r="A219" t="e">
        <f>_xlfn.XLOOKUP(B219,[1]四三数据累计!$A:$A,[1]四三数据累计!$B:$B)</f>
        <v>#N/A</v>
      </c>
      <c r="B219" s="2">
        <v>3452</v>
      </c>
      <c r="C219" s="2">
        <v>9</v>
      </c>
      <c r="D219" s="2">
        <v>298.25</v>
      </c>
    </row>
    <row r="220" spans="1:4">
      <c r="A220" t="e">
        <f>_xlfn.XLOOKUP(B220,[1]四三数据累计!$A:$A,[1]四三数据累计!$B:$B)</f>
        <v>#N/A</v>
      </c>
      <c r="B220" s="2">
        <v>3510</v>
      </c>
      <c r="C220" s="2">
        <v>13</v>
      </c>
      <c r="D220" s="2">
        <v>738.6</v>
      </c>
    </row>
    <row r="221" spans="1:4">
      <c r="A221" t="e">
        <f>_xlfn.XLOOKUP(B221,[1]四三数据累计!$A:$A,[1]四三数据累计!$B:$B)</f>
        <v>#N/A</v>
      </c>
      <c r="B221" s="2">
        <v>3511</v>
      </c>
      <c r="C221" s="2">
        <v>5</v>
      </c>
      <c r="D221" s="2">
        <v>867.77</v>
      </c>
    </row>
    <row r="222" spans="1:4">
      <c r="A222" t="e">
        <f>_xlfn.XLOOKUP(B222,[1]四三数据累计!$A:$A,[1]四三数据累计!$B:$B)</f>
        <v>#N/A</v>
      </c>
      <c r="B222" s="2">
        <v>3512</v>
      </c>
      <c r="C222" s="2">
        <v>1</v>
      </c>
      <c r="D222" s="2">
        <v>226.78</v>
      </c>
    </row>
    <row r="223" spans="1:4">
      <c r="A223" t="e">
        <f>_xlfn.XLOOKUP(B223,[1]四三数据累计!$A:$A,[1]四三数据累计!$B:$B)</f>
        <v>#N/A</v>
      </c>
      <c r="B223" s="2">
        <v>3516</v>
      </c>
      <c r="C223" s="2">
        <v>1</v>
      </c>
      <c r="D223" s="2">
        <v>54.9</v>
      </c>
    </row>
    <row r="224" spans="1:4">
      <c r="A224" t="e">
        <f>_xlfn.XLOOKUP(B224,[1]四三数据累计!$A:$A,[1]四三数据累计!$B:$B)</f>
        <v>#N/A</v>
      </c>
      <c r="B224" s="2">
        <v>3517</v>
      </c>
      <c r="C224" s="2">
        <v>10</v>
      </c>
      <c r="D224" s="2">
        <v>495.9</v>
      </c>
    </row>
    <row r="225" spans="1:4">
      <c r="A225" t="e">
        <f>_xlfn.XLOOKUP(B225,[1]四三数据累计!$A:$A,[1]四三数据累计!$B:$B)</f>
        <v>#N/A</v>
      </c>
      <c r="B225" s="2">
        <v>3533</v>
      </c>
      <c r="C225" s="2">
        <v>1</v>
      </c>
      <c r="D225" s="2">
        <v>102.12</v>
      </c>
    </row>
    <row r="226" spans="1:4">
      <c r="A226" t="e">
        <f>_xlfn.XLOOKUP(B226,[1]四三数据累计!$A:$A,[1]四三数据累计!$B:$B)</f>
        <v>#N/A</v>
      </c>
      <c r="B226" s="2">
        <v>3534</v>
      </c>
      <c r="C226" s="2">
        <v>5</v>
      </c>
      <c r="D226" s="2">
        <v>932.44</v>
      </c>
    </row>
    <row r="227" spans="1:4">
      <c r="A227" t="e">
        <f>_xlfn.XLOOKUP(B227,[1]四三数据累计!$A:$A,[1]四三数据累计!$B:$B)</f>
        <v>#N/A</v>
      </c>
      <c r="B227" s="2">
        <v>3535</v>
      </c>
      <c r="C227" s="2">
        <v>2</v>
      </c>
      <c r="D227" s="2">
        <v>414.46</v>
      </c>
    </row>
    <row r="228" spans="1:4">
      <c r="A228" t="e">
        <f>_xlfn.XLOOKUP(B228,[1]四三数据累计!$A:$A,[1]四三数据累计!$B:$B)</f>
        <v>#N/A</v>
      </c>
      <c r="B228" s="2">
        <v>3536</v>
      </c>
      <c r="C228" s="2">
        <v>1</v>
      </c>
      <c r="D228" s="2">
        <v>252.96</v>
      </c>
    </row>
    <row r="229" spans="1:4">
      <c r="A229" t="e">
        <f>_xlfn.XLOOKUP(B229,[1]四三数据累计!$A:$A,[1]四三数据累计!$B:$B)</f>
        <v>#N/A</v>
      </c>
      <c r="B229" s="2">
        <v>3555</v>
      </c>
      <c r="C229" s="2">
        <v>4</v>
      </c>
      <c r="D229" s="2">
        <v>235.16</v>
      </c>
    </row>
    <row r="230" spans="1:4">
      <c r="A230" t="e">
        <f>_xlfn.XLOOKUP(B230,[1]四三数据累计!$A:$A,[1]四三数据累计!$B:$B)</f>
        <v>#N/A</v>
      </c>
      <c r="B230" s="2">
        <v>3575</v>
      </c>
      <c r="C230" s="2">
        <v>2</v>
      </c>
      <c r="D230" s="2">
        <v>295.83</v>
      </c>
    </row>
    <row r="231" spans="1:4">
      <c r="A231" t="e">
        <f>_xlfn.XLOOKUP(B231,[1]四三数据累计!$A:$A,[1]四三数据累计!$B:$B)</f>
        <v>#N/A</v>
      </c>
      <c r="B231" s="2">
        <v>3584</v>
      </c>
      <c r="C231" s="2">
        <v>2</v>
      </c>
      <c r="D231" s="2">
        <v>78.18</v>
      </c>
    </row>
    <row r="232" spans="1:4">
      <c r="A232" t="e">
        <f>_xlfn.XLOOKUP(B232,[1]四三数据累计!$A:$A,[1]四三数据累计!$B:$B)</f>
        <v>#N/A</v>
      </c>
      <c r="B232" s="2">
        <v>3597</v>
      </c>
      <c r="C232" s="2">
        <v>1</v>
      </c>
      <c r="D232" s="2">
        <v>207.23</v>
      </c>
    </row>
    <row r="233" spans="1:4">
      <c r="A233" t="e">
        <f>_xlfn.XLOOKUP(B233,[1]四三数据累计!$A:$A,[1]四三数据累计!$B:$B)</f>
        <v>#N/A</v>
      </c>
      <c r="B233" s="2">
        <v>3598</v>
      </c>
      <c r="C233" s="2">
        <v>3</v>
      </c>
      <c r="D233" s="2">
        <v>173.37</v>
      </c>
    </row>
    <row r="234" spans="1:4">
      <c r="A234" t="e">
        <f>_xlfn.XLOOKUP(B234,[1]四三数据累计!$A:$A,[1]四三数据累计!$B:$B)</f>
        <v>#N/A</v>
      </c>
      <c r="B234" s="2">
        <v>3599</v>
      </c>
      <c r="C234" s="2">
        <v>13</v>
      </c>
      <c r="D234" s="2">
        <v>685.3</v>
      </c>
    </row>
    <row r="235" spans="1:4">
      <c r="A235" t="e">
        <f>_xlfn.XLOOKUP(B235,[1]四三数据累计!$A:$A,[1]四三数据累计!$B:$B)</f>
        <v>#N/A</v>
      </c>
      <c r="B235" s="2">
        <v>3608</v>
      </c>
      <c r="C235" s="2">
        <v>2</v>
      </c>
      <c r="D235" s="2">
        <v>215.98</v>
      </c>
    </row>
    <row r="236" spans="1:4">
      <c r="A236" t="e">
        <f>_xlfn.XLOOKUP(B236,[1]四三数据累计!$A:$A,[1]四三数据累计!$B:$B)</f>
        <v>#N/A</v>
      </c>
      <c r="B236" s="2">
        <v>3625</v>
      </c>
      <c r="C236" s="2">
        <v>8</v>
      </c>
      <c r="D236" s="2">
        <v>410.72</v>
      </c>
    </row>
    <row r="237" spans="1:4">
      <c r="A237" t="e">
        <f>_xlfn.XLOOKUP(B237,[1]四三数据累计!$A:$A,[1]四三数据累计!$B:$B)</f>
        <v>#N/A</v>
      </c>
      <c r="B237" s="2">
        <v>3626</v>
      </c>
      <c r="C237" s="2">
        <v>6</v>
      </c>
      <c r="D237" s="2">
        <v>569.28</v>
      </c>
    </row>
    <row r="238" spans="1:4">
      <c r="A238" t="e">
        <f>_xlfn.XLOOKUP(B238,[1]四三数据累计!$A:$A,[1]四三数据累计!$B:$B)</f>
        <v>#N/A</v>
      </c>
      <c r="B238" s="2">
        <v>3645</v>
      </c>
      <c r="C238" s="2">
        <v>2</v>
      </c>
      <c r="D238" s="2">
        <v>156.8</v>
      </c>
    </row>
    <row r="239" spans="1:4">
      <c r="A239" t="e">
        <f>_xlfn.XLOOKUP(B239,[1]四三数据累计!$A:$A,[1]四三数据累计!$B:$B)</f>
        <v>#N/A</v>
      </c>
      <c r="B239" s="2">
        <v>3646</v>
      </c>
      <c r="C239" s="2">
        <v>7</v>
      </c>
      <c r="D239" s="2">
        <v>566.86</v>
      </c>
    </row>
    <row r="240" spans="1:4">
      <c r="A240" t="e">
        <f>_xlfn.XLOOKUP(B240,[1]四三数据累计!$A:$A,[1]四三数据累计!$B:$B)</f>
        <v>#N/A</v>
      </c>
      <c r="B240" s="2">
        <v>3650</v>
      </c>
      <c r="C240" s="2">
        <v>4</v>
      </c>
      <c r="D240" s="2">
        <v>224</v>
      </c>
    </row>
    <row r="241" spans="1:4">
      <c r="A241" t="e">
        <f>_xlfn.XLOOKUP(B241,[1]四三数据累计!$A:$A,[1]四三数据累计!$B:$B)</f>
        <v>#N/A</v>
      </c>
      <c r="B241" s="2">
        <v>3651</v>
      </c>
      <c r="C241" s="2">
        <v>9</v>
      </c>
      <c r="D241" s="2">
        <v>618.8</v>
      </c>
    </row>
    <row r="242" spans="1:4">
      <c r="A242" t="e">
        <f>_xlfn.XLOOKUP(B242,[1]四三数据累计!$A:$A,[1]四三数据累计!$B:$B)</f>
        <v>#N/A</v>
      </c>
      <c r="B242" s="2">
        <v>3657</v>
      </c>
      <c r="C242" s="2">
        <v>1</v>
      </c>
      <c r="D242" s="2">
        <v>70.99</v>
      </c>
    </row>
    <row r="243" spans="1:4">
      <c r="A243" t="e">
        <f>_xlfn.XLOOKUP(B243,[1]四三数据累计!$A:$A,[1]四三数据累计!$B:$B)</f>
        <v>#N/A</v>
      </c>
      <c r="B243" s="2">
        <v>3681</v>
      </c>
      <c r="C243" s="2">
        <v>1</v>
      </c>
      <c r="D243" s="2">
        <v>47.1</v>
      </c>
    </row>
    <row r="244" spans="1:4">
      <c r="A244" t="e">
        <f>_xlfn.XLOOKUP(B244,[1]四三数据累计!$A:$A,[1]四三数据累计!$B:$B)</f>
        <v>#N/A</v>
      </c>
      <c r="B244" s="2">
        <v>3683</v>
      </c>
      <c r="C244" s="2">
        <v>3</v>
      </c>
      <c r="D244" s="2">
        <v>268.5</v>
      </c>
    </row>
    <row r="245" spans="1:4">
      <c r="A245" t="e">
        <f>_xlfn.XLOOKUP(B245,[1]四三数据累计!$A:$A,[1]四三数据累计!$B:$B)</f>
        <v>#N/A</v>
      </c>
      <c r="B245" s="2">
        <v>3684</v>
      </c>
      <c r="C245" s="2">
        <v>2</v>
      </c>
      <c r="D245" s="2">
        <v>125</v>
      </c>
    </row>
    <row r="246" spans="1:4">
      <c r="A246" t="e">
        <f>_xlfn.XLOOKUP(B246,[1]四三数据累计!$A:$A,[1]四三数据累计!$B:$B)</f>
        <v>#N/A</v>
      </c>
      <c r="B246" s="2">
        <v>3685</v>
      </c>
      <c r="C246" s="2">
        <v>4</v>
      </c>
      <c r="D246" s="2">
        <v>217.96</v>
      </c>
    </row>
    <row r="247" spans="1:4">
      <c r="A247" t="e">
        <f>_xlfn.XLOOKUP(B247,[1]四三数据累计!$A:$A,[1]四三数据累计!$B:$B)</f>
        <v>#N/A</v>
      </c>
      <c r="B247" s="2">
        <v>3686</v>
      </c>
      <c r="C247" s="2">
        <v>2</v>
      </c>
      <c r="D247" s="2">
        <v>199.98</v>
      </c>
    </row>
    <row r="248" spans="1:4">
      <c r="A248" t="e">
        <f>_xlfn.XLOOKUP(B248,[1]四三数据累计!$A:$A,[1]四三数据累计!$B:$B)</f>
        <v>#N/A</v>
      </c>
      <c r="B248" s="2">
        <v>3687</v>
      </c>
      <c r="C248" s="2">
        <v>3</v>
      </c>
      <c r="D248" s="2">
        <v>322.2</v>
      </c>
    </row>
    <row r="249" spans="1:4">
      <c r="A249" t="e">
        <f>_xlfn.XLOOKUP(B249,[1]四三数据累计!$A:$A,[1]四三数据累计!$B:$B)</f>
        <v>#N/A</v>
      </c>
      <c r="B249" s="2">
        <v>3708</v>
      </c>
      <c r="C249" s="2">
        <v>7</v>
      </c>
      <c r="D249" s="2">
        <v>1295.58</v>
      </c>
    </row>
    <row r="250" spans="1:4">
      <c r="A250" t="e">
        <f>_xlfn.XLOOKUP(B250,[1]四三数据累计!$A:$A,[1]四三数据累计!$B:$B)</f>
        <v>#N/A</v>
      </c>
      <c r="B250" s="2">
        <v>3714</v>
      </c>
      <c r="C250" s="2">
        <v>1</v>
      </c>
      <c r="D250" s="2">
        <v>64.59</v>
      </c>
    </row>
    <row r="251" spans="1:4">
      <c r="A251" t="e">
        <f>_xlfn.XLOOKUP(B251,[1]四三数据累计!$A:$A,[1]四三数据累计!$B:$B)</f>
        <v>#N/A</v>
      </c>
      <c r="B251" s="2">
        <v>3715</v>
      </c>
      <c r="C251" s="2">
        <v>5</v>
      </c>
      <c r="D251" s="2">
        <v>190.79</v>
      </c>
    </row>
    <row r="252" spans="1:4">
      <c r="A252" t="e">
        <f>_xlfn.XLOOKUP(B252,[1]四三数据累计!$A:$A,[1]四三数据累计!$B:$B)</f>
        <v>#N/A</v>
      </c>
      <c r="B252" s="2">
        <v>3731</v>
      </c>
      <c r="C252" s="2">
        <v>2</v>
      </c>
      <c r="D252" s="2">
        <v>157.81</v>
      </c>
    </row>
    <row r="253" spans="1:4">
      <c r="A253" t="e">
        <f>_xlfn.XLOOKUP(B253,[1]四三数据累计!$A:$A,[1]四三数据累计!$B:$B)</f>
        <v>#N/A</v>
      </c>
      <c r="B253" s="2">
        <v>3750</v>
      </c>
      <c r="C253" s="2">
        <v>1</v>
      </c>
      <c r="D253" s="2">
        <v>172.9</v>
      </c>
    </row>
    <row r="254" spans="1:4">
      <c r="A254" t="e">
        <f>_xlfn.XLOOKUP(B254,[1]四三数据累计!$A:$A,[1]四三数据累计!$B:$B)</f>
        <v>#N/A</v>
      </c>
      <c r="B254" s="2">
        <v>3751</v>
      </c>
      <c r="C254" s="2">
        <v>3</v>
      </c>
      <c r="D254" s="2">
        <v>396.18</v>
      </c>
    </row>
    <row r="255" spans="1:4">
      <c r="A255" t="e">
        <f>_xlfn.XLOOKUP(B255,[1]四三数据累计!$A:$A,[1]四三数据累计!$B:$B)</f>
        <v>#N/A</v>
      </c>
      <c r="B255" s="2">
        <v>3757</v>
      </c>
      <c r="C255" s="2">
        <v>4</v>
      </c>
      <c r="D255" s="2">
        <v>183.42</v>
      </c>
    </row>
    <row r="256" spans="1:4">
      <c r="A256" t="e">
        <f>_xlfn.XLOOKUP(B256,[1]四三数据累计!$A:$A,[1]四三数据累计!$B:$B)</f>
        <v>#N/A</v>
      </c>
      <c r="B256" s="2">
        <v>3759</v>
      </c>
      <c r="C256" s="2">
        <v>5</v>
      </c>
      <c r="D256" s="2">
        <v>166.72</v>
      </c>
    </row>
    <row r="257" spans="1:4">
      <c r="A257" t="e">
        <f>_xlfn.XLOOKUP(B257,[1]四三数据累计!$A:$A,[1]四三数据累计!$B:$B)</f>
        <v>#N/A</v>
      </c>
      <c r="B257" s="2">
        <v>3760</v>
      </c>
      <c r="C257" s="2">
        <v>1</v>
      </c>
      <c r="D257" s="2">
        <v>56.01</v>
      </c>
    </row>
    <row r="258" spans="1:4">
      <c r="A258" t="e">
        <f>_xlfn.XLOOKUP(B258,[1]四三数据累计!$A:$A,[1]四三数据累计!$B:$B)</f>
        <v>#N/A</v>
      </c>
      <c r="B258" s="2">
        <v>3766</v>
      </c>
      <c r="C258" s="2">
        <v>7</v>
      </c>
      <c r="D258" s="2">
        <v>777.38</v>
      </c>
    </row>
    <row r="259" spans="1:4">
      <c r="A259" t="e">
        <f>_xlfn.XLOOKUP(B259,[1]四三数据累计!$A:$A,[1]四三数据累计!$B:$B)</f>
        <v>#N/A</v>
      </c>
      <c r="B259" s="2">
        <v>3776</v>
      </c>
      <c r="C259" s="2">
        <v>4</v>
      </c>
      <c r="D259" s="2">
        <v>426.81</v>
      </c>
    </row>
    <row r="260" spans="1:4">
      <c r="A260" t="e">
        <f>_xlfn.XLOOKUP(B260,[1]四三数据累计!$A:$A,[1]四三数据累计!$B:$B)</f>
        <v>#N/A</v>
      </c>
      <c r="B260" s="2">
        <v>3785</v>
      </c>
      <c r="C260" s="2">
        <v>1</v>
      </c>
      <c r="D260" s="2">
        <v>109.41</v>
      </c>
    </row>
    <row r="261" spans="1:4">
      <c r="A261" t="e">
        <f>_xlfn.XLOOKUP(B261,[1]四三数据累计!$A:$A,[1]四三数据累计!$B:$B)</f>
        <v>#N/A</v>
      </c>
      <c r="B261" s="2">
        <v>3794</v>
      </c>
      <c r="C261" s="2">
        <v>4</v>
      </c>
      <c r="D261" s="2">
        <v>181.9</v>
      </c>
    </row>
    <row r="262" spans="1:4">
      <c r="A262" t="e">
        <f>_xlfn.XLOOKUP(B262,[1]四三数据累计!$A:$A,[1]四三数据累计!$B:$B)</f>
        <v>#N/A</v>
      </c>
      <c r="B262" s="2">
        <v>3796</v>
      </c>
      <c r="C262" s="2">
        <v>1</v>
      </c>
      <c r="D262" s="2">
        <v>205.23</v>
      </c>
    </row>
    <row r="263" spans="1:4">
      <c r="A263" t="e">
        <f>_xlfn.XLOOKUP(B263,[1]四三数据累计!$A:$A,[1]四三数据累计!$B:$B)</f>
        <v>#N/A</v>
      </c>
      <c r="B263" s="2">
        <v>3799</v>
      </c>
      <c r="C263" s="2">
        <v>6</v>
      </c>
      <c r="D263" s="2">
        <v>534</v>
      </c>
    </row>
    <row r="264" spans="1:4">
      <c r="A264" t="e">
        <f>_xlfn.XLOOKUP(B264,[1]四三数据累计!$A:$A,[1]四三数据累计!$B:$B)</f>
        <v>#N/A</v>
      </c>
      <c r="B264" s="2">
        <v>3833</v>
      </c>
      <c r="C264" s="2">
        <v>9</v>
      </c>
      <c r="D264" s="2">
        <v>652.5</v>
      </c>
    </row>
    <row r="265" spans="1:4">
      <c r="A265" t="e">
        <f>_xlfn.XLOOKUP(B265,[1]四三数据累计!$A:$A,[1]四三数据累计!$B:$B)</f>
        <v>#N/A</v>
      </c>
      <c r="B265" s="2">
        <v>3834</v>
      </c>
      <c r="C265" s="2">
        <v>3</v>
      </c>
      <c r="D265" s="2">
        <v>329.7</v>
      </c>
    </row>
    <row r="266" spans="1:4">
      <c r="A266" t="e">
        <f>_xlfn.XLOOKUP(B266,[1]四三数据累计!$A:$A,[1]四三数据累计!$B:$B)</f>
        <v>#N/A</v>
      </c>
      <c r="B266" s="2">
        <v>3837</v>
      </c>
      <c r="C266" s="2">
        <v>2</v>
      </c>
      <c r="D266" s="2">
        <v>143.42</v>
      </c>
    </row>
    <row r="267" spans="1:4">
      <c r="A267" t="e">
        <f>_xlfn.XLOOKUP(B267,[1]四三数据累计!$A:$A,[1]四三数据累计!$B:$B)</f>
        <v>#N/A</v>
      </c>
      <c r="B267" s="2">
        <v>3846</v>
      </c>
      <c r="C267" s="2">
        <v>6</v>
      </c>
      <c r="D267" s="2">
        <v>672.68</v>
      </c>
    </row>
    <row r="268" spans="1:4">
      <c r="A268" t="e">
        <f>_xlfn.XLOOKUP(B268,[1]四三数据累计!$A:$A,[1]四三数据累计!$B:$B)</f>
        <v>#N/A</v>
      </c>
      <c r="B268" s="2">
        <v>3855</v>
      </c>
      <c r="C268" s="2">
        <v>18</v>
      </c>
      <c r="D268" s="2">
        <v>1367.22</v>
      </c>
    </row>
    <row r="269" spans="1:4">
      <c r="A269" t="e">
        <f>_xlfn.XLOOKUP(B269,[1]四三数据累计!$A:$A,[1]四三数据累计!$B:$B)</f>
        <v>#N/A</v>
      </c>
      <c r="B269" s="2">
        <v>3871</v>
      </c>
      <c r="C269" s="2">
        <v>1</v>
      </c>
      <c r="D269" s="2">
        <v>28.98</v>
      </c>
    </row>
    <row r="270" spans="1:4">
      <c r="A270" t="e">
        <f>_xlfn.XLOOKUP(B270,[1]四三数据累计!$A:$A,[1]四三数据累计!$B:$B)</f>
        <v>#N/A</v>
      </c>
      <c r="B270" s="2">
        <v>3876</v>
      </c>
      <c r="C270" s="2">
        <v>1</v>
      </c>
      <c r="D270" s="2">
        <v>35.64</v>
      </c>
    </row>
    <row r="271" spans="1:4">
      <c r="A271" t="e">
        <f>_xlfn.XLOOKUP(B271,[1]四三数据累计!$A:$A,[1]四三数据累计!$B:$B)</f>
        <v>#N/A</v>
      </c>
      <c r="B271" s="2">
        <v>3900</v>
      </c>
      <c r="C271" s="2">
        <v>1</v>
      </c>
      <c r="D271" s="2">
        <v>72.51</v>
      </c>
    </row>
    <row r="272" spans="1:4">
      <c r="A272" t="e">
        <f>_xlfn.XLOOKUP(B272,[1]四三数据累计!$A:$A,[1]四三数据累计!$B:$B)</f>
        <v>#N/A</v>
      </c>
      <c r="B272" s="2">
        <v>3901</v>
      </c>
      <c r="C272" s="2">
        <v>6</v>
      </c>
      <c r="D272" s="2">
        <v>382.66</v>
      </c>
    </row>
    <row r="273" spans="1:4">
      <c r="A273" t="e">
        <f>_xlfn.XLOOKUP(B273,[1]四三数据累计!$A:$A,[1]四三数据累计!$B:$B)</f>
        <v>#N/A</v>
      </c>
      <c r="B273" s="2">
        <v>3920</v>
      </c>
      <c r="C273" s="2">
        <v>6</v>
      </c>
      <c r="D273" s="2">
        <v>551.94</v>
      </c>
    </row>
    <row r="274" spans="1:4">
      <c r="A274" t="e">
        <f>_xlfn.XLOOKUP(B274,[1]四三数据累计!$A:$A,[1]四三数据累计!$B:$B)</f>
        <v>#N/A</v>
      </c>
      <c r="B274" s="2">
        <v>3924</v>
      </c>
      <c r="C274" s="2">
        <v>6</v>
      </c>
      <c r="D274" s="2">
        <v>437.94</v>
      </c>
    </row>
    <row r="275" spans="1:4">
      <c r="A275" t="e">
        <f>_xlfn.XLOOKUP(B275,[1]四三数据累计!$A:$A,[1]四三数据累计!$B:$B)</f>
        <v>#N/A</v>
      </c>
      <c r="B275" s="2">
        <v>3926</v>
      </c>
      <c r="C275" s="2">
        <v>8</v>
      </c>
      <c r="D275" s="2">
        <v>320.92</v>
      </c>
    </row>
    <row r="276" spans="1:4">
      <c r="A276" t="e">
        <f>_xlfn.XLOOKUP(B276,[1]四三数据累计!$A:$A,[1]四三数据累计!$B:$B)</f>
        <v>#N/A</v>
      </c>
      <c r="B276" s="2">
        <v>4072</v>
      </c>
      <c r="C276" s="2">
        <v>1</v>
      </c>
      <c r="D276" s="2">
        <v>78.21</v>
      </c>
    </row>
    <row r="277" spans="1:4">
      <c r="A277" t="e">
        <f>_xlfn.XLOOKUP(B277,[1]四三数据累计!$A:$A,[1]四三数据累计!$B:$B)</f>
        <v>#N/A</v>
      </c>
      <c r="B277" s="2">
        <v>4073</v>
      </c>
      <c r="C277" s="2">
        <v>2</v>
      </c>
      <c r="D277" s="2">
        <v>186.18</v>
      </c>
    </row>
    <row r="278" spans="1:4">
      <c r="A278" t="e">
        <f>_xlfn.XLOOKUP(B278,[1]四三数据累计!$A:$A,[1]四三数据累计!$B:$B)</f>
        <v>#N/A</v>
      </c>
      <c r="B278" s="2">
        <v>4088</v>
      </c>
      <c r="C278" s="2">
        <v>2</v>
      </c>
      <c r="D278" s="2">
        <v>134</v>
      </c>
    </row>
    <row r="279" spans="1:4">
      <c r="A279" t="e">
        <f>_xlfn.XLOOKUP(B279,[1]四三数据累计!$A:$A,[1]四三数据累计!$B:$B)</f>
        <v>#N/A</v>
      </c>
      <c r="B279" s="2">
        <v>4094</v>
      </c>
      <c r="C279" s="2">
        <v>1</v>
      </c>
      <c r="D279" s="2">
        <v>125.44</v>
      </c>
    </row>
    <row r="280" spans="1:4">
      <c r="A280" t="e">
        <f>_xlfn.XLOOKUP(B280,[1]四三数据累计!$A:$A,[1]四三数据累计!$B:$B)</f>
        <v>#N/A</v>
      </c>
      <c r="B280" s="2">
        <v>4103</v>
      </c>
      <c r="C280" s="2">
        <v>2</v>
      </c>
      <c r="D280" s="2">
        <v>161.98</v>
      </c>
    </row>
    <row r="281" spans="1:4">
      <c r="A281" t="e">
        <f>_xlfn.XLOOKUP(B281,[1]四三数据累计!$A:$A,[1]四三数据累计!$B:$B)</f>
        <v>#N/A</v>
      </c>
      <c r="B281" s="2">
        <v>4105</v>
      </c>
      <c r="C281" s="2">
        <v>5</v>
      </c>
      <c r="D281" s="2">
        <v>514.25</v>
      </c>
    </row>
    <row r="282" spans="1:4">
      <c r="A282" t="e">
        <f>_xlfn.XLOOKUP(B282,[1]四三数据累计!$A:$A,[1]四三数据累计!$B:$B)</f>
        <v>#N/A</v>
      </c>
      <c r="B282" s="2">
        <v>4133</v>
      </c>
      <c r="C282" s="2">
        <v>3</v>
      </c>
      <c r="D282" s="2">
        <v>116.64</v>
      </c>
    </row>
    <row r="283" spans="1:4">
      <c r="A283" t="e">
        <f>_xlfn.XLOOKUP(B283,[1]四三数据累计!$A:$A,[1]四三数据累计!$B:$B)</f>
        <v>#N/A</v>
      </c>
      <c r="B283" s="2">
        <v>4134</v>
      </c>
      <c r="C283" s="2">
        <v>12</v>
      </c>
      <c r="D283" s="2">
        <v>444.18</v>
      </c>
    </row>
    <row r="284" spans="1:4">
      <c r="A284" t="e">
        <f>_xlfn.XLOOKUP(B284,[1]四三数据累计!$A:$A,[1]四三数据累计!$B:$B)</f>
        <v>#N/A</v>
      </c>
      <c r="B284" s="2">
        <v>4148</v>
      </c>
      <c r="C284" s="2">
        <v>1</v>
      </c>
      <c r="D284" s="2">
        <v>72.18</v>
      </c>
    </row>
    <row r="285" spans="1:4">
      <c r="A285" t="e">
        <f>_xlfn.XLOOKUP(B285,[1]四三数据累计!$A:$A,[1]四三数据累计!$B:$B)</f>
        <v>#N/A</v>
      </c>
      <c r="B285" s="2">
        <v>4166</v>
      </c>
      <c r="C285" s="2">
        <v>3</v>
      </c>
      <c r="D285" s="2">
        <v>253.59</v>
      </c>
    </row>
    <row r="286" spans="1:4">
      <c r="A286" t="e">
        <f>_xlfn.XLOOKUP(B286,[1]四三数据累计!$A:$A,[1]四三数据累计!$B:$B)</f>
        <v>#N/A</v>
      </c>
      <c r="B286" s="2">
        <v>4181</v>
      </c>
      <c r="C286" s="2">
        <v>2</v>
      </c>
      <c r="D286" s="2">
        <v>112</v>
      </c>
    </row>
    <row r="287" spans="1:4">
      <c r="A287" t="e">
        <f>_xlfn.XLOOKUP(B287,[1]四三数据累计!$A:$A,[1]四三数据累计!$B:$B)</f>
        <v>#N/A</v>
      </c>
      <c r="B287" s="2">
        <v>4184</v>
      </c>
      <c r="C287" s="2">
        <v>6</v>
      </c>
      <c r="D287" s="2">
        <v>470.38</v>
      </c>
    </row>
    <row r="288" spans="1:4">
      <c r="A288" t="e">
        <f>_xlfn.XLOOKUP(B288,[1]四三数据累计!$A:$A,[1]四三数据累计!$B:$B)</f>
        <v>#N/A</v>
      </c>
      <c r="B288" s="2">
        <v>4208</v>
      </c>
      <c r="C288" s="2">
        <v>2</v>
      </c>
      <c r="D288" s="2">
        <v>175.21</v>
      </c>
    </row>
    <row r="289" spans="1:4">
      <c r="A289" t="e">
        <f>_xlfn.XLOOKUP(B289,[1]四三数据累计!$A:$A,[1]四三数据累计!$B:$B)</f>
        <v>#N/A</v>
      </c>
      <c r="B289" s="2">
        <v>4209</v>
      </c>
      <c r="C289" s="2">
        <v>1</v>
      </c>
      <c r="D289" s="2">
        <v>87.5</v>
      </c>
    </row>
    <row r="290" spans="1:4">
      <c r="A290" t="e">
        <f>_xlfn.XLOOKUP(B290,[1]四三数据累计!$A:$A,[1]四三数据累计!$B:$B)</f>
        <v>#N/A</v>
      </c>
      <c r="B290" s="2">
        <v>4219</v>
      </c>
      <c r="C290" s="2">
        <v>5</v>
      </c>
      <c r="D290" s="2">
        <v>312</v>
      </c>
    </row>
    <row r="291" spans="1:4">
      <c r="A291" t="e">
        <f>_xlfn.XLOOKUP(B291,[1]四三数据累计!$A:$A,[1]四三数据累计!$B:$B)</f>
        <v>#N/A</v>
      </c>
      <c r="B291" s="2">
        <v>4236</v>
      </c>
      <c r="C291" s="2">
        <v>3</v>
      </c>
      <c r="D291" s="2">
        <v>178.77</v>
      </c>
    </row>
    <row r="292" spans="1:4">
      <c r="A292" t="e">
        <f>_xlfn.XLOOKUP(B292,[1]四三数据累计!$A:$A,[1]四三数据累计!$B:$B)</f>
        <v>#N/A</v>
      </c>
      <c r="B292" s="2">
        <v>4261</v>
      </c>
      <c r="C292" s="2">
        <v>1</v>
      </c>
      <c r="D292" s="2">
        <v>74.36</v>
      </c>
    </row>
    <row r="293" spans="1:4">
      <c r="A293" t="e">
        <f>_xlfn.XLOOKUP(B293,[1]四三数据累计!$A:$A,[1]四三数据累计!$B:$B)</f>
        <v>#N/A</v>
      </c>
      <c r="B293" s="2">
        <v>4267</v>
      </c>
      <c r="C293" s="2">
        <v>16</v>
      </c>
      <c r="D293" s="2">
        <v>1808.04</v>
      </c>
    </row>
    <row r="294" spans="1:4">
      <c r="A294" t="e">
        <f>_xlfn.XLOOKUP(B294,[1]四三数据累计!$A:$A,[1]四三数据累计!$B:$B)</f>
        <v>#N/A</v>
      </c>
      <c r="B294" s="2">
        <v>4272</v>
      </c>
      <c r="C294" s="2">
        <v>5</v>
      </c>
      <c r="D294" s="2">
        <v>304.3</v>
      </c>
    </row>
    <row r="295" spans="1:4">
      <c r="A295" t="e">
        <f>_xlfn.XLOOKUP(B295,[1]四三数据累计!$A:$A,[1]四三数据累计!$B:$B)</f>
        <v>#N/A</v>
      </c>
      <c r="B295" s="2">
        <v>4311</v>
      </c>
      <c r="C295" s="2">
        <v>5</v>
      </c>
      <c r="D295" s="2">
        <v>205.05</v>
      </c>
    </row>
    <row r="296" spans="1:4">
      <c r="A296" t="e">
        <f>_xlfn.XLOOKUP(B296,[1]四三数据累计!$A:$A,[1]四三数据累计!$B:$B)</f>
        <v>#N/A</v>
      </c>
      <c r="B296" s="2">
        <v>4323</v>
      </c>
      <c r="C296" s="2">
        <v>8</v>
      </c>
      <c r="D296" s="2">
        <v>1715.81</v>
      </c>
    </row>
    <row r="297" spans="1:4">
      <c r="A297" t="e">
        <f>_xlfn.XLOOKUP(B297,[1]四三数据累计!$A:$A,[1]四三数据累计!$B:$B)</f>
        <v>#N/A</v>
      </c>
      <c r="B297" s="2">
        <v>4324</v>
      </c>
      <c r="C297" s="2">
        <v>1</v>
      </c>
      <c r="D297" s="2">
        <v>231.91</v>
      </c>
    </row>
    <row r="298" spans="1:4">
      <c r="A298" t="e">
        <f>_xlfn.XLOOKUP(B298,[1]四三数据累计!$A:$A,[1]四三数据累计!$B:$B)</f>
        <v>#N/A</v>
      </c>
      <c r="B298" s="2">
        <v>4325</v>
      </c>
      <c r="C298" s="2">
        <v>3</v>
      </c>
      <c r="D298" s="2">
        <v>629.55</v>
      </c>
    </row>
    <row r="299" spans="1:4">
      <c r="A299" t="e">
        <f>_xlfn.XLOOKUP(B299,[1]四三数据累计!$A:$A,[1]四三数据累计!$B:$B)</f>
        <v>#N/A</v>
      </c>
      <c r="B299" s="2">
        <v>4326</v>
      </c>
      <c r="C299" s="2">
        <v>9</v>
      </c>
      <c r="D299" s="2">
        <v>223.41</v>
      </c>
    </row>
    <row r="300" spans="1:4">
      <c r="A300" t="e">
        <f>_xlfn.XLOOKUP(B300,[1]四三数据累计!$A:$A,[1]四三数据累计!$B:$B)</f>
        <v>#N/A</v>
      </c>
      <c r="B300" s="2">
        <v>4350</v>
      </c>
      <c r="C300" s="2">
        <v>1</v>
      </c>
      <c r="D300" s="2">
        <v>104.57</v>
      </c>
    </row>
    <row r="301" spans="1:4">
      <c r="A301" t="e">
        <f>_xlfn.XLOOKUP(B301,[1]四三数据累计!$A:$A,[1]四三数据累计!$B:$B)</f>
        <v>#N/A</v>
      </c>
      <c r="B301" s="2">
        <v>4411</v>
      </c>
      <c r="C301" s="2">
        <v>7</v>
      </c>
      <c r="D301" s="2">
        <v>445.13</v>
      </c>
    </row>
    <row r="302" spans="1:4">
      <c r="A302" t="e">
        <f>_xlfn.XLOOKUP(B302,[1]四三数据累计!$A:$A,[1]四三数据累计!$B:$B)</f>
        <v>#N/A</v>
      </c>
      <c r="B302" s="2">
        <v>4435</v>
      </c>
      <c r="C302" s="2">
        <v>2</v>
      </c>
      <c r="D302" s="2">
        <v>80.76</v>
      </c>
    </row>
    <row r="303" spans="1:4">
      <c r="A303" t="e">
        <f>_xlfn.XLOOKUP(B303,[1]四三数据累计!$A:$A,[1]四三数据累计!$B:$B)</f>
        <v>#N/A</v>
      </c>
      <c r="B303" s="2">
        <v>4482</v>
      </c>
      <c r="C303" s="2">
        <v>5</v>
      </c>
      <c r="D303" s="2">
        <v>512.24</v>
      </c>
    </row>
    <row r="304" spans="1:4">
      <c r="A304" t="e">
        <f>_xlfn.XLOOKUP(B304,[1]四三数据累计!$A:$A,[1]四三数据累计!$B:$B)</f>
        <v>#N/A</v>
      </c>
      <c r="B304" s="2">
        <v>4483</v>
      </c>
      <c r="C304" s="2">
        <v>3</v>
      </c>
      <c r="D304" s="2">
        <v>240.78</v>
      </c>
    </row>
    <row r="305" spans="1:4">
      <c r="A305" t="e">
        <f>_xlfn.XLOOKUP(B305,[1]四三数据累计!$A:$A,[1]四三数据累计!$B:$B)</f>
        <v>#N/A</v>
      </c>
      <c r="B305" s="2">
        <v>4491</v>
      </c>
      <c r="C305" s="2">
        <v>5</v>
      </c>
      <c r="D305" s="2">
        <v>743.8</v>
      </c>
    </row>
    <row r="306" spans="1:4">
      <c r="A306" t="e">
        <f>_xlfn.XLOOKUP(B306,[1]四三数据累计!$A:$A,[1]四三数据累计!$B:$B)</f>
        <v>#N/A</v>
      </c>
      <c r="B306" s="2">
        <v>4497</v>
      </c>
      <c r="C306" s="2">
        <v>3</v>
      </c>
      <c r="D306" s="2">
        <v>282.29</v>
      </c>
    </row>
    <row r="307" spans="1:4">
      <c r="A307" t="e">
        <f>_xlfn.XLOOKUP(B307,[1]四三数据累计!$A:$A,[1]四三数据累计!$B:$B)</f>
        <v>#N/A</v>
      </c>
      <c r="B307" s="2">
        <v>4505</v>
      </c>
      <c r="C307" s="2">
        <v>8</v>
      </c>
      <c r="D307" s="2">
        <v>628.84</v>
      </c>
    </row>
    <row r="308" spans="1:4">
      <c r="A308" t="e">
        <f>_xlfn.XLOOKUP(B308,[1]四三数据累计!$A:$A,[1]四三数据累计!$B:$B)</f>
        <v>#N/A</v>
      </c>
      <c r="B308" s="2">
        <v>4535</v>
      </c>
      <c r="C308" s="2">
        <v>1</v>
      </c>
      <c r="D308" s="2">
        <v>94.6</v>
      </c>
    </row>
    <row r="309" spans="1:4">
      <c r="A309" t="e">
        <f>_xlfn.XLOOKUP(B309,[1]四三数据累计!$A:$A,[1]四三数据累计!$B:$B)</f>
        <v>#N/A</v>
      </c>
      <c r="B309" s="2">
        <v>4536</v>
      </c>
      <c r="C309" s="2">
        <v>4</v>
      </c>
      <c r="D309" s="2">
        <v>345.96</v>
      </c>
    </row>
    <row r="310" spans="1:4">
      <c r="A310" t="e">
        <f>_xlfn.XLOOKUP(B310,[1]四三数据累计!$A:$A,[1]四三数据累计!$B:$B)</f>
        <v>#N/A</v>
      </c>
      <c r="B310" s="2">
        <v>4537</v>
      </c>
      <c r="C310" s="2">
        <v>2</v>
      </c>
      <c r="D310" s="2">
        <v>357</v>
      </c>
    </row>
    <row r="311" spans="1:4">
      <c r="A311" t="e">
        <f>_xlfn.XLOOKUP(B311,[1]四三数据累计!$A:$A,[1]四三数据累计!$B:$B)</f>
        <v>#N/A</v>
      </c>
      <c r="B311" s="2">
        <v>4543</v>
      </c>
      <c r="C311" s="2">
        <v>10</v>
      </c>
      <c r="D311" s="2">
        <v>1536.44</v>
      </c>
    </row>
    <row r="312" spans="1:4">
      <c r="A312" t="e">
        <f>_xlfn.XLOOKUP(B312,[1]四三数据累计!$A:$A,[1]四三数据累计!$B:$B)</f>
        <v>#N/A</v>
      </c>
      <c r="B312" s="2">
        <v>4547</v>
      </c>
      <c r="C312" s="2">
        <v>11</v>
      </c>
      <c r="D312" s="2">
        <v>1011.73</v>
      </c>
    </row>
    <row r="313" spans="1:4">
      <c r="A313" t="e">
        <f>_xlfn.XLOOKUP(B313,[1]四三数据累计!$A:$A,[1]四三数据累计!$B:$B)</f>
        <v>#N/A</v>
      </c>
      <c r="B313" s="2">
        <v>4611</v>
      </c>
      <c r="C313" s="2">
        <v>7</v>
      </c>
      <c r="D313" s="2">
        <v>217.42</v>
      </c>
    </row>
    <row r="314" spans="1:4">
      <c r="A314" t="e">
        <f>_xlfn.XLOOKUP(B314,[1]四三数据累计!$A:$A,[1]四三数据累计!$B:$B)</f>
        <v>#N/A</v>
      </c>
      <c r="B314" s="2">
        <v>4612</v>
      </c>
      <c r="C314" s="2">
        <v>3</v>
      </c>
      <c r="D314" s="2">
        <v>104.97</v>
      </c>
    </row>
    <row r="315" spans="1:4">
      <c r="A315" t="e">
        <f>_xlfn.XLOOKUP(B315,[1]四三数据累计!$A:$A,[1]四三数据累计!$B:$B)</f>
        <v>#N/A</v>
      </c>
      <c r="B315" s="2">
        <v>4613</v>
      </c>
      <c r="C315" s="2">
        <v>3</v>
      </c>
      <c r="D315" s="2">
        <v>87.85</v>
      </c>
    </row>
    <row r="316" spans="1:4">
      <c r="A316" t="e">
        <f>_xlfn.XLOOKUP(B316,[1]四三数据累计!$A:$A,[1]四三数据累计!$B:$B)</f>
        <v>#N/A</v>
      </c>
      <c r="B316" s="2">
        <v>4646</v>
      </c>
      <c r="C316" s="2">
        <v>2</v>
      </c>
      <c r="D316" s="2">
        <v>280.26</v>
      </c>
    </row>
    <row r="317" spans="1:4">
      <c r="A317" t="e">
        <f>_xlfn.XLOOKUP(B317,[1]四三数据累计!$A:$A,[1]四三数据累计!$B:$B)</f>
        <v>#N/A</v>
      </c>
      <c r="B317" s="2">
        <v>4657</v>
      </c>
      <c r="C317" s="2">
        <v>6</v>
      </c>
      <c r="D317" s="2">
        <v>479.4</v>
      </c>
    </row>
    <row r="318" spans="1:4">
      <c r="A318" t="e">
        <f>_xlfn.XLOOKUP(B318,[1]四三数据累计!$A:$A,[1]四三数据累计!$B:$B)</f>
        <v>#N/A</v>
      </c>
      <c r="B318" s="2">
        <v>4658</v>
      </c>
      <c r="C318" s="2">
        <v>4</v>
      </c>
      <c r="D318" s="2">
        <v>243.96</v>
      </c>
    </row>
    <row r="319" spans="1:4">
      <c r="A319" t="e">
        <f>_xlfn.XLOOKUP(B319,[1]四三数据累计!$A:$A,[1]四三数据累计!$B:$B)</f>
        <v>#N/A</v>
      </c>
      <c r="B319" s="2">
        <v>4663</v>
      </c>
      <c r="C319" s="2">
        <v>3</v>
      </c>
      <c r="D319" s="2">
        <v>392.98</v>
      </c>
    </row>
    <row r="320" spans="1:4">
      <c r="A320" t="e">
        <f>_xlfn.XLOOKUP(B320,[1]四三数据累计!$A:$A,[1]四三数据累计!$B:$B)</f>
        <v>#N/A</v>
      </c>
      <c r="B320" s="2">
        <v>4665</v>
      </c>
      <c r="C320" s="2">
        <v>1</v>
      </c>
      <c r="D320" s="2">
        <v>49.49</v>
      </c>
    </row>
    <row r="321" spans="1:4">
      <c r="A321" t="e">
        <f>_xlfn.XLOOKUP(B321,[1]四三数据累计!$A:$A,[1]四三数据累计!$B:$B)</f>
        <v>#N/A</v>
      </c>
      <c r="B321" s="2">
        <v>4669</v>
      </c>
      <c r="C321" s="2">
        <v>3</v>
      </c>
      <c r="D321" s="2">
        <v>466.2</v>
      </c>
    </row>
    <row r="322" spans="1:4">
      <c r="A322" t="e">
        <f>_xlfn.XLOOKUP(B322,[1]四三数据累计!$A:$A,[1]四三数据累计!$B:$B)</f>
        <v>#N/A</v>
      </c>
      <c r="B322" s="2">
        <v>4678</v>
      </c>
      <c r="C322" s="2">
        <v>13</v>
      </c>
      <c r="D322" s="2">
        <v>506.07</v>
      </c>
    </row>
    <row r="323" spans="1:4">
      <c r="A323" t="e">
        <f>_xlfn.XLOOKUP(B323,[1]四三数据累计!$A:$A,[1]四三数据累计!$B:$B)</f>
        <v>#N/A</v>
      </c>
      <c r="B323" s="2">
        <v>4691</v>
      </c>
      <c r="C323" s="2">
        <v>2</v>
      </c>
      <c r="D323" s="2">
        <v>505.6</v>
      </c>
    </row>
    <row r="324" spans="1:4">
      <c r="A324" t="e">
        <f>_xlfn.XLOOKUP(B324,[1]四三数据累计!$A:$A,[1]四三数据累计!$B:$B)</f>
        <v>#N/A</v>
      </c>
      <c r="B324" s="2">
        <v>4692</v>
      </c>
      <c r="C324" s="2">
        <v>1</v>
      </c>
      <c r="D324" s="2">
        <v>299</v>
      </c>
    </row>
    <row r="325" spans="1:4">
      <c r="A325" t="e">
        <f>_xlfn.XLOOKUP(B325,[1]四三数据累计!$A:$A,[1]四三数据累计!$B:$B)</f>
        <v>#N/A</v>
      </c>
      <c r="B325" s="2">
        <v>4721</v>
      </c>
      <c r="C325" s="2">
        <v>5</v>
      </c>
      <c r="D325" s="2">
        <v>334.95</v>
      </c>
    </row>
    <row r="326" spans="1:4">
      <c r="A326" t="e">
        <f>_xlfn.XLOOKUP(B326,[1]四三数据累计!$A:$A,[1]四三数据累计!$B:$B)</f>
        <v>#N/A</v>
      </c>
      <c r="B326" s="2">
        <v>4765</v>
      </c>
      <c r="C326" s="2">
        <v>5</v>
      </c>
      <c r="D326" s="2">
        <v>296.95</v>
      </c>
    </row>
    <row r="327" spans="1:4">
      <c r="A327" t="e">
        <f>_xlfn.XLOOKUP(B327,[1]四三数据累计!$A:$A,[1]四三数据累计!$B:$B)</f>
        <v>#N/A</v>
      </c>
      <c r="B327" s="2">
        <v>4794</v>
      </c>
      <c r="C327" s="2">
        <v>10</v>
      </c>
      <c r="D327" s="2">
        <v>1574.49</v>
      </c>
    </row>
    <row r="328" spans="1:4">
      <c r="A328" t="e">
        <f>_xlfn.XLOOKUP(B328,[1]四三数据累计!$A:$A,[1]四三数据累计!$B:$B)</f>
        <v>#N/A</v>
      </c>
      <c r="B328" s="2">
        <v>4812</v>
      </c>
      <c r="C328" s="2">
        <v>3</v>
      </c>
      <c r="D328" s="2">
        <v>555.12</v>
      </c>
    </row>
    <row r="329" spans="1:4">
      <c r="A329" t="e">
        <f>_xlfn.XLOOKUP(B329,[1]四三数据累计!$A:$A,[1]四三数据累计!$B:$B)</f>
        <v>#N/A</v>
      </c>
      <c r="B329" s="2">
        <v>4817</v>
      </c>
      <c r="C329" s="2">
        <v>3</v>
      </c>
      <c r="D329" s="2">
        <v>160.44</v>
      </c>
    </row>
    <row r="330" spans="1:4">
      <c r="A330" t="e">
        <f>_xlfn.XLOOKUP(B330,[1]四三数据累计!$A:$A,[1]四三数据累计!$B:$B)</f>
        <v>#N/A</v>
      </c>
      <c r="B330" s="2">
        <v>5007</v>
      </c>
      <c r="C330" s="2">
        <v>3</v>
      </c>
      <c r="D330" s="2">
        <v>120.87</v>
      </c>
    </row>
    <row r="331" spans="1:4">
      <c r="A331" t="e">
        <f>_xlfn.XLOOKUP(B331,[1]四三数据累计!$A:$A,[1]四三数据累计!$B:$B)</f>
        <v>#N/A</v>
      </c>
      <c r="B331" s="2">
        <v>5008</v>
      </c>
      <c r="C331" s="2">
        <v>4</v>
      </c>
      <c r="D331" s="2">
        <v>381</v>
      </c>
    </row>
    <row r="332" spans="1:4">
      <c r="A332" t="e">
        <f>_xlfn.XLOOKUP(B332,[1]四三数据累计!$A:$A,[1]四三数据累计!$B:$B)</f>
        <v>#N/A</v>
      </c>
      <c r="B332" s="2">
        <v>5051</v>
      </c>
      <c r="C332" s="2">
        <v>5</v>
      </c>
      <c r="D332" s="2">
        <v>301.58</v>
      </c>
    </row>
    <row r="333" spans="1:4">
      <c r="A333" t="e">
        <f>_xlfn.XLOOKUP(B333,[1]四三数据累计!$A:$A,[1]四三数据累计!$B:$B)</f>
        <v>#N/A</v>
      </c>
      <c r="B333" s="2">
        <v>5060</v>
      </c>
      <c r="C333" s="2">
        <v>2</v>
      </c>
      <c r="D333" s="2">
        <v>340.19</v>
      </c>
    </row>
    <row r="334" spans="1:4">
      <c r="A334" t="e">
        <f>_xlfn.XLOOKUP(B334,[1]四三数据累计!$A:$A,[1]四三数据累计!$B:$B)</f>
        <v>#N/A</v>
      </c>
      <c r="B334" s="2">
        <v>5061</v>
      </c>
      <c r="C334" s="2">
        <v>2</v>
      </c>
      <c r="D334" s="2">
        <v>351.52</v>
      </c>
    </row>
    <row r="335" spans="1:4">
      <c r="A335" t="e">
        <f>_xlfn.XLOOKUP(B335,[1]四三数据累计!$A:$A,[1]四三数据累计!$B:$B)</f>
        <v>#N/A</v>
      </c>
      <c r="B335" s="2">
        <v>5064</v>
      </c>
      <c r="C335" s="2">
        <v>4</v>
      </c>
      <c r="D335" s="2">
        <v>786.36</v>
      </c>
    </row>
    <row r="336" spans="1:4">
      <c r="A336" t="e">
        <f>_xlfn.XLOOKUP(B336,[1]四三数据累计!$A:$A,[1]四三数据累计!$B:$B)</f>
        <v>#N/A</v>
      </c>
      <c r="B336" s="2">
        <v>5077</v>
      </c>
      <c r="C336" s="2">
        <v>8</v>
      </c>
      <c r="D336" s="2">
        <v>279.87</v>
      </c>
    </row>
    <row r="337" spans="1:4">
      <c r="A337" t="e">
        <f>_xlfn.XLOOKUP(B337,[1]四三数据累计!$A:$A,[1]四三数据累计!$B:$B)</f>
        <v>#N/A</v>
      </c>
      <c r="B337" s="2">
        <v>5078</v>
      </c>
      <c r="C337" s="2">
        <v>6</v>
      </c>
      <c r="D337" s="2">
        <v>192.74</v>
      </c>
    </row>
    <row r="338" spans="1:4">
      <c r="A338" t="e">
        <f>_xlfn.XLOOKUP(B338,[1]四三数据累计!$A:$A,[1]四三数据累计!$B:$B)</f>
        <v>#N/A</v>
      </c>
      <c r="B338" s="2">
        <v>5079</v>
      </c>
      <c r="C338" s="2">
        <v>8</v>
      </c>
      <c r="D338" s="2">
        <v>357.02</v>
      </c>
    </row>
    <row r="339" spans="1:4">
      <c r="A339" t="e">
        <f>_xlfn.XLOOKUP(B339,[1]四三数据累计!$A:$A,[1]四三数据累计!$B:$B)</f>
        <v>#N/A</v>
      </c>
      <c r="B339" s="2">
        <v>5092</v>
      </c>
      <c r="C339" s="2">
        <v>5</v>
      </c>
      <c r="D339" s="2">
        <v>50.55</v>
      </c>
    </row>
    <row r="340" spans="1:4">
      <c r="A340" t="e">
        <f>_xlfn.XLOOKUP(B340,[1]四三数据累计!$A:$A,[1]四三数据累计!$B:$B)</f>
        <v>#N/A</v>
      </c>
      <c r="B340" s="2">
        <v>5121</v>
      </c>
      <c r="C340" s="2">
        <v>3</v>
      </c>
      <c r="D340" s="2">
        <v>227.97</v>
      </c>
    </row>
    <row r="341" spans="1:4">
      <c r="A341" t="e">
        <f>_xlfn.XLOOKUP(B341,[1]四三数据累计!$A:$A,[1]四三数据累计!$B:$B)</f>
        <v>#N/A</v>
      </c>
      <c r="B341" s="2">
        <v>5122</v>
      </c>
      <c r="C341" s="2">
        <v>1</v>
      </c>
      <c r="D341" s="2">
        <v>232.75</v>
      </c>
    </row>
    <row r="342" spans="1:4">
      <c r="A342" t="e">
        <f>_xlfn.XLOOKUP(B342,[1]四三数据累计!$A:$A,[1]四三数据累计!$B:$B)</f>
        <v>#N/A</v>
      </c>
      <c r="B342" s="2">
        <v>5125</v>
      </c>
      <c r="C342" s="2">
        <v>1</v>
      </c>
      <c r="D342" s="2">
        <v>155.42</v>
      </c>
    </row>
    <row r="343" spans="1:4">
      <c r="A343" t="e">
        <f>_xlfn.XLOOKUP(B343,[1]四三数据累计!$A:$A,[1]四三数据累计!$B:$B)</f>
        <v>#N/A</v>
      </c>
      <c r="B343" s="2">
        <v>5208</v>
      </c>
      <c r="C343" s="2">
        <v>3</v>
      </c>
      <c r="D343" s="2">
        <v>523.5</v>
      </c>
    </row>
    <row r="344" spans="1:4">
      <c r="A344" t="e">
        <f>_xlfn.XLOOKUP(B344,[1]四三数据累计!$A:$A,[1]四三数据累计!$B:$B)</f>
        <v>#N/A</v>
      </c>
      <c r="B344" s="2">
        <v>5212</v>
      </c>
      <c r="C344" s="2">
        <v>2</v>
      </c>
      <c r="D344" s="2">
        <v>56.78</v>
      </c>
    </row>
    <row r="345" spans="1:4">
      <c r="A345" t="e">
        <f>_xlfn.XLOOKUP(B345,[1]四三数据累计!$A:$A,[1]四三数据累计!$B:$B)</f>
        <v>#N/A</v>
      </c>
      <c r="B345" s="2">
        <v>5283</v>
      </c>
      <c r="C345" s="2">
        <v>4</v>
      </c>
      <c r="D345" s="2">
        <v>911.42</v>
      </c>
    </row>
    <row r="346" spans="1:4">
      <c r="A346" t="e">
        <f>_xlfn.XLOOKUP(B346,[1]四三数据累计!$A:$A,[1]四三数据累计!$B:$B)</f>
        <v>#N/A</v>
      </c>
      <c r="B346" s="2">
        <v>5310</v>
      </c>
      <c r="C346" s="2">
        <v>4</v>
      </c>
      <c r="D346" s="2">
        <v>809.72</v>
      </c>
    </row>
    <row r="347" spans="1:4">
      <c r="A347" t="e">
        <f>_xlfn.XLOOKUP(B347,[1]四三数据累计!$A:$A,[1]四三数据累计!$B:$B)</f>
        <v>#N/A</v>
      </c>
      <c r="B347" s="2">
        <v>5336</v>
      </c>
      <c r="C347" s="2">
        <v>7</v>
      </c>
      <c r="D347" s="2">
        <v>963.7</v>
      </c>
    </row>
    <row r="348" spans="1:4">
      <c r="A348" t="e">
        <f>_xlfn.XLOOKUP(B348,[1]四三数据累计!$A:$A,[1]四三数据累计!$B:$B)</f>
        <v>#N/A</v>
      </c>
      <c r="B348" s="2">
        <v>5362</v>
      </c>
      <c r="C348" s="2">
        <v>2</v>
      </c>
      <c r="D348" s="2">
        <v>372.8</v>
      </c>
    </row>
    <row r="349" spans="1:4">
      <c r="A349" t="e">
        <f>_xlfn.XLOOKUP(B349,[1]四三数据累计!$A:$A,[1]四三数据累计!$B:$B)</f>
        <v>#N/A</v>
      </c>
      <c r="B349" s="2">
        <v>5363</v>
      </c>
      <c r="C349" s="2">
        <v>1</v>
      </c>
      <c r="D349" s="2">
        <v>170.91</v>
      </c>
    </row>
    <row r="350" spans="1:4">
      <c r="A350" t="e">
        <f>_xlfn.XLOOKUP(B350,[1]四三数据累计!$A:$A,[1]四三数据累计!$B:$B)</f>
        <v>#N/A</v>
      </c>
      <c r="B350" s="2">
        <v>5439</v>
      </c>
      <c r="C350" s="2">
        <v>3</v>
      </c>
      <c r="D350" s="2">
        <v>175.2</v>
      </c>
    </row>
    <row r="351" spans="1:4">
      <c r="A351" t="e">
        <f>_xlfn.XLOOKUP(B351,[1]四三数据累计!$A:$A,[1]四三数据累计!$B:$B)</f>
        <v>#N/A</v>
      </c>
      <c r="B351" s="2">
        <v>5441</v>
      </c>
      <c r="C351" s="2">
        <v>4</v>
      </c>
      <c r="D351" s="2">
        <v>153.6</v>
      </c>
    </row>
    <row r="352" spans="1:4">
      <c r="A352" t="e">
        <f>_xlfn.XLOOKUP(B352,[1]四三数据累计!$A:$A,[1]四三数据累计!$B:$B)</f>
        <v>#N/A</v>
      </c>
      <c r="B352" s="2">
        <v>5447</v>
      </c>
      <c r="C352" s="2">
        <v>1</v>
      </c>
      <c r="D352" s="2">
        <v>169.99</v>
      </c>
    </row>
    <row r="353" spans="1:4">
      <c r="A353" t="e">
        <f>_xlfn.XLOOKUP(B353,[1]四三数据累计!$A:$A,[1]四三数据累计!$B:$B)</f>
        <v>#N/A</v>
      </c>
      <c r="B353" s="2">
        <v>5493</v>
      </c>
      <c r="C353" s="2">
        <v>15</v>
      </c>
      <c r="D353" s="2">
        <v>339.63</v>
      </c>
    </row>
    <row r="354" spans="1:4">
      <c r="A354" t="e">
        <f>_xlfn.XLOOKUP(B354,[1]四三数据累计!$A:$A,[1]四三数据累计!$B:$B)</f>
        <v>#N/A</v>
      </c>
      <c r="B354" s="2">
        <v>5509</v>
      </c>
      <c r="C354" s="2">
        <v>6</v>
      </c>
      <c r="D354" s="2">
        <v>93.54</v>
      </c>
    </row>
    <row r="355" spans="1:4">
      <c r="A355" t="e">
        <f>_xlfn.XLOOKUP(B355,[1]四三数据累计!$A:$A,[1]四三数据累计!$B:$B)</f>
        <v>#N/A</v>
      </c>
      <c r="B355" s="2">
        <v>5539</v>
      </c>
      <c r="C355" s="2">
        <v>7</v>
      </c>
      <c r="D355" s="2">
        <v>1270.05</v>
      </c>
    </row>
    <row r="356" spans="1:4">
      <c r="A356" t="e">
        <f>_xlfn.XLOOKUP(B356,[1]四三数据累计!$A:$A,[1]四三数据累计!$B:$B)</f>
        <v>#N/A</v>
      </c>
      <c r="B356" s="2">
        <v>5542</v>
      </c>
      <c r="C356" s="2">
        <v>6</v>
      </c>
      <c r="D356" s="2">
        <v>82.94</v>
      </c>
    </row>
    <row r="357" spans="1:4">
      <c r="A357" t="e">
        <f>_xlfn.XLOOKUP(B357,[1]四三数据累计!$A:$A,[1]四三数据累计!$B:$B)</f>
        <v>#N/A</v>
      </c>
      <c r="B357" s="2">
        <v>5567</v>
      </c>
      <c r="C357" s="2">
        <v>4</v>
      </c>
      <c r="D357" s="2">
        <v>76.16</v>
      </c>
    </row>
    <row r="358" spans="1:4">
      <c r="A358" t="e">
        <f>_xlfn.XLOOKUP(B358,[1]四三数据累计!$A:$A,[1]四三数据累计!$B:$B)</f>
        <v>#N/A</v>
      </c>
      <c r="B358" s="2">
        <v>5573</v>
      </c>
      <c r="C358" s="2">
        <v>10</v>
      </c>
      <c r="D358" s="2">
        <v>1172.59</v>
      </c>
    </row>
    <row r="359" spans="1:4">
      <c r="A359" t="e">
        <f>_xlfn.XLOOKUP(B359,[1]四三数据累计!$A:$A,[1]四三数据累计!$B:$B)</f>
        <v>#N/A</v>
      </c>
      <c r="B359" s="2">
        <v>5581</v>
      </c>
      <c r="C359" s="2">
        <v>3</v>
      </c>
      <c r="D359" s="2">
        <v>564.15</v>
      </c>
    </row>
    <row r="360" spans="1:4">
      <c r="A360" t="e">
        <f>_xlfn.XLOOKUP(B360,[1]四三数据累计!$A:$A,[1]四三数据累计!$B:$B)</f>
        <v>#N/A</v>
      </c>
      <c r="B360" s="2">
        <v>5589</v>
      </c>
      <c r="C360" s="2">
        <v>3</v>
      </c>
      <c r="D360" s="2">
        <v>103.8</v>
      </c>
    </row>
    <row r="361" spans="1:4">
      <c r="A361" t="e">
        <f>_xlfn.XLOOKUP(B361,[1]四三数据累计!$A:$A,[1]四三数据累计!$B:$B)</f>
        <v>#N/A</v>
      </c>
      <c r="B361" s="2">
        <v>5590</v>
      </c>
      <c r="C361" s="2">
        <v>7</v>
      </c>
      <c r="D361" s="2">
        <v>215.6</v>
      </c>
    </row>
    <row r="362" spans="1:4">
      <c r="A362" t="e">
        <f>_xlfn.XLOOKUP(B362,[1]四三数据累计!$A:$A,[1]四三数据累计!$B:$B)</f>
        <v>#N/A</v>
      </c>
      <c r="B362" s="2">
        <v>5598</v>
      </c>
      <c r="C362" s="2">
        <v>1</v>
      </c>
      <c r="D362" s="2">
        <v>168</v>
      </c>
    </row>
    <row r="363" spans="1:4">
      <c r="A363" t="e">
        <f>_xlfn.XLOOKUP(B363,[1]四三数据累计!$A:$A,[1]四三数据累计!$B:$B)</f>
        <v>#N/A</v>
      </c>
      <c r="B363" s="2">
        <v>5611</v>
      </c>
      <c r="C363" s="2">
        <v>3</v>
      </c>
      <c r="D363" s="2">
        <v>37.77</v>
      </c>
    </row>
    <row r="364" spans="1:4">
      <c r="A364" t="e">
        <f>_xlfn.XLOOKUP(B364,[1]四三数据累计!$A:$A,[1]四三数据累计!$B:$B)</f>
        <v>#N/A</v>
      </c>
      <c r="B364" s="2">
        <v>5618</v>
      </c>
      <c r="C364" s="2">
        <v>6</v>
      </c>
      <c r="D364" s="2">
        <v>95.94</v>
      </c>
    </row>
    <row r="365" spans="1:4">
      <c r="A365" t="e">
        <f>_xlfn.XLOOKUP(B365,[1]四三数据累计!$A:$A,[1]四三数据累计!$B:$B)</f>
        <v>#N/A</v>
      </c>
      <c r="B365" s="2">
        <v>5619</v>
      </c>
      <c r="C365" s="2">
        <v>5</v>
      </c>
      <c r="D365" s="2">
        <v>65.3</v>
      </c>
    </row>
    <row r="366" spans="1:4">
      <c r="A366" t="e">
        <f>_xlfn.XLOOKUP(B366,[1]四三数据累计!$A:$A,[1]四三数据累计!$B:$B)</f>
        <v>#N/A</v>
      </c>
      <c r="B366" s="2">
        <v>5620</v>
      </c>
      <c r="C366" s="2">
        <v>2</v>
      </c>
      <c r="D366" s="2">
        <v>21.4</v>
      </c>
    </row>
    <row r="367" spans="1:4">
      <c r="A367" t="e">
        <f>_xlfn.XLOOKUP(B367,[1]四三数据累计!$A:$A,[1]四三数据累计!$B:$B)</f>
        <v>#N/A</v>
      </c>
      <c r="B367" s="2">
        <v>5630</v>
      </c>
      <c r="C367" s="2">
        <v>4</v>
      </c>
      <c r="D367" s="2">
        <v>44</v>
      </c>
    </row>
    <row r="368" spans="1:4">
      <c r="A368" t="e">
        <f>_xlfn.XLOOKUP(B368,[1]四三数据累计!$A:$A,[1]四三数据累计!$B:$B)</f>
        <v>#N/A</v>
      </c>
      <c r="B368" s="2">
        <v>5660</v>
      </c>
      <c r="C368" s="2">
        <v>5</v>
      </c>
      <c r="D368" s="2">
        <v>66.46</v>
      </c>
    </row>
    <row r="369" spans="1:4">
      <c r="A369" t="e">
        <f>_xlfn.XLOOKUP(B369,[1]四三数据累计!$A:$A,[1]四三数据累计!$B:$B)</f>
        <v>#N/A</v>
      </c>
      <c r="B369" s="2">
        <v>5670</v>
      </c>
      <c r="C369" s="2">
        <v>17</v>
      </c>
      <c r="D369" s="2">
        <v>1018.78</v>
      </c>
    </row>
    <row r="370" spans="1:4">
      <c r="A370" t="e">
        <f>_xlfn.XLOOKUP(B370,[1]四三数据累计!$A:$A,[1]四三数据累计!$B:$B)</f>
        <v>#N/A</v>
      </c>
      <c r="B370" s="2">
        <v>5671</v>
      </c>
      <c r="C370" s="2">
        <v>4</v>
      </c>
      <c r="D370" s="2">
        <v>515.96</v>
      </c>
    </row>
    <row r="371" spans="1:4">
      <c r="A371" t="e">
        <f>_xlfn.XLOOKUP(B371,[1]四三数据累计!$A:$A,[1]四三数据累计!$B:$B)</f>
        <v>#N/A</v>
      </c>
      <c r="B371" s="2">
        <v>5672</v>
      </c>
      <c r="C371" s="2">
        <v>1</v>
      </c>
      <c r="D371" s="2">
        <v>129.88</v>
      </c>
    </row>
    <row r="372" spans="1:4">
      <c r="A372" t="e">
        <f>_xlfn.XLOOKUP(B372,[1]四三数据累计!$A:$A,[1]四三数据累计!$B:$B)</f>
        <v>#N/A</v>
      </c>
      <c r="B372" s="2">
        <v>5690</v>
      </c>
      <c r="C372" s="2">
        <v>11</v>
      </c>
      <c r="D372" s="2">
        <v>178.69</v>
      </c>
    </row>
    <row r="373" spans="1:4">
      <c r="A373" t="e">
        <f>_xlfn.XLOOKUP(B373,[1]四三数据累计!$A:$A,[1]四三数据累计!$B:$B)</f>
        <v>#N/A</v>
      </c>
      <c r="B373" s="2">
        <v>5708</v>
      </c>
      <c r="C373" s="2">
        <v>7</v>
      </c>
      <c r="D373" s="2">
        <v>1036.82</v>
      </c>
    </row>
    <row r="374" spans="1:4">
      <c r="A374" t="e">
        <f>_xlfn.XLOOKUP(B374,[1]四三数据累计!$A:$A,[1]四三数据累计!$B:$B)</f>
        <v>#N/A</v>
      </c>
      <c r="B374" s="2">
        <v>5728</v>
      </c>
      <c r="C374" s="2">
        <v>4</v>
      </c>
      <c r="D374" s="2">
        <v>61.02</v>
      </c>
    </row>
    <row r="375" spans="1:4">
      <c r="A375" t="e">
        <f>_xlfn.XLOOKUP(B375,[1]四三数据累计!$A:$A,[1]四三数据累计!$B:$B)</f>
        <v>#N/A</v>
      </c>
      <c r="B375" s="2">
        <v>5787</v>
      </c>
      <c r="C375" s="2">
        <v>1</v>
      </c>
      <c r="D375" s="2">
        <v>142.3</v>
      </c>
    </row>
    <row r="376" spans="1:4">
      <c r="A376" t="e">
        <f>_xlfn.XLOOKUP(B376,[1]四三数据累计!$A:$A,[1]四三数据累计!$B:$B)</f>
        <v>#N/A</v>
      </c>
      <c r="B376" s="2">
        <v>5813</v>
      </c>
      <c r="C376" s="2">
        <v>1</v>
      </c>
      <c r="D376" s="2">
        <v>115</v>
      </c>
    </row>
    <row r="377" spans="1:4">
      <c r="A377" t="e">
        <f>_xlfn.XLOOKUP(B377,[1]四三数据累计!$A:$A,[1]四三数据累计!$B:$B)</f>
        <v>#N/A</v>
      </c>
      <c r="B377" s="2">
        <v>5834</v>
      </c>
      <c r="C377" s="2">
        <v>6</v>
      </c>
      <c r="D377" s="2">
        <v>413.93</v>
      </c>
    </row>
    <row r="378" spans="1:4">
      <c r="A378" t="e">
        <f>_xlfn.XLOOKUP(B378,[1]四三数据累计!$A:$A,[1]四三数据累计!$B:$B)</f>
        <v>#N/A</v>
      </c>
      <c r="B378" s="2">
        <v>5835</v>
      </c>
      <c r="C378" s="2">
        <v>1</v>
      </c>
      <c r="D378" s="2">
        <v>264.29</v>
      </c>
    </row>
    <row r="379" spans="1:4">
      <c r="A379" t="e">
        <f>_xlfn.XLOOKUP(B379,[1]四三数据累计!$A:$A,[1]四三数据累计!$B:$B)</f>
        <v>#N/A</v>
      </c>
      <c r="B379" s="2">
        <v>5836</v>
      </c>
      <c r="C379" s="2">
        <v>1</v>
      </c>
      <c r="D379" s="2">
        <v>264.29</v>
      </c>
    </row>
    <row r="380" spans="1:4">
      <c r="A380" t="e">
        <f>_xlfn.XLOOKUP(B380,[1]四三数据累计!$A:$A,[1]四三数据累计!$B:$B)</f>
        <v>#N/A</v>
      </c>
      <c r="B380" s="2">
        <v>5841</v>
      </c>
      <c r="C380" s="2">
        <v>7</v>
      </c>
      <c r="D380" s="2">
        <v>77.53</v>
      </c>
    </row>
    <row r="381" spans="1:4">
      <c r="A381" t="e">
        <f>_xlfn.XLOOKUP(B381,[1]四三数据累计!$A:$A,[1]四三数据累计!$B:$B)</f>
        <v>#N/A</v>
      </c>
      <c r="B381" s="2">
        <v>5843</v>
      </c>
      <c r="C381" s="2">
        <v>1</v>
      </c>
      <c r="D381" s="2">
        <v>112.99</v>
      </c>
    </row>
    <row r="382" spans="1:4">
      <c r="A382" t="e">
        <f>_xlfn.XLOOKUP(B382,[1]四三数据累计!$A:$A,[1]四三数据累计!$B:$B)</f>
        <v>#N/A</v>
      </c>
      <c r="B382" s="2">
        <v>5869</v>
      </c>
      <c r="C382" s="2">
        <v>3</v>
      </c>
      <c r="D382" s="2">
        <v>509.11</v>
      </c>
    </row>
    <row r="383" spans="1:4">
      <c r="A383" t="e">
        <f>_xlfn.XLOOKUP(B383,[1]四三数据累计!$A:$A,[1]四三数据累计!$B:$B)</f>
        <v>#N/A</v>
      </c>
      <c r="B383" s="2">
        <v>5919</v>
      </c>
      <c r="C383" s="2">
        <v>2</v>
      </c>
      <c r="D383" s="2">
        <v>429.04</v>
      </c>
    </row>
    <row r="384" spans="1:4">
      <c r="A384" t="e">
        <f>_xlfn.XLOOKUP(B384,[1]四三数据累计!$A:$A,[1]四三数据累计!$B:$B)</f>
        <v>#N/A</v>
      </c>
      <c r="B384" s="2">
        <v>5958</v>
      </c>
      <c r="C384" s="2">
        <v>4</v>
      </c>
      <c r="D384" s="2">
        <v>59.6</v>
      </c>
    </row>
    <row r="385" spans="1:4">
      <c r="A385" t="e">
        <f>_xlfn.XLOOKUP(B385,[1]四三数据累计!$A:$A,[1]四三数据累计!$B:$B)</f>
        <v>#N/A</v>
      </c>
      <c r="B385" s="2">
        <v>5987</v>
      </c>
      <c r="C385" s="2">
        <v>1</v>
      </c>
      <c r="D385" s="2">
        <v>176.99</v>
      </c>
    </row>
    <row r="386" spans="1:4">
      <c r="A386" t="e">
        <f>_xlfn.XLOOKUP(B386,[1]四三数据累计!$A:$A,[1]四三数据累计!$B:$B)</f>
        <v>#N/A</v>
      </c>
      <c r="B386" s="2">
        <v>5993</v>
      </c>
      <c r="C386" s="2">
        <v>11</v>
      </c>
      <c r="D386" s="2">
        <v>199.1</v>
      </c>
    </row>
    <row r="387" spans="1:4">
      <c r="A387" t="e">
        <f>_xlfn.XLOOKUP(B387,[1]四三数据累计!$A:$A,[1]四三数据累计!$B:$B)</f>
        <v>#N/A</v>
      </c>
      <c r="B387" s="2">
        <v>6031</v>
      </c>
      <c r="C387" s="2">
        <v>3</v>
      </c>
      <c r="D387" s="2">
        <v>32.17</v>
      </c>
    </row>
    <row r="388" spans="1:4">
      <c r="A388" t="e">
        <f>_xlfn.XLOOKUP(B388,[1]四三数据累计!$A:$A,[1]四三数据累计!$B:$B)</f>
        <v>#N/A</v>
      </c>
      <c r="B388" s="2">
        <v>6033</v>
      </c>
      <c r="C388" s="2">
        <v>4</v>
      </c>
      <c r="D388" s="2">
        <v>119.3</v>
      </c>
    </row>
    <row r="389" spans="1:4">
      <c r="A389" t="e">
        <f>_xlfn.XLOOKUP(B389,[1]四三数据累计!$A:$A,[1]四三数据累计!$B:$B)</f>
        <v>#N/A</v>
      </c>
      <c r="B389" s="2">
        <v>6058</v>
      </c>
      <c r="C389" s="2">
        <v>2</v>
      </c>
      <c r="D389" s="2">
        <v>114</v>
      </c>
    </row>
    <row r="390" spans="1:4">
      <c r="A390" t="e">
        <f>_xlfn.XLOOKUP(B390,[1]四三数据累计!$A:$A,[1]四三数据累计!$B:$B)</f>
        <v>#N/A</v>
      </c>
      <c r="B390" s="2">
        <v>6162</v>
      </c>
      <c r="C390" s="2">
        <v>1</v>
      </c>
      <c r="D390" s="2">
        <v>334.59</v>
      </c>
    </row>
    <row r="391" spans="1:4">
      <c r="A391" t="e">
        <f>_xlfn.XLOOKUP(B391,[1]四三数据累计!$A:$A,[1]四三数据累计!$B:$B)</f>
        <v>#N/A</v>
      </c>
      <c r="B391" s="2">
        <v>6267</v>
      </c>
      <c r="C391" s="2">
        <v>16</v>
      </c>
      <c r="D391" s="2">
        <v>2119.49</v>
      </c>
    </row>
    <row r="392" spans="1:4">
      <c r="A392" t="e">
        <f>_xlfn.XLOOKUP(B392,[1]四三数据累计!$A:$A,[1]四三数据累计!$B:$B)</f>
        <v>#N/A</v>
      </c>
      <c r="B392" s="2">
        <v>6288</v>
      </c>
      <c r="C392" s="2">
        <v>2</v>
      </c>
      <c r="D392" s="2">
        <v>394.71</v>
      </c>
    </row>
    <row r="393" spans="1:4">
      <c r="A393" t="e">
        <f>_xlfn.XLOOKUP(B393,[1]四三数据累计!$A:$A,[1]四三数据累计!$B:$B)</f>
        <v>#N/A</v>
      </c>
      <c r="B393" s="2">
        <v>6454</v>
      </c>
      <c r="C393" s="2">
        <v>8</v>
      </c>
      <c r="D393" s="2">
        <v>356.55</v>
      </c>
    </row>
    <row r="394" spans="1:4">
      <c r="A394" t="e">
        <f>_xlfn.XLOOKUP(B394,[1]四三数据累计!$A:$A,[1]四三数据累计!$B:$B)</f>
        <v>#N/A</v>
      </c>
      <c r="B394" s="2">
        <v>6531</v>
      </c>
      <c r="C394" s="2">
        <v>14</v>
      </c>
      <c r="D394" s="2">
        <v>594.32</v>
      </c>
    </row>
    <row r="395" spans="1:4">
      <c r="A395" t="e">
        <f>_xlfn.XLOOKUP(B395,[1]四三数据累计!$A:$A,[1]四三数据累计!$B:$B)</f>
        <v>#N/A</v>
      </c>
      <c r="B395" s="2">
        <v>6559</v>
      </c>
      <c r="C395" s="2">
        <v>7</v>
      </c>
      <c r="D395" s="2">
        <v>204.31</v>
      </c>
    </row>
    <row r="396" spans="1:4">
      <c r="A396" t="e">
        <f>_xlfn.XLOOKUP(B396,[1]四三数据累计!$A:$A,[1]四三数据累计!$B:$B)</f>
        <v>#N/A</v>
      </c>
      <c r="B396" s="2">
        <v>6681</v>
      </c>
      <c r="C396" s="2">
        <v>8</v>
      </c>
      <c r="D396" s="2">
        <v>388.1</v>
      </c>
    </row>
    <row r="397" spans="1:4">
      <c r="A397" t="e">
        <f>_xlfn.XLOOKUP(B397,[1]四三数据累计!$A:$A,[1]四三数据累计!$B:$B)</f>
        <v>#N/A</v>
      </c>
      <c r="B397" s="2">
        <v>6725</v>
      </c>
      <c r="C397" s="2">
        <v>6</v>
      </c>
      <c r="D397" s="2">
        <v>567.84</v>
      </c>
    </row>
    <row r="398" spans="1:4">
      <c r="A398" t="e">
        <f>_xlfn.XLOOKUP(B398,[1]四三数据累计!$A:$A,[1]四三数据累计!$B:$B)</f>
        <v>#N/A</v>
      </c>
      <c r="B398" s="2">
        <v>6762</v>
      </c>
      <c r="C398" s="2">
        <v>1</v>
      </c>
      <c r="D398" s="2">
        <v>112.07</v>
      </c>
    </row>
    <row r="399" spans="1:4">
      <c r="A399" t="e">
        <f>_xlfn.XLOOKUP(B399,[1]四三数据累计!$A:$A,[1]四三数据累计!$B:$B)</f>
        <v>#N/A</v>
      </c>
      <c r="B399" s="2">
        <v>6763</v>
      </c>
      <c r="C399" s="2">
        <v>2</v>
      </c>
      <c r="D399" s="2">
        <v>132.26</v>
      </c>
    </row>
    <row r="400" spans="1:4">
      <c r="A400" t="e">
        <f>_xlfn.XLOOKUP(B400,[1]四三数据累计!$A:$A,[1]四三数据累计!$B:$B)</f>
        <v>#N/A</v>
      </c>
      <c r="B400" s="2">
        <v>6787</v>
      </c>
      <c r="C400" s="2">
        <v>2</v>
      </c>
      <c r="D400" s="2">
        <v>459.34</v>
      </c>
    </row>
    <row r="401" spans="1:4">
      <c r="A401" t="e">
        <f>_xlfn.XLOOKUP(B401,[1]四三数据累计!$A:$A,[1]四三数据累计!$B:$B)</f>
        <v>#N/A</v>
      </c>
      <c r="B401" s="2">
        <v>6872</v>
      </c>
      <c r="C401" s="2">
        <v>3</v>
      </c>
      <c r="D401" s="2">
        <v>590.91</v>
      </c>
    </row>
    <row r="402" spans="1:4">
      <c r="A402" t="e">
        <f>_xlfn.XLOOKUP(B402,[1]四三数据累计!$A:$A,[1]四三数据累计!$B:$B)</f>
        <v>#N/A</v>
      </c>
      <c r="B402" s="2">
        <v>6903</v>
      </c>
      <c r="C402" s="2">
        <v>16</v>
      </c>
      <c r="D402" s="2">
        <v>1082.25</v>
      </c>
    </row>
    <row r="403" spans="1:4">
      <c r="A403" t="e">
        <f>_xlfn.XLOOKUP(B403,[1]四三数据累计!$A:$A,[1]四三数据累计!$B:$B)</f>
        <v>#N/A</v>
      </c>
      <c r="B403" s="2">
        <v>6907</v>
      </c>
      <c r="C403" s="2">
        <v>1</v>
      </c>
      <c r="D403" s="2">
        <v>324</v>
      </c>
    </row>
    <row r="404" spans="1:4">
      <c r="A404" t="e">
        <f>_xlfn.XLOOKUP(B404,[1]四三数据累计!$A:$A,[1]四三数据累计!$B:$B)</f>
        <v>#N/A</v>
      </c>
      <c r="B404" s="2">
        <v>6909</v>
      </c>
      <c r="C404" s="2">
        <v>1</v>
      </c>
      <c r="D404" s="2">
        <v>184.99</v>
      </c>
    </row>
    <row r="405" spans="1:4">
      <c r="A405" t="e">
        <f>_xlfn.XLOOKUP(B405,[1]四三数据累计!$A:$A,[1]四三数据累计!$B:$B)</f>
        <v>#N/A</v>
      </c>
      <c r="B405" s="2">
        <v>6910</v>
      </c>
      <c r="C405" s="2">
        <v>4</v>
      </c>
      <c r="D405" s="2">
        <v>996.48</v>
      </c>
    </row>
    <row r="406" spans="1:4">
      <c r="A406" t="e">
        <f>_xlfn.XLOOKUP(B406,[1]四三数据累计!$A:$A,[1]四三数据累计!$B:$B)</f>
        <v>#N/A</v>
      </c>
      <c r="B406" s="2">
        <v>6912</v>
      </c>
      <c r="C406" s="2">
        <v>2</v>
      </c>
      <c r="D406" s="2">
        <v>411.6</v>
      </c>
    </row>
    <row r="407" spans="1:4">
      <c r="A407" t="e">
        <f>_xlfn.XLOOKUP(B407,[1]四三数据累计!$A:$A,[1]四三数据累计!$B:$B)</f>
        <v>#N/A</v>
      </c>
      <c r="B407" s="2">
        <v>6913</v>
      </c>
      <c r="C407" s="2">
        <v>3</v>
      </c>
      <c r="D407" s="2">
        <v>607.9</v>
      </c>
    </row>
    <row r="408" spans="1:4">
      <c r="A408" t="e">
        <f>_xlfn.XLOOKUP(B408,[1]四三数据累计!$A:$A,[1]四三数据累计!$B:$B)</f>
        <v>#N/A</v>
      </c>
      <c r="B408" s="2">
        <v>6914</v>
      </c>
      <c r="C408" s="2">
        <v>3</v>
      </c>
      <c r="D408" s="2">
        <v>797.99</v>
      </c>
    </row>
    <row r="409" spans="1:4">
      <c r="A409" t="e">
        <f>_xlfn.XLOOKUP(B409,[1]四三数据累计!$A:$A,[1]四三数据累计!$B:$B)</f>
        <v>#N/A</v>
      </c>
      <c r="B409" s="2">
        <v>6915</v>
      </c>
      <c r="C409" s="2">
        <v>1</v>
      </c>
      <c r="D409" s="2">
        <v>317.32</v>
      </c>
    </row>
    <row r="410" spans="1:4">
      <c r="A410" t="e">
        <f>_xlfn.XLOOKUP(B410,[1]四三数据累计!$A:$A,[1]四三数据累计!$B:$B)</f>
        <v>#N/A</v>
      </c>
      <c r="B410" s="2">
        <v>6977</v>
      </c>
      <c r="C410" s="2">
        <v>2</v>
      </c>
      <c r="D410" s="2">
        <v>70.18</v>
      </c>
    </row>
    <row r="411" spans="1:4">
      <c r="A411" t="e">
        <f>_xlfn.XLOOKUP(B411,[1]四三数据累计!$A:$A,[1]四三数据累计!$B:$B)</f>
        <v>#N/A</v>
      </c>
      <c r="B411" s="2">
        <v>6991</v>
      </c>
      <c r="C411" s="2">
        <v>6</v>
      </c>
      <c r="D411" s="2">
        <v>227.94</v>
      </c>
    </row>
    <row r="412" spans="1:4">
      <c r="A412" t="e">
        <f>_xlfn.XLOOKUP(B412,[1]四三数据累计!$A:$A,[1]四三数据累计!$B:$B)</f>
        <v>#N/A</v>
      </c>
      <c r="B412" s="2">
        <v>7042</v>
      </c>
      <c r="C412" s="2">
        <v>12</v>
      </c>
      <c r="D412" s="2">
        <v>197.44</v>
      </c>
    </row>
    <row r="413" spans="1:4">
      <c r="A413" t="e">
        <f>_xlfn.XLOOKUP(B413,[1]四三数据累计!$A:$A,[1]四三数据累计!$B:$B)</f>
        <v>#N/A</v>
      </c>
      <c r="B413" s="2">
        <v>7103</v>
      </c>
      <c r="C413" s="2">
        <v>1</v>
      </c>
      <c r="D413" s="2">
        <v>47.68</v>
      </c>
    </row>
    <row r="414" spans="1:4">
      <c r="A414" t="e">
        <f>_xlfn.XLOOKUP(B414,[1]四三数据累计!$A:$A,[1]四三数据累计!$B:$B)</f>
        <v>#N/A</v>
      </c>
      <c r="B414" s="2">
        <v>7104</v>
      </c>
      <c r="C414" s="2">
        <v>7</v>
      </c>
      <c r="D414" s="2">
        <v>298.81</v>
      </c>
    </row>
    <row r="415" spans="1:4">
      <c r="A415" t="e">
        <f>_xlfn.XLOOKUP(B415,[1]四三数据累计!$A:$A,[1]四三数据累计!$B:$B)</f>
        <v>#N/A</v>
      </c>
      <c r="B415" s="2">
        <v>7119</v>
      </c>
      <c r="C415" s="2">
        <v>5</v>
      </c>
      <c r="D415" s="2">
        <v>219.59</v>
      </c>
    </row>
    <row r="416" spans="1:4">
      <c r="A416" t="e">
        <f>_xlfn.XLOOKUP(B416,[1]四三数据累计!$A:$A,[1]四三数据累计!$B:$B)</f>
        <v>#N/A</v>
      </c>
      <c r="B416" s="2">
        <v>7173</v>
      </c>
      <c r="C416" s="2">
        <v>8</v>
      </c>
      <c r="D416" s="2">
        <v>853</v>
      </c>
    </row>
    <row r="417" spans="1:4">
      <c r="A417" t="e">
        <f>_xlfn.XLOOKUP(B417,[1]四三数据累计!$A:$A,[1]四三数据累计!$B:$B)</f>
        <v>#N/A</v>
      </c>
      <c r="B417" s="2">
        <v>7190</v>
      </c>
      <c r="C417" s="2">
        <v>1</v>
      </c>
      <c r="D417" s="2">
        <v>237.16</v>
      </c>
    </row>
    <row r="418" spans="1:4">
      <c r="A418" t="e">
        <f>_xlfn.XLOOKUP(B418,[1]四三数据累计!$A:$A,[1]四三数据累计!$B:$B)</f>
        <v>#N/A</v>
      </c>
      <c r="B418" s="2">
        <v>7194</v>
      </c>
      <c r="C418" s="2">
        <v>6</v>
      </c>
      <c r="D418" s="2">
        <v>1012.26</v>
      </c>
    </row>
    <row r="419" spans="1:4">
      <c r="A419" t="e">
        <f>_xlfn.XLOOKUP(B419,[1]四三数据累计!$A:$A,[1]四三数据累计!$B:$B)</f>
        <v>#N/A</v>
      </c>
      <c r="B419" s="2">
        <v>7242</v>
      </c>
      <c r="C419" s="2">
        <v>8</v>
      </c>
      <c r="D419" s="2">
        <v>1222.24</v>
      </c>
    </row>
    <row r="420" spans="1:4">
      <c r="A420" t="e">
        <f>_xlfn.XLOOKUP(B420,[1]四三数据累计!$A:$A,[1]四三数据累计!$B:$B)</f>
        <v>#N/A</v>
      </c>
      <c r="B420" s="2">
        <v>7248</v>
      </c>
      <c r="C420" s="2">
        <v>4</v>
      </c>
      <c r="D420" s="2">
        <v>356</v>
      </c>
    </row>
    <row r="421" spans="1:4">
      <c r="A421" t="e">
        <f>_xlfn.XLOOKUP(B421,[1]四三数据累计!$A:$A,[1]四三数据累计!$B:$B)</f>
        <v>#N/A</v>
      </c>
      <c r="B421" s="2">
        <v>7249</v>
      </c>
      <c r="C421" s="2">
        <v>11</v>
      </c>
      <c r="D421" s="2">
        <v>1196.32</v>
      </c>
    </row>
    <row r="422" spans="1:4">
      <c r="A422" t="e">
        <f>_xlfn.XLOOKUP(B422,[1]四三数据累计!$A:$A,[1]四三数据累计!$B:$B)</f>
        <v>#N/A</v>
      </c>
      <c r="B422" s="2">
        <v>7250</v>
      </c>
      <c r="C422" s="2">
        <v>14</v>
      </c>
      <c r="D422" s="2">
        <v>1476</v>
      </c>
    </row>
    <row r="423" spans="1:4">
      <c r="A423" t="e">
        <f>_xlfn.XLOOKUP(B423,[1]四三数据累计!$A:$A,[1]四三数据累计!$B:$B)</f>
        <v>#N/A</v>
      </c>
      <c r="B423" s="2">
        <v>7251</v>
      </c>
      <c r="C423" s="2">
        <v>2</v>
      </c>
      <c r="D423" s="2">
        <v>370.2</v>
      </c>
    </row>
    <row r="424" spans="1:4">
      <c r="A424" t="e">
        <f>_xlfn.XLOOKUP(B424,[1]四三数据累计!$A:$A,[1]四三数据累计!$B:$B)</f>
        <v>#N/A</v>
      </c>
      <c r="B424" s="2">
        <v>7252</v>
      </c>
      <c r="C424" s="2">
        <v>1</v>
      </c>
      <c r="D424" s="2">
        <v>186.5</v>
      </c>
    </row>
    <row r="425" spans="1:4">
      <c r="A425" t="e">
        <f>_xlfn.XLOOKUP(B425,[1]四三数据累计!$A:$A,[1]四三数据累计!$B:$B)</f>
        <v>#N/A</v>
      </c>
      <c r="B425" s="2">
        <v>7314</v>
      </c>
      <c r="C425" s="2">
        <v>1</v>
      </c>
      <c r="D425" s="2">
        <v>223.62</v>
      </c>
    </row>
    <row r="426" spans="1:4">
      <c r="A426" t="e">
        <f>_xlfn.XLOOKUP(B426,[1]四三数据累计!$A:$A,[1]四三数据累计!$B:$B)</f>
        <v>#N/A</v>
      </c>
      <c r="B426" s="2">
        <v>7315</v>
      </c>
      <c r="C426" s="2">
        <v>3</v>
      </c>
      <c r="D426" s="2">
        <v>706</v>
      </c>
    </row>
    <row r="427" spans="1:4">
      <c r="A427" t="e">
        <f>_xlfn.XLOOKUP(B427,[1]四三数据累计!$A:$A,[1]四三数据累计!$B:$B)</f>
        <v>#N/A</v>
      </c>
      <c r="B427" s="2">
        <v>7316</v>
      </c>
      <c r="C427" s="2">
        <v>1</v>
      </c>
      <c r="D427" s="2">
        <v>104</v>
      </c>
    </row>
    <row r="428" spans="1:4">
      <c r="A428" t="e">
        <f>_xlfn.XLOOKUP(B428,[1]四三数据累计!$A:$A,[1]四三数据累计!$B:$B)</f>
        <v>#N/A</v>
      </c>
      <c r="B428" s="2">
        <v>7317</v>
      </c>
      <c r="C428" s="2">
        <v>1</v>
      </c>
      <c r="D428" s="2">
        <v>97</v>
      </c>
    </row>
    <row r="429" spans="1:4">
      <c r="A429" t="e">
        <f>_xlfn.XLOOKUP(B429,[1]四三数据累计!$A:$A,[1]四三数据累计!$B:$B)</f>
        <v>#N/A</v>
      </c>
      <c r="B429" s="2">
        <v>7318</v>
      </c>
      <c r="C429" s="2">
        <v>2</v>
      </c>
      <c r="D429" s="2">
        <v>362.6</v>
      </c>
    </row>
    <row r="430" spans="1:4">
      <c r="A430" t="e">
        <f>_xlfn.XLOOKUP(B430,[1]四三数据累计!$A:$A,[1]四三数据累计!$B:$B)</f>
        <v>#N/A</v>
      </c>
      <c r="B430" s="2">
        <v>7319</v>
      </c>
      <c r="C430" s="2">
        <v>1</v>
      </c>
      <c r="D430" s="2">
        <v>213.7</v>
      </c>
    </row>
    <row r="431" spans="1:4">
      <c r="A431" t="e">
        <f>_xlfn.XLOOKUP(B431,[1]四三数据累计!$A:$A,[1]四三数据累计!$B:$B)</f>
        <v>#N/A</v>
      </c>
      <c r="B431" s="2">
        <v>7443</v>
      </c>
      <c r="C431" s="2">
        <v>1</v>
      </c>
      <c r="D431" s="2">
        <v>29.99</v>
      </c>
    </row>
    <row r="432" spans="1:4">
      <c r="A432" t="e">
        <f>_xlfn.XLOOKUP(B432,[1]四三数据累计!$A:$A,[1]四三数据累计!$B:$B)</f>
        <v>#N/A</v>
      </c>
      <c r="B432" s="2">
        <v>7486</v>
      </c>
      <c r="C432" s="2">
        <v>20</v>
      </c>
      <c r="D432" s="2">
        <v>194</v>
      </c>
    </row>
    <row r="433" spans="1:4">
      <c r="A433" t="e">
        <f>_xlfn.XLOOKUP(B433,[1]四三数据累计!$A:$A,[1]四三数据累计!$B:$B)</f>
        <v>#N/A</v>
      </c>
      <c r="B433" s="2">
        <v>7636</v>
      </c>
      <c r="C433" s="2">
        <v>3</v>
      </c>
      <c r="D433" s="2">
        <v>226.29</v>
      </c>
    </row>
    <row r="434" spans="1:4">
      <c r="A434" t="e">
        <f>_xlfn.XLOOKUP(B434,[1]四三数据累计!$A:$A,[1]四三数据累计!$B:$B)</f>
        <v>#N/A</v>
      </c>
      <c r="B434" s="2">
        <v>7643</v>
      </c>
      <c r="C434" s="2">
        <v>8</v>
      </c>
      <c r="D434" s="2">
        <v>205.96</v>
      </c>
    </row>
    <row r="435" spans="1:4">
      <c r="A435" t="e">
        <f>_xlfn.XLOOKUP(B435,[1]四三数据累计!$A:$A,[1]四三数据累计!$B:$B)</f>
        <v>#N/A</v>
      </c>
      <c r="B435" s="2">
        <v>7686</v>
      </c>
      <c r="C435" s="2">
        <v>1</v>
      </c>
      <c r="D435" s="2">
        <v>23.19</v>
      </c>
    </row>
    <row r="436" spans="1:4">
      <c r="A436" t="e">
        <f>_xlfn.XLOOKUP(B436,[1]四三数据累计!$A:$A,[1]四三数据累计!$B:$B)</f>
        <v>#N/A</v>
      </c>
      <c r="B436" s="2">
        <v>7688</v>
      </c>
      <c r="C436" s="2">
        <v>6</v>
      </c>
      <c r="D436" s="2">
        <v>220.15</v>
      </c>
    </row>
    <row r="437" spans="1:4">
      <c r="A437" t="e">
        <f>_xlfn.XLOOKUP(B437,[1]四三数据累计!$A:$A,[1]四三数据累计!$B:$B)</f>
        <v>#N/A</v>
      </c>
      <c r="B437" s="2">
        <v>7689</v>
      </c>
      <c r="C437" s="2">
        <v>9</v>
      </c>
      <c r="D437" s="2">
        <v>331.71</v>
      </c>
    </row>
    <row r="438" spans="1:4">
      <c r="A438" t="e">
        <f>_xlfn.XLOOKUP(B438,[1]四三数据累计!$A:$A,[1]四三数据累计!$B:$B)</f>
        <v>#N/A</v>
      </c>
      <c r="B438" s="2">
        <v>7893</v>
      </c>
      <c r="C438" s="2">
        <v>2</v>
      </c>
      <c r="D438" s="2">
        <v>347.98</v>
      </c>
    </row>
    <row r="439" spans="1:4">
      <c r="A439" t="e">
        <f>_xlfn.XLOOKUP(B439,[1]四三数据累计!$A:$A,[1]四三数据累计!$B:$B)</f>
        <v>#N/A</v>
      </c>
      <c r="B439" s="2">
        <v>7918</v>
      </c>
      <c r="C439" s="2">
        <v>6</v>
      </c>
      <c r="D439" s="2">
        <v>448.44</v>
      </c>
    </row>
    <row r="440" spans="1:4">
      <c r="A440" t="e">
        <f>_xlfn.XLOOKUP(B440,[1]四三数据累计!$A:$A,[1]四三数据累计!$B:$B)</f>
        <v>#N/A</v>
      </c>
      <c r="B440" s="2">
        <v>7964</v>
      </c>
      <c r="C440" s="2">
        <v>7</v>
      </c>
      <c r="D440" s="2">
        <v>489.03</v>
      </c>
    </row>
    <row r="441" spans="1:4">
      <c r="A441" t="e">
        <f>_xlfn.XLOOKUP(B441,[1]四三数据累计!$A:$A,[1]四三数据累计!$B:$B)</f>
        <v>#N/A</v>
      </c>
      <c r="B441" s="2">
        <v>7965</v>
      </c>
      <c r="C441" s="2">
        <v>2</v>
      </c>
      <c r="D441" s="2">
        <v>178.81</v>
      </c>
    </row>
    <row r="442" spans="1:4">
      <c r="A442" t="e">
        <f>_xlfn.XLOOKUP(B442,[1]四三数据累计!$A:$A,[1]四三数据累计!$B:$B)</f>
        <v>#N/A</v>
      </c>
      <c r="B442" s="2">
        <v>8082</v>
      </c>
      <c r="C442" s="2">
        <v>1</v>
      </c>
      <c r="D442" s="2">
        <v>38.99</v>
      </c>
    </row>
    <row r="443" spans="1:4">
      <c r="A443" t="e">
        <f>_xlfn.XLOOKUP(B443,[1]四三数据累计!$A:$A,[1]四三数据累计!$B:$B)</f>
        <v>#N/A</v>
      </c>
      <c r="B443" s="2">
        <v>8083</v>
      </c>
      <c r="C443" s="2">
        <v>6</v>
      </c>
      <c r="D443" s="2">
        <v>139.68</v>
      </c>
    </row>
    <row r="444" spans="1:4">
      <c r="A444" t="e">
        <f>_xlfn.XLOOKUP(B444,[1]四三数据累计!$A:$A,[1]四三数据累计!$B:$B)</f>
        <v>#N/A</v>
      </c>
      <c r="B444" s="2">
        <v>8087</v>
      </c>
      <c r="C444" s="2">
        <v>3</v>
      </c>
      <c r="D444" s="2">
        <v>191.16</v>
      </c>
    </row>
    <row r="445" spans="1:4">
      <c r="A445" t="e">
        <f>_xlfn.XLOOKUP(B445,[1]四三数据累计!$A:$A,[1]四三数据累计!$B:$B)</f>
        <v>#N/A</v>
      </c>
      <c r="B445" s="2">
        <v>8088</v>
      </c>
      <c r="C445" s="2">
        <v>4</v>
      </c>
      <c r="D445" s="2">
        <v>95.06</v>
      </c>
    </row>
    <row r="446" spans="1:4">
      <c r="A446" t="e">
        <f>_xlfn.XLOOKUP(B446,[1]四三数据累计!$A:$A,[1]四三数据累计!$B:$B)</f>
        <v>#N/A</v>
      </c>
      <c r="B446" s="2">
        <v>8089</v>
      </c>
      <c r="C446" s="2">
        <v>4</v>
      </c>
      <c r="D446" s="2">
        <v>141.14</v>
      </c>
    </row>
    <row r="447" spans="1:4">
      <c r="A447" t="e">
        <f>_xlfn.XLOOKUP(B447,[1]四三数据累计!$A:$A,[1]四三数据累计!$B:$B)</f>
        <v>#N/A</v>
      </c>
      <c r="B447" s="2">
        <v>8116</v>
      </c>
      <c r="C447" s="2">
        <v>2</v>
      </c>
      <c r="D447" s="2">
        <v>166</v>
      </c>
    </row>
    <row r="448" spans="1:4">
      <c r="A448" t="e">
        <f>_xlfn.XLOOKUP(B448,[1]四三数据累计!$A:$A,[1]四三数据累计!$B:$B)</f>
        <v>#N/A</v>
      </c>
      <c r="B448" s="2">
        <v>8124</v>
      </c>
      <c r="C448" s="2">
        <v>3</v>
      </c>
      <c r="D448" s="2">
        <v>560.43</v>
      </c>
    </row>
    <row r="449" spans="1:4">
      <c r="A449" t="e">
        <f>_xlfn.XLOOKUP(B449,[1]四三数据累计!$A:$A,[1]四三数据累计!$B:$B)</f>
        <v>#N/A</v>
      </c>
      <c r="B449" s="2">
        <v>8125</v>
      </c>
      <c r="C449" s="2">
        <v>3</v>
      </c>
      <c r="D449" s="2">
        <v>663</v>
      </c>
    </row>
    <row r="450" spans="1:4">
      <c r="A450" t="e">
        <f>_xlfn.XLOOKUP(B450,[1]四三数据累计!$A:$A,[1]四三数据累计!$B:$B)</f>
        <v>#N/A</v>
      </c>
      <c r="B450" s="2">
        <v>8181</v>
      </c>
      <c r="C450" s="2">
        <v>3</v>
      </c>
      <c r="D450" s="2">
        <v>141.9</v>
      </c>
    </row>
    <row r="451" spans="1:4">
      <c r="A451" t="e">
        <f>_xlfn.XLOOKUP(B451,[1]四三数据累计!$A:$A,[1]四三数据累计!$B:$B)</f>
        <v>#N/A</v>
      </c>
      <c r="B451" s="2">
        <v>8196</v>
      </c>
      <c r="C451" s="2">
        <v>1</v>
      </c>
      <c r="D451" s="2">
        <v>245</v>
      </c>
    </row>
    <row r="452" spans="1:4">
      <c r="A452" t="e">
        <f>_xlfn.XLOOKUP(B452,[1]四三数据累计!$A:$A,[1]四三数据累计!$B:$B)</f>
        <v>#N/A</v>
      </c>
      <c r="B452" s="2">
        <v>8212</v>
      </c>
      <c r="C452" s="2">
        <v>10</v>
      </c>
      <c r="D452" s="2">
        <v>408.7</v>
      </c>
    </row>
    <row r="453" spans="1:4">
      <c r="A453" t="e">
        <f>_xlfn.XLOOKUP(B453,[1]四三数据累计!$A:$A,[1]四三数据累计!$B:$B)</f>
        <v>#N/A</v>
      </c>
      <c r="B453" s="2">
        <v>8213</v>
      </c>
      <c r="C453" s="2">
        <v>4</v>
      </c>
      <c r="D453" s="2">
        <v>103.8</v>
      </c>
    </row>
    <row r="454" spans="1:4">
      <c r="A454" t="e">
        <f>_xlfn.XLOOKUP(B454,[1]四三数据累计!$A:$A,[1]四三数据累计!$B:$B)</f>
        <v>#N/A</v>
      </c>
      <c r="B454" s="2">
        <v>8234</v>
      </c>
      <c r="C454" s="2">
        <v>3</v>
      </c>
      <c r="D454" s="2">
        <v>870</v>
      </c>
    </row>
    <row r="455" spans="1:4">
      <c r="A455" t="e">
        <f>_xlfn.XLOOKUP(B455,[1]四三数据累计!$A:$A,[1]四三数据累计!$B:$B)</f>
        <v>#N/A</v>
      </c>
      <c r="B455" s="2">
        <v>8254</v>
      </c>
      <c r="C455" s="2">
        <v>1</v>
      </c>
      <c r="D455" s="2">
        <v>38.41</v>
      </c>
    </row>
    <row r="456" spans="1:4">
      <c r="A456" t="e">
        <f>_xlfn.XLOOKUP(B456,[1]四三数据累计!$A:$A,[1]四三数据累计!$B:$B)</f>
        <v>#N/A</v>
      </c>
      <c r="B456" s="2">
        <v>8277</v>
      </c>
      <c r="C456" s="2">
        <v>1</v>
      </c>
      <c r="D456" s="2">
        <v>41.16</v>
      </c>
    </row>
    <row r="457" spans="1:4">
      <c r="A457" t="e">
        <f>_xlfn.XLOOKUP(B457,[1]四三数据累计!$A:$A,[1]四三数据累计!$B:$B)</f>
        <v>#N/A</v>
      </c>
      <c r="B457" s="2">
        <v>8307</v>
      </c>
      <c r="C457" s="2">
        <v>2</v>
      </c>
      <c r="D457" s="2">
        <v>133.94</v>
      </c>
    </row>
    <row r="458" spans="1:4">
      <c r="A458" t="e">
        <f>_xlfn.XLOOKUP(B458,[1]四三数据累计!$A:$A,[1]四三数据累计!$B:$B)</f>
        <v>#N/A</v>
      </c>
      <c r="B458" s="2">
        <v>8333</v>
      </c>
      <c r="C458" s="2">
        <v>1</v>
      </c>
      <c r="D458" s="2">
        <v>95.99</v>
      </c>
    </row>
    <row r="459" spans="1:4">
      <c r="A459" t="e">
        <f>_xlfn.XLOOKUP(B459,[1]四三数据累计!$A:$A,[1]四三数据累计!$B:$B)</f>
        <v>#N/A</v>
      </c>
      <c r="B459" s="2">
        <v>8350</v>
      </c>
      <c r="C459" s="2">
        <v>5</v>
      </c>
      <c r="D459" s="2">
        <v>376.13</v>
      </c>
    </row>
    <row r="460" spans="1:4">
      <c r="A460" t="e">
        <f>_xlfn.XLOOKUP(B460,[1]四三数据累计!$A:$A,[1]四三数据累计!$B:$B)</f>
        <v>#N/A</v>
      </c>
      <c r="B460" s="2">
        <v>8353</v>
      </c>
      <c r="C460" s="2">
        <v>2</v>
      </c>
      <c r="D460" s="2">
        <v>275.98</v>
      </c>
    </row>
    <row r="461" spans="1:4">
      <c r="A461" t="e">
        <f>_xlfn.XLOOKUP(B461,[1]四三数据累计!$A:$A,[1]四三数据累计!$B:$B)</f>
        <v>#N/A</v>
      </c>
      <c r="B461" s="2">
        <v>8354</v>
      </c>
      <c r="C461" s="2">
        <v>28</v>
      </c>
      <c r="D461" s="2">
        <v>1686.73</v>
      </c>
    </row>
    <row r="462" spans="1:4">
      <c r="A462" t="e">
        <f>_xlfn.XLOOKUP(B462,[1]四三数据累计!$A:$A,[1]四三数据累计!$B:$B)</f>
        <v>#N/A</v>
      </c>
      <c r="B462" s="2">
        <v>8359</v>
      </c>
      <c r="C462" s="2">
        <v>11</v>
      </c>
      <c r="D462" s="2">
        <v>540.49</v>
      </c>
    </row>
    <row r="463" spans="1:4">
      <c r="A463" t="e">
        <f>_xlfn.XLOOKUP(B463,[1]四三数据累计!$A:$A,[1]四三数据累计!$B:$B)</f>
        <v>#N/A</v>
      </c>
      <c r="B463" s="2">
        <v>8363</v>
      </c>
      <c r="C463" s="2">
        <v>2</v>
      </c>
      <c r="D463" s="2">
        <v>65.98</v>
      </c>
    </row>
    <row r="464" spans="1:4">
      <c r="A464" t="e">
        <f>_xlfn.XLOOKUP(B464,[1]四三数据累计!$A:$A,[1]四三数据累计!$B:$B)</f>
        <v>#N/A</v>
      </c>
      <c r="B464" s="2">
        <v>8364</v>
      </c>
      <c r="C464" s="2">
        <v>3</v>
      </c>
      <c r="D464" s="2">
        <v>111.47</v>
      </c>
    </row>
    <row r="465" spans="1:4">
      <c r="A465" t="e">
        <f>_xlfn.XLOOKUP(B465,[1]四三数据累计!$A:$A,[1]四三数据累计!$B:$B)</f>
        <v>#N/A</v>
      </c>
      <c r="B465" s="2">
        <v>8366</v>
      </c>
      <c r="C465" s="2">
        <v>3</v>
      </c>
      <c r="D465" s="2">
        <v>120.27</v>
      </c>
    </row>
    <row r="466" spans="1:4">
      <c r="A466" t="e">
        <f>_xlfn.XLOOKUP(B466,[1]四三数据累计!$A:$A,[1]四三数据累计!$B:$B)</f>
        <v>#N/A</v>
      </c>
      <c r="B466" s="2">
        <v>8374</v>
      </c>
      <c r="C466" s="2">
        <v>2</v>
      </c>
      <c r="D466" s="2">
        <v>125.8</v>
      </c>
    </row>
    <row r="467" spans="1:4">
      <c r="A467" t="e">
        <f>_xlfn.XLOOKUP(B467,[1]四三数据累计!$A:$A,[1]四三数据累计!$B:$B)</f>
        <v>#N/A</v>
      </c>
      <c r="B467" s="2">
        <v>8392</v>
      </c>
      <c r="C467" s="2">
        <v>2</v>
      </c>
      <c r="D467" s="2">
        <v>456</v>
      </c>
    </row>
    <row r="468" spans="1:4">
      <c r="A468" t="e">
        <f>_xlfn.XLOOKUP(B468,[1]四三数据累计!$A:$A,[1]四三数据累计!$B:$B)</f>
        <v>#N/A</v>
      </c>
      <c r="B468" s="2">
        <v>8422</v>
      </c>
      <c r="C468" s="2">
        <v>3</v>
      </c>
      <c r="D468" s="2">
        <v>391.39</v>
      </c>
    </row>
    <row r="469" spans="1:4">
      <c r="A469" t="e">
        <f>_xlfn.XLOOKUP(B469,[1]四三数据累计!$A:$A,[1]四三数据累计!$B:$B)</f>
        <v>#N/A</v>
      </c>
      <c r="B469" s="2">
        <v>8423</v>
      </c>
      <c r="C469" s="2">
        <v>1</v>
      </c>
      <c r="D469" s="2">
        <v>72.45</v>
      </c>
    </row>
    <row r="470" spans="1:4">
      <c r="A470" t="e">
        <f>_xlfn.XLOOKUP(B470,[1]四三数据累计!$A:$A,[1]四三数据累计!$B:$B)</f>
        <v>#N/A</v>
      </c>
      <c r="B470" s="2">
        <v>8426</v>
      </c>
      <c r="C470" s="2">
        <v>1</v>
      </c>
      <c r="D470" s="2">
        <v>47</v>
      </c>
    </row>
    <row r="471" spans="1:4">
      <c r="A471" t="e">
        <f>_xlfn.XLOOKUP(B471,[1]四三数据累计!$A:$A,[1]四三数据累计!$B:$B)</f>
        <v>#N/A</v>
      </c>
      <c r="B471" s="2">
        <v>8429</v>
      </c>
      <c r="C471" s="2">
        <v>3</v>
      </c>
      <c r="D471" s="2">
        <v>152.79</v>
      </c>
    </row>
    <row r="472" spans="1:4">
      <c r="A472" t="e">
        <f>_xlfn.XLOOKUP(B472,[1]四三数据累计!$A:$A,[1]四三数据累计!$B:$B)</f>
        <v>#N/A</v>
      </c>
      <c r="B472" s="2">
        <v>8437</v>
      </c>
      <c r="C472" s="2">
        <v>3</v>
      </c>
      <c r="D472" s="2">
        <v>182.07</v>
      </c>
    </row>
    <row r="473" spans="1:4">
      <c r="A473" t="e">
        <f>_xlfn.XLOOKUP(B473,[1]四三数据累计!$A:$A,[1]四三数据累计!$B:$B)</f>
        <v>#N/A</v>
      </c>
      <c r="B473" s="2">
        <v>8461</v>
      </c>
      <c r="C473" s="2">
        <v>1</v>
      </c>
      <c r="D473" s="2">
        <v>243.6</v>
      </c>
    </row>
    <row r="474" spans="1:4">
      <c r="A474" t="e">
        <f>_xlfn.XLOOKUP(B474,[1]四三数据累计!$A:$A,[1]四三数据累计!$B:$B)</f>
        <v>#N/A</v>
      </c>
      <c r="B474" s="2">
        <v>8462</v>
      </c>
      <c r="C474" s="2">
        <v>1</v>
      </c>
      <c r="D474" s="2">
        <v>257.1</v>
      </c>
    </row>
    <row r="475" spans="1:4">
      <c r="A475" t="e">
        <f>_xlfn.XLOOKUP(B475,[1]四三数据累计!$A:$A,[1]四三数据累计!$B:$B)</f>
        <v>#N/A</v>
      </c>
      <c r="B475" s="2">
        <v>8463</v>
      </c>
      <c r="C475" s="2">
        <v>3</v>
      </c>
      <c r="D475" s="2">
        <v>571.31</v>
      </c>
    </row>
    <row r="476" spans="1:4">
      <c r="A476" t="e">
        <f>_xlfn.XLOOKUP(B476,[1]四三数据累计!$A:$A,[1]四三数据累计!$B:$B)</f>
        <v>#N/A</v>
      </c>
      <c r="B476" s="2">
        <v>8483</v>
      </c>
      <c r="C476" s="2">
        <v>5</v>
      </c>
      <c r="D476" s="2">
        <v>221.16</v>
      </c>
    </row>
    <row r="477" spans="1:4">
      <c r="A477" t="e">
        <f>_xlfn.XLOOKUP(B477,[1]四三数据累计!$A:$A,[1]四三数据累计!$B:$B)</f>
        <v>#N/A</v>
      </c>
      <c r="B477" s="2">
        <v>8526</v>
      </c>
      <c r="C477" s="2">
        <v>1</v>
      </c>
      <c r="D477" s="2">
        <v>34.25</v>
      </c>
    </row>
    <row r="478" spans="1:4">
      <c r="A478" t="e">
        <f>_xlfn.XLOOKUP(B478,[1]四三数据累计!$A:$A,[1]四三数据累计!$B:$B)</f>
        <v>#N/A</v>
      </c>
      <c r="B478" s="2">
        <v>8532</v>
      </c>
      <c r="C478" s="2">
        <v>9</v>
      </c>
      <c r="D478" s="2">
        <v>936.04</v>
      </c>
    </row>
    <row r="479" spans="1:4">
      <c r="A479" t="e">
        <f>_xlfn.XLOOKUP(B479,[1]四三数据累计!$A:$A,[1]四三数据累计!$B:$B)</f>
        <v>#N/A</v>
      </c>
      <c r="B479" s="2">
        <v>8533</v>
      </c>
      <c r="C479" s="2">
        <v>1</v>
      </c>
      <c r="D479" s="2">
        <v>15.73</v>
      </c>
    </row>
    <row r="480" spans="1:4">
      <c r="A480" t="e">
        <f>_xlfn.XLOOKUP(B480,[1]四三数据累计!$A:$A,[1]四三数据累计!$B:$B)</f>
        <v>#N/A</v>
      </c>
      <c r="B480" s="2">
        <v>8541</v>
      </c>
      <c r="C480" s="2">
        <v>5</v>
      </c>
      <c r="D480" s="2">
        <v>365</v>
      </c>
    </row>
    <row r="481" spans="1:4">
      <c r="A481" t="e">
        <f>_xlfn.XLOOKUP(B481,[1]四三数据累计!$A:$A,[1]四三数据累计!$B:$B)</f>
        <v>#N/A</v>
      </c>
      <c r="B481" s="2">
        <v>8543</v>
      </c>
      <c r="C481" s="2">
        <v>5</v>
      </c>
      <c r="D481" s="2">
        <v>244.95</v>
      </c>
    </row>
    <row r="482" spans="1:4">
      <c r="A482" t="e">
        <f>_xlfn.XLOOKUP(B482,[1]四三数据累计!$A:$A,[1]四三数据累计!$B:$B)</f>
        <v>#N/A</v>
      </c>
      <c r="B482" s="2">
        <v>8550</v>
      </c>
      <c r="C482" s="2">
        <v>1</v>
      </c>
      <c r="D482" s="2">
        <v>83.24</v>
      </c>
    </row>
    <row r="483" spans="1:4">
      <c r="A483" t="e">
        <f>_xlfn.XLOOKUP(B483,[1]四三数据累计!$A:$A,[1]四三数据累计!$B:$B)</f>
        <v>#N/A</v>
      </c>
      <c r="B483" s="2">
        <v>8551</v>
      </c>
      <c r="C483" s="2">
        <v>2</v>
      </c>
      <c r="D483" s="2">
        <v>144</v>
      </c>
    </row>
    <row r="484" spans="1:4">
      <c r="A484" t="e">
        <f>_xlfn.XLOOKUP(B484,[1]四三数据累计!$A:$A,[1]四三数据累计!$B:$B)</f>
        <v>#N/A</v>
      </c>
      <c r="B484" s="2">
        <v>8602</v>
      </c>
      <c r="C484" s="2">
        <v>1</v>
      </c>
      <c r="D484" s="2">
        <v>19.56</v>
      </c>
    </row>
    <row r="485" spans="1:4">
      <c r="A485" t="e">
        <f>_xlfn.XLOOKUP(B485,[1]四三数据累计!$A:$A,[1]四三数据累计!$B:$B)</f>
        <v>#N/A</v>
      </c>
      <c r="B485" s="2">
        <v>8603</v>
      </c>
      <c r="C485" s="2">
        <v>5</v>
      </c>
      <c r="D485" s="2">
        <v>134.95</v>
      </c>
    </row>
    <row r="486" spans="1:4">
      <c r="A486" t="e">
        <f>_xlfn.XLOOKUP(B486,[1]四三数据累计!$A:$A,[1]四三数据累计!$B:$B)</f>
        <v>#N/A</v>
      </c>
      <c r="B486" s="2">
        <v>8606</v>
      </c>
      <c r="C486" s="2">
        <v>19</v>
      </c>
      <c r="D486" s="2">
        <v>874.88</v>
      </c>
    </row>
    <row r="487" spans="1:4">
      <c r="A487" t="e">
        <f>_xlfn.XLOOKUP(B487,[1]四三数据累计!$A:$A,[1]四三数据累计!$B:$B)</f>
        <v>#N/A</v>
      </c>
      <c r="B487" s="2">
        <v>8607</v>
      </c>
      <c r="C487" s="2">
        <v>5</v>
      </c>
      <c r="D487" s="2">
        <v>140.9</v>
      </c>
    </row>
    <row r="488" spans="1:4">
      <c r="A488" t="e">
        <f>_xlfn.XLOOKUP(B488,[1]四三数据累计!$A:$A,[1]四三数据累计!$B:$B)</f>
        <v>#N/A</v>
      </c>
      <c r="B488" s="2">
        <v>8609</v>
      </c>
      <c r="C488" s="2">
        <v>5</v>
      </c>
      <c r="D488" s="2">
        <v>305.7</v>
      </c>
    </row>
    <row r="489" spans="1:4">
      <c r="A489" t="e">
        <f>_xlfn.XLOOKUP(B489,[1]四三数据累计!$A:$A,[1]四三数据累计!$B:$B)</f>
        <v>#N/A</v>
      </c>
      <c r="B489" s="2">
        <v>8610</v>
      </c>
      <c r="C489" s="2">
        <v>2</v>
      </c>
      <c r="D489" s="2">
        <v>55.7</v>
      </c>
    </row>
    <row r="490" spans="1:4">
      <c r="A490" t="e">
        <f>_xlfn.XLOOKUP(B490,[1]四三数据累计!$A:$A,[1]四三数据累计!$B:$B)</f>
        <v>#N/A</v>
      </c>
      <c r="B490" s="2">
        <v>8611</v>
      </c>
      <c r="C490" s="2">
        <v>5</v>
      </c>
      <c r="D490" s="2">
        <v>120</v>
      </c>
    </row>
    <row r="491" spans="1:4">
      <c r="A491" t="e">
        <f>_xlfn.XLOOKUP(B491,[1]四三数据累计!$A:$A,[1]四三数据累计!$B:$B)</f>
        <v>#N/A</v>
      </c>
      <c r="B491" s="2">
        <v>8616</v>
      </c>
      <c r="C491" s="2">
        <v>4</v>
      </c>
      <c r="D491" s="2">
        <v>319.2</v>
      </c>
    </row>
    <row r="492" spans="1:4">
      <c r="A492" t="e">
        <f>_xlfn.XLOOKUP(B492,[1]四三数据累计!$A:$A,[1]四三数据累计!$B:$B)</f>
        <v>#N/A</v>
      </c>
      <c r="B492" s="2">
        <v>8618</v>
      </c>
      <c r="C492" s="2">
        <v>2</v>
      </c>
      <c r="D492" s="2">
        <v>108.22</v>
      </c>
    </row>
    <row r="493" spans="1:4">
      <c r="A493" t="e">
        <f>_xlfn.XLOOKUP(B493,[1]四三数据累计!$A:$A,[1]四三数据累计!$B:$B)</f>
        <v>#N/A</v>
      </c>
      <c r="B493" s="2">
        <v>8620</v>
      </c>
      <c r="C493" s="2">
        <v>1</v>
      </c>
      <c r="D493" s="2">
        <v>63.4</v>
      </c>
    </row>
    <row r="494" spans="1:4">
      <c r="A494" t="e">
        <f>_xlfn.XLOOKUP(B494,[1]四三数据累计!$A:$A,[1]四三数据累计!$B:$B)</f>
        <v>#N/A</v>
      </c>
      <c r="B494" s="2">
        <v>8624</v>
      </c>
      <c r="C494" s="2">
        <v>3</v>
      </c>
      <c r="D494" s="2">
        <v>175.05</v>
      </c>
    </row>
    <row r="495" spans="1:4">
      <c r="A495" t="e">
        <f>_xlfn.XLOOKUP(B495,[1]四三数据累计!$A:$A,[1]四三数据累计!$B:$B)</f>
        <v>#N/A</v>
      </c>
      <c r="B495" s="2">
        <v>8625</v>
      </c>
      <c r="C495" s="2">
        <v>1</v>
      </c>
      <c r="D495" s="2">
        <v>56.51</v>
      </c>
    </row>
    <row r="496" spans="1:4">
      <c r="A496" t="e">
        <f>_xlfn.XLOOKUP(B496,[1]四三数据累计!$A:$A,[1]四三数据累计!$B:$B)</f>
        <v>#N/A</v>
      </c>
      <c r="B496" s="2">
        <v>8671</v>
      </c>
      <c r="C496" s="2">
        <v>3</v>
      </c>
      <c r="D496" s="2">
        <v>414</v>
      </c>
    </row>
    <row r="497" spans="1:4">
      <c r="A497" t="e">
        <f>_xlfn.XLOOKUP(B497,[1]四三数据累计!$A:$A,[1]四三数据累计!$B:$B)</f>
        <v>#N/A</v>
      </c>
      <c r="B497" s="2">
        <v>8677</v>
      </c>
      <c r="C497" s="2">
        <v>6</v>
      </c>
      <c r="D497" s="2">
        <v>80.54</v>
      </c>
    </row>
    <row r="498" spans="1:4">
      <c r="A498" t="e">
        <f>_xlfn.XLOOKUP(B498,[1]四三数据累计!$A:$A,[1]四三数据累计!$B:$B)</f>
        <v>#N/A</v>
      </c>
      <c r="B498" s="2">
        <v>8678</v>
      </c>
      <c r="C498" s="2">
        <v>10</v>
      </c>
      <c r="D498" s="2">
        <v>374.94</v>
      </c>
    </row>
    <row r="499" spans="1:4">
      <c r="A499" t="e">
        <f>_xlfn.XLOOKUP(B499,[1]四三数据累计!$A:$A,[1]四三数据累计!$B:$B)</f>
        <v>#N/A</v>
      </c>
      <c r="B499" s="2">
        <v>8679</v>
      </c>
      <c r="C499" s="2">
        <v>2</v>
      </c>
      <c r="D499" s="2">
        <v>49.5</v>
      </c>
    </row>
    <row r="500" spans="1:4">
      <c r="A500" t="e">
        <f>_xlfn.XLOOKUP(B500,[1]四三数据累计!$A:$A,[1]四三数据累计!$B:$B)</f>
        <v>#N/A</v>
      </c>
      <c r="B500" s="2">
        <v>8680</v>
      </c>
      <c r="C500" s="2">
        <v>2</v>
      </c>
      <c r="D500" s="2">
        <v>49.55</v>
      </c>
    </row>
    <row r="501" spans="1:4">
      <c r="A501" t="e">
        <f>_xlfn.XLOOKUP(B501,[1]四三数据累计!$A:$A,[1]四三数据累计!$B:$B)</f>
        <v>#N/A</v>
      </c>
      <c r="B501" s="2">
        <v>8681</v>
      </c>
      <c r="C501" s="2">
        <v>3</v>
      </c>
      <c r="D501" s="2">
        <v>148.2</v>
      </c>
    </row>
    <row r="502" spans="1:4">
      <c r="A502" t="e">
        <f>_xlfn.XLOOKUP(B502,[1]四三数据累计!$A:$A,[1]四三数据累计!$B:$B)</f>
        <v>#N/A</v>
      </c>
      <c r="B502" s="2">
        <v>8684</v>
      </c>
      <c r="C502" s="2">
        <v>3</v>
      </c>
      <c r="D502" s="2">
        <v>287.97</v>
      </c>
    </row>
    <row r="503" spans="1:4">
      <c r="A503" t="e">
        <f>_xlfn.XLOOKUP(B503,[1]四三数据累计!$A:$A,[1]四三数据累计!$B:$B)</f>
        <v>#N/A</v>
      </c>
      <c r="B503" s="2">
        <v>8685</v>
      </c>
      <c r="C503" s="2">
        <v>14</v>
      </c>
      <c r="D503" s="2">
        <v>636.46</v>
      </c>
    </row>
    <row r="504" spans="1:4">
      <c r="A504" t="e">
        <f>_xlfn.XLOOKUP(B504,[1]四三数据累计!$A:$A,[1]四三数据累计!$B:$B)</f>
        <v>#N/A</v>
      </c>
      <c r="B504" s="2">
        <v>8686</v>
      </c>
      <c r="C504" s="2">
        <v>4</v>
      </c>
      <c r="D504" s="2">
        <v>96.36</v>
      </c>
    </row>
    <row r="505" spans="1:4">
      <c r="A505" t="e">
        <f>_xlfn.XLOOKUP(B505,[1]四三数据累计!$A:$A,[1]四三数据累计!$B:$B)</f>
        <v>#N/A</v>
      </c>
      <c r="B505" s="2">
        <v>8687</v>
      </c>
      <c r="C505" s="2">
        <v>6</v>
      </c>
      <c r="D505" s="2">
        <v>186.76</v>
      </c>
    </row>
    <row r="506" spans="1:4">
      <c r="A506" t="e">
        <f>_xlfn.XLOOKUP(B506,[1]四三数据累计!$A:$A,[1]四三数据累计!$B:$B)</f>
        <v>#N/A</v>
      </c>
      <c r="B506" s="2">
        <v>8697</v>
      </c>
      <c r="C506" s="2">
        <v>1</v>
      </c>
      <c r="D506" s="2">
        <v>92.27</v>
      </c>
    </row>
    <row r="507" spans="1:4">
      <c r="A507" t="e">
        <f>_xlfn.XLOOKUP(B507,[1]四三数据累计!$A:$A,[1]四三数据累计!$B:$B)</f>
        <v>#N/A</v>
      </c>
      <c r="B507" s="2">
        <v>8699</v>
      </c>
      <c r="C507" s="2">
        <v>1</v>
      </c>
      <c r="D507" s="2">
        <v>62.1</v>
      </c>
    </row>
    <row r="508" spans="1:4">
      <c r="A508" t="e">
        <f>_xlfn.XLOOKUP(B508,[1]四三数据累计!$A:$A,[1]四三数据累计!$B:$B)</f>
        <v>#N/A</v>
      </c>
      <c r="B508" s="2">
        <v>8727</v>
      </c>
      <c r="C508" s="2">
        <v>1</v>
      </c>
      <c r="D508" s="2">
        <v>107</v>
      </c>
    </row>
    <row r="509" spans="1:4">
      <c r="A509" t="e">
        <f>_xlfn.XLOOKUP(B509,[1]四三数据累计!$A:$A,[1]四三数据累计!$B:$B)</f>
        <v>#N/A</v>
      </c>
      <c r="B509" s="2">
        <v>8728</v>
      </c>
      <c r="C509" s="2">
        <v>1</v>
      </c>
      <c r="D509" s="2">
        <v>72.49</v>
      </c>
    </row>
    <row r="510" spans="1:4">
      <c r="A510" t="e">
        <f>_xlfn.XLOOKUP(B510,[1]四三数据累计!$A:$A,[1]四三数据累计!$B:$B)</f>
        <v>#N/A</v>
      </c>
      <c r="B510" s="2">
        <v>8749</v>
      </c>
      <c r="C510" s="2">
        <v>4</v>
      </c>
      <c r="D510" s="2">
        <v>55.04</v>
      </c>
    </row>
    <row r="511" spans="1:4">
      <c r="A511" t="e">
        <f>_xlfn.XLOOKUP(B511,[1]四三数据累计!$A:$A,[1]四三数据累计!$B:$B)</f>
        <v>#N/A</v>
      </c>
      <c r="B511" s="2">
        <v>8752</v>
      </c>
      <c r="C511" s="2">
        <v>3</v>
      </c>
      <c r="D511" s="2">
        <v>131.94</v>
      </c>
    </row>
    <row r="512" spans="1:4">
      <c r="A512" t="e">
        <f>_xlfn.XLOOKUP(B512,[1]四三数据累计!$A:$A,[1]四三数据累计!$B:$B)</f>
        <v>#N/A</v>
      </c>
      <c r="B512" s="2">
        <v>8753</v>
      </c>
      <c r="C512" s="2">
        <v>1</v>
      </c>
      <c r="D512" s="2">
        <v>27</v>
      </c>
    </row>
    <row r="513" spans="1:4">
      <c r="A513" t="e">
        <f>_xlfn.XLOOKUP(B513,[1]四三数据累计!$A:$A,[1]四三数据累计!$B:$B)</f>
        <v>#N/A</v>
      </c>
      <c r="B513" s="2">
        <v>8754</v>
      </c>
      <c r="C513" s="2">
        <v>1</v>
      </c>
      <c r="D513" s="2">
        <v>25</v>
      </c>
    </row>
    <row r="514" spans="1:4">
      <c r="A514" t="e">
        <f>_xlfn.XLOOKUP(B514,[1]四三数据累计!$A:$A,[1]四三数据累计!$B:$B)</f>
        <v>#N/A</v>
      </c>
      <c r="B514" s="2">
        <v>8757</v>
      </c>
      <c r="C514" s="2">
        <v>1</v>
      </c>
      <c r="D514" s="2">
        <v>63.6</v>
      </c>
    </row>
    <row r="515" spans="1:4">
      <c r="A515" t="e">
        <f>_xlfn.XLOOKUP(B515,[1]四三数据累计!$A:$A,[1]四三数据累计!$B:$B)</f>
        <v>#N/A</v>
      </c>
      <c r="B515" s="2">
        <v>8758</v>
      </c>
      <c r="C515" s="2">
        <v>3</v>
      </c>
      <c r="D515" s="2">
        <v>230.26</v>
      </c>
    </row>
    <row r="516" spans="1:4">
      <c r="A516" t="e">
        <f>_xlfn.XLOOKUP(B516,[1]四三数据累计!$A:$A,[1]四三数据累计!$B:$B)</f>
        <v>#N/A</v>
      </c>
      <c r="B516" s="2">
        <v>8759</v>
      </c>
      <c r="C516" s="2">
        <v>1</v>
      </c>
      <c r="D516" s="2">
        <v>65.94</v>
      </c>
    </row>
    <row r="517" spans="1:4">
      <c r="A517" t="e">
        <f>_xlfn.XLOOKUP(B517,[1]四三数据累计!$A:$A,[1]四三数据累计!$B:$B)</f>
        <v>#N/A</v>
      </c>
      <c r="B517" s="2">
        <v>8760</v>
      </c>
      <c r="C517" s="2">
        <v>3</v>
      </c>
      <c r="D517" s="2">
        <v>216.27</v>
      </c>
    </row>
    <row r="518" spans="1:4">
      <c r="A518" t="e">
        <f>_xlfn.XLOOKUP(B518,[1]四三数据累计!$A:$A,[1]四三数据累计!$B:$B)</f>
        <v>#N/A</v>
      </c>
      <c r="B518" s="2">
        <v>8766</v>
      </c>
      <c r="C518" s="2">
        <v>3</v>
      </c>
      <c r="D518" s="2">
        <v>256</v>
      </c>
    </row>
    <row r="519" spans="1:4">
      <c r="A519" t="e">
        <f>_xlfn.XLOOKUP(B519,[1]四三数据累计!$A:$A,[1]四三数据累计!$B:$B)</f>
        <v>#N/A</v>
      </c>
      <c r="B519" s="2">
        <v>8767</v>
      </c>
      <c r="C519" s="2">
        <v>4</v>
      </c>
      <c r="D519" s="2">
        <v>334</v>
      </c>
    </row>
    <row r="520" spans="1:4">
      <c r="A520" t="e">
        <f>_xlfn.XLOOKUP(B520,[1]四三数据累计!$A:$A,[1]四三数据累计!$B:$B)</f>
        <v>#N/A</v>
      </c>
      <c r="B520" s="2">
        <v>8769</v>
      </c>
      <c r="C520" s="2">
        <v>1</v>
      </c>
      <c r="D520" s="2">
        <v>218.9</v>
      </c>
    </row>
    <row r="521" spans="1:4">
      <c r="A521" t="e">
        <f>_xlfn.XLOOKUP(B521,[1]四三数据累计!$A:$A,[1]四三数据累计!$B:$B)</f>
        <v>#N/A</v>
      </c>
      <c r="B521" s="2">
        <v>8772</v>
      </c>
      <c r="C521" s="2">
        <v>1</v>
      </c>
      <c r="D521" s="2">
        <v>71.4</v>
      </c>
    </row>
    <row r="522" spans="1:4">
      <c r="A522" t="e">
        <f>_xlfn.XLOOKUP(B522,[1]四三数据累计!$A:$A,[1]四三数据累计!$B:$B)</f>
        <v>#N/A</v>
      </c>
      <c r="B522" s="2">
        <v>8780</v>
      </c>
      <c r="C522" s="2">
        <v>1</v>
      </c>
      <c r="D522" s="2">
        <v>76.48</v>
      </c>
    </row>
    <row r="523" spans="1:4">
      <c r="A523" t="e">
        <f>_xlfn.XLOOKUP(B523,[1]四三数据累计!$A:$A,[1]四三数据累计!$B:$B)</f>
        <v>#N/A</v>
      </c>
      <c r="B523" s="2">
        <v>8783</v>
      </c>
      <c r="C523" s="2">
        <v>2</v>
      </c>
      <c r="D523" s="2">
        <v>240</v>
      </c>
    </row>
    <row r="524" spans="1:4">
      <c r="A524" t="e">
        <f>_xlfn.XLOOKUP(B524,[1]四三数据累计!$A:$A,[1]四三数据累计!$B:$B)</f>
        <v>#N/A</v>
      </c>
      <c r="B524" s="2">
        <v>8810</v>
      </c>
      <c r="C524" s="2">
        <v>1</v>
      </c>
      <c r="D524" s="2">
        <v>68.2</v>
      </c>
    </row>
    <row r="525" spans="1:4">
      <c r="A525" t="e">
        <f>_xlfn.XLOOKUP(B525,[1]四三数据累计!$A:$A,[1]四三数据累计!$B:$B)</f>
        <v>#N/A</v>
      </c>
      <c r="B525" s="2">
        <v>8840</v>
      </c>
      <c r="C525" s="2">
        <v>1</v>
      </c>
      <c r="D525" s="2">
        <v>20</v>
      </c>
    </row>
    <row r="526" spans="1:4">
      <c r="A526" t="e">
        <f>_xlfn.XLOOKUP(B526,[1]四三数据累计!$A:$A,[1]四三数据累计!$B:$B)</f>
        <v>#N/A</v>
      </c>
      <c r="B526" s="2">
        <v>8841</v>
      </c>
      <c r="C526" s="2">
        <v>3</v>
      </c>
      <c r="D526" s="2">
        <v>58.77</v>
      </c>
    </row>
    <row r="527" spans="1:4">
      <c r="A527" t="e">
        <f>_xlfn.XLOOKUP(B527,[1]四三数据累计!$A:$A,[1]四三数据累计!$B:$B)</f>
        <v>#N/A</v>
      </c>
      <c r="B527" s="2">
        <v>8842</v>
      </c>
      <c r="C527" s="2">
        <v>6</v>
      </c>
      <c r="D527" s="2">
        <v>303.66</v>
      </c>
    </row>
    <row r="528" spans="1:4">
      <c r="A528" t="e">
        <f>_xlfn.XLOOKUP(B528,[1]四三数据累计!$A:$A,[1]四三数据累计!$B:$B)</f>
        <v>#N/A</v>
      </c>
      <c r="B528" s="2">
        <v>8843</v>
      </c>
      <c r="C528" s="2">
        <v>3</v>
      </c>
      <c r="D528" s="2">
        <v>87.89</v>
      </c>
    </row>
    <row r="529" spans="1:4">
      <c r="A529" t="e">
        <f>_xlfn.XLOOKUP(B529,[1]四三数据累计!$A:$A,[1]四三数据累计!$B:$B)</f>
        <v>#N/A</v>
      </c>
      <c r="B529" s="2">
        <v>8844</v>
      </c>
      <c r="C529" s="2">
        <v>3</v>
      </c>
      <c r="D529" s="2">
        <v>91.97</v>
      </c>
    </row>
    <row r="530" spans="1:4">
      <c r="A530" t="e">
        <f>_xlfn.XLOOKUP(B530,[1]四三数据累计!$A:$A,[1]四三数据累计!$B:$B)</f>
        <v>#N/A</v>
      </c>
      <c r="B530" s="2">
        <v>8845</v>
      </c>
      <c r="C530" s="2">
        <v>2</v>
      </c>
      <c r="D530" s="2">
        <v>210.9</v>
      </c>
    </row>
    <row r="531" spans="1:4">
      <c r="A531" t="e">
        <f>_xlfn.XLOOKUP(B531,[1]四三数据累计!$A:$A,[1]四三数据累计!$B:$B)</f>
        <v>#N/A</v>
      </c>
      <c r="B531" s="2">
        <v>8847</v>
      </c>
      <c r="C531" s="2">
        <v>3</v>
      </c>
      <c r="D531" s="2">
        <v>299</v>
      </c>
    </row>
    <row r="532" spans="1:4">
      <c r="A532" t="e">
        <f>_xlfn.XLOOKUP(B532,[1]四三数据累计!$A:$A,[1]四三数据累计!$B:$B)</f>
        <v>#N/A</v>
      </c>
      <c r="B532" s="2">
        <v>8848</v>
      </c>
      <c r="C532" s="2">
        <v>2</v>
      </c>
      <c r="D532" s="2">
        <v>180</v>
      </c>
    </row>
    <row r="533" spans="1:4">
      <c r="A533" t="e">
        <f>_xlfn.XLOOKUP(B533,[1]四三数据累计!$A:$A,[1]四三数据累计!$B:$B)</f>
        <v>#N/A</v>
      </c>
      <c r="B533" s="2">
        <v>8849</v>
      </c>
      <c r="C533" s="2">
        <v>1</v>
      </c>
      <c r="D533" s="2">
        <v>109</v>
      </c>
    </row>
    <row r="534" spans="1:4">
      <c r="A534" t="e">
        <f>_xlfn.XLOOKUP(B534,[1]四三数据累计!$A:$A,[1]四三数据累计!$B:$B)</f>
        <v>#N/A</v>
      </c>
      <c r="B534" s="2">
        <v>8850</v>
      </c>
      <c r="C534" s="2">
        <v>3</v>
      </c>
      <c r="D534" s="2">
        <v>318</v>
      </c>
    </row>
    <row r="535" spans="1:4">
      <c r="A535" t="e">
        <f>_xlfn.XLOOKUP(B535,[1]四三数据累计!$A:$A,[1]四三数据累计!$B:$B)</f>
        <v>#N/A</v>
      </c>
      <c r="B535" s="2">
        <v>8851</v>
      </c>
      <c r="C535" s="2">
        <v>4</v>
      </c>
      <c r="D535" s="2">
        <v>379.18</v>
      </c>
    </row>
    <row r="536" spans="1:4">
      <c r="A536" t="e">
        <f>_xlfn.XLOOKUP(B536,[1]四三数据累计!$A:$A,[1]四三数据累计!$B:$B)</f>
        <v>#N/A</v>
      </c>
      <c r="B536" s="2">
        <v>8879</v>
      </c>
      <c r="C536" s="2">
        <v>3</v>
      </c>
      <c r="D536" s="2">
        <v>31.17</v>
      </c>
    </row>
    <row r="537" spans="1:4">
      <c r="A537" t="e">
        <f>_xlfn.XLOOKUP(B537,[1]四三数据累计!$A:$A,[1]四三数据累计!$B:$B)</f>
        <v>#N/A</v>
      </c>
      <c r="B537" s="2">
        <v>8899</v>
      </c>
      <c r="C537" s="2">
        <v>1</v>
      </c>
      <c r="D537" s="2">
        <v>42.53</v>
      </c>
    </row>
    <row r="538" spans="1:4">
      <c r="A538" t="e">
        <f>_xlfn.XLOOKUP(B538,[1]四三数据累计!$A:$A,[1]四三数据累计!$B:$B)</f>
        <v>#N/A</v>
      </c>
      <c r="B538" s="2">
        <v>8900</v>
      </c>
      <c r="C538" s="2">
        <v>1</v>
      </c>
      <c r="D538" s="2">
        <v>199</v>
      </c>
    </row>
    <row r="539" spans="1:4">
      <c r="A539" t="e">
        <f>_xlfn.XLOOKUP(B539,[1]四三数据累计!$A:$A,[1]四三数据累计!$B:$B)</f>
        <v>#N/A</v>
      </c>
      <c r="B539" s="2">
        <v>8906</v>
      </c>
      <c r="C539" s="2">
        <v>1</v>
      </c>
      <c r="D539" s="2">
        <v>43.32</v>
      </c>
    </row>
    <row r="540" spans="1:4">
      <c r="A540" t="e">
        <f>_xlfn.XLOOKUP(B540,[1]四三数据累计!$A:$A,[1]四三数据累计!$B:$B)</f>
        <v>#N/A</v>
      </c>
      <c r="B540" s="2">
        <v>8936</v>
      </c>
      <c r="C540" s="2">
        <v>7</v>
      </c>
      <c r="D540" s="2">
        <v>282.38</v>
      </c>
    </row>
    <row r="541" spans="1:4">
      <c r="A541" t="e">
        <f>_xlfn.XLOOKUP(B541,[1]四三数据累计!$A:$A,[1]四三数据累计!$B:$B)</f>
        <v>#N/A</v>
      </c>
      <c r="B541" s="2">
        <v>8944</v>
      </c>
      <c r="C541" s="2">
        <v>6</v>
      </c>
      <c r="D541" s="2">
        <v>209.94</v>
      </c>
    </row>
    <row r="542" spans="1:4">
      <c r="A542" t="e">
        <f>_xlfn.XLOOKUP(B542,[1]四三数据累计!$A:$A,[1]四三数据累计!$B:$B)</f>
        <v>#N/A</v>
      </c>
      <c r="B542" s="2">
        <v>8960</v>
      </c>
      <c r="C542" s="2">
        <v>2</v>
      </c>
      <c r="D542" s="2">
        <v>44.52</v>
      </c>
    </row>
    <row r="543" spans="1:4">
      <c r="A543" t="e">
        <f>_xlfn.XLOOKUP(B543,[1]四三数据累计!$A:$A,[1]四三数据累计!$B:$B)</f>
        <v>#N/A</v>
      </c>
      <c r="B543" s="2">
        <v>8961</v>
      </c>
      <c r="C543" s="2">
        <v>4</v>
      </c>
      <c r="D543" s="2">
        <v>84</v>
      </c>
    </row>
    <row r="544" spans="1:4">
      <c r="A544" t="e">
        <f>_xlfn.XLOOKUP(B544,[1]四三数据累计!$A:$A,[1]四三数据累计!$B:$B)</f>
        <v>#N/A</v>
      </c>
      <c r="B544" s="2">
        <v>8985</v>
      </c>
      <c r="C544" s="2">
        <v>4</v>
      </c>
      <c r="D544" s="2">
        <v>356</v>
      </c>
    </row>
    <row r="545" spans="1:4">
      <c r="A545" t="e">
        <f>_xlfn.XLOOKUP(B545,[1]四三数据累计!$A:$A,[1]四三数据累计!$B:$B)</f>
        <v>#N/A</v>
      </c>
      <c r="B545" s="2">
        <v>8986</v>
      </c>
      <c r="C545" s="2">
        <v>3</v>
      </c>
      <c r="D545" s="2">
        <v>41.07</v>
      </c>
    </row>
    <row r="546" spans="1:4">
      <c r="A546" t="e">
        <f>_xlfn.XLOOKUP(B546,[1]四三数据累计!$A:$A,[1]四三数据累计!$B:$B)</f>
        <v>#N/A</v>
      </c>
      <c r="B546" s="2">
        <v>8988</v>
      </c>
      <c r="C546" s="2">
        <v>7</v>
      </c>
      <c r="D546" s="2">
        <v>275.5</v>
      </c>
    </row>
    <row r="547" spans="1:4">
      <c r="A547" t="e">
        <f>_xlfn.XLOOKUP(B547,[1]四三数据累计!$A:$A,[1]四三数据累计!$B:$B)</f>
        <v>#N/A</v>
      </c>
      <c r="B547" s="2">
        <v>8989</v>
      </c>
      <c r="C547" s="2">
        <v>2</v>
      </c>
      <c r="D547" s="2">
        <v>46.02</v>
      </c>
    </row>
    <row r="548" spans="1:4">
      <c r="A548" t="e">
        <f>_xlfn.XLOOKUP(B548,[1]四三数据累计!$A:$A,[1]四三数据累计!$B:$B)</f>
        <v>#N/A</v>
      </c>
      <c r="B548" s="2">
        <v>8993</v>
      </c>
      <c r="C548" s="2">
        <v>2</v>
      </c>
      <c r="D548" s="2">
        <v>72.42</v>
      </c>
    </row>
    <row r="549" spans="1:4">
      <c r="A549" t="e">
        <f>_xlfn.XLOOKUP(B549,[1]四三数据累计!$A:$A,[1]四三数据累计!$B:$B)</f>
        <v>#N/A</v>
      </c>
      <c r="B549" s="2">
        <v>9008</v>
      </c>
      <c r="C549" s="2">
        <v>3</v>
      </c>
      <c r="D549" s="2">
        <v>344.97</v>
      </c>
    </row>
    <row r="550" spans="1:4">
      <c r="A550" t="e">
        <f>_xlfn.XLOOKUP(B550,[1]四三数据累计!$A:$A,[1]四三数据累计!$B:$B)</f>
        <v>#N/A</v>
      </c>
      <c r="B550" s="2">
        <v>9035</v>
      </c>
      <c r="C550" s="2">
        <v>2</v>
      </c>
      <c r="D550" s="2">
        <v>36.08</v>
      </c>
    </row>
    <row r="551" spans="1:4">
      <c r="A551" t="e">
        <f>_xlfn.XLOOKUP(B551,[1]四三数据累计!$A:$A,[1]四三数据累计!$B:$B)</f>
        <v>#N/A</v>
      </c>
      <c r="B551" s="2">
        <v>9040</v>
      </c>
      <c r="C551" s="2">
        <v>1</v>
      </c>
      <c r="D551" s="2">
        <v>22.04</v>
      </c>
    </row>
    <row r="552" spans="1:4">
      <c r="A552" t="e">
        <f>_xlfn.XLOOKUP(B552,[1]四三数据累计!$A:$A,[1]四三数据累计!$B:$B)</f>
        <v>#N/A</v>
      </c>
      <c r="B552" s="2">
        <v>9045</v>
      </c>
      <c r="C552" s="2">
        <v>1</v>
      </c>
      <c r="D552" s="2">
        <v>68</v>
      </c>
    </row>
    <row r="553" spans="1:4">
      <c r="A553" t="e">
        <f>_xlfn.XLOOKUP(B553,[1]四三数据累计!$A:$A,[1]四三数据累计!$B:$B)</f>
        <v>#N/A</v>
      </c>
      <c r="B553" s="2">
        <v>9049</v>
      </c>
      <c r="C553" s="2">
        <v>1</v>
      </c>
      <c r="D553" s="2">
        <v>54</v>
      </c>
    </row>
    <row r="554" spans="1:4">
      <c r="A554" t="e">
        <f>_xlfn.XLOOKUP(B554,[1]四三数据累计!$A:$A,[1]四三数据累计!$B:$B)</f>
        <v>#N/A</v>
      </c>
      <c r="B554" s="2">
        <v>9061</v>
      </c>
      <c r="C554" s="2">
        <v>9</v>
      </c>
      <c r="D554" s="2">
        <v>1463.9</v>
      </c>
    </row>
    <row r="555" spans="1:4">
      <c r="A555" t="e">
        <f>_xlfn.XLOOKUP(B555,[1]四三数据累计!$A:$A,[1]四三数据累计!$B:$B)</f>
        <v>#N/A</v>
      </c>
      <c r="B555" s="2">
        <v>9063</v>
      </c>
      <c r="C555" s="2">
        <v>1</v>
      </c>
      <c r="D555" s="2">
        <v>59.99</v>
      </c>
    </row>
    <row r="556" spans="1:4">
      <c r="A556" t="e">
        <f>_xlfn.XLOOKUP(B556,[1]四三数据累计!$A:$A,[1]四三数据累计!$B:$B)</f>
        <v>#N/A</v>
      </c>
      <c r="B556" s="2">
        <v>9064</v>
      </c>
      <c r="C556" s="2">
        <v>2</v>
      </c>
      <c r="D556" s="2">
        <v>116</v>
      </c>
    </row>
    <row r="557" spans="1:4">
      <c r="A557" t="e">
        <f>_xlfn.XLOOKUP(B557,[1]四三数据累计!$A:$A,[1]四三数据累计!$B:$B)</f>
        <v>#N/A</v>
      </c>
      <c r="B557" s="2">
        <v>9065</v>
      </c>
      <c r="C557" s="2">
        <v>1</v>
      </c>
      <c r="D557" s="2">
        <v>34.99</v>
      </c>
    </row>
    <row r="558" spans="1:4">
      <c r="A558" t="e">
        <f>_xlfn.XLOOKUP(B558,[1]四三数据累计!$A:$A,[1]四三数据累计!$B:$B)</f>
        <v>#N/A</v>
      </c>
      <c r="B558" s="2">
        <v>9066</v>
      </c>
      <c r="C558" s="2">
        <v>3</v>
      </c>
      <c r="D558" s="2">
        <v>103.5</v>
      </c>
    </row>
    <row r="559" spans="1:4">
      <c r="A559" t="e">
        <f>_xlfn.XLOOKUP(B559,[1]四三数据累计!$A:$A,[1]四三数据累计!$B:$B)</f>
        <v>#N/A</v>
      </c>
      <c r="B559" s="2">
        <v>9068</v>
      </c>
      <c r="C559" s="2">
        <v>1</v>
      </c>
      <c r="D559" s="2">
        <v>22.9</v>
      </c>
    </row>
    <row r="560" spans="1:4">
      <c r="A560" t="e">
        <f>_xlfn.XLOOKUP(B560,[1]四三数据累计!$A:$A,[1]四三数据累计!$B:$B)</f>
        <v>#N/A</v>
      </c>
      <c r="B560" s="2">
        <v>9084</v>
      </c>
      <c r="C560" s="2">
        <v>2</v>
      </c>
      <c r="D560" s="2">
        <v>25.98</v>
      </c>
    </row>
    <row r="561" spans="1:4">
      <c r="A561" t="e">
        <f>_xlfn.XLOOKUP(B561,[1]四三数据累计!$A:$A,[1]四三数据累计!$B:$B)</f>
        <v>#N/A</v>
      </c>
      <c r="B561" s="2">
        <v>9088</v>
      </c>
      <c r="C561" s="2">
        <v>1</v>
      </c>
      <c r="D561" s="2">
        <v>60.45</v>
      </c>
    </row>
    <row r="562" spans="1:4">
      <c r="A562" t="e">
        <f>_xlfn.XLOOKUP(B562,[1]四三数据累计!$A:$A,[1]四三数据累计!$B:$B)</f>
        <v>#N/A</v>
      </c>
      <c r="B562" s="2">
        <v>9112</v>
      </c>
      <c r="C562" s="2">
        <v>2</v>
      </c>
      <c r="D562" s="2">
        <v>21.78</v>
      </c>
    </row>
    <row r="563" spans="1:4">
      <c r="A563" t="e">
        <f>_xlfn.XLOOKUP(B563,[1]四三数据累计!$A:$A,[1]四三数据累计!$B:$B)</f>
        <v>#N/A</v>
      </c>
      <c r="B563" s="2">
        <v>9113</v>
      </c>
      <c r="C563" s="2">
        <v>3</v>
      </c>
      <c r="D563" s="2">
        <v>52.5</v>
      </c>
    </row>
    <row r="564" spans="1:4">
      <c r="A564" t="e">
        <f>_xlfn.XLOOKUP(B564,[1]四三数据累计!$A:$A,[1]四三数据累计!$B:$B)</f>
        <v>#N/A</v>
      </c>
      <c r="B564" s="2">
        <v>9115</v>
      </c>
      <c r="C564" s="2">
        <v>1</v>
      </c>
      <c r="D564" s="2">
        <v>26.09</v>
      </c>
    </row>
    <row r="565" spans="1:4">
      <c r="A565" t="e">
        <f>_xlfn.XLOOKUP(B565,[1]四三数据累计!$A:$A,[1]四三数据累计!$B:$B)</f>
        <v>#N/A</v>
      </c>
      <c r="B565" s="2">
        <v>9116</v>
      </c>
      <c r="C565" s="2">
        <v>1</v>
      </c>
      <c r="D565" s="2">
        <v>45.95</v>
      </c>
    </row>
    <row r="566" spans="1:4">
      <c r="A566" t="e">
        <f>_xlfn.XLOOKUP(B566,[1]四三数据累计!$A:$A,[1]四三数据累计!$B:$B)</f>
        <v>#N/A</v>
      </c>
      <c r="B566" s="2">
        <v>9117</v>
      </c>
      <c r="C566" s="2">
        <v>1</v>
      </c>
      <c r="D566" s="2">
        <v>26.99</v>
      </c>
    </row>
    <row r="567" spans="1:4">
      <c r="A567" t="e">
        <f>_xlfn.XLOOKUP(B567,[1]四三数据累计!$A:$A,[1]四三数据累计!$B:$B)</f>
        <v>#N/A</v>
      </c>
      <c r="B567" s="2">
        <v>9121</v>
      </c>
      <c r="C567" s="2">
        <v>1</v>
      </c>
      <c r="D567" s="2">
        <v>58.9</v>
      </c>
    </row>
    <row r="568" spans="1:4">
      <c r="A568" t="e">
        <f>_xlfn.XLOOKUP(B568,[1]四三数据累计!$A:$A,[1]四三数据累计!$B:$B)</f>
        <v>#N/A</v>
      </c>
      <c r="B568" s="2">
        <v>9135</v>
      </c>
      <c r="C568" s="2">
        <v>1</v>
      </c>
      <c r="D568" s="2">
        <v>65</v>
      </c>
    </row>
    <row r="569" spans="1:4">
      <c r="A569" t="e">
        <f>_xlfn.XLOOKUP(B569,[1]四三数据累计!$A:$A,[1]四三数据累计!$B:$B)</f>
        <v>#N/A</v>
      </c>
      <c r="B569" s="2">
        <v>9156</v>
      </c>
      <c r="C569" s="2">
        <v>1</v>
      </c>
      <c r="D569" s="2">
        <v>91.99</v>
      </c>
    </row>
    <row r="570" spans="1:4">
      <c r="A570" t="e">
        <f>_xlfn.XLOOKUP(B570,[1]四三数据累计!$A:$A,[1]四三数据累计!$B:$B)</f>
        <v>#N/A</v>
      </c>
      <c r="B570" s="2">
        <v>9159</v>
      </c>
      <c r="C570" s="2">
        <v>2</v>
      </c>
      <c r="D570" s="2">
        <v>49.3</v>
      </c>
    </row>
    <row r="571" spans="1:4">
      <c r="A571" t="e">
        <f>_xlfn.XLOOKUP(B571,[1]四三数据累计!$A:$A,[1]四三数据累计!$B:$B)</f>
        <v>#N/A</v>
      </c>
      <c r="B571" s="2">
        <v>9160</v>
      </c>
      <c r="C571" s="2">
        <v>2</v>
      </c>
      <c r="D571" s="2">
        <v>50.38</v>
      </c>
    </row>
    <row r="572" spans="1:4">
      <c r="A572" t="e">
        <f>_xlfn.XLOOKUP(B572,[1]四三数据累计!$A:$A,[1]四三数据累计!$B:$B)</f>
        <v>#N/A</v>
      </c>
      <c r="B572" s="2">
        <v>9174</v>
      </c>
      <c r="C572" s="2">
        <v>28</v>
      </c>
      <c r="D572" s="2">
        <v>3529.05</v>
      </c>
    </row>
    <row r="573" spans="1:4">
      <c r="A573" t="e">
        <f>_xlfn.XLOOKUP(B573,[1]四三数据累计!$A:$A,[1]四三数据累计!$B:$B)</f>
        <v>#N/A</v>
      </c>
      <c r="B573" s="2">
        <v>9233</v>
      </c>
      <c r="C573" s="2">
        <v>3</v>
      </c>
      <c r="D573" s="2">
        <v>37.52</v>
      </c>
    </row>
    <row r="574" spans="1:4">
      <c r="A574" t="e">
        <f>_xlfn.XLOOKUP(B574,[1]四三数据累计!$A:$A,[1]四三数据累计!$B:$B)</f>
        <v>#N/A</v>
      </c>
      <c r="B574" s="2">
        <v>9234</v>
      </c>
      <c r="C574" s="2">
        <v>2</v>
      </c>
      <c r="D574" s="2">
        <v>26</v>
      </c>
    </row>
    <row r="575" spans="1:4">
      <c r="A575" t="e">
        <f>_xlfn.XLOOKUP(B575,[1]四三数据累计!$A:$A,[1]四三数据累计!$B:$B)</f>
        <v>#N/A</v>
      </c>
      <c r="B575" s="2">
        <v>9282</v>
      </c>
      <c r="C575" s="2">
        <v>1</v>
      </c>
      <c r="D575" s="2">
        <v>119.99</v>
      </c>
    </row>
    <row r="576" spans="1:4">
      <c r="A576" t="e">
        <f>_xlfn.XLOOKUP(B576,[1]四三数据累计!$A:$A,[1]四三数据累计!$B:$B)</f>
        <v>#N/A</v>
      </c>
      <c r="B576" s="2">
        <v>9284</v>
      </c>
      <c r="C576" s="2">
        <v>1</v>
      </c>
      <c r="D576" s="2">
        <v>37.8</v>
      </c>
    </row>
    <row r="577" spans="1:4">
      <c r="A577" t="e">
        <f>_xlfn.XLOOKUP(B577,[1]四三数据累计!$A:$A,[1]四三数据累计!$B:$B)</f>
        <v>#N/A</v>
      </c>
      <c r="B577" s="2">
        <v>9288</v>
      </c>
      <c r="C577" s="2">
        <v>2</v>
      </c>
      <c r="D577" s="2">
        <v>144.2</v>
      </c>
    </row>
    <row r="578" spans="1:4">
      <c r="A578" t="e">
        <f>_xlfn.XLOOKUP(B578,[1]四三数据累计!$A:$A,[1]四三数据累计!$B:$B)</f>
        <v>#N/A</v>
      </c>
      <c r="B578" s="2">
        <v>9289</v>
      </c>
      <c r="C578" s="2">
        <v>1</v>
      </c>
      <c r="D578" s="2">
        <v>63.44</v>
      </c>
    </row>
    <row r="579" spans="1:4">
      <c r="A579" t="e">
        <f>_xlfn.XLOOKUP(B579,[1]四三数据累计!$A:$A,[1]四三数据累计!$B:$B)</f>
        <v>#N/A</v>
      </c>
      <c r="B579" s="2">
        <v>9302</v>
      </c>
      <c r="C579" s="2">
        <v>4</v>
      </c>
      <c r="D579" s="2">
        <v>126.36</v>
      </c>
    </row>
    <row r="580" spans="1:4">
      <c r="A580" t="e">
        <f>_xlfn.XLOOKUP(B580,[1]四三数据累计!$A:$A,[1]四三数据累计!$B:$B)</f>
        <v>#N/A</v>
      </c>
      <c r="B580" s="2">
        <v>9303</v>
      </c>
      <c r="C580" s="2">
        <v>2</v>
      </c>
      <c r="D580" s="2">
        <v>38.4</v>
      </c>
    </row>
    <row r="581" spans="1:4">
      <c r="A581" t="e">
        <f>_xlfn.XLOOKUP(B581,[1]四三数据累计!$A:$A,[1]四三数据累计!$B:$B)</f>
        <v>#N/A</v>
      </c>
      <c r="B581" s="2">
        <v>9304</v>
      </c>
      <c r="C581" s="2">
        <v>3</v>
      </c>
      <c r="D581" s="2">
        <v>60.18</v>
      </c>
    </row>
    <row r="582" spans="1:4">
      <c r="A582" t="e">
        <f>_xlfn.XLOOKUP(B582,[1]四三数据累计!$A:$A,[1]四三数据累计!$B:$B)</f>
        <v>#N/A</v>
      </c>
      <c r="B582" s="2">
        <v>9306</v>
      </c>
      <c r="C582" s="2">
        <v>7</v>
      </c>
      <c r="D582" s="2">
        <v>136.56</v>
      </c>
    </row>
    <row r="583" spans="1:4">
      <c r="A583" t="e">
        <f>_xlfn.XLOOKUP(B583,[1]四三数据累计!$A:$A,[1]四三数据累计!$B:$B)</f>
        <v>#N/A</v>
      </c>
      <c r="B583" s="2">
        <v>9307</v>
      </c>
      <c r="C583" s="2">
        <v>7</v>
      </c>
      <c r="D583" s="2">
        <v>139.23</v>
      </c>
    </row>
    <row r="584" spans="1:4">
      <c r="A584" t="e">
        <f>_xlfn.XLOOKUP(B584,[1]四三数据累计!$A:$A,[1]四三数据累计!$B:$B)</f>
        <v>#N/A</v>
      </c>
      <c r="B584" s="2">
        <v>9311</v>
      </c>
      <c r="C584" s="2">
        <v>1</v>
      </c>
      <c r="D584" s="2">
        <v>121.52</v>
      </c>
    </row>
    <row r="585" spans="1:4">
      <c r="A585" t="e">
        <f>_xlfn.XLOOKUP(B585,[1]四三数据累计!$A:$A,[1]四三数据累计!$B:$B)</f>
        <v>#N/A</v>
      </c>
      <c r="B585" s="2">
        <v>9316</v>
      </c>
      <c r="C585" s="2">
        <v>2</v>
      </c>
      <c r="D585" s="2">
        <v>137.98</v>
      </c>
    </row>
    <row r="586" spans="1:4">
      <c r="A586" t="e">
        <f>_xlfn.XLOOKUP(B586,[1]四三数据累计!$A:$A,[1]四三数据累计!$B:$B)</f>
        <v>#N/A</v>
      </c>
      <c r="B586" s="2">
        <v>9358</v>
      </c>
      <c r="C586" s="2">
        <v>2</v>
      </c>
      <c r="D586" s="2">
        <v>130.79</v>
      </c>
    </row>
    <row r="587" spans="1:4">
      <c r="A587" t="e">
        <f>_xlfn.XLOOKUP(B587,[1]四三数据累计!$A:$A,[1]四三数据累计!$B:$B)</f>
        <v>#N/A</v>
      </c>
      <c r="B587" s="2">
        <v>9359</v>
      </c>
      <c r="C587" s="2">
        <v>1</v>
      </c>
      <c r="D587" s="2">
        <v>64.79</v>
      </c>
    </row>
    <row r="588" spans="1:4">
      <c r="A588" t="e">
        <f>_xlfn.XLOOKUP(B588,[1]四三数据累计!$A:$A,[1]四三数据累计!$B:$B)</f>
        <v>#N/A</v>
      </c>
      <c r="B588" s="2">
        <v>9360</v>
      </c>
      <c r="C588" s="2">
        <v>1</v>
      </c>
      <c r="D588" s="2">
        <v>36.98</v>
      </c>
    </row>
    <row r="589" spans="1:4">
      <c r="A589" t="e">
        <f>_xlfn.XLOOKUP(B589,[1]四三数据累计!$A:$A,[1]四三数据累计!$B:$B)</f>
        <v>#N/A</v>
      </c>
      <c r="B589" s="2">
        <v>9361</v>
      </c>
      <c r="C589" s="2">
        <v>1</v>
      </c>
      <c r="D589" s="2">
        <v>37.6</v>
      </c>
    </row>
    <row r="590" spans="1:4">
      <c r="A590" t="e">
        <f>_xlfn.XLOOKUP(B590,[1]四三数据累计!$A:$A,[1]四三数据累计!$B:$B)</f>
        <v>#N/A</v>
      </c>
      <c r="B590" s="2">
        <v>9362</v>
      </c>
      <c r="C590" s="2">
        <v>2</v>
      </c>
      <c r="D590" s="2">
        <v>110</v>
      </c>
    </row>
    <row r="591" spans="1:4">
      <c r="A591" t="e">
        <f>_xlfn.XLOOKUP(B591,[1]四三数据累计!$A:$A,[1]四三数据累计!$B:$B)</f>
        <v>#N/A</v>
      </c>
      <c r="B591" s="2">
        <v>9375</v>
      </c>
      <c r="C591" s="2">
        <v>3</v>
      </c>
      <c r="D591" s="2">
        <v>404</v>
      </c>
    </row>
    <row r="592" spans="1:4">
      <c r="A592" t="e">
        <f>_xlfn.XLOOKUP(B592,[1]四三数据累计!$A:$A,[1]四三数据累计!$B:$B)</f>
        <v>#N/A</v>
      </c>
      <c r="B592" s="2">
        <v>9386</v>
      </c>
      <c r="C592" s="2">
        <v>1</v>
      </c>
      <c r="D592" s="2">
        <v>159.99</v>
      </c>
    </row>
    <row r="593" spans="1:4">
      <c r="A593" t="e">
        <f>_xlfn.XLOOKUP(B593,[1]四三数据累计!$A:$A,[1]四三数据累计!$B:$B)</f>
        <v>#N/A</v>
      </c>
      <c r="B593" s="2">
        <v>9388</v>
      </c>
      <c r="C593" s="2">
        <v>1</v>
      </c>
      <c r="D593" s="2">
        <v>42.28</v>
      </c>
    </row>
    <row r="594" spans="1:4">
      <c r="A594" t="e">
        <f>_xlfn.XLOOKUP(B594,[1]四三数据累计!$A:$A,[1]四三数据累计!$B:$B)</f>
        <v>#N/A</v>
      </c>
      <c r="B594" s="2">
        <v>9389</v>
      </c>
      <c r="C594" s="2">
        <v>2</v>
      </c>
      <c r="D594" s="2">
        <v>56.53</v>
      </c>
    </row>
    <row r="595" spans="1:4">
      <c r="A595" t="e">
        <f>_xlfn.XLOOKUP(B595,[1]四三数据累计!$A:$A,[1]四三数据累计!$B:$B)</f>
        <v>#N/A</v>
      </c>
      <c r="B595" s="2">
        <v>9390</v>
      </c>
      <c r="C595" s="2">
        <v>3</v>
      </c>
      <c r="D595" s="2">
        <v>91.03</v>
      </c>
    </row>
    <row r="596" spans="1:4">
      <c r="A596" t="e">
        <f>_xlfn.XLOOKUP(B596,[1]四三数据累计!$A:$A,[1]四三数据累计!$B:$B)</f>
        <v>#N/A</v>
      </c>
      <c r="B596" s="2">
        <v>9391</v>
      </c>
      <c r="C596" s="2">
        <v>1</v>
      </c>
      <c r="D596" s="2">
        <v>168</v>
      </c>
    </row>
    <row r="597" spans="1:4">
      <c r="A597" t="e">
        <f>_xlfn.XLOOKUP(B597,[1]四三数据累计!$A:$A,[1]四三数据累计!$B:$B)</f>
        <v>#N/A</v>
      </c>
      <c r="B597" s="2">
        <v>9439</v>
      </c>
      <c r="C597" s="2">
        <v>3</v>
      </c>
      <c r="D597" s="2">
        <v>127.41</v>
      </c>
    </row>
    <row r="598" spans="1:4">
      <c r="A598" t="e">
        <f>_xlfn.XLOOKUP(B598,[1]四三数据累计!$A:$A,[1]四三数据累计!$B:$B)</f>
        <v>#N/A</v>
      </c>
      <c r="B598" s="2">
        <v>9445</v>
      </c>
      <c r="C598" s="2">
        <v>3</v>
      </c>
      <c r="D598" s="2">
        <v>116.97</v>
      </c>
    </row>
    <row r="599" spans="1:4">
      <c r="A599" t="e">
        <f>_xlfn.XLOOKUP(B599,[1]四三数据累计!$A:$A,[1]四三数据累计!$B:$B)</f>
        <v>#N/A</v>
      </c>
      <c r="B599" s="2">
        <v>9455</v>
      </c>
      <c r="C599" s="2">
        <v>1</v>
      </c>
      <c r="D599" s="2">
        <v>110.69</v>
      </c>
    </row>
    <row r="600" spans="1:4">
      <c r="A600" t="e">
        <f>_xlfn.XLOOKUP(B600,[1]四三数据累计!$A:$A,[1]四三数据累计!$B:$B)</f>
        <v>#N/A</v>
      </c>
      <c r="B600" s="2">
        <v>9482</v>
      </c>
      <c r="C600" s="2">
        <v>6</v>
      </c>
      <c r="D600" s="2">
        <v>780</v>
      </c>
    </row>
    <row r="601" spans="1:4">
      <c r="A601" t="e">
        <f>_xlfn.XLOOKUP(B601,[1]四三数据累计!$A:$A,[1]四三数据累计!$B:$B)</f>
        <v>#N/A</v>
      </c>
      <c r="B601" s="2">
        <v>9494</v>
      </c>
      <c r="C601" s="2">
        <v>1</v>
      </c>
      <c r="D601" s="2">
        <v>22.19</v>
      </c>
    </row>
    <row r="602" spans="1:4">
      <c r="A602" t="e">
        <f>_xlfn.XLOOKUP(B602,[1]四三数据累计!$A:$A,[1]四三数据累计!$B:$B)</f>
        <v>#N/A</v>
      </c>
      <c r="B602" s="2">
        <v>9495</v>
      </c>
      <c r="C602" s="2">
        <v>2</v>
      </c>
      <c r="D602" s="2">
        <v>49.34</v>
      </c>
    </row>
    <row r="603" spans="1:4">
      <c r="A603" t="e">
        <f>_xlfn.XLOOKUP(B603,[1]四三数据累计!$A:$A,[1]四三数据累计!$B:$B)</f>
        <v>#N/A</v>
      </c>
      <c r="B603" s="2">
        <v>9499</v>
      </c>
      <c r="C603" s="2">
        <v>5</v>
      </c>
      <c r="D603" s="2">
        <v>299.6</v>
      </c>
    </row>
    <row r="604" spans="1:4">
      <c r="A604" t="e">
        <f>_xlfn.XLOOKUP(B604,[1]四三数据累计!$A:$A,[1]四三数据累计!$B:$B)</f>
        <v>#N/A</v>
      </c>
      <c r="B604" s="2">
        <v>9500</v>
      </c>
      <c r="C604" s="2">
        <v>3</v>
      </c>
      <c r="D604" s="2">
        <v>74.97</v>
      </c>
    </row>
    <row r="605" spans="1:4">
      <c r="A605" t="e">
        <f>_xlfn.XLOOKUP(B605,[1]四三数据累计!$A:$A,[1]四三数据累计!$B:$B)</f>
        <v>#N/A</v>
      </c>
      <c r="B605" s="2">
        <v>9513</v>
      </c>
      <c r="C605" s="2">
        <v>8</v>
      </c>
      <c r="D605" s="2">
        <v>1468.3</v>
      </c>
    </row>
    <row r="606" spans="1:4">
      <c r="A606" t="e">
        <f>_xlfn.XLOOKUP(B606,[1]四三数据累计!$A:$A,[1]四三数据累计!$B:$B)</f>
        <v>#N/A</v>
      </c>
      <c r="B606" s="2">
        <v>9514</v>
      </c>
      <c r="C606" s="2">
        <v>1</v>
      </c>
      <c r="D606" s="2">
        <v>143.28</v>
      </c>
    </row>
    <row r="607" spans="1:4">
      <c r="A607" t="e">
        <f>_xlfn.XLOOKUP(B607,[1]四三数据累计!$A:$A,[1]四三数据累计!$B:$B)</f>
        <v>#N/A</v>
      </c>
      <c r="B607" s="2">
        <v>9515</v>
      </c>
      <c r="C607" s="2">
        <v>5</v>
      </c>
      <c r="D607" s="2">
        <v>325</v>
      </c>
    </row>
    <row r="608" spans="1:4">
      <c r="A608" t="e">
        <f>_xlfn.XLOOKUP(B608,[1]四三数据累计!$A:$A,[1]四三数据累计!$B:$B)</f>
        <v>#N/A</v>
      </c>
      <c r="B608" s="2">
        <v>9516</v>
      </c>
      <c r="C608" s="2">
        <v>4</v>
      </c>
      <c r="D608" s="2">
        <v>273</v>
      </c>
    </row>
    <row r="609" spans="1:4">
      <c r="A609" t="e">
        <f>_xlfn.XLOOKUP(B609,[1]四三数据累计!$A:$A,[1]四三数据累计!$B:$B)</f>
        <v>#N/A</v>
      </c>
      <c r="B609" s="2">
        <v>9517</v>
      </c>
      <c r="C609" s="2">
        <v>3</v>
      </c>
      <c r="D609" s="2">
        <v>207</v>
      </c>
    </row>
    <row r="610" spans="1:4">
      <c r="A610" t="e">
        <f>_xlfn.XLOOKUP(B610,[1]四三数据累计!$A:$A,[1]四三数据累计!$B:$B)</f>
        <v>#N/A</v>
      </c>
      <c r="B610" s="2">
        <v>9518</v>
      </c>
      <c r="C610" s="2">
        <v>2</v>
      </c>
      <c r="D610" s="2">
        <v>144.9</v>
      </c>
    </row>
    <row r="611" spans="1:4">
      <c r="A611" t="e">
        <f>_xlfn.XLOOKUP(B611,[1]四三数据累计!$A:$A,[1]四三数据累计!$B:$B)</f>
        <v>#N/A</v>
      </c>
      <c r="B611" s="2">
        <v>9539</v>
      </c>
      <c r="C611" s="2">
        <v>2</v>
      </c>
      <c r="D611" s="2">
        <v>40.96</v>
      </c>
    </row>
    <row r="612" spans="1:4">
      <c r="A612" t="e">
        <f>_xlfn.XLOOKUP(B612,[1]四三数据累计!$A:$A,[1]四三数据累计!$B:$B)</f>
        <v>#N/A</v>
      </c>
      <c r="B612" s="2">
        <v>9551</v>
      </c>
      <c r="C612" s="2">
        <v>1</v>
      </c>
      <c r="D612" s="2">
        <v>168</v>
      </c>
    </row>
    <row r="613" spans="1:4">
      <c r="A613" t="e">
        <f>_xlfn.XLOOKUP(B613,[1]四三数据累计!$A:$A,[1]四三数据累计!$B:$B)</f>
        <v>#N/A</v>
      </c>
      <c r="B613" s="2">
        <v>9553</v>
      </c>
      <c r="C613" s="2">
        <v>1</v>
      </c>
      <c r="D613" s="2">
        <v>63.99</v>
      </c>
    </row>
    <row r="614" spans="1:4">
      <c r="A614" t="e">
        <f>_xlfn.XLOOKUP(B614,[1]四三数据累计!$A:$A,[1]四三数据累计!$B:$B)</f>
        <v>#N/A</v>
      </c>
      <c r="B614" s="2">
        <v>9557</v>
      </c>
      <c r="C614" s="2">
        <v>1</v>
      </c>
      <c r="D614" s="2">
        <v>23.12</v>
      </c>
    </row>
    <row r="615" spans="1:4">
      <c r="A615" t="e">
        <f>_xlfn.XLOOKUP(B615,[1]四三数据累计!$A:$A,[1]四三数据累计!$B:$B)</f>
        <v>#N/A</v>
      </c>
      <c r="B615" s="2">
        <v>9558</v>
      </c>
      <c r="C615" s="2">
        <v>1</v>
      </c>
      <c r="D615" s="2">
        <v>23.87</v>
      </c>
    </row>
    <row r="616" spans="1:4">
      <c r="A616" t="e">
        <f>_xlfn.XLOOKUP(B616,[1]四三数据累计!$A:$A,[1]四三数据累计!$B:$B)</f>
        <v>#N/A</v>
      </c>
      <c r="B616" s="2">
        <v>9560</v>
      </c>
      <c r="C616" s="2">
        <v>4</v>
      </c>
      <c r="D616" s="2">
        <v>118.58</v>
      </c>
    </row>
    <row r="617" spans="1:4">
      <c r="A617" t="e">
        <f>_xlfn.XLOOKUP(B617,[1]四三数据累计!$A:$A,[1]四三数据累计!$B:$B)</f>
        <v>#N/A</v>
      </c>
      <c r="B617" s="2">
        <v>9561</v>
      </c>
      <c r="C617" s="2">
        <v>8</v>
      </c>
      <c r="D617" s="2">
        <v>293.12</v>
      </c>
    </row>
    <row r="618" spans="1:4">
      <c r="A618" t="e">
        <f>_xlfn.XLOOKUP(B618,[1]四三数据累计!$A:$A,[1]四三数据累计!$B:$B)</f>
        <v>#N/A</v>
      </c>
      <c r="B618" s="2">
        <v>9577</v>
      </c>
      <c r="C618" s="2">
        <v>2</v>
      </c>
      <c r="D618" s="2">
        <v>485</v>
      </c>
    </row>
    <row r="619" spans="1:4">
      <c r="A619" t="e">
        <f>_xlfn.XLOOKUP(B619,[1]四三数据累计!$A:$A,[1]四三数据累计!$B:$B)</f>
        <v>#N/A</v>
      </c>
      <c r="B619" s="2">
        <v>9580</v>
      </c>
      <c r="C619" s="2">
        <v>11</v>
      </c>
      <c r="D619" s="2">
        <v>1025.3</v>
      </c>
    </row>
    <row r="620" spans="1:4">
      <c r="A620" t="e">
        <f>_xlfn.XLOOKUP(B620,[1]四三数据累计!$A:$A,[1]四三数据累计!$B:$B)</f>
        <v>#N/A</v>
      </c>
      <c r="B620" s="2">
        <v>9584</v>
      </c>
      <c r="C620" s="2">
        <v>2</v>
      </c>
      <c r="D620" s="2">
        <v>77.06</v>
      </c>
    </row>
    <row r="621" spans="1:4">
      <c r="A621" t="e">
        <f>_xlfn.XLOOKUP(B621,[1]四三数据累计!$A:$A,[1]四三数据累计!$B:$B)</f>
        <v>#N/A</v>
      </c>
      <c r="B621" s="2">
        <v>9605</v>
      </c>
      <c r="C621" s="2">
        <v>1</v>
      </c>
      <c r="D621" s="2">
        <v>25.48</v>
      </c>
    </row>
    <row r="622" spans="1:4">
      <c r="A622" t="e">
        <f>_xlfn.XLOOKUP(B622,[1]四三数据累计!$A:$A,[1]四三数据累计!$B:$B)</f>
        <v>#N/A</v>
      </c>
      <c r="B622" s="2">
        <v>9627</v>
      </c>
      <c r="C622" s="2">
        <v>1</v>
      </c>
      <c r="D622" s="2">
        <v>155</v>
      </c>
    </row>
    <row r="623" spans="1:4">
      <c r="A623" t="e">
        <f>_xlfn.XLOOKUP(B623,[1]四三数据累计!$A:$A,[1]四三数据累计!$B:$B)</f>
        <v>#N/A</v>
      </c>
      <c r="B623" s="2">
        <v>9645</v>
      </c>
      <c r="C623" s="2">
        <v>2</v>
      </c>
      <c r="D623" s="2">
        <v>139.18</v>
      </c>
    </row>
    <row r="624" spans="1:4">
      <c r="A624" t="e">
        <f>_xlfn.XLOOKUP(B624,[1]四三数据累计!$A:$A,[1]四三数据累计!$B:$B)</f>
        <v>#N/A</v>
      </c>
      <c r="B624" s="2">
        <v>9646</v>
      </c>
      <c r="C624" s="2">
        <v>1</v>
      </c>
      <c r="D624" s="2">
        <v>34.89</v>
      </c>
    </row>
    <row r="625" spans="1:4">
      <c r="A625" t="e">
        <f>_xlfn.XLOOKUP(B625,[1]四三数据累计!$A:$A,[1]四三数据累计!$B:$B)</f>
        <v>#N/A</v>
      </c>
      <c r="B625" s="2">
        <v>9649</v>
      </c>
      <c r="C625" s="2">
        <v>16</v>
      </c>
      <c r="D625" s="2">
        <v>969.96</v>
      </c>
    </row>
    <row r="626" spans="1:4">
      <c r="A626" t="e">
        <f>_xlfn.XLOOKUP(B626,[1]四三数据累计!$A:$A,[1]四三数据累计!$B:$B)</f>
        <v>#N/A</v>
      </c>
      <c r="B626" s="2">
        <v>9650</v>
      </c>
      <c r="C626" s="2">
        <v>10</v>
      </c>
      <c r="D626" s="2">
        <v>620.3</v>
      </c>
    </row>
    <row r="627" spans="1:4">
      <c r="A627" t="e">
        <f>_xlfn.XLOOKUP(B627,[1]四三数据累计!$A:$A,[1]四三数据累计!$B:$B)</f>
        <v>#N/A</v>
      </c>
      <c r="B627" s="2">
        <v>9683</v>
      </c>
      <c r="C627" s="2">
        <v>12</v>
      </c>
      <c r="D627" s="2">
        <v>2566.5</v>
      </c>
    </row>
    <row r="628" spans="1:4">
      <c r="A628" t="e">
        <f>_xlfn.XLOOKUP(B628,[1]四三数据累计!$A:$A,[1]四三数据累计!$B:$B)</f>
        <v>#N/A</v>
      </c>
      <c r="B628" s="2">
        <v>9685</v>
      </c>
      <c r="C628" s="2">
        <v>2</v>
      </c>
      <c r="D628" s="2">
        <v>81.9</v>
      </c>
    </row>
    <row r="629" spans="1:4">
      <c r="A629" t="e">
        <f>_xlfn.XLOOKUP(B629,[1]四三数据累计!$A:$A,[1]四三数据累计!$B:$B)</f>
        <v>#N/A</v>
      </c>
      <c r="B629" s="2">
        <v>9686</v>
      </c>
      <c r="C629" s="2">
        <v>2</v>
      </c>
      <c r="D629" s="2">
        <v>27.3</v>
      </c>
    </row>
    <row r="630" spans="1:4">
      <c r="A630" t="e">
        <f>_xlfn.XLOOKUP(B630,[1]四三数据累计!$A:$A,[1]四三数据累计!$B:$B)</f>
        <v>#N/A</v>
      </c>
      <c r="B630" s="2">
        <v>9694</v>
      </c>
      <c r="C630" s="2">
        <v>2</v>
      </c>
      <c r="D630" s="2">
        <v>151.98</v>
      </c>
    </row>
    <row r="631" spans="1:4">
      <c r="A631" t="e">
        <f>_xlfn.XLOOKUP(B631,[1]四三数据累计!$A:$A,[1]四三数据累计!$B:$B)</f>
        <v>#N/A</v>
      </c>
      <c r="B631" s="2">
        <v>9695</v>
      </c>
      <c r="C631" s="2">
        <v>2</v>
      </c>
      <c r="D631" s="2">
        <v>81.98</v>
      </c>
    </row>
    <row r="632" spans="1:4">
      <c r="A632" t="e">
        <f>_xlfn.XLOOKUP(B632,[1]四三数据累计!$A:$A,[1]四三数据累计!$B:$B)</f>
        <v>#N/A</v>
      </c>
      <c r="B632" s="2">
        <v>9698</v>
      </c>
      <c r="C632" s="2">
        <v>3</v>
      </c>
      <c r="D632" s="2">
        <v>139.23</v>
      </c>
    </row>
    <row r="633" spans="1:4">
      <c r="A633" t="e">
        <f>_xlfn.XLOOKUP(B633,[1]四三数据累计!$A:$A,[1]四三数据累计!$B:$B)</f>
        <v>#N/A</v>
      </c>
      <c r="B633" s="2">
        <v>9723</v>
      </c>
      <c r="C633" s="2">
        <v>2</v>
      </c>
      <c r="D633" s="2">
        <v>96</v>
      </c>
    </row>
    <row r="634" spans="1:4">
      <c r="A634" t="e">
        <f>_xlfn.XLOOKUP(B634,[1]四三数据累计!$A:$A,[1]四三数据累计!$B:$B)</f>
        <v>#N/A</v>
      </c>
      <c r="B634" s="2">
        <v>9725</v>
      </c>
      <c r="C634" s="2">
        <v>2</v>
      </c>
      <c r="D634" s="2">
        <v>138</v>
      </c>
    </row>
    <row r="635" spans="1:4">
      <c r="A635" t="e">
        <f>_xlfn.XLOOKUP(B635,[1]四三数据累计!$A:$A,[1]四三数据累计!$B:$B)</f>
        <v>#N/A</v>
      </c>
      <c r="B635" s="2">
        <v>9731</v>
      </c>
      <c r="C635" s="2">
        <v>1</v>
      </c>
      <c r="D635" s="2">
        <v>140</v>
      </c>
    </row>
    <row r="636" spans="1:4">
      <c r="A636" t="e">
        <f>_xlfn.XLOOKUP(B636,[1]四三数据累计!$A:$A,[1]四三数据累计!$B:$B)</f>
        <v>#N/A</v>
      </c>
      <c r="B636" s="2">
        <v>9732</v>
      </c>
      <c r="C636" s="2">
        <v>1</v>
      </c>
      <c r="D636" s="2">
        <v>162.67</v>
      </c>
    </row>
    <row r="637" spans="1:4">
      <c r="A637" t="e">
        <f>_xlfn.XLOOKUP(B637,[1]四三数据累计!$A:$A,[1]四三数据累计!$B:$B)</f>
        <v>#N/A</v>
      </c>
      <c r="B637" s="2">
        <v>9733</v>
      </c>
      <c r="C637" s="2">
        <v>5</v>
      </c>
      <c r="D637" s="2">
        <v>352.35</v>
      </c>
    </row>
    <row r="638" spans="1:4">
      <c r="A638" t="e">
        <f>_xlfn.XLOOKUP(B638,[1]四三数据累计!$A:$A,[1]四三数据累计!$B:$B)</f>
        <v>#N/A</v>
      </c>
      <c r="B638" s="2">
        <v>9776</v>
      </c>
      <c r="C638" s="2">
        <v>14</v>
      </c>
      <c r="D638" s="2">
        <v>770</v>
      </c>
    </row>
    <row r="639" spans="1:4">
      <c r="A639" t="e">
        <f>_xlfn.XLOOKUP(B639,[1]四三数据累计!$A:$A,[1]四三数据累计!$B:$B)</f>
        <v>#N/A</v>
      </c>
      <c r="B639" s="2">
        <v>9803</v>
      </c>
      <c r="C639" s="2">
        <v>3</v>
      </c>
      <c r="D639" s="2">
        <v>128.7</v>
      </c>
    </row>
    <row r="640" spans="1:4">
      <c r="A640" t="e">
        <f>_xlfn.XLOOKUP(B640,[1]四三数据累计!$A:$A,[1]四三数据累计!$B:$B)</f>
        <v>#N/A</v>
      </c>
      <c r="B640" s="2">
        <v>9805</v>
      </c>
      <c r="C640" s="2">
        <v>3</v>
      </c>
      <c r="D640" s="2">
        <v>205.5</v>
      </c>
    </row>
    <row r="641" spans="1:4">
      <c r="A641" t="e">
        <f>_xlfn.XLOOKUP(B641,[1]四三数据累计!$A:$A,[1]四三数据累计!$B:$B)</f>
        <v>#N/A</v>
      </c>
      <c r="B641" s="2">
        <v>9806</v>
      </c>
      <c r="C641" s="2">
        <v>10</v>
      </c>
      <c r="D641" s="2">
        <v>647.9</v>
      </c>
    </row>
    <row r="642" spans="1:4">
      <c r="A642" t="e">
        <f>_xlfn.XLOOKUP(B642,[1]四三数据累计!$A:$A,[1]四三数据累计!$B:$B)</f>
        <v>#N/A</v>
      </c>
      <c r="B642" s="2">
        <v>9812</v>
      </c>
      <c r="C642" s="2">
        <v>1</v>
      </c>
      <c r="D642" s="2">
        <v>176</v>
      </c>
    </row>
    <row r="643" spans="1:4">
      <c r="A643" t="e">
        <f>_xlfn.XLOOKUP(B643,[1]四三数据累计!$A:$A,[1]四三数据累计!$B:$B)</f>
        <v>#N/A</v>
      </c>
      <c r="B643" s="2">
        <v>9821</v>
      </c>
      <c r="C643" s="2">
        <v>3</v>
      </c>
      <c r="D643" s="2">
        <v>594</v>
      </c>
    </row>
    <row r="644" spans="1:4">
      <c r="A644" t="e">
        <f>_xlfn.XLOOKUP(B644,[1]四三数据累计!$A:$A,[1]四三数据累计!$B:$B)</f>
        <v>#N/A</v>
      </c>
      <c r="B644" s="2">
        <v>9860</v>
      </c>
      <c r="C644" s="2">
        <v>3</v>
      </c>
      <c r="D644" s="2">
        <v>237</v>
      </c>
    </row>
    <row r="645" spans="1:4">
      <c r="A645" t="e">
        <f>_xlfn.XLOOKUP(B645,[1]四三数据累计!$A:$A,[1]四三数据累计!$B:$B)</f>
        <v>#N/A</v>
      </c>
      <c r="B645" s="2">
        <v>9894</v>
      </c>
      <c r="C645" s="2">
        <v>1</v>
      </c>
      <c r="D645" s="2">
        <v>165.93</v>
      </c>
    </row>
    <row r="646" spans="1:4">
      <c r="A646" t="e">
        <f>_xlfn.XLOOKUP(B646,[1]四三数据累计!$A:$A,[1]四三数据累计!$B:$B)</f>
        <v>#N/A</v>
      </c>
      <c r="B646" s="2">
        <v>9895</v>
      </c>
      <c r="C646" s="2">
        <v>2</v>
      </c>
      <c r="D646" s="2">
        <v>217</v>
      </c>
    </row>
    <row r="647" spans="1:4">
      <c r="A647" t="e">
        <f>_xlfn.XLOOKUP(B647,[1]四三数据累计!$A:$A,[1]四三数据累计!$B:$B)</f>
        <v>#N/A</v>
      </c>
      <c r="B647" s="2">
        <v>9901</v>
      </c>
      <c r="C647" s="2">
        <v>3</v>
      </c>
      <c r="D647" s="2">
        <v>320.18</v>
      </c>
    </row>
    <row r="648" spans="1:4">
      <c r="A648" t="e">
        <f>_xlfn.XLOOKUP(B648,[1]四三数据累计!$A:$A,[1]四三数据累计!$B:$B)</f>
        <v>#N/A</v>
      </c>
      <c r="B648" s="2">
        <v>9904</v>
      </c>
      <c r="C648" s="2">
        <v>2</v>
      </c>
      <c r="D648" s="2">
        <v>270</v>
      </c>
    </row>
    <row r="649" spans="1:4">
      <c r="A649" t="e">
        <f>_xlfn.XLOOKUP(B649,[1]四三数据累计!$A:$A,[1]四三数据累计!$B:$B)</f>
        <v>#N/A</v>
      </c>
      <c r="B649" s="2">
        <v>9912</v>
      </c>
      <c r="C649" s="2">
        <v>1</v>
      </c>
      <c r="D649" s="2">
        <v>185</v>
      </c>
    </row>
    <row r="650" spans="1:4">
      <c r="A650" t="e">
        <f>_xlfn.XLOOKUP(B650,[1]四三数据累计!$A:$A,[1]四三数据累计!$B:$B)</f>
        <v>#N/A</v>
      </c>
      <c r="B650" s="2">
        <v>9932</v>
      </c>
      <c r="C650" s="2">
        <v>7</v>
      </c>
      <c r="D650" s="2">
        <v>711</v>
      </c>
    </row>
    <row r="651" spans="1:4">
      <c r="A651" t="e">
        <f>_xlfn.XLOOKUP(B651,[1]四三数据累计!$A:$A,[1]四三数据累计!$B:$B)</f>
        <v>#N/A</v>
      </c>
      <c r="B651" s="2">
        <v>9938</v>
      </c>
      <c r="C651" s="2">
        <v>4</v>
      </c>
      <c r="D651" s="2">
        <v>685.8</v>
      </c>
    </row>
    <row r="652" spans="1:4">
      <c r="A652" t="e">
        <f>_xlfn.XLOOKUP(B652,[1]四三数据累计!$A:$A,[1]四三数据累计!$B:$B)</f>
        <v>#N/A</v>
      </c>
      <c r="B652" s="2">
        <v>9953</v>
      </c>
      <c r="C652" s="2">
        <v>2</v>
      </c>
      <c r="D652" s="2">
        <v>424</v>
      </c>
    </row>
    <row r="653" spans="1:4">
      <c r="A653" t="e">
        <f>_xlfn.XLOOKUP(B653,[1]四三数据累计!$A:$A,[1]四三数据累计!$B:$B)</f>
        <v>#N/A</v>
      </c>
      <c r="B653" s="2">
        <v>9981</v>
      </c>
      <c r="C653" s="2">
        <v>4</v>
      </c>
      <c r="D653" s="2">
        <v>792</v>
      </c>
    </row>
    <row r="654" spans="1:4">
      <c r="A654" t="e">
        <f>_xlfn.XLOOKUP(B654,[1]四三数据累计!$A:$A,[1]四三数据累计!$B:$B)</f>
        <v>#N/A</v>
      </c>
      <c r="B654" s="2">
        <v>10009</v>
      </c>
      <c r="C654" s="2">
        <v>5</v>
      </c>
      <c r="D654" s="2">
        <v>135.5</v>
      </c>
    </row>
    <row r="655" spans="1:4">
      <c r="A655" t="e">
        <f>_xlfn.XLOOKUP(B655,[1]四三数据累计!$A:$A,[1]四三数据累计!$B:$B)</f>
        <v>#N/A</v>
      </c>
      <c r="B655" s="2">
        <v>10010</v>
      </c>
      <c r="C655" s="2">
        <v>3</v>
      </c>
      <c r="D655" s="2">
        <v>80.4</v>
      </c>
    </row>
    <row r="656" spans="1:4">
      <c r="A656" t="e">
        <f>_xlfn.XLOOKUP(B656,[1]四三数据累计!$A:$A,[1]四三数据累计!$B:$B)</f>
        <v>#N/A</v>
      </c>
      <c r="B656" s="2">
        <v>10059</v>
      </c>
      <c r="C656" s="2">
        <v>8</v>
      </c>
      <c r="D656" s="2">
        <v>150.92</v>
      </c>
    </row>
    <row r="657" spans="1:4">
      <c r="A657" t="e">
        <f>_xlfn.XLOOKUP(B657,[1]四三数据累计!$A:$A,[1]四三数据累计!$B:$B)</f>
        <v>#N/A</v>
      </c>
      <c r="B657" s="2">
        <v>10062</v>
      </c>
      <c r="C657" s="2">
        <v>2</v>
      </c>
      <c r="D657" s="2">
        <v>44.62</v>
      </c>
    </row>
    <row r="658" spans="1:4">
      <c r="A658" t="e">
        <f>_xlfn.XLOOKUP(B658,[1]四三数据累计!$A:$A,[1]四三数据累计!$B:$B)</f>
        <v>#N/A</v>
      </c>
      <c r="B658" s="2">
        <v>10090</v>
      </c>
      <c r="C658" s="2">
        <v>2</v>
      </c>
      <c r="D658" s="2">
        <v>590</v>
      </c>
    </row>
    <row r="659" spans="1:4">
      <c r="A659" t="e">
        <f>_xlfn.XLOOKUP(B659,[1]四三数据累计!$A:$A,[1]四三数据累计!$B:$B)</f>
        <v>#N/A</v>
      </c>
      <c r="B659" s="2">
        <v>10107</v>
      </c>
      <c r="C659" s="2">
        <v>1</v>
      </c>
      <c r="D659" s="2">
        <v>214.78</v>
      </c>
    </row>
    <row r="660" spans="1:4">
      <c r="A660" t="e">
        <f>_xlfn.XLOOKUP(B660,[1]四三数据累计!$A:$A,[1]四三数据累计!$B:$B)</f>
        <v>#N/A</v>
      </c>
      <c r="B660" s="2">
        <v>10128</v>
      </c>
      <c r="C660" s="2">
        <v>8</v>
      </c>
      <c r="D660" s="2">
        <v>343</v>
      </c>
    </row>
    <row r="661" spans="1:4">
      <c r="A661" t="e">
        <f>_xlfn.XLOOKUP(B661,[1]四三数据累计!$A:$A,[1]四三数据累计!$B:$B)</f>
        <v>#N/A</v>
      </c>
      <c r="B661" s="2">
        <v>10135</v>
      </c>
      <c r="C661" s="2">
        <v>1</v>
      </c>
      <c r="D661" s="2">
        <v>69.01</v>
      </c>
    </row>
    <row r="662" spans="1:4">
      <c r="A662" t="e">
        <f>_xlfn.XLOOKUP(B662,[1]四三数据累计!$A:$A,[1]四三数据累计!$B:$B)</f>
        <v>#N/A</v>
      </c>
      <c r="B662" s="2">
        <v>10171</v>
      </c>
      <c r="C662" s="2">
        <v>2</v>
      </c>
      <c r="D662" s="2">
        <v>128</v>
      </c>
    </row>
    <row r="663" spans="1:4">
      <c r="A663" t="e">
        <f>_xlfn.XLOOKUP(B663,[1]四三数据累计!$A:$A,[1]四三数据累计!$B:$B)</f>
        <v>#N/A</v>
      </c>
      <c r="B663" s="2">
        <v>10226</v>
      </c>
      <c r="C663" s="2">
        <v>1</v>
      </c>
      <c r="D663" s="2">
        <v>18.99</v>
      </c>
    </row>
    <row r="664" spans="1:4">
      <c r="A664" t="e">
        <f>_xlfn.XLOOKUP(B664,[1]四三数据累计!$A:$A,[1]四三数据累计!$B:$B)</f>
        <v>#N/A</v>
      </c>
      <c r="B664" s="2">
        <v>10298</v>
      </c>
      <c r="C664" s="2">
        <v>1</v>
      </c>
      <c r="D664" s="2">
        <v>42.99</v>
      </c>
    </row>
    <row r="665" spans="1:4">
      <c r="A665" t="e">
        <f>_xlfn.XLOOKUP(B665,[1]四三数据累计!$A:$A,[1]四三数据累计!$B:$B)</f>
        <v>#N/A</v>
      </c>
      <c r="B665" s="2">
        <v>10381</v>
      </c>
      <c r="C665" s="2">
        <v>4</v>
      </c>
      <c r="D665" s="2">
        <v>253.36</v>
      </c>
    </row>
    <row r="666" spans="1:4">
      <c r="A666" t="e">
        <f>_xlfn.XLOOKUP(B666,[1]四三数据累计!$A:$A,[1]四三数据累计!$B:$B)</f>
        <v>#N/A</v>
      </c>
      <c r="B666" s="2">
        <v>10386</v>
      </c>
      <c r="C666" s="2">
        <v>10</v>
      </c>
      <c r="D666" s="2">
        <v>1383.14</v>
      </c>
    </row>
    <row r="667" spans="1:4">
      <c r="A667" t="e">
        <f>_xlfn.XLOOKUP(B667,[1]四三数据累计!$A:$A,[1]四三数据累计!$B:$B)</f>
        <v>#N/A</v>
      </c>
      <c r="B667" s="2">
        <v>10464</v>
      </c>
      <c r="C667" s="2">
        <v>1</v>
      </c>
      <c r="D667" s="2">
        <v>19.39</v>
      </c>
    </row>
    <row r="668" spans="1:4">
      <c r="A668" t="e">
        <f>_xlfn.XLOOKUP(B668,[1]四三数据累计!$A:$A,[1]四三数据累计!$B:$B)</f>
        <v>#N/A</v>
      </c>
      <c r="B668" s="2">
        <v>10518</v>
      </c>
      <c r="C668" s="2">
        <v>2</v>
      </c>
      <c r="D668" s="2">
        <v>351.98</v>
      </c>
    </row>
    <row r="669" spans="1:4">
      <c r="A669" t="e">
        <f>_xlfn.XLOOKUP(B669,[1]四三数据累计!$A:$A,[1]四三数据累计!$B:$B)</f>
        <v>#N/A</v>
      </c>
      <c r="B669" s="2">
        <v>10519</v>
      </c>
      <c r="C669" s="2">
        <v>1</v>
      </c>
      <c r="D669" s="2">
        <v>93.45</v>
      </c>
    </row>
    <row r="670" spans="1:4">
      <c r="A670" t="e">
        <f>_xlfn.XLOOKUP(B670,[1]四三数据累计!$A:$A,[1]四三数据累计!$B:$B)</f>
        <v>#N/A</v>
      </c>
      <c r="B670" s="2">
        <v>10544</v>
      </c>
      <c r="C670" s="2">
        <v>2</v>
      </c>
      <c r="D670" s="2">
        <v>258</v>
      </c>
    </row>
    <row r="671" spans="1:4">
      <c r="A671" t="e">
        <f>_xlfn.XLOOKUP(B671,[1]四三数据累计!$A:$A,[1]四三数据累计!$B:$B)</f>
        <v>#N/A</v>
      </c>
      <c r="B671" s="2">
        <v>10546</v>
      </c>
      <c r="C671" s="2">
        <v>4</v>
      </c>
      <c r="D671" s="2">
        <v>111.64</v>
      </c>
    </row>
    <row r="672" spans="1:4">
      <c r="A672" t="e">
        <f>_xlfn.XLOOKUP(B672,[1]四三数据累计!$A:$A,[1]四三数据累计!$B:$B)</f>
        <v>#N/A</v>
      </c>
      <c r="B672" s="2">
        <v>10553</v>
      </c>
      <c r="C672" s="2">
        <v>1</v>
      </c>
      <c r="D672" s="2">
        <v>52.87</v>
      </c>
    </row>
    <row r="673" spans="1:4">
      <c r="A673" t="e">
        <f>_xlfn.XLOOKUP(B673,[1]四三数据累计!$A:$A,[1]四三数据累计!$B:$B)</f>
        <v>#N/A</v>
      </c>
      <c r="B673" s="2">
        <v>10554</v>
      </c>
      <c r="C673" s="2">
        <v>1</v>
      </c>
      <c r="D673" s="2">
        <v>39</v>
      </c>
    </row>
    <row r="674" spans="1:4">
      <c r="A674" t="e">
        <f>_xlfn.XLOOKUP(B674,[1]四三数据累计!$A:$A,[1]四三数据累计!$B:$B)</f>
        <v>#N/A</v>
      </c>
      <c r="B674" s="2">
        <v>10639</v>
      </c>
      <c r="C674" s="2">
        <v>2</v>
      </c>
      <c r="D674" s="2">
        <v>70</v>
      </c>
    </row>
    <row r="675" spans="1:4">
      <c r="A675" t="e">
        <f>_xlfn.XLOOKUP(B675,[1]四三数据累计!$A:$A,[1]四三数据累计!$B:$B)</f>
        <v>#N/A</v>
      </c>
      <c r="B675" s="2">
        <v>10774</v>
      </c>
      <c r="C675" s="2">
        <v>1</v>
      </c>
      <c r="D675" s="2">
        <v>187.45</v>
      </c>
    </row>
    <row r="676" spans="1:4">
      <c r="A676" t="e">
        <f>_xlfn.XLOOKUP(B676,[1]四三数据累计!$A:$A,[1]四三数据累计!$B:$B)</f>
        <v>#N/A</v>
      </c>
      <c r="B676" s="2">
        <v>10785</v>
      </c>
      <c r="C676" s="2">
        <v>8</v>
      </c>
      <c r="D676" s="2">
        <v>399.92</v>
      </c>
    </row>
    <row r="677" spans="1:4">
      <c r="A677" t="e">
        <f>_xlfn.XLOOKUP(B677,[1]四三数据累计!$A:$A,[1]四三数据累计!$B:$B)</f>
        <v>#N/A</v>
      </c>
      <c r="B677" s="2">
        <v>10786</v>
      </c>
      <c r="C677" s="2">
        <v>5</v>
      </c>
      <c r="D677" s="2">
        <v>267.7</v>
      </c>
    </row>
    <row r="678" spans="1:4">
      <c r="A678" t="e">
        <f>_xlfn.XLOOKUP(B678,[1]四三数据累计!$A:$A,[1]四三数据累计!$B:$B)</f>
        <v>#N/A</v>
      </c>
      <c r="B678" s="2">
        <v>10787</v>
      </c>
      <c r="C678" s="2">
        <v>2</v>
      </c>
      <c r="D678" s="2">
        <v>81.98</v>
      </c>
    </row>
    <row r="679" spans="1:4">
      <c r="A679" t="e">
        <f>_xlfn.XLOOKUP(B679,[1]四三数据累计!$A:$A,[1]四三数据累计!$B:$B)</f>
        <v>#N/A</v>
      </c>
      <c r="B679" s="2">
        <v>10813</v>
      </c>
      <c r="C679" s="2">
        <v>2</v>
      </c>
      <c r="D679" s="2">
        <v>78.74</v>
      </c>
    </row>
    <row r="680" spans="1:4">
      <c r="A680" t="e">
        <f>_xlfn.XLOOKUP(B680,[1]四三数据累计!$A:$A,[1]四三数据累计!$B:$B)</f>
        <v>#N/A</v>
      </c>
      <c r="B680" s="2">
        <v>10858</v>
      </c>
      <c r="C680" s="2">
        <v>5</v>
      </c>
      <c r="D680" s="2">
        <v>122.5</v>
      </c>
    </row>
    <row r="681" spans="1:4">
      <c r="A681" t="e">
        <f>_xlfn.XLOOKUP(B681,[1]四三数据累计!$A:$A,[1]四三数据累计!$B:$B)</f>
        <v>#N/A</v>
      </c>
      <c r="B681" s="2">
        <v>10894</v>
      </c>
      <c r="C681" s="2">
        <v>1</v>
      </c>
      <c r="D681" s="2">
        <v>83.33</v>
      </c>
    </row>
    <row r="682" spans="1:4">
      <c r="A682" t="e">
        <f>_xlfn.XLOOKUP(B682,[1]四三数据累计!$A:$A,[1]四三数据累计!$B:$B)</f>
        <v>#N/A</v>
      </c>
      <c r="B682" s="2">
        <v>10988</v>
      </c>
      <c r="C682" s="2">
        <v>3</v>
      </c>
      <c r="D682" s="2">
        <v>59.31</v>
      </c>
    </row>
    <row r="683" spans="1:4">
      <c r="A683" t="e">
        <f>_xlfn.XLOOKUP(B683,[1]四三数据累计!$A:$A,[1]四三数据累计!$B:$B)</f>
        <v>#N/A</v>
      </c>
      <c r="B683" s="2">
        <v>11002</v>
      </c>
      <c r="C683" s="2">
        <v>2</v>
      </c>
      <c r="D683" s="2">
        <v>298</v>
      </c>
    </row>
    <row r="684" spans="1:4">
      <c r="A684" t="e">
        <f>_xlfn.XLOOKUP(B684,[1]四三数据累计!$A:$A,[1]四三数据累计!$B:$B)</f>
        <v>#N/A</v>
      </c>
      <c r="B684" s="2">
        <v>11003</v>
      </c>
      <c r="C684" s="2">
        <v>3</v>
      </c>
      <c r="D684" s="2">
        <v>159</v>
      </c>
    </row>
    <row r="685" spans="1:4">
      <c r="A685" t="e">
        <f>_xlfn.XLOOKUP(B685,[1]四三数据累计!$A:$A,[1]四三数据累计!$B:$B)</f>
        <v>#N/A</v>
      </c>
      <c r="B685" s="2">
        <v>11004</v>
      </c>
      <c r="C685" s="2">
        <v>2</v>
      </c>
      <c r="D685" s="2">
        <v>63.64</v>
      </c>
    </row>
    <row r="686" spans="1:4">
      <c r="A686" t="e">
        <f>_xlfn.XLOOKUP(B686,[1]四三数据累计!$A:$A,[1]四三数据累计!$B:$B)</f>
        <v>#N/A</v>
      </c>
      <c r="B686" s="2">
        <v>11030</v>
      </c>
      <c r="C686" s="2">
        <v>4</v>
      </c>
      <c r="D686" s="2">
        <v>270.2</v>
      </c>
    </row>
    <row r="687" spans="1:4">
      <c r="A687" t="e">
        <f>_xlfn.XLOOKUP(B687,[1]四三数据累计!$A:$A,[1]四三数据累计!$B:$B)</f>
        <v>#N/A</v>
      </c>
      <c r="B687" s="2">
        <v>11033</v>
      </c>
      <c r="C687" s="2">
        <v>2</v>
      </c>
      <c r="D687" s="2">
        <v>264.6</v>
      </c>
    </row>
    <row r="688" spans="1:4">
      <c r="A688" t="e">
        <f>_xlfn.XLOOKUP(B688,[1]四三数据累计!$A:$A,[1]四三数据累计!$B:$B)</f>
        <v>#N/A</v>
      </c>
      <c r="B688" s="2">
        <v>11043</v>
      </c>
      <c r="C688" s="2">
        <v>19</v>
      </c>
      <c r="D688" s="2">
        <v>1432.6</v>
      </c>
    </row>
    <row r="689" spans="1:4">
      <c r="A689" t="e">
        <f>_xlfn.XLOOKUP(B689,[1]四三数据累计!$A:$A,[1]四三数据累计!$B:$B)</f>
        <v>#N/A</v>
      </c>
      <c r="B689" s="2">
        <v>11064</v>
      </c>
      <c r="C689" s="2">
        <v>1</v>
      </c>
      <c r="D689" s="2">
        <v>102.48</v>
      </c>
    </row>
    <row r="690" spans="1:4">
      <c r="A690" t="e">
        <f>_xlfn.XLOOKUP(B690,[1]四三数据累计!$A:$A,[1]四三数据累计!$B:$B)</f>
        <v>#N/A</v>
      </c>
      <c r="B690" s="2">
        <v>11076</v>
      </c>
      <c r="C690" s="2">
        <v>1</v>
      </c>
      <c r="D690" s="2">
        <v>137</v>
      </c>
    </row>
    <row r="691" spans="1:4">
      <c r="A691" t="e">
        <f>_xlfn.XLOOKUP(B691,[1]四三数据累计!$A:$A,[1]四三数据累计!$B:$B)</f>
        <v>#N/A</v>
      </c>
      <c r="B691" s="2">
        <v>11091</v>
      </c>
      <c r="C691" s="2">
        <v>6</v>
      </c>
      <c r="D691" s="2">
        <v>467.94</v>
      </c>
    </row>
    <row r="692" spans="1:4">
      <c r="A692" t="e">
        <f>_xlfn.XLOOKUP(B692,[1]四三数据累计!$A:$A,[1]四三数据累计!$B:$B)</f>
        <v>#N/A</v>
      </c>
      <c r="B692" s="2">
        <v>11093</v>
      </c>
      <c r="C692" s="2">
        <v>4</v>
      </c>
      <c r="D692" s="2">
        <v>127.4</v>
      </c>
    </row>
    <row r="693" spans="1:4">
      <c r="A693" t="str">
        <f>_xlfn.XLOOKUP(B693,[1]四三数据累计!$A:$A,[1]四三数据累计!$B:$B)</f>
        <v>LYAM-X2254-L</v>
      </c>
      <c r="B693" s="2">
        <v>11102</v>
      </c>
      <c r="C693" s="2">
        <v>3</v>
      </c>
      <c r="D693" s="2">
        <v>84.57</v>
      </c>
    </row>
    <row r="694" spans="1:4">
      <c r="A694" t="e">
        <f>_xlfn.XLOOKUP(B694,[1]四三数据累计!$A:$A,[1]四三数据累计!$B:$B)</f>
        <v>#N/A</v>
      </c>
      <c r="B694" s="2">
        <v>11103</v>
      </c>
      <c r="C694" s="2">
        <v>3</v>
      </c>
      <c r="D694" s="2">
        <v>81</v>
      </c>
    </row>
    <row r="695" spans="1:4">
      <c r="A695" t="e">
        <f>_xlfn.XLOOKUP(B695,[1]四三数据累计!$A:$A,[1]四三数据累计!$B:$B)</f>
        <v>#N/A</v>
      </c>
      <c r="B695" s="2">
        <v>11104</v>
      </c>
      <c r="C695" s="2">
        <v>3</v>
      </c>
      <c r="D695" s="2">
        <v>67.32</v>
      </c>
    </row>
    <row r="696" spans="1:4">
      <c r="A696" t="e">
        <f>_xlfn.XLOOKUP(B696,[1]四三数据累计!$A:$A,[1]四三数据累计!$B:$B)</f>
        <v>#N/A</v>
      </c>
      <c r="B696" s="2">
        <v>11106</v>
      </c>
      <c r="C696" s="2">
        <v>1</v>
      </c>
      <c r="D696" s="2">
        <v>43</v>
      </c>
    </row>
    <row r="697" spans="1:4">
      <c r="A697" t="e">
        <f>_xlfn.XLOOKUP(B697,[1]四三数据累计!$A:$A,[1]四三数据累计!$B:$B)</f>
        <v>#N/A</v>
      </c>
      <c r="B697" s="2">
        <v>11179</v>
      </c>
      <c r="C697" s="2">
        <v>5</v>
      </c>
      <c r="D697" s="2">
        <v>561.35</v>
      </c>
    </row>
    <row r="698" spans="1:4">
      <c r="A698" t="e">
        <f>_xlfn.XLOOKUP(B698,[1]四三数据累计!$A:$A,[1]四三数据累计!$B:$B)</f>
        <v>#N/A</v>
      </c>
      <c r="B698" s="2">
        <v>11192</v>
      </c>
      <c r="C698" s="2">
        <v>1</v>
      </c>
      <c r="D698" s="2">
        <v>57.15</v>
      </c>
    </row>
    <row r="699" spans="1:4">
      <c r="A699" t="e">
        <f>_xlfn.XLOOKUP(B699,[1]四三数据累计!$A:$A,[1]四三数据累计!$B:$B)</f>
        <v>#N/A</v>
      </c>
      <c r="B699" s="2">
        <v>11193</v>
      </c>
      <c r="C699" s="2">
        <v>1</v>
      </c>
      <c r="D699" s="2">
        <v>39</v>
      </c>
    </row>
    <row r="700" spans="1:4">
      <c r="A700" t="e">
        <f>_xlfn.XLOOKUP(B700,[1]四三数据累计!$A:$A,[1]四三数据累计!$B:$B)</f>
        <v>#N/A</v>
      </c>
      <c r="B700" s="2">
        <v>11230</v>
      </c>
      <c r="C700" s="2">
        <v>1</v>
      </c>
      <c r="D700" s="2">
        <v>74.5</v>
      </c>
    </row>
    <row r="701" spans="1:4">
      <c r="A701" t="e">
        <f>_xlfn.XLOOKUP(B701,[1]四三数据累计!$A:$A,[1]四三数据累计!$B:$B)</f>
        <v>#N/A</v>
      </c>
      <c r="B701" s="2">
        <v>11270</v>
      </c>
      <c r="C701" s="2">
        <v>5</v>
      </c>
      <c r="D701" s="2">
        <v>281.65</v>
      </c>
    </row>
    <row r="702" spans="1:4">
      <c r="A702" t="e">
        <f>_xlfn.XLOOKUP(B702,[1]四三数据累计!$A:$A,[1]四三数据累计!$B:$B)</f>
        <v>#N/A</v>
      </c>
      <c r="B702" s="2">
        <v>11288</v>
      </c>
      <c r="C702" s="2">
        <v>1</v>
      </c>
      <c r="D702" s="2">
        <v>31.61</v>
      </c>
    </row>
    <row r="703" spans="1:4">
      <c r="A703" t="e">
        <f>_xlfn.XLOOKUP(B703,[1]四三数据累计!$A:$A,[1]四三数据累计!$B:$B)</f>
        <v>#N/A</v>
      </c>
      <c r="B703" s="2">
        <v>11290</v>
      </c>
      <c r="C703" s="2">
        <v>6</v>
      </c>
      <c r="D703" s="2">
        <v>402.7</v>
      </c>
    </row>
    <row r="704" spans="1:4">
      <c r="A704" t="e">
        <f>_xlfn.XLOOKUP(B704,[1]四三数据累计!$A:$A,[1]四三数据累计!$B:$B)</f>
        <v>#N/A</v>
      </c>
      <c r="B704" s="2">
        <v>11327</v>
      </c>
      <c r="C704" s="2">
        <v>4</v>
      </c>
      <c r="D704" s="2">
        <v>533.59</v>
      </c>
    </row>
    <row r="705" spans="1:4">
      <c r="A705" t="e">
        <f>_xlfn.XLOOKUP(B705,[1]四三数据累计!$A:$A,[1]四三数据累计!$B:$B)</f>
        <v>#N/A</v>
      </c>
      <c r="B705" s="2">
        <v>11330</v>
      </c>
      <c r="C705" s="2">
        <v>3</v>
      </c>
      <c r="D705" s="2">
        <v>110.19</v>
      </c>
    </row>
    <row r="706" spans="1:4">
      <c r="A706" t="e">
        <f>_xlfn.XLOOKUP(B706,[1]四三数据累计!$A:$A,[1]四三数据累计!$B:$B)</f>
        <v>#N/A</v>
      </c>
      <c r="B706" s="2">
        <v>11331</v>
      </c>
      <c r="C706" s="2">
        <v>2</v>
      </c>
      <c r="D706" s="2">
        <v>66.28</v>
      </c>
    </row>
    <row r="707" spans="1:4">
      <c r="A707" t="e">
        <f>_xlfn.XLOOKUP(B707,[1]四三数据累计!$A:$A,[1]四三数据累计!$B:$B)</f>
        <v>#N/A</v>
      </c>
      <c r="B707" s="2">
        <v>11348</v>
      </c>
      <c r="C707" s="2">
        <v>2</v>
      </c>
      <c r="D707" s="2">
        <v>214</v>
      </c>
    </row>
    <row r="708" spans="1:4">
      <c r="A708" t="e">
        <f>_xlfn.XLOOKUP(B708,[1]四三数据累计!$A:$A,[1]四三数据累计!$B:$B)</f>
        <v>#N/A</v>
      </c>
      <c r="B708" s="2">
        <v>11350</v>
      </c>
      <c r="C708" s="2">
        <v>2</v>
      </c>
      <c r="D708" s="2">
        <v>378.1</v>
      </c>
    </row>
    <row r="709" spans="1:4">
      <c r="A709" t="e">
        <f>_xlfn.XLOOKUP(B709,[1]四三数据累计!$A:$A,[1]四三数据累计!$B:$B)</f>
        <v>#N/A</v>
      </c>
      <c r="B709" s="2">
        <v>11380</v>
      </c>
      <c r="C709" s="2">
        <v>1</v>
      </c>
      <c r="D709" s="2">
        <v>142</v>
      </c>
    </row>
    <row r="710" spans="1:4">
      <c r="A710" t="e">
        <f>_xlfn.XLOOKUP(B710,[1]四三数据累计!$A:$A,[1]四三数据累计!$B:$B)</f>
        <v>#N/A</v>
      </c>
      <c r="B710" s="2">
        <v>11398</v>
      </c>
      <c r="C710" s="2">
        <v>1</v>
      </c>
      <c r="D710" s="2">
        <v>199</v>
      </c>
    </row>
    <row r="711" spans="1:4">
      <c r="A711" t="e">
        <f>_xlfn.XLOOKUP(B711,[1]四三数据累计!$A:$A,[1]四三数据累计!$B:$B)</f>
        <v>#N/A</v>
      </c>
      <c r="B711" s="2">
        <v>11405</v>
      </c>
      <c r="C711" s="2">
        <v>1</v>
      </c>
      <c r="D711" s="2">
        <v>175</v>
      </c>
    </row>
    <row r="712" spans="1:4">
      <c r="A712" t="e">
        <f>_xlfn.XLOOKUP(B712,[1]四三数据累计!$A:$A,[1]四三数据累计!$B:$B)</f>
        <v>#N/A</v>
      </c>
      <c r="B712" s="2">
        <v>11446</v>
      </c>
      <c r="C712" s="2">
        <v>9</v>
      </c>
      <c r="D712" s="2">
        <v>104.4</v>
      </c>
    </row>
    <row r="713" spans="1:4">
      <c r="A713" t="e">
        <f>_xlfn.XLOOKUP(B713,[1]四三数据累计!$A:$A,[1]四三数据累计!$B:$B)</f>
        <v>#N/A</v>
      </c>
      <c r="B713" s="2">
        <v>11455</v>
      </c>
      <c r="C713" s="2">
        <v>2</v>
      </c>
      <c r="D713" s="2">
        <v>79.52</v>
      </c>
    </row>
    <row r="714" spans="1:4">
      <c r="A714" t="e">
        <f>_xlfn.XLOOKUP(B714,[1]四三数据累计!$A:$A,[1]四三数据累计!$B:$B)</f>
        <v>#N/A</v>
      </c>
      <c r="B714" s="2">
        <v>11456</v>
      </c>
      <c r="C714" s="2">
        <v>2</v>
      </c>
      <c r="D714" s="2">
        <v>60</v>
      </c>
    </row>
    <row r="715" spans="1:4">
      <c r="A715" t="e">
        <f>_xlfn.XLOOKUP(B715,[1]四三数据累计!$A:$A,[1]四三数据累计!$B:$B)</f>
        <v>#N/A</v>
      </c>
      <c r="B715" s="2">
        <v>11464</v>
      </c>
      <c r="C715" s="2">
        <v>4</v>
      </c>
      <c r="D715" s="2">
        <v>780</v>
      </c>
    </row>
    <row r="716" spans="1:4">
      <c r="A716" t="e">
        <f>_xlfn.XLOOKUP(B716,[1]四三数据累计!$A:$A,[1]四三数据累计!$B:$B)</f>
        <v>#N/A</v>
      </c>
      <c r="B716" s="2">
        <v>11465</v>
      </c>
      <c r="C716" s="2">
        <v>2</v>
      </c>
      <c r="D716" s="2">
        <v>176.9</v>
      </c>
    </row>
    <row r="717" spans="1:4">
      <c r="A717" t="e">
        <f>_xlfn.XLOOKUP(B717,[1]四三数据累计!$A:$A,[1]四三数据累计!$B:$B)</f>
        <v>#N/A</v>
      </c>
      <c r="B717" s="2">
        <v>11490</v>
      </c>
      <c r="C717" s="2">
        <v>3</v>
      </c>
      <c r="D717" s="2">
        <v>345</v>
      </c>
    </row>
    <row r="718" spans="1:4">
      <c r="A718" t="e">
        <f>_xlfn.XLOOKUP(B718,[1]四三数据累计!$A:$A,[1]四三数据累计!$B:$B)</f>
        <v>#N/A</v>
      </c>
      <c r="B718" s="2">
        <v>11510</v>
      </c>
      <c r="C718" s="2">
        <v>7</v>
      </c>
      <c r="D718" s="2">
        <v>431.2</v>
      </c>
    </row>
    <row r="719" spans="1:4">
      <c r="A719" t="e">
        <f>_xlfn.XLOOKUP(B719,[1]四三数据累计!$A:$A,[1]四三数据累计!$B:$B)</f>
        <v>#N/A</v>
      </c>
      <c r="B719" s="2">
        <v>11512</v>
      </c>
      <c r="C719" s="2">
        <v>1</v>
      </c>
      <c r="D719" s="2">
        <v>47.5</v>
      </c>
    </row>
    <row r="720" spans="1:4">
      <c r="A720" t="e">
        <f>_xlfn.XLOOKUP(B720,[1]四三数据累计!$A:$A,[1]四三数据累计!$B:$B)</f>
        <v>#N/A</v>
      </c>
      <c r="B720" s="2">
        <v>11513</v>
      </c>
      <c r="C720" s="2">
        <v>6</v>
      </c>
      <c r="D720" s="2">
        <v>351.54</v>
      </c>
    </row>
    <row r="721" spans="1:4">
      <c r="A721" t="e">
        <f>_xlfn.XLOOKUP(B721,[1]四三数据累计!$A:$A,[1]四三数据累计!$B:$B)</f>
        <v>#N/A</v>
      </c>
      <c r="B721" s="2">
        <v>11546</v>
      </c>
      <c r="C721" s="2">
        <v>1</v>
      </c>
      <c r="D721" s="2">
        <v>45</v>
      </c>
    </row>
    <row r="722" spans="1:4">
      <c r="A722" t="e">
        <f>_xlfn.XLOOKUP(B722,[1]四三数据累计!$A:$A,[1]四三数据累计!$B:$B)</f>
        <v>#N/A</v>
      </c>
      <c r="B722" s="2">
        <v>11553</v>
      </c>
      <c r="C722" s="2">
        <v>2</v>
      </c>
      <c r="D722" s="2">
        <v>54</v>
      </c>
    </row>
    <row r="723" spans="1:4">
      <c r="A723" t="e">
        <f>_xlfn.XLOOKUP(B723,[1]四三数据累计!$A:$A,[1]四三数据累计!$B:$B)</f>
        <v>#N/A</v>
      </c>
      <c r="B723" s="2">
        <v>11600</v>
      </c>
      <c r="C723" s="2">
        <v>3</v>
      </c>
      <c r="D723" s="2">
        <v>100</v>
      </c>
    </row>
    <row r="724" spans="1:4">
      <c r="A724" t="e">
        <f>_xlfn.XLOOKUP(B724,[1]四三数据累计!$A:$A,[1]四三数据累计!$B:$B)</f>
        <v>#N/A</v>
      </c>
      <c r="B724" s="2">
        <v>11601</v>
      </c>
      <c r="C724" s="2">
        <v>3</v>
      </c>
      <c r="D724" s="2">
        <v>104</v>
      </c>
    </row>
    <row r="725" spans="1:4">
      <c r="A725" t="e">
        <f>_xlfn.XLOOKUP(B725,[1]四三数据累计!$A:$A,[1]四三数据累计!$B:$B)</f>
        <v>#N/A</v>
      </c>
      <c r="B725" s="2">
        <v>11650</v>
      </c>
      <c r="C725" s="2">
        <v>1</v>
      </c>
      <c r="D725" s="2">
        <v>125</v>
      </c>
    </row>
    <row r="726" spans="1:4">
      <c r="A726" t="e">
        <f>_xlfn.XLOOKUP(B726,[1]四三数据累计!$A:$A,[1]四三数据累计!$B:$B)</f>
        <v>#N/A</v>
      </c>
      <c r="B726" s="2">
        <v>11655</v>
      </c>
      <c r="C726" s="2">
        <v>1</v>
      </c>
      <c r="D726" s="2">
        <v>31.59</v>
      </c>
    </row>
    <row r="727" spans="1:4">
      <c r="A727" t="e">
        <f>_xlfn.XLOOKUP(B727,[1]四三数据累计!$A:$A,[1]四三数据累计!$B:$B)</f>
        <v>#N/A</v>
      </c>
      <c r="B727" s="2">
        <v>11699</v>
      </c>
      <c r="C727" s="2">
        <v>1</v>
      </c>
      <c r="D727" s="2">
        <v>110</v>
      </c>
    </row>
    <row r="728" spans="1:4">
      <c r="A728" t="e">
        <f>_xlfn.XLOOKUP(B728,[1]四三数据累计!$A:$A,[1]四三数据累计!$B:$B)</f>
        <v>#N/A</v>
      </c>
      <c r="B728" s="2">
        <v>11704</v>
      </c>
      <c r="C728" s="2">
        <v>1</v>
      </c>
      <c r="D728" s="2">
        <v>95.55</v>
      </c>
    </row>
    <row r="729" spans="1:4">
      <c r="A729" t="e">
        <f>_xlfn.XLOOKUP(B729,[1]四三数据累计!$A:$A,[1]四三数据累计!$B:$B)</f>
        <v>#N/A</v>
      </c>
      <c r="B729" s="2">
        <v>11736</v>
      </c>
      <c r="C729" s="2">
        <v>2</v>
      </c>
      <c r="D729" s="2">
        <v>218</v>
      </c>
    </row>
    <row r="730" spans="1:4">
      <c r="A730" t="e">
        <f>_xlfn.XLOOKUP(B730,[1]四三数据累计!$A:$A,[1]四三数据累计!$B:$B)</f>
        <v>#N/A</v>
      </c>
      <c r="B730" s="2">
        <v>11742</v>
      </c>
      <c r="C730" s="2">
        <v>2</v>
      </c>
      <c r="D730" s="2">
        <v>220</v>
      </c>
    </row>
    <row r="731" spans="1:4">
      <c r="A731" t="e">
        <f>_xlfn.XLOOKUP(B731,[1]四三数据累计!$A:$A,[1]四三数据累计!$B:$B)</f>
        <v>#N/A</v>
      </c>
      <c r="B731" s="2">
        <v>11745</v>
      </c>
      <c r="C731" s="2">
        <v>1</v>
      </c>
      <c r="D731" s="2">
        <v>66.49</v>
      </c>
    </row>
    <row r="732" spans="1:4">
      <c r="A732" t="e">
        <f>_xlfn.XLOOKUP(B732,[1]四三数据累计!$A:$A,[1]四三数据累计!$B:$B)</f>
        <v>#N/A</v>
      </c>
      <c r="B732" s="2">
        <v>11757</v>
      </c>
      <c r="C732" s="2">
        <v>1</v>
      </c>
      <c r="D732" s="2">
        <v>48</v>
      </c>
    </row>
    <row r="733" spans="1:4">
      <c r="A733" t="e">
        <f>_xlfn.XLOOKUP(B733,[1]四三数据累计!$A:$A,[1]四三数据累计!$B:$B)</f>
        <v>#N/A</v>
      </c>
      <c r="B733" s="2">
        <v>11758</v>
      </c>
      <c r="C733" s="2">
        <v>6</v>
      </c>
      <c r="D733" s="2">
        <v>271.32</v>
      </c>
    </row>
    <row r="734" spans="1:4">
      <c r="A734" t="e">
        <f>_xlfn.XLOOKUP(B734,[1]四三数据累计!$A:$A,[1]四三数据累计!$B:$B)</f>
        <v>#N/A</v>
      </c>
      <c r="B734" s="2">
        <v>11777</v>
      </c>
      <c r="C734" s="2">
        <v>1</v>
      </c>
      <c r="D734" s="2">
        <v>188</v>
      </c>
    </row>
    <row r="735" spans="1:4">
      <c r="A735" t="e">
        <f>_xlfn.XLOOKUP(B735,[1]四三数据累计!$A:$A,[1]四三数据累计!$B:$B)</f>
        <v>#N/A</v>
      </c>
      <c r="B735" s="2">
        <v>11794</v>
      </c>
      <c r="C735" s="2">
        <v>3</v>
      </c>
      <c r="D735" s="2">
        <v>228.95</v>
      </c>
    </row>
    <row r="736" spans="1:4">
      <c r="A736" t="e">
        <f>_xlfn.XLOOKUP(B736,[1]四三数据累计!$A:$A,[1]四三数据累计!$B:$B)</f>
        <v>#N/A</v>
      </c>
      <c r="B736" s="2">
        <v>11809</v>
      </c>
      <c r="C736" s="2">
        <v>3</v>
      </c>
      <c r="D736" s="2">
        <v>152.99</v>
      </c>
    </row>
    <row r="737" spans="1:4">
      <c r="A737" t="e">
        <f>_xlfn.XLOOKUP(B737,[1]四三数据累计!$A:$A,[1]四三数据累计!$B:$B)</f>
        <v>#N/A</v>
      </c>
      <c r="B737" s="2">
        <v>11815</v>
      </c>
      <c r="C737" s="2">
        <v>1</v>
      </c>
      <c r="D737" s="2">
        <v>34.62</v>
      </c>
    </row>
    <row r="738" spans="1:4">
      <c r="A738" t="e">
        <f>_xlfn.XLOOKUP(B738,[1]四三数据累计!$A:$A,[1]四三数据累计!$B:$B)</f>
        <v>#N/A</v>
      </c>
      <c r="B738" s="2">
        <v>11823</v>
      </c>
      <c r="C738" s="2">
        <v>3</v>
      </c>
      <c r="D738" s="2">
        <v>111</v>
      </c>
    </row>
    <row r="739" spans="1:4">
      <c r="A739" t="e">
        <f>_xlfn.XLOOKUP(B739,[1]四三数据累计!$A:$A,[1]四三数据累计!$B:$B)</f>
        <v>#N/A</v>
      </c>
      <c r="B739" s="2">
        <v>11824</v>
      </c>
      <c r="C739" s="2">
        <v>3</v>
      </c>
      <c r="D739" s="2">
        <v>405</v>
      </c>
    </row>
    <row r="740" spans="1:4">
      <c r="A740" t="e">
        <f>_xlfn.XLOOKUP(B740,[1]四三数据累计!$A:$A,[1]四三数据累计!$B:$B)</f>
        <v>#N/A</v>
      </c>
      <c r="B740" s="2">
        <v>11826</v>
      </c>
      <c r="C740" s="2">
        <v>2</v>
      </c>
      <c r="D740" s="2">
        <v>90</v>
      </c>
    </row>
    <row r="741" spans="1:4">
      <c r="A741" t="e">
        <f>_xlfn.XLOOKUP(B741,[1]四三数据累计!$A:$A,[1]四三数据累计!$B:$B)</f>
        <v>#N/A</v>
      </c>
      <c r="B741" s="2">
        <v>11830</v>
      </c>
      <c r="C741" s="2">
        <v>2</v>
      </c>
      <c r="D741" s="2">
        <v>118</v>
      </c>
    </row>
    <row r="742" spans="1:4">
      <c r="A742" t="e">
        <f>_xlfn.XLOOKUP(B742,[1]四三数据累计!$A:$A,[1]四三数据累计!$B:$B)</f>
        <v>#N/A</v>
      </c>
      <c r="B742" s="2">
        <v>11833</v>
      </c>
      <c r="C742" s="2">
        <v>2</v>
      </c>
      <c r="D742" s="2">
        <v>90</v>
      </c>
    </row>
    <row r="743" spans="1:4">
      <c r="A743" t="e">
        <f>_xlfn.XLOOKUP(B743,[1]四三数据累计!$A:$A,[1]四三数据累计!$B:$B)</f>
        <v>#N/A</v>
      </c>
      <c r="B743" s="2">
        <v>11839</v>
      </c>
      <c r="C743" s="2">
        <v>3</v>
      </c>
      <c r="D743" s="2">
        <v>149.41</v>
      </c>
    </row>
    <row r="744" spans="1:4">
      <c r="A744" t="e">
        <f>_xlfn.XLOOKUP(B744,[1]四三数据累计!$A:$A,[1]四三数据累计!$B:$B)</f>
        <v>#N/A</v>
      </c>
      <c r="B744" s="2">
        <v>11840</v>
      </c>
      <c r="C744" s="2">
        <v>2</v>
      </c>
      <c r="D744" s="2">
        <v>106.82</v>
      </c>
    </row>
    <row r="745" spans="1:4">
      <c r="A745" t="e">
        <f>_xlfn.XLOOKUP(B745,[1]四三数据累计!$A:$A,[1]四三数据累计!$B:$B)</f>
        <v>#N/A</v>
      </c>
      <c r="B745" s="2">
        <v>11852</v>
      </c>
      <c r="C745" s="2">
        <v>4</v>
      </c>
      <c r="D745" s="2">
        <v>1644.58</v>
      </c>
    </row>
    <row r="746" spans="1:4">
      <c r="A746" t="e">
        <f>_xlfn.XLOOKUP(B746,[1]四三数据累计!$A:$A,[1]四三数据累计!$B:$B)</f>
        <v>#N/A</v>
      </c>
      <c r="B746" s="2">
        <v>11855</v>
      </c>
      <c r="C746" s="2">
        <v>1</v>
      </c>
      <c r="D746" s="2">
        <v>79</v>
      </c>
    </row>
    <row r="747" spans="1:4">
      <c r="A747" t="e">
        <f>_xlfn.XLOOKUP(B747,[1]四三数据累计!$A:$A,[1]四三数据累计!$B:$B)</f>
        <v>#N/A</v>
      </c>
      <c r="B747" s="2">
        <v>11856</v>
      </c>
      <c r="C747" s="2">
        <v>1</v>
      </c>
      <c r="D747" s="2">
        <v>42.5</v>
      </c>
    </row>
    <row r="748" spans="1:4">
      <c r="A748" t="e">
        <f>_xlfn.XLOOKUP(B748,[1]四三数据累计!$A:$A,[1]四三数据累计!$B:$B)</f>
        <v>#N/A</v>
      </c>
      <c r="B748" s="2">
        <v>11866</v>
      </c>
      <c r="C748" s="2">
        <v>3</v>
      </c>
      <c r="D748" s="2">
        <v>76.5</v>
      </c>
    </row>
    <row r="749" spans="1:4">
      <c r="A749" t="e">
        <f>_xlfn.XLOOKUP(B749,[1]四三数据累计!$A:$A,[1]四三数据累计!$B:$B)</f>
        <v>#N/A</v>
      </c>
      <c r="B749" s="2">
        <v>11867</v>
      </c>
      <c r="C749" s="2">
        <v>3</v>
      </c>
      <c r="D749" s="2">
        <v>78</v>
      </c>
    </row>
    <row r="750" spans="1:4">
      <c r="A750" t="e">
        <f>_xlfn.XLOOKUP(B750,[1]四三数据累计!$A:$A,[1]四三数据累计!$B:$B)</f>
        <v>#N/A</v>
      </c>
      <c r="B750" s="2">
        <v>11911</v>
      </c>
      <c r="C750" s="2">
        <v>11</v>
      </c>
      <c r="D750" s="2">
        <v>692.32</v>
      </c>
    </row>
    <row r="751" spans="1:4">
      <c r="A751" t="e">
        <f>_xlfn.XLOOKUP(B751,[1]四三数据累计!$A:$A,[1]四三数据累计!$B:$B)</f>
        <v>#N/A</v>
      </c>
      <c r="B751" s="2">
        <v>11921</v>
      </c>
      <c r="C751" s="2">
        <v>4</v>
      </c>
      <c r="D751" s="2">
        <v>656</v>
      </c>
    </row>
    <row r="752" spans="1:4">
      <c r="A752" t="e">
        <f>_xlfn.XLOOKUP(B752,[1]四三数据累计!$A:$A,[1]四三数据累计!$B:$B)</f>
        <v>#N/A</v>
      </c>
      <c r="B752" s="2">
        <v>11922</v>
      </c>
      <c r="C752" s="2">
        <v>2</v>
      </c>
      <c r="D752" s="2">
        <v>358</v>
      </c>
    </row>
    <row r="753" spans="1:4">
      <c r="A753" t="e">
        <f>_xlfn.XLOOKUP(B753,[1]四三数据累计!$A:$A,[1]四三数据累计!$B:$B)</f>
        <v>#N/A</v>
      </c>
      <c r="B753" s="2">
        <v>11923</v>
      </c>
      <c r="C753" s="2">
        <v>4</v>
      </c>
      <c r="D753" s="2">
        <v>636</v>
      </c>
    </row>
    <row r="754" spans="1:4">
      <c r="A754" t="e">
        <f>_xlfn.XLOOKUP(B754,[1]四三数据累计!$A:$A,[1]四三数据累计!$B:$B)</f>
        <v>#N/A</v>
      </c>
      <c r="B754" s="2">
        <v>11925</v>
      </c>
      <c r="C754" s="2">
        <v>3</v>
      </c>
      <c r="D754" s="2">
        <v>929.46</v>
      </c>
    </row>
    <row r="755" spans="1:4">
      <c r="A755" t="e">
        <f>_xlfn.XLOOKUP(B755,[1]四三数据累计!$A:$A,[1]四三数据累计!$B:$B)</f>
        <v>#N/A</v>
      </c>
      <c r="B755" s="2">
        <v>11926</v>
      </c>
      <c r="C755" s="2">
        <v>3</v>
      </c>
      <c r="D755" s="2">
        <v>237</v>
      </c>
    </row>
    <row r="756" spans="1:4">
      <c r="A756" t="e">
        <f>_xlfn.XLOOKUP(B756,[1]四三数据累计!$A:$A,[1]四三数据累计!$B:$B)</f>
        <v>#N/A</v>
      </c>
      <c r="B756" s="2">
        <v>11927</v>
      </c>
      <c r="C756" s="2">
        <v>1</v>
      </c>
      <c r="D756" s="2">
        <v>30</v>
      </c>
    </row>
    <row r="757" spans="1:4">
      <c r="A757" t="e">
        <f>_xlfn.XLOOKUP(B757,[1]四三数据累计!$A:$A,[1]四三数据累计!$B:$B)</f>
        <v>#N/A</v>
      </c>
      <c r="B757" s="2">
        <v>11933</v>
      </c>
      <c r="C757" s="2">
        <v>1</v>
      </c>
      <c r="D757" s="2">
        <v>69</v>
      </c>
    </row>
    <row r="758" spans="1:4">
      <c r="A758" t="e">
        <f>_xlfn.XLOOKUP(B758,[1]四三数据累计!$A:$A,[1]四三数据累计!$B:$B)</f>
        <v>#N/A</v>
      </c>
      <c r="B758" s="2">
        <v>11936</v>
      </c>
      <c r="C758" s="2">
        <v>1</v>
      </c>
      <c r="D758" s="2">
        <v>25</v>
      </c>
    </row>
    <row r="759" spans="1:4">
      <c r="A759" t="e">
        <f>_xlfn.XLOOKUP(B759,[1]四三数据累计!$A:$A,[1]四三数据累计!$B:$B)</f>
        <v>#N/A</v>
      </c>
      <c r="B759" s="2">
        <v>11981</v>
      </c>
      <c r="C759" s="2">
        <v>1</v>
      </c>
      <c r="D759" s="2">
        <v>159</v>
      </c>
    </row>
    <row r="760" spans="1:4">
      <c r="A760" t="e">
        <f>_xlfn.XLOOKUP(B760,[1]四三数据累计!$A:$A,[1]四三数据累计!$B:$B)</f>
        <v>#N/A</v>
      </c>
      <c r="B760" s="2">
        <v>11982</v>
      </c>
      <c r="C760" s="2">
        <v>3</v>
      </c>
      <c r="D760" s="2">
        <v>465</v>
      </c>
    </row>
    <row r="761" spans="1:4">
      <c r="A761" t="e">
        <f>_xlfn.XLOOKUP(B761,[1]四三数据累计!$A:$A,[1]四三数据累计!$B:$B)</f>
        <v>#N/A</v>
      </c>
      <c r="B761" s="2">
        <v>11989</v>
      </c>
      <c r="C761" s="2">
        <v>3</v>
      </c>
      <c r="D761" s="2">
        <v>315</v>
      </c>
    </row>
    <row r="762" spans="1:4">
      <c r="A762" t="str">
        <f>_xlfn.XLOOKUP(B762,[1]四三数据累计!$A:$A,[1]四三数据累计!$B:$B)</f>
        <v>LYAM-X2896</v>
      </c>
      <c r="B762" s="2">
        <v>11997</v>
      </c>
      <c r="C762" s="2">
        <v>3</v>
      </c>
      <c r="D762" s="2">
        <v>417</v>
      </c>
    </row>
    <row r="763" spans="1:4">
      <c r="A763" t="e">
        <f>_xlfn.XLOOKUP(B763,[1]四三数据累计!$A:$A,[1]四三数据累计!$B:$B)</f>
        <v>#N/A</v>
      </c>
      <c r="B763" s="2">
        <v>11998</v>
      </c>
      <c r="C763" s="2">
        <v>2</v>
      </c>
      <c r="D763" s="2">
        <v>1000</v>
      </c>
    </row>
    <row r="764" spans="1:4">
      <c r="A764" t="e">
        <f>_xlfn.XLOOKUP(B764,[1]四三数据累计!$A:$A,[1]四三数据累计!$B:$B)</f>
        <v>#N/A</v>
      </c>
      <c r="B764" s="2">
        <v>12005</v>
      </c>
      <c r="C764" s="2">
        <v>6</v>
      </c>
      <c r="D764" s="2">
        <v>403.8</v>
      </c>
    </row>
    <row r="765" spans="1:4">
      <c r="A765" t="e">
        <f>_xlfn.XLOOKUP(B765,[1]四三数据累计!$A:$A,[1]四三数据累计!$B:$B)</f>
        <v>#N/A</v>
      </c>
      <c r="B765" s="2">
        <v>12006</v>
      </c>
      <c r="C765" s="2">
        <v>10</v>
      </c>
      <c r="D765" s="2">
        <v>684.97</v>
      </c>
    </row>
    <row r="766" spans="1:4">
      <c r="A766" t="e">
        <f>_xlfn.XLOOKUP(B766,[1]四三数据累计!$A:$A,[1]四三数据累计!$B:$B)</f>
        <v>#N/A</v>
      </c>
      <c r="B766" s="2">
        <v>12011</v>
      </c>
      <c r="C766" s="2">
        <v>3</v>
      </c>
      <c r="D766" s="2">
        <v>383.99</v>
      </c>
    </row>
    <row r="767" spans="1:4">
      <c r="A767" t="e">
        <f>_xlfn.XLOOKUP(B767,[1]四三数据累计!$A:$A,[1]四三数据累计!$B:$B)</f>
        <v>#N/A</v>
      </c>
      <c r="B767" s="2">
        <v>12023</v>
      </c>
      <c r="C767" s="2">
        <v>1</v>
      </c>
      <c r="D767" s="2">
        <v>53</v>
      </c>
    </row>
    <row r="768" spans="1:4">
      <c r="A768" t="e">
        <f>_xlfn.XLOOKUP(B768,[1]四三数据累计!$A:$A,[1]四三数据累计!$B:$B)</f>
        <v>#N/A</v>
      </c>
      <c r="B768" s="2">
        <v>12058</v>
      </c>
      <c r="C768" s="2">
        <v>1</v>
      </c>
      <c r="D768" s="2">
        <v>20</v>
      </c>
    </row>
    <row r="769" spans="1:4">
      <c r="A769" t="e">
        <f>_xlfn.XLOOKUP(B769,[1]四三数据累计!$A:$A,[1]四三数据累计!$B:$B)</f>
        <v>#N/A</v>
      </c>
      <c r="B769" s="2">
        <v>12059</v>
      </c>
      <c r="C769" s="2">
        <v>1</v>
      </c>
      <c r="D769" s="2">
        <v>19.19</v>
      </c>
    </row>
    <row r="770" spans="1:4">
      <c r="A770" t="e">
        <f>_xlfn.XLOOKUP(B770,[1]四三数据累计!$A:$A,[1]四三数据累计!$B:$B)</f>
        <v>#N/A</v>
      </c>
      <c r="B770" s="2">
        <v>12060</v>
      </c>
      <c r="C770" s="2">
        <v>3</v>
      </c>
      <c r="D770" s="2">
        <v>58.97</v>
      </c>
    </row>
    <row r="771" spans="1:4">
      <c r="A771" t="e">
        <f>_xlfn.XLOOKUP(B771,[1]四三数据累计!$A:$A,[1]四三数据累计!$B:$B)</f>
        <v>#N/A</v>
      </c>
      <c r="B771" s="2">
        <v>12061</v>
      </c>
      <c r="C771" s="2">
        <v>8</v>
      </c>
      <c r="D771" s="2">
        <v>402.28</v>
      </c>
    </row>
    <row r="772" spans="1:4">
      <c r="A772" t="str">
        <f>_xlfn.XLOOKUP(B772,[1]四三数据累计!$A:$A,[1]四三数据累计!$B:$B)</f>
        <v>LYAP-X1658</v>
      </c>
      <c r="B772" s="2">
        <v>12073</v>
      </c>
      <c r="C772" s="2">
        <v>1</v>
      </c>
      <c r="D772" s="2">
        <v>420</v>
      </c>
    </row>
    <row r="773" spans="1:4">
      <c r="A773" t="str">
        <f>_xlfn.XLOOKUP(B773,[1]四三数据累计!$A:$A,[1]四三数据累计!$B:$B)</f>
        <v>LYAP-X1658L</v>
      </c>
      <c r="B773" s="2">
        <v>12074</v>
      </c>
      <c r="C773" s="2">
        <v>4</v>
      </c>
      <c r="D773" s="2">
        <v>1014.08</v>
      </c>
    </row>
    <row r="774" spans="1:4">
      <c r="A774" t="e">
        <f>_xlfn.XLOOKUP(B774,[1]四三数据累计!$A:$A,[1]四三数据累计!$B:$B)</f>
        <v>#N/A</v>
      </c>
      <c r="B774" s="2">
        <v>12079</v>
      </c>
      <c r="C774" s="2">
        <v>3</v>
      </c>
      <c r="D774" s="2">
        <v>403</v>
      </c>
    </row>
    <row r="775" spans="1:4">
      <c r="A775" t="str">
        <f>_xlfn.XLOOKUP(B775,[1]四三数据累计!$A:$A,[1]四三数据累计!$B:$B)</f>
        <v>LYAP-X1911-BK</v>
      </c>
      <c r="B775" s="2">
        <v>12085</v>
      </c>
      <c r="C775" s="2">
        <v>4</v>
      </c>
      <c r="D775" s="2">
        <v>335.75</v>
      </c>
    </row>
    <row r="776" spans="1:4">
      <c r="A776" t="str">
        <f>_xlfn.XLOOKUP(B776,[1]四三数据累计!$A:$A,[1]四三数据累计!$B:$B)</f>
        <v>LYAP-X1911-C</v>
      </c>
      <c r="B776" s="2">
        <v>12086</v>
      </c>
      <c r="C776" s="2">
        <v>1</v>
      </c>
      <c r="D776" s="2">
        <v>73.99</v>
      </c>
    </row>
    <row r="777" spans="1:4">
      <c r="A777" t="e">
        <f>_xlfn.XLOOKUP(B777,[1]四三数据累计!$A:$A,[1]四三数据累计!$B:$B)</f>
        <v>#N/A</v>
      </c>
      <c r="B777" s="2">
        <v>12087</v>
      </c>
      <c r="C777" s="2">
        <v>1</v>
      </c>
      <c r="D777" s="2">
        <v>47</v>
      </c>
    </row>
    <row r="778" spans="1:4">
      <c r="A778" t="e">
        <f>_xlfn.XLOOKUP(B778,[1]四三数据累计!$A:$A,[1]四三数据累计!$B:$B)</f>
        <v>#N/A</v>
      </c>
      <c r="B778" s="2">
        <v>12089</v>
      </c>
      <c r="C778" s="2">
        <v>2</v>
      </c>
      <c r="D778" s="2">
        <v>178</v>
      </c>
    </row>
    <row r="779" spans="1:4">
      <c r="A779" t="e">
        <f>_xlfn.XLOOKUP(B779,[1]四三数据累计!$A:$A,[1]四三数据累计!$B:$B)</f>
        <v>#N/A</v>
      </c>
      <c r="B779" s="2">
        <v>12106</v>
      </c>
      <c r="C779" s="2">
        <v>1</v>
      </c>
      <c r="D779" s="2">
        <v>52</v>
      </c>
    </row>
    <row r="780" spans="1:4">
      <c r="A780" t="e">
        <f>_xlfn.XLOOKUP(B780,[1]四三数据累计!$A:$A,[1]四三数据累计!$B:$B)</f>
        <v>#N/A</v>
      </c>
      <c r="B780" s="2">
        <v>12143</v>
      </c>
      <c r="C780" s="2">
        <v>1</v>
      </c>
      <c r="D780" s="2">
        <v>145</v>
      </c>
    </row>
    <row r="781" spans="1:4">
      <c r="A781" t="str">
        <f>_xlfn.XLOOKUP(B781,[1]四三数据累计!$A:$A,[1]四三数据累计!$B:$B)</f>
        <v>LYAP-X1877</v>
      </c>
      <c r="B781" s="2">
        <v>12165</v>
      </c>
      <c r="C781" s="2">
        <v>1</v>
      </c>
      <c r="D781" s="2">
        <v>172</v>
      </c>
    </row>
    <row r="782" spans="1:4">
      <c r="A782" t="str">
        <f>_xlfn.XLOOKUP(B782,[1]四三数据累计!$A:$A,[1]四三数据累计!$B:$B)</f>
        <v>LYAP-X1800S-1L</v>
      </c>
      <c r="B782" s="2">
        <v>12205</v>
      </c>
      <c r="C782" s="2">
        <v>2</v>
      </c>
      <c r="D782" s="2">
        <v>45.34</v>
      </c>
    </row>
    <row r="783" spans="1:4">
      <c r="A783" t="str">
        <f>_xlfn.XLOOKUP(B783,[1]四三数据累计!$A:$A,[1]四三数据累计!$B:$B)</f>
        <v>LYAP-X1800S-1R</v>
      </c>
      <c r="B783" s="2">
        <v>12206</v>
      </c>
      <c r="C783" s="2">
        <v>3</v>
      </c>
      <c r="D783" s="2">
        <v>66</v>
      </c>
    </row>
    <row r="784" spans="1:4">
      <c r="A784" t="str">
        <f>_xlfn.XLOOKUP(B784,[1]四三数据累计!$A:$A,[1]四三数据累计!$B:$B)</f>
        <v>LYAP-X1934</v>
      </c>
      <c r="B784" s="2">
        <v>12210</v>
      </c>
      <c r="C784" s="2">
        <v>3</v>
      </c>
      <c r="D784" s="2">
        <v>34.67</v>
      </c>
    </row>
    <row r="785" spans="1:4">
      <c r="A785" t="str">
        <f>_xlfn.XLOOKUP(B785,[1]四三数据累计!$A:$A,[1]四三数据累计!$B:$B)</f>
        <v>LYAP-X1929</v>
      </c>
      <c r="B785" s="2">
        <v>12213</v>
      </c>
      <c r="C785" s="2">
        <v>9</v>
      </c>
      <c r="D785" s="2">
        <v>315</v>
      </c>
    </row>
    <row r="786" spans="1:4">
      <c r="A786" t="e">
        <f>_xlfn.XLOOKUP(B786,[1]四三数据累计!$A:$A,[1]四三数据累计!$B:$B)</f>
        <v>#N/A</v>
      </c>
      <c r="B786" s="2">
        <v>12225</v>
      </c>
      <c r="C786" s="2">
        <v>2</v>
      </c>
      <c r="D786" s="2">
        <v>118</v>
      </c>
    </row>
    <row r="787" spans="1:4">
      <c r="A787" t="str">
        <f>_xlfn.XLOOKUP(B787,[1]四三数据累计!$A:$A,[1]四三数据累计!$B:$B)</f>
        <v>LYAP-X2418</v>
      </c>
      <c r="B787" s="2">
        <v>12227</v>
      </c>
      <c r="C787" s="2">
        <v>6</v>
      </c>
      <c r="D787" s="2">
        <v>440.24</v>
      </c>
    </row>
    <row r="788" spans="1:4">
      <c r="A788" t="e">
        <f>_xlfn.XLOOKUP(B788,[1]四三数据累计!$A:$A,[1]四三数据累计!$B:$B)</f>
        <v>#N/A</v>
      </c>
      <c r="B788" s="2">
        <v>12240</v>
      </c>
      <c r="C788" s="2">
        <v>1</v>
      </c>
      <c r="D788" s="2">
        <v>57</v>
      </c>
    </row>
    <row r="789" spans="1:4">
      <c r="A789" t="str">
        <f>_xlfn.XLOOKUP(B789,[1]四三数据累计!$A:$A,[1]四三数据累计!$B:$B)</f>
        <v>LYAP-X2190-R</v>
      </c>
      <c r="B789" s="2">
        <v>12243</v>
      </c>
      <c r="C789" s="2">
        <v>3</v>
      </c>
      <c r="D789" s="2">
        <v>110.96</v>
      </c>
    </row>
    <row r="790" spans="1:4">
      <c r="A790" t="str">
        <f>_xlfn.XLOOKUP(B790,[1]四三数据累计!$A:$A,[1]四三数据累计!$B:$B)</f>
        <v>LYAP-X2527</v>
      </c>
      <c r="B790" s="2">
        <v>12246</v>
      </c>
      <c r="C790" s="2">
        <v>5</v>
      </c>
      <c r="D790" s="2">
        <v>473</v>
      </c>
    </row>
    <row r="791" spans="1:4">
      <c r="A791" t="str">
        <f>_xlfn.XLOOKUP(B791,[1]四三数据累计!$A:$A,[1]四三数据累计!$B:$B)</f>
        <v>LYAP-X2528</v>
      </c>
      <c r="B791" s="2">
        <v>12247</v>
      </c>
      <c r="C791" s="2">
        <v>2</v>
      </c>
      <c r="D791" s="2">
        <v>209.25</v>
      </c>
    </row>
    <row r="792" spans="1:4">
      <c r="A792" t="str">
        <f>_xlfn.XLOOKUP(B792,[1]四三数据累计!$A:$A,[1]四三数据累计!$B:$B)</f>
        <v>LYAP-X2308</v>
      </c>
      <c r="B792" s="2">
        <v>12248</v>
      </c>
      <c r="C792" s="2">
        <v>5</v>
      </c>
      <c r="D792" s="2">
        <v>427</v>
      </c>
    </row>
    <row r="793" spans="1:4">
      <c r="A793" t="str">
        <f>_xlfn.XLOOKUP(B793,[1]四三数据累计!$A:$A,[1]四三数据累计!$B:$B)</f>
        <v>LYAP-X2148-1L</v>
      </c>
      <c r="B793" s="2">
        <v>12250</v>
      </c>
      <c r="C793" s="2">
        <v>1</v>
      </c>
      <c r="D793" s="2">
        <v>34</v>
      </c>
    </row>
    <row r="794" spans="1:4">
      <c r="A794" t="str">
        <f>_xlfn.XLOOKUP(B794,[1]四三数据累计!$A:$A,[1]四三数据累计!$B:$B)</f>
        <v>LYAP-X2148-1R</v>
      </c>
      <c r="B794" s="2">
        <v>12251</v>
      </c>
      <c r="C794" s="2">
        <v>1</v>
      </c>
      <c r="D794" s="2">
        <v>34</v>
      </c>
    </row>
    <row r="795" spans="1:4">
      <c r="A795" t="str">
        <f>_xlfn.XLOOKUP(B795,[1]四三数据累计!$A:$A,[1]四三数据累计!$B:$B)</f>
        <v>LYAP-X1927</v>
      </c>
      <c r="B795" s="2">
        <v>12258</v>
      </c>
      <c r="C795" s="2">
        <v>6</v>
      </c>
      <c r="D795" s="2">
        <v>168</v>
      </c>
    </row>
    <row r="796" spans="1:4">
      <c r="A796" t="str">
        <f>_xlfn.XLOOKUP(B796,[1]四三数据累计!$A:$A,[1]四三数据累计!$B:$B)</f>
        <v>LYAP-X1651-1L</v>
      </c>
      <c r="B796" s="2">
        <v>12271</v>
      </c>
      <c r="C796" s="2">
        <v>1</v>
      </c>
      <c r="D796" s="2">
        <v>300</v>
      </c>
    </row>
    <row r="797" spans="1:4">
      <c r="A797" t="str">
        <f>_xlfn.XLOOKUP(B797,[1]四三数据累计!$A:$A,[1]四三数据累计!$B:$B)</f>
        <v>LYAP-X1808</v>
      </c>
      <c r="B797" s="2">
        <v>12272</v>
      </c>
      <c r="C797" s="2">
        <v>4</v>
      </c>
      <c r="D797" s="2">
        <v>290</v>
      </c>
    </row>
    <row r="798" spans="1:4">
      <c r="A798" t="str">
        <f>_xlfn.XLOOKUP(B798,[1]四三数据累计!$A:$A,[1]四三数据累计!$B:$B)</f>
        <v>LYAP-X1878</v>
      </c>
      <c r="B798" s="2">
        <v>12290</v>
      </c>
      <c r="C798" s="2">
        <v>1</v>
      </c>
      <c r="D798" s="2">
        <v>118</v>
      </c>
    </row>
    <row r="799" spans="1:4">
      <c r="A799" t="str">
        <f>_xlfn.XLOOKUP(B799,[1]四三数据累计!$A:$A,[1]四三数据累计!$B:$B)</f>
        <v>LYAP-X1872</v>
      </c>
      <c r="B799" s="2">
        <v>12291</v>
      </c>
      <c r="C799" s="2">
        <v>1</v>
      </c>
      <c r="D799" s="2">
        <v>129</v>
      </c>
    </row>
    <row r="800" spans="1:4">
      <c r="A800" t="str">
        <f>_xlfn.XLOOKUP(B800,[1]四三数据累计!$A:$A,[1]四三数据累计!$B:$B)</f>
        <v>LYAP-X1879</v>
      </c>
      <c r="B800" s="2">
        <v>12292</v>
      </c>
      <c r="C800" s="2">
        <v>1</v>
      </c>
      <c r="D800" s="2">
        <v>89</v>
      </c>
    </row>
    <row r="801" spans="1:4">
      <c r="A801" t="e">
        <f>_xlfn.XLOOKUP(B801,[1]四三数据累计!$A:$A,[1]四三数据累计!$B:$B)</f>
        <v>#N/A</v>
      </c>
      <c r="B801" s="2">
        <v>12303</v>
      </c>
      <c r="C801" s="2">
        <v>2</v>
      </c>
      <c r="D801" s="2">
        <v>78</v>
      </c>
    </row>
    <row r="802" spans="1:4">
      <c r="A802" t="str">
        <f>_xlfn.XLOOKUP(B802,[1]四三数据累计!$A:$A,[1]四三数据累计!$B:$B)</f>
        <v>LYAP-X1642-GR</v>
      </c>
      <c r="B802" s="2">
        <v>12304</v>
      </c>
      <c r="C802" s="2">
        <v>1</v>
      </c>
      <c r="D802" s="2">
        <v>499</v>
      </c>
    </row>
    <row r="803" spans="1:4">
      <c r="A803" t="str">
        <f>_xlfn.XLOOKUP(B803,[1]四三数据累计!$A:$A,[1]四三数据累计!$B:$B)</f>
        <v>MD-001-FR</v>
      </c>
      <c r="B803" s="2">
        <v>12306</v>
      </c>
      <c r="C803" s="2">
        <v>2</v>
      </c>
      <c r="D803" s="2">
        <v>1196</v>
      </c>
    </row>
    <row r="804" spans="1:4">
      <c r="A804" t="str">
        <f>_xlfn.XLOOKUP(B804,[1]四三数据累计!$A:$A,[1]四三数据累计!$B:$B)</f>
        <v>MD-001-RL</v>
      </c>
      <c r="B804" s="2">
        <v>12307</v>
      </c>
      <c r="C804" s="2">
        <v>1</v>
      </c>
      <c r="D804" s="2">
        <v>580</v>
      </c>
    </row>
    <row r="805" spans="1:4">
      <c r="A805" t="str">
        <f>_xlfn.XLOOKUP(B805,[1]四三数据累计!$A:$A,[1]四三数据累计!$B:$B)</f>
        <v>MD-001-RR</v>
      </c>
      <c r="B805" s="2">
        <v>12308</v>
      </c>
      <c r="C805" s="2">
        <v>3</v>
      </c>
      <c r="D805" s="2">
        <v>1779</v>
      </c>
    </row>
    <row r="806" spans="1:4">
      <c r="A806" t="str">
        <f>_xlfn.XLOOKUP(B806,[1]四三数据累计!$A:$A,[1]四三数据累计!$B:$B)</f>
        <v>MD-002-FL</v>
      </c>
      <c r="B806" s="2">
        <v>12309</v>
      </c>
      <c r="C806" s="2">
        <v>1</v>
      </c>
      <c r="D806" s="2">
        <v>480</v>
      </c>
    </row>
    <row r="807" spans="1:4">
      <c r="A807" t="str">
        <f>_xlfn.XLOOKUP(B807,[1]四三数据累计!$A:$A,[1]四三数据累计!$B:$B)</f>
        <v>MD-002-RL</v>
      </c>
      <c r="B807" s="2">
        <v>12311</v>
      </c>
      <c r="C807" s="2">
        <v>2</v>
      </c>
      <c r="D807" s="2">
        <v>960</v>
      </c>
    </row>
    <row r="808" spans="1:4">
      <c r="A808" t="str">
        <f>_xlfn.XLOOKUP(B808,[1]四三数据累计!$A:$A,[1]四三数据累计!$B:$B)</f>
        <v>LYAP-X2417</v>
      </c>
      <c r="B808" s="2">
        <v>12320</v>
      </c>
      <c r="C808" s="2">
        <v>2</v>
      </c>
      <c r="D808" s="2">
        <v>150</v>
      </c>
    </row>
    <row r="809" spans="1:4">
      <c r="A809" t="str">
        <f>_xlfn.XLOOKUP(B809,[1]四三数据累计!$A:$A,[1]四三数据累计!$B:$B)</f>
        <v>LYAP-X1788-GR</v>
      </c>
      <c r="B809" s="2">
        <v>12321</v>
      </c>
      <c r="C809" s="2">
        <v>4</v>
      </c>
      <c r="D809" s="2">
        <v>143.6</v>
      </c>
    </row>
    <row r="810" spans="1:4">
      <c r="A810" t="str">
        <f>_xlfn.XLOOKUP(B810,[1]四三数据累计!$A:$A,[1]四三数据累计!$B:$B)</f>
        <v>LYAP-X2289</v>
      </c>
      <c r="B810" s="2">
        <v>12332</v>
      </c>
      <c r="C810" s="2">
        <v>2</v>
      </c>
      <c r="D810" s="2">
        <v>228</v>
      </c>
    </row>
    <row r="811" spans="1:4">
      <c r="A811" t="str">
        <f>_xlfn.XLOOKUP(B811,[1]四三数据累计!$A:$A,[1]四三数据累计!$B:$B)</f>
        <v>LYAP-X2429</v>
      </c>
      <c r="B811" s="2">
        <v>12333</v>
      </c>
      <c r="C811" s="2">
        <v>2</v>
      </c>
      <c r="D811" s="2">
        <v>132</v>
      </c>
    </row>
    <row r="812" spans="1:4">
      <c r="A812" t="str">
        <f>_xlfn.XLOOKUP(B812,[1]四三数据累计!$A:$A,[1]四三数据累计!$B:$B)</f>
        <v>LYAP-X2309</v>
      </c>
      <c r="B812" s="2">
        <v>12357</v>
      </c>
      <c r="C812" s="2">
        <v>1</v>
      </c>
      <c r="D812" s="2">
        <v>99</v>
      </c>
    </row>
    <row r="813" spans="1:4">
      <c r="A813" t="e">
        <f>_xlfn.XLOOKUP(B813,[1]四三数据累计!$A:$A,[1]四三数据累计!$B:$B)</f>
        <v>#N/A</v>
      </c>
      <c r="B813" s="2">
        <v>12359</v>
      </c>
      <c r="C813" s="2">
        <v>1</v>
      </c>
      <c r="D813" s="2">
        <v>499</v>
      </c>
    </row>
    <row r="814" spans="1:4">
      <c r="A814" t="str">
        <f>_xlfn.XLOOKUP(B814,[1]四三数据累计!$A:$A,[1]四三数据累计!$B:$B)</f>
        <v>LYAP-X2530</v>
      </c>
      <c r="B814" s="2">
        <v>12368</v>
      </c>
      <c r="C814" s="2">
        <v>1</v>
      </c>
      <c r="D814" s="2">
        <v>99.27</v>
      </c>
    </row>
    <row r="815" spans="1:4">
      <c r="A815" t="str">
        <f>_xlfn.XLOOKUP(B815,[1]四三数据累计!$A:$A,[1]四三数据累计!$B:$B)</f>
        <v>LYAP-X1788-BN</v>
      </c>
      <c r="B815" s="2">
        <v>12386</v>
      </c>
      <c r="C815" s="2">
        <v>1</v>
      </c>
      <c r="D815" s="2">
        <v>29.99</v>
      </c>
    </row>
    <row r="816" spans="1:4">
      <c r="A816" t="str">
        <f>_xlfn.XLOOKUP(B816,[1]四三数据累计!$A:$A,[1]四三数据累计!$B:$B)</f>
        <v>LYAP-X2077</v>
      </c>
      <c r="B816" s="2">
        <v>12387</v>
      </c>
      <c r="C816" s="2">
        <v>1</v>
      </c>
      <c r="D816" s="2">
        <v>35</v>
      </c>
    </row>
    <row r="817" spans="1:4">
      <c r="A817" t="str">
        <f>_xlfn.XLOOKUP(B817,[1]四三数据累计!$A:$A,[1]四三数据累计!$B:$B)</f>
        <v>LYAP-X2130-2</v>
      </c>
      <c r="B817" s="2">
        <v>12398</v>
      </c>
      <c r="C817" s="2">
        <v>1</v>
      </c>
      <c r="D817" s="2">
        <v>49</v>
      </c>
    </row>
    <row r="818" spans="1:4">
      <c r="A818" t="str">
        <f>_xlfn.XLOOKUP(B818,[1]四三数据累计!$A:$A,[1]四三数据累计!$B:$B)</f>
        <v>LYAP-X2215</v>
      </c>
      <c r="B818" s="2">
        <v>12426</v>
      </c>
      <c r="C818" s="2">
        <v>5</v>
      </c>
      <c r="D818" s="2">
        <v>325</v>
      </c>
    </row>
    <row r="819" spans="1:4">
      <c r="A819" t="str">
        <f>_xlfn.XLOOKUP(B819,[1]四三数据累计!$A:$A,[1]四三数据累计!$B:$B)</f>
        <v>LYAP-X1665-2L</v>
      </c>
      <c r="B819" s="2">
        <v>12429</v>
      </c>
      <c r="C819" s="2">
        <v>1</v>
      </c>
      <c r="D819" s="2">
        <v>255</v>
      </c>
    </row>
    <row r="820" spans="1:4">
      <c r="A820" t="str">
        <f>_xlfn.XLOOKUP(B820,[1]四三数据累计!$A:$A,[1]四三数据累计!$B:$B)</f>
        <v>LYAM-X2862</v>
      </c>
      <c r="B820" s="2">
        <v>12441</v>
      </c>
      <c r="C820" s="2">
        <v>1</v>
      </c>
      <c r="D820" s="2">
        <v>135</v>
      </c>
    </row>
    <row r="821" spans="1:4">
      <c r="A821" t="str">
        <f>_xlfn.XLOOKUP(B821,[1]四三数据累计!$A:$A,[1]四三数据累计!$B:$B)</f>
        <v>LYAM-X2428-BK</v>
      </c>
      <c r="B821" s="2">
        <v>12461</v>
      </c>
      <c r="C821" s="2">
        <v>2</v>
      </c>
      <c r="D821" s="2">
        <v>238</v>
      </c>
    </row>
    <row r="822" spans="1:4">
      <c r="A822" t="str">
        <f>_xlfn.XLOOKUP(B822,[1]四三数据累计!$A:$A,[1]四三数据累计!$B:$B)</f>
        <v>LYAP-838</v>
      </c>
      <c r="B822" s="2">
        <v>12474</v>
      </c>
      <c r="C822" s="2">
        <v>3</v>
      </c>
      <c r="D822" s="2">
        <v>256.5</v>
      </c>
    </row>
    <row r="823" spans="1:4">
      <c r="A823" t="str">
        <f>_xlfn.XLOOKUP(B823,[1]四三数据累计!$A:$A,[1]四三数据累计!$B:$B)</f>
        <v>LYAP-X2310</v>
      </c>
      <c r="B823" s="2">
        <v>12483</v>
      </c>
      <c r="C823" s="2">
        <v>1</v>
      </c>
      <c r="D823" s="2">
        <v>117</v>
      </c>
    </row>
    <row r="824" spans="1:4">
      <c r="A824" t="str">
        <f>_xlfn.XLOOKUP(B824,[1]四三数据累计!$A:$A,[1]四三数据累计!$B:$B)</f>
        <v>LYAP-X2317</v>
      </c>
      <c r="B824" s="2">
        <v>12484</v>
      </c>
      <c r="C824" s="2">
        <v>3</v>
      </c>
      <c r="D824" s="2">
        <v>348</v>
      </c>
    </row>
    <row r="825" spans="1:4">
      <c r="A825" t="str">
        <f>_xlfn.XLOOKUP(B825,[1]四三数据累计!$A:$A,[1]四三数据累计!$B:$B)</f>
        <v>LYAP-X2504</v>
      </c>
      <c r="B825" s="2">
        <v>12489</v>
      </c>
      <c r="C825" s="2">
        <v>7</v>
      </c>
      <c r="D825" s="2">
        <v>315</v>
      </c>
    </row>
    <row r="826" spans="1:4">
      <c r="A826" t="str">
        <f>_xlfn.XLOOKUP(B826,[1]四三数据累计!$A:$A,[1]四三数据累计!$B:$B)</f>
        <v>LYAM-X2428-C</v>
      </c>
      <c r="B826" s="2">
        <v>12464</v>
      </c>
      <c r="C826" s="2">
        <v>2</v>
      </c>
      <c r="D826" s="2">
        <v>250</v>
      </c>
    </row>
    <row r="827" spans="1:4">
      <c r="A827" t="str">
        <f>_xlfn.XLOOKUP(B827,[1]四三数据累计!$A:$A,[1]四三数据累计!$B:$B)</f>
        <v>LYAP-X2314</v>
      </c>
      <c r="B827" s="2">
        <v>12541</v>
      </c>
      <c r="C827" s="2">
        <v>1</v>
      </c>
      <c r="D827" s="2">
        <v>150</v>
      </c>
    </row>
    <row r="828" spans="1:4">
      <c r="A828" t="str">
        <f>_xlfn.XLOOKUP(B828,[1]四三数据累计!$A:$A,[1]四三数据累计!$B:$B)</f>
        <v>LYAP-X2428-2</v>
      </c>
      <c r="B828" s="2">
        <v>12631</v>
      </c>
      <c r="C828" s="2">
        <v>4</v>
      </c>
      <c r="D828" s="2">
        <v>500</v>
      </c>
    </row>
    <row r="829" spans="1:4">
      <c r="A829" t="str">
        <f>_xlfn.XLOOKUP(B829,[1]四三数据累计!$A:$A,[1]四三数据累计!$B:$B)</f>
        <v>LYAP-X1909</v>
      </c>
      <c r="B829" s="2">
        <v>12586</v>
      </c>
      <c r="C829" s="2">
        <v>6</v>
      </c>
      <c r="D829" s="2">
        <v>420</v>
      </c>
    </row>
    <row r="830" spans="1:4">
      <c r="A830" t="str">
        <f>_xlfn.XLOOKUP(B830,[1]四三数据累计!$A:$A,[1]四三数据累计!$B:$B)</f>
        <v>LYAP-X2324</v>
      </c>
      <c r="B830" s="2">
        <v>12544</v>
      </c>
      <c r="C830" s="2">
        <v>1</v>
      </c>
      <c r="D830" s="2">
        <v>150</v>
      </c>
    </row>
    <row r="831" spans="1:4">
      <c r="A831" t="str">
        <f>_xlfn.XLOOKUP(B831,[1]四三数据累计!$A:$A,[1]四三数据累计!$B:$B)</f>
        <v>LYAP-X2210-C</v>
      </c>
      <c r="B831" s="2">
        <v>12651</v>
      </c>
      <c r="C831" s="2">
        <v>1</v>
      </c>
      <c r="D831" s="2">
        <v>89</v>
      </c>
    </row>
    <row r="832" spans="1:4">
      <c r="A832" t="str">
        <f>_xlfn.XLOOKUP(B832,[1]四三数据累计!$A:$A,[1]四三数据累计!$B:$B)</f>
        <v>LYAP-X2428-1</v>
      </c>
      <c r="B832" s="2">
        <v>12630</v>
      </c>
      <c r="C832" s="2">
        <v>2</v>
      </c>
      <c r="D832" s="2">
        <v>490</v>
      </c>
    </row>
    <row r="833" spans="1:4">
      <c r="A833" t="str">
        <f>_xlfn.XLOOKUP(B833,[1]四三数据累计!$A:$A,[1]四三数据累计!$B:$B)</f>
        <v>LYAP-X1360-1L</v>
      </c>
      <c r="B833" s="2">
        <v>12587</v>
      </c>
      <c r="C833" s="2">
        <v>2</v>
      </c>
      <c r="D833" s="2">
        <v>90</v>
      </c>
    </row>
    <row r="834" spans="1:4">
      <c r="A834" t="str">
        <f>_xlfn.XLOOKUP(B834,[1]四三数据累计!$A:$A,[1]四三数据累计!$B:$B)</f>
        <v>LYAM-X2450-SL</v>
      </c>
      <c r="B834" s="2">
        <v>12590</v>
      </c>
      <c r="C834" s="2">
        <v>3</v>
      </c>
      <c r="D834" s="2">
        <v>375</v>
      </c>
    </row>
    <row r="835" spans="1:4">
      <c r="A835" t="str">
        <f>_xlfn.XLOOKUP(B835,[1]四三数据累计!$A:$A,[1]四三数据累计!$B:$B)</f>
        <v>LYAP-X2412</v>
      </c>
      <c r="B835" s="2">
        <v>12629</v>
      </c>
      <c r="C835" s="2">
        <v>1</v>
      </c>
      <c r="D835" s="2">
        <v>35</v>
      </c>
    </row>
    <row r="836" spans="1:4">
      <c r="A836" t="str">
        <f>_xlfn.XLOOKUP(B836,[1]四三数据累计!$A:$A,[1]四三数据累计!$B:$B)</f>
        <v>LYAP-X2317-L</v>
      </c>
      <c r="B836" s="2">
        <v>12572</v>
      </c>
      <c r="C836" s="2">
        <v>1</v>
      </c>
      <c r="D836" s="2">
        <v>60</v>
      </c>
    </row>
    <row r="837" spans="1:4">
      <c r="A837" t="str">
        <f>_xlfn.XLOOKUP(B837,[1]四三数据累计!$A:$A,[1]四三数据累计!$B:$B)</f>
        <v>LYAP-X2310-R</v>
      </c>
      <c r="B837" s="2">
        <v>12575</v>
      </c>
      <c r="C837" s="2">
        <v>1</v>
      </c>
      <c r="D837" s="2">
        <v>65</v>
      </c>
    </row>
    <row r="838" spans="1:4">
      <c r="A838" t="str">
        <f>_xlfn.XLOOKUP(B838,[1]四三数据累计!$A:$A,[1]四三数据累计!$B:$B)</f>
        <v>LYAP-X2317-R</v>
      </c>
      <c r="B838" s="2">
        <v>12573</v>
      </c>
      <c r="C838" s="2">
        <v>1</v>
      </c>
      <c r="D838" s="2">
        <v>60</v>
      </c>
    </row>
    <row r="839" spans="1:4">
      <c r="A839" t="str">
        <f>_xlfn.XLOOKUP(B839,[1]四三数据累计!$A:$A,[1]四三数据累计!$B:$B)</f>
        <v>LYAP-X2472</v>
      </c>
      <c r="B839" s="2">
        <v>12743</v>
      </c>
      <c r="C839" s="2">
        <v>1</v>
      </c>
      <c r="D839" s="2">
        <v>120</v>
      </c>
    </row>
    <row r="840" spans="1:4">
      <c r="A840" t="str">
        <f>_xlfn.XLOOKUP(B840,[1]四三数据累计!$A:$A,[1]四三数据累计!$B:$B)</f>
        <v>LYAM-X2452-SL</v>
      </c>
      <c r="B840" s="2">
        <v>12591</v>
      </c>
      <c r="C840" s="2">
        <v>3</v>
      </c>
      <c r="D840" s="2">
        <v>375</v>
      </c>
    </row>
    <row r="841" spans="1:4">
      <c r="A841" t="str">
        <f>_xlfn.XLOOKUP(B841,[1]四三数据累计!$A:$A,[1]四三数据累计!$B:$B)</f>
        <v>LYAP-X2385</v>
      </c>
      <c r="B841" s="2">
        <v>12649</v>
      </c>
      <c r="C841" s="2">
        <v>1</v>
      </c>
      <c r="D841" s="2">
        <v>120</v>
      </c>
    </row>
    <row r="842" spans="1:4">
      <c r="A842" t="str">
        <f>_xlfn.XLOOKUP(B842,[1]四三数据累计!$A:$A,[1]四三数据累计!$B:$B)</f>
        <v>LYAP-X1966</v>
      </c>
      <c r="B842" s="2">
        <v>12614</v>
      </c>
      <c r="C842" s="2">
        <v>4</v>
      </c>
      <c r="D842" s="2">
        <v>516</v>
      </c>
    </row>
    <row r="843" spans="1:4">
      <c r="A843" t="str">
        <f>_xlfn.XLOOKUP(B843,[1]四三数据累计!$A:$A,[1]四三数据累计!$B:$B)</f>
        <v>LYAP-X2210-BK</v>
      </c>
      <c r="B843" s="2">
        <v>12658</v>
      </c>
      <c r="C843" s="2">
        <v>3</v>
      </c>
      <c r="D843" s="2">
        <v>255</v>
      </c>
    </row>
    <row r="844" spans="1:4">
      <c r="A844" t="str">
        <f>_xlfn.XLOOKUP(B844,[1]四三数据累计!$A:$A,[1]四三数据累计!$B:$B)</f>
        <v>LYAM-X2818</v>
      </c>
      <c r="B844" s="2">
        <v>12473</v>
      </c>
      <c r="C844" s="2">
        <v>6</v>
      </c>
      <c r="D844" s="2">
        <v>595.2</v>
      </c>
    </row>
    <row r="845" spans="1:4">
      <c r="A845" t="str">
        <f>_xlfn.XLOOKUP(B845,[1]四三数据累计!$A:$A,[1]四三数据累计!$B:$B)</f>
        <v>LYAM-X2443</v>
      </c>
      <c r="B845" s="2">
        <v>12526</v>
      </c>
      <c r="C845" s="2">
        <v>1</v>
      </c>
      <c r="D845" s="2">
        <v>155</v>
      </c>
    </row>
    <row r="846" spans="1:4">
      <c r="A846" t="str">
        <f>_xlfn.XLOOKUP(B846,[1]四三数据累计!$A:$A,[1]四三数据累计!$B:$B)</f>
        <v>LYAP-X1963</v>
      </c>
      <c r="B846" s="2">
        <v>12558</v>
      </c>
      <c r="C846" s="2">
        <v>1</v>
      </c>
      <c r="D846" s="2">
        <v>85</v>
      </c>
    </row>
    <row r="847" spans="1:4">
      <c r="A847" t="str">
        <f>_xlfn.XLOOKUP(B847,[1]四三数据累计!$A:$A,[1]四三数据累计!$B:$B)</f>
        <v>LYAM-X2433-BK</v>
      </c>
      <c r="B847" s="2">
        <v>12596</v>
      </c>
      <c r="C847" s="2">
        <v>5</v>
      </c>
      <c r="D847" s="2">
        <v>575</v>
      </c>
    </row>
    <row r="848" spans="1:4">
      <c r="A848" t="str">
        <f>_xlfn.XLOOKUP(B848,[1]四三数据累计!$A:$A,[1]四三数据累计!$B:$B)</f>
        <v>LYAM-X2414-BK</v>
      </c>
      <c r="B848" s="2">
        <v>12595</v>
      </c>
      <c r="C848" s="2">
        <v>1</v>
      </c>
      <c r="D848" s="2">
        <v>95</v>
      </c>
    </row>
    <row r="849" spans="1:4">
      <c r="A849" t="str">
        <f>_xlfn.XLOOKUP(B849,[1]四三数据累计!$A:$A,[1]四三数据累计!$B:$B)</f>
        <v>LYAP-X1959</v>
      </c>
      <c r="B849" s="2">
        <v>12833</v>
      </c>
      <c r="C849" s="2">
        <v>13</v>
      </c>
      <c r="D849" s="2">
        <v>1144</v>
      </c>
    </row>
    <row r="850" spans="1:4">
      <c r="A850" t="str">
        <f>_xlfn.XLOOKUP(B850,[1]四三数据累计!$A:$A,[1]四三数据累计!$B:$B)</f>
        <v>LYAP-X2318</v>
      </c>
      <c r="B850" s="2">
        <v>12650</v>
      </c>
      <c r="C850" s="2">
        <v>1</v>
      </c>
      <c r="D850" s="2">
        <v>79.9</v>
      </c>
    </row>
    <row r="851" spans="1:4">
      <c r="A851" t="str">
        <f>_xlfn.XLOOKUP(B851,[1]四三数据累计!$A:$A,[1]四三数据累计!$B:$B)</f>
        <v>LYAP-X2310-L</v>
      </c>
      <c r="B851" s="2">
        <v>12574</v>
      </c>
      <c r="C851" s="2">
        <v>1</v>
      </c>
      <c r="D851" s="2">
        <v>65</v>
      </c>
    </row>
    <row r="852" spans="1:4">
      <c r="A852" t="str">
        <f>_xlfn.XLOOKUP(B852,[1]四三数据累计!$A:$A,[1]四三数据累计!$B:$B)</f>
        <v>LYAP-X2025</v>
      </c>
      <c r="B852" s="2">
        <v>12732</v>
      </c>
      <c r="C852" s="2">
        <v>1</v>
      </c>
      <c r="D852" s="2">
        <v>109</v>
      </c>
    </row>
    <row r="853" spans="1:4">
      <c r="A853" t="str">
        <f>_xlfn.XLOOKUP(B853,[1]四三数据累计!$A:$A,[1]四三数据累计!$B:$B)</f>
        <v>LYAM-X2895</v>
      </c>
      <c r="B853" s="2">
        <v>12612</v>
      </c>
      <c r="C853" s="2">
        <v>2</v>
      </c>
      <c r="D853" s="2">
        <v>330</v>
      </c>
    </row>
    <row r="854" spans="1:4">
      <c r="A854" t="str">
        <f>_xlfn.XLOOKUP(B854,[1]四三数据累计!$A:$A,[1]四三数据累计!$B:$B)</f>
        <v>LYAP-X1852-L</v>
      </c>
      <c r="B854" s="2">
        <v>12686</v>
      </c>
      <c r="C854" s="2">
        <v>5</v>
      </c>
      <c r="D854" s="2">
        <v>275</v>
      </c>
    </row>
    <row r="855" spans="1:4">
      <c r="A855" t="str">
        <f>_xlfn.XLOOKUP(B855,[1]四三数据累计!$A:$A,[1]四三数据累计!$B:$B)</f>
        <v>LYAP-X1852-R</v>
      </c>
      <c r="B855" s="2">
        <v>12687</v>
      </c>
      <c r="C855" s="2">
        <v>3</v>
      </c>
      <c r="D855" s="2">
        <v>165</v>
      </c>
    </row>
    <row r="856" spans="1:4">
      <c r="A856" t="str">
        <f>_xlfn.XLOOKUP(B856,[1]四三数据累计!$A:$A,[1]四三数据累计!$B:$B)</f>
        <v>LYAP-X1916-L</v>
      </c>
      <c r="B856" s="2">
        <v>12701</v>
      </c>
      <c r="C856" s="2">
        <v>3</v>
      </c>
      <c r="D856" s="2">
        <v>285</v>
      </c>
    </row>
    <row r="857" spans="1:4">
      <c r="A857" t="str">
        <f>_xlfn.XLOOKUP(B857,[1]四三数据累计!$A:$A,[1]四三数据累计!$B:$B)</f>
        <v>LYAP-X1916-R</v>
      </c>
      <c r="B857" s="2">
        <v>12700</v>
      </c>
      <c r="C857" s="2">
        <v>2</v>
      </c>
      <c r="D857" s="2">
        <v>190</v>
      </c>
    </row>
    <row r="858" spans="1:4">
      <c r="A858" t="str">
        <f>_xlfn.XLOOKUP(B858,[1]四三数据累计!$A:$A,[1]四三数据累计!$B:$B)</f>
        <v>LYAP-X2471</v>
      </c>
      <c r="B858" s="2">
        <v>12740</v>
      </c>
      <c r="C858" s="2">
        <v>2</v>
      </c>
      <c r="D858" s="2">
        <v>198</v>
      </c>
    </row>
    <row r="859" spans="1:4">
      <c r="A859" t="str">
        <f>_xlfn.XLOOKUP(B859,[1]四三数据累计!$A:$A,[1]四三数据累计!$B:$B)</f>
        <v>LYAM-X2816S</v>
      </c>
      <c r="B859" s="2">
        <v>12519</v>
      </c>
      <c r="C859" s="2">
        <v>1</v>
      </c>
      <c r="D859" s="2">
        <v>109</v>
      </c>
    </row>
    <row r="860" spans="1:4">
      <c r="A860" t="str">
        <f>_xlfn.XLOOKUP(B860,[1]四三数据累计!$A:$A,[1]四三数据累计!$B:$B)</f>
        <v>LYAP-X1968</v>
      </c>
      <c r="B860" s="2">
        <v>12715</v>
      </c>
      <c r="C860" s="2">
        <v>1</v>
      </c>
      <c r="D860" s="2">
        <v>82</v>
      </c>
    </row>
    <row r="861" spans="1:4">
      <c r="A861" t="str">
        <f>_xlfn.XLOOKUP(B861,[1]四三数据累计!$A:$A,[1]四三数据累计!$B:$B)</f>
        <v>LYAP-X2470</v>
      </c>
      <c r="B861" s="2">
        <v>12741</v>
      </c>
      <c r="C861" s="2">
        <v>1</v>
      </c>
      <c r="D861" s="2">
        <v>96</v>
      </c>
    </row>
    <row r="862" spans="1:4">
      <c r="A862" t="e">
        <f>_xlfn.XLOOKUP(B862,[1]四三数据累计!$A:$A,[1]四三数据累计!$B:$B)</f>
        <v>#N/A</v>
      </c>
      <c r="B862" s="2">
        <v>12737</v>
      </c>
      <c r="C862" s="2">
        <v>1</v>
      </c>
      <c r="D862" s="2">
        <v>85</v>
      </c>
    </row>
    <row r="863" spans="1:4">
      <c r="A863" t="str">
        <f>_xlfn.XLOOKUP(B863,[1]四三数据累计!$A:$A,[1]四三数据累计!$B:$B)</f>
        <v>LYAM-X2450-BK</v>
      </c>
      <c r="B863" s="2">
        <v>12597</v>
      </c>
      <c r="C863" s="2">
        <v>2</v>
      </c>
      <c r="D863" s="2">
        <v>230</v>
      </c>
    </row>
    <row r="864" spans="1:4">
      <c r="A864" t="str">
        <f>_xlfn.XLOOKUP(B864,[1]四三数据累计!$A:$A,[1]四三数据累计!$B:$B)</f>
        <v>LYAM-X2440</v>
      </c>
      <c r="B864" s="2">
        <v>12786</v>
      </c>
      <c r="C864" s="2">
        <v>1</v>
      </c>
      <c r="D864" s="2">
        <v>150</v>
      </c>
    </row>
    <row r="865" spans="1:4">
      <c r="A865" t="str">
        <f>_xlfn.XLOOKUP(B865,[1]四三数据累计!$A:$A,[1]四三数据累计!$B:$B)</f>
        <v>LYAP-X1891</v>
      </c>
      <c r="B865" s="2">
        <v>12714</v>
      </c>
      <c r="C865" s="2">
        <v>1</v>
      </c>
      <c r="D865" s="2">
        <v>105</v>
      </c>
    </row>
    <row r="866" spans="1:4">
      <c r="A866" t="str">
        <f>_xlfn.XLOOKUP(B866,[1]四三数据累计!$A:$A,[1]四三数据累计!$B:$B)</f>
        <v>LYAM-X2442-BK</v>
      </c>
      <c r="B866" s="3">
        <v>12605</v>
      </c>
      <c r="C866" s="3">
        <v>1</v>
      </c>
      <c r="D866" s="3">
        <v>180</v>
      </c>
    </row>
    <row r="867" spans="1:4">
      <c r="A867" t="e">
        <f>_xlfn.XLOOKUP(B867,[1]四三数据累计!$A:$A,[1]四三数据累计!$B:$B)</f>
        <v>#N/A</v>
      </c>
      <c r="B867" s="4" t="s">
        <v>1644</v>
      </c>
      <c r="C867" s="4">
        <v>3836</v>
      </c>
      <c r="D867" s="4">
        <v>278062.42</v>
      </c>
    </row>
    <row r="868" spans="1:4">
      <c r="B868" s="2"/>
      <c r="C868" s="2"/>
      <c r="D868" s="2"/>
    </row>
    <row r="869" spans="1:4">
      <c r="B869" s="2"/>
      <c r="C869" s="2"/>
      <c r="D869" s="2"/>
    </row>
    <row r="870" spans="1:4">
      <c r="B870" s="2"/>
      <c r="C870" s="2"/>
      <c r="D870" s="2"/>
    </row>
    <row r="871" spans="1:4">
      <c r="B871" s="2"/>
      <c r="C871" s="2"/>
      <c r="D871" s="2"/>
    </row>
    <row r="872" spans="1:4">
      <c r="B872" s="2"/>
      <c r="C872" s="2"/>
      <c r="D872" s="2"/>
    </row>
    <row r="873" spans="1:4">
      <c r="B873" s="2"/>
      <c r="C873" s="2"/>
      <c r="D873" s="2"/>
    </row>
    <row r="874" spans="1:4">
      <c r="B874" s="2"/>
      <c r="C874" s="2"/>
      <c r="D874" s="2"/>
    </row>
    <row r="875" spans="1:4">
      <c r="B875" s="2"/>
      <c r="C875" s="2"/>
      <c r="D875" s="2"/>
    </row>
    <row r="876" spans="1:4">
      <c r="B876" s="2"/>
      <c r="C876" s="2"/>
      <c r="D876" s="2"/>
    </row>
    <row r="877" spans="1:4">
      <c r="B877" s="2"/>
      <c r="C877" s="2"/>
      <c r="D877" s="2"/>
    </row>
    <row r="878" spans="1:4">
      <c r="B878" s="2"/>
      <c r="C878" s="2"/>
      <c r="D878" s="2"/>
    </row>
    <row r="879" spans="1:4">
      <c r="B879" s="2"/>
      <c r="C879" s="2"/>
      <c r="D879" s="2"/>
    </row>
    <row r="880" spans="1:4">
      <c r="B880" s="2"/>
      <c r="C880" s="2"/>
      <c r="D880" s="2"/>
    </row>
    <row r="881" spans="2:4">
      <c r="B881" s="2"/>
      <c r="C881" s="2"/>
      <c r="D881" s="2"/>
    </row>
    <row r="882" spans="2:4">
      <c r="B882" s="2"/>
      <c r="C882" s="2"/>
      <c r="D882" s="2"/>
    </row>
    <row r="883" spans="2:4">
      <c r="B883" s="2"/>
      <c r="C883" s="2"/>
      <c r="D883" s="2"/>
    </row>
    <row r="884" spans="2:4">
      <c r="B884" s="2"/>
      <c r="C884" s="2"/>
      <c r="D884" s="2"/>
    </row>
    <row r="885" spans="2:4">
      <c r="B885" s="2"/>
      <c r="C885" s="2"/>
      <c r="D885" s="2"/>
    </row>
    <row r="886" spans="2:4">
      <c r="B886" s="2"/>
      <c r="C886" s="2"/>
      <c r="D886" s="2"/>
    </row>
    <row r="887" spans="2:4">
      <c r="B887" s="2"/>
      <c r="C887" s="2"/>
      <c r="D887" s="2"/>
    </row>
    <row r="888" spans="2:4">
      <c r="B888" s="2"/>
      <c r="C888" s="2"/>
      <c r="D888" s="2"/>
    </row>
    <row r="889" spans="2:4">
      <c r="B889" s="2"/>
      <c r="C889" s="2"/>
      <c r="D889" s="2"/>
    </row>
    <row r="890" spans="2:4">
      <c r="B890" s="2"/>
      <c r="C890" s="2"/>
      <c r="D890" s="2"/>
    </row>
    <row r="891" spans="2:4">
      <c r="B891" s="2"/>
      <c r="C891" s="2"/>
      <c r="D891" s="2"/>
    </row>
    <row r="892" spans="2:4">
      <c r="B892" s="2"/>
      <c r="C892" s="2"/>
      <c r="D892" s="2"/>
    </row>
    <row r="893" spans="2:4">
      <c r="B893" s="3"/>
      <c r="C893" s="3"/>
      <c r="D893" s="3"/>
    </row>
  </sheetData>
  <autoFilter xmlns:etc="http://www.wps.cn/officeDocument/2017/etCustomData" ref="A1:D867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\Users\Administrator\WPSDrive\1657638535\WPS企业云盘\常州市凌越信息技术服务有限公司\团队文档\eBay运营三部\新品\新品累计数据\新品检查记录.xlsx" FileId="488119903997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字段说明</vt:lpstr>
      <vt:lpstr>四三数据累计</vt:lpstr>
      <vt:lpstr>PLP明细</vt:lpstr>
      <vt:lpstr>四三销售数据</vt:lpstr>
      <vt:lpstr>自然周销售数据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2026-01-22T13:00:00Z</dcterms:created>
  <dcterms:modified xsi:type="dcterms:W3CDTF">2026-06-02T05:38:08Z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0749C2F445E545C08EE4945239317162_13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