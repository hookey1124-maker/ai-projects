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activeTab="4"/>
  </bookViews>
  <sheets>
    <sheet name="品线" sheetId="1" r:id="rId1"/>
    <sheet name="分析人" sheetId="4" r:id="rId2"/>
    <sheet name="拓展类型" sheetId="6" r:id="rId3"/>
    <sheet name="分析及时率" sheetId="2" r:id="rId4"/>
    <sheet name="新品出单情况" sheetId="3" r:id="rId5"/>
    <sheet name="新品未出单" sheetId="5" r:id="rId6"/>
    <sheet name="新品低占比" sheetId="7" r:id="rId7"/>
    <sheet name="新品PLP" sheetId="9" r:id="rId8"/>
    <sheet name="新品PLG" sheetId="10" r:id="rId9"/>
  </sheets>
  <definedNames>
    <definedName name="_xlnm._FilterDatabase" localSheetId="6" hidden="1">新品低占比!$A$1:$AD$19</definedName>
    <definedName name="_xlnm._FilterDatabase" localSheetId="8" hidden="1">新品PLG!$A$3:$P$104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<sst xmlns="http://schemas.openxmlformats.org/spreadsheetml/2006/main" count="1802" uniqueCount="352">
  <si>
    <t>品线</t>
  </si>
  <si>
    <t>2.26-3.4
上架产品数</t>
  </si>
  <si>
    <t>3.5-3.11
上架产品数</t>
  </si>
  <si>
    <t>3.12-3.18上架产品数</t>
  </si>
  <si>
    <t>3.19-3.25上架产品数</t>
  </si>
  <si>
    <t>3.26-4.1上架产品数</t>
  </si>
  <si>
    <t>4.2-4.8上架产品数</t>
  </si>
  <si>
    <t>4.9-4.15上架产品数</t>
  </si>
  <si>
    <t>4.16-4.22上架产品数</t>
  </si>
  <si>
    <t>4.23-4.29上架产品数</t>
  </si>
  <si>
    <t>4.30-5.6上架产品数</t>
  </si>
  <si>
    <t>玻璃</t>
  </si>
  <si>
    <t>车门系统</t>
  </si>
  <si>
    <t>车身外扩件</t>
  </si>
  <si>
    <t>挡泥板</t>
  </si>
  <si>
    <t>机盖及附件</t>
  </si>
  <si>
    <t>牌照板支架</t>
  </si>
  <si>
    <t>其他</t>
  </si>
  <si>
    <t>饰条</t>
  </si>
  <si>
    <t>雨刮罩</t>
  </si>
  <si>
    <t>分析人分配</t>
  </si>
  <si>
    <t>胡煜星</t>
  </si>
  <si>
    <t>王偲涵</t>
  </si>
  <si>
    <t>俞东旭</t>
  </si>
  <si>
    <t>章鹏</t>
  </si>
  <si>
    <t>朱培源</t>
  </si>
  <si>
    <t>张潇</t>
  </si>
  <si>
    <t>拓展类型</t>
  </si>
  <si>
    <t>3.4计数</t>
  </si>
  <si>
    <t>3.11计数</t>
  </si>
  <si>
    <t>3.18计数</t>
  </si>
  <si>
    <t>3.25计数</t>
  </si>
  <si>
    <t>4.1计数</t>
  </si>
  <si>
    <t>4.8计数</t>
  </si>
  <si>
    <t>4.15计数</t>
  </si>
  <si>
    <t>4.22计数</t>
  </si>
  <si>
    <t>4.29计数</t>
  </si>
  <si>
    <t>5.6计数</t>
  </si>
  <si>
    <t>3.4出单SKU数</t>
  </si>
  <si>
    <t>3.11出单SKU数</t>
  </si>
  <si>
    <t>3.18出单SKU数</t>
  </si>
  <si>
    <t>3.25出单SKU数</t>
  </si>
  <si>
    <t>4.1出单SKU数</t>
  </si>
  <si>
    <t>4.8出单SKU数</t>
  </si>
  <si>
    <t>4.15出单SKU数</t>
  </si>
  <si>
    <t>4.22出单SKU数</t>
  </si>
  <si>
    <t>4.29出单SKU数</t>
  </si>
  <si>
    <t>5.6出单SKU数</t>
  </si>
  <si>
    <t>3.4出单率</t>
  </si>
  <si>
    <t>3.11出单率</t>
  </si>
  <si>
    <t>3.18出单率</t>
  </si>
  <si>
    <t>3.25出单率</t>
  </si>
  <si>
    <t>4.1出单率</t>
  </si>
  <si>
    <t>4.8出单率</t>
  </si>
  <si>
    <t>4.15出单率</t>
  </si>
  <si>
    <t>4.22出单率</t>
  </si>
  <si>
    <t>4.29出单率</t>
  </si>
  <si>
    <t>5.6出单率</t>
  </si>
  <si>
    <t>3.4出单率环比</t>
  </si>
  <si>
    <t>3.11出单率环比</t>
  </si>
  <si>
    <t>3.18出单率环比</t>
  </si>
  <si>
    <t>3.25出单率环比</t>
  </si>
  <si>
    <t>4.1出单率环比</t>
  </si>
  <si>
    <t>4.8出单率环比</t>
  </si>
  <si>
    <t>4.15出单率环比</t>
  </si>
  <si>
    <t>4.22出单率环比</t>
  </si>
  <si>
    <t>4.29出单率环比</t>
  </si>
  <si>
    <t>5.6出单率环比</t>
  </si>
  <si>
    <t>原开品</t>
  </si>
  <si>
    <t>拓展品</t>
  </si>
  <si>
    <t>组合件</t>
  </si>
  <si>
    <t>总数据</t>
  </si>
  <si>
    <t>分析情况</t>
  </si>
  <si>
    <t>3.4占比</t>
  </si>
  <si>
    <t>3.11占比</t>
  </si>
  <si>
    <t>3.18占比</t>
  </si>
  <si>
    <t>3.25占比</t>
  </si>
  <si>
    <t>4.1占比</t>
  </si>
  <si>
    <t>4.8占比</t>
  </si>
  <si>
    <t>4.15占比</t>
  </si>
  <si>
    <t>4.22占比</t>
  </si>
  <si>
    <t>4.29占比</t>
  </si>
  <si>
    <t>5.6占比</t>
  </si>
  <si>
    <t>3.4环比</t>
  </si>
  <si>
    <t>3.11环比</t>
  </si>
  <si>
    <t>3.18环比</t>
  </si>
  <si>
    <t>3.25环比</t>
  </si>
  <si>
    <t>4.1环比</t>
  </si>
  <si>
    <t>4.8环比</t>
  </si>
  <si>
    <t>4.15环比</t>
  </si>
  <si>
    <t>4.22环比</t>
  </si>
  <si>
    <t>4.29环比</t>
  </si>
  <si>
    <t>5.6环比</t>
  </si>
  <si>
    <t>8日内新品无分析</t>
  </si>
  <si>
    <t>超7日低占比未分析</t>
  </si>
  <si>
    <t>及时分析产品</t>
  </si>
  <si>
    <t>当日上架未记录</t>
  </si>
  <si>
    <t>减少频次本轮不分析</t>
  </si>
  <si>
    <t>新品出单占比</t>
  </si>
  <si>
    <t>4.8计数(剔除对手未出单产品)</t>
  </si>
  <si>
    <t>4.15计数(剔除对手未出单产品)</t>
  </si>
  <si>
    <t>未出单</t>
  </si>
  <si>
    <t>8日外出单</t>
  </si>
  <si>
    <t>8日出单</t>
  </si>
  <si>
    <t>未出单原因</t>
  </si>
  <si>
    <t>竞争无优势</t>
  </si>
  <si>
    <t>无市场</t>
  </si>
  <si>
    <t>站内无价格优势</t>
  </si>
  <si>
    <t>站外出单</t>
  </si>
  <si>
    <t>销售编号</t>
  </si>
  <si>
    <t>SKU</t>
  </si>
  <si>
    <t>实际上架日期</t>
  </si>
  <si>
    <t>首次出单日期</t>
  </si>
  <si>
    <t>4月分析人</t>
  </si>
  <si>
    <t>品类</t>
  </si>
  <si>
    <t>产品拓展</t>
  </si>
  <si>
    <t>4.30-5.6销量</t>
  </si>
  <si>
    <t>环比</t>
  </si>
  <si>
    <t>4.29对手销量</t>
  </si>
  <si>
    <t>5.6对手销量</t>
  </si>
  <si>
    <t>4.29市占比</t>
  </si>
  <si>
    <t>5.6市占比</t>
  </si>
  <si>
    <t>4.29追踪间隔</t>
  </si>
  <si>
    <t>5.6追踪间隔</t>
  </si>
  <si>
    <t>4.29 8日出单情况</t>
  </si>
  <si>
    <t>5.6 8日出单情况</t>
  </si>
  <si>
    <t>4.29 7日频次标签</t>
  </si>
  <si>
    <t>5.6 7日频次标签</t>
  </si>
  <si>
    <t>4.29 7日新品频次标签</t>
  </si>
  <si>
    <t>5.6 7日新品频次标签</t>
  </si>
  <si>
    <t>4.29市场状态</t>
  </si>
  <si>
    <t>4.30-5.6操作判断</t>
  </si>
  <si>
    <t>5.6市场状态</t>
  </si>
  <si>
    <t>4.23-4.29开启PLP</t>
  </si>
  <si>
    <t>4.30-5.6开启PLP</t>
  </si>
  <si>
    <t>4.23-4.29PLG最高费率</t>
  </si>
  <si>
    <t>4.30-5.6PLG最高费率</t>
  </si>
  <si>
    <t>LYAP-X1800-1</t>
  </si>
  <si>
    <t>Y</t>
  </si>
  <si>
    <t>异常</t>
  </si>
  <si>
    <t>正常</t>
  </si>
  <si>
    <t>链接优化</t>
  </si>
  <si>
    <t>N</t>
  </si>
  <si>
    <t>LYAP-X1877</t>
  </si>
  <si>
    <t>广告-PLG</t>
  </si>
  <si>
    <t>LYAP-X2308</t>
  </si>
  <si>
    <t>LYAP-X1800S-1L</t>
  </si>
  <si>
    <t>LYAP-X1800S-1R</t>
  </si>
  <si>
    <t>LYAP-X1911-BK</t>
  </si>
  <si>
    <t>无调整</t>
  </si>
  <si>
    <t>LYAP-X1911-C</t>
  </si>
  <si>
    <t>LYAP-X1927</t>
  </si>
  <si>
    <t>LYAP-X1934</t>
  </si>
  <si>
    <t>MD-001-FL</t>
  </si>
  <si>
    <t>LYAP-X2144-1L</t>
  </si>
  <si>
    <t>市场无出单</t>
  </si>
  <si>
    <t>LYAP-X2144-1R</t>
  </si>
  <si>
    <t>LYAP-X2085</t>
  </si>
  <si>
    <t>广告-PLP</t>
  </si>
  <si>
    <t>LYAP-X1788-BN</t>
  </si>
  <si>
    <t>LYAM-X2428-BK</t>
  </si>
  <si>
    <t>LYAP-X2504</t>
  </si>
  <si>
    <t>LYAM-X2450-SL</t>
  </si>
  <si>
    <t>未分析</t>
  </si>
  <si>
    <t>LYAP-X2042-FL</t>
  </si>
  <si>
    <t>4.30-5.6总数据</t>
  </si>
  <si>
    <t>周期</t>
  </si>
  <si>
    <t>广告活动数量</t>
  </si>
  <si>
    <t>广告链接数量</t>
  </si>
  <si>
    <t>广告曝光量</t>
  </si>
  <si>
    <t>广告点击量</t>
  </si>
  <si>
    <t>广告售出数</t>
  </si>
  <si>
    <t>广告花费</t>
  </si>
  <si>
    <t>广告销售额</t>
  </si>
  <si>
    <t>总销售额</t>
  </si>
  <si>
    <t>ROAS</t>
  </si>
  <si>
    <t>CVR</t>
  </si>
  <si>
    <t>CTR</t>
  </si>
  <si>
    <t>CPC</t>
  </si>
  <si>
    <t>CPA</t>
  </si>
  <si>
    <t>ACOS</t>
  </si>
  <si>
    <t>ACOAS</t>
  </si>
  <si>
    <t>4.30-5.6</t>
  </si>
  <si>
    <t>上周数据</t>
  </si>
  <si>
    <t>分析人维度</t>
  </si>
  <si>
    <t>分析人</t>
  </si>
  <si>
    <t>品线维度</t>
  </si>
  <si>
    <t>拓展类型维度</t>
  </si>
  <si>
    <t>新品PLG维度明细 - 4.30-5.6</t>
  </si>
  <si>
    <t>● 橙色高亮：PLG开启（PLP=Y且PLG费率&gt;0%）</t>
  </si>
  <si>
    <t>● 粉红高亮：PLP=N且首次出单=未出单</t>
  </si>
  <si>
    <t>● 绿色高亮：PLP=N且PLG费率&gt;0%</t>
  </si>
  <si>
    <t>上架日期</t>
  </si>
  <si>
    <t>5.6 8日出单</t>
  </si>
  <si>
    <t>4.30-5.6销售额</t>
  </si>
  <si>
    <t>PLG最高费率</t>
  </si>
  <si>
    <t>LYAP-X1658</t>
  </si>
  <si>
    <t>2026-03-04</t>
  </si>
  <si>
    <t>2026-03-12</t>
  </si>
  <si>
    <t>100.0%</t>
  </si>
  <si>
    <t>无异常</t>
  </si>
  <si>
    <t>2.0%</t>
  </si>
  <si>
    <t>LYAP-X1658L</t>
  </si>
  <si>
    <t>LYAP-X1658R</t>
  </si>
  <si>
    <t>2026-03-08</t>
  </si>
  <si>
    <t>12.5%</t>
  </si>
  <si>
    <t>5.0%</t>
  </si>
  <si>
    <t>0.0%</t>
  </si>
  <si>
    <t>LYAP-X2528</t>
  </si>
  <si>
    <t>0%</t>
  </si>
  <si>
    <t>LYAM-X2254-L</t>
  </si>
  <si>
    <t>2026-03-19</t>
  </si>
  <si>
    <t>58.3%</t>
  </si>
  <si>
    <t>LYAM-X2980-BK</t>
  </si>
  <si>
    <t>2026-03-11</t>
  </si>
  <si>
    <t>LYAM-X2980-GR</t>
  </si>
  <si>
    <t>2026-03-31</t>
  </si>
  <si>
    <t>2026-03-10</t>
  </si>
  <si>
    <t>75.0%</t>
  </si>
  <si>
    <t>LYAP-X2527</t>
  </si>
  <si>
    <t>2026-03-05</t>
  </si>
  <si>
    <t>35.5%</t>
  </si>
  <si>
    <t>2026-03-13</t>
  </si>
  <si>
    <t>25.0%</t>
  </si>
  <si>
    <t>4.0%</t>
  </si>
  <si>
    <t>LYAM-X2896</t>
  </si>
  <si>
    <t>2026-03-24</t>
  </si>
  <si>
    <t>LYAP-X2170</t>
  </si>
  <si>
    <t>LYAP-X2190-L</t>
  </si>
  <si>
    <t>2026-03-20</t>
  </si>
  <si>
    <t>LYAP-X2190-R</t>
  </si>
  <si>
    <t>2026-03-25</t>
  </si>
  <si>
    <t>50.0%</t>
  </si>
  <si>
    <t>LYAP-X1642-GR</t>
  </si>
  <si>
    <t>2026-03-14</t>
  </si>
  <si>
    <t>2026-03-18</t>
  </si>
  <si>
    <t>66.7%</t>
  </si>
  <si>
    <t>34.6%</t>
  </si>
  <si>
    <t>2026-03-23</t>
  </si>
  <si>
    <t>16.7%</t>
  </si>
  <si>
    <t>LYAP-X2148-1L</t>
  </si>
  <si>
    <t>2026-03-15</t>
  </si>
  <si>
    <t>LYAP-X2148-1R</t>
  </si>
  <si>
    <t>LYAP-X2289</t>
  </si>
  <si>
    <t>LYAP-X2418</t>
  </si>
  <si>
    <t>2026-03-16</t>
  </si>
  <si>
    <t>MD-002-FL</t>
  </si>
  <si>
    <t>MD-002-FR</t>
  </si>
  <si>
    <t>33.3%</t>
  </si>
  <si>
    <t>MD-002-RL</t>
  </si>
  <si>
    <t>2026-03-21</t>
  </si>
  <si>
    <t>MD-002-RR</t>
  </si>
  <si>
    <t>LYAM-X2862</t>
  </si>
  <si>
    <t>LYAP-X1651-1L</t>
  </si>
  <si>
    <t>2026-03-17</t>
  </si>
  <si>
    <t>LYAP-X1651-1R</t>
  </si>
  <si>
    <t>LYAP-X1676</t>
  </si>
  <si>
    <t>2026-03-22</t>
  </si>
  <si>
    <t>LYAP-X2417</t>
  </si>
  <si>
    <t>2026-04-19</t>
  </si>
  <si>
    <t>40.0%</t>
  </si>
  <si>
    <t>LYAP-X1788-GR</t>
  </si>
  <si>
    <t>2026-04-08</t>
  </si>
  <si>
    <t>LYAP-X1808</t>
  </si>
  <si>
    <t>LYAP-X1879</t>
  </si>
  <si>
    <t>LYAP-X2429</t>
  </si>
  <si>
    <t>2026-04-04</t>
  </si>
  <si>
    <t>LYAP-X2523</t>
  </si>
  <si>
    <t>LYAP-X2530</t>
  </si>
  <si>
    <t>MD-001-FR</t>
  </si>
  <si>
    <t>MD-001-RL</t>
  </si>
  <si>
    <t>MD-001-RR</t>
  </si>
  <si>
    <t>LYAP-X2144-1</t>
  </si>
  <si>
    <t>2026-04-07</t>
  </si>
  <si>
    <t>LYAP-X1665-1</t>
  </si>
  <si>
    <t>降价测试-市场无对手</t>
  </si>
  <si>
    <t>LYAP-X1872</t>
  </si>
  <si>
    <t>2026-04-22</t>
  </si>
  <si>
    <t>LYAP-X1878</t>
  </si>
  <si>
    <t>80.0%</t>
  </si>
  <si>
    <t>LYAP-X2130-1</t>
  </si>
  <si>
    <t>2026-04-06</t>
  </si>
  <si>
    <t>LYAP-X2130-2</t>
  </si>
  <si>
    <t>2026-04-02</t>
  </si>
  <si>
    <t>LYAP-X2309</t>
  </si>
  <si>
    <t>LYAP-X2313</t>
  </si>
  <si>
    <t>2026-03-27</t>
  </si>
  <si>
    <t>LYAP-X2077</t>
  </si>
  <si>
    <t>2026-04-13</t>
  </si>
  <si>
    <t>2.5%</t>
  </si>
  <si>
    <t>LYAP-838</t>
  </si>
  <si>
    <t>LYAP-X1665-2L</t>
  </si>
  <si>
    <t>2026-03-30</t>
  </si>
  <si>
    <t>LYAP-X1665-2R</t>
  </si>
  <si>
    <t>2026-04-11</t>
  </si>
  <si>
    <t>3.0%</t>
  </si>
  <si>
    <t>LYAP-X2215</t>
  </si>
  <si>
    <t>2026-04-03</t>
  </si>
  <si>
    <t>LYAP-X2310</t>
  </si>
  <si>
    <t>LYAP-X2317</t>
  </si>
  <si>
    <t>LYAP-X1665-1L</t>
  </si>
  <si>
    <t>LYAP-X1665-1R</t>
  </si>
  <si>
    <t>2026-04-29</t>
  </si>
  <si>
    <t>LYAP-X1929</t>
  </si>
  <si>
    <t>82.6%</t>
  </si>
  <si>
    <t>2026-04-12</t>
  </si>
  <si>
    <t>62.5%</t>
  </si>
  <si>
    <t>2026-04-10</t>
  </si>
  <si>
    <t>2026-04-14</t>
  </si>
  <si>
    <t>60.0%</t>
  </si>
  <si>
    <t>LYAM-X2804</t>
  </si>
  <si>
    <t>2026-04-23</t>
  </si>
  <si>
    <t>2026-04-27</t>
  </si>
  <si>
    <t>LYAP-X1963</t>
  </si>
  <si>
    <t>LYAM-X2818</t>
  </si>
  <si>
    <t>LYAM-X2428-C</t>
  </si>
  <si>
    <t>LYAP-X2307</t>
  </si>
  <si>
    <t>LYAP-X2314</t>
  </si>
  <si>
    <t>2026-04-28</t>
  </si>
  <si>
    <t>LYAP-X2319</t>
  </si>
  <si>
    <t>LYAP-X2320</t>
  </si>
  <si>
    <t>2026-05-02</t>
  </si>
  <si>
    <t>LYAP-X2324</t>
  </si>
  <si>
    <t>2026-04-30</t>
  </si>
  <si>
    <t>LYAM-X2895</t>
  </si>
  <si>
    <t>LYAP-X2210-C</t>
  </si>
  <si>
    <t>LYAM-X2439</t>
  </si>
  <si>
    <t>LYAM-X2443</t>
  </si>
  <si>
    <t>2026-05-01</t>
  </si>
  <si>
    <t>20.0%</t>
  </si>
  <si>
    <t>LYAP-X1909</t>
  </si>
  <si>
    <t>2026-05-08</t>
  </si>
  <si>
    <t>LYAP-X2042-FR</t>
  </si>
  <si>
    <t>2026-05-03</t>
  </si>
  <si>
    <t>LYAP-X2317-L</t>
  </si>
  <si>
    <t>2026-05-05</t>
  </si>
  <si>
    <t>LYAP-X2317-R</t>
  </si>
  <si>
    <t>LYAP-X2318</t>
  </si>
  <si>
    <t>LYAP-X2385</t>
  </si>
  <si>
    <t>LYAP-X2428-3</t>
  </si>
  <si>
    <t>LYAP-X2428-2</t>
  </si>
  <si>
    <t>LYAP-X2428-1</t>
  </si>
  <si>
    <t>LYAP-X1360-1L</t>
  </si>
  <si>
    <t>LYAP-X2316</t>
  </si>
  <si>
    <t>LYAP-X2310-R</t>
  </si>
  <si>
    <t>LYAP-X2310-L</t>
  </si>
  <si>
    <t>LYAP-X2412</t>
  </si>
  <si>
    <t>2026-05-04</t>
  </si>
  <si>
    <t>10.0%</t>
  </si>
  <si>
    <t>LYAM-X2452-SL</t>
  </si>
  <si>
    <t>LYAM-X2460</t>
  </si>
  <si>
    <t>LYAP-X1966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</si>
</sst>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26" formatCode="\$#,##0.00_);[Red]\(\$#,##0.00\)"/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\$#,##0.00;\-\$#,##0.00"/>
    <numFmt numFmtId="179" formatCode="0.00_);[Red]\(0.00\)"/>
    <numFmt numFmtId="180" formatCode="&quot;$&quot;#,##0.00"/>
    <numFmt numFmtId="181" formatCode="0_ ;[Red]\-0\ "/>
    <numFmt numFmtId="182" formatCode="0.00_ ;[Red]\-0.00\ "/>
    <numFmt numFmtId="183" formatCode="yyyy/m/d;@"/>
    <numFmt numFmtId="184" formatCode="\$#,##0.00;[Red]\$\-#,##0.00"/>
    <numFmt numFmtId="185" formatCode="0_);[Red]\(0\)"/>
  </numFmts>
  <fonts count="40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9"/>
      <name val="微软雅黑"/>
      <charset val="134"/>
    </font>
    <font>
      <b/>
      <sz val="16"/>
      <color theme="1"/>
      <name val="Microsoft YaHei"/>
      <charset val="134"/>
    </font>
    <font>
      <b/>
      <sz val="11"/>
      <color rgb="FF000000"/>
      <name val="Microsoft YaHei"/>
      <charset val="134"/>
    </font>
    <font>
      <b/>
      <sz val="11"/>
      <color theme="1"/>
      <name val="Microsoft YaHei"/>
      <charset val="134"/>
    </font>
    <font>
      <b/>
      <sz val="10"/>
      <color rgb="FF000000"/>
      <name val="Microsoft YaHei"/>
      <charset val="134"/>
    </font>
    <font>
      <b/>
      <sz val="10"/>
      <color theme="1"/>
      <name val="Microsoft YaHei"/>
      <charset val="134"/>
    </font>
    <font>
      <sz val="10"/>
      <color theme="1"/>
      <name val="Microsoft YaHei"/>
      <charset val="134"/>
    </font>
    <font>
      <sz val="10"/>
      <color rgb="FF000000"/>
      <name val="Microsoft YaHei"/>
      <charset val="134"/>
    </font>
    <font>
      <sz val="11"/>
      <color theme="1"/>
      <name val="Microsoft YaHei UI"/>
      <charset val="134"/>
    </font>
    <font>
      <sz val="11"/>
      <name val="Microsoft YaHei UI"/>
      <charset val="134"/>
    </font>
    <font>
      <sz val="11"/>
      <color rgb="FF00B0F0"/>
      <name val="Microsoft YaHei UI"/>
      <charset val="134"/>
    </font>
    <font>
      <sz val="10"/>
      <color rgb="FFFF0000"/>
      <name val="Microsoft YaHei UI"/>
      <charset val="134"/>
    </font>
    <font>
      <sz val="11"/>
      <color rgb="FFFF0000"/>
      <name val="Microsoft YaHei UI"/>
      <charset val="134"/>
    </font>
    <font>
      <b/>
      <sz val="10"/>
      <name val="Microsoft YaHei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b/>
      <sz val="12"/>
      <color rgb="FFFF0000"/>
      <name val="微软雅黑"/>
      <charset val="134"/>
    </font>
    <font>
      <b/>
      <sz val="11"/>
      <color theme="1"/>
      <name val="微软雅黑"/>
      <charset val="134"/>
    </font>
    <font>
      <sz val="12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4B2E83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E7508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B5EA7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84CCD3"/>
        <bgColor indexed="64"/>
      </patternFill>
    </fill>
    <fill>
      <patternFill patternType="solid">
        <fgColor rgb="FFE5E3BE"/>
        <bgColor indexed="64"/>
      </patternFill>
    </fill>
    <fill>
      <patternFill patternType="solid">
        <fgColor rgb="FFAD81D5"/>
        <bgColor indexed="64"/>
      </patternFill>
    </fill>
    <fill>
      <patternFill patternType="solid">
        <fgColor rgb="FFF618DF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6" borderId="19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7" borderId="22" applyNumberFormat="0" applyAlignment="0" applyProtection="0">
      <alignment vertical="center"/>
    </xf>
    <xf numFmtId="0" fontId="30" fillId="28" borderId="23" applyNumberFormat="0" applyAlignment="0" applyProtection="0">
      <alignment vertical="center"/>
    </xf>
    <xf numFmtId="0" fontId="31" fillId="28" borderId="22" applyNumberFormat="0" applyAlignment="0" applyProtection="0">
      <alignment vertical="center"/>
    </xf>
    <xf numFmtId="0" fontId="32" fillId="29" borderId="24" applyNumberFormat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34" fillId="0" borderId="26" applyNumberFormat="0" applyFill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</cellStyleXfs>
  <cellXfs count="18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0" fontId="0" fillId="0" borderId="3" xfId="0" applyBorder="1">
      <alignment vertical="center"/>
    </xf>
    <xf numFmtId="10" fontId="0" fillId="0" borderId="0" xfId="0" applyNumberFormat="1" applyBorder="1">
      <alignment vertical="center"/>
    </xf>
    <xf numFmtId="0" fontId="1" fillId="2" borderId="0" xfId="0" applyFont="1" applyFill="1" applyAlignment="1">
      <alignment horizontal="left" vertical="center" wrapText="1"/>
    </xf>
    <xf numFmtId="0" fontId="0" fillId="0" borderId="0" xfId="0" applyFont="1" applyFill="1" applyAlignment="1"/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0" fillId="4" borderId="0" xfId="0" applyFont="1" applyFill="1" applyAlignment="1"/>
    <xf numFmtId="0" fontId="2" fillId="5" borderId="0" xfId="0" applyFont="1" applyFill="1" applyAlignment="1">
      <alignment horizontal="center" vertical="center"/>
    </xf>
    <xf numFmtId="0" fontId="1" fillId="6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26" fontId="4" fillId="0" borderId="0" xfId="0" applyNumberFormat="1" applyFont="1" applyBorder="1" applyAlignment="1">
      <alignment horizontal="center" vertical="center" wrapText="1"/>
    </xf>
    <xf numFmtId="178" fontId="4" fillId="0" borderId="0" xfId="0" applyNumberFormat="1" applyFont="1" applyBorder="1" applyAlignment="1">
      <alignment horizontal="center" vertical="center" wrapText="1"/>
    </xf>
    <xf numFmtId="10" fontId="4" fillId="0" borderId="0" xfId="0" applyNumberFormat="1" applyFont="1" applyBorder="1" applyAlignment="1">
      <alignment horizontal="center" vertical="center" wrapText="1"/>
    </xf>
    <xf numFmtId="179" fontId="4" fillId="0" borderId="0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6" fillId="7" borderId="0" xfId="0" applyFont="1" applyFill="1" applyBorder="1" applyAlignment="1">
      <alignment horizontal="center" vertical="center" wrapText="1"/>
    </xf>
    <xf numFmtId="180" fontId="7" fillId="7" borderId="0" xfId="0" applyNumberFormat="1" applyFont="1" applyFill="1" applyBorder="1" applyAlignment="1">
      <alignment horizontal="center" vertical="center" wrapText="1"/>
    </xf>
    <xf numFmtId="179" fontId="8" fillId="8" borderId="0" xfId="0" applyNumberFormat="1" applyFont="1" applyFill="1" applyBorder="1" applyAlignment="1">
      <alignment horizontal="center" vertical="center" wrapText="1"/>
    </xf>
    <xf numFmtId="10" fontId="8" fillId="8" borderId="0" xfId="0" applyNumberFormat="1" applyFont="1" applyFill="1" applyBorder="1" applyAlignment="1">
      <alignment horizontal="center" vertical="center" wrapText="1"/>
    </xf>
    <xf numFmtId="10" fontId="8" fillId="8" borderId="3" xfId="0" applyNumberFormat="1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 wrapText="1"/>
    </xf>
    <xf numFmtId="0" fontId="6" fillId="9" borderId="0" xfId="0" applyFont="1" applyFill="1" applyBorder="1" applyAlignment="1">
      <alignment horizontal="center" vertical="center" wrapText="1"/>
    </xf>
    <xf numFmtId="180" fontId="9" fillId="9" borderId="0" xfId="0" applyNumberFormat="1" applyFont="1" applyFill="1" applyBorder="1" applyAlignment="1">
      <alignment horizontal="center" vertical="center" wrapText="1"/>
    </xf>
    <xf numFmtId="179" fontId="9" fillId="9" borderId="0" xfId="0" applyNumberFormat="1" applyFont="1" applyFill="1" applyBorder="1" applyAlignment="1">
      <alignment horizontal="center" vertical="center" wrapText="1"/>
    </xf>
    <xf numFmtId="10" fontId="9" fillId="9" borderId="0" xfId="0" applyNumberFormat="1" applyFont="1" applyFill="1" applyBorder="1" applyAlignment="1">
      <alignment horizontal="center" vertical="center" wrapText="1"/>
    </xf>
    <xf numFmtId="10" fontId="9" fillId="9" borderId="3" xfId="0" applyNumberFormat="1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181" fontId="10" fillId="0" borderId="10" xfId="0" applyNumberFormat="1" applyFont="1" applyBorder="1" applyAlignment="1">
      <alignment horizontal="center" vertical="center" wrapText="1"/>
    </xf>
    <xf numFmtId="181" fontId="11" fillId="0" borderId="10" xfId="0" applyNumberFormat="1" applyFont="1" applyBorder="1" applyAlignment="1">
      <alignment horizontal="center" vertical="center" wrapText="1"/>
    </xf>
    <xf numFmtId="181" fontId="12" fillId="0" borderId="10" xfId="0" applyNumberFormat="1" applyFont="1" applyBorder="1" applyAlignment="1">
      <alignment horizontal="center" vertical="center" wrapText="1"/>
    </xf>
    <xf numFmtId="180" fontId="13" fillId="0" borderId="10" xfId="0" applyNumberFormat="1" applyFont="1" applyFill="1" applyBorder="1" applyAlignment="1">
      <alignment horizontal="center" vertical="center" wrapText="1"/>
    </xf>
    <xf numFmtId="182" fontId="10" fillId="0" borderId="10" xfId="0" applyNumberFormat="1" applyFont="1" applyBorder="1" applyAlignment="1">
      <alignment horizontal="center" vertical="center" wrapText="1"/>
    </xf>
    <xf numFmtId="10" fontId="14" fillId="0" borderId="10" xfId="0" applyNumberFormat="1" applyFont="1" applyBorder="1" applyAlignment="1">
      <alignment horizontal="center" vertical="center" wrapText="1"/>
    </xf>
    <xf numFmtId="182" fontId="14" fillId="0" borderId="10" xfId="0" applyNumberFormat="1" applyFont="1" applyBorder="1" applyAlignment="1">
      <alignment horizontal="center" vertical="center" wrapText="1"/>
    </xf>
    <xf numFmtId="10" fontId="14" fillId="0" borderId="11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26" fontId="4" fillId="0" borderId="0" xfId="0" applyNumberFormat="1" applyFont="1" applyFill="1" applyBorder="1" applyAlignment="1">
      <alignment horizontal="center" vertical="center" wrapText="1"/>
    </xf>
    <xf numFmtId="178" fontId="4" fillId="0" borderId="0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Alignment="1">
      <alignment horizontal="center" vertical="center" wrapText="1"/>
    </xf>
    <xf numFmtId="179" fontId="4" fillId="0" borderId="0" xfId="0" applyNumberFormat="1" applyFont="1" applyFill="1" applyBorder="1" applyAlignment="1">
      <alignment horizontal="center" vertical="center" wrapText="1"/>
    </xf>
    <xf numFmtId="10" fontId="4" fillId="0" borderId="3" xfId="0" applyNumberFormat="1" applyFont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26" fontId="7" fillId="0" borderId="0" xfId="0" applyNumberFormat="1" applyFont="1" applyFill="1" applyBorder="1" applyAlignment="1">
      <alignment horizontal="center" vertical="center" wrapText="1"/>
    </xf>
    <xf numFmtId="179" fontId="8" fillId="0" borderId="0" xfId="0" applyNumberFormat="1" applyFont="1" applyFill="1" applyBorder="1" applyAlignment="1">
      <alignment horizontal="center" vertical="center" wrapText="1"/>
    </xf>
    <xf numFmtId="10" fontId="8" fillId="0" borderId="0" xfId="0" applyNumberFormat="1" applyFont="1" applyFill="1" applyBorder="1" applyAlignment="1">
      <alignment horizontal="center" vertical="center" wrapText="1"/>
    </xf>
    <xf numFmtId="10" fontId="8" fillId="10" borderId="0" xfId="0" applyNumberFormat="1" applyFont="1" applyFill="1" applyBorder="1" applyAlignment="1">
      <alignment horizontal="center" vertical="center" wrapText="1"/>
    </xf>
    <xf numFmtId="10" fontId="8" fillId="0" borderId="3" xfId="0" applyNumberFormat="1" applyFont="1" applyFill="1" applyBorder="1" applyAlignment="1">
      <alignment horizontal="center" vertical="center" wrapText="1"/>
    </xf>
    <xf numFmtId="0" fontId="7" fillId="10" borderId="0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15" fillId="11" borderId="0" xfId="0" applyFont="1" applyFill="1" applyBorder="1" applyAlignment="1">
      <alignment horizontal="center" vertical="center" wrapText="1"/>
    </xf>
    <xf numFmtId="26" fontId="7" fillId="11" borderId="0" xfId="0" applyNumberFormat="1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26" fontId="7" fillId="0" borderId="12" xfId="0" applyNumberFormat="1" applyFont="1" applyFill="1" applyBorder="1" applyAlignment="1">
      <alignment horizontal="center" vertical="center" wrapText="1"/>
    </xf>
    <xf numFmtId="26" fontId="7" fillId="0" borderId="10" xfId="0" applyNumberFormat="1" applyFont="1" applyFill="1" applyBorder="1" applyAlignment="1">
      <alignment horizontal="center" vertical="center" wrapText="1"/>
    </xf>
    <xf numFmtId="179" fontId="8" fillId="0" borderId="10" xfId="0" applyNumberFormat="1" applyFont="1" applyFill="1" applyBorder="1" applyAlignment="1">
      <alignment horizontal="center" vertical="center" wrapText="1"/>
    </xf>
    <xf numFmtId="10" fontId="8" fillId="0" borderId="10" xfId="0" applyNumberFormat="1" applyFont="1" applyFill="1" applyBorder="1" applyAlignment="1">
      <alignment horizontal="center" vertical="center" wrapText="1"/>
    </xf>
    <xf numFmtId="10" fontId="8" fillId="0" borderId="11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10" fontId="8" fillId="10" borderId="3" xfId="0" applyNumberFormat="1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183" fontId="9" fillId="0" borderId="9" xfId="0" applyNumberFormat="1" applyFont="1" applyFill="1" applyBorder="1" applyAlignment="1">
      <alignment horizontal="center" vertical="center" wrapText="1"/>
    </xf>
    <xf numFmtId="0" fontId="0" fillId="12" borderId="0" xfId="0" applyFill="1">
      <alignment vertical="center"/>
    </xf>
    <xf numFmtId="10" fontId="0" fillId="0" borderId="0" xfId="0" applyNumberFormat="1" applyBorder="1" applyAlignment="1">
      <alignment horizontal="right" vertical="center"/>
    </xf>
    <xf numFmtId="0" fontId="0" fillId="0" borderId="0" xfId="0" applyNumberFormat="1" applyBorder="1">
      <alignment vertical="center"/>
    </xf>
    <xf numFmtId="0" fontId="0" fillId="0" borderId="3" xfId="0" applyNumberFormat="1" applyBorder="1">
      <alignment vertical="center"/>
    </xf>
    <xf numFmtId="0" fontId="4" fillId="13" borderId="1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4" fillId="13" borderId="13" xfId="0" applyFont="1" applyFill="1" applyBorder="1" applyAlignment="1">
      <alignment horizontal="center" vertical="center" wrapText="1"/>
    </xf>
    <xf numFmtId="0" fontId="4" fillId="13" borderId="0" xfId="0" applyFont="1" applyFill="1" applyBorder="1" applyAlignment="1">
      <alignment horizontal="center" vertical="center" wrapText="1"/>
    </xf>
    <xf numFmtId="0" fontId="4" fillId="14" borderId="0" xfId="0" applyFont="1" applyFill="1" applyBorder="1" applyAlignment="1">
      <alignment horizontal="center" vertical="center" wrapText="1"/>
    </xf>
    <xf numFmtId="0" fontId="4" fillId="15" borderId="0" xfId="0" applyFont="1" applyFill="1" applyBorder="1" applyAlignment="1">
      <alignment horizontal="center" vertical="center" wrapText="1"/>
    </xf>
    <xf numFmtId="10" fontId="4" fillId="16" borderId="0" xfId="0" applyNumberFormat="1" applyFont="1" applyFill="1" applyBorder="1" applyAlignment="1">
      <alignment horizontal="center" vertical="center" wrapText="1"/>
    </xf>
    <xf numFmtId="0" fontId="4" fillId="17" borderId="0" xfId="0" applyNumberFormat="1" applyFont="1" applyFill="1" applyBorder="1" applyAlignment="1">
      <alignment horizontal="center" vertical="center" wrapText="1"/>
    </xf>
    <xf numFmtId="0" fontId="4" fillId="17" borderId="3" xfId="0" applyNumberFormat="1" applyFont="1" applyFill="1" applyBorder="1" applyAlignment="1">
      <alignment horizontal="center" vertical="center" wrapText="1"/>
    </xf>
    <xf numFmtId="0" fontId="4" fillId="7" borderId="0" xfId="0" applyFont="1" applyFill="1" applyBorder="1" applyAlignment="1">
      <alignment horizontal="center" vertical="center" wrapText="1"/>
    </xf>
    <xf numFmtId="0" fontId="4" fillId="18" borderId="0" xfId="0" applyFont="1" applyFill="1" applyBorder="1" applyAlignment="1">
      <alignment horizontal="center" vertical="center" wrapText="1"/>
    </xf>
    <xf numFmtId="0" fontId="4" fillId="18" borderId="3" xfId="0" applyFont="1" applyFill="1" applyBorder="1" applyAlignment="1">
      <alignment horizontal="center" vertical="center" wrapText="1"/>
    </xf>
    <xf numFmtId="0" fontId="4" fillId="19" borderId="0" xfId="0" applyFont="1" applyFill="1" applyBorder="1" applyAlignment="1">
      <alignment horizontal="center" vertical="center" wrapText="1"/>
    </xf>
    <xf numFmtId="0" fontId="5" fillId="20" borderId="0" xfId="0" applyFont="1" applyFill="1" applyBorder="1" applyAlignment="1">
      <alignment horizontal="center" vertical="center" wrapText="1"/>
    </xf>
    <xf numFmtId="0" fontId="5" fillId="21" borderId="0" xfId="0" applyFont="1" applyFill="1" applyBorder="1" applyAlignment="1">
      <alignment horizontal="center" vertical="center" wrapText="1"/>
    </xf>
    <xf numFmtId="0" fontId="5" fillId="22" borderId="0" xfId="0" applyFont="1" applyFill="1" applyBorder="1" applyAlignment="1">
      <alignment horizontal="center" vertical="center" wrapText="1"/>
    </xf>
    <xf numFmtId="0" fontId="5" fillId="22" borderId="3" xfId="0" applyFont="1" applyFill="1" applyBorder="1" applyAlignment="1">
      <alignment horizontal="center" vertical="center" wrapText="1"/>
    </xf>
    <xf numFmtId="10" fontId="5" fillId="23" borderId="0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83" fontId="9" fillId="0" borderId="2" xfId="0" applyNumberFormat="1" applyFont="1" applyBorder="1" applyAlignment="1">
      <alignment horizontal="center" vertical="center" wrapText="1"/>
    </xf>
    <xf numFmtId="183" fontId="9" fillId="0" borderId="14" xfId="0" applyNumberFormat="1" applyFont="1" applyBorder="1" applyAlignment="1">
      <alignment horizontal="center" vertical="center" wrapText="1"/>
    </xf>
    <xf numFmtId="183" fontId="9" fillId="0" borderId="13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181" fontId="8" fillId="0" borderId="0" xfId="0" applyNumberFormat="1" applyFont="1" applyBorder="1" applyAlignment="1">
      <alignment horizontal="center" vertical="center" wrapText="1"/>
    </xf>
    <xf numFmtId="10" fontId="8" fillId="0" borderId="0" xfId="0" applyNumberFormat="1" applyFont="1" applyBorder="1" applyAlignment="1">
      <alignment horizontal="center" vertical="center" wrapText="1"/>
    </xf>
    <xf numFmtId="0" fontId="8" fillId="0" borderId="0" xfId="0" applyNumberFormat="1" applyFont="1" applyBorder="1" applyAlignment="1">
      <alignment horizontal="center" vertical="center" wrapText="1"/>
    </xf>
    <xf numFmtId="0" fontId="8" fillId="0" borderId="3" xfId="0" applyNumberFormat="1" applyFont="1" applyBorder="1" applyAlignment="1">
      <alignment horizontal="center" vertical="center" wrapText="1"/>
    </xf>
    <xf numFmtId="184" fontId="8" fillId="0" borderId="0" xfId="0" applyNumberFormat="1" applyFont="1" applyBorder="1" applyAlignment="1">
      <alignment horizontal="center" vertical="center" wrapText="1"/>
    </xf>
    <xf numFmtId="184" fontId="8" fillId="0" borderId="3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183" fontId="9" fillId="0" borderId="0" xfId="0" applyNumberFormat="1" applyFont="1" applyAlignment="1">
      <alignment horizontal="center" vertical="center" wrapText="1"/>
    </xf>
    <xf numFmtId="0" fontId="7" fillId="24" borderId="0" xfId="0" applyFont="1" applyFill="1" applyBorder="1" applyAlignment="1">
      <alignment horizontal="center" vertical="center" wrapText="1"/>
    </xf>
    <xf numFmtId="0" fontId="9" fillId="12" borderId="8" xfId="0" applyFont="1" applyFill="1" applyBorder="1" applyAlignment="1">
      <alignment horizontal="center" vertical="center" wrapText="1"/>
    </xf>
    <xf numFmtId="0" fontId="9" fillId="12" borderId="15" xfId="0" applyFont="1" applyFill="1" applyBorder="1" applyAlignment="1">
      <alignment horizontal="center" vertical="center" wrapText="1"/>
    </xf>
    <xf numFmtId="183" fontId="9" fillId="12" borderId="0" xfId="0" applyNumberFormat="1" applyFont="1" applyFill="1" applyAlignment="1">
      <alignment horizontal="center" vertical="center" wrapText="1"/>
    </xf>
    <xf numFmtId="183" fontId="9" fillId="12" borderId="14" xfId="0" applyNumberFormat="1" applyFont="1" applyFill="1" applyBorder="1" applyAlignment="1">
      <alignment horizontal="center" vertical="center" wrapText="1"/>
    </xf>
    <xf numFmtId="183" fontId="9" fillId="12" borderId="13" xfId="0" applyNumberFormat="1" applyFont="1" applyFill="1" applyBorder="1" applyAlignment="1">
      <alignment horizontal="center" vertical="center" wrapText="1"/>
    </xf>
    <xf numFmtId="0" fontId="8" fillId="12" borderId="0" xfId="0" applyFont="1" applyFill="1" applyBorder="1" applyAlignment="1">
      <alignment horizontal="center" vertical="center" wrapText="1"/>
    </xf>
    <xf numFmtId="181" fontId="8" fillId="12" borderId="0" xfId="0" applyNumberFormat="1" applyFont="1" applyFill="1" applyBorder="1" applyAlignment="1">
      <alignment horizontal="center" vertical="center" wrapText="1"/>
    </xf>
    <xf numFmtId="10" fontId="8" fillId="12" borderId="0" xfId="0" applyNumberFormat="1" applyFont="1" applyFill="1" applyBorder="1" applyAlignment="1">
      <alignment horizontal="center" vertical="center" wrapText="1"/>
    </xf>
    <xf numFmtId="0" fontId="8" fillId="12" borderId="0" xfId="0" applyNumberFormat="1" applyFont="1" applyFill="1" applyBorder="1" applyAlignment="1">
      <alignment horizontal="center" vertical="center" wrapText="1"/>
    </xf>
    <xf numFmtId="0" fontId="8" fillId="12" borderId="3" xfId="0" applyNumberFormat="1" applyFont="1" applyFill="1" applyBorder="1" applyAlignment="1">
      <alignment horizontal="center" vertical="center" wrapText="1"/>
    </xf>
    <xf numFmtId="184" fontId="8" fillId="12" borderId="0" xfId="0" applyNumberFormat="1" applyFont="1" applyFill="1" applyBorder="1" applyAlignment="1">
      <alignment horizontal="center" vertical="center" wrapText="1"/>
    </xf>
    <xf numFmtId="184" fontId="7" fillId="12" borderId="0" xfId="0" applyNumberFormat="1" applyFont="1" applyFill="1" applyBorder="1" applyAlignment="1">
      <alignment horizontal="center" vertical="center" wrapText="1"/>
    </xf>
    <xf numFmtId="184" fontId="8" fillId="12" borderId="3" xfId="0" applyNumberFormat="1" applyFont="1" applyFill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 wrapText="1"/>
    </xf>
    <xf numFmtId="183" fontId="6" fillId="11" borderId="14" xfId="0" applyNumberFormat="1" applyFont="1" applyFill="1" applyBorder="1" applyAlignment="1">
      <alignment horizontal="center" vertical="center" wrapText="1"/>
    </xf>
    <xf numFmtId="184" fontId="8" fillId="0" borderId="0" xfId="0" applyNumberFormat="1" applyFont="1" applyFill="1" applyBorder="1" applyAlignment="1">
      <alignment horizontal="center" vertical="center" wrapText="1"/>
    </xf>
    <xf numFmtId="0" fontId="0" fillId="0" borderId="2" xfId="0" applyNumberFormat="1" applyBorder="1">
      <alignment vertical="center"/>
    </xf>
    <xf numFmtId="0" fontId="0" fillId="0" borderId="0" xfId="0" applyFill="1">
      <alignment vertical="center"/>
    </xf>
    <xf numFmtId="0" fontId="16" fillId="0" borderId="16" xfId="0" applyFont="1" applyBorder="1" applyAlignment="1">
      <alignment horizontal="center" vertical="center" wrapText="1"/>
    </xf>
    <xf numFmtId="0" fontId="16" fillId="0" borderId="16" xfId="0" applyFont="1" applyFill="1" applyBorder="1" applyAlignment="1">
      <alignment horizontal="center" vertical="center" wrapText="1"/>
    </xf>
    <xf numFmtId="181" fontId="16" fillId="15" borderId="16" xfId="0" applyNumberFormat="1" applyFont="1" applyFill="1" applyBorder="1" applyAlignment="1">
      <alignment horizontal="center" vertical="center" wrapText="1"/>
    </xf>
    <xf numFmtId="181" fontId="16" fillId="15" borderId="17" xfId="0" applyNumberFormat="1" applyFont="1" applyFill="1" applyBorder="1" applyAlignment="1">
      <alignment horizontal="center" vertical="center" wrapText="1"/>
    </xf>
    <xf numFmtId="181" fontId="16" fillId="15" borderId="0" xfId="0" applyNumberFormat="1" applyFont="1" applyFill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16" xfId="0" applyFont="1" applyFill="1" applyBorder="1" applyAlignment="1">
      <alignment horizontal="center" vertical="center" wrapText="1"/>
    </xf>
    <xf numFmtId="181" fontId="17" fillId="0" borderId="16" xfId="0" applyNumberFormat="1" applyFont="1" applyBorder="1" applyAlignment="1">
      <alignment horizontal="center" vertical="center" wrapText="1"/>
    </xf>
    <xf numFmtId="181" fontId="17" fillId="25" borderId="17" xfId="0" applyNumberFormat="1" applyFont="1" applyFill="1" applyBorder="1" applyAlignment="1">
      <alignment horizontal="center" vertical="center" wrapText="1"/>
    </xf>
    <xf numFmtId="181" fontId="17" fillId="0" borderId="16" xfId="0" applyNumberFormat="1" applyFont="1" applyFill="1" applyBorder="1" applyAlignment="1">
      <alignment horizontal="center" vertical="center" wrapText="1"/>
    </xf>
    <xf numFmtId="0" fontId="17" fillId="25" borderId="16" xfId="0" applyFont="1" applyFill="1" applyBorder="1" applyAlignment="1">
      <alignment horizontal="center" vertical="center" wrapText="1"/>
    </xf>
    <xf numFmtId="181" fontId="17" fillId="0" borderId="17" xfId="0" applyNumberFormat="1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181" fontId="0" fillId="0" borderId="0" xfId="0" applyNumberFormat="1">
      <alignment vertical="center"/>
    </xf>
    <xf numFmtId="0" fontId="16" fillId="9" borderId="16" xfId="0" applyFont="1" applyFill="1" applyBorder="1" applyAlignment="1">
      <alignment horizontal="center" vertical="center" wrapText="1"/>
    </xf>
    <xf numFmtId="10" fontId="17" fillId="0" borderId="16" xfId="0" applyNumberFormat="1" applyFont="1" applyBorder="1" applyAlignment="1">
      <alignment horizontal="center" vertical="center" wrapText="1"/>
    </xf>
    <xf numFmtId="10" fontId="17" fillId="16" borderId="16" xfId="0" applyNumberFormat="1" applyFont="1" applyFill="1" applyBorder="1" applyAlignment="1">
      <alignment horizontal="center" vertical="center" wrapText="1"/>
    </xf>
    <xf numFmtId="10" fontId="17" fillId="0" borderId="16" xfId="0" applyNumberFormat="1" applyFont="1" applyFill="1" applyBorder="1" applyAlignment="1">
      <alignment horizontal="center" vertical="center" wrapText="1"/>
    </xf>
    <xf numFmtId="10" fontId="17" fillId="7" borderId="16" xfId="0" applyNumberFormat="1" applyFont="1" applyFill="1" applyBorder="1" applyAlignment="1">
      <alignment horizontal="center" vertical="center" wrapText="1"/>
    </xf>
    <xf numFmtId="0" fontId="16" fillId="22" borderId="16" xfId="0" applyFont="1" applyFill="1" applyBorder="1" applyAlignment="1">
      <alignment horizontal="center" vertical="center" wrapText="1"/>
    </xf>
    <xf numFmtId="0" fontId="19" fillId="15" borderId="16" xfId="0" applyFont="1" applyFill="1" applyBorder="1" applyAlignment="1">
      <alignment horizontal="center" vertical="center"/>
    </xf>
    <xf numFmtId="0" fontId="19" fillId="15" borderId="0" xfId="0" applyFont="1" applyFill="1" applyAlignment="1">
      <alignment horizontal="center" vertical="center"/>
    </xf>
    <xf numFmtId="10" fontId="17" fillId="17" borderId="16" xfId="0" applyNumberFormat="1" applyFont="1" applyFill="1" applyBorder="1" applyAlignment="1">
      <alignment horizontal="center" vertical="center" wrapText="1"/>
    </xf>
    <xf numFmtId="10" fontId="17" fillId="17" borderId="16" xfId="3" applyNumberFormat="1" applyFont="1" applyFill="1" applyBorder="1" applyAlignment="1">
      <alignment horizontal="center" vertical="center"/>
    </xf>
    <xf numFmtId="10" fontId="17" fillId="0" borderId="16" xfId="3" applyNumberFormat="1" applyFont="1" applyBorder="1" applyAlignment="1">
      <alignment horizontal="center" vertical="center"/>
    </xf>
    <xf numFmtId="10" fontId="17" fillId="0" borderId="17" xfId="3" applyNumberFormat="1" applyFont="1" applyBorder="1" applyAlignment="1">
      <alignment horizontal="center" vertical="center"/>
    </xf>
    <xf numFmtId="183" fontId="20" fillId="0" borderId="16" xfId="0" applyNumberFormat="1" applyFont="1" applyFill="1" applyBorder="1" applyAlignment="1">
      <alignment horizontal="center" vertical="center" wrapText="1"/>
    </xf>
    <xf numFmtId="0" fontId="16" fillId="22" borderId="0" xfId="0" applyFont="1" applyFill="1" applyAlignment="1">
      <alignment horizontal="center" vertical="center" wrapText="1"/>
    </xf>
    <xf numFmtId="0" fontId="17" fillId="0" borderId="18" xfId="0" applyNumberFormat="1" applyFont="1" applyBorder="1" applyAlignment="1">
      <alignment horizontal="center" vertical="center" wrapText="1"/>
    </xf>
    <xf numFmtId="0" fontId="17" fillId="0" borderId="16" xfId="0" applyNumberFormat="1" applyFont="1" applyBorder="1" applyAlignment="1">
      <alignment horizontal="center" vertical="center" wrapText="1"/>
    </xf>
    <xf numFmtId="185" fontId="17" fillId="0" borderId="16" xfId="0" applyNumberFormat="1" applyFont="1" applyBorder="1" applyAlignment="1">
      <alignment horizontal="center" vertical="center" wrapText="1"/>
    </xf>
    <xf numFmtId="0" fontId="17" fillId="0" borderId="17" xfId="0" applyNumberFormat="1" applyFont="1" applyBorder="1" applyAlignment="1">
      <alignment horizontal="center" vertical="center" wrapText="1"/>
    </xf>
    <xf numFmtId="185" fontId="17" fillId="25" borderId="16" xfId="0" applyNumberFormat="1" applyFont="1" applyFill="1" applyBorder="1" applyAlignment="1">
      <alignment horizontal="center" vertical="center" wrapText="1"/>
    </xf>
    <xf numFmtId="185" fontId="17" fillId="25" borderId="17" xfId="0" applyNumberFormat="1" applyFont="1" applyFill="1" applyBorder="1" applyAlignment="1">
      <alignment horizontal="center" vertical="center" wrapText="1"/>
    </xf>
    <xf numFmtId="185" fontId="17" fillId="0" borderId="16" xfId="0" applyNumberFormat="1" applyFont="1" applyFill="1" applyBorder="1" applyAlignment="1">
      <alignment horizontal="center" vertical="center" wrapText="1"/>
    </xf>
    <xf numFmtId="0" fontId="17" fillId="0" borderId="16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00E7508C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476" dbFileVersion="0">
    <open main="82" threadCnt="1"/>
    <sheetInfos>
      <sheetInfo cellCmpFml="0" sheetStid="1">
        <open threadCnt="1"/>
      </sheetInfo>
      <sheetInfo cellCmpFml="0" sheetStid="4">
        <open threadCnt="1"/>
      </sheetInfo>
      <sheetInfo cellCmpFml="96" sheetStid="6">
        <open main="1" threadCnt="1"/>
      </sheetInfo>
      <sheetInfo cellCmpFml="96" sheetStid="2">
        <open main="2" threadCnt="1"/>
      </sheetInfo>
      <sheetInfo cellCmpFml="70" sheetStid="3">
        <open main="1" threadCnt="1"/>
      </sheetInfo>
      <sheetInfo cellCmpFml="56" sheetStid="5">
        <open threadCnt="1"/>
      </sheetInfo>
      <sheetInfo cellCmpFml="36" sheetStid="7">
        <open main="2" threadCnt="1"/>
      </sheetInfo>
      <sheetInfo cellCmpFml="122" sheetStid="9">
        <open main="2" threadCnt="1"/>
      </sheetInfo>
      <sheetInfo cellCmpFml="0" sheetStid="10">
        <open main="2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www.wps.cn/officeDocument/2023/relationships/woinfos" Target="woinfos.xml"/><Relationship Id="rId14" Type="http://schemas.openxmlformats.org/officeDocument/2006/relationships/styles" Target="styles.xml"/><Relationship Id="rId13" Type="http://schemas.openxmlformats.org/officeDocument/2006/relationships/customXml" Target="../customXml/item2.xml"/><Relationship Id="rId12" Type="http://schemas.openxmlformats.org/officeDocument/2006/relationships/customXml" Target="../customXml/item1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10"/>
  <sheetViews>
    <sheetView workbookViewId="0">
      <selection activeCell="T23" sqref="T23"/>
    </sheetView>
  </sheetViews>
  <sheetFormatPr defaultColWidth="8.8" defaultRowHeight="13.5"/>
  <cols>
    <col min="1" max="1" width="17.675" customWidth="1"/>
    <col min="2" max="9" width="12.175" hidden="1" customWidth="1"/>
    <col min="10" max="11" width="12.175" customWidth="1"/>
  </cols>
  <sheetData>
    <row r="1" ht="33" customHeight="1" spans="1:11">
      <c r="A1" s="146" t="s">
        <v>0</v>
      </c>
      <c r="B1" s="164" t="s">
        <v>1</v>
      </c>
      <c r="C1" s="164" t="s">
        <v>2</v>
      </c>
      <c r="D1" s="164" t="s">
        <v>3</v>
      </c>
      <c r="E1" s="164" t="s">
        <v>4</v>
      </c>
      <c r="F1" s="164" t="s">
        <v>5</v>
      </c>
      <c r="G1" s="164" t="s">
        <v>6</v>
      </c>
      <c r="H1" s="172" t="s">
        <v>7</v>
      </c>
      <c r="I1" s="164" t="s">
        <v>8</v>
      </c>
      <c r="J1" s="172" t="s">
        <v>9</v>
      </c>
      <c r="K1" s="172" t="s">
        <v>10</v>
      </c>
    </row>
    <row r="2" ht="33" customHeight="1" spans="1:11">
      <c r="A2" s="151" t="s">
        <v>11</v>
      </c>
      <c r="B2" s="175">
        <v>0</v>
      </c>
      <c r="C2" s="175">
        <v>0</v>
      </c>
      <c r="D2" s="175">
        <v>0</v>
      </c>
      <c r="E2" s="175">
        <v>0</v>
      </c>
      <c r="F2" s="175">
        <v>0</v>
      </c>
      <c r="G2" s="175">
        <v>0</v>
      </c>
      <c r="H2" s="176">
        <v>0</v>
      </c>
      <c r="I2" s="176">
        <v>0</v>
      </c>
      <c r="J2" s="174">
        <v>0</v>
      </c>
      <c r="K2" s="174">
        <v>0</v>
      </c>
    </row>
    <row r="3" ht="33" customHeight="1" spans="1:11">
      <c r="A3" s="151" t="s">
        <v>12</v>
      </c>
      <c r="B3" s="177">
        <v>5</v>
      </c>
      <c r="C3" s="177">
        <v>7</v>
      </c>
      <c r="D3" s="177">
        <v>11</v>
      </c>
      <c r="E3" s="175">
        <v>1</v>
      </c>
      <c r="F3" s="177">
        <v>6</v>
      </c>
      <c r="G3" s="174">
        <v>0</v>
      </c>
      <c r="H3" s="176">
        <v>0</v>
      </c>
      <c r="I3" s="176">
        <v>0</v>
      </c>
      <c r="J3" s="174">
        <v>0</v>
      </c>
      <c r="K3" s="174">
        <v>3</v>
      </c>
    </row>
    <row r="4" ht="33" customHeight="1" spans="1:11">
      <c r="A4" s="151" t="s">
        <v>13</v>
      </c>
      <c r="B4" s="175">
        <v>2</v>
      </c>
      <c r="C4" s="175">
        <v>0</v>
      </c>
      <c r="D4" s="175">
        <v>0</v>
      </c>
      <c r="E4" s="175">
        <v>2</v>
      </c>
      <c r="F4" s="175">
        <v>0</v>
      </c>
      <c r="G4" s="177">
        <v>1</v>
      </c>
      <c r="H4" s="176">
        <v>0</v>
      </c>
      <c r="I4" s="176">
        <v>0</v>
      </c>
      <c r="J4" s="174">
        <v>4</v>
      </c>
      <c r="K4" s="174">
        <v>3</v>
      </c>
    </row>
    <row r="5" ht="33" customHeight="1" spans="1:11">
      <c r="A5" s="151" t="s">
        <v>14</v>
      </c>
      <c r="B5" s="175">
        <v>1</v>
      </c>
      <c r="C5" s="175">
        <v>0</v>
      </c>
      <c r="D5" s="174">
        <v>2</v>
      </c>
      <c r="E5" s="175">
        <v>2</v>
      </c>
      <c r="F5" s="175">
        <v>0</v>
      </c>
      <c r="G5" s="174">
        <v>0</v>
      </c>
      <c r="H5" s="178">
        <v>1</v>
      </c>
      <c r="I5" s="176">
        <v>0</v>
      </c>
      <c r="J5" s="174">
        <v>2</v>
      </c>
      <c r="K5" s="174">
        <v>1</v>
      </c>
    </row>
    <row r="6" ht="33" customHeight="1" spans="1:11">
      <c r="A6" s="151" t="s">
        <v>15</v>
      </c>
      <c r="B6" s="175">
        <v>0</v>
      </c>
      <c r="C6" s="175">
        <v>4</v>
      </c>
      <c r="D6" s="174">
        <v>1</v>
      </c>
      <c r="E6" s="175">
        <v>0</v>
      </c>
      <c r="F6" s="175">
        <v>1</v>
      </c>
      <c r="G6" s="174">
        <v>0</v>
      </c>
      <c r="H6" s="176">
        <v>0</v>
      </c>
      <c r="I6" s="176">
        <v>0</v>
      </c>
      <c r="J6" s="174">
        <v>3</v>
      </c>
      <c r="K6" s="174">
        <v>0</v>
      </c>
    </row>
    <row r="7" ht="33" customHeight="1" spans="1:11">
      <c r="A7" s="151" t="s">
        <v>16</v>
      </c>
      <c r="B7" s="175">
        <v>0</v>
      </c>
      <c r="C7" s="175">
        <v>0</v>
      </c>
      <c r="D7" s="175">
        <v>0</v>
      </c>
      <c r="E7" s="175">
        <v>0</v>
      </c>
      <c r="F7" s="175">
        <v>0</v>
      </c>
      <c r="G7" s="174">
        <v>0</v>
      </c>
      <c r="H7" s="176">
        <v>0</v>
      </c>
      <c r="I7" s="176">
        <v>0</v>
      </c>
      <c r="J7" s="174">
        <v>1</v>
      </c>
      <c r="K7" s="174">
        <v>0</v>
      </c>
    </row>
    <row r="8" ht="33" customHeight="1" spans="1:11">
      <c r="A8" s="151" t="s">
        <v>17</v>
      </c>
      <c r="B8" s="175">
        <v>4</v>
      </c>
      <c r="C8" s="175">
        <v>1</v>
      </c>
      <c r="D8" s="174">
        <v>1</v>
      </c>
      <c r="E8" s="177">
        <v>4</v>
      </c>
      <c r="F8" s="179">
        <v>2</v>
      </c>
      <c r="G8" s="180">
        <v>0</v>
      </c>
      <c r="H8" s="176">
        <v>0</v>
      </c>
      <c r="I8" s="176">
        <v>0</v>
      </c>
      <c r="J8" s="174">
        <v>11</v>
      </c>
      <c r="K8" s="174">
        <v>3</v>
      </c>
    </row>
    <row r="9" ht="33" customHeight="1" spans="1:11">
      <c r="A9" s="151" t="s">
        <v>18</v>
      </c>
      <c r="B9" s="175">
        <v>1</v>
      </c>
      <c r="C9" s="177">
        <v>7</v>
      </c>
      <c r="D9" s="175">
        <v>0</v>
      </c>
      <c r="E9" s="175">
        <v>0</v>
      </c>
      <c r="F9" s="175">
        <v>1</v>
      </c>
      <c r="G9" s="174">
        <v>0</v>
      </c>
      <c r="H9" s="176">
        <v>0</v>
      </c>
      <c r="I9" s="176">
        <v>0</v>
      </c>
      <c r="J9" s="174">
        <v>0</v>
      </c>
      <c r="K9" s="174">
        <v>1</v>
      </c>
    </row>
    <row r="10" ht="33" customHeight="1" spans="1:11">
      <c r="A10" s="151" t="s">
        <v>19</v>
      </c>
      <c r="B10" s="175">
        <v>0</v>
      </c>
      <c r="C10" s="175">
        <v>0</v>
      </c>
      <c r="D10" s="175">
        <v>0</v>
      </c>
      <c r="E10" s="175">
        <v>0</v>
      </c>
      <c r="F10" s="175">
        <v>0</v>
      </c>
      <c r="G10" s="174">
        <v>0</v>
      </c>
      <c r="H10" s="176">
        <v>0</v>
      </c>
      <c r="I10" s="176">
        <v>0</v>
      </c>
      <c r="J10" s="174">
        <v>0</v>
      </c>
      <c r="K10" s="174">
        <v>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K7"/>
  <sheetViews>
    <sheetView workbookViewId="0">
      <selection activeCell="S18" sqref="S18"/>
    </sheetView>
  </sheetViews>
  <sheetFormatPr defaultColWidth="9" defaultRowHeight="13.5" outlineLevelRow="6"/>
  <cols>
    <col min="1" max="1" width="17.675" customWidth="1"/>
    <col min="2" max="9" width="12.175" hidden="1" customWidth="1"/>
    <col min="10" max="11" width="12.175" customWidth="1"/>
  </cols>
  <sheetData>
    <row r="1" ht="36" customHeight="1" spans="1:11">
      <c r="A1" s="146" t="s">
        <v>20</v>
      </c>
      <c r="B1" s="164" t="s">
        <v>1</v>
      </c>
      <c r="C1" s="164" t="s">
        <v>2</v>
      </c>
      <c r="D1" s="164" t="s">
        <v>3</v>
      </c>
      <c r="E1" s="164" t="s">
        <v>4</v>
      </c>
      <c r="F1" s="164" t="s">
        <v>5</v>
      </c>
      <c r="G1" s="164" t="s">
        <v>6</v>
      </c>
      <c r="H1" s="164" t="s">
        <v>7</v>
      </c>
      <c r="I1" s="164" t="s">
        <v>8</v>
      </c>
      <c r="J1" s="164" t="s">
        <v>9</v>
      </c>
      <c r="K1" s="172" t="s">
        <v>10</v>
      </c>
    </row>
    <row r="2" ht="36" customHeight="1" spans="1:11">
      <c r="A2" s="150" t="s">
        <v>21</v>
      </c>
      <c r="B2" s="150">
        <v>6</v>
      </c>
      <c r="C2" s="150">
        <v>2</v>
      </c>
      <c r="D2" s="150">
        <v>4</v>
      </c>
      <c r="E2" s="150">
        <v>2</v>
      </c>
      <c r="F2" s="173">
        <v>3</v>
      </c>
      <c r="G2" s="174">
        <v>0</v>
      </c>
      <c r="H2" s="174">
        <v>0</v>
      </c>
      <c r="I2" s="174">
        <v>0</v>
      </c>
      <c r="J2" s="174">
        <v>6</v>
      </c>
      <c r="K2" s="174">
        <v>2</v>
      </c>
    </row>
    <row r="3" ht="36" customHeight="1" spans="1:11">
      <c r="A3" s="150" t="s">
        <v>22</v>
      </c>
      <c r="B3" s="150">
        <v>1</v>
      </c>
      <c r="C3" s="150">
        <v>6</v>
      </c>
      <c r="D3" s="150">
        <v>0</v>
      </c>
      <c r="E3" s="150">
        <v>0</v>
      </c>
      <c r="F3" s="173">
        <v>0</v>
      </c>
      <c r="G3" s="174">
        <v>0</v>
      </c>
      <c r="H3" s="174">
        <v>0</v>
      </c>
      <c r="I3" s="174">
        <v>0</v>
      </c>
      <c r="J3" s="174">
        <v>5</v>
      </c>
      <c r="K3" s="174">
        <v>3</v>
      </c>
    </row>
    <row r="4" ht="36" customHeight="1" spans="1:11">
      <c r="A4" s="150" t="s">
        <v>23</v>
      </c>
      <c r="B4" s="174">
        <v>0</v>
      </c>
      <c r="C4" s="150">
        <v>5</v>
      </c>
      <c r="D4" s="150">
        <v>7</v>
      </c>
      <c r="E4" s="150">
        <v>3</v>
      </c>
      <c r="F4" s="173">
        <v>5</v>
      </c>
      <c r="G4" s="174">
        <v>1</v>
      </c>
      <c r="H4" s="174">
        <v>1</v>
      </c>
      <c r="I4" s="174">
        <v>0</v>
      </c>
      <c r="J4" s="174">
        <v>1</v>
      </c>
      <c r="K4" s="174">
        <v>3</v>
      </c>
    </row>
    <row r="5" ht="36" customHeight="1" spans="1:11">
      <c r="A5" s="150" t="s">
        <v>24</v>
      </c>
      <c r="B5" s="150">
        <v>2</v>
      </c>
      <c r="C5" s="150">
        <v>6</v>
      </c>
      <c r="D5" s="150">
        <v>0</v>
      </c>
      <c r="E5" s="150">
        <v>2</v>
      </c>
      <c r="F5" s="173">
        <v>0</v>
      </c>
      <c r="G5" s="174">
        <v>0</v>
      </c>
      <c r="H5" s="174">
        <v>0</v>
      </c>
      <c r="I5" s="174">
        <v>0</v>
      </c>
      <c r="J5" s="174">
        <v>1</v>
      </c>
      <c r="K5" s="174">
        <v>1</v>
      </c>
    </row>
    <row r="6" ht="36" customHeight="1" spans="1:11">
      <c r="A6" s="150" t="s">
        <v>25</v>
      </c>
      <c r="B6" s="150">
        <v>4</v>
      </c>
      <c r="C6" s="174">
        <v>0</v>
      </c>
      <c r="D6" s="150">
        <v>4</v>
      </c>
      <c r="E6" s="150">
        <v>2</v>
      </c>
      <c r="F6" s="173">
        <v>0</v>
      </c>
      <c r="G6" s="174">
        <v>0</v>
      </c>
      <c r="H6" s="174">
        <v>0</v>
      </c>
      <c r="I6" s="174">
        <v>0</v>
      </c>
      <c r="J6" s="174">
        <v>2</v>
      </c>
      <c r="K6" s="174">
        <v>1</v>
      </c>
    </row>
    <row r="7" ht="36" customHeight="1" spans="1:11">
      <c r="A7" s="150" t="s">
        <v>26</v>
      </c>
      <c r="B7" s="150">
        <v>0</v>
      </c>
      <c r="C7" s="150">
        <v>0</v>
      </c>
      <c r="D7" s="150">
        <v>0</v>
      </c>
      <c r="E7" s="150">
        <v>0</v>
      </c>
      <c r="F7" s="173">
        <v>2</v>
      </c>
      <c r="G7" s="174">
        <v>0</v>
      </c>
      <c r="H7" s="174">
        <v>0</v>
      </c>
      <c r="I7" s="174">
        <v>0</v>
      </c>
      <c r="J7" s="174">
        <v>6</v>
      </c>
      <c r="K7" s="174">
        <v>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O5"/>
  <sheetViews>
    <sheetView workbookViewId="0">
      <pane xSplit="1" topLeftCell="B1" activePane="topRight" state="frozen"/>
      <selection/>
      <selection pane="topRight" activeCell="AR18" sqref="AR18"/>
    </sheetView>
  </sheetViews>
  <sheetFormatPr defaultColWidth="9" defaultRowHeight="13.5" outlineLevelRow="4"/>
  <cols>
    <col min="1" max="1" width="17.675" customWidth="1"/>
    <col min="2" max="2" width="11.175" hidden="1" customWidth="1"/>
    <col min="3" max="5" width="12.175" hidden="1" customWidth="1"/>
    <col min="6" max="6" width="12.175" style="144" hidden="1" customWidth="1"/>
    <col min="7" max="9" width="12.175" hidden="1" customWidth="1"/>
    <col min="10" max="11" width="12.175" customWidth="1"/>
    <col min="12" max="12" width="15.5083333333333" hidden="1" customWidth="1"/>
    <col min="13" max="19" width="16.5083333333333" hidden="1" customWidth="1"/>
    <col min="20" max="21" width="16.5083333333333" customWidth="1"/>
    <col min="22" max="22" width="12.3416666666667" hidden="1" customWidth="1"/>
    <col min="23" max="29" width="13.3416666666667" hidden="1" customWidth="1"/>
    <col min="30" max="31" width="13.3416666666667" customWidth="1"/>
    <col min="32" max="39" width="15.125" hidden="1" customWidth="1"/>
    <col min="40" max="41" width="15.125" customWidth="1"/>
  </cols>
  <sheetData>
    <row r="1" ht="41" customHeight="1" spans="1:41">
      <c r="A1" s="146" t="s">
        <v>27</v>
      </c>
      <c r="B1" s="145" t="s">
        <v>28</v>
      </c>
      <c r="C1" s="145" t="s">
        <v>29</v>
      </c>
      <c r="D1" s="145" t="s">
        <v>30</v>
      </c>
      <c r="E1" s="145" t="s">
        <v>31</v>
      </c>
      <c r="F1" s="146" t="s">
        <v>32</v>
      </c>
      <c r="G1" s="145" t="s">
        <v>33</v>
      </c>
      <c r="H1" s="146" t="s">
        <v>34</v>
      </c>
      <c r="I1" s="145" t="s">
        <v>35</v>
      </c>
      <c r="J1" s="146" t="s">
        <v>36</v>
      </c>
      <c r="K1" s="146" t="s">
        <v>37</v>
      </c>
      <c r="L1" s="164" t="s">
        <v>38</v>
      </c>
      <c r="M1" s="164" t="s">
        <v>39</v>
      </c>
      <c r="N1" s="164" t="s">
        <v>40</v>
      </c>
      <c r="O1" s="164" t="s">
        <v>41</v>
      </c>
      <c r="P1" s="164" t="s">
        <v>42</v>
      </c>
      <c r="Q1" s="164" t="s">
        <v>43</v>
      </c>
      <c r="R1" s="164" t="s">
        <v>44</v>
      </c>
      <c r="S1" s="164" t="s">
        <v>45</v>
      </c>
      <c r="T1" s="164" t="s">
        <v>46</v>
      </c>
      <c r="U1" s="164" t="s">
        <v>47</v>
      </c>
      <c r="V1" s="159" t="s">
        <v>48</v>
      </c>
      <c r="W1" s="159" t="s">
        <v>49</v>
      </c>
      <c r="X1" s="159" t="s">
        <v>50</v>
      </c>
      <c r="Y1" s="159" t="s">
        <v>51</v>
      </c>
      <c r="Z1" s="159" t="s">
        <v>52</v>
      </c>
      <c r="AA1" s="159" t="s">
        <v>53</v>
      </c>
      <c r="AB1" s="159" t="s">
        <v>54</v>
      </c>
      <c r="AC1" s="159" t="s">
        <v>55</v>
      </c>
      <c r="AD1" s="159" t="s">
        <v>56</v>
      </c>
      <c r="AE1" s="159" t="s">
        <v>57</v>
      </c>
      <c r="AF1" s="165" t="s">
        <v>58</v>
      </c>
      <c r="AG1" s="165" t="s">
        <v>59</v>
      </c>
      <c r="AH1" s="165" t="s">
        <v>60</v>
      </c>
      <c r="AI1" s="166" t="s">
        <v>61</v>
      </c>
      <c r="AJ1" s="165" t="s">
        <v>62</v>
      </c>
      <c r="AK1" s="165" t="s">
        <v>63</v>
      </c>
      <c r="AL1" s="165" t="s">
        <v>64</v>
      </c>
      <c r="AM1" s="165" t="s">
        <v>65</v>
      </c>
      <c r="AN1" s="165" t="s">
        <v>66</v>
      </c>
      <c r="AO1" s="166" t="s">
        <v>67</v>
      </c>
    </row>
    <row r="2" ht="41" customHeight="1" spans="1:41">
      <c r="A2" s="151" t="s">
        <v>68</v>
      </c>
      <c r="B2" s="150">
        <v>65</v>
      </c>
      <c r="C2" s="150">
        <v>81</v>
      </c>
      <c r="D2" s="150">
        <v>96</v>
      </c>
      <c r="E2" s="150">
        <v>105</v>
      </c>
      <c r="F2" s="151">
        <v>74</v>
      </c>
      <c r="G2" s="150">
        <v>74</v>
      </c>
      <c r="H2" s="150">
        <v>75</v>
      </c>
      <c r="I2" s="150">
        <v>75</v>
      </c>
      <c r="J2" s="151">
        <v>94</v>
      </c>
      <c r="K2" s="151">
        <v>79</v>
      </c>
      <c r="L2" s="150">
        <v>44</v>
      </c>
      <c r="M2" s="151">
        <v>56</v>
      </c>
      <c r="N2" s="151">
        <v>72</v>
      </c>
      <c r="O2" s="151">
        <v>91</v>
      </c>
      <c r="P2" s="151">
        <v>68</v>
      </c>
      <c r="Q2" s="151">
        <v>68</v>
      </c>
      <c r="R2" s="151">
        <v>69</v>
      </c>
      <c r="S2" s="151">
        <v>74</v>
      </c>
      <c r="T2" s="151">
        <v>77</v>
      </c>
      <c r="U2" s="151">
        <v>64</v>
      </c>
      <c r="V2" s="167">
        <f t="shared" ref="V2:AD2" si="0">L2/B2</f>
        <v>0.676923076923077</v>
      </c>
      <c r="W2" s="160">
        <f t="shared" si="0"/>
        <v>0.691358024691358</v>
      </c>
      <c r="X2" s="160">
        <f t="shared" si="0"/>
        <v>0.75</v>
      </c>
      <c r="Y2" s="160">
        <f t="shared" si="0"/>
        <v>0.866666666666667</v>
      </c>
      <c r="Z2" s="160">
        <f t="shared" si="0"/>
        <v>0.918918918918919</v>
      </c>
      <c r="AA2" s="160">
        <f t="shared" si="0"/>
        <v>0.918918918918919</v>
      </c>
      <c r="AB2" s="160">
        <f t="shared" si="0"/>
        <v>0.92</v>
      </c>
      <c r="AC2" s="160">
        <f t="shared" si="0"/>
        <v>0.986666666666667</v>
      </c>
      <c r="AD2" s="160">
        <f t="shared" si="0"/>
        <v>0.819148936170213</v>
      </c>
      <c r="AE2" s="167">
        <f>IFERROR(U2/K2,"无上架")</f>
        <v>0.810126582278481</v>
      </c>
      <c r="AF2" s="168">
        <v>-0.0885090218423551</v>
      </c>
      <c r="AG2" s="169">
        <f t="shared" ref="AG2:AN2" si="1">W2-V2</f>
        <v>0.014434947768281</v>
      </c>
      <c r="AH2" s="169">
        <f t="shared" si="1"/>
        <v>0.058641975308642</v>
      </c>
      <c r="AI2" s="170">
        <f t="shared" si="1"/>
        <v>0.116666666666667</v>
      </c>
      <c r="AJ2" s="170">
        <f t="shared" si="1"/>
        <v>0.0522522522522523</v>
      </c>
      <c r="AK2" s="170">
        <f t="shared" si="1"/>
        <v>0</v>
      </c>
      <c r="AL2" s="169">
        <f t="shared" si="1"/>
        <v>0.00108108108108107</v>
      </c>
      <c r="AM2" s="169">
        <f t="shared" si="1"/>
        <v>0.0666666666666667</v>
      </c>
      <c r="AN2" s="169">
        <f t="shared" si="1"/>
        <v>-0.167517730496454</v>
      </c>
      <c r="AO2" s="168">
        <f>IFERROR(AE2-AD2,AE2)</f>
        <v>-0.00902235389173178</v>
      </c>
    </row>
    <row r="3" ht="41" customHeight="1" spans="1:41">
      <c r="A3" s="171" t="s">
        <v>69</v>
      </c>
      <c r="B3" s="150">
        <v>34</v>
      </c>
      <c r="C3" s="150">
        <v>37</v>
      </c>
      <c r="D3" s="150">
        <v>37</v>
      </c>
      <c r="E3" s="150">
        <v>40</v>
      </c>
      <c r="F3" s="151">
        <v>28</v>
      </c>
      <c r="G3" s="150">
        <v>29</v>
      </c>
      <c r="H3" s="150">
        <v>29</v>
      </c>
      <c r="I3" s="150">
        <v>29</v>
      </c>
      <c r="J3" s="151">
        <v>31</v>
      </c>
      <c r="K3" s="151">
        <v>22</v>
      </c>
      <c r="L3" s="150">
        <v>23</v>
      </c>
      <c r="M3" s="151">
        <v>28</v>
      </c>
      <c r="N3" s="151">
        <v>33</v>
      </c>
      <c r="O3" s="151">
        <v>34</v>
      </c>
      <c r="P3" s="151">
        <v>23</v>
      </c>
      <c r="Q3" s="151">
        <v>23</v>
      </c>
      <c r="R3" s="151">
        <v>23</v>
      </c>
      <c r="S3" s="151">
        <v>25</v>
      </c>
      <c r="T3" s="151">
        <v>26</v>
      </c>
      <c r="U3" s="151">
        <v>15</v>
      </c>
      <c r="V3" s="167">
        <f t="shared" ref="V3:AD3" si="2">L3/B3</f>
        <v>0.676470588235294</v>
      </c>
      <c r="W3" s="160">
        <f t="shared" si="2"/>
        <v>0.756756756756757</v>
      </c>
      <c r="X3" s="160">
        <f t="shared" si="2"/>
        <v>0.891891891891892</v>
      </c>
      <c r="Y3" s="160">
        <f t="shared" si="2"/>
        <v>0.85</v>
      </c>
      <c r="Z3" s="160">
        <f t="shared" si="2"/>
        <v>0.821428571428571</v>
      </c>
      <c r="AA3" s="160">
        <f t="shared" si="2"/>
        <v>0.793103448275862</v>
      </c>
      <c r="AB3" s="160">
        <f t="shared" si="2"/>
        <v>0.793103448275862</v>
      </c>
      <c r="AC3" s="160">
        <f t="shared" si="2"/>
        <v>0.862068965517241</v>
      </c>
      <c r="AD3" s="160">
        <f t="shared" si="2"/>
        <v>0.838709677419355</v>
      </c>
      <c r="AE3" s="167">
        <f>IFERROR(U3/K3,"无上架")</f>
        <v>0.681818181818182</v>
      </c>
      <c r="AF3" s="168">
        <v>-0.0735294117647058</v>
      </c>
      <c r="AG3" s="169">
        <f t="shared" ref="AG3:AN3" si="3">W3-V3</f>
        <v>0.0802861685214628</v>
      </c>
      <c r="AH3" s="169">
        <f t="shared" si="3"/>
        <v>0.135135135135135</v>
      </c>
      <c r="AI3" s="170">
        <f t="shared" si="3"/>
        <v>-0.0418918918918919</v>
      </c>
      <c r="AJ3" s="170">
        <f t="shared" si="3"/>
        <v>-0.0285714285714286</v>
      </c>
      <c r="AK3" s="170">
        <f t="shared" si="3"/>
        <v>-0.0283251231527093</v>
      </c>
      <c r="AL3" s="169">
        <f t="shared" si="3"/>
        <v>0</v>
      </c>
      <c r="AM3" s="169">
        <f t="shared" si="3"/>
        <v>0.0689655172413792</v>
      </c>
      <c r="AN3" s="169">
        <f t="shared" si="3"/>
        <v>-0.0233592880978865</v>
      </c>
      <c r="AO3" s="168">
        <f>IFERROR(AE3-AD3,AE3)</f>
        <v>-0.156891495601173</v>
      </c>
    </row>
    <row r="4" ht="41" customHeight="1" spans="1:41">
      <c r="A4" s="151" t="s">
        <v>70</v>
      </c>
      <c r="B4" s="150">
        <v>1</v>
      </c>
      <c r="C4" s="150">
        <v>1</v>
      </c>
      <c r="D4" s="150">
        <v>1</v>
      </c>
      <c r="E4" s="150">
        <v>1</v>
      </c>
      <c r="F4" s="151">
        <v>1</v>
      </c>
      <c r="G4" s="150">
        <v>1</v>
      </c>
      <c r="H4" s="150">
        <v>1</v>
      </c>
      <c r="I4" s="150">
        <v>1</v>
      </c>
      <c r="J4" s="151">
        <v>1</v>
      </c>
      <c r="K4" s="151">
        <v>0</v>
      </c>
      <c r="L4" s="150">
        <v>1</v>
      </c>
      <c r="M4" s="151">
        <v>1</v>
      </c>
      <c r="N4" s="151">
        <v>1</v>
      </c>
      <c r="O4" s="151">
        <v>1</v>
      </c>
      <c r="P4" s="151">
        <v>1</v>
      </c>
      <c r="Q4" s="151">
        <v>1</v>
      </c>
      <c r="R4" s="151">
        <v>1</v>
      </c>
      <c r="S4" s="151">
        <v>1</v>
      </c>
      <c r="T4" s="151">
        <v>1</v>
      </c>
      <c r="U4" s="151">
        <v>0</v>
      </c>
      <c r="V4" s="167">
        <f t="shared" ref="V4:AD4" si="4">L4/B4</f>
        <v>1</v>
      </c>
      <c r="W4" s="160">
        <f t="shared" si="4"/>
        <v>1</v>
      </c>
      <c r="X4" s="160">
        <f t="shared" si="4"/>
        <v>1</v>
      </c>
      <c r="Y4" s="160">
        <f t="shared" si="4"/>
        <v>1</v>
      </c>
      <c r="Z4" s="160">
        <f t="shared" si="4"/>
        <v>1</v>
      </c>
      <c r="AA4" s="160">
        <f t="shared" si="4"/>
        <v>1</v>
      </c>
      <c r="AB4" s="160">
        <f t="shared" si="4"/>
        <v>1</v>
      </c>
      <c r="AC4" s="160">
        <f t="shared" si="4"/>
        <v>1</v>
      </c>
      <c r="AD4" s="160">
        <f t="shared" si="4"/>
        <v>1</v>
      </c>
      <c r="AE4" s="167" t="str">
        <f>IFERROR(U4/K4,"无上架")</f>
        <v>无上架</v>
      </c>
      <c r="AF4" s="168">
        <v>0</v>
      </c>
      <c r="AG4" s="169">
        <f t="shared" ref="AG4:AN4" si="5">W4-V4</f>
        <v>0</v>
      </c>
      <c r="AH4" s="169">
        <f t="shared" si="5"/>
        <v>0</v>
      </c>
      <c r="AI4" s="170">
        <f t="shared" si="5"/>
        <v>0</v>
      </c>
      <c r="AJ4" s="170">
        <f t="shared" si="5"/>
        <v>0</v>
      </c>
      <c r="AK4" s="170">
        <f t="shared" si="5"/>
        <v>0</v>
      </c>
      <c r="AL4" s="169">
        <f t="shared" si="5"/>
        <v>0</v>
      </c>
      <c r="AM4" s="169">
        <f t="shared" si="5"/>
        <v>0</v>
      </c>
      <c r="AN4" s="169">
        <f t="shared" si="5"/>
        <v>0</v>
      </c>
      <c r="AO4" s="168" t="str">
        <f>IFERROR(AE4-AD4,AE4)</f>
        <v>无上架</v>
      </c>
    </row>
    <row r="5" ht="41" customHeight="1" spans="1:41">
      <c r="A5" s="150" t="s">
        <v>71</v>
      </c>
      <c r="B5" s="150">
        <f t="shared" ref="B5:U5" si="6">SUM(B2:B4)</f>
        <v>100</v>
      </c>
      <c r="C5" s="150">
        <f t="shared" si="6"/>
        <v>119</v>
      </c>
      <c r="D5" s="150">
        <f t="shared" si="6"/>
        <v>134</v>
      </c>
      <c r="E5" s="150">
        <f t="shared" si="6"/>
        <v>146</v>
      </c>
      <c r="F5" s="151">
        <f t="shared" si="6"/>
        <v>103</v>
      </c>
      <c r="G5" s="150">
        <f t="shared" si="6"/>
        <v>104</v>
      </c>
      <c r="H5" s="150">
        <f t="shared" si="6"/>
        <v>105</v>
      </c>
      <c r="I5" s="150">
        <f t="shared" si="6"/>
        <v>105</v>
      </c>
      <c r="J5" s="150">
        <f t="shared" si="6"/>
        <v>126</v>
      </c>
      <c r="K5" s="150">
        <f t="shared" si="6"/>
        <v>101</v>
      </c>
      <c r="L5" s="150">
        <f t="shared" si="6"/>
        <v>68</v>
      </c>
      <c r="M5" s="150">
        <f t="shared" si="6"/>
        <v>85</v>
      </c>
      <c r="N5" s="150">
        <f t="shared" si="6"/>
        <v>106</v>
      </c>
      <c r="O5" s="150">
        <f t="shared" si="6"/>
        <v>126</v>
      </c>
      <c r="P5" s="150">
        <f t="shared" si="6"/>
        <v>92</v>
      </c>
      <c r="Q5" s="150">
        <f t="shared" si="6"/>
        <v>92</v>
      </c>
      <c r="R5" s="150">
        <f t="shared" si="6"/>
        <v>93</v>
      </c>
      <c r="S5" s="150">
        <f t="shared" si="6"/>
        <v>100</v>
      </c>
      <c r="T5" s="150">
        <f t="shared" si="6"/>
        <v>104</v>
      </c>
      <c r="U5" s="150">
        <f t="shared" si="6"/>
        <v>79</v>
      </c>
      <c r="V5" s="167">
        <f t="shared" ref="V5:AD5" si="7">L5/B5</f>
        <v>0.68</v>
      </c>
      <c r="W5" s="160">
        <f t="shared" si="7"/>
        <v>0.714285714285714</v>
      </c>
      <c r="X5" s="160">
        <f t="shared" si="7"/>
        <v>0.791044776119403</v>
      </c>
      <c r="Y5" s="160">
        <f t="shared" si="7"/>
        <v>0.863013698630137</v>
      </c>
      <c r="Z5" s="160">
        <f t="shared" si="7"/>
        <v>0.893203883495146</v>
      </c>
      <c r="AA5" s="160">
        <f t="shared" si="7"/>
        <v>0.884615384615385</v>
      </c>
      <c r="AB5" s="160">
        <f t="shared" si="7"/>
        <v>0.885714285714286</v>
      </c>
      <c r="AC5" s="160">
        <f t="shared" si="7"/>
        <v>0.952380952380952</v>
      </c>
      <c r="AD5" s="160">
        <f t="shared" si="7"/>
        <v>0.825396825396825</v>
      </c>
      <c r="AE5" s="167">
        <f>IFERROR(U5/K5,"无上架")</f>
        <v>0.782178217821782</v>
      </c>
      <c r="AF5" s="168">
        <v>-0.082295081967213</v>
      </c>
      <c r="AG5" s="169">
        <f t="shared" ref="AG5:AN5" si="8">W5-V5</f>
        <v>0.0342857142857143</v>
      </c>
      <c r="AH5" s="169">
        <f t="shared" si="8"/>
        <v>0.0767590618336886</v>
      </c>
      <c r="AI5" s="170">
        <f t="shared" si="8"/>
        <v>0.0719689225107341</v>
      </c>
      <c r="AJ5" s="170">
        <f t="shared" si="8"/>
        <v>0.0301901848650087</v>
      </c>
      <c r="AK5" s="170">
        <f t="shared" si="8"/>
        <v>-0.0085884988797611</v>
      </c>
      <c r="AL5" s="169">
        <f t="shared" si="8"/>
        <v>0.00109890109890109</v>
      </c>
      <c r="AM5" s="169">
        <f t="shared" si="8"/>
        <v>0.0666666666666667</v>
      </c>
      <c r="AN5" s="169">
        <f t="shared" si="8"/>
        <v>-0.126984126984127</v>
      </c>
      <c r="AO5" s="168">
        <f>IFERROR(AE5-AD5,AE5)</f>
        <v>-0.0432186075750431</v>
      </c>
    </row>
  </sheetData>
  <sheetProtection formatCells="0" formatColumns="0" formatRows="0" insertRows="0" insertColumns="0" insertHyperlinks="0" deleteColumns="0" deleteRows="0" sort="0" autoFilter="0" pivotTables="0"/>
  <conditionalFormatting sqref="AF2:AO5">
    <cfRule type="cellIs" dxfId="0" priority="1" operator="lessThan">
      <formula>0</formula>
    </cfRule>
  </conditionalFormatting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E7"/>
  <sheetViews>
    <sheetView workbookViewId="0">
      <pane xSplit="1" topLeftCell="B1" activePane="topRight" state="frozen"/>
      <selection/>
      <selection pane="topRight" activeCell="AL25" sqref="AL25"/>
    </sheetView>
  </sheetViews>
  <sheetFormatPr defaultColWidth="9" defaultRowHeight="13.5" outlineLevelRow="6"/>
  <cols>
    <col min="1" max="1" width="17.675" customWidth="1"/>
    <col min="2" max="2" width="11.175" hidden="1" customWidth="1"/>
    <col min="3" max="9" width="12.175" hidden="1" customWidth="1"/>
    <col min="10" max="11" width="12.175" customWidth="1"/>
    <col min="12" max="12" width="15.5083333333333" hidden="1" customWidth="1"/>
    <col min="13" max="19" width="16.5083333333333" hidden="1" customWidth="1"/>
    <col min="20" max="21" width="16.5083333333333" customWidth="1"/>
    <col min="22" max="29" width="12.3416666666667" style="158" hidden="1" customWidth="1"/>
    <col min="30" max="31" width="12.3416666666667" style="158" customWidth="1"/>
  </cols>
  <sheetData>
    <row r="1" ht="47" customHeight="1" spans="1:31">
      <c r="A1" s="145" t="s">
        <v>72</v>
      </c>
      <c r="B1" s="145" t="s">
        <v>28</v>
      </c>
      <c r="C1" s="145" t="s">
        <v>29</v>
      </c>
      <c r="D1" s="145" t="s">
        <v>30</v>
      </c>
      <c r="E1" s="145" t="s">
        <v>31</v>
      </c>
      <c r="F1" s="145" t="s">
        <v>32</v>
      </c>
      <c r="G1" s="145" t="s">
        <v>33</v>
      </c>
      <c r="H1" s="145" t="s">
        <v>34</v>
      </c>
      <c r="I1" s="145" t="s">
        <v>35</v>
      </c>
      <c r="J1" s="145" t="s">
        <v>36</v>
      </c>
      <c r="K1" s="145" t="s">
        <v>37</v>
      </c>
      <c r="L1" s="159" t="s">
        <v>73</v>
      </c>
      <c r="M1" s="159" t="s">
        <v>74</v>
      </c>
      <c r="N1" s="159" t="s">
        <v>75</v>
      </c>
      <c r="O1" s="159" t="s">
        <v>76</v>
      </c>
      <c r="P1" s="159" t="s">
        <v>77</v>
      </c>
      <c r="Q1" s="159" t="s">
        <v>78</v>
      </c>
      <c r="R1" s="159" t="s">
        <v>79</v>
      </c>
      <c r="S1" s="159" t="s">
        <v>80</v>
      </c>
      <c r="T1" s="159" t="s">
        <v>81</v>
      </c>
      <c r="U1" s="159" t="s">
        <v>82</v>
      </c>
      <c r="V1" s="147" t="s">
        <v>83</v>
      </c>
      <c r="W1" s="147" t="s">
        <v>84</v>
      </c>
      <c r="X1" s="147" t="s">
        <v>85</v>
      </c>
      <c r="Y1" s="147" t="s">
        <v>86</v>
      </c>
      <c r="Z1" s="147" t="s">
        <v>87</v>
      </c>
      <c r="AA1" s="147" t="s">
        <v>88</v>
      </c>
      <c r="AB1" s="147" t="s">
        <v>89</v>
      </c>
      <c r="AC1" s="147" t="s">
        <v>90</v>
      </c>
      <c r="AD1" s="147" t="s">
        <v>91</v>
      </c>
      <c r="AE1" s="149" t="s">
        <v>92</v>
      </c>
    </row>
    <row r="2" ht="47" customHeight="1" spans="1:31">
      <c r="A2" s="151" t="s">
        <v>93</v>
      </c>
      <c r="B2" s="150">
        <v>12</v>
      </c>
      <c r="C2" s="150">
        <v>8</v>
      </c>
      <c r="D2" s="150">
        <v>14</v>
      </c>
      <c r="E2" s="150">
        <v>2</v>
      </c>
      <c r="F2" s="150">
        <v>7</v>
      </c>
      <c r="G2" s="150">
        <v>0</v>
      </c>
      <c r="H2" s="150">
        <v>1</v>
      </c>
      <c r="I2" s="150">
        <v>0</v>
      </c>
      <c r="J2" s="150">
        <v>14</v>
      </c>
      <c r="K2" s="150">
        <v>16</v>
      </c>
      <c r="L2" s="160">
        <v>0.107142857142857</v>
      </c>
      <c r="M2" s="160">
        <v>0.0672268907563025</v>
      </c>
      <c r="N2" s="160">
        <f t="shared" ref="N2:U2" si="0">D2/D$7</f>
        <v>0.104477611940299</v>
      </c>
      <c r="O2" s="160">
        <f t="shared" si="0"/>
        <v>0.0136986301369863</v>
      </c>
      <c r="P2" s="162">
        <f t="shared" si="0"/>
        <v>0.0679611650485437</v>
      </c>
      <c r="Q2" s="162">
        <f t="shared" si="0"/>
        <v>0</v>
      </c>
      <c r="R2" s="162">
        <f t="shared" si="0"/>
        <v>0.00952380952380952</v>
      </c>
      <c r="S2" s="162">
        <f t="shared" si="0"/>
        <v>0</v>
      </c>
      <c r="T2" s="162">
        <f t="shared" si="0"/>
        <v>0.111111111111111</v>
      </c>
      <c r="U2" s="162">
        <f t="shared" si="0"/>
        <v>0.158415841584158</v>
      </c>
      <c r="V2" s="152">
        <v>10</v>
      </c>
      <c r="W2" s="152">
        <f t="shared" ref="W2:AE2" si="1">C2-B2</f>
        <v>-4</v>
      </c>
      <c r="X2" s="152">
        <f t="shared" si="1"/>
        <v>6</v>
      </c>
      <c r="Y2" s="152">
        <f t="shared" si="1"/>
        <v>-12</v>
      </c>
      <c r="Z2" s="152">
        <f t="shared" si="1"/>
        <v>5</v>
      </c>
      <c r="AA2" s="152">
        <f t="shared" si="1"/>
        <v>-7</v>
      </c>
      <c r="AB2" s="152">
        <f t="shared" si="1"/>
        <v>1</v>
      </c>
      <c r="AC2" s="152">
        <f t="shared" si="1"/>
        <v>-1</v>
      </c>
      <c r="AD2" s="152">
        <f t="shared" si="1"/>
        <v>14</v>
      </c>
      <c r="AE2" s="152">
        <f t="shared" si="1"/>
        <v>2</v>
      </c>
    </row>
    <row r="3" ht="47" customHeight="1" spans="1:31">
      <c r="A3" s="150" t="s">
        <v>94</v>
      </c>
      <c r="B3" s="150">
        <v>11</v>
      </c>
      <c r="C3" s="150">
        <v>46</v>
      </c>
      <c r="D3" s="150">
        <v>33</v>
      </c>
      <c r="E3" s="150">
        <v>78</v>
      </c>
      <c r="F3" s="150">
        <v>39</v>
      </c>
      <c r="G3" s="150">
        <v>13</v>
      </c>
      <c r="H3" s="150">
        <v>30</v>
      </c>
      <c r="I3" s="150">
        <v>11</v>
      </c>
      <c r="J3" s="150">
        <v>26</v>
      </c>
      <c r="K3" s="150">
        <v>14</v>
      </c>
      <c r="L3" s="160">
        <v>0.196428571428571</v>
      </c>
      <c r="M3" s="160">
        <v>0.38655462184874</v>
      </c>
      <c r="N3" s="160">
        <f t="shared" ref="N3:U3" si="2">D3/D$7</f>
        <v>0.246268656716418</v>
      </c>
      <c r="O3" s="163">
        <f t="shared" si="2"/>
        <v>0.534246575342466</v>
      </c>
      <c r="P3" s="162">
        <f t="shared" si="2"/>
        <v>0.378640776699029</v>
      </c>
      <c r="Q3" s="162">
        <f t="shared" si="2"/>
        <v>0.125</v>
      </c>
      <c r="R3" s="163">
        <f t="shared" si="2"/>
        <v>0.285714285714286</v>
      </c>
      <c r="S3" s="162">
        <f t="shared" si="2"/>
        <v>0.104761904761905</v>
      </c>
      <c r="T3" s="162">
        <f t="shared" si="2"/>
        <v>0.206349206349206</v>
      </c>
      <c r="U3" s="162">
        <f t="shared" si="2"/>
        <v>0.138613861386139</v>
      </c>
      <c r="V3" s="152">
        <v>-83</v>
      </c>
      <c r="W3" s="152">
        <f t="shared" ref="W3:AE3" si="3">C3-B3</f>
        <v>35</v>
      </c>
      <c r="X3" s="152">
        <f t="shared" si="3"/>
        <v>-13</v>
      </c>
      <c r="Y3" s="152">
        <f t="shared" si="3"/>
        <v>45</v>
      </c>
      <c r="Z3" s="152">
        <f t="shared" si="3"/>
        <v>-39</v>
      </c>
      <c r="AA3" s="152">
        <f t="shared" si="3"/>
        <v>-26</v>
      </c>
      <c r="AB3" s="152">
        <f t="shared" si="3"/>
        <v>17</v>
      </c>
      <c r="AC3" s="152">
        <f t="shared" si="3"/>
        <v>-19</v>
      </c>
      <c r="AD3" s="152">
        <f t="shared" si="3"/>
        <v>15</v>
      </c>
      <c r="AE3" s="152">
        <f t="shared" si="3"/>
        <v>-12</v>
      </c>
    </row>
    <row r="4" ht="47" customHeight="1" spans="1:31">
      <c r="A4" s="150" t="s">
        <v>95</v>
      </c>
      <c r="B4" s="150">
        <v>77</v>
      </c>
      <c r="C4" s="150">
        <v>52</v>
      </c>
      <c r="D4" s="150">
        <v>85</v>
      </c>
      <c r="E4" s="150">
        <v>65</v>
      </c>
      <c r="F4" s="150">
        <v>57</v>
      </c>
      <c r="G4" s="150">
        <v>91</v>
      </c>
      <c r="H4" s="150">
        <v>74</v>
      </c>
      <c r="I4" s="150">
        <v>94</v>
      </c>
      <c r="J4" s="150">
        <v>86</v>
      </c>
      <c r="K4" s="150">
        <v>71</v>
      </c>
      <c r="L4" s="160">
        <v>0.696428571428571</v>
      </c>
      <c r="M4" s="161">
        <v>0.436974789915966</v>
      </c>
      <c r="N4" s="160">
        <f t="shared" ref="N4:U4" si="4">D4/D$7</f>
        <v>0.634328358208955</v>
      </c>
      <c r="O4" s="160">
        <f t="shared" si="4"/>
        <v>0.445205479452055</v>
      </c>
      <c r="P4" s="161">
        <f t="shared" si="4"/>
        <v>0.553398058252427</v>
      </c>
      <c r="Q4" s="161">
        <f t="shared" si="4"/>
        <v>0.875</v>
      </c>
      <c r="R4" s="162">
        <f t="shared" si="4"/>
        <v>0.704761904761905</v>
      </c>
      <c r="S4" s="161">
        <f t="shared" si="4"/>
        <v>0.895238095238095</v>
      </c>
      <c r="T4" s="161">
        <f t="shared" si="4"/>
        <v>0.682539682539683</v>
      </c>
      <c r="U4" s="161">
        <f t="shared" si="4"/>
        <v>0.702970297029703</v>
      </c>
      <c r="V4" s="152">
        <v>51</v>
      </c>
      <c r="W4" s="152">
        <f t="shared" ref="W4:AE4" si="5">C4-B4</f>
        <v>-25</v>
      </c>
      <c r="X4" s="152">
        <f t="shared" si="5"/>
        <v>33</v>
      </c>
      <c r="Y4" s="152">
        <f t="shared" si="5"/>
        <v>-20</v>
      </c>
      <c r="Z4" s="152">
        <f t="shared" si="5"/>
        <v>-8</v>
      </c>
      <c r="AA4" s="152">
        <f t="shared" si="5"/>
        <v>34</v>
      </c>
      <c r="AB4" s="152">
        <f t="shared" si="5"/>
        <v>-17</v>
      </c>
      <c r="AC4" s="152">
        <f t="shared" si="5"/>
        <v>20</v>
      </c>
      <c r="AD4" s="152">
        <f t="shared" si="5"/>
        <v>-8</v>
      </c>
      <c r="AE4" s="152">
        <f t="shared" si="5"/>
        <v>-15</v>
      </c>
    </row>
    <row r="5" ht="47" hidden="1" customHeight="1" spans="1:31">
      <c r="A5" s="157" t="s">
        <v>96</v>
      </c>
      <c r="B5" s="145"/>
      <c r="C5" s="157">
        <v>13</v>
      </c>
      <c r="D5" s="157"/>
      <c r="E5" s="157"/>
      <c r="F5" s="150"/>
      <c r="G5" s="157"/>
      <c r="H5" s="157"/>
      <c r="I5" s="157"/>
      <c r="J5" s="157"/>
      <c r="K5" s="157"/>
      <c r="L5" s="160"/>
      <c r="M5" s="160">
        <v>0.109243697478992</v>
      </c>
      <c r="N5" s="160">
        <f>D5/D$7</f>
        <v>0</v>
      </c>
      <c r="O5" s="160">
        <f>E5/E$7</f>
        <v>0</v>
      </c>
      <c r="P5" s="162">
        <f>F5/F$7</f>
        <v>0</v>
      </c>
      <c r="Q5" s="162">
        <f>G5/G$7</f>
        <v>0</v>
      </c>
      <c r="R5" s="162">
        <f>H5/H$7</f>
        <v>0</v>
      </c>
      <c r="S5" s="162"/>
      <c r="T5" s="162"/>
      <c r="U5" s="162"/>
      <c r="V5" s="152"/>
      <c r="W5" s="152"/>
      <c r="X5" s="152">
        <f t="shared" ref="X5:AE5" si="6">D5-C5</f>
        <v>-13</v>
      </c>
      <c r="Y5" s="152">
        <f t="shared" si="6"/>
        <v>0</v>
      </c>
      <c r="Z5" s="152">
        <f t="shared" si="6"/>
        <v>0</v>
      </c>
      <c r="AA5" s="152">
        <f t="shared" si="6"/>
        <v>0</v>
      </c>
      <c r="AB5" s="152">
        <f t="shared" si="6"/>
        <v>0</v>
      </c>
      <c r="AC5" s="152">
        <f t="shared" si="6"/>
        <v>0</v>
      </c>
      <c r="AD5" s="152">
        <f t="shared" si="6"/>
        <v>0</v>
      </c>
      <c r="AE5" s="152">
        <f t="shared" si="6"/>
        <v>0</v>
      </c>
    </row>
    <row r="6" ht="47" hidden="1" customHeight="1" spans="1:31">
      <c r="A6" s="157" t="s">
        <v>97</v>
      </c>
      <c r="B6" s="145"/>
      <c r="C6" s="145"/>
      <c r="D6" s="157">
        <v>2</v>
      </c>
      <c r="E6" s="157">
        <v>1</v>
      </c>
      <c r="F6" s="150"/>
      <c r="G6" s="157"/>
      <c r="H6" s="157"/>
      <c r="I6" s="157"/>
      <c r="J6" s="157"/>
      <c r="K6" s="157"/>
      <c r="L6" s="160"/>
      <c r="M6" s="162"/>
      <c r="N6" s="160">
        <f>D6/D$7</f>
        <v>0.0149253731343284</v>
      </c>
      <c r="O6" s="160">
        <f>E6/E$7</f>
        <v>0.00684931506849315</v>
      </c>
      <c r="P6" s="162">
        <f>F6/F$7</f>
        <v>0</v>
      </c>
      <c r="Q6" s="162">
        <f>G6/G$7</f>
        <v>0</v>
      </c>
      <c r="R6" s="162">
        <f>H6/H$7</f>
        <v>0</v>
      </c>
      <c r="S6" s="162"/>
      <c r="T6" s="162"/>
      <c r="U6" s="162"/>
      <c r="V6" s="152"/>
      <c r="W6" s="152"/>
      <c r="X6" s="152">
        <f t="shared" ref="X6:AE6" si="7">D6-C6</f>
        <v>2</v>
      </c>
      <c r="Y6" s="152">
        <f t="shared" si="7"/>
        <v>-1</v>
      </c>
      <c r="Z6" s="152">
        <f t="shared" si="7"/>
        <v>-1</v>
      </c>
      <c r="AA6" s="152">
        <f t="shared" si="7"/>
        <v>0</v>
      </c>
      <c r="AB6" s="152">
        <f t="shared" si="7"/>
        <v>0</v>
      </c>
      <c r="AC6" s="152">
        <f t="shared" si="7"/>
        <v>0</v>
      </c>
      <c r="AD6" s="152">
        <f t="shared" si="7"/>
        <v>0</v>
      </c>
      <c r="AE6" s="152">
        <f t="shared" si="7"/>
        <v>0</v>
      </c>
    </row>
    <row r="7" ht="47" customHeight="1" spans="1:31">
      <c r="A7" s="150" t="s">
        <v>71</v>
      </c>
      <c r="B7" s="145">
        <f>SUM(B2:B4)</f>
        <v>100</v>
      </c>
      <c r="C7" s="145">
        <f>SUM(C2:C5)</f>
        <v>119</v>
      </c>
      <c r="D7" s="145">
        <f t="shared" ref="D7:K7" si="8">SUM(D2:D6)</f>
        <v>134</v>
      </c>
      <c r="E7" s="145">
        <f t="shared" si="8"/>
        <v>146</v>
      </c>
      <c r="F7" s="145">
        <f t="shared" si="8"/>
        <v>103</v>
      </c>
      <c r="G7" s="145">
        <f t="shared" si="8"/>
        <v>104</v>
      </c>
      <c r="H7" s="145">
        <f t="shared" si="8"/>
        <v>105</v>
      </c>
      <c r="I7" s="145">
        <f t="shared" si="8"/>
        <v>105</v>
      </c>
      <c r="J7" s="145">
        <f t="shared" si="8"/>
        <v>126</v>
      </c>
      <c r="K7" s="145">
        <f t="shared" si="8"/>
        <v>101</v>
      </c>
      <c r="L7" s="160"/>
      <c r="M7" s="162"/>
      <c r="N7" s="160"/>
      <c r="O7" s="160"/>
      <c r="P7" s="160"/>
      <c r="Q7" s="160"/>
      <c r="R7" s="160"/>
      <c r="S7" s="162"/>
      <c r="T7" s="162"/>
      <c r="U7" s="162"/>
      <c r="V7" s="152">
        <v>-22</v>
      </c>
      <c r="W7" s="152">
        <f t="shared" ref="W7:AE7" si="9">C7-B7</f>
        <v>19</v>
      </c>
      <c r="X7" s="152">
        <f t="shared" si="9"/>
        <v>15</v>
      </c>
      <c r="Y7" s="152">
        <f t="shared" si="9"/>
        <v>12</v>
      </c>
      <c r="Z7" s="152">
        <f t="shared" si="9"/>
        <v>-43</v>
      </c>
      <c r="AA7" s="152">
        <f t="shared" si="9"/>
        <v>1</v>
      </c>
      <c r="AB7" s="152">
        <f t="shared" si="9"/>
        <v>1</v>
      </c>
      <c r="AC7" s="152">
        <f t="shared" si="9"/>
        <v>0</v>
      </c>
      <c r="AD7" s="152">
        <f t="shared" si="9"/>
        <v>21</v>
      </c>
      <c r="AE7" s="152">
        <f t="shared" si="9"/>
        <v>-25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E6"/>
  <sheetViews>
    <sheetView tabSelected="1" workbookViewId="0">
      <selection activeCell="AG25" sqref="AG25"/>
    </sheetView>
  </sheetViews>
  <sheetFormatPr defaultColWidth="16.5083333333333" defaultRowHeight="13.5" outlineLevelRow="5"/>
  <cols>
    <col min="1" max="1" width="16.5083333333333" customWidth="1"/>
    <col min="2" max="9" width="16.5083333333333" hidden="1" customWidth="1"/>
    <col min="10" max="11" width="16.5083333333333" customWidth="1"/>
    <col min="12" max="19" width="16.5083333333333" hidden="1" customWidth="1"/>
    <col min="20" max="21" width="16.5083333333333" customWidth="1"/>
    <col min="22" max="29" width="16.5083333333333" style="158" hidden="1" customWidth="1"/>
    <col min="30" max="31" width="16.5083333333333" style="158" customWidth="1"/>
    <col min="32" max="16384" width="16.5083333333333" customWidth="1"/>
  </cols>
  <sheetData>
    <row r="1" ht="47" customHeight="1" spans="1:31">
      <c r="A1" s="145" t="s">
        <v>98</v>
      </c>
      <c r="B1" s="145" t="s">
        <v>28</v>
      </c>
      <c r="C1" s="145" t="s">
        <v>29</v>
      </c>
      <c r="D1" s="145" t="s">
        <v>30</v>
      </c>
      <c r="E1" s="145" t="s">
        <v>31</v>
      </c>
      <c r="F1" s="145" t="s">
        <v>32</v>
      </c>
      <c r="G1" s="157" t="s">
        <v>99</v>
      </c>
      <c r="H1" s="157" t="s">
        <v>100</v>
      </c>
      <c r="I1" s="157" t="s">
        <v>35</v>
      </c>
      <c r="J1" s="157" t="s">
        <v>36</v>
      </c>
      <c r="K1" s="157" t="s">
        <v>37</v>
      </c>
      <c r="L1" s="159" t="s">
        <v>73</v>
      </c>
      <c r="M1" s="159" t="s">
        <v>74</v>
      </c>
      <c r="N1" s="159" t="s">
        <v>75</v>
      </c>
      <c r="O1" s="159" t="s">
        <v>76</v>
      </c>
      <c r="P1" s="159" t="s">
        <v>77</v>
      </c>
      <c r="Q1" s="159" t="s">
        <v>78</v>
      </c>
      <c r="R1" s="159" t="s">
        <v>79</v>
      </c>
      <c r="S1" s="159" t="s">
        <v>80</v>
      </c>
      <c r="T1" s="159" t="s">
        <v>81</v>
      </c>
      <c r="U1" s="159" t="s">
        <v>82</v>
      </c>
      <c r="V1" s="147" t="s">
        <v>83</v>
      </c>
      <c r="W1" s="147" t="s">
        <v>84</v>
      </c>
      <c r="X1" s="147" t="s">
        <v>85</v>
      </c>
      <c r="Y1" s="147" t="s">
        <v>86</v>
      </c>
      <c r="Z1" s="147" t="s">
        <v>87</v>
      </c>
      <c r="AA1" s="147" t="s">
        <v>88</v>
      </c>
      <c r="AB1" s="147" t="s">
        <v>89</v>
      </c>
      <c r="AC1" s="147" t="s">
        <v>90</v>
      </c>
      <c r="AD1" s="147" t="s">
        <v>91</v>
      </c>
      <c r="AE1" s="147" t="s">
        <v>92</v>
      </c>
    </row>
    <row r="2" ht="47" customHeight="1" spans="1:31">
      <c r="A2" s="151" t="s">
        <v>101</v>
      </c>
      <c r="B2" s="150">
        <v>32</v>
      </c>
      <c r="C2" s="150">
        <v>21</v>
      </c>
      <c r="D2" s="150">
        <v>28</v>
      </c>
      <c r="E2" s="150">
        <v>20</v>
      </c>
      <c r="F2" s="150">
        <v>22</v>
      </c>
      <c r="G2" s="150">
        <v>5</v>
      </c>
      <c r="H2" s="150">
        <v>6</v>
      </c>
      <c r="I2" s="150">
        <v>0</v>
      </c>
      <c r="J2" s="150">
        <v>0</v>
      </c>
      <c r="K2" s="150">
        <v>3</v>
      </c>
      <c r="L2" s="160">
        <v>0.32</v>
      </c>
      <c r="M2" s="160">
        <v>0.285714285714286</v>
      </c>
      <c r="N2" s="160">
        <f t="shared" ref="N2:U2" si="0">D2/D$6</f>
        <v>0.208955223880597</v>
      </c>
      <c r="O2" s="160">
        <f t="shared" si="0"/>
        <v>0.136986301369863</v>
      </c>
      <c r="P2" s="160">
        <f t="shared" si="0"/>
        <v>0.213592233009709</v>
      </c>
      <c r="Q2" s="160">
        <f t="shared" si="0"/>
        <v>0.119047619047619</v>
      </c>
      <c r="R2" s="160">
        <f t="shared" si="0"/>
        <v>0.115384615384615</v>
      </c>
      <c r="S2" s="160">
        <f t="shared" si="0"/>
        <v>0</v>
      </c>
      <c r="T2" s="160">
        <f t="shared" si="0"/>
        <v>0</v>
      </c>
      <c r="U2" s="160">
        <f t="shared" si="0"/>
        <v>0.0697674418604651</v>
      </c>
      <c r="V2" s="152">
        <v>3</v>
      </c>
      <c r="W2" s="152">
        <f t="shared" ref="W2:AE2" si="1">C2-B2</f>
        <v>-11</v>
      </c>
      <c r="X2" s="152">
        <f t="shared" si="1"/>
        <v>7</v>
      </c>
      <c r="Y2" s="152">
        <f t="shared" si="1"/>
        <v>-8</v>
      </c>
      <c r="Z2" s="152">
        <f t="shared" si="1"/>
        <v>2</v>
      </c>
      <c r="AA2" s="152">
        <f t="shared" si="1"/>
        <v>-17</v>
      </c>
      <c r="AB2" s="152">
        <f t="shared" si="1"/>
        <v>1</v>
      </c>
      <c r="AC2" s="152">
        <f t="shared" si="1"/>
        <v>-6</v>
      </c>
      <c r="AD2" s="152">
        <f t="shared" si="1"/>
        <v>0</v>
      </c>
      <c r="AE2" s="152">
        <f t="shared" si="1"/>
        <v>3</v>
      </c>
    </row>
    <row r="3" ht="47" customHeight="1" spans="1:31">
      <c r="A3" s="150" t="s">
        <v>102</v>
      </c>
      <c r="B3" s="150">
        <v>27</v>
      </c>
      <c r="C3" s="150">
        <v>35</v>
      </c>
      <c r="D3" s="150">
        <v>40</v>
      </c>
      <c r="E3" s="150">
        <v>48</v>
      </c>
      <c r="F3" s="150">
        <v>23</v>
      </c>
      <c r="G3" s="150">
        <v>11</v>
      </c>
      <c r="H3" s="150">
        <v>17</v>
      </c>
      <c r="I3" s="150">
        <v>19</v>
      </c>
      <c r="J3" s="150">
        <v>17</v>
      </c>
      <c r="K3" s="150">
        <v>13</v>
      </c>
      <c r="L3" s="160">
        <v>0.27</v>
      </c>
      <c r="M3" s="160">
        <v>0.294117647058824</v>
      </c>
      <c r="N3" s="160">
        <f t="shared" ref="N3:U3" si="2">D3/D$6</f>
        <v>0.298507462686567</v>
      </c>
      <c r="O3" s="160">
        <f t="shared" si="2"/>
        <v>0.328767123287671</v>
      </c>
      <c r="P3" s="160">
        <f t="shared" si="2"/>
        <v>0.223300970873786</v>
      </c>
      <c r="Q3" s="160">
        <f t="shared" si="2"/>
        <v>0.261904761904762</v>
      </c>
      <c r="R3" s="160">
        <f t="shared" si="2"/>
        <v>0.326923076923077</v>
      </c>
      <c r="S3" s="160">
        <f t="shared" si="2"/>
        <v>0.395833333333333</v>
      </c>
      <c r="T3" s="160">
        <f t="shared" si="2"/>
        <v>0.354166666666667</v>
      </c>
      <c r="U3" s="160">
        <f t="shared" si="2"/>
        <v>0.302325581395349</v>
      </c>
      <c r="V3" s="152">
        <v>-14</v>
      </c>
      <c r="W3" s="152">
        <f t="shared" ref="W3:AE3" si="3">C3-B3</f>
        <v>8</v>
      </c>
      <c r="X3" s="152">
        <f t="shared" si="3"/>
        <v>5</v>
      </c>
      <c r="Y3" s="152">
        <f t="shared" si="3"/>
        <v>8</v>
      </c>
      <c r="Z3" s="152">
        <f t="shared" si="3"/>
        <v>-25</v>
      </c>
      <c r="AA3" s="152">
        <f t="shared" si="3"/>
        <v>-12</v>
      </c>
      <c r="AB3" s="152">
        <f t="shared" si="3"/>
        <v>6</v>
      </c>
      <c r="AC3" s="152">
        <f t="shared" si="3"/>
        <v>2</v>
      </c>
      <c r="AD3" s="152">
        <f t="shared" si="3"/>
        <v>-2</v>
      </c>
      <c r="AE3" s="152">
        <f t="shared" si="3"/>
        <v>-4</v>
      </c>
    </row>
    <row r="4" ht="47" customHeight="1" spans="1:31">
      <c r="A4" s="150" t="s">
        <v>103</v>
      </c>
      <c r="B4" s="150">
        <v>41</v>
      </c>
      <c r="C4" s="150">
        <v>50</v>
      </c>
      <c r="D4" s="150">
        <v>66</v>
      </c>
      <c r="E4" s="150">
        <v>78</v>
      </c>
      <c r="F4" s="150">
        <v>58</v>
      </c>
      <c r="G4" s="150">
        <v>26</v>
      </c>
      <c r="H4" s="150">
        <v>29</v>
      </c>
      <c r="I4" s="150">
        <v>29</v>
      </c>
      <c r="J4" s="150">
        <v>31</v>
      </c>
      <c r="K4" s="150">
        <v>27</v>
      </c>
      <c r="L4" s="160">
        <v>0.41</v>
      </c>
      <c r="M4" s="161">
        <v>0.420168067226891</v>
      </c>
      <c r="N4" s="161">
        <f t="shared" ref="N4:U4" si="4">D4/D$6</f>
        <v>0.492537313432836</v>
      </c>
      <c r="O4" s="161">
        <f t="shared" si="4"/>
        <v>0.534246575342466</v>
      </c>
      <c r="P4" s="161">
        <f t="shared" si="4"/>
        <v>0.563106796116505</v>
      </c>
      <c r="Q4" s="161">
        <f t="shared" si="4"/>
        <v>0.619047619047619</v>
      </c>
      <c r="R4" s="161">
        <f t="shared" si="4"/>
        <v>0.557692307692308</v>
      </c>
      <c r="S4" s="161">
        <f t="shared" si="4"/>
        <v>0.604166666666667</v>
      </c>
      <c r="T4" s="162">
        <f t="shared" si="4"/>
        <v>0.645833333333333</v>
      </c>
      <c r="U4" s="162">
        <f t="shared" si="4"/>
        <v>0.627906976744186</v>
      </c>
      <c r="V4" s="152">
        <v>-11</v>
      </c>
      <c r="W4" s="152">
        <f t="shared" ref="W4:AE4" si="5">C4-B4</f>
        <v>9</v>
      </c>
      <c r="X4" s="152">
        <f t="shared" si="5"/>
        <v>16</v>
      </c>
      <c r="Y4" s="152">
        <f t="shared" si="5"/>
        <v>12</v>
      </c>
      <c r="Z4" s="152">
        <f t="shared" si="5"/>
        <v>-20</v>
      </c>
      <c r="AA4" s="152">
        <f t="shared" si="5"/>
        <v>-32</v>
      </c>
      <c r="AB4" s="152">
        <f t="shared" si="5"/>
        <v>3</v>
      </c>
      <c r="AC4" s="152">
        <f t="shared" si="5"/>
        <v>0</v>
      </c>
      <c r="AD4" s="152">
        <f t="shared" si="5"/>
        <v>2</v>
      </c>
      <c r="AE4" s="152">
        <f t="shared" si="5"/>
        <v>-4</v>
      </c>
    </row>
    <row r="5" ht="47" customHeight="1" spans="1:31">
      <c r="A5" s="157" t="s">
        <v>96</v>
      </c>
      <c r="B5" s="145"/>
      <c r="C5" s="157">
        <v>13</v>
      </c>
      <c r="D5" s="157"/>
      <c r="E5" s="157"/>
      <c r="F5" s="150"/>
      <c r="G5" s="157"/>
      <c r="H5" s="157"/>
      <c r="I5" s="150"/>
      <c r="J5" s="150"/>
      <c r="K5" s="150"/>
      <c r="L5" s="160"/>
      <c r="M5" s="160"/>
      <c r="N5" s="160"/>
      <c r="O5" s="160"/>
      <c r="P5" s="162"/>
      <c r="Q5" s="162"/>
      <c r="R5" s="162"/>
      <c r="S5" s="162"/>
      <c r="T5" s="162"/>
      <c r="U5" s="162"/>
      <c r="V5" s="152"/>
      <c r="W5" s="152"/>
      <c r="X5" s="152"/>
      <c r="Y5" s="152"/>
      <c r="Z5" s="152"/>
      <c r="AA5" s="152"/>
      <c r="AB5" s="152"/>
      <c r="AC5" s="152"/>
      <c r="AD5" s="152"/>
      <c r="AE5" s="152"/>
    </row>
    <row r="6" ht="47" customHeight="1" spans="1:31">
      <c r="A6" s="150" t="s">
        <v>71</v>
      </c>
      <c r="B6" s="145">
        <f>SUM(B2:B4)</f>
        <v>100</v>
      </c>
      <c r="C6" s="145">
        <f t="shared" ref="C6:K6" si="6">SUM(C2:C5)</f>
        <v>119</v>
      </c>
      <c r="D6" s="145">
        <f t="shared" si="6"/>
        <v>134</v>
      </c>
      <c r="E6" s="145">
        <f t="shared" si="6"/>
        <v>146</v>
      </c>
      <c r="F6" s="145">
        <f t="shared" si="6"/>
        <v>103</v>
      </c>
      <c r="G6" s="145">
        <f t="shared" si="6"/>
        <v>42</v>
      </c>
      <c r="H6" s="145">
        <f t="shared" si="6"/>
        <v>52</v>
      </c>
      <c r="I6" s="145">
        <f t="shared" si="6"/>
        <v>48</v>
      </c>
      <c r="J6" s="145">
        <f t="shared" si="6"/>
        <v>48</v>
      </c>
      <c r="K6" s="145">
        <f t="shared" si="6"/>
        <v>43</v>
      </c>
      <c r="L6" s="160"/>
      <c r="M6" s="162"/>
      <c r="N6" s="162"/>
      <c r="O6" s="162"/>
      <c r="P6" s="162"/>
      <c r="Q6" s="162"/>
      <c r="R6" s="162"/>
      <c r="S6" s="162"/>
      <c r="T6" s="162"/>
      <c r="U6" s="162"/>
      <c r="V6" s="152">
        <v>-22</v>
      </c>
      <c r="W6" s="152">
        <f t="shared" ref="W6:AE6" si="7">C6-B6</f>
        <v>19</v>
      </c>
      <c r="X6" s="152">
        <f t="shared" si="7"/>
        <v>15</v>
      </c>
      <c r="Y6" s="152">
        <f t="shared" si="7"/>
        <v>12</v>
      </c>
      <c r="Z6" s="152">
        <f t="shared" si="7"/>
        <v>-43</v>
      </c>
      <c r="AA6" s="152">
        <f t="shared" si="7"/>
        <v>-61</v>
      </c>
      <c r="AB6" s="152">
        <f t="shared" si="7"/>
        <v>10</v>
      </c>
      <c r="AC6" s="152">
        <f t="shared" si="7"/>
        <v>-4</v>
      </c>
      <c r="AD6" s="152">
        <f t="shared" si="7"/>
        <v>0</v>
      </c>
      <c r="AE6" s="152">
        <f t="shared" si="7"/>
        <v>-5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U7"/>
  <sheetViews>
    <sheetView workbookViewId="0">
      <selection activeCell="Y19" sqref="Y19"/>
    </sheetView>
  </sheetViews>
  <sheetFormatPr defaultColWidth="12.5083333333333" defaultRowHeight="13.5" outlineLevelRow="6"/>
  <cols>
    <col min="1" max="1" width="12.5083333333333" customWidth="1"/>
    <col min="2" max="4" width="12.5083333333333" hidden="1" customWidth="1"/>
    <col min="5" max="9" width="12.5083333333333" style="144" hidden="1" customWidth="1"/>
    <col min="10" max="11" width="12.5083333333333" style="144" customWidth="1"/>
    <col min="12" max="19" width="12.5083333333333" hidden="1" customWidth="1"/>
    <col min="20" max="16384" width="12.5083333333333" customWidth="1"/>
  </cols>
  <sheetData>
    <row r="1" ht="42" customHeight="1" spans="1:21">
      <c r="A1" s="145" t="s">
        <v>104</v>
      </c>
      <c r="B1" s="145" t="s">
        <v>28</v>
      </c>
      <c r="C1" s="145" t="s">
        <v>29</v>
      </c>
      <c r="D1" s="145" t="s">
        <v>30</v>
      </c>
      <c r="E1" s="146" t="s">
        <v>31</v>
      </c>
      <c r="F1" s="145" t="s">
        <v>32</v>
      </c>
      <c r="G1" s="145" t="s">
        <v>33</v>
      </c>
      <c r="H1" s="145" t="s">
        <v>34</v>
      </c>
      <c r="I1" s="145" t="s">
        <v>35</v>
      </c>
      <c r="J1" s="145" t="s">
        <v>36</v>
      </c>
      <c r="K1" s="145" t="s">
        <v>37</v>
      </c>
      <c r="L1" s="147" t="s">
        <v>83</v>
      </c>
      <c r="M1" s="147" t="s">
        <v>84</v>
      </c>
      <c r="N1" s="148" t="s">
        <v>85</v>
      </c>
      <c r="O1" s="147" t="s">
        <v>86</v>
      </c>
      <c r="P1" s="147" t="s">
        <v>87</v>
      </c>
      <c r="Q1" s="147" t="s">
        <v>88</v>
      </c>
      <c r="R1" s="147" t="s">
        <v>89</v>
      </c>
      <c r="S1" s="147" t="s">
        <v>90</v>
      </c>
      <c r="T1" s="147" t="s">
        <v>91</v>
      </c>
      <c r="U1" s="149" t="s">
        <v>92</v>
      </c>
    </row>
    <row r="2" ht="42" customHeight="1" spans="1:21">
      <c r="A2" s="150" t="s">
        <v>105</v>
      </c>
      <c r="B2" s="150">
        <v>6</v>
      </c>
      <c r="C2" s="150">
        <v>3</v>
      </c>
      <c r="D2" s="150">
        <v>12</v>
      </c>
      <c r="E2" s="151">
        <v>7</v>
      </c>
      <c r="F2" s="151">
        <v>10</v>
      </c>
      <c r="G2" s="151">
        <v>5</v>
      </c>
      <c r="H2" s="151">
        <v>6</v>
      </c>
      <c r="I2" s="151">
        <v>0</v>
      </c>
      <c r="J2" s="151">
        <v>0</v>
      </c>
      <c r="K2" s="151">
        <v>3</v>
      </c>
      <c r="L2" s="152">
        <v>-7</v>
      </c>
      <c r="M2" s="152">
        <f t="shared" ref="M2:U2" si="0">C2-B2</f>
        <v>-3</v>
      </c>
      <c r="N2" s="153">
        <f t="shared" si="0"/>
        <v>9</v>
      </c>
      <c r="O2" s="154">
        <f t="shared" si="0"/>
        <v>-5</v>
      </c>
      <c r="P2" s="154">
        <f t="shared" si="0"/>
        <v>3</v>
      </c>
      <c r="Q2" s="154">
        <f t="shared" si="0"/>
        <v>-5</v>
      </c>
      <c r="R2" s="154">
        <f t="shared" si="0"/>
        <v>1</v>
      </c>
      <c r="S2" s="154">
        <f t="shared" si="0"/>
        <v>-6</v>
      </c>
      <c r="T2" s="154">
        <f t="shared" si="0"/>
        <v>0</v>
      </c>
      <c r="U2" s="154">
        <f t="shared" si="0"/>
        <v>3</v>
      </c>
    </row>
    <row r="3" ht="42" customHeight="1" spans="1:21">
      <c r="A3" s="151" t="s">
        <v>106</v>
      </c>
      <c r="B3" s="150">
        <v>24</v>
      </c>
      <c r="C3" s="150">
        <v>15</v>
      </c>
      <c r="D3" s="155">
        <v>13</v>
      </c>
      <c r="E3" s="151">
        <v>12</v>
      </c>
      <c r="F3" s="151">
        <v>9</v>
      </c>
      <c r="G3" s="151">
        <v>5</v>
      </c>
      <c r="H3" s="151">
        <v>5</v>
      </c>
      <c r="I3" s="151">
        <v>5</v>
      </c>
      <c r="J3" s="151">
        <v>10</v>
      </c>
      <c r="K3" s="151">
        <v>19</v>
      </c>
      <c r="L3" s="152">
        <v>11</v>
      </c>
      <c r="M3" s="152">
        <f t="shared" ref="M3:U3" si="1">C3-B3</f>
        <v>-9</v>
      </c>
      <c r="N3" s="156">
        <f t="shared" si="1"/>
        <v>-2</v>
      </c>
      <c r="O3" s="152">
        <f t="shared" si="1"/>
        <v>-1</v>
      </c>
      <c r="P3" s="152">
        <f t="shared" si="1"/>
        <v>-3</v>
      </c>
      <c r="Q3" s="152">
        <f t="shared" si="1"/>
        <v>-4</v>
      </c>
      <c r="R3" s="152">
        <f t="shared" si="1"/>
        <v>0</v>
      </c>
      <c r="S3" s="152">
        <f t="shared" si="1"/>
        <v>0</v>
      </c>
      <c r="T3" s="152">
        <f t="shared" si="1"/>
        <v>5</v>
      </c>
      <c r="U3" s="152">
        <f t="shared" si="1"/>
        <v>9</v>
      </c>
    </row>
    <row r="4" ht="42" customHeight="1" spans="1:21">
      <c r="A4" s="150" t="s">
        <v>107</v>
      </c>
      <c r="B4" s="150">
        <v>2</v>
      </c>
      <c r="C4" s="150">
        <v>2</v>
      </c>
      <c r="D4" s="150">
        <v>2</v>
      </c>
      <c r="E4" s="151">
        <v>0</v>
      </c>
      <c r="F4" s="151">
        <v>0</v>
      </c>
      <c r="G4" s="151">
        <v>0</v>
      </c>
      <c r="H4" s="151">
        <v>0</v>
      </c>
      <c r="I4" s="151">
        <v>0</v>
      </c>
      <c r="J4" s="151">
        <v>0</v>
      </c>
      <c r="K4" s="151">
        <v>0</v>
      </c>
      <c r="L4" s="152">
        <v>-1</v>
      </c>
      <c r="M4" s="152">
        <f t="shared" ref="M4:U4" si="2">C4-B4</f>
        <v>0</v>
      </c>
      <c r="N4" s="156">
        <f t="shared" si="2"/>
        <v>0</v>
      </c>
      <c r="O4" s="152">
        <f t="shared" si="2"/>
        <v>-2</v>
      </c>
      <c r="P4" s="152">
        <f t="shared" si="2"/>
        <v>0</v>
      </c>
      <c r="Q4" s="152">
        <f t="shared" si="2"/>
        <v>0</v>
      </c>
      <c r="R4" s="152">
        <f t="shared" si="2"/>
        <v>0</v>
      </c>
      <c r="S4" s="152">
        <f t="shared" si="2"/>
        <v>0</v>
      </c>
      <c r="T4" s="152">
        <f t="shared" si="2"/>
        <v>0</v>
      </c>
      <c r="U4" s="152">
        <f t="shared" si="2"/>
        <v>0</v>
      </c>
    </row>
    <row r="5" ht="42" customHeight="1" spans="1:21">
      <c r="A5" s="150" t="s">
        <v>108</v>
      </c>
      <c r="B5" s="150">
        <v>0</v>
      </c>
      <c r="C5" s="150">
        <v>1</v>
      </c>
      <c r="D5" s="150">
        <v>1</v>
      </c>
      <c r="E5" s="151">
        <v>1</v>
      </c>
      <c r="F5" s="151">
        <v>3</v>
      </c>
      <c r="G5" s="151">
        <v>2</v>
      </c>
      <c r="H5" s="151">
        <v>1</v>
      </c>
      <c r="I5" s="151">
        <v>0</v>
      </c>
      <c r="J5" s="151">
        <v>0</v>
      </c>
      <c r="K5" s="151">
        <v>0</v>
      </c>
      <c r="L5" s="152">
        <v>0</v>
      </c>
      <c r="M5" s="152">
        <f t="shared" ref="M5:U5" si="3">C5-B5</f>
        <v>1</v>
      </c>
      <c r="N5" s="156">
        <f t="shared" si="3"/>
        <v>0</v>
      </c>
      <c r="O5" s="152">
        <f t="shared" si="3"/>
        <v>0</v>
      </c>
      <c r="P5" s="152">
        <f t="shared" si="3"/>
        <v>2</v>
      </c>
      <c r="Q5" s="152">
        <f t="shared" si="3"/>
        <v>-1</v>
      </c>
      <c r="R5" s="152">
        <f t="shared" si="3"/>
        <v>-1</v>
      </c>
      <c r="S5" s="152">
        <f t="shared" si="3"/>
        <v>-1</v>
      </c>
      <c r="T5" s="152">
        <f t="shared" si="3"/>
        <v>0</v>
      </c>
      <c r="U5" s="152">
        <f t="shared" si="3"/>
        <v>0</v>
      </c>
    </row>
    <row r="6" ht="42" customHeight="1" spans="1:21">
      <c r="A6" s="157" t="s">
        <v>96</v>
      </c>
      <c r="B6" s="145"/>
      <c r="C6" s="157">
        <v>13</v>
      </c>
      <c r="D6" s="150"/>
      <c r="E6" s="151"/>
      <c r="F6" s="151"/>
      <c r="G6" s="151"/>
      <c r="H6" s="151"/>
      <c r="I6" s="151"/>
      <c r="J6" s="151"/>
      <c r="K6" s="151"/>
      <c r="L6" s="152"/>
      <c r="M6" s="152"/>
      <c r="N6" s="156"/>
      <c r="O6" s="152"/>
      <c r="P6" s="152"/>
      <c r="Q6" s="152"/>
      <c r="R6" s="152"/>
      <c r="S6" s="152"/>
      <c r="T6" s="152"/>
      <c r="U6" s="152"/>
    </row>
    <row r="7" ht="42" customHeight="1" spans="1:21">
      <c r="A7" s="150" t="s">
        <v>71</v>
      </c>
      <c r="B7" s="145">
        <f>SUM(B2:B5)</f>
        <v>32</v>
      </c>
      <c r="C7" s="145">
        <f t="shared" ref="C7:Q7" si="4">SUM(C2:C6)</f>
        <v>34</v>
      </c>
      <c r="D7" s="145">
        <f t="shared" si="4"/>
        <v>28</v>
      </c>
      <c r="E7" s="145">
        <f t="shared" si="4"/>
        <v>20</v>
      </c>
      <c r="F7" s="145">
        <f t="shared" si="4"/>
        <v>22</v>
      </c>
      <c r="G7" s="145">
        <f t="shared" si="4"/>
        <v>12</v>
      </c>
      <c r="H7" s="145">
        <f t="shared" si="4"/>
        <v>12</v>
      </c>
      <c r="I7" s="145">
        <f t="shared" si="4"/>
        <v>5</v>
      </c>
      <c r="J7" s="145">
        <f t="shared" si="4"/>
        <v>10</v>
      </c>
      <c r="K7" s="145">
        <f t="shared" si="4"/>
        <v>22</v>
      </c>
      <c r="L7" s="145">
        <f t="shared" si="4"/>
        <v>3</v>
      </c>
      <c r="M7" s="145">
        <f t="shared" si="4"/>
        <v>-11</v>
      </c>
      <c r="N7" s="145">
        <f t="shared" si="4"/>
        <v>7</v>
      </c>
      <c r="O7" s="145">
        <f t="shared" si="4"/>
        <v>-8</v>
      </c>
      <c r="P7" s="145">
        <f t="shared" si="4"/>
        <v>2</v>
      </c>
      <c r="Q7" s="145">
        <f t="shared" si="4"/>
        <v>-10</v>
      </c>
      <c r="R7" s="152">
        <f>H7-G7</f>
        <v>0</v>
      </c>
      <c r="S7" s="152">
        <f>I7-H7</f>
        <v>-7</v>
      </c>
      <c r="T7" s="152">
        <f>J7-I7</f>
        <v>5</v>
      </c>
      <c r="U7" s="152">
        <f>K7-J7</f>
        <v>12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AD1048551"/>
  <sheetViews>
    <sheetView zoomScale="85" zoomScaleNormal="85" workbookViewId="0">
      <selection activeCell="O17" sqref="O17"/>
    </sheetView>
  </sheetViews>
  <sheetFormatPr defaultColWidth="9" defaultRowHeight="13.5"/>
  <cols>
    <col min="1" max="1" width="9" style="1"/>
    <col min="2" max="2" width="9" style="2"/>
    <col min="3" max="4" width="9.875" style="2"/>
    <col min="5" max="6" width="9" style="2"/>
    <col min="7" max="12" width="9" style="3"/>
    <col min="13" max="15" width="9" style="89"/>
    <col min="16" max="16" width="9" style="90"/>
    <col min="17" max="17" width="9" style="91"/>
    <col min="18" max="20" width="9" style="3"/>
    <col min="21" max="21" width="9" style="4"/>
    <col min="22" max="27" width="9" style="3"/>
    <col min="28" max="28" width="9" style="4"/>
    <col min="29" max="30" width="9" style="5"/>
  </cols>
  <sheetData>
    <row r="1" customFormat="1" ht="45" spans="1:30">
      <c r="A1" s="92" t="s">
        <v>109</v>
      </c>
      <c r="B1" s="93" t="s">
        <v>110</v>
      </c>
      <c r="C1" s="94" t="s">
        <v>111</v>
      </c>
      <c r="D1" s="93" t="s">
        <v>112</v>
      </c>
      <c r="E1" s="93" t="s">
        <v>113</v>
      </c>
      <c r="F1" s="93" t="s">
        <v>114</v>
      </c>
      <c r="G1" s="95" t="s">
        <v>115</v>
      </c>
      <c r="H1" s="96" t="s">
        <v>116</v>
      </c>
      <c r="I1" s="96" t="s">
        <v>117</v>
      </c>
      <c r="J1" s="97" t="s">
        <v>118</v>
      </c>
      <c r="K1" s="97" t="s">
        <v>119</v>
      </c>
      <c r="L1" s="97" t="s">
        <v>117</v>
      </c>
      <c r="M1" s="98" t="s">
        <v>120</v>
      </c>
      <c r="N1" s="98" t="s">
        <v>121</v>
      </c>
      <c r="O1" s="97" t="s">
        <v>117</v>
      </c>
      <c r="P1" s="99" t="s">
        <v>122</v>
      </c>
      <c r="Q1" s="100" t="s">
        <v>123</v>
      </c>
      <c r="R1" s="101" t="s">
        <v>124</v>
      </c>
      <c r="S1" s="101" t="s">
        <v>125</v>
      </c>
      <c r="T1" s="102" t="s">
        <v>126</v>
      </c>
      <c r="U1" s="103" t="s">
        <v>127</v>
      </c>
      <c r="V1" s="104" t="s">
        <v>128</v>
      </c>
      <c r="W1" s="104" t="s">
        <v>129</v>
      </c>
      <c r="X1" s="105" t="s">
        <v>130</v>
      </c>
      <c r="Y1" s="106" t="s">
        <v>131</v>
      </c>
      <c r="Z1" s="105" t="s">
        <v>132</v>
      </c>
      <c r="AA1" s="107" t="s">
        <v>133</v>
      </c>
      <c r="AB1" s="108" t="s">
        <v>134</v>
      </c>
      <c r="AC1" s="109" t="s">
        <v>135</v>
      </c>
      <c r="AD1" s="109" t="s">
        <v>136</v>
      </c>
    </row>
    <row r="2" customFormat="1" ht="33" spans="1:30">
      <c r="A2" s="110">
        <v>12252</v>
      </c>
      <c r="B2" s="111" t="s">
        <v>137</v>
      </c>
      <c r="C2" s="112">
        <v>46085</v>
      </c>
      <c r="D2" s="113">
        <v>46089</v>
      </c>
      <c r="E2" s="114" t="s">
        <v>21</v>
      </c>
      <c r="F2" s="114" t="s">
        <v>12</v>
      </c>
      <c r="G2" s="114" t="s">
        <v>68</v>
      </c>
      <c r="H2" s="115">
        <v>1</v>
      </c>
      <c r="I2" s="116">
        <v>1</v>
      </c>
      <c r="J2" s="115">
        <v>9</v>
      </c>
      <c r="K2" s="115">
        <v>7</v>
      </c>
      <c r="L2" s="116">
        <f t="shared" ref="L2:L19" si="0">K2-J2</f>
        <v>-2</v>
      </c>
      <c r="M2" s="117">
        <v>0</v>
      </c>
      <c r="N2" s="117">
        <v>0.125</v>
      </c>
      <c r="O2" s="117">
        <f t="shared" ref="O2:O19" si="1">N2-M2</f>
        <v>0.125</v>
      </c>
      <c r="P2" s="118">
        <v>13</v>
      </c>
      <c r="Q2" s="119">
        <v>0</v>
      </c>
      <c r="R2" s="120" t="s">
        <v>138</v>
      </c>
      <c r="S2" s="120" t="s">
        <v>138</v>
      </c>
      <c r="T2" s="120" t="s">
        <v>139</v>
      </c>
      <c r="U2" s="121" t="s">
        <v>140</v>
      </c>
      <c r="V2" s="120" t="s">
        <v>140</v>
      </c>
      <c r="W2" s="120" t="s">
        <v>140</v>
      </c>
      <c r="X2" s="115" t="s">
        <v>105</v>
      </c>
      <c r="Y2" s="115" t="s">
        <v>141</v>
      </c>
      <c r="Z2" s="115" t="s">
        <v>105</v>
      </c>
      <c r="AA2" s="115" t="s">
        <v>138</v>
      </c>
      <c r="AB2" s="122" t="s">
        <v>142</v>
      </c>
      <c r="AC2" s="117">
        <v>0.07</v>
      </c>
      <c r="AD2" s="117">
        <v>0.05</v>
      </c>
    </row>
    <row r="3" customFormat="1" ht="33" spans="1:30">
      <c r="A3" s="123">
        <v>12165</v>
      </c>
      <c r="B3" s="124" t="s">
        <v>143</v>
      </c>
      <c r="C3" s="125">
        <v>46085</v>
      </c>
      <c r="D3" s="113">
        <v>46093</v>
      </c>
      <c r="E3" s="114" t="s">
        <v>25</v>
      </c>
      <c r="F3" s="114" t="s">
        <v>14</v>
      </c>
      <c r="G3" s="114" t="s">
        <v>68</v>
      </c>
      <c r="H3" s="115">
        <v>1</v>
      </c>
      <c r="I3" s="116">
        <v>1</v>
      </c>
      <c r="J3" s="115">
        <v>3</v>
      </c>
      <c r="K3" s="115">
        <v>1</v>
      </c>
      <c r="L3" s="116">
        <f t="shared" si="0"/>
        <v>-2</v>
      </c>
      <c r="M3" s="117">
        <v>0</v>
      </c>
      <c r="N3" s="117">
        <v>0</v>
      </c>
      <c r="O3" s="117">
        <f t="shared" si="1"/>
        <v>0</v>
      </c>
      <c r="P3" s="118">
        <v>12</v>
      </c>
      <c r="Q3" s="119">
        <v>19</v>
      </c>
      <c r="R3" s="120" t="s">
        <v>138</v>
      </c>
      <c r="S3" s="120" t="s">
        <v>138</v>
      </c>
      <c r="T3" s="120" t="s">
        <v>139</v>
      </c>
      <c r="U3" s="121" t="s">
        <v>139</v>
      </c>
      <c r="V3" s="120" t="s">
        <v>140</v>
      </c>
      <c r="W3" s="120" t="s">
        <v>140</v>
      </c>
      <c r="X3" s="115" t="s">
        <v>105</v>
      </c>
      <c r="Y3" s="115" t="s">
        <v>144</v>
      </c>
      <c r="Z3" s="115" t="s">
        <v>105</v>
      </c>
      <c r="AA3" s="115" t="s">
        <v>142</v>
      </c>
      <c r="AB3" s="122" t="s">
        <v>142</v>
      </c>
      <c r="AC3" s="117">
        <v>0.05</v>
      </c>
      <c r="AD3" s="117">
        <v>0.02</v>
      </c>
    </row>
    <row r="4" customFormat="1" ht="33" spans="1:30">
      <c r="A4" s="123">
        <v>12248</v>
      </c>
      <c r="B4" s="124" t="s">
        <v>145</v>
      </c>
      <c r="C4" s="125">
        <v>46085</v>
      </c>
      <c r="D4" s="113">
        <v>46091</v>
      </c>
      <c r="E4" s="114" t="s">
        <v>21</v>
      </c>
      <c r="F4" s="114" t="s">
        <v>17</v>
      </c>
      <c r="G4" s="114" t="s">
        <v>68</v>
      </c>
      <c r="H4" s="115">
        <v>3</v>
      </c>
      <c r="I4" s="116">
        <v>0</v>
      </c>
      <c r="J4" s="115">
        <v>4</v>
      </c>
      <c r="K4" s="115">
        <v>1</v>
      </c>
      <c r="L4" s="116">
        <f t="shared" si="0"/>
        <v>-3</v>
      </c>
      <c r="M4" s="117">
        <v>0.5</v>
      </c>
      <c r="N4" s="117">
        <v>0.75</v>
      </c>
      <c r="O4" s="117">
        <f t="shared" si="1"/>
        <v>0.25</v>
      </c>
      <c r="P4" s="118">
        <v>12</v>
      </c>
      <c r="Q4" s="119">
        <v>0</v>
      </c>
      <c r="R4" s="120" t="s">
        <v>138</v>
      </c>
      <c r="S4" s="120" t="s">
        <v>138</v>
      </c>
      <c r="T4" s="120" t="s">
        <v>139</v>
      </c>
      <c r="U4" s="121" t="s">
        <v>140</v>
      </c>
      <c r="V4" s="120" t="s">
        <v>140</v>
      </c>
      <c r="W4" s="120" t="s">
        <v>140</v>
      </c>
      <c r="X4" s="115" t="s">
        <v>105</v>
      </c>
      <c r="Y4" s="115" t="s">
        <v>141</v>
      </c>
      <c r="Z4" s="115" t="s">
        <v>140</v>
      </c>
      <c r="AA4" s="115" t="s">
        <v>138</v>
      </c>
      <c r="AB4" s="122" t="s">
        <v>142</v>
      </c>
      <c r="AC4" s="117">
        <v>0.04</v>
      </c>
      <c r="AD4" s="117">
        <v>0.02</v>
      </c>
    </row>
    <row r="5" customFormat="1" ht="49.5" spans="1:30">
      <c r="A5" s="110">
        <v>12205</v>
      </c>
      <c r="B5" s="111" t="s">
        <v>146</v>
      </c>
      <c r="C5" s="112">
        <v>46086</v>
      </c>
      <c r="D5" s="113">
        <v>46089</v>
      </c>
      <c r="E5" s="114" t="s">
        <v>21</v>
      </c>
      <c r="F5" s="114" t="s">
        <v>12</v>
      </c>
      <c r="G5" s="114" t="s">
        <v>68</v>
      </c>
      <c r="H5" s="115">
        <v>10</v>
      </c>
      <c r="I5" s="116">
        <v>-5</v>
      </c>
      <c r="J5" s="115">
        <v>21</v>
      </c>
      <c r="K5" s="115">
        <v>20</v>
      </c>
      <c r="L5" s="116">
        <f t="shared" si="0"/>
        <v>-1</v>
      </c>
      <c r="M5" s="117">
        <v>0.3824</v>
      </c>
      <c r="N5" s="117">
        <v>0.3548</v>
      </c>
      <c r="O5" s="117">
        <f t="shared" si="1"/>
        <v>-0.0276</v>
      </c>
      <c r="P5" s="118">
        <v>8</v>
      </c>
      <c r="Q5" s="119">
        <v>0</v>
      </c>
      <c r="R5" s="120" t="s">
        <v>138</v>
      </c>
      <c r="S5" s="120" t="s">
        <v>138</v>
      </c>
      <c r="T5" s="120" t="s">
        <v>139</v>
      </c>
      <c r="U5" s="121" t="s">
        <v>140</v>
      </c>
      <c r="V5" s="120" t="s">
        <v>140</v>
      </c>
      <c r="W5" s="120" t="s">
        <v>140</v>
      </c>
      <c r="X5" s="115" t="s">
        <v>105</v>
      </c>
      <c r="Y5" s="115" t="s">
        <v>141</v>
      </c>
      <c r="Z5" s="115" t="s">
        <v>105</v>
      </c>
      <c r="AA5" s="115" t="s">
        <v>138</v>
      </c>
      <c r="AB5" s="122" t="s">
        <v>142</v>
      </c>
      <c r="AC5" s="117">
        <v>0.07</v>
      </c>
      <c r="AD5" s="117">
        <v>0.05</v>
      </c>
    </row>
    <row r="6" customFormat="1" ht="49.5" spans="1:30">
      <c r="A6" s="110">
        <v>12206</v>
      </c>
      <c r="B6" s="111" t="s">
        <v>147</v>
      </c>
      <c r="C6" s="112">
        <v>46086</v>
      </c>
      <c r="D6" s="113">
        <v>46094</v>
      </c>
      <c r="E6" s="114" t="s">
        <v>21</v>
      </c>
      <c r="F6" s="114" t="s">
        <v>12</v>
      </c>
      <c r="G6" s="114" t="s">
        <v>68</v>
      </c>
      <c r="H6" s="115">
        <v>2</v>
      </c>
      <c r="I6" s="116">
        <v>0</v>
      </c>
      <c r="J6" s="115">
        <v>9</v>
      </c>
      <c r="K6" s="115">
        <v>6</v>
      </c>
      <c r="L6" s="116">
        <f t="shared" si="0"/>
        <v>-3</v>
      </c>
      <c r="M6" s="117">
        <v>0.1818</v>
      </c>
      <c r="N6" s="117">
        <v>0.25</v>
      </c>
      <c r="O6" s="117">
        <f t="shared" si="1"/>
        <v>0.0682</v>
      </c>
      <c r="P6" s="118">
        <v>8</v>
      </c>
      <c r="Q6" s="119">
        <v>0</v>
      </c>
      <c r="R6" s="120" t="s">
        <v>138</v>
      </c>
      <c r="S6" s="120" t="s">
        <v>138</v>
      </c>
      <c r="T6" s="120" t="s">
        <v>139</v>
      </c>
      <c r="U6" s="121" t="s">
        <v>140</v>
      </c>
      <c r="V6" s="120" t="s">
        <v>140</v>
      </c>
      <c r="W6" s="120" t="s">
        <v>140</v>
      </c>
      <c r="X6" s="115" t="s">
        <v>105</v>
      </c>
      <c r="Y6" s="115" t="s">
        <v>141</v>
      </c>
      <c r="Z6" s="115" t="s">
        <v>105</v>
      </c>
      <c r="AA6" s="115" t="s">
        <v>138</v>
      </c>
      <c r="AB6" s="122" t="s">
        <v>142</v>
      </c>
      <c r="AC6" s="117">
        <v>0.05</v>
      </c>
      <c r="AD6" s="117">
        <v>0.04</v>
      </c>
    </row>
    <row r="7" customFormat="1" ht="33" spans="1:30">
      <c r="A7" s="123">
        <v>12085</v>
      </c>
      <c r="B7" s="124" t="s">
        <v>148</v>
      </c>
      <c r="C7" s="125">
        <v>46092</v>
      </c>
      <c r="D7" s="113">
        <v>46099</v>
      </c>
      <c r="E7" s="114" t="s">
        <v>26</v>
      </c>
      <c r="F7" s="114" t="s">
        <v>15</v>
      </c>
      <c r="G7" s="114" t="s">
        <v>69</v>
      </c>
      <c r="H7" s="115">
        <v>2</v>
      </c>
      <c r="I7" s="116">
        <v>1</v>
      </c>
      <c r="J7" s="115">
        <v>3</v>
      </c>
      <c r="K7" s="115">
        <v>1</v>
      </c>
      <c r="L7" s="116">
        <f t="shared" si="0"/>
        <v>-2</v>
      </c>
      <c r="M7" s="117">
        <v>0</v>
      </c>
      <c r="N7" s="117">
        <v>0.6667</v>
      </c>
      <c r="O7" s="117">
        <f t="shared" si="1"/>
        <v>0.6667</v>
      </c>
      <c r="P7" s="118">
        <v>12</v>
      </c>
      <c r="Q7" s="119">
        <v>1</v>
      </c>
      <c r="R7" s="120" t="s">
        <v>138</v>
      </c>
      <c r="S7" s="120" t="s">
        <v>138</v>
      </c>
      <c r="T7" s="120" t="s">
        <v>139</v>
      </c>
      <c r="U7" s="121" t="s">
        <v>140</v>
      </c>
      <c r="V7" s="120" t="s">
        <v>140</v>
      </c>
      <c r="W7" s="120" t="s">
        <v>140</v>
      </c>
      <c r="X7" s="115" t="s">
        <v>105</v>
      </c>
      <c r="Y7" s="126" t="s">
        <v>149</v>
      </c>
      <c r="Z7" s="115" t="s">
        <v>105</v>
      </c>
      <c r="AA7" s="115" t="s">
        <v>142</v>
      </c>
      <c r="AB7" s="122" t="s">
        <v>142</v>
      </c>
      <c r="AC7" s="117">
        <v>0.02</v>
      </c>
      <c r="AD7" s="117">
        <v>0.02</v>
      </c>
    </row>
    <row r="8" customFormat="1" ht="33" spans="1:30">
      <c r="A8" s="123">
        <v>12086</v>
      </c>
      <c r="B8" s="124" t="s">
        <v>150</v>
      </c>
      <c r="C8" s="125">
        <v>46092</v>
      </c>
      <c r="D8" s="113">
        <v>46100</v>
      </c>
      <c r="E8" s="114" t="s">
        <v>26</v>
      </c>
      <c r="F8" s="114" t="s">
        <v>15</v>
      </c>
      <c r="G8" s="114" t="s">
        <v>68</v>
      </c>
      <c r="H8" s="115">
        <v>3</v>
      </c>
      <c r="I8" s="116">
        <v>-5</v>
      </c>
      <c r="J8" s="115">
        <v>4</v>
      </c>
      <c r="K8" s="115">
        <v>1</v>
      </c>
      <c r="L8" s="116">
        <f t="shared" si="0"/>
        <v>-3</v>
      </c>
      <c r="M8" s="117">
        <v>0.6364</v>
      </c>
      <c r="N8" s="117">
        <v>0.75</v>
      </c>
      <c r="O8" s="117">
        <f t="shared" si="1"/>
        <v>0.1136</v>
      </c>
      <c r="P8" s="118">
        <v>9</v>
      </c>
      <c r="Q8" s="119">
        <v>1</v>
      </c>
      <c r="R8" s="120" t="s">
        <v>138</v>
      </c>
      <c r="S8" s="120" t="s">
        <v>138</v>
      </c>
      <c r="T8" s="120" t="s">
        <v>139</v>
      </c>
      <c r="U8" s="121" t="s">
        <v>140</v>
      </c>
      <c r="V8" s="120" t="s">
        <v>140</v>
      </c>
      <c r="W8" s="120" t="s">
        <v>140</v>
      </c>
      <c r="X8" s="115" t="s">
        <v>105</v>
      </c>
      <c r="Y8" s="115" t="s">
        <v>149</v>
      </c>
      <c r="Z8" s="115" t="s">
        <v>140</v>
      </c>
      <c r="AA8" s="115" t="s">
        <v>142</v>
      </c>
      <c r="AB8" s="122" t="s">
        <v>142</v>
      </c>
      <c r="AC8" s="117">
        <v>0.02</v>
      </c>
      <c r="AD8" s="117">
        <v>0.02</v>
      </c>
    </row>
    <row r="9" customFormat="1" ht="33" spans="1:30">
      <c r="A9" s="123">
        <v>12258</v>
      </c>
      <c r="B9" s="124" t="s">
        <v>151</v>
      </c>
      <c r="C9" s="125">
        <v>46092</v>
      </c>
      <c r="D9" s="113">
        <v>46099</v>
      </c>
      <c r="E9" s="114" t="s">
        <v>26</v>
      </c>
      <c r="F9" s="114" t="s">
        <v>15</v>
      </c>
      <c r="G9" s="114" t="s">
        <v>68</v>
      </c>
      <c r="H9" s="115">
        <v>13</v>
      </c>
      <c r="I9" s="116">
        <v>6</v>
      </c>
      <c r="J9" s="115">
        <v>19</v>
      </c>
      <c r="K9" s="115">
        <v>17</v>
      </c>
      <c r="L9" s="116">
        <f t="shared" si="0"/>
        <v>-2</v>
      </c>
      <c r="M9" s="117">
        <v>0.24</v>
      </c>
      <c r="N9" s="117">
        <v>0.3462</v>
      </c>
      <c r="O9" s="117">
        <f t="shared" si="1"/>
        <v>0.1062</v>
      </c>
      <c r="P9" s="118">
        <v>9</v>
      </c>
      <c r="Q9" s="119">
        <v>0</v>
      </c>
      <c r="R9" s="120" t="s">
        <v>138</v>
      </c>
      <c r="S9" s="120" t="s">
        <v>138</v>
      </c>
      <c r="T9" s="120" t="s">
        <v>139</v>
      </c>
      <c r="U9" s="121" t="s">
        <v>140</v>
      </c>
      <c r="V9" s="120" t="s">
        <v>140</v>
      </c>
      <c r="W9" s="120" t="s">
        <v>140</v>
      </c>
      <c r="X9" s="115" t="s">
        <v>105</v>
      </c>
      <c r="Y9" s="115" t="s">
        <v>141</v>
      </c>
      <c r="Z9" s="115" t="s">
        <v>105</v>
      </c>
      <c r="AA9" s="115" t="s">
        <v>142</v>
      </c>
      <c r="AB9" s="122" t="s">
        <v>142</v>
      </c>
      <c r="AC9" s="117">
        <v>0.02</v>
      </c>
      <c r="AD9" s="117">
        <v>0.02</v>
      </c>
    </row>
    <row r="10" customFormat="1" ht="33" spans="1:30">
      <c r="A10" s="123">
        <v>12210</v>
      </c>
      <c r="B10" s="124" t="s">
        <v>152</v>
      </c>
      <c r="C10" s="125">
        <v>46092</v>
      </c>
      <c r="D10" s="113">
        <v>46104</v>
      </c>
      <c r="E10" s="114" t="s">
        <v>26</v>
      </c>
      <c r="F10" s="114" t="s">
        <v>18</v>
      </c>
      <c r="G10" s="114" t="s">
        <v>68</v>
      </c>
      <c r="H10" s="115">
        <v>6</v>
      </c>
      <c r="I10" s="116">
        <v>4</v>
      </c>
      <c r="J10" s="115">
        <v>26</v>
      </c>
      <c r="K10" s="115">
        <v>20</v>
      </c>
      <c r="L10" s="116">
        <f t="shared" si="0"/>
        <v>-6</v>
      </c>
      <c r="M10" s="117">
        <v>0.0714</v>
      </c>
      <c r="N10" s="117">
        <v>0.1667</v>
      </c>
      <c r="O10" s="117">
        <f t="shared" si="1"/>
        <v>0.0953</v>
      </c>
      <c r="P10" s="118">
        <v>12</v>
      </c>
      <c r="Q10" s="119">
        <v>0</v>
      </c>
      <c r="R10" s="120" t="s">
        <v>142</v>
      </c>
      <c r="S10" s="120" t="s">
        <v>142</v>
      </c>
      <c r="T10" s="120" t="s">
        <v>139</v>
      </c>
      <c r="U10" s="121" t="s">
        <v>140</v>
      </c>
      <c r="V10" s="120" t="s">
        <v>140</v>
      </c>
      <c r="W10" s="120" t="s">
        <v>140</v>
      </c>
      <c r="X10" s="115" t="s">
        <v>105</v>
      </c>
      <c r="Y10" s="115" t="s">
        <v>141</v>
      </c>
      <c r="Z10" s="115" t="s">
        <v>105</v>
      </c>
      <c r="AA10" s="115" t="s">
        <v>138</v>
      </c>
      <c r="AB10" s="122" t="s">
        <v>138</v>
      </c>
      <c r="AC10" s="117">
        <v>0</v>
      </c>
      <c r="AD10" s="117">
        <v>0</v>
      </c>
    </row>
    <row r="11" customFormat="1" ht="33" spans="1:30">
      <c r="A11" s="123">
        <v>12305</v>
      </c>
      <c r="B11" s="124" t="s">
        <v>153</v>
      </c>
      <c r="C11" s="125">
        <v>46097</v>
      </c>
      <c r="D11" s="113">
        <v>46100</v>
      </c>
      <c r="E11" s="114" t="s">
        <v>23</v>
      </c>
      <c r="F11" s="114" t="s">
        <v>12</v>
      </c>
      <c r="G11" s="114" t="s">
        <v>68</v>
      </c>
      <c r="H11" s="115">
        <v>3</v>
      </c>
      <c r="I11" s="116">
        <v>2</v>
      </c>
      <c r="J11" s="115">
        <v>2</v>
      </c>
      <c r="K11" s="115">
        <v>3</v>
      </c>
      <c r="L11" s="116">
        <f t="shared" si="0"/>
        <v>1</v>
      </c>
      <c r="M11" s="117">
        <v>0.5</v>
      </c>
      <c r="N11" s="117">
        <v>0.4</v>
      </c>
      <c r="O11" s="117">
        <f t="shared" si="1"/>
        <v>-0.1</v>
      </c>
      <c r="P11" s="118">
        <v>8</v>
      </c>
      <c r="Q11" s="119">
        <v>0</v>
      </c>
      <c r="R11" s="120" t="s">
        <v>138</v>
      </c>
      <c r="S11" s="120" t="s">
        <v>138</v>
      </c>
      <c r="T11" s="120" t="s">
        <v>139</v>
      </c>
      <c r="U11" s="121" t="s">
        <v>140</v>
      </c>
      <c r="V11" s="120" t="s">
        <v>140</v>
      </c>
      <c r="W11" s="120" t="s">
        <v>140</v>
      </c>
      <c r="X11" s="115" t="s">
        <v>105</v>
      </c>
      <c r="Y11" s="126" t="s">
        <v>149</v>
      </c>
      <c r="Z11" s="115" t="s">
        <v>105</v>
      </c>
      <c r="AA11" s="115" t="s">
        <v>138</v>
      </c>
      <c r="AB11" s="122" t="s">
        <v>142</v>
      </c>
      <c r="AC11" s="117">
        <v>0.02</v>
      </c>
      <c r="AD11" s="117">
        <v>0.02</v>
      </c>
    </row>
    <row r="12" s="88" customFormat="1" ht="33" spans="1:30">
      <c r="A12" s="127">
        <v>12298</v>
      </c>
      <c r="B12" s="128" t="s">
        <v>154</v>
      </c>
      <c r="C12" s="129">
        <v>46099</v>
      </c>
      <c r="D12" s="130" t="s">
        <v>101</v>
      </c>
      <c r="E12" s="131" t="s">
        <v>25</v>
      </c>
      <c r="F12" s="131" t="s">
        <v>12</v>
      </c>
      <c r="G12" s="131" t="s">
        <v>69</v>
      </c>
      <c r="H12" s="132">
        <v>0</v>
      </c>
      <c r="I12" s="133">
        <v>0</v>
      </c>
      <c r="J12" s="132">
        <v>0</v>
      </c>
      <c r="K12" s="132">
        <v>3</v>
      </c>
      <c r="L12" s="133">
        <f t="shared" si="0"/>
        <v>3</v>
      </c>
      <c r="M12" s="134" t="s">
        <v>155</v>
      </c>
      <c r="N12" s="134">
        <v>0</v>
      </c>
      <c r="O12" s="134" t="e">
        <f t="shared" si="1"/>
        <v>#VALUE!</v>
      </c>
      <c r="P12" s="135">
        <v>9</v>
      </c>
      <c r="Q12" s="136">
        <v>6</v>
      </c>
      <c r="R12" s="137" t="s">
        <v>101</v>
      </c>
      <c r="S12" s="138" t="s">
        <v>101</v>
      </c>
      <c r="T12" s="137" t="s">
        <v>140</v>
      </c>
      <c r="U12" s="139" t="s">
        <v>140</v>
      </c>
      <c r="V12" s="137" t="s">
        <v>140</v>
      </c>
      <c r="W12" s="137" t="s">
        <v>140</v>
      </c>
      <c r="X12" s="132" t="s">
        <v>106</v>
      </c>
      <c r="Y12" s="132" t="s">
        <v>144</v>
      </c>
      <c r="Z12" s="132" t="s">
        <v>105</v>
      </c>
      <c r="AA12" s="132" t="s">
        <v>142</v>
      </c>
      <c r="AB12" s="140" t="s">
        <v>142</v>
      </c>
      <c r="AC12" s="134">
        <v>0.04</v>
      </c>
      <c r="AD12" s="134">
        <v>0.02</v>
      </c>
    </row>
    <row r="13" customFormat="1" ht="33" spans="1:30">
      <c r="A13" s="123">
        <v>12299</v>
      </c>
      <c r="B13" s="124" t="s">
        <v>156</v>
      </c>
      <c r="C13" s="125">
        <v>46099</v>
      </c>
      <c r="D13" s="113">
        <v>46119</v>
      </c>
      <c r="E13" s="114" t="s">
        <v>25</v>
      </c>
      <c r="F13" s="114" t="s">
        <v>12</v>
      </c>
      <c r="G13" s="114" t="s">
        <v>69</v>
      </c>
      <c r="H13" s="115">
        <v>0</v>
      </c>
      <c r="I13" s="116">
        <v>0</v>
      </c>
      <c r="J13" s="115">
        <v>2</v>
      </c>
      <c r="K13" s="115">
        <v>1</v>
      </c>
      <c r="L13" s="116">
        <f t="shared" si="0"/>
        <v>-1</v>
      </c>
      <c r="M13" s="117">
        <v>0</v>
      </c>
      <c r="N13" s="117">
        <v>0</v>
      </c>
      <c r="O13" s="117">
        <f t="shared" si="1"/>
        <v>0</v>
      </c>
      <c r="P13" s="118">
        <v>8</v>
      </c>
      <c r="Q13" s="119">
        <v>15</v>
      </c>
      <c r="R13" s="120" t="s">
        <v>142</v>
      </c>
      <c r="S13" s="120" t="s">
        <v>142</v>
      </c>
      <c r="T13" s="120" t="s">
        <v>139</v>
      </c>
      <c r="U13" s="121" t="s">
        <v>139</v>
      </c>
      <c r="V13" s="120" t="s">
        <v>140</v>
      </c>
      <c r="W13" s="120" t="s">
        <v>140</v>
      </c>
      <c r="X13" s="115" t="s">
        <v>105</v>
      </c>
      <c r="Y13" s="126" t="s">
        <v>149</v>
      </c>
      <c r="Z13" s="115" t="s">
        <v>105</v>
      </c>
      <c r="AA13" s="115" t="s">
        <v>142</v>
      </c>
      <c r="AB13" s="122" t="s">
        <v>142</v>
      </c>
      <c r="AC13" s="117">
        <v>0.02</v>
      </c>
      <c r="AD13" s="117">
        <v>0.02</v>
      </c>
    </row>
    <row r="14" customFormat="1" ht="33" spans="1:30">
      <c r="A14" s="123">
        <v>12388</v>
      </c>
      <c r="B14" s="124" t="s">
        <v>157</v>
      </c>
      <c r="C14" s="125">
        <v>46105</v>
      </c>
      <c r="D14" s="113">
        <v>46125</v>
      </c>
      <c r="E14" s="114" t="s">
        <v>23</v>
      </c>
      <c r="F14" s="114" t="s">
        <v>13</v>
      </c>
      <c r="G14" s="114" t="s">
        <v>68</v>
      </c>
      <c r="H14" s="115">
        <v>0</v>
      </c>
      <c r="I14" s="116">
        <v>0</v>
      </c>
      <c r="J14" s="115">
        <v>1</v>
      </c>
      <c r="K14" s="115">
        <v>2</v>
      </c>
      <c r="L14" s="116">
        <f t="shared" si="0"/>
        <v>1</v>
      </c>
      <c r="M14" s="117">
        <v>0</v>
      </c>
      <c r="N14" s="117">
        <v>0</v>
      </c>
      <c r="O14" s="117">
        <f t="shared" si="1"/>
        <v>0</v>
      </c>
      <c r="P14" s="118">
        <v>8</v>
      </c>
      <c r="Q14" s="119">
        <v>0</v>
      </c>
      <c r="R14" s="120" t="s">
        <v>142</v>
      </c>
      <c r="S14" s="120" t="s">
        <v>142</v>
      </c>
      <c r="T14" s="120" t="s">
        <v>139</v>
      </c>
      <c r="U14" s="121" t="s">
        <v>140</v>
      </c>
      <c r="V14" s="120" t="s">
        <v>140</v>
      </c>
      <c r="W14" s="120" t="s">
        <v>140</v>
      </c>
      <c r="X14" s="115" t="s">
        <v>105</v>
      </c>
      <c r="Y14" s="115" t="s">
        <v>158</v>
      </c>
      <c r="Z14" s="115" t="s">
        <v>105</v>
      </c>
      <c r="AA14" s="115" t="s">
        <v>138</v>
      </c>
      <c r="AB14" s="122" t="s">
        <v>142</v>
      </c>
      <c r="AC14" s="117">
        <v>0</v>
      </c>
      <c r="AD14" s="117">
        <v>0.025</v>
      </c>
    </row>
    <row r="15" customFormat="1" ht="33" spans="1:30">
      <c r="A15" s="123">
        <v>12386</v>
      </c>
      <c r="B15" s="124" t="s">
        <v>159</v>
      </c>
      <c r="C15" s="125">
        <v>46108</v>
      </c>
      <c r="D15" s="113">
        <v>46123</v>
      </c>
      <c r="E15" s="114" t="s">
        <v>23</v>
      </c>
      <c r="F15" s="114" t="s">
        <v>12</v>
      </c>
      <c r="G15" s="114" t="s">
        <v>69</v>
      </c>
      <c r="H15" s="115">
        <v>1</v>
      </c>
      <c r="I15" s="116">
        <v>1</v>
      </c>
      <c r="J15" s="115">
        <v>9</v>
      </c>
      <c r="K15" s="115">
        <v>2</v>
      </c>
      <c r="L15" s="116">
        <f t="shared" si="0"/>
        <v>-7</v>
      </c>
      <c r="M15" s="117">
        <v>0</v>
      </c>
      <c r="N15" s="117">
        <v>0.3333</v>
      </c>
      <c r="O15" s="117">
        <f t="shared" si="1"/>
        <v>0.3333</v>
      </c>
      <c r="P15" s="118">
        <v>8</v>
      </c>
      <c r="Q15" s="119">
        <v>0</v>
      </c>
      <c r="R15" s="120" t="s">
        <v>142</v>
      </c>
      <c r="S15" s="120" t="s">
        <v>142</v>
      </c>
      <c r="T15" s="120" t="s">
        <v>139</v>
      </c>
      <c r="U15" s="121" t="s">
        <v>140</v>
      </c>
      <c r="V15" s="120" t="s">
        <v>140</v>
      </c>
      <c r="W15" s="120" t="s">
        <v>140</v>
      </c>
      <c r="X15" s="115" t="s">
        <v>105</v>
      </c>
      <c r="Y15" s="115" t="s">
        <v>144</v>
      </c>
      <c r="Z15" s="115" t="s">
        <v>105</v>
      </c>
      <c r="AA15" s="115" t="s">
        <v>142</v>
      </c>
      <c r="AB15" s="122" t="s">
        <v>142</v>
      </c>
      <c r="AC15" s="117">
        <v>0.03</v>
      </c>
      <c r="AD15" s="117">
        <v>0.03</v>
      </c>
    </row>
    <row r="16" customFormat="1" ht="33" spans="1:30">
      <c r="A16" s="123">
        <v>12461</v>
      </c>
      <c r="B16" s="124" t="s">
        <v>160</v>
      </c>
      <c r="C16" s="125">
        <v>46119</v>
      </c>
      <c r="D16" s="113">
        <v>46124</v>
      </c>
      <c r="E16" s="114" t="s">
        <v>23</v>
      </c>
      <c r="F16" s="114" t="s">
        <v>13</v>
      </c>
      <c r="G16" s="114" t="s">
        <v>69</v>
      </c>
      <c r="H16" s="115">
        <v>3</v>
      </c>
      <c r="I16" s="116">
        <v>0</v>
      </c>
      <c r="J16" s="115">
        <v>1</v>
      </c>
      <c r="K16" s="115">
        <v>3</v>
      </c>
      <c r="L16" s="116">
        <f t="shared" si="0"/>
        <v>2</v>
      </c>
      <c r="M16" s="117">
        <v>0.6667</v>
      </c>
      <c r="N16" s="117">
        <v>0.625</v>
      </c>
      <c r="O16" s="117">
        <f t="shared" si="1"/>
        <v>-0.0417</v>
      </c>
      <c r="P16" s="118">
        <v>8</v>
      </c>
      <c r="Q16" s="119">
        <v>0</v>
      </c>
      <c r="R16" s="120" t="s">
        <v>138</v>
      </c>
      <c r="S16" s="120" t="s">
        <v>138</v>
      </c>
      <c r="T16" s="120" t="s">
        <v>139</v>
      </c>
      <c r="U16" s="121" t="s">
        <v>140</v>
      </c>
      <c r="V16" s="120" t="s">
        <v>140</v>
      </c>
      <c r="W16" s="120" t="s">
        <v>140</v>
      </c>
      <c r="X16" s="115" t="s">
        <v>105</v>
      </c>
      <c r="Y16" s="126" t="s">
        <v>149</v>
      </c>
      <c r="Z16" s="115" t="s">
        <v>105</v>
      </c>
      <c r="AA16" s="115" t="s">
        <v>142</v>
      </c>
      <c r="AB16" s="122" t="s">
        <v>142</v>
      </c>
      <c r="AC16" s="117">
        <v>0.02</v>
      </c>
      <c r="AD16" s="117">
        <v>0.02</v>
      </c>
    </row>
    <row r="17" customFormat="1" ht="33" spans="1:30">
      <c r="A17" s="123">
        <v>12489</v>
      </c>
      <c r="B17" s="124" t="s">
        <v>161</v>
      </c>
      <c r="C17" s="125">
        <v>46122</v>
      </c>
      <c r="D17" s="113">
        <v>46126</v>
      </c>
      <c r="E17" s="114" t="s">
        <v>23</v>
      </c>
      <c r="F17" s="114" t="s">
        <v>14</v>
      </c>
      <c r="G17" s="114" t="s">
        <v>68</v>
      </c>
      <c r="H17" s="115">
        <v>7</v>
      </c>
      <c r="I17" s="116">
        <v>1</v>
      </c>
      <c r="J17" s="115">
        <v>2</v>
      </c>
      <c r="K17" s="115">
        <v>6</v>
      </c>
      <c r="L17" s="116">
        <f t="shared" si="0"/>
        <v>4</v>
      </c>
      <c r="M17" s="117">
        <v>0.6667</v>
      </c>
      <c r="N17" s="117">
        <v>0.6</v>
      </c>
      <c r="O17" s="117">
        <f t="shared" si="1"/>
        <v>-0.0667</v>
      </c>
      <c r="P17" s="118">
        <v>8</v>
      </c>
      <c r="Q17" s="119">
        <v>0</v>
      </c>
      <c r="R17" s="120" t="s">
        <v>138</v>
      </c>
      <c r="S17" s="120" t="s">
        <v>138</v>
      </c>
      <c r="T17" s="120" t="s">
        <v>139</v>
      </c>
      <c r="U17" s="121" t="s">
        <v>140</v>
      </c>
      <c r="V17" s="120" t="s">
        <v>140</v>
      </c>
      <c r="W17" s="120" t="s">
        <v>140</v>
      </c>
      <c r="X17" s="115" t="s">
        <v>105</v>
      </c>
      <c r="Y17" s="126" t="s">
        <v>149</v>
      </c>
      <c r="Z17" s="115" t="s">
        <v>105</v>
      </c>
      <c r="AA17" s="115" t="s">
        <v>142</v>
      </c>
      <c r="AB17" s="122" t="s">
        <v>142</v>
      </c>
      <c r="AC17" s="117">
        <v>0.02</v>
      </c>
      <c r="AD17" s="117">
        <v>0.02</v>
      </c>
    </row>
    <row r="18" customFormat="1" ht="33" spans="1:30">
      <c r="A18" s="123">
        <v>12590</v>
      </c>
      <c r="B18" s="124" t="s">
        <v>162</v>
      </c>
      <c r="C18" s="125">
        <v>46141</v>
      </c>
      <c r="D18" s="113">
        <v>46143</v>
      </c>
      <c r="E18" s="114" t="s">
        <v>22</v>
      </c>
      <c r="F18" s="114" t="s">
        <v>13</v>
      </c>
      <c r="G18" s="114" t="s">
        <v>68</v>
      </c>
      <c r="H18" s="115">
        <v>1</v>
      </c>
      <c r="I18" s="116">
        <v>1</v>
      </c>
      <c r="J18" s="115" t="e">
        <v>#N/A</v>
      </c>
      <c r="K18" s="115">
        <v>4</v>
      </c>
      <c r="L18" s="116" t="e">
        <f t="shared" si="0"/>
        <v>#N/A</v>
      </c>
      <c r="M18" s="117" t="e">
        <v>#N/A</v>
      </c>
      <c r="N18" s="117">
        <v>0.2</v>
      </c>
      <c r="O18" s="117" t="e">
        <f t="shared" si="1"/>
        <v>#N/A</v>
      </c>
      <c r="P18" s="118" t="s">
        <v>163</v>
      </c>
      <c r="Q18" s="119">
        <v>6</v>
      </c>
      <c r="R18" s="120" t="s">
        <v>101</v>
      </c>
      <c r="S18" s="120" t="s">
        <v>138</v>
      </c>
      <c r="T18" s="120" t="s">
        <v>140</v>
      </c>
      <c r="U18" s="121" t="s">
        <v>140</v>
      </c>
      <c r="V18" s="120" t="s">
        <v>139</v>
      </c>
      <c r="W18" s="120" t="s">
        <v>139</v>
      </c>
      <c r="X18" s="115" t="e">
        <v>#N/A</v>
      </c>
      <c r="Y18" s="115" t="s">
        <v>158</v>
      </c>
      <c r="Z18" s="115" t="s">
        <v>105</v>
      </c>
      <c r="AA18" s="115" t="s">
        <v>138</v>
      </c>
      <c r="AB18" s="122" t="s">
        <v>138</v>
      </c>
      <c r="AC18" s="117">
        <v>0</v>
      </c>
      <c r="AD18" s="117">
        <v>0</v>
      </c>
    </row>
    <row r="19" customFormat="1" ht="33" spans="1:30">
      <c r="A19" s="123">
        <v>12615</v>
      </c>
      <c r="B19" s="124" t="s">
        <v>164</v>
      </c>
      <c r="C19" s="125">
        <v>46141</v>
      </c>
      <c r="D19" s="141">
        <v>46150</v>
      </c>
      <c r="E19" s="114" t="s">
        <v>22</v>
      </c>
      <c r="F19" s="114" t="s">
        <v>17</v>
      </c>
      <c r="G19" s="114" t="s">
        <v>68</v>
      </c>
      <c r="H19" s="115">
        <v>0</v>
      </c>
      <c r="I19" s="116">
        <v>0</v>
      </c>
      <c r="J19" s="115" t="e">
        <v>#N/A</v>
      </c>
      <c r="K19" s="115">
        <v>1</v>
      </c>
      <c r="L19" s="116" t="e">
        <f t="shared" si="0"/>
        <v>#N/A</v>
      </c>
      <c r="M19" s="117" t="e">
        <v>#N/A</v>
      </c>
      <c r="N19" s="117">
        <v>0</v>
      </c>
      <c r="O19" s="117" t="e">
        <f t="shared" si="1"/>
        <v>#N/A</v>
      </c>
      <c r="P19" s="118" t="s">
        <v>163</v>
      </c>
      <c r="Q19" s="119">
        <v>6</v>
      </c>
      <c r="R19" s="120" t="s">
        <v>101</v>
      </c>
      <c r="S19" s="142" t="s">
        <v>101</v>
      </c>
      <c r="T19" s="120" t="s">
        <v>140</v>
      </c>
      <c r="U19" s="121" t="s">
        <v>140</v>
      </c>
      <c r="V19" s="120" t="s">
        <v>139</v>
      </c>
      <c r="W19" s="120" t="s">
        <v>139</v>
      </c>
      <c r="X19" s="115" t="e">
        <v>#N/A</v>
      </c>
      <c r="Y19" s="115" t="s">
        <v>149</v>
      </c>
      <c r="Z19" s="115" t="s">
        <v>105</v>
      </c>
      <c r="AA19" s="115" t="s">
        <v>142</v>
      </c>
      <c r="AB19" s="122" t="s">
        <v>142</v>
      </c>
      <c r="AC19" s="117">
        <v>0.02</v>
      </c>
      <c r="AD19" s="117">
        <v>0</v>
      </c>
    </row>
    <row r="20" spans="1:30">
      <c r="F20" s="143"/>
    </row>
    <row r="1048457" customFormat="1" spans="1:30">
      <c r="A1048457" s="1"/>
      <c r="B1048457" s="2"/>
      <c r="C1048457" s="2"/>
      <c r="D1048457" s="2"/>
      <c r="E1048457" s="2"/>
      <c r="F1048457" s="2"/>
      <c r="G1048457" s="3"/>
      <c r="H1048457" s="3"/>
      <c r="I1048457" s="3"/>
      <c r="J1048457" s="3"/>
      <c r="K1048457" s="3"/>
      <c r="L1048457" s="89"/>
      <c r="M1048457" s="89"/>
      <c r="N1048457" s="89"/>
      <c r="O1048457" s="90"/>
      <c r="P1048457" s="90"/>
      <c r="Q1048457" s="91"/>
      <c r="R1048457" s="3"/>
      <c r="S1048457" s="3"/>
      <c r="T1048457" s="3"/>
      <c r="U1048457" s="4"/>
      <c r="V1048457" s="3"/>
      <c r="W1048457" s="3"/>
      <c r="X1048457" s="3"/>
      <c r="Y1048457" s="3"/>
      <c r="Z1048457" s="3"/>
      <c r="AA1048457" s="3"/>
      <c r="AB1048457" s="4"/>
      <c r="AC1048457" s="5"/>
      <c r="AD1048457" s="5"/>
    </row>
    <row r="1048458" customFormat="1" spans="1:30">
      <c r="A1048458" s="1"/>
      <c r="B1048458" s="2"/>
      <c r="C1048458" s="2"/>
      <c r="D1048458" s="2"/>
      <c r="E1048458" s="2"/>
      <c r="F1048458" s="2"/>
      <c r="G1048458" s="3"/>
      <c r="H1048458" s="3"/>
      <c r="I1048458" s="3"/>
      <c r="J1048458" s="3"/>
      <c r="K1048458" s="3"/>
      <c r="L1048458" s="89"/>
      <c r="M1048458" s="89"/>
      <c r="N1048458" s="89"/>
      <c r="O1048458" s="90"/>
      <c r="P1048458" s="90"/>
      <c r="Q1048458" s="91"/>
      <c r="R1048458" s="3"/>
      <c r="S1048458" s="3"/>
      <c r="T1048458" s="3"/>
      <c r="U1048458" s="4"/>
      <c r="V1048458" s="3"/>
      <c r="W1048458" s="3"/>
      <c r="X1048458" s="3"/>
      <c r="Y1048458" s="3"/>
      <c r="Z1048458" s="3"/>
      <c r="AA1048458" s="3"/>
      <c r="AB1048458" s="4"/>
      <c r="AC1048458" s="5"/>
      <c r="AD1048458" s="5"/>
    </row>
    <row r="1048459" customFormat="1" spans="1:30">
      <c r="A1048459" s="1"/>
      <c r="B1048459" s="2"/>
      <c r="C1048459" s="2"/>
      <c r="D1048459" s="2"/>
      <c r="E1048459" s="2"/>
      <c r="F1048459" s="2"/>
      <c r="G1048459" s="3"/>
      <c r="H1048459" s="3"/>
      <c r="I1048459" s="3"/>
      <c r="J1048459" s="3"/>
      <c r="K1048459" s="3"/>
      <c r="L1048459" s="89"/>
      <c r="M1048459" s="89"/>
      <c r="N1048459" s="89"/>
      <c r="O1048459" s="90"/>
      <c r="P1048459" s="90"/>
      <c r="Q1048459" s="91"/>
      <c r="R1048459" s="3"/>
      <c r="S1048459" s="3"/>
      <c r="T1048459" s="3"/>
      <c r="U1048459" s="4"/>
      <c r="V1048459" s="3"/>
      <c r="W1048459" s="3"/>
      <c r="X1048459" s="3"/>
      <c r="Y1048459" s="3"/>
      <c r="Z1048459" s="3"/>
      <c r="AA1048459" s="3"/>
      <c r="AB1048459" s="4"/>
      <c r="AC1048459" s="5"/>
      <c r="AD1048459" s="5"/>
    </row>
    <row r="1048460" customFormat="1" spans="1:30">
      <c r="A1048460" s="1"/>
      <c r="B1048460" s="2"/>
      <c r="C1048460" s="2"/>
      <c r="D1048460" s="2"/>
      <c r="E1048460" s="2"/>
      <c r="F1048460" s="2"/>
      <c r="G1048460" s="3"/>
      <c r="H1048460" s="3"/>
      <c r="I1048460" s="3"/>
      <c r="J1048460" s="3"/>
      <c r="K1048460" s="3"/>
      <c r="L1048460" s="89"/>
      <c r="M1048460" s="89"/>
      <c r="N1048460" s="89"/>
      <c r="O1048460" s="90"/>
      <c r="P1048460" s="90"/>
      <c r="Q1048460" s="91"/>
      <c r="R1048460" s="3"/>
      <c r="S1048460" s="3"/>
      <c r="T1048460" s="3"/>
      <c r="U1048460" s="4"/>
      <c r="V1048460" s="3"/>
      <c r="W1048460" s="3"/>
      <c r="X1048460" s="3"/>
      <c r="Y1048460" s="3"/>
      <c r="Z1048460" s="3"/>
      <c r="AA1048460" s="3"/>
      <c r="AB1048460" s="4"/>
      <c r="AC1048460" s="5"/>
      <c r="AD1048460" s="5"/>
    </row>
    <row r="1048461" customFormat="1" spans="1:30">
      <c r="A1048461" s="1"/>
      <c r="B1048461" s="2"/>
      <c r="C1048461" s="2"/>
      <c r="D1048461" s="2"/>
      <c r="E1048461" s="2"/>
      <c r="F1048461" s="2"/>
      <c r="G1048461" s="3"/>
      <c r="H1048461" s="3"/>
      <c r="I1048461" s="3"/>
      <c r="J1048461" s="3"/>
      <c r="K1048461" s="3"/>
      <c r="L1048461" s="89"/>
      <c r="M1048461" s="89"/>
      <c r="N1048461" s="89"/>
      <c r="O1048461" s="90"/>
      <c r="P1048461" s="90"/>
      <c r="Q1048461" s="91"/>
      <c r="R1048461" s="3"/>
      <c r="S1048461" s="3"/>
      <c r="T1048461" s="3"/>
      <c r="U1048461" s="4"/>
      <c r="V1048461" s="3"/>
      <c r="W1048461" s="3"/>
      <c r="X1048461" s="3"/>
      <c r="Y1048461" s="3"/>
      <c r="Z1048461" s="3"/>
      <c r="AA1048461" s="3"/>
      <c r="AB1048461" s="4"/>
      <c r="AC1048461" s="5"/>
      <c r="AD1048461" s="5"/>
    </row>
    <row r="1048462" customFormat="1" spans="1:30">
      <c r="A1048462" s="1"/>
      <c r="B1048462" s="2"/>
      <c r="C1048462" s="2"/>
      <c r="D1048462" s="2"/>
      <c r="E1048462" s="2"/>
      <c r="F1048462" s="2"/>
      <c r="G1048462" s="3"/>
      <c r="H1048462" s="3"/>
      <c r="I1048462" s="3"/>
      <c r="J1048462" s="3"/>
      <c r="K1048462" s="3"/>
      <c r="L1048462" s="89"/>
      <c r="M1048462" s="89"/>
      <c r="N1048462" s="89"/>
      <c r="O1048462" s="90"/>
      <c r="P1048462" s="90"/>
      <c r="Q1048462" s="91"/>
      <c r="R1048462" s="3"/>
      <c r="S1048462" s="3"/>
      <c r="T1048462" s="3"/>
      <c r="U1048462" s="4"/>
      <c r="V1048462" s="3"/>
      <c r="W1048462" s="3"/>
      <c r="X1048462" s="3"/>
      <c r="Y1048462" s="3"/>
      <c r="Z1048462" s="3"/>
      <c r="AA1048462" s="3"/>
      <c r="AB1048462" s="4"/>
      <c r="AC1048462" s="5"/>
      <c r="AD1048462" s="5"/>
    </row>
    <row r="1048463" customFormat="1" spans="1:30">
      <c r="A1048463" s="1"/>
      <c r="B1048463" s="2"/>
      <c r="C1048463" s="2"/>
      <c r="D1048463" s="2"/>
      <c r="E1048463" s="2"/>
      <c r="F1048463" s="2"/>
      <c r="G1048463" s="3"/>
      <c r="H1048463" s="3"/>
      <c r="I1048463" s="3"/>
      <c r="J1048463" s="3"/>
      <c r="K1048463" s="3"/>
      <c r="L1048463" s="89"/>
      <c r="M1048463" s="89"/>
      <c r="N1048463" s="89"/>
      <c r="O1048463" s="90"/>
      <c r="P1048463" s="90"/>
      <c r="Q1048463" s="91"/>
      <c r="R1048463" s="3"/>
      <c r="S1048463" s="3"/>
      <c r="T1048463" s="3"/>
      <c r="U1048463" s="4"/>
      <c r="V1048463" s="3"/>
      <c r="W1048463" s="3"/>
      <c r="X1048463" s="3"/>
      <c r="Y1048463" s="3"/>
      <c r="Z1048463" s="3"/>
      <c r="AA1048463" s="3"/>
      <c r="AB1048463" s="4"/>
      <c r="AC1048463" s="5"/>
      <c r="AD1048463" s="5"/>
    </row>
    <row r="1048464" customFormat="1" spans="1:30">
      <c r="A1048464" s="1"/>
      <c r="B1048464" s="2"/>
      <c r="C1048464" s="2"/>
      <c r="D1048464" s="2"/>
      <c r="E1048464" s="2"/>
      <c r="F1048464" s="2"/>
      <c r="G1048464" s="3"/>
      <c r="H1048464" s="3"/>
      <c r="I1048464" s="3"/>
      <c r="J1048464" s="3"/>
      <c r="K1048464" s="3"/>
      <c r="L1048464" s="89"/>
      <c r="M1048464" s="89"/>
      <c r="N1048464" s="89"/>
      <c r="O1048464" s="90"/>
      <c r="P1048464" s="90"/>
      <c r="Q1048464" s="91"/>
      <c r="R1048464" s="3"/>
      <c r="S1048464" s="3"/>
      <c r="T1048464" s="3"/>
      <c r="U1048464" s="4"/>
      <c r="V1048464" s="3"/>
      <c r="W1048464" s="3"/>
      <c r="X1048464" s="3"/>
      <c r="Y1048464" s="3"/>
      <c r="Z1048464" s="3"/>
      <c r="AA1048464" s="3"/>
      <c r="AB1048464" s="4"/>
      <c r="AC1048464" s="5"/>
      <c r="AD1048464" s="5"/>
    </row>
    <row r="1048465" customFormat="1" spans="1:30">
      <c r="A1048465" s="1"/>
      <c r="B1048465" s="2"/>
      <c r="C1048465" s="2"/>
      <c r="D1048465" s="2"/>
      <c r="E1048465" s="2"/>
      <c r="F1048465" s="2"/>
      <c r="G1048465" s="3"/>
      <c r="H1048465" s="3"/>
      <c r="I1048465" s="3"/>
      <c r="J1048465" s="3"/>
      <c r="K1048465" s="3"/>
      <c r="L1048465" s="89"/>
      <c r="M1048465" s="89"/>
      <c r="N1048465" s="89"/>
      <c r="O1048465" s="90"/>
      <c r="P1048465" s="90"/>
      <c r="Q1048465" s="91"/>
      <c r="R1048465" s="3"/>
      <c r="S1048465" s="3"/>
      <c r="T1048465" s="3"/>
      <c r="U1048465" s="4"/>
      <c r="V1048465" s="3"/>
      <c r="W1048465" s="3"/>
      <c r="X1048465" s="3"/>
      <c r="Y1048465" s="3"/>
      <c r="Z1048465" s="3"/>
      <c r="AA1048465" s="3"/>
      <c r="AB1048465" s="4"/>
      <c r="AC1048465" s="5"/>
      <c r="AD1048465" s="5"/>
    </row>
    <row r="1048466" customFormat="1" spans="1:30">
      <c r="A1048466" s="1"/>
      <c r="B1048466" s="2"/>
      <c r="C1048466" s="2"/>
      <c r="D1048466" s="2"/>
      <c r="E1048466" s="2"/>
      <c r="F1048466" s="2"/>
      <c r="G1048466" s="3"/>
      <c r="H1048466" s="3"/>
      <c r="I1048466" s="3"/>
      <c r="J1048466" s="3"/>
      <c r="K1048466" s="3"/>
      <c r="L1048466" s="89"/>
      <c r="M1048466" s="89"/>
      <c r="N1048466" s="89"/>
      <c r="O1048466" s="90"/>
      <c r="P1048466" s="90"/>
      <c r="Q1048466" s="91"/>
      <c r="R1048466" s="3"/>
      <c r="S1048466" s="3"/>
      <c r="T1048466" s="3"/>
      <c r="U1048466" s="4"/>
      <c r="V1048466" s="3"/>
      <c r="W1048466" s="3"/>
      <c r="X1048466" s="3"/>
      <c r="Y1048466" s="3"/>
      <c r="Z1048466" s="3"/>
      <c r="AA1048466" s="3"/>
      <c r="AB1048466" s="4"/>
      <c r="AC1048466" s="5"/>
      <c r="AD1048466" s="5"/>
    </row>
    <row r="1048467" customFormat="1" spans="1:30">
      <c r="A1048467" s="1"/>
      <c r="B1048467" s="2"/>
      <c r="C1048467" s="2"/>
      <c r="D1048467" s="2"/>
      <c r="E1048467" s="2"/>
      <c r="F1048467" s="2"/>
      <c r="G1048467" s="3"/>
      <c r="H1048467" s="3"/>
      <c r="I1048467" s="3"/>
      <c r="J1048467" s="3"/>
      <c r="K1048467" s="3"/>
      <c r="L1048467" s="89"/>
      <c r="M1048467" s="89"/>
      <c r="N1048467" s="89"/>
      <c r="O1048467" s="90"/>
      <c r="P1048467" s="90"/>
      <c r="Q1048467" s="91"/>
      <c r="R1048467" s="3"/>
      <c r="S1048467" s="3"/>
      <c r="T1048467" s="3"/>
      <c r="U1048467" s="4"/>
      <c r="V1048467" s="3"/>
      <c r="W1048467" s="3"/>
      <c r="X1048467" s="3"/>
      <c r="Y1048467" s="3"/>
      <c r="Z1048467" s="3"/>
      <c r="AA1048467" s="3"/>
      <c r="AB1048467" s="4"/>
      <c r="AC1048467" s="5"/>
      <c r="AD1048467" s="5"/>
    </row>
    <row r="1048468" customFormat="1" spans="1:30">
      <c r="A1048468" s="1"/>
      <c r="B1048468" s="2"/>
      <c r="C1048468" s="2"/>
      <c r="D1048468" s="2"/>
      <c r="E1048468" s="2"/>
      <c r="F1048468" s="2"/>
      <c r="G1048468" s="3"/>
      <c r="H1048468" s="3"/>
      <c r="I1048468" s="3"/>
      <c r="J1048468" s="3"/>
      <c r="K1048468" s="3"/>
      <c r="L1048468" s="89"/>
      <c r="M1048468" s="89"/>
      <c r="N1048468" s="89"/>
      <c r="O1048468" s="90"/>
      <c r="P1048468" s="90"/>
      <c r="Q1048468" s="91"/>
      <c r="R1048468" s="3"/>
      <c r="S1048468" s="3"/>
      <c r="T1048468" s="3"/>
      <c r="U1048468" s="4"/>
      <c r="V1048468" s="3"/>
      <c r="W1048468" s="3"/>
      <c r="X1048468" s="3"/>
      <c r="Y1048468" s="3"/>
      <c r="Z1048468" s="3"/>
      <c r="AA1048468" s="3"/>
      <c r="AB1048468" s="4"/>
      <c r="AC1048468" s="5"/>
      <c r="AD1048468" s="5"/>
    </row>
    <row r="1048469" customFormat="1" spans="1:30">
      <c r="A1048469" s="1"/>
      <c r="B1048469" s="2"/>
      <c r="C1048469" s="2"/>
      <c r="D1048469" s="2"/>
      <c r="E1048469" s="2"/>
      <c r="F1048469" s="2"/>
      <c r="G1048469" s="3"/>
      <c r="H1048469" s="3"/>
      <c r="I1048469" s="3"/>
      <c r="J1048469" s="3"/>
      <c r="K1048469" s="3"/>
      <c r="L1048469" s="89"/>
      <c r="M1048469" s="89"/>
      <c r="N1048469" s="89"/>
      <c r="O1048469" s="90"/>
      <c r="P1048469" s="90"/>
      <c r="Q1048469" s="91"/>
      <c r="R1048469" s="3"/>
      <c r="S1048469" s="3"/>
      <c r="T1048469" s="3"/>
      <c r="U1048469" s="4"/>
      <c r="V1048469" s="3"/>
      <c r="W1048469" s="3"/>
      <c r="X1048469" s="3"/>
      <c r="Y1048469" s="3"/>
      <c r="Z1048469" s="3"/>
      <c r="AA1048469" s="3"/>
      <c r="AB1048469" s="4"/>
      <c r="AC1048469" s="5"/>
      <c r="AD1048469" s="5"/>
    </row>
    <row r="1048470" customFormat="1" spans="1:30">
      <c r="A1048470" s="1"/>
      <c r="B1048470" s="2"/>
      <c r="C1048470" s="2"/>
      <c r="D1048470" s="2"/>
      <c r="E1048470" s="2"/>
      <c r="F1048470" s="2"/>
      <c r="G1048470" s="3"/>
      <c r="H1048470" s="3"/>
      <c r="I1048470" s="3"/>
      <c r="J1048470" s="3"/>
      <c r="K1048470" s="3"/>
      <c r="L1048470" s="89"/>
      <c r="M1048470" s="89"/>
      <c r="N1048470" s="89"/>
      <c r="O1048470" s="90"/>
      <c r="P1048470" s="90"/>
      <c r="Q1048470" s="91"/>
      <c r="R1048470" s="3"/>
      <c r="S1048470" s="3"/>
      <c r="T1048470" s="3"/>
      <c r="U1048470" s="4"/>
      <c r="V1048470" s="3"/>
      <c r="W1048470" s="3"/>
      <c r="X1048470" s="3"/>
      <c r="Y1048470" s="3"/>
      <c r="Z1048470" s="3"/>
      <c r="AA1048470" s="3"/>
      <c r="AB1048470" s="4"/>
      <c r="AC1048470" s="5"/>
      <c r="AD1048470" s="5"/>
    </row>
    <row r="1048471" customFormat="1" spans="1:30">
      <c r="A1048471" s="1"/>
      <c r="B1048471" s="2"/>
      <c r="C1048471" s="2"/>
      <c r="D1048471" s="2"/>
      <c r="E1048471" s="2"/>
      <c r="F1048471" s="2"/>
      <c r="G1048471" s="3"/>
      <c r="H1048471" s="3"/>
      <c r="I1048471" s="3"/>
      <c r="J1048471" s="3"/>
      <c r="K1048471" s="3"/>
      <c r="L1048471" s="89"/>
      <c r="M1048471" s="89"/>
      <c r="N1048471" s="89"/>
      <c r="O1048471" s="90"/>
      <c r="P1048471" s="90"/>
      <c r="Q1048471" s="91"/>
      <c r="R1048471" s="3"/>
      <c r="S1048471" s="3"/>
      <c r="T1048471" s="3"/>
      <c r="U1048471" s="4"/>
      <c r="V1048471" s="3"/>
      <c r="W1048471" s="3"/>
      <c r="X1048471" s="3"/>
      <c r="Y1048471" s="3"/>
      <c r="Z1048471" s="3"/>
      <c r="AA1048471" s="3"/>
      <c r="AB1048471" s="4"/>
      <c r="AC1048471" s="5"/>
      <c r="AD1048471" s="5"/>
    </row>
    <row r="1048472" customFormat="1" spans="1:30">
      <c r="A1048472" s="1"/>
      <c r="B1048472" s="2"/>
      <c r="C1048472" s="2"/>
      <c r="D1048472" s="2"/>
      <c r="E1048472" s="2"/>
      <c r="F1048472" s="2"/>
      <c r="G1048472" s="3"/>
      <c r="H1048472" s="3"/>
      <c r="I1048472" s="3"/>
      <c r="J1048472" s="3"/>
      <c r="K1048472" s="3"/>
      <c r="L1048472" s="89"/>
      <c r="M1048472" s="89"/>
      <c r="N1048472" s="89"/>
      <c r="O1048472" s="90"/>
      <c r="P1048472" s="90"/>
      <c r="Q1048472" s="91"/>
      <c r="R1048472" s="3"/>
      <c r="S1048472" s="3"/>
      <c r="T1048472" s="3"/>
      <c r="U1048472" s="4"/>
      <c r="V1048472" s="3"/>
      <c r="W1048472" s="3"/>
      <c r="X1048472" s="3"/>
      <c r="Y1048472" s="3"/>
      <c r="Z1048472" s="3"/>
      <c r="AA1048472" s="3"/>
      <c r="AB1048472" s="4"/>
      <c r="AC1048472" s="5"/>
      <c r="AD1048472" s="5"/>
    </row>
    <row r="1048473" customFormat="1" spans="1:30">
      <c r="A1048473" s="1"/>
      <c r="B1048473" s="2"/>
      <c r="C1048473" s="2"/>
      <c r="D1048473" s="2"/>
      <c r="E1048473" s="2"/>
      <c r="F1048473" s="2"/>
      <c r="G1048473" s="3"/>
      <c r="H1048473" s="3"/>
      <c r="I1048473" s="3"/>
      <c r="J1048473" s="3"/>
      <c r="K1048473" s="3"/>
      <c r="L1048473" s="89"/>
      <c r="M1048473" s="89"/>
      <c r="N1048473" s="89"/>
      <c r="O1048473" s="90"/>
      <c r="P1048473" s="90"/>
      <c r="Q1048473" s="91"/>
      <c r="R1048473" s="3"/>
      <c r="S1048473" s="3"/>
      <c r="T1048473" s="3"/>
      <c r="U1048473" s="4"/>
      <c r="V1048473" s="3"/>
      <c r="W1048473" s="3"/>
      <c r="X1048473" s="3"/>
      <c r="Y1048473" s="3"/>
      <c r="Z1048473" s="3"/>
      <c r="AA1048473" s="3"/>
      <c r="AB1048473" s="4"/>
      <c r="AC1048473" s="5"/>
      <c r="AD1048473" s="5"/>
    </row>
    <row r="1048474" customFormat="1" spans="1:30">
      <c r="A1048474" s="1"/>
      <c r="B1048474" s="2"/>
      <c r="C1048474" s="2"/>
      <c r="D1048474" s="2"/>
      <c r="E1048474" s="2"/>
      <c r="F1048474" s="2"/>
      <c r="G1048474" s="3"/>
      <c r="H1048474" s="3"/>
      <c r="I1048474" s="3"/>
      <c r="J1048474" s="3"/>
      <c r="K1048474" s="3"/>
      <c r="L1048474" s="89"/>
      <c r="M1048474" s="89"/>
      <c r="N1048474" s="89"/>
      <c r="O1048474" s="90"/>
      <c r="P1048474" s="90"/>
      <c r="Q1048474" s="91"/>
      <c r="R1048474" s="3"/>
      <c r="S1048474" s="3"/>
      <c r="T1048474" s="3"/>
      <c r="U1048474" s="4"/>
      <c r="V1048474" s="3"/>
      <c r="W1048474" s="3"/>
      <c r="X1048474" s="3"/>
      <c r="Y1048474" s="3"/>
      <c r="Z1048474" s="3"/>
      <c r="AA1048474" s="3"/>
      <c r="AB1048474" s="4"/>
      <c r="AC1048474" s="5"/>
      <c r="AD1048474" s="5"/>
    </row>
    <row r="1048475" customFormat="1" spans="1:30">
      <c r="A1048475" s="1"/>
      <c r="B1048475" s="2"/>
      <c r="C1048475" s="2"/>
      <c r="D1048475" s="2"/>
      <c r="E1048475" s="2"/>
      <c r="F1048475" s="2"/>
      <c r="G1048475" s="3"/>
      <c r="H1048475" s="3"/>
      <c r="I1048475" s="3"/>
      <c r="J1048475" s="3"/>
      <c r="K1048475" s="3"/>
      <c r="L1048475" s="89"/>
      <c r="M1048475" s="89"/>
      <c r="N1048475" s="89"/>
      <c r="O1048475" s="90"/>
      <c r="P1048475" s="90"/>
      <c r="Q1048475" s="91"/>
      <c r="R1048475" s="3"/>
      <c r="S1048475" s="3"/>
      <c r="T1048475" s="3"/>
      <c r="U1048475" s="4"/>
      <c r="V1048475" s="3"/>
      <c r="W1048475" s="3"/>
      <c r="X1048475" s="3"/>
      <c r="Y1048475" s="3"/>
      <c r="Z1048475" s="3"/>
      <c r="AA1048475" s="3"/>
      <c r="AB1048475" s="4"/>
      <c r="AC1048475" s="5"/>
      <c r="AD1048475" s="5"/>
    </row>
    <row r="1048476" customFormat="1" spans="1:30">
      <c r="A1048476" s="1"/>
      <c r="B1048476" s="2"/>
      <c r="C1048476" s="2"/>
      <c r="D1048476" s="2"/>
      <c r="E1048476" s="2"/>
      <c r="F1048476" s="2"/>
      <c r="G1048476" s="3"/>
      <c r="H1048476" s="3"/>
      <c r="I1048476" s="3"/>
      <c r="J1048476" s="3"/>
      <c r="K1048476" s="3"/>
      <c r="L1048476" s="89"/>
      <c r="M1048476" s="89"/>
      <c r="N1048476" s="89"/>
      <c r="O1048476" s="90"/>
      <c r="P1048476" s="90"/>
      <c r="Q1048476" s="91"/>
      <c r="R1048476" s="3"/>
      <c r="S1048476" s="3"/>
      <c r="T1048476" s="3"/>
      <c r="U1048476" s="4"/>
      <c r="V1048476" s="3"/>
      <c r="W1048476" s="3"/>
      <c r="X1048476" s="3"/>
      <c r="Y1048476" s="3"/>
      <c r="Z1048476" s="3"/>
      <c r="AA1048476" s="3"/>
      <c r="AB1048476" s="4"/>
      <c r="AC1048476" s="5"/>
      <c r="AD1048476" s="5"/>
    </row>
    <row r="1048477" customFormat="1" spans="1:30">
      <c r="A1048477" s="1"/>
      <c r="B1048477" s="2"/>
      <c r="C1048477" s="2"/>
      <c r="D1048477" s="2"/>
      <c r="E1048477" s="2"/>
      <c r="F1048477" s="2"/>
      <c r="G1048477" s="3"/>
      <c r="H1048477" s="3"/>
      <c r="I1048477" s="3"/>
      <c r="J1048477" s="3"/>
      <c r="K1048477" s="3"/>
      <c r="L1048477" s="89"/>
      <c r="M1048477" s="89"/>
      <c r="N1048477" s="89"/>
      <c r="O1048477" s="90"/>
      <c r="P1048477" s="90"/>
      <c r="Q1048477" s="91"/>
      <c r="R1048477" s="3"/>
      <c r="S1048477" s="3"/>
      <c r="T1048477" s="3"/>
      <c r="U1048477" s="4"/>
      <c r="V1048477" s="3"/>
      <c r="W1048477" s="3"/>
      <c r="X1048477" s="3"/>
      <c r="Y1048477" s="3"/>
      <c r="Z1048477" s="3"/>
      <c r="AA1048477" s="3"/>
      <c r="AB1048477" s="4"/>
      <c r="AC1048477" s="5"/>
      <c r="AD1048477" s="5"/>
    </row>
    <row r="1048478" customFormat="1" spans="1:30">
      <c r="A1048478" s="1"/>
      <c r="B1048478" s="2"/>
      <c r="C1048478" s="2"/>
      <c r="D1048478" s="2"/>
      <c r="E1048478" s="2"/>
      <c r="F1048478" s="2"/>
      <c r="G1048478" s="3"/>
      <c r="H1048478" s="3"/>
      <c r="I1048478" s="3"/>
      <c r="J1048478" s="3"/>
      <c r="K1048478" s="3"/>
      <c r="L1048478" s="89"/>
      <c r="M1048478" s="89"/>
      <c r="N1048478" s="89"/>
      <c r="O1048478" s="90"/>
      <c r="P1048478" s="90"/>
      <c r="Q1048478" s="91"/>
      <c r="R1048478" s="3"/>
      <c r="S1048478" s="3"/>
      <c r="T1048478" s="3"/>
      <c r="U1048478" s="4"/>
      <c r="V1048478" s="3"/>
      <c r="W1048478" s="3"/>
      <c r="X1048478" s="3"/>
      <c r="Y1048478" s="3"/>
      <c r="Z1048478" s="3"/>
      <c r="AA1048478" s="3"/>
      <c r="AB1048478" s="4"/>
      <c r="AC1048478" s="5"/>
      <c r="AD1048478" s="5"/>
    </row>
    <row r="1048479" customFormat="1" spans="1:30">
      <c r="A1048479" s="1"/>
      <c r="B1048479" s="2"/>
      <c r="C1048479" s="2"/>
      <c r="D1048479" s="2"/>
      <c r="E1048479" s="2"/>
      <c r="F1048479" s="2"/>
      <c r="G1048479" s="3"/>
      <c r="H1048479" s="3"/>
      <c r="I1048479" s="3"/>
      <c r="J1048479" s="3"/>
      <c r="K1048479" s="3"/>
      <c r="M1048479" s="89"/>
      <c r="N1048479" s="89"/>
      <c r="P1048479" s="90"/>
      <c r="Q1048479" s="91"/>
      <c r="R1048479" s="3"/>
      <c r="S1048479" s="3"/>
      <c r="T1048479" s="3"/>
      <c r="U1048479" s="4"/>
      <c r="V1048479" s="3"/>
      <c r="W1048479" s="3"/>
      <c r="X1048479" s="3"/>
      <c r="Y1048479" s="3"/>
      <c r="Z1048479" s="3"/>
      <c r="AA1048479" s="3"/>
      <c r="AB1048479" s="4"/>
      <c r="AC1048479" s="5"/>
      <c r="AD1048479" s="5"/>
    </row>
    <row r="1048480" customFormat="1" spans="1:30">
      <c r="A1048480" s="1"/>
      <c r="B1048480" s="2"/>
      <c r="C1048480" s="2"/>
      <c r="D1048480" s="2"/>
      <c r="E1048480" s="2"/>
      <c r="F1048480" s="2"/>
      <c r="G1048480" s="3"/>
      <c r="H1048480" s="3"/>
      <c r="I1048480" s="3"/>
      <c r="J1048480" s="3"/>
      <c r="K1048480" s="3"/>
      <c r="M1048480" s="89"/>
      <c r="N1048480" s="89"/>
      <c r="P1048480" s="90"/>
      <c r="Q1048480" s="91"/>
      <c r="R1048480" s="3"/>
      <c r="S1048480" s="3"/>
      <c r="T1048480" s="3"/>
      <c r="U1048480" s="4"/>
      <c r="V1048480" s="3"/>
      <c r="W1048480" s="3"/>
      <c r="X1048480" s="3"/>
      <c r="Y1048480" s="3"/>
      <c r="Z1048480" s="3"/>
      <c r="AA1048480" s="3"/>
      <c r="AB1048480" s="4"/>
      <c r="AC1048480" s="5"/>
      <c r="AD1048480" s="5"/>
    </row>
    <row r="1048481" customFormat="1" spans="1:30">
      <c r="A1048481" s="1"/>
      <c r="B1048481" s="2"/>
      <c r="C1048481" s="2"/>
      <c r="D1048481" s="2"/>
      <c r="E1048481" s="2"/>
      <c r="F1048481" s="2"/>
      <c r="G1048481" s="3"/>
      <c r="H1048481" s="3"/>
      <c r="I1048481" s="3"/>
      <c r="J1048481" s="3"/>
      <c r="K1048481" s="3"/>
      <c r="M1048481" s="89"/>
      <c r="N1048481" s="89"/>
      <c r="P1048481" s="90"/>
      <c r="Q1048481" s="91"/>
      <c r="R1048481" s="3"/>
      <c r="S1048481" s="3"/>
      <c r="T1048481" s="3"/>
      <c r="U1048481" s="4"/>
      <c r="V1048481" s="3"/>
      <c r="W1048481" s="3"/>
      <c r="X1048481" s="3"/>
      <c r="Y1048481" s="3"/>
      <c r="Z1048481" s="3"/>
      <c r="AA1048481" s="3"/>
      <c r="AB1048481" s="4"/>
      <c r="AC1048481" s="5"/>
      <c r="AD1048481" s="5"/>
    </row>
    <row r="1048482" customFormat="1" spans="1:30">
      <c r="A1048482" s="1"/>
      <c r="B1048482" s="2"/>
      <c r="C1048482" s="2"/>
      <c r="D1048482" s="2"/>
      <c r="E1048482" s="2"/>
      <c r="F1048482" s="2"/>
      <c r="G1048482" s="3"/>
      <c r="H1048482" s="3"/>
      <c r="I1048482" s="3"/>
      <c r="J1048482" s="3"/>
      <c r="K1048482" s="3"/>
      <c r="M1048482" s="89"/>
      <c r="N1048482" s="89"/>
      <c r="P1048482" s="90"/>
      <c r="Q1048482" s="91"/>
      <c r="R1048482" s="3"/>
      <c r="S1048482" s="3"/>
      <c r="T1048482" s="3"/>
      <c r="U1048482" s="4"/>
      <c r="V1048482" s="3"/>
      <c r="W1048482" s="3"/>
      <c r="X1048482" s="3"/>
      <c r="Y1048482" s="3"/>
      <c r="Z1048482" s="3"/>
      <c r="AA1048482" s="3"/>
      <c r="AB1048482" s="4"/>
      <c r="AC1048482" s="5"/>
      <c r="AD1048482" s="5"/>
    </row>
    <row r="1048483" customFormat="1" spans="1:30">
      <c r="A1048483" s="1"/>
      <c r="B1048483" s="2"/>
      <c r="C1048483" s="2"/>
      <c r="D1048483" s="2"/>
      <c r="E1048483" s="2"/>
      <c r="F1048483" s="2"/>
      <c r="G1048483" s="3"/>
      <c r="H1048483" s="3"/>
      <c r="I1048483" s="3"/>
      <c r="J1048483" s="3"/>
      <c r="K1048483" s="3"/>
      <c r="M1048483" s="89"/>
      <c r="N1048483" s="89"/>
      <c r="P1048483" s="90"/>
      <c r="Q1048483" s="91"/>
      <c r="R1048483" s="3"/>
      <c r="S1048483" s="3"/>
      <c r="T1048483" s="3"/>
      <c r="U1048483" s="4"/>
      <c r="V1048483" s="3"/>
      <c r="W1048483" s="3"/>
      <c r="X1048483" s="3"/>
      <c r="Y1048483" s="3"/>
      <c r="Z1048483" s="3"/>
      <c r="AA1048483" s="3"/>
      <c r="AB1048483" s="4"/>
      <c r="AC1048483" s="5"/>
      <c r="AD1048483" s="5"/>
    </row>
    <row r="1048484" customFormat="1" spans="1:30">
      <c r="A1048484" s="1"/>
      <c r="B1048484" s="2"/>
      <c r="C1048484" s="2"/>
      <c r="D1048484" s="2"/>
      <c r="E1048484" s="2"/>
      <c r="F1048484" s="2"/>
      <c r="G1048484" s="3"/>
      <c r="H1048484" s="3"/>
      <c r="I1048484" s="3"/>
      <c r="J1048484" s="3"/>
      <c r="K1048484" s="3"/>
      <c r="M1048484" s="89"/>
      <c r="N1048484" s="89"/>
      <c r="P1048484" s="90"/>
      <c r="Q1048484" s="91"/>
      <c r="R1048484" s="3"/>
      <c r="S1048484" s="3"/>
      <c r="T1048484" s="3"/>
      <c r="U1048484" s="4"/>
      <c r="V1048484" s="3"/>
      <c r="W1048484" s="3"/>
      <c r="X1048484" s="3"/>
      <c r="Y1048484" s="3"/>
      <c r="Z1048484" s="3"/>
      <c r="AA1048484" s="3"/>
      <c r="AB1048484" s="4"/>
      <c r="AC1048484" s="5"/>
      <c r="AD1048484" s="5"/>
    </row>
    <row r="1048485" customFormat="1" spans="1:30">
      <c r="A1048485" s="1"/>
      <c r="B1048485" s="2"/>
      <c r="C1048485" s="2"/>
      <c r="D1048485" s="2"/>
      <c r="E1048485" s="2"/>
      <c r="F1048485" s="2"/>
      <c r="G1048485" s="3"/>
      <c r="H1048485" s="3"/>
      <c r="I1048485" s="3"/>
      <c r="J1048485" s="3"/>
      <c r="K1048485" s="3"/>
      <c r="M1048485" s="89"/>
      <c r="N1048485" s="89"/>
      <c r="P1048485" s="90"/>
      <c r="Q1048485" s="91"/>
      <c r="R1048485" s="3"/>
      <c r="S1048485" s="3"/>
      <c r="T1048485" s="3"/>
      <c r="U1048485" s="4"/>
      <c r="V1048485" s="3"/>
      <c r="W1048485" s="3"/>
      <c r="X1048485" s="3"/>
      <c r="Y1048485" s="3"/>
      <c r="Z1048485" s="3"/>
      <c r="AA1048485" s="3"/>
      <c r="AB1048485" s="4"/>
      <c r="AC1048485" s="5"/>
      <c r="AD1048485" s="5"/>
    </row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D19" etc:filterBottomFollowUsedRange="0">
    <extLst/>
  </autoFilter>
  <conditionalFormatting sqref="N1:N2 N3:O1048576">
    <cfRule type="cellIs" dxfId="1" priority="1" operator="lessThan">
      <formula>0</formula>
    </cfRule>
  </conditionalFormatting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Q29"/>
  <sheetViews>
    <sheetView zoomScale="89" zoomScaleNormal="89" topLeftCell="A4" workbookViewId="0">
      <selection activeCell="R41" sqref="R41"/>
    </sheetView>
  </sheetViews>
  <sheetFormatPr defaultColWidth="8.725" defaultRowHeight="13.5"/>
  <cols>
    <col min="1" max="1" width="10" customWidth="1"/>
    <col min="2" max="16" width="15.2583333333333" customWidth="1"/>
    <col min="17" max="17" width="11.7333333333333" customWidth="1"/>
  </cols>
  <sheetData>
    <row r="1" customFormat="1" ht="28.5" customHeight="1" spans="1:17">
      <c r="A1" s="21" t="s">
        <v>165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3"/>
      <c r="Q1" s="24"/>
    </row>
    <row r="2" customFormat="1" ht="30" customHeight="1" spans="1:17">
      <c r="A2" s="25" t="s">
        <v>166</v>
      </c>
      <c r="B2" s="26" t="s">
        <v>167</v>
      </c>
      <c r="C2" s="26" t="s">
        <v>168</v>
      </c>
      <c r="D2" s="26" t="s">
        <v>169</v>
      </c>
      <c r="E2" s="26" t="s">
        <v>170</v>
      </c>
      <c r="F2" s="26" t="s">
        <v>171</v>
      </c>
      <c r="G2" s="27" t="s">
        <v>172</v>
      </c>
      <c r="H2" s="28" t="s">
        <v>173</v>
      </c>
      <c r="I2" s="28" t="s">
        <v>174</v>
      </c>
      <c r="J2" s="26" t="s">
        <v>175</v>
      </c>
      <c r="K2" s="29" t="s">
        <v>176</v>
      </c>
      <c r="L2" s="29" t="s">
        <v>177</v>
      </c>
      <c r="M2" s="30" t="s">
        <v>178</v>
      </c>
      <c r="N2" s="30" t="s">
        <v>179</v>
      </c>
      <c r="O2" s="29" t="s">
        <v>180</v>
      </c>
      <c r="P2" s="31" t="s">
        <v>181</v>
      </c>
    </row>
    <row r="3" customFormat="1" ht="22.5" customHeight="1" spans="1:17">
      <c r="A3" s="32" t="s">
        <v>182</v>
      </c>
      <c r="B3" s="33">
        <v>42</v>
      </c>
      <c r="C3" s="33">
        <v>53</v>
      </c>
      <c r="D3" s="33">
        <v>119686</v>
      </c>
      <c r="E3" s="33">
        <v>429</v>
      </c>
      <c r="F3" s="33">
        <v>27</v>
      </c>
      <c r="G3" s="34">
        <v>272.56</v>
      </c>
      <c r="H3" s="34">
        <v>1754.44</v>
      </c>
      <c r="I3" s="34">
        <v>6955.73</v>
      </c>
      <c r="J3" s="35">
        <v>6.44</v>
      </c>
      <c r="K3" s="36">
        <v>0.0629</v>
      </c>
      <c r="L3" s="36">
        <v>0.0036</v>
      </c>
      <c r="M3" s="35">
        <v>0.64</v>
      </c>
      <c r="N3" s="35">
        <v>10.09</v>
      </c>
      <c r="O3" s="36">
        <v>0.1554</v>
      </c>
      <c r="P3" s="37">
        <f>G3/I3</f>
        <v>0.0391849597382302</v>
      </c>
    </row>
    <row r="4" customFormat="1" ht="22.5" customHeight="1" spans="1:17">
      <c r="A4" s="38" t="s">
        <v>183</v>
      </c>
      <c r="B4" s="39">
        <v>47</v>
      </c>
      <c r="C4" s="39">
        <v>63</v>
      </c>
      <c r="D4" s="39">
        <v>139169</v>
      </c>
      <c r="E4" s="39">
        <v>425</v>
      </c>
      <c r="F4" s="39">
        <v>40</v>
      </c>
      <c r="G4" s="40">
        <v>240.26</v>
      </c>
      <c r="H4" s="40">
        <v>3401.59</v>
      </c>
      <c r="I4" s="40">
        <v>9470.08</v>
      </c>
      <c r="J4" s="41">
        <v>14.16</v>
      </c>
      <c r="K4" s="42">
        <v>0.0941</v>
      </c>
      <c r="L4" s="42">
        <v>0.0031</v>
      </c>
      <c r="M4" s="41">
        <v>0.57</v>
      </c>
      <c r="N4" s="41">
        <v>6.01</v>
      </c>
      <c r="O4" s="42">
        <v>0.0706</v>
      </c>
      <c r="P4" s="43">
        <f>G4/I4</f>
        <v>0.0253704298168548</v>
      </c>
    </row>
    <row r="5" customFormat="1" ht="22.5" customHeight="1" spans="1:17">
      <c r="A5" s="44" t="s">
        <v>117</v>
      </c>
      <c r="B5" s="45">
        <f t="shared" ref="B5:P5" si="0">B3-B4</f>
        <v>-5</v>
      </c>
      <c r="C5" s="46">
        <f t="shared" si="0"/>
        <v>-10</v>
      </c>
      <c r="D5" s="47">
        <f t="shared" si="0"/>
        <v>-19483</v>
      </c>
      <c r="E5" s="45">
        <f t="shared" si="0"/>
        <v>4</v>
      </c>
      <c r="F5" s="45">
        <f t="shared" si="0"/>
        <v>-13</v>
      </c>
      <c r="G5" s="48">
        <f t="shared" si="0"/>
        <v>32.3</v>
      </c>
      <c r="H5" s="48">
        <f t="shared" si="0"/>
        <v>-1647.15</v>
      </c>
      <c r="I5" s="48">
        <f t="shared" si="0"/>
        <v>-2514.35</v>
      </c>
      <c r="J5" s="49">
        <f t="shared" si="0"/>
        <v>-7.72</v>
      </c>
      <c r="K5" s="50">
        <f t="shared" si="0"/>
        <v>-0.0312</v>
      </c>
      <c r="L5" s="50">
        <f t="shared" si="0"/>
        <v>0.0005</v>
      </c>
      <c r="M5" s="49">
        <f t="shared" si="0"/>
        <v>0.0700000000000001</v>
      </c>
      <c r="N5" s="51">
        <f t="shared" si="0"/>
        <v>4.08</v>
      </c>
      <c r="O5" s="50">
        <f t="shared" si="0"/>
        <v>0.0848</v>
      </c>
      <c r="P5" s="52">
        <f t="shared" si="0"/>
        <v>0.0138145299213755</v>
      </c>
    </row>
    <row r="6" customFormat="1" ht="22.5" customHeight="1" spans="1:17"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</row>
    <row r="7" customFormat="1" ht="22.5" customHeight="1" spans="1:17">
      <c r="A7" s="54" t="s">
        <v>184</v>
      </c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6"/>
    </row>
    <row r="8" customFormat="1" ht="22.5" customHeight="1" spans="1:17">
      <c r="A8" s="57" t="s">
        <v>185</v>
      </c>
      <c r="B8" s="58" t="s">
        <v>167</v>
      </c>
      <c r="C8" s="59" t="s">
        <v>168</v>
      </c>
      <c r="D8" s="59" t="s">
        <v>169</v>
      </c>
      <c r="E8" s="59" t="s">
        <v>170</v>
      </c>
      <c r="F8" s="59" t="s">
        <v>171</v>
      </c>
      <c r="G8" s="60" t="s">
        <v>172</v>
      </c>
      <c r="H8" s="61" t="s">
        <v>173</v>
      </c>
      <c r="I8" s="28" t="s">
        <v>174</v>
      </c>
      <c r="J8" s="59" t="s">
        <v>175</v>
      </c>
      <c r="K8" s="62" t="s">
        <v>176</v>
      </c>
      <c r="L8" s="62" t="s">
        <v>177</v>
      </c>
      <c r="M8" s="63" t="s">
        <v>178</v>
      </c>
      <c r="N8" s="63" t="s">
        <v>179</v>
      </c>
      <c r="O8" s="62" t="s">
        <v>180</v>
      </c>
      <c r="P8" s="64" t="s">
        <v>181</v>
      </c>
    </row>
    <row r="9" customFormat="1" ht="22.5" customHeight="1" spans="1:17">
      <c r="A9" s="65" t="s">
        <v>21</v>
      </c>
      <c r="B9" s="66">
        <v>9</v>
      </c>
      <c r="C9" s="66">
        <v>13</v>
      </c>
      <c r="D9" s="66">
        <v>37020</v>
      </c>
      <c r="E9" s="66">
        <v>92</v>
      </c>
      <c r="F9" s="66">
        <v>1</v>
      </c>
      <c r="G9" s="67">
        <v>61.77</v>
      </c>
      <c r="H9" s="67">
        <v>159</v>
      </c>
      <c r="I9" s="67">
        <v>2452.9</v>
      </c>
      <c r="J9" s="68">
        <f t="shared" ref="J9:J14" si="1">H9/G9</f>
        <v>2.57406508013599</v>
      </c>
      <c r="K9" s="69">
        <f t="shared" ref="K9:K14" si="2">F9/E9</f>
        <v>0.0108695652173913</v>
      </c>
      <c r="L9" s="69">
        <f t="shared" ref="L9:L14" si="3">E9/D9</f>
        <v>0.00248514316585629</v>
      </c>
      <c r="M9" s="68">
        <f t="shared" ref="M9:M14" si="4">G9/E9</f>
        <v>0.671413043478261</v>
      </c>
      <c r="N9" s="68">
        <f t="shared" ref="N9:N14" si="5">G9/F9</f>
        <v>61.77</v>
      </c>
      <c r="O9" s="70">
        <f t="shared" ref="O9:O14" si="6">G9/H9</f>
        <v>0.388490566037736</v>
      </c>
      <c r="P9" s="71">
        <f t="shared" ref="P9:P14" si="7">G9/I9</f>
        <v>0.0251824371152513</v>
      </c>
    </row>
    <row r="10" customFormat="1" ht="22.5" customHeight="1" spans="1:17">
      <c r="A10" s="65" t="s">
        <v>22</v>
      </c>
      <c r="B10" s="66">
        <v>8</v>
      </c>
      <c r="C10" s="66">
        <v>10</v>
      </c>
      <c r="D10" s="66">
        <v>5131</v>
      </c>
      <c r="E10" s="66">
        <v>74</v>
      </c>
      <c r="F10" s="66">
        <v>1</v>
      </c>
      <c r="G10" s="67">
        <v>52.31</v>
      </c>
      <c r="H10" s="67">
        <v>135.31</v>
      </c>
      <c r="I10" s="67">
        <v>316</v>
      </c>
      <c r="J10" s="68">
        <f t="shared" si="1"/>
        <v>2.58669470464538</v>
      </c>
      <c r="K10" s="69">
        <f t="shared" si="2"/>
        <v>0.0135135135135135</v>
      </c>
      <c r="L10" s="69">
        <f t="shared" si="3"/>
        <v>0.0144221399337361</v>
      </c>
      <c r="M10" s="68">
        <f t="shared" si="4"/>
        <v>0.706891891891892</v>
      </c>
      <c r="N10" s="68">
        <f t="shared" si="5"/>
        <v>52.31</v>
      </c>
      <c r="O10" s="69">
        <f t="shared" si="6"/>
        <v>0.386593747690489</v>
      </c>
      <c r="P10" s="71">
        <f t="shared" si="7"/>
        <v>0.165537974683544</v>
      </c>
    </row>
    <row r="11" customFormat="1" ht="22.5" customHeight="1" spans="1:17">
      <c r="A11" s="65" t="s">
        <v>23</v>
      </c>
      <c r="B11" s="66">
        <v>4</v>
      </c>
      <c r="C11" s="66">
        <v>5</v>
      </c>
      <c r="D11" s="66">
        <v>64667</v>
      </c>
      <c r="E11" s="66">
        <v>121</v>
      </c>
      <c r="F11" s="72">
        <v>0</v>
      </c>
      <c r="G11" s="67">
        <v>99.94</v>
      </c>
      <c r="H11" s="67">
        <v>0</v>
      </c>
      <c r="I11" s="67">
        <v>478</v>
      </c>
      <c r="J11" s="68">
        <f t="shared" si="1"/>
        <v>0</v>
      </c>
      <c r="K11" s="69">
        <f t="shared" si="2"/>
        <v>0</v>
      </c>
      <c r="L11" s="69">
        <f t="shared" si="3"/>
        <v>0.00187112437564755</v>
      </c>
      <c r="M11" s="68">
        <f t="shared" si="4"/>
        <v>0.82595041322314</v>
      </c>
      <c r="N11" s="68" t="e">
        <f t="shared" si="5"/>
        <v>#DIV/0!</v>
      </c>
      <c r="O11" s="69" t="e">
        <f t="shared" si="6"/>
        <v>#DIV/0!</v>
      </c>
      <c r="P11" s="71">
        <f t="shared" si="7"/>
        <v>0.20907949790795</v>
      </c>
    </row>
    <row r="12" customFormat="1" ht="22.5" customHeight="1" spans="1:17">
      <c r="A12" s="73" t="s">
        <v>26</v>
      </c>
      <c r="B12" s="74">
        <v>16</v>
      </c>
      <c r="C12" s="74">
        <v>19</v>
      </c>
      <c r="D12" s="66">
        <v>9629</v>
      </c>
      <c r="E12" s="66">
        <v>121</v>
      </c>
      <c r="F12" s="66">
        <v>21</v>
      </c>
      <c r="G12" s="67">
        <v>48.15</v>
      </c>
      <c r="H12" s="75">
        <v>1265.11</v>
      </c>
      <c r="I12" s="67">
        <v>3320.94</v>
      </c>
      <c r="J12" s="68">
        <f t="shared" si="1"/>
        <v>26.2743509865005</v>
      </c>
      <c r="K12" s="69">
        <f t="shared" si="2"/>
        <v>0.173553719008264</v>
      </c>
      <c r="L12" s="69">
        <f t="shared" si="3"/>
        <v>0.0125662062519472</v>
      </c>
      <c r="M12" s="68">
        <f t="shared" si="4"/>
        <v>0.397933884297521</v>
      </c>
      <c r="N12" s="68">
        <f t="shared" si="5"/>
        <v>2.29285714285714</v>
      </c>
      <c r="O12" s="69">
        <f t="shared" si="6"/>
        <v>0.0380599315474544</v>
      </c>
      <c r="P12" s="71">
        <f t="shared" si="7"/>
        <v>0.014498906935988</v>
      </c>
    </row>
    <row r="13" customFormat="1" ht="22.5" customHeight="1" spans="1:17">
      <c r="A13" s="65" t="s">
        <v>24</v>
      </c>
      <c r="B13" s="66">
        <v>2</v>
      </c>
      <c r="C13" s="66">
        <v>2</v>
      </c>
      <c r="D13" s="66">
        <v>2224</v>
      </c>
      <c r="E13" s="66">
        <v>12</v>
      </c>
      <c r="F13" s="66">
        <v>3</v>
      </c>
      <c r="G13" s="67">
        <v>3.99</v>
      </c>
      <c r="H13" s="67">
        <v>119.42</v>
      </c>
      <c r="I13" s="67">
        <v>152.89</v>
      </c>
      <c r="J13" s="68">
        <f t="shared" si="1"/>
        <v>29.9298245614035</v>
      </c>
      <c r="K13" s="69">
        <f t="shared" si="2"/>
        <v>0.25</v>
      </c>
      <c r="L13" s="69">
        <f t="shared" si="3"/>
        <v>0.00539568345323741</v>
      </c>
      <c r="M13" s="68">
        <f t="shared" si="4"/>
        <v>0.3325</v>
      </c>
      <c r="N13" s="68">
        <f t="shared" si="5"/>
        <v>1.33</v>
      </c>
      <c r="O13" s="69">
        <f t="shared" si="6"/>
        <v>0.033411488862837</v>
      </c>
      <c r="P13" s="71">
        <f t="shared" si="7"/>
        <v>0.0260971940610897</v>
      </c>
    </row>
    <row r="14" customFormat="1" ht="22.5" customHeight="1" spans="1:17">
      <c r="A14" s="76" t="s">
        <v>25</v>
      </c>
      <c r="B14" s="77">
        <v>4</v>
      </c>
      <c r="C14" s="77">
        <v>4</v>
      </c>
      <c r="D14" s="77">
        <v>1015</v>
      </c>
      <c r="E14" s="77">
        <v>9</v>
      </c>
      <c r="F14" s="77">
        <v>1</v>
      </c>
      <c r="G14" s="78">
        <v>6.4</v>
      </c>
      <c r="H14" s="78">
        <v>75.6</v>
      </c>
      <c r="I14" s="79">
        <v>235</v>
      </c>
      <c r="J14" s="80">
        <f t="shared" si="1"/>
        <v>11.8125</v>
      </c>
      <c r="K14" s="81">
        <f t="shared" si="2"/>
        <v>0.111111111111111</v>
      </c>
      <c r="L14" s="81">
        <f t="shared" si="3"/>
        <v>0.00886699507389163</v>
      </c>
      <c r="M14" s="80">
        <f t="shared" si="4"/>
        <v>0.711111111111111</v>
      </c>
      <c r="N14" s="80">
        <f t="shared" si="5"/>
        <v>6.4</v>
      </c>
      <c r="O14" s="81">
        <f t="shared" si="6"/>
        <v>0.0846560846560847</v>
      </c>
      <c r="P14" s="82">
        <f t="shared" si="7"/>
        <v>0.0272340425531915</v>
      </c>
    </row>
    <row r="15" customFormat="1" ht="22.5" customHeight="1" spans="1:17">
      <c r="A15" s="83"/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</row>
    <row r="16" customFormat="1" ht="22.5" customHeight="1" spans="1:17">
      <c r="A16" s="54" t="s">
        <v>186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6"/>
    </row>
    <row r="17" customFormat="1" ht="22.5" customHeight="1" spans="1:16">
      <c r="A17" s="57" t="s">
        <v>0</v>
      </c>
      <c r="B17" s="58" t="s">
        <v>167</v>
      </c>
      <c r="C17" s="59" t="s">
        <v>168</v>
      </c>
      <c r="D17" s="59" t="s">
        <v>169</v>
      </c>
      <c r="E17" s="59" t="s">
        <v>170</v>
      </c>
      <c r="F17" s="59" t="s">
        <v>171</v>
      </c>
      <c r="G17" s="60" t="s">
        <v>172</v>
      </c>
      <c r="H17" s="61" t="s">
        <v>173</v>
      </c>
      <c r="I17" s="28" t="s">
        <v>174</v>
      </c>
      <c r="J17" s="59" t="s">
        <v>175</v>
      </c>
      <c r="K17" s="62" t="s">
        <v>176</v>
      </c>
      <c r="L17" s="62" t="s">
        <v>177</v>
      </c>
      <c r="M17" s="63" t="s">
        <v>178</v>
      </c>
      <c r="N17" s="63" t="s">
        <v>179</v>
      </c>
      <c r="O17" s="62" t="s">
        <v>180</v>
      </c>
      <c r="P17" s="64" t="s">
        <v>181</v>
      </c>
    </row>
    <row r="18" customFormat="1" ht="22.5" customHeight="1" spans="1:16">
      <c r="A18" s="65" t="s">
        <v>12</v>
      </c>
      <c r="B18" s="66">
        <v>6</v>
      </c>
      <c r="C18" s="66">
        <v>8</v>
      </c>
      <c r="D18" s="66">
        <v>64284</v>
      </c>
      <c r="E18" s="66">
        <v>94</v>
      </c>
      <c r="F18" s="66">
        <v>2</v>
      </c>
      <c r="G18" s="67">
        <v>65.31</v>
      </c>
      <c r="H18" s="67">
        <v>79.32</v>
      </c>
      <c r="I18" s="67">
        <v>1219.9</v>
      </c>
      <c r="J18" s="68">
        <f t="shared" ref="J18:J24" si="8">H18/G18</f>
        <v>1.21451538814883</v>
      </c>
      <c r="K18" s="69">
        <f t="shared" ref="K18:K24" si="9">F18/E18</f>
        <v>0.0212765957446809</v>
      </c>
      <c r="L18" s="69">
        <f t="shared" ref="L18:L24" si="10">E18/D18</f>
        <v>0.00146226121585464</v>
      </c>
      <c r="M18" s="68">
        <f t="shared" ref="M18:M24" si="11">G18/E18</f>
        <v>0.694787234042553</v>
      </c>
      <c r="N18" s="68">
        <f t="shared" ref="N18:N24" si="12">G18/F18</f>
        <v>32.655</v>
      </c>
      <c r="O18" s="70">
        <f t="shared" ref="O18:O24" si="13">G18/H18</f>
        <v>0.823373676248109</v>
      </c>
      <c r="P18" s="71">
        <f t="shared" ref="P18:P24" si="14">G18/I18</f>
        <v>0.0535371751782933</v>
      </c>
    </row>
    <row r="19" customFormat="1" ht="22.5" customHeight="1" spans="1:16">
      <c r="A19" s="65" t="s">
        <v>13</v>
      </c>
      <c r="B19" s="66">
        <v>7</v>
      </c>
      <c r="C19" s="66">
        <v>7</v>
      </c>
      <c r="D19" s="66">
        <v>36778</v>
      </c>
      <c r="E19" s="66">
        <v>138</v>
      </c>
      <c r="F19" s="66">
        <v>1</v>
      </c>
      <c r="G19" s="67">
        <v>115.38</v>
      </c>
      <c r="H19" s="67">
        <v>135.31</v>
      </c>
      <c r="I19" s="67">
        <v>160</v>
      </c>
      <c r="J19" s="68">
        <f t="shared" si="8"/>
        <v>1.17273357600971</v>
      </c>
      <c r="K19" s="69">
        <f t="shared" si="9"/>
        <v>0.0072463768115942</v>
      </c>
      <c r="L19" s="69">
        <f t="shared" si="10"/>
        <v>0.00375224318886291</v>
      </c>
      <c r="M19" s="68">
        <f t="shared" si="11"/>
        <v>0.836086956521739</v>
      </c>
      <c r="N19" s="68">
        <f t="shared" si="12"/>
        <v>115.38</v>
      </c>
      <c r="O19" s="69">
        <f t="shared" si="13"/>
        <v>0.852708595077969</v>
      </c>
      <c r="P19" s="84">
        <f t="shared" si="14"/>
        <v>0.721125</v>
      </c>
    </row>
    <row r="20" customFormat="1" ht="22.5" customHeight="1" spans="1:16">
      <c r="A20" s="65" t="s">
        <v>14</v>
      </c>
      <c r="B20" s="66">
        <v>5</v>
      </c>
      <c r="C20" s="66">
        <v>5</v>
      </c>
      <c r="D20" s="66">
        <v>1259</v>
      </c>
      <c r="E20" s="66">
        <v>12</v>
      </c>
      <c r="F20" s="66">
        <v>1</v>
      </c>
      <c r="G20" s="67">
        <v>8.81</v>
      </c>
      <c r="H20" s="67">
        <v>129</v>
      </c>
      <c r="I20" s="67">
        <v>353</v>
      </c>
      <c r="J20" s="68">
        <f t="shared" si="8"/>
        <v>14.6424517593644</v>
      </c>
      <c r="K20" s="69">
        <f t="shared" si="9"/>
        <v>0.0833333333333333</v>
      </c>
      <c r="L20" s="69">
        <f t="shared" si="10"/>
        <v>0.00953137410643368</v>
      </c>
      <c r="M20" s="68">
        <f t="shared" si="11"/>
        <v>0.734166666666667</v>
      </c>
      <c r="N20" s="68">
        <f t="shared" si="12"/>
        <v>8.81</v>
      </c>
      <c r="O20" s="69">
        <f t="shared" si="13"/>
        <v>0.0682945736434108</v>
      </c>
      <c r="P20" s="71">
        <f t="shared" si="14"/>
        <v>0.024957507082153</v>
      </c>
    </row>
    <row r="21" customFormat="1" ht="22.5" customHeight="1" spans="1:16">
      <c r="A21" s="65" t="s">
        <v>15</v>
      </c>
      <c r="B21" s="66">
        <v>5</v>
      </c>
      <c r="C21" s="66">
        <v>5</v>
      </c>
      <c r="D21" s="66">
        <v>1788</v>
      </c>
      <c r="E21" s="66">
        <v>49</v>
      </c>
      <c r="F21" s="66">
        <v>12</v>
      </c>
      <c r="G21" s="67">
        <v>17.21</v>
      </c>
      <c r="H21" s="75">
        <v>720.98</v>
      </c>
      <c r="I21" s="67">
        <v>1582</v>
      </c>
      <c r="J21" s="68">
        <f t="shared" si="8"/>
        <v>41.8930854154561</v>
      </c>
      <c r="K21" s="69">
        <f t="shared" si="9"/>
        <v>0.244897959183673</v>
      </c>
      <c r="L21" s="69">
        <f t="shared" si="10"/>
        <v>0.0274049217002237</v>
      </c>
      <c r="M21" s="68">
        <f t="shared" si="11"/>
        <v>0.351224489795918</v>
      </c>
      <c r="N21" s="68">
        <f t="shared" si="12"/>
        <v>1.43416666666667</v>
      </c>
      <c r="O21" s="69">
        <f t="shared" si="13"/>
        <v>0.0238702876640129</v>
      </c>
      <c r="P21" s="71">
        <f t="shared" si="14"/>
        <v>0.0108786346396966</v>
      </c>
    </row>
    <row r="22" customFormat="1" ht="22.5" customHeight="1" spans="1:16">
      <c r="A22" s="65" t="s">
        <v>16</v>
      </c>
      <c r="B22" s="66">
        <v>1</v>
      </c>
      <c r="C22" s="66">
        <v>1</v>
      </c>
      <c r="D22" s="66">
        <v>527</v>
      </c>
      <c r="E22" s="66">
        <v>6</v>
      </c>
      <c r="F22" s="66">
        <v>1</v>
      </c>
      <c r="G22" s="67">
        <v>2.32</v>
      </c>
      <c r="H22" s="67">
        <v>48.71</v>
      </c>
      <c r="I22" s="67">
        <v>45</v>
      </c>
      <c r="J22" s="68">
        <f t="shared" si="8"/>
        <v>20.9956896551724</v>
      </c>
      <c r="K22" s="69">
        <f t="shared" si="9"/>
        <v>0.166666666666667</v>
      </c>
      <c r="L22" s="69">
        <f t="shared" si="10"/>
        <v>0.0113851992409867</v>
      </c>
      <c r="M22" s="68">
        <f t="shared" si="11"/>
        <v>0.386666666666667</v>
      </c>
      <c r="N22" s="68">
        <f t="shared" si="12"/>
        <v>2.32</v>
      </c>
      <c r="O22" s="69">
        <f t="shared" si="13"/>
        <v>0.0476288236501745</v>
      </c>
      <c r="P22" s="71">
        <f t="shared" si="14"/>
        <v>0.0515555555555555</v>
      </c>
    </row>
    <row r="23" customFormat="1" ht="22.5" customHeight="1" spans="1:16">
      <c r="A23" s="65" t="s">
        <v>17</v>
      </c>
      <c r="B23" s="66">
        <v>10</v>
      </c>
      <c r="C23" s="66">
        <v>15</v>
      </c>
      <c r="D23" s="66">
        <v>6674</v>
      </c>
      <c r="E23" s="66">
        <v>80</v>
      </c>
      <c r="F23" s="66">
        <v>2</v>
      </c>
      <c r="G23" s="67">
        <v>45.52</v>
      </c>
      <c r="H23" s="67">
        <v>320.06</v>
      </c>
      <c r="I23" s="75">
        <v>2742.9</v>
      </c>
      <c r="J23" s="68">
        <f t="shared" si="8"/>
        <v>7.03119507908612</v>
      </c>
      <c r="K23" s="69">
        <f t="shared" si="9"/>
        <v>0.025</v>
      </c>
      <c r="L23" s="69">
        <f t="shared" si="10"/>
        <v>0.0119868145040456</v>
      </c>
      <c r="M23" s="68">
        <f t="shared" si="11"/>
        <v>0.569</v>
      </c>
      <c r="N23" s="68">
        <f t="shared" si="12"/>
        <v>22.76</v>
      </c>
      <c r="O23" s="69">
        <f t="shared" si="13"/>
        <v>0.142223333125039</v>
      </c>
      <c r="P23" s="71">
        <f t="shared" si="14"/>
        <v>0.0165955740274892</v>
      </c>
    </row>
    <row r="24" customFormat="1" ht="22.5" customHeight="1" spans="1:16">
      <c r="A24" s="85" t="s">
        <v>18</v>
      </c>
      <c r="B24" s="86">
        <v>8</v>
      </c>
      <c r="C24" s="86">
        <v>12</v>
      </c>
      <c r="D24" s="86">
        <v>8376</v>
      </c>
      <c r="E24" s="86">
        <v>50</v>
      </c>
      <c r="F24" s="86">
        <v>8</v>
      </c>
      <c r="G24" s="79">
        <v>18.01</v>
      </c>
      <c r="H24" s="79">
        <v>321.06</v>
      </c>
      <c r="I24" s="79">
        <v>852.93</v>
      </c>
      <c r="J24" s="80">
        <f t="shared" si="8"/>
        <v>17.8267629094947</v>
      </c>
      <c r="K24" s="81">
        <f t="shared" si="9"/>
        <v>0.16</v>
      </c>
      <c r="L24" s="81">
        <f t="shared" si="10"/>
        <v>0.0059694364851958</v>
      </c>
      <c r="M24" s="80">
        <f t="shared" si="11"/>
        <v>0.3602</v>
      </c>
      <c r="N24" s="80">
        <f t="shared" si="12"/>
        <v>2.25125</v>
      </c>
      <c r="O24" s="81">
        <f t="shared" si="13"/>
        <v>0.0560954338752881</v>
      </c>
      <c r="P24" s="82">
        <f t="shared" si="14"/>
        <v>0.0211154490989882</v>
      </c>
    </row>
    <row r="25" customFormat="1" ht="22.5" customHeight="1" spans="1:16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</row>
    <row r="26" customFormat="1" ht="22.5" customHeight="1" spans="1:16">
      <c r="A26" s="54" t="s">
        <v>187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6"/>
    </row>
    <row r="27" customFormat="1" ht="22.5" customHeight="1" spans="1:16">
      <c r="A27" s="57" t="s">
        <v>27</v>
      </c>
      <c r="B27" s="58" t="s">
        <v>167</v>
      </c>
      <c r="C27" s="59" t="s">
        <v>168</v>
      </c>
      <c r="D27" s="59" t="s">
        <v>169</v>
      </c>
      <c r="E27" s="59" t="s">
        <v>170</v>
      </c>
      <c r="F27" s="59" t="s">
        <v>171</v>
      </c>
      <c r="G27" s="60" t="s">
        <v>172</v>
      </c>
      <c r="H27" s="61" t="s">
        <v>173</v>
      </c>
      <c r="I27" s="28" t="s">
        <v>174</v>
      </c>
      <c r="J27" s="59" t="s">
        <v>175</v>
      </c>
      <c r="K27" s="62" t="s">
        <v>176</v>
      </c>
      <c r="L27" s="62" t="s">
        <v>177</v>
      </c>
      <c r="M27" s="63" t="s">
        <v>178</v>
      </c>
      <c r="N27" s="63" t="s">
        <v>179</v>
      </c>
      <c r="O27" s="62" t="s">
        <v>180</v>
      </c>
      <c r="P27" s="64" t="s">
        <v>181</v>
      </c>
    </row>
    <row r="28" customFormat="1" ht="22.5" customHeight="1" spans="1:16">
      <c r="A28" s="65" t="s">
        <v>68</v>
      </c>
      <c r="B28" s="66">
        <v>37</v>
      </c>
      <c r="C28" s="66">
        <v>40</v>
      </c>
      <c r="D28" s="66">
        <v>83662</v>
      </c>
      <c r="E28" s="66">
        <v>361</v>
      </c>
      <c r="F28" s="66">
        <v>24</v>
      </c>
      <c r="G28" s="67">
        <v>232.97</v>
      </c>
      <c r="H28" s="67">
        <v>1635.02</v>
      </c>
      <c r="I28" s="67">
        <v>6350.84</v>
      </c>
      <c r="J28" s="68">
        <f>H28/G28</f>
        <v>7.01815684422887</v>
      </c>
      <c r="K28" s="69">
        <f>F28/E28</f>
        <v>0.0664819944598338</v>
      </c>
      <c r="L28" s="69">
        <f>E28/D28</f>
        <v>0.00431498171212737</v>
      </c>
      <c r="M28" s="68">
        <f>G28/E28</f>
        <v>0.645346260387812</v>
      </c>
      <c r="N28" s="68">
        <f>G28/F28</f>
        <v>9.70708333333333</v>
      </c>
      <c r="O28" s="69">
        <f>G28/H28</f>
        <v>0.142487553669068</v>
      </c>
      <c r="P28" s="71">
        <f>G28/I28</f>
        <v>0.0366833363775501</v>
      </c>
    </row>
    <row r="29" ht="17.25" spans="1:16">
      <c r="A29" s="87" t="s">
        <v>69</v>
      </c>
      <c r="B29" s="86">
        <v>8</v>
      </c>
      <c r="C29" s="86">
        <v>13</v>
      </c>
      <c r="D29" s="86">
        <v>36024</v>
      </c>
      <c r="E29" s="86">
        <v>68</v>
      </c>
      <c r="F29" s="86">
        <v>3</v>
      </c>
      <c r="G29" s="79">
        <v>39.59</v>
      </c>
      <c r="H29" s="79">
        <v>119.42</v>
      </c>
      <c r="I29" s="79">
        <v>604.89</v>
      </c>
      <c r="J29" s="80">
        <f>H29/G29</f>
        <v>3.01641828744632</v>
      </c>
      <c r="K29" s="81">
        <f>F29/E29</f>
        <v>0.0441176470588235</v>
      </c>
      <c r="L29" s="81">
        <f>E29/D29</f>
        <v>0.0018876304685765</v>
      </c>
      <c r="M29" s="80">
        <f>G29/E29</f>
        <v>0.582205882352941</v>
      </c>
      <c r="N29" s="80">
        <f>G29/F29</f>
        <v>13.1966666666667</v>
      </c>
      <c r="O29" s="81">
        <f>G29/H29</f>
        <v>0.331519008541283</v>
      </c>
      <c r="P29" s="82">
        <f>G29/I29</f>
        <v>0.0654499165137463</v>
      </c>
    </row>
  </sheetData>
  <sheetProtection formatCells="0" formatColumns="0" formatRows="0" insertRows="0" insertColumns="0" insertHyperlinks="0" deleteColumns="0" deleteRows="0" sort="0" autoFilter="0" pivotTables="0"/>
  <mergeCells count="4">
    <mergeCell ref="A1:P1"/>
    <mergeCell ref="A7:P7"/>
    <mergeCell ref="A16:P16"/>
    <mergeCell ref="A26:P26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P158"/>
  <sheetViews>
    <sheetView workbookViewId="0">
      <selection activeCell="K123" sqref="K123"/>
    </sheetView>
  </sheetViews>
  <sheetFormatPr defaultColWidth="9" defaultRowHeight="13.5"/>
  <cols>
    <col min="1" max="1" width="11.375" style="1" customWidth="1"/>
    <col min="2" max="2" width="25.625" style="2" customWidth="1"/>
    <col min="3" max="6" width="11.875" style="2" customWidth="1"/>
    <col min="7" max="7" width="11.875" style="3" customWidth="1"/>
    <col min="8" max="8" width="16" style="4" customWidth="1"/>
    <col min="9" max="9" width="16" style="5" customWidth="1"/>
  </cols>
  <sheetData>
    <row r="1" customFormat="1" ht="16.5" spans="1:16">
      <c r="A1" s="6" t="s">
        <v>188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customFormat="1" ht="14.25" spans="1:16">
      <c r="A2" s="8" t="s">
        <v>189</v>
      </c>
      <c r="B2" s="7"/>
      <c r="C2" s="7"/>
      <c r="D2" s="7"/>
      <c r="E2" s="7"/>
      <c r="F2" s="9" t="s">
        <v>190</v>
      </c>
      <c r="G2" s="10"/>
      <c r="H2" s="10"/>
      <c r="I2" s="10"/>
      <c r="J2" s="10"/>
      <c r="K2" s="11" t="s">
        <v>191</v>
      </c>
      <c r="L2" s="11"/>
      <c r="M2" s="11"/>
      <c r="N2" s="11"/>
      <c r="O2" s="11"/>
      <c r="P2" s="11"/>
    </row>
    <row r="3" customFormat="1" ht="33" spans="1:16">
      <c r="A3" s="12" t="s">
        <v>109</v>
      </c>
      <c r="B3" s="12" t="s">
        <v>110</v>
      </c>
      <c r="C3" s="12" t="s">
        <v>192</v>
      </c>
      <c r="D3" s="12" t="s">
        <v>112</v>
      </c>
      <c r="E3" s="12" t="s">
        <v>185</v>
      </c>
      <c r="F3" s="12" t="s">
        <v>114</v>
      </c>
      <c r="G3" s="12" t="s">
        <v>27</v>
      </c>
      <c r="H3" s="12" t="s">
        <v>193</v>
      </c>
      <c r="I3" s="12" t="s">
        <v>116</v>
      </c>
      <c r="J3" s="12" t="s">
        <v>194</v>
      </c>
      <c r="K3" s="12" t="s">
        <v>119</v>
      </c>
      <c r="L3" s="12" t="s">
        <v>121</v>
      </c>
      <c r="M3" s="12" t="s">
        <v>132</v>
      </c>
      <c r="N3" s="12" t="s">
        <v>131</v>
      </c>
      <c r="O3" s="12" t="s">
        <v>134</v>
      </c>
      <c r="P3" s="12" t="s">
        <v>195</v>
      </c>
    </row>
    <row r="4" ht="14.25" spans="1:16">
      <c r="A4" s="13">
        <v>12073</v>
      </c>
      <c r="B4" s="13" t="s">
        <v>196</v>
      </c>
      <c r="C4" s="14" t="s">
        <v>197</v>
      </c>
      <c r="D4" s="13" t="s">
        <v>198</v>
      </c>
      <c r="E4" s="13" t="s">
        <v>25</v>
      </c>
      <c r="F4" s="13" t="s">
        <v>12</v>
      </c>
      <c r="G4" s="13" t="s">
        <v>68</v>
      </c>
      <c r="H4" s="14" t="s">
        <v>138</v>
      </c>
      <c r="I4" s="14">
        <v>1</v>
      </c>
      <c r="J4" s="14">
        <v>420</v>
      </c>
      <c r="K4" s="14">
        <v>0</v>
      </c>
      <c r="L4" s="14" t="s">
        <v>199</v>
      </c>
      <c r="M4" s="13" t="s">
        <v>140</v>
      </c>
      <c r="N4" s="13" t="s">
        <v>200</v>
      </c>
      <c r="O4" s="14" t="s">
        <v>142</v>
      </c>
      <c r="P4" s="14" t="s">
        <v>201</v>
      </c>
    </row>
    <row r="5" ht="14.25" spans="1:16">
      <c r="A5" s="13">
        <v>12074</v>
      </c>
      <c r="B5" s="13" t="s">
        <v>202</v>
      </c>
      <c r="C5" s="14" t="s">
        <v>197</v>
      </c>
      <c r="D5" s="13" t="s">
        <v>197</v>
      </c>
      <c r="E5" s="13" t="s">
        <v>25</v>
      </c>
      <c r="F5" s="13" t="s">
        <v>12</v>
      </c>
      <c r="G5" s="13" t="s">
        <v>69</v>
      </c>
      <c r="H5" s="14" t="s">
        <v>138</v>
      </c>
      <c r="I5" s="14">
        <v>8</v>
      </c>
      <c r="J5" s="14">
        <v>2010.88</v>
      </c>
      <c r="K5" s="14">
        <v>0</v>
      </c>
      <c r="L5" s="14" t="s">
        <v>199</v>
      </c>
      <c r="M5" s="13" t="s">
        <v>140</v>
      </c>
      <c r="N5" s="13" t="s">
        <v>200</v>
      </c>
      <c r="O5" s="14" t="s">
        <v>142</v>
      </c>
      <c r="P5" s="14" t="s">
        <v>201</v>
      </c>
    </row>
    <row r="6" ht="14.25" spans="1:16">
      <c r="A6" s="13">
        <v>12075</v>
      </c>
      <c r="B6" s="13" t="s">
        <v>203</v>
      </c>
      <c r="C6" s="14" t="s">
        <v>197</v>
      </c>
      <c r="D6" s="13" t="s">
        <v>197</v>
      </c>
      <c r="E6" s="13" t="s">
        <v>25</v>
      </c>
      <c r="F6" s="13" t="s">
        <v>12</v>
      </c>
      <c r="G6" s="13" t="s">
        <v>69</v>
      </c>
      <c r="H6" s="14" t="s">
        <v>138</v>
      </c>
      <c r="I6" s="14">
        <v>1</v>
      </c>
      <c r="J6" s="14">
        <v>220</v>
      </c>
      <c r="K6" s="14">
        <v>0</v>
      </c>
      <c r="L6" s="14" t="s">
        <v>199</v>
      </c>
      <c r="M6" s="13" t="s">
        <v>140</v>
      </c>
      <c r="N6" s="13" t="s">
        <v>200</v>
      </c>
      <c r="O6" s="14" t="s">
        <v>142</v>
      </c>
      <c r="P6" s="14" t="s">
        <v>201</v>
      </c>
    </row>
    <row r="7" ht="14.25" spans="1:16">
      <c r="A7" s="13">
        <v>12252</v>
      </c>
      <c r="B7" s="13" t="s">
        <v>137</v>
      </c>
      <c r="C7" s="14" t="s">
        <v>197</v>
      </c>
      <c r="D7" s="13" t="s">
        <v>204</v>
      </c>
      <c r="E7" s="13" t="s">
        <v>21</v>
      </c>
      <c r="F7" s="13" t="s">
        <v>12</v>
      </c>
      <c r="G7" s="13" t="s">
        <v>68</v>
      </c>
      <c r="H7" s="14" t="s">
        <v>138</v>
      </c>
      <c r="I7" s="14">
        <v>1</v>
      </c>
      <c r="J7" s="14">
        <v>40</v>
      </c>
      <c r="K7" s="14">
        <v>7</v>
      </c>
      <c r="L7" s="14" t="s">
        <v>205</v>
      </c>
      <c r="M7" s="13" t="s">
        <v>105</v>
      </c>
      <c r="N7" s="13" t="s">
        <v>141</v>
      </c>
      <c r="O7" s="14" t="s">
        <v>142</v>
      </c>
      <c r="P7" s="14" t="s">
        <v>206</v>
      </c>
    </row>
    <row r="8" ht="14.25" spans="1:16">
      <c r="A8" s="13">
        <v>12165</v>
      </c>
      <c r="B8" s="13" t="s">
        <v>143</v>
      </c>
      <c r="C8" s="14" t="s">
        <v>197</v>
      </c>
      <c r="D8" s="13" t="s">
        <v>198</v>
      </c>
      <c r="E8" s="13" t="s">
        <v>25</v>
      </c>
      <c r="F8" s="13" t="s">
        <v>14</v>
      </c>
      <c r="G8" s="13" t="s">
        <v>68</v>
      </c>
      <c r="H8" s="14" t="s">
        <v>138</v>
      </c>
      <c r="I8" s="14">
        <v>1</v>
      </c>
      <c r="J8" s="14">
        <v>169</v>
      </c>
      <c r="K8" s="14">
        <v>1</v>
      </c>
      <c r="L8" s="14" t="s">
        <v>207</v>
      </c>
      <c r="M8" s="13" t="s">
        <v>105</v>
      </c>
      <c r="N8" s="13" t="s">
        <v>144</v>
      </c>
      <c r="O8" s="14" t="s">
        <v>142</v>
      </c>
      <c r="P8" s="14" t="s">
        <v>201</v>
      </c>
    </row>
    <row r="9" ht="14.25" spans="1:16">
      <c r="A9" s="15">
        <v>12247</v>
      </c>
      <c r="B9" s="15" t="s">
        <v>208</v>
      </c>
      <c r="C9" s="16" t="s">
        <v>197</v>
      </c>
      <c r="D9" s="15" t="s">
        <v>204</v>
      </c>
      <c r="E9" s="15" t="s">
        <v>21</v>
      </c>
      <c r="F9" s="15" t="s">
        <v>17</v>
      </c>
      <c r="G9" s="15" t="s">
        <v>68</v>
      </c>
      <c r="H9" s="16" t="s">
        <v>138</v>
      </c>
      <c r="I9" s="16">
        <v>5</v>
      </c>
      <c r="J9" s="16">
        <v>490</v>
      </c>
      <c r="K9" s="16">
        <v>0</v>
      </c>
      <c r="L9" s="16" t="s">
        <v>199</v>
      </c>
      <c r="M9" s="15" t="s">
        <v>140</v>
      </c>
      <c r="N9" s="15" t="s">
        <v>200</v>
      </c>
      <c r="O9" s="16" t="s">
        <v>142</v>
      </c>
      <c r="P9" s="16" t="s">
        <v>209</v>
      </c>
    </row>
    <row r="10" ht="14.25" spans="1:16">
      <c r="A10" s="15">
        <v>11102</v>
      </c>
      <c r="B10" s="15" t="s">
        <v>210</v>
      </c>
      <c r="C10" s="16" t="s">
        <v>197</v>
      </c>
      <c r="D10" s="15" t="s">
        <v>211</v>
      </c>
      <c r="E10" s="15" t="s">
        <v>26</v>
      </c>
      <c r="F10" s="15" t="s">
        <v>12</v>
      </c>
      <c r="G10" s="15" t="s">
        <v>68</v>
      </c>
      <c r="H10" s="16" t="s">
        <v>142</v>
      </c>
      <c r="I10" s="16">
        <v>5</v>
      </c>
      <c r="J10" s="16">
        <v>140.95</v>
      </c>
      <c r="K10" s="16">
        <v>5</v>
      </c>
      <c r="L10" s="16" t="s">
        <v>212</v>
      </c>
      <c r="M10" s="15" t="s">
        <v>105</v>
      </c>
      <c r="N10" s="15" t="s">
        <v>200</v>
      </c>
      <c r="O10" s="16" t="s">
        <v>138</v>
      </c>
      <c r="P10" s="16" t="s">
        <v>209</v>
      </c>
    </row>
    <row r="11" ht="14.25" spans="1:16">
      <c r="A11" s="15">
        <v>12071</v>
      </c>
      <c r="B11" s="15" t="s">
        <v>213</v>
      </c>
      <c r="C11" s="16" t="s">
        <v>197</v>
      </c>
      <c r="D11" s="15" t="s">
        <v>214</v>
      </c>
      <c r="E11" s="15" t="s">
        <v>21</v>
      </c>
      <c r="F11" s="15" t="s">
        <v>13</v>
      </c>
      <c r="G11" s="15" t="s">
        <v>69</v>
      </c>
      <c r="H11" s="16" t="s">
        <v>138</v>
      </c>
      <c r="I11" s="16">
        <v>0</v>
      </c>
      <c r="J11" s="16">
        <v>0</v>
      </c>
      <c r="K11" s="16">
        <v>0</v>
      </c>
      <c r="L11" s="16" t="s">
        <v>209</v>
      </c>
      <c r="M11" s="15" t="s">
        <v>106</v>
      </c>
      <c r="N11" s="15" t="s">
        <v>144</v>
      </c>
      <c r="O11" s="16" t="s">
        <v>142</v>
      </c>
      <c r="P11" s="16" t="s">
        <v>209</v>
      </c>
    </row>
    <row r="12" ht="14.25" spans="1:16">
      <c r="A12" s="15">
        <v>12072</v>
      </c>
      <c r="B12" s="15" t="s">
        <v>215</v>
      </c>
      <c r="C12" s="16" t="s">
        <v>197</v>
      </c>
      <c r="D12" s="15" t="s">
        <v>216</v>
      </c>
      <c r="E12" s="15" t="s">
        <v>21</v>
      </c>
      <c r="F12" s="15" t="s">
        <v>13</v>
      </c>
      <c r="G12" s="15" t="s">
        <v>68</v>
      </c>
      <c r="H12" s="16" t="s">
        <v>142</v>
      </c>
      <c r="I12" s="16">
        <v>0</v>
      </c>
      <c r="J12" s="16">
        <v>0</v>
      </c>
      <c r="K12" s="16">
        <v>0</v>
      </c>
      <c r="L12" s="16" t="s">
        <v>209</v>
      </c>
      <c r="M12" s="15" t="s">
        <v>106</v>
      </c>
      <c r="N12" s="15" t="s">
        <v>200</v>
      </c>
      <c r="O12" s="16" t="s">
        <v>142</v>
      </c>
      <c r="P12" s="16" t="s">
        <v>209</v>
      </c>
    </row>
    <row r="13" ht="14.25" spans="1:16">
      <c r="A13" s="13">
        <v>12248</v>
      </c>
      <c r="B13" s="13" t="s">
        <v>145</v>
      </c>
      <c r="C13" s="14" t="s">
        <v>197</v>
      </c>
      <c r="D13" s="13" t="s">
        <v>217</v>
      </c>
      <c r="E13" s="13" t="s">
        <v>21</v>
      </c>
      <c r="F13" s="13" t="s">
        <v>17</v>
      </c>
      <c r="G13" s="13" t="s">
        <v>68</v>
      </c>
      <c r="H13" s="14" t="s">
        <v>138</v>
      </c>
      <c r="I13" s="14">
        <v>3</v>
      </c>
      <c r="J13" s="14">
        <v>257</v>
      </c>
      <c r="K13" s="14">
        <v>1</v>
      </c>
      <c r="L13" s="14" t="s">
        <v>218</v>
      </c>
      <c r="M13" s="13" t="s">
        <v>140</v>
      </c>
      <c r="N13" s="13" t="s">
        <v>141</v>
      </c>
      <c r="O13" s="14" t="s">
        <v>142</v>
      </c>
      <c r="P13" s="14" t="s">
        <v>201</v>
      </c>
    </row>
    <row r="14" ht="14.25" spans="1:16">
      <c r="A14" s="15">
        <v>12246</v>
      </c>
      <c r="B14" s="15" t="s">
        <v>219</v>
      </c>
      <c r="C14" s="16" t="s">
        <v>197</v>
      </c>
      <c r="D14" s="15" t="s">
        <v>220</v>
      </c>
      <c r="E14" s="15" t="s">
        <v>21</v>
      </c>
      <c r="F14" s="15" t="s">
        <v>17</v>
      </c>
      <c r="G14" s="15" t="s">
        <v>68</v>
      </c>
      <c r="H14" s="16" t="s">
        <v>138</v>
      </c>
      <c r="I14" s="16">
        <v>9</v>
      </c>
      <c r="J14" s="16">
        <v>833.5</v>
      </c>
      <c r="K14" s="16">
        <v>0</v>
      </c>
      <c r="L14" s="16" t="s">
        <v>199</v>
      </c>
      <c r="M14" s="15" t="s">
        <v>140</v>
      </c>
      <c r="N14" s="15" t="s">
        <v>200</v>
      </c>
      <c r="O14" s="16" t="s">
        <v>138</v>
      </c>
      <c r="P14" s="16" t="s">
        <v>209</v>
      </c>
    </row>
    <row r="15" ht="14.25" spans="1:16">
      <c r="A15" s="13">
        <v>12205</v>
      </c>
      <c r="B15" s="13" t="s">
        <v>146</v>
      </c>
      <c r="C15" s="14" t="s">
        <v>220</v>
      </c>
      <c r="D15" s="13" t="s">
        <v>204</v>
      </c>
      <c r="E15" s="13" t="s">
        <v>21</v>
      </c>
      <c r="F15" s="13" t="s">
        <v>12</v>
      </c>
      <c r="G15" s="13" t="s">
        <v>68</v>
      </c>
      <c r="H15" s="14" t="s">
        <v>138</v>
      </c>
      <c r="I15" s="14">
        <v>10</v>
      </c>
      <c r="J15" s="14">
        <v>220</v>
      </c>
      <c r="K15" s="14">
        <v>20</v>
      </c>
      <c r="L15" s="14" t="s">
        <v>221</v>
      </c>
      <c r="M15" s="13" t="s">
        <v>105</v>
      </c>
      <c r="N15" s="13" t="s">
        <v>141</v>
      </c>
      <c r="O15" s="14" t="s">
        <v>142</v>
      </c>
      <c r="P15" s="14" t="s">
        <v>206</v>
      </c>
    </row>
    <row r="16" ht="14.25" spans="1:16">
      <c r="A16" s="13">
        <v>12206</v>
      </c>
      <c r="B16" s="13" t="s">
        <v>147</v>
      </c>
      <c r="C16" s="14" t="s">
        <v>220</v>
      </c>
      <c r="D16" s="13" t="s">
        <v>222</v>
      </c>
      <c r="E16" s="13" t="s">
        <v>21</v>
      </c>
      <c r="F16" s="13" t="s">
        <v>12</v>
      </c>
      <c r="G16" s="13" t="s">
        <v>68</v>
      </c>
      <c r="H16" s="14" t="s">
        <v>138</v>
      </c>
      <c r="I16" s="14">
        <v>2</v>
      </c>
      <c r="J16" s="14">
        <v>44</v>
      </c>
      <c r="K16" s="14">
        <v>6</v>
      </c>
      <c r="L16" s="14" t="s">
        <v>223</v>
      </c>
      <c r="M16" s="13" t="s">
        <v>105</v>
      </c>
      <c r="N16" s="13" t="s">
        <v>141</v>
      </c>
      <c r="O16" s="14" t="s">
        <v>142</v>
      </c>
      <c r="P16" s="14" t="s">
        <v>224</v>
      </c>
    </row>
    <row r="17" ht="14.25" spans="1:16">
      <c r="A17" s="13">
        <v>11997</v>
      </c>
      <c r="B17" s="13" t="s">
        <v>225</v>
      </c>
      <c r="C17" s="14" t="s">
        <v>217</v>
      </c>
      <c r="D17" s="13" t="s">
        <v>226</v>
      </c>
      <c r="E17" s="13" t="s">
        <v>26</v>
      </c>
      <c r="F17" s="13" t="s">
        <v>18</v>
      </c>
      <c r="G17" s="13" t="s">
        <v>68</v>
      </c>
      <c r="H17" s="14" t="s">
        <v>142</v>
      </c>
      <c r="I17" s="14">
        <v>1</v>
      </c>
      <c r="J17" s="14">
        <v>139</v>
      </c>
      <c r="K17" s="14">
        <v>0</v>
      </c>
      <c r="L17" s="14" t="s">
        <v>199</v>
      </c>
      <c r="M17" s="13" t="s">
        <v>140</v>
      </c>
      <c r="N17" s="13" t="s">
        <v>200</v>
      </c>
      <c r="O17" s="14" t="s">
        <v>142</v>
      </c>
      <c r="P17" s="14" t="s">
        <v>201</v>
      </c>
    </row>
    <row r="18" ht="14.25" spans="1:16">
      <c r="A18" s="13">
        <v>12262</v>
      </c>
      <c r="B18" s="13" t="s">
        <v>227</v>
      </c>
      <c r="C18" s="14" t="s">
        <v>217</v>
      </c>
      <c r="D18" s="13" t="s">
        <v>222</v>
      </c>
      <c r="E18" s="13" t="s">
        <v>26</v>
      </c>
      <c r="F18" s="13" t="s">
        <v>15</v>
      </c>
      <c r="G18" s="13" t="s">
        <v>68</v>
      </c>
      <c r="H18" s="14" t="s">
        <v>138</v>
      </c>
      <c r="I18" s="14">
        <v>1</v>
      </c>
      <c r="J18" s="14">
        <v>142</v>
      </c>
      <c r="K18" s="14">
        <v>0</v>
      </c>
      <c r="L18" s="14" t="s">
        <v>209</v>
      </c>
      <c r="M18" s="13" t="s">
        <v>108</v>
      </c>
      <c r="N18" s="13" t="s">
        <v>200</v>
      </c>
      <c r="O18" s="14" t="s">
        <v>142</v>
      </c>
      <c r="P18" s="14" t="s">
        <v>201</v>
      </c>
    </row>
    <row r="19" ht="14.25" spans="1:16">
      <c r="A19" s="15">
        <v>12244</v>
      </c>
      <c r="B19" s="15" t="s">
        <v>228</v>
      </c>
      <c r="C19" s="16" t="s">
        <v>217</v>
      </c>
      <c r="D19" s="15" t="s">
        <v>229</v>
      </c>
      <c r="E19" s="15" t="s">
        <v>26</v>
      </c>
      <c r="F19" s="15" t="s">
        <v>18</v>
      </c>
      <c r="G19" s="15" t="s">
        <v>68</v>
      </c>
      <c r="H19" s="16" t="s">
        <v>142</v>
      </c>
      <c r="I19" s="16">
        <v>0</v>
      </c>
      <c r="J19" s="16">
        <v>0</v>
      </c>
      <c r="K19" s="16">
        <v>1</v>
      </c>
      <c r="L19" s="16" t="s">
        <v>207</v>
      </c>
      <c r="M19" s="15" t="s">
        <v>105</v>
      </c>
      <c r="N19" s="15" t="s">
        <v>200</v>
      </c>
      <c r="O19" s="16" t="s">
        <v>138</v>
      </c>
      <c r="P19" s="16" t="s">
        <v>209</v>
      </c>
    </row>
    <row r="20" ht="14.25" spans="1:16">
      <c r="A20" s="15">
        <v>12243</v>
      </c>
      <c r="B20" s="15" t="s">
        <v>230</v>
      </c>
      <c r="C20" s="16" t="s">
        <v>217</v>
      </c>
      <c r="D20" s="15" t="s">
        <v>231</v>
      </c>
      <c r="E20" s="15" t="s">
        <v>26</v>
      </c>
      <c r="F20" s="15" t="s">
        <v>18</v>
      </c>
      <c r="G20" s="15" t="s">
        <v>68</v>
      </c>
      <c r="H20" s="16" t="s">
        <v>142</v>
      </c>
      <c r="I20" s="16">
        <v>1</v>
      </c>
      <c r="J20" s="16">
        <v>38</v>
      </c>
      <c r="K20" s="16">
        <v>1</v>
      </c>
      <c r="L20" s="16" t="s">
        <v>232</v>
      </c>
      <c r="M20" s="15" t="s">
        <v>105</v>
      </c>
      <c r="N20" s="15" t="s">
        <v>200</v>
      </c>
      <c r="O20" s="16" t="s">
        <v>138</v>
      </c>
      <c r="P20" s="16" t="s">
        <v>209</v>
      </c>
    </row>
    <row r="21" ht="14.25" spans="1:16">
      <c r="A21" s="13">
        <v>12304</v>
      </c>
      <c r="B21" s="13" t="s">
        <v>233</v>
      </c>
      <c r="C21" s="14" t="s">
        <v>214</v>
      </c>
      <c r="D21" s="13" t="s">
        <v>234</v>
      </c>
      <c r="E21" s="13" t="s">
        <v>23</v>
      </c>
      <c r="F21" s="13" t="s">
        <v>12</v>
      </c>
      <c r="G21" s="13" t="s">
        <v>68</v>
      </c>
      <c r="H21" s="14" t="s">
        <v>138</v>
      </c>
      <c r="I21" s="14">
        <v>0</v>
      </c>
      <c r="J21" s="14">
        <v>0</v>
      </c>
      <c r="K21" s="14">
        <v>1</v>
      </c>
      <c r="L21" s="14" t="s">
        <v>207</v>
      </c>
      <c r="M21" s="13" t="s">
        <v>105</v>
      </c>
      <c r="N21" s="13" t="s">
        <v>200</v>
      </c>
      <c r="O21" s="14" t="s">
        <v>142</v>
      </c>
      <c r="P21" s="14" t="s">
        <v>201</v>
      </c>
    </row>
    <row r="22" ht="14.25" spans="1:16">
      <c r="A22" s="13">
        <v>12085</v>
      </c>
      <c r="B22" s="13" t="s">
        <v>148</v>
      </c>
      <c r="C22" s="14" t="s">
        <v>214</v>
      </c>
      <c r="D22" s="13" t="s">
        <v>235</v>
      </c>
      <c r="E22" s="13" t="s">
        <v>26</v>
      </c>
      <c r="F22" s="13" t="s">
        <v>15</v>
      </c>
      <c r="G22" s="13" t="s">
        <v>69</v>
      </c>
      <c r="H22" s="14" t="s">
        <v>138</v>
      </c>
      <c r="I22" s="14">
        <v>2</v>
      </c>
      <c r="J22" s="14">
        <v>170</v>
      </c>
      <c r="K22" s="14">
        <v>1</v>
      </c>
      <c r="L22" s="14" t="s">
        <v>236</v>
      </c>
      <c r="M22" s="13" t="s">
        <v>105</v>
      </c>
      <c r="N22" s="13" t="s">
        <v>149</v>
      </c>
      <c r="O22" s="14" t="s">
        <v>142</v>
      </c>
      <c r="P22" s="14" t="s">
        <v>201</v>
      </c>
    </row>
    <row r="23" ht="14.25" spans="1:16">
      <c r="A23" s="13">
        <v>12086</v>
      </c>
      <c r="B23" s="13" t="s">
        <v>150</v>
      </c>
      <c r="C23" s="14" t="s">
        <v>214</v>
      </c>
      <c r="D23" s="13" t="s">
        <v>211</v>
      </c>
      <c r="E23" s="13" t="s">
        <v>26</v>
      </c>
      <c r="F23" s="13" t="s">
        <v>15</v>
      </c>
      <c r="G23" s="13" t="s">
        <v>68</v>
      </c>
      <c r="H23" s="14" t="s">
        <v>138</v>
      </c>
      <c r="I23" s="14">
        <v>3</v>
      </c>
      <c r="J23" s="14">
        <v>225</v>
      </c>
      <c r="K23" s="14">
        <v>1</v>
      </c>
      <c r="L23" s="14" t="s">
        <v>218</v>
      </c>
      <c r="M23" s="13" t="s">
        <v>140</v>
      </c>
      <c r="N23" s="13" t="s">
        <v>149</v>
      </c>
      <c r="O23" s="14" t="s">
        <v>142</v>
      </c>
      <c r="P23" s="14" t="s">
        <v>201</v>
      </c>
    </row>
    <row r="24" ht="14.25" spans="1:16">
      <c r="A24" s="13">
        <v>12258</v>
      </c>
      <c r="B24" s="13" t="s">
        <v>151</v>
      </c>
      <c r="C24" s="14" t="s">
        <v>214</v>
      </c>
      <c r="D24" s="13" t="s">
        <v>235</v>
      </c>
      <c r="E24" s="13" t="s">
        <v>26</v>
      </c>
      <c r="F24" s="13" t="s">
        <v>15</v>
      </c>
      <c r="G24" s="13" t="s">
        <v>68</v>
      </c>
      <c r="H24" s="14" t="s">
        <v>138</v>
      </c>
      <c r="I24" s="14">
        <v>13</v>
      </c>
      <c r="J24" s="14">
        <v>364</v>
      </c>
      <c r="K24" s="14">
        <v>17</v>
      </c>
      <c r="L24" s="14" t="s">
        <v>237</v>
      </c>
      <c r="M24" s="13" t="s">
        <v>105</v>
      </c>
      <c r="N24" s="13" t="s">
        <v>141</v>
      </c>
      <c r="O24" s="14" t="s">
        <v>142</v>
      </c>
      <c r="P24" s="14" t="s">
        <v>201</v>
      </c>
    </row>
    <row r="25" ht="14.25" spans="1:16">
      <c r="A25" s="15">
        <v>12210</v>
      </c>
      <c r="B25" s="15" t="s">
        <v>152</v>
      </c>
      <c r="C25" s="16" t="s">
        <v>214</v>
      </c>
      <c r="D25" s="15" t="s">
        <v>238</v>
      </c>
      <c r="E25" s="15" t="s">
        <v>26</v>
      </c>
      <c r="F25" s="15" t="s">
        <v>18</v>
      </c>
      <c r="G25" s="15" t="s">
        <v>68</v>
      </c>
      <c r="H25" s="16" t="s">
        <v>142</v>
      </c>
      <c r="I25" s="16">
        <v>6</v>
      </c>
      <c r="J25" s="16">
        <v>69.04</v>
      </c>
      <c r="K25" s="16">
        <v>20</v>
      </c>
      <c r="L25" s="16" t="s">
        <v>239</v>
      </c>
      <c r="M25" s="15" t="s">
        <v>105</v>
      </c>
      <c r="N25" s="15" t="s">
        <v>141</v>
      </c>
      <c r="O25" s="16" t="s">
        <v>138</v>
      </c>
      <c r="P25" s="16" t="s">
        <v>209</v>
      </c>
    </row>
    <row r="26" ht="14.25" spans="1:16">
      <c r="A26" s="15">
        <v>12250</v>
      </c>
      <c r="B26" s="15" t="s">
        <v>240</v>
      </c>
      <c r="C26" s="16" t="s">
        <v>214</v>
      </c>
      <c r="D26" s="15" t="s">
        <v>241</v>
      </c>
      <c r="E26" s="15" t="s">
        <v>22</v>
      </c>
      <c r="F26" s="15" t="s">
        <v>18</v>
      </c>
      <c r="G26" s="15" t="s">
        <v>69</v>
      </c>
      <c r="H26" s="16" t="s">
        <v>138</v>
      </c>
      <c r="I26" s="16">
        <v>2</v>
      </c>
      <c r="J26" s="16">
        <v>78</v>
      </c>
      <c r="K26" s="16">
        <v>2</v>
      </c>
      <c r="L26" s="16" t="s">
        <v>232</v>
      </c>
      <c r="M26" s="15" t="s">
        <v>105</v>
      </c>
      <c r="N26" s="15" t="s">
        <v>200</v>
      </c>
      <c r="O26" s="16" t="s">
        <v>138</v>
      </c>
      <c r="P26" s="16" t="s">
        <v>209</v>
      </c>
    </row>
    <row r="27" ht="14.25" spans="1:16">
      <c r="A27" s="17">
        <v>12251</v>
      </c>
      <c r="B27" s="17" t="s">
        <v>242</v>
      </c>
      <c r="C27" s="18" t="s">
        <v>214</v>
      </c>
      <c r="D27" s="17" t="s">
        <v>216</v>
      </c>
      <c r="E27" s="17" t="s">
        <v>22</v>
      </c>
      <c r="F27" s="17" t="s">
        <v>18</v>
      </c>
      <c r="G27" s="17" t="s">
        <v>69</v>
      </c>
      <c r="H27" s="18" t="s">
        <v>142</v>
      </c>
      <c r="I27" s="18">
        <v>0</v>
      </c>
      <c r="J27" s="18">
        <v>0</v>
      </c>
      <c r="K27" s="18">
        <v>0</v>
      </c>
      <c r="L27" s="18" t="s">
        <v>209</v>
      </c>
      <c r="M27" s="17" t="s">
        <v>106</v>
      </c>
      <c r="N27" s="17" t="s">
        <v>200</v>
      </c>
      <c r="O27" s="18" t="s">
        <v>138</v>
      </c>
      <c r="P27" s="18" t="s">
        <v>201</v>
      </c>
    </row>
    <row r="28" ht="14.25" spans="1:16">
      <c r="A28" s="15">
        <v>12332</v>
      </c>
      <c r="B28" s="15" t="s">
        <v>243</v>
      </c>
      <c r="C28" s="16" t="s">
        <v>214</v>
      </c>
      <c r="D28" s="15" t="s">
        <v>234</v>
      </c>
      <c r="E28" s="15" t="s">
        <v>26</v>
      </c>
      <c r="F28" s="15" t="s">
        <v>18</v>
      </c>
      <c r="G28" s="15" t="s">
        <v>68</v>
      </c>
      <c r="H28" s="16" t="s">
        <v>138</v>
      </c>
      <c r="I28" s="16">
        <v>2</v>
      </c>
      <c r="J28" s="16">
        <v>228</v>
      </c>
      <c r="K28" s="16">
        <v>3</v>
      </c>
      <c r="L28" s="16" t="s">
        <v>232</v>
      </c>
      <c r="M28" s="15" t="s">
        <v>105</v>
      </c>
      <c r="N28" s="15" t="s">
        <v>200</v>
      </c>
      <c r="O28" s="16" t="s">
        <v>138</v>
      </c>
      <c r="P28" s="16" t="s">
        <v>209</v>
      </c>
    </row>
    <row r="29" ht="14.25" spans="1:16">
      <c r="A29" s="13">
        <v>12227</v>
      </c>
      <c r="B29" s="13" t="s">
        <v>244</v>
      </c>
      <c r="C29" s="14" t="s">
        <v>214</v>
      </c>
      <c r="D29" s="13" t="s">
        <v>245</v>
      </c>
      <c r="E29" s="13" t="s">
        <v>24</v>
      </c>
      <c r="F29" s="13" t="s">
        <v>17</v>
      </c>
      <c r="G29" s="13" t="s">
        <v>68</v>
      </c>
      <c r="H29" s="14" t="s">
        <v>138</v>
      </c>
      <c r="I29" s="14">
        <v>5</v>
      </c>
      <c r="J29" s="14">
        <v>345</v>
      </c>
      <c r="K29" s="14">
        <v>0</v>
      </c>
      <c r="L29" s="14" t="s">
        <v>199</v>
      </c>
      <c r="M29" s="13" t="s">
        <v>140</v>
      </c>
      <c r="N29" s="13" t="s">
        <v>200</v>
      </c>
      <c r="O29" s="14" t="s">
        <v>142</v>
      </c>
      <c r="P29" s="14" t="s">
        <v>201</v>
      </c>
    </row>
    <row r="30" ht="14.25" spans="1:16">
      <c r="A30" s="13">
        <v>12309</v>
      </c>
      <c r="B30" s="13" t="s">
        <v>246</v>
      </c>
      <c r="C30" s="14" t="s">
        <v>214</v>
      </c>
      <c r="D30" s="13" t="s">
        <v>229</v>
      </c>
      <c r="E30" s="13" t="s">
        <v>23</v>
      </c>
      <c r="F30" s="13" t="s">
        <v>12</v>
      </c>
      <c r="G30" s="13" t="s">
        <v>68</v>
      </c>
      <c r="H30" s="14" t="s">
        <v>142</v>
      </c>
      <c r="I30" s="14">
        <v>0</v>
      </c>
      <c r="J30" s="14">
        <v>0</v>
      </c>
      <c r="K30" s="14">
        <v>1</v>
      </c>
      <c r="L30" s="14" t="s">
        <v>207</v>
      </c>
      <c r="M30" s="13" t="s">
        <v>105</v>
      </c>
      <c r="N30" s="13" t="s">
        <v>200</v>
      </c>
      <c r="O30" s="14" t="s">
        <v>142</v>
      </c>
      <c r="P30" s="14" t="s">
        <v>201</v>
      </c>
    </row>
    <row r="31" ht="14.25" spans="1:16">
      <c r="A31" s="13">
        <v>12310</v>
      </c>
      <c r="B31" s="13" t="s">
        <v>247</v>
      </c>
      <c r="C31" s="14" t="s">
        <v>214</v>
      </c>
      <c r="D31" s="13" t="s">
        <v>241</v>
      </c>
      <c r="E31" s="13" t="s">
        <v>23</v>
      </c>
      <c r="F31" s="13" t="s">
        <v>12</v>
      </c>
      <c r="G31" s="13" t="s">
        <v>68</v>
      </c>
      <c r="H31" s="14" t="s">
        <v>138</v>
      </c>
      <c r="I31" s="14">
        <v>1</v>
      </c>
      <c r="J31" s="14">
        <v>483</v>
      </c>
      <c r="K31" s="14">
        <v>4</v>
      </c>
      <c r="L31" s="14" t="s">
        <v>248</v>
      </c>
      <c r="M31" s="13" t="s">
        <v>105</v>
      </c>
      <c r="N31" s="13" t="s">
        <v>200</v>
      </c>
      <c r="O31" s="14" t="s">
        <v>142</v>
      </c>
      <c r="P31" s="14" t="s">
        <v>201</v>
      </c>
    </row>
    <row r="32" ht="14.25" spans="1:16">
      <c r="A32" s="13">
        <v>12311</v>
      </c>
      <c r="B32" s="13" t="s">
        <v>249</v>
      </c>
      <c r="C32" s="14" t="s">
        <v>214</v>
      </c>
      <c r="D32" s="13" t="s">
        <v>250</v>
      </c>
      <c r="E32" s="13" t="s">
        <v>23</v>
      </c>
      <c r="F32" s="13" t="s">
        <v>12</v>
      </c>
      <c r="G32" s="13" t="s">
        <v>68</v>
      </c>
      <c r="H32" s="14" t="s">
        <v>142</v>
      </c>
      <c r="I32" s="14">
        <v>0</v>
      </c>
      <c r="J32" s="14">
        <v>0</v>
      </c>
      <c r="K32" s="14">
        <v>2</v>
      </c>
      <c r="L32" s="14" t="s">
        <v>207</v>
      </c>
      <c r="M32" s="13" t="s">
        <v>105</v>
      </c>
      <c r="N32" s="13" t="s">
        <v>200</v>
      </c>
      <c r="O32" s="14" t="s">
        <v>142</v>
      </c>
      <c r="P32" s="14" t="s">
        <v>201</v>
      </c>
    </row>
    <row r="33" ht="14.25" spans="1:16">
      <c r="A33" s="15">
        <v>12312</v>
      </c>
      <c r="B33" s="15" t="s">
        <v>251</v>
      </c>
      <c r="C33" s="16" t="s">
        <v>214</v>
      </c>
      <c r="D33" s="15" t="s">
        <v>241</v>
      </c>
      <c r="E33" s="15" t="s">
        <v>23</v>
      </c>
      <c r="F33" s="15" t="s">
        <v>12</v>
      </c>
      <c r="G33" s="15" t="s">
        <v>68</v>
      </c>
      <c r="H33" s="16" t="s">
        <v>138</v>
      </c>
      <c r="I33" s="16">
        <v>1</v>
      </c>
      <c r="J33" s="16">
        <v>478</v>
      </c>
      <c r="K33" s="16">
        <v>4</v>
      </c>
      <c r="L33" s="16" t="s">
        <v>248</v>
      </c>
      <c r="M33" s="15" t="s">
        <v>105</v>
      </c>
      <c r="N33" s="15" t="s">
        <v>200</v>
      </c>
      <c r="O33" s="16" t="s">
        <v>138</v>
      </c>
      <c r="P33" s="16" t="s">
        <v>209</v>
      </c>
    </row>
    <row r="34" ht="14.25" spans="1:16">
      <c r="A34" s="15">
        <v>12441</v>
      </c>
      <c r="B34" s="15" t="s">
        <v>252</v>
      </c>
      <c r="C34" s="16" t="s">
        <v>198</v>
      </c>
      <c r="D34" s="15" t="s">
        <v>211</v>
      </c>
      <c r="E34" s="15" t="s">
        <v>26</v>
      </c>
      <c r="F34" s="15" t="s">
        <v>15</v>
      </c>
      <c r="G34" s="15" t="s">
        <v>68</v>
      </c>
      <c r="H34" s="16" t="s">
        <v>138</v>
      </c>
      <c r="I34" s="16">
        <v>2</v>
      </c>
      <c r="J34" s="16">
        <v>278</v>
      </c>
      <c r="K34" s="16">
        <v>1</v>
      </c>
      <c r="L34" s="16" t="s">
        <v>232</v>
      </c>
      <c r="M34" s="15" t="s">
        <v>105</v>
      </c>
      <c r="N34" s="15" t="s">
        <v>200</v>
      </c>
      <c r="O34" s="16" t="s">
        <v>138</v>
      </c>
      <c r="P34" s="16" t="s">
        <v>209</v>
      </c>
    </row>
    <row r="35" ht="14.25" spans="1:16">
      <c r="A35" s="13">
        <v>12271</v>
      </c>
      <c r="B35" s="13" t="s">
        <v>253</v>
      </c>
      <c r="C35" s="14" t="s">
        <v>245</v>
      </c>
      <c r="D35" s="13" t="s">
        <v>254</v>
      </c>
      <c r="E35" s="13" t="s">
        <v>23</v>
      </c>
      <c r="F35" s="13" t="s">
        <v>12</v>
      </c>
      <c r="G35" s="13" t="s">
        <v>68</v>
      </c>
      <c r="H35" s="14" t="s">
        <v>138</v>
      </c>
      <c r="I35" s="14">
        <v>0</v>
      </c>
      <c r="J35" s="14">
        <v>0</v>
      </c>
      <c r="K35" s="14">
        <v>0</v>
      </c>
      <c r="L35" s="14" t="s">
        <v>209</v>
      </c>
      <c r="M35" s="13" t="s">
        <v>106</v>
      </c>
      <c r="N35" s="13" t="s">
        <v>149</v>
      </c>
      <c r="O35" s="14" t="s">
        <v>142</v>
      </c>
      <c r="P35" s="14" t="s">
        <v>201</v>
      </c>
    </row>
    <row r="36" ht="14.25" spans="1:16">
      <c r="A36" s="13">
        <v>12270</v>
      </c>
      <c r="B36" s="13" t="s">
        <v>255</v>
      </c>
      <c r="C36" s="14" t="s">
        <v>245</v>
      </c>
      <c r="D36" s="13" t="s">
        <v>211</v>
      </c>
      <c r="E36" s="13" t="s">
        <v>23</v>
      </c>
      <c r="F36" s="13" t="s">
        <v>12</v>
      </c>
      <c r="G36" s="13" t="s">
        <v>68</v>
      </c>
      <c r="H36" s="14" t="s">
        <v>138</v>
      </c>
      <c r="I36" s="14">
        <v>1</v>
      </c>
      <c r="J36" s="14">
        <v>270</v>
      </c>
      <c r="K36" s="14">
        <v>0</v>
      </c>
      <c r="L36" s="14" t="s">
        <v>199</v>
      </c>
      <c r="M36" s="13" t="s">
        <v>140</v>
      </c>
      <c r="N36" s="13" t="s">
        <v>200</v>
      </c>
      <c r="O36" s="14" t="s">
        <v>142</v>
      </c>
      <c r="P36" s="14" t="s">
        <v>201</v>
      </c>
    </row>
    <row r="37" ht="14.25" spans="1:16">
      <c r="A37" s="15">
        <v>12318</v>
      </c>
      <c r="B37" s="15" t="s">
        <v>256</v>
      </c>
      <c r="C37" s="16" t="s">
        <v>245</v>
      </c>
      <c r="D37" s="15" t="s">
        <v>257</v>
      </c>
      <c r="E37" s="15" t="s">
        <v>21</v>
      </c>
      <c r="F37" s="15" t="s">
        <v>12</v>
      </c>
      <c r="G37" s="15" t="s">
        <v>68</v>
      </c>
      <c r="H37" s="16" t="s">
        <v>138</v>
      </c>
      <c r="I37" s="16">
        <v>1</v>
      </c>
      <c r="J37" s="16">
        <v>460</v>
      </c>
      <c r="K37" s="16">
        <v>0</v>
      </c>
      <c r="L37" s="16" t="s">
        <v>199</v>
      </c>
      <c r="M37" s="15" t="s">
        <v>140</v>
      </c>
      <c r="N37" s="15" t="s">
        <v>200</v>
      </c>
      <c r="O37" s="16" t="s">
        <v>138</v>
      </c>
      <c r="P37" s="16" t="s">
        <v>209</v>
      </c>
    </row>
    <row r="38" ht="14.25" spans="1:16">
      <c r="A38" s="13">
        <v>12320</v>
      </c>
      <c r="B38" s="13" t="s">
        <v>258</v>
      </c>
      <c r="C38" s="14" t="s">
        <v>245</v>
      </c>
      <c r="D38" s="13" t="s">
        <v>259</v>
      </c>
      <c r="E38" s="13" t="s">
        <v>25</v>
      </c>
      <c r="F38" s="13" t="s">
        <v>14</v>
      </c>
      <c r="G38" s="13" t="s">
        <v>68</v>
      </c>
      <c r="H38" s="14" t="s">
        <v>142</v>
      </c>
      <c r="I38" s="14">
        <v>1</v>
      </c>
      <c r="J38" s="14">
        <v>75</v>
      </c>
      <c r="K38" s="14">
        <v>1</v>
      </c>
      <c r="L38" s="14" t="s">
        <v>232</v>
      </c>
      <c r="M38" s="13" t="s">
        <v>105</v>
      </c>
      <c r="N38" s="13" t="s">
        <v>200</v>
      </c>
      <c r="O38" s="14" t="s">
        <v>142</v>
      </c>
      <c r="P38" s="14" t="s">
        <v>201</v>
      </c>
    </row>
    <row r="39" ht="14.25" spans="1:16">
      <c r="A39" s="13">
        <v>12305</v>
      </c>
      <c r="B39" s="13" t="s">
        <v>153</v>
      </c>
      <c r="C39" s="14" t="s">
        <v>245</v>
      </c>
      <c r="D39" s="13" t="s">
        <v>211</v>
      </c>
      <c r="E39" s="13" t="s">
        <v>23</v>
      </c>
      <c r="F39" s="13" t="s">
        <v>12</v>
      </c>
      <c r="G39" s="13" t="s">
        <v>68</v>
      </c>
      <c r="H39" s="14" t="s">
        <v>138</v>
      </c>
      <c r="I39" s="14">
        <v>3</v>
      </c>
      <c r="J39" s="14">
        <v>1770</v>
      </c>
      <c r="K39" s="14">
        <v>3</v>
      </c>
      <c r="L39" s="14" t="s">
        <v>260</v>
      </c>
      <c r="M39" s="13" t="s">
        <v>105</v>
      </c>
      <c r="N39" s="13" t="s">
        <v>149</v>
      </c>
      <c r="O39" s="14" t="s">
        <v>142</v>
      </c>
      <c r="P39" s="14" t="s">
        <v>201</v>
      </c>
    </row>
    <row r="40" ht="14.25" spans="1:16">
      <c r="A40" s="13">
        <v>12321</v>
      </c>
      <c r="B40" s="13" t="s">
        <v>261</v>
      </c>
      <c r="C40" s="14" t="s">
        <v>245</v>
      </c>
      <c r="D40" s="13" t="s">
        <v>262</v>
      </c>
      <c r="E40" s="13" t="s">
        <v>23</v>
      </c>
      <c r="F40" s="13" t="s">
        <v>12</v>
      </c>
      <c r="G40" s="13" t="s">
        <v>68</v>
      </c>
      <c r="H40" s="14" t="s">
        <v>142</v>
      </c>
      <c r="I40" s="14">
        <v>4</v>
      </c>
      <c r="J40" s="14">
        <v>143.6</v>
      </c>
      <c r="K40" s="14">
        <v>3</v>
      </c>
      <c r="L40" s="14" t="s">
        <v>232</v>
      </c>
      <c r="M40" s="13" t="s">
        <v>105</v>
      </c>
      <c r="N40" s="13" t="s">
        <v>200</v>
      </c>
      <c r="O40" s="14" t="s">
        <v>142</v>
      </c>
      <c r="P40" s="14" t="s">
        <v>224</v>
      </c>
    </row>
    <row r="41" ht="14.25" spans="1:16">
      <c r="A41" s="15">
        <v>12272</v>
      </c>
      <c r="B41" s="15" t="s">
        <v>263</v>
      </c>
      <c r="C41" s="16" t="s">
        <v>245</v>
      </c>
      <c r="D41" s="15" t="s">
        <v>235</v>
      </c>
      <c r="E41" s="15" t="s">
        <v>21</v>
      </c>
      <c r="F41" s="15" t="s">
        <v>12</v>
      </c>
      <c r="G41" s="15" t="s">
        <v>68</v>
      </c>
      <c r="H41" s="16" t="s">
        <v>138</v>
      </c>
      <c r="I41" s="16">
        <v>5</v>
      </c>
      <c r="J41" s="16">
        <v>340</v>
      </c>
      <c r="K41" s="16">
        <v>0</v>
      </c>
      <c r="L41" s="16" t="s">
        <v>199</v>
      </c>
      <c r="M41" s="15" t="s">
        <v>140</v>
      </c>
      <c r="N41" s="15" t="s">
        <v>200</v>
      </c>
      <c r="O41" s="16" t="s">
        <v>142</v>
      </c>
      <c r="P41" s="16" t="s">
        <v>209</v>
      </c>
    </row>
    <row r="42" ht="14.25" spans="1:16">
      <c r="A42" s="17">
        <v>12292</v>
      </c>
      <c r="B42" s="17" t="s">
        <v>264</v>
      </c>
      <c r="C42" s="18" t="s">
        <v>245</v>
      </c>
      <c r="D42" s="17" t="s">
        <v>211</v>
      </c>
      <c r="E42" s="17" t="s">
        <v>25</v>
      </c>
      <c r="F42" s="17" t="s">
        <v>14</v>
      </c>
      <c r="G42" s="17" t="s">
        <v>68</v>
      </c>
      <c r="H42" s="18" t="s">
        <v>138</v>
      </c>
      <c r="I42" s="18">
        <v>1</v>
      </c>
      <c r="J42" s="18">
        <v>95</v>
      </c>
      <c r="K42" s="18">
        <v>0</v>
      </c>
      <c r="L42" s="18" t="s">
        <v>199</v>
      </c>
      <c r="M42" s="17" t="s">
        <v>140</v>
      </c>
      <c r="N42" s="17" t="s">
        <v>200</v>
      </c>
      <c r="O42" s="18" t="s">
        <v>138</v>
      </c>
      <c r="P42" s="18" t="s">
        <v>201</v>
      </c>
    </row>
    <row r="43" ht="14.25" spans="1:16">
      <c r="A43" s="13">
        <v>12333</v>
      </c>
      <c r="B43" s="13" t="s">
        <v>265</v>
      </c>
      <c r="C43" s="14" t="s">
        <v>245</v>
      </c>
      <c r="D43" s="13" t="s">
        <v>266</v>
      </c>
      <c r="E43" s="13" t="s">
        <v>25</v>
      </c>
      <c r="F43" s="13" t="s">
        <v>12</v>
      </c>
      <c r="G43" s="13" t="s">
        <v>68</v>
      </c>
      <c r="H43" s="14" t="s">
        <v>142</v>
      </c>
      <c r="I43" s="14">
        <v>0</v>
      </c>
      <c r="J43" s="14">
        <v>0</v>
      </c>
      <c r="K43" s="14">
        <v>0</v>
      </c>
      <c r="L43" s="14" t="s">
        <v>199</v>
      </c>
      <c r="M43" s="13" t="s">
        <v>140</v>
      </c>
      <c r="N43" s="13" t="s">
        <v>200</v>
      </c>
      <c r="O43" s="14" t="s">
        <v>142</v>
      </c>
      <c r="P43" s="14" t="s">
        <v>201</v>
      </c>
    </row>
    <row r="44" ht="14.25" spans="1:16">
      <c r="A44" s="15">
        <v>12334</v>
      </c>
      <c r="B44" s="15" t="s">
        <v>267</v>
      </c>
      <c r="C44" s="16" t="s">
        <v>245</v>
      </c>
      <c r="D44" s="15" t="s">
        <v>226</v>
      </c>
      <c r="E44" s="15" t="s">
        <v>25</v>
      </c>
      <c r="F44" s="15" t="s">
        <v>12</v>
      </c>
      <c r="G44" s="15" t="s">
        <v>68</v>
      </c>
      <c r="H44" s="16" t="s">
        <v>138</v>
      </c>
      <c r="I44" s="16">
        <v>4</v>
      </c>
      <c r="J44" s="16">
        <v>396</v>
      </c>
      <c r="K44" s="16">
        <v>0</v>
      </c>
      <c r="L44" s="16" t="s">
        <v>199</v>
      </c>
      <c r="M44" s="15" t="s">
        <v>140</v>
      </c>
      <c r="N44" s="15" t="s">
        <v>200</v>
      </c>
      <c r="O44" s="16" t="s">
        <v>142</v>
      </c>
      <c r="P44" s="16" t="s">
        <v>209</v>
      </c>
    </row>
    <row r="45" ht="14.25" spans="1:16">
      <c r="A45" s="15">
        <v>12368</v>
      </c>
      <c r="B45" s="15" t="s">
        <v>268</v>
      </c>
      <c r="C45" s="16" t="s">
        <v>245</v>
      </c>
      <c r="D45" s="15" t="s">
        <v>238</v>
      </c>
      <c r="E45" s="15" t="s">
        <v>21</v>
      </c>
      <c r="F45" s="15" t="s">
        <v>17</v>
      </c>
      <c r="G45" s="15" t="s">
        <v>68</v>
      </c>
      <c r="H45" s="16" t="s">
        <v>138</v>
      </c>
      <c r="I45" s="16">
        <v>1</v>
      </c>
      <c r="J45" s="16">
        <v>95</v>
      </c>
      <c r="K45" s="16">
        <v>0</v>
      </c>
      <c r="L45" s="16" t="s">
        <v>199</v>
      </c>
      <c r="M45" s="15" t="s">
        <v>140</v>
      </c>
      <c r="N45" s="15" t="s">
        <v>200</v>
      </c>
      <c r="O45" s="16" t="s">
        <v>138</v>
      </c>
      <c r="P45" s="16" t="s">
        <v>209</v>
      </c>
    </row>
    <row r="46" ht="14.25" spans="1:16">
      <c r="A46" s="13">
        <v>12306</v>
      </c>
      <c r="B46" s="13" t="s">
        <v>269</v>
      </c>
      <c r="C46" s="14" t="s">
        <v>245</v>
      </c>
      <c r="D46" s="13" t="s">
        <v>235</v>
      </c>
      <c r="E46" s="13" t="s">
        <v>23</v>
      </c>
      <c r="F46" s="13" t="s">
        <v>12</v>
      </c>
      <c r="G46" s="13" t="s">
        <v>68</v>
      </c>
      <c r="H46" s="14" t="s">
        <v>138</v>
      </c>
      <c r="I46" s="14">
        <v>3</v>
      </c>
      <c r="J46" s="14">
        <v>1794</v>
      </c>
      <c r="K46" s="14">
        <v>1</v>
      </c>
      <c r="L46" s="14" t="s">
        <v>232</v>
      </c>
      <c r="M46" s="13" t="s">
        <v>105</v>
      </c>
      <c r="N46" s="13" t="s">
        <v>200</v>
      </c>
      <c r="O46" s="14" t="s">
        <v>142</v>
      </c>
      <c r="P46" s="14" t="s">
        <v>201</v>
      </c>
    </row>
    <row r="47" ht="14.25" spans="1:16">
      <c r="A47" s="13">
        <v>12307</v>
      </c>
      <c r="B47" s="13" t="s">
        <v>270</v>
      </c>
      <c r="C47" s="14" t="s">
        <v>245</v>
      </c>
      <c r="D47" s="13" t="s">
        <v>257</v>
      </c>
      <c r="E47" s="13" t="s">
        <v>23</v>
      </c>
      <c r="F47" s="13" t="s">
        <v>12</v>
      </c>
      <c r="G47" s="13" t="s">
        <v>68</v>
      </c>
      <c r="H47" s="14" t="s">
        <v>138</v>
      </c>
      <c r="I47" s="14">
        <v>0</v>
      </c>
      <c r="J47" s="14">
        <v>0</v>
      </c>
      <c r="K47" s="14">
        <v>2</v>
      </c>
      <c r="L47" s="14" t="s">
        <v>207</v>
      </c>
      <c r="M47" s="13" t="s">
        <v>105</v>
      </c>
      <c r="N47" s="13" t="s">
        <v>200</v>
      </c>
      <c r="O47" s="14" t="s">
        <v>142</v>
      </c>
      <c r="P47" s="14" t="s">
        <v>201</v>
      </c>
    </row>
    <row r="48" ht="14.25" spans="1:16">
      <c r="A48" s="13">
        <v>12308</v>
      </c>
      <c r="B48" s="13" t="s">
        <v>271</v>
      </c>
      <c r="C48" s="14" t="s">
        <v>245</v>
      </c>
      <c r="D48" s="13" t="s">
        <v>235</v>
      </c>
      <c r="E48" s="13" t="s">
        <v>23</v>
      </c>
      <c r="F48" s="13" t="s">
        <v>12</v>
      </c>
      <c r="G48" s="13" t="s">
        <v>68</v>
      </c>
      <c r="H48" s="14" t="s">
        <v>138</v>
      </c>
      <c r="I48" s="14">
        <v>0</v>
      </c>
      <c r="J48" s="14">
        <v>0</v>
      </c>
      <c r="K48" s="14">
        <v>1</v>
      </c>
      <c r="L48" s="14" t="s">
        <v>207</v>
      </c>
      <c r="M48" s="13" t="s">
        <v>105</v>
      </c>
      <c r="N48" s="13" t="s">
        <v>200</v>
      </c>
      <c r="O48" s="14" t="s">
        <v>142</v>
      </c>
      <c r="P48" s="14" t="s">
        <v>201</v>
      </c>
    </row>
    <row r="49" ht="14.25" spans="1:16">
      <c r="A49" s="13">
        <v>12293</v>
      </c>
      <c r="B49" s="13" t="s">
        <v>272</v>
      </c>
      <c r="C49" s="14" t="s">
        <v>235</v>
      </c>
      <c r="D49" s="13" t="s">
        <v>238</v>
      </c>
      <c r="E49" s="13" t="s">
        <v>25</v>
      </c>
      <c r="F49" s="13" t="s">
        <v>12</v>
      </c>
      <c r="G49" s="13" t="s">
        <v>68</v>
      </c>
      <c r="H49" s="14" t="s">
        <v>138</v>
      </c>
      <c r="I49" s="14">
        <v>0</v>
      </c>
      <c r="J49" s="14">
        <v>0</v>
      </c>
      <c r="K49" s="14">
        <v>0</v>
      </c>
      <c r="L49" s="14" t="s">
        <v>209</v>
      </c>
      <c r="M49" s="13" t="s">
        <v>106</v>
      </c>
      <c r="N49" s="13" t="s">
        <v>200</v>
      </c>
      <c r="O49" s="14" t="s">
        <v>142</v>
      </c>
      <c r="P49" s="14" t="s">
        <v>201</v>
      </c>
    </row>
    <row r="50" ht="14.25" spans="1:16">
      <c r="A50" s="19">
        <v>12298</v>
      </c>
      <c r="B50" s="19" t="s">
        <v>154</v>
      </c>
      <c r="C50" s="20" t="s">
        <v>235</v>
      </c>
      <c r="D50" s="19" t="s">
        <v>101</v>
      </c>
      <c r="E50" s="19" t="s">
        <v>25</v>
      </c>
      <c r="F50" s="19" t="s">
        <v>12</v>
      </c>
      <c r="G50" s="19" t="s">
        <v>69</v>
      </c>
      <c r="H50" s="20" t="s">
        <v>101</v>
      </c>
      <c r="I50" s="20">
        <v>0</v>
      </c>
      <c r="J50" s="20">
        <v>0</v>
      </c>
      <c r="K50" s="20">
        <v>3</v>
      </c>
      <c r="L50" s="20" t="s">
        <v>207</v>
      </c>
      <c r="M50" s="19" t="s">
        <v>105</v>
      </c>
      <c r="N50" s="19" t="s">
        <v>144</v>
      </c>
      <c r="O50" s="20" t="s">
        <v>142</v>
      </c>
      <c r="P50" s="20" t="s">
        <v>201</v>
      </c>
    </row>
    <row r="51" ht="14.25" spans="1:16">
      <c r="A51" s="13">
        <v>12299</v>
      </c>
      <c r="B51" s="13" t="s">
        <v>156</v>
      </c>
      <c r="C51" s="14" t="s">
        <v>235</v>
      </c>
      <c r="D51" s="13" t="s">
        <v>273</v>
      </c>
      <c r="E51" s="13" t="s">
        <v>25</v>
      </c>
      <c r="F51" s="13" t="s">
        <v>12</v>
      </c>
      <c r="G51" s="13" t="s">
        <v>69</v>
      </c>
      <c r="H51" s="14" t="s">
        <v>142</v>
      </c>
      <c r="I51" s="14">
        <v>0</v>
      </c>
      <c r="J51" s="14">
        <v>0</v>
      </c>
      <c r="K51" s="14">
        <v>1</v>
      </c>
      <c r="L51" s="14" t="s">
        <v>207</v>
      </c>
      <c r="M51" s="13" t="s">
        <v>105</v>
      </c>
      <c r="N51" s="13" t="s">
        <v>149</v>
      </c>
      <c r="O51" s="14" t="s">
        <v>142</v>
      </c>
      <c r="P51" s="14" t="s">
        <v>201</v>
      </c>
    </row>
    <row r="52" ht="14.25" spans="1:16">
      <c r="A52" s="17">
        <v>12396</v>
      </c>
      <c r="B52" s="17" t="s">
        <v>274</v>
      </c>
      <c r="C52" s="18" t="s">
        <v>238</v>
      </c>
      <c r="D52" s="17" t="s">
        <v>101</v>
      </c>
      <c r="E52" s="17" t="s">
        <v>21</v>
      </c>
      <c r="F52" s="17" t="s">
        <v>12</v>
      </c>
      <c r="G52" s="17" t="s">
        <v>68</v>
      </c>
      <c r="H52" s="18" t="s">
        <v>101</v>
      </c>
      <c r="I52" s="18">
        <v>0</v>
      </c>
      <c r="J52" s="18">
        <v>0</v>
      </c>
      <c r="K52" s="18">
        <v>0</v>
      </c>
      <c r="L52" s="18" t="s">
        <v>209</v>
      </c>
      <c r="M52" s="17" t="s">
        <v>106</v>
      </c>
      <c r="N52" s="17" t="s">
        <v>275</v>
      </c>
      <c r="O52" s="18" t="s">
        <v>138</v>
      </c>
      <c r="P52" s="18" t="s">
        <v>224</v>
      </c>
    </row>
    <row r="53" ht="14.25" spans="1:16">
      <c r="A53" s="17">
        <v>12291</v>
      </c>
      <c r="B53" s="17" t="s">
        <v>276</v>
      </c>
      <c r="C53" s="18" t="s">
        <v>238</v>
      </c>
      <c r="D53" s="17" t="s">
        <v>277</v>
      </c>
      <c r="E53" s="17" t="s">
        <v>26</v>
      </c>
      <c r="F53" s="17" t="s">
        <v>14</v>
      </c>
      <c r="G53" s="17" t="s">
        <v>68</v>
      </c>
      <c r="H53" s="18" t="s">
        <v>142</v>
      </c>
      <c r="I53" s="18">
        <v>2</v>
      </c>
      <c r="J53" s="18">
        <v>258</v>
      </c>
      <c r="K53" s="18">
        <v>0</v>
      </c>
      <c r="L53" s="18" t="s">
        <v>199</v>
      </c>
      <c r="M53" s="17" t="s">
        <v>140</v>
      </c>
      <c r="N53" s="17" t="s">
        <v>200</v>
      </c>
      <c r="O53" s="18" t="s">
        <v>138</v>
      </c>
      <c r="P53" s="18" t="s">
        <v>201</v>
      </c>
    </row>
    <row r="54" ht="14.25" spans="1:16">
      <c r="A54" s="13">
        <v>12290</v>
      </c>
      <c r="B54" s="13" t="s">
        <v>278</v>
      </c>
      <c r="C54" s="14" t="s">
        <v>238</v>
      </c>
      <c r="D54" s="13" t="s">
        <v>273</v>
      </c>
      <c r="E54" s="13" t="s">
        <v>26</v>
      </c>
      <c r="F54" s="13" t="s">
        <v>14</v>
      </c>
      <c r="G54" s="13" t="s">
        <v>68</v>
      </c>
      <c r="H54" s="14" t="s">
        <v>142</v>
      </c>
      <c r="I54" s="14">
        <v>2</v>
      </c>
      <c r="J54" s="14">
        <v>236</v>
      </c>
      <c r="K54" s="14">
        <v>1</v>
      </c>
      <c r="L54" s="14" t="s">
        <v>279</v>
      </c>
      <c r="M54" s="13" t="s">
        <v>140</v>
      </c>
      <c r="N54" s="13" t="s">
        <v>149</v>
      </c>
      <c r="O54" s="14" t="s">
        <v>142</v>
      </c>
      <c r="P54" s="14" t="s">
        <v>201</v>
      </c>
    </row>
    <row r="55" ht="14.25" spans="1:16">
      <c r="A55" s="15">
        <v>12391</v>
      </c>
      <c r="B55" s="15" t="s">
        <v>280</v>
      </c>
      <c r="C55" s="16" t="s">
        <v>238</v>
      </c>
      <c r="D55" s="15" t="s">
        <v>281</v>
      </c>
      <c r="E55" s="15" t="s">
        <v>26</v>
      </c>
      <c r="F55" s="15" t="s">
        <v>17</v>
      </c>
      <c r="G55" s="15" t="s">
        <v>68</v>
      </c>
      <c r="H55" s="16" t="s">
        <v>142</v>
      </c>
      <c r="I55" s="16">
        <v>2</v>
      </c>
      <c r="J55" s="16">
        <v>278</v>
      </c>
      <c r="K55" s="16">
        <v>0</v>
      </c>
      <c r="L55" s="16" t="s">
        <v>199</v>
      </c>
      <c r="M55" s="15" t="s">
        <v>140</v>
      </c>
      <c r="N55" s="15" t="s">
        <v>200</v>
      </c>
      <c r="O55" s="16" t="s">
        <v>142</v>
      </c>
      <c r="P55" s="16" t="s">
        <v>209</v>
      </c>
    </row>
    <row r="56" ht="14.25" spans="1:16">
      <c r="A56" s="13">
        <v>12398</v>
      </c>
      <c r="B56" s="13" t="s">
        <v>282</v>
      </c>
      <c r="C56" s="14" t="s">
        <v>238</v>
      </c>
      <c r="D56" s="13" t="s">
        <v>283</v>
      </c>
      <c r="E56" s="13" t="s">
        <v>26</v>
      </c>
      <c r="F56" s="13" t="s">
        <v>17</v>
      </c>
      <c r="G56" s="13" t="s">
        <v>69</v>
      </c>
      <c r="H56" s="14" t="s">
        <v>142</v>
      </c>
      <c r="I56" s="14">
        <v>3</v>
      </c>
      <c r="J56" s="14">
        <v>147</v>
      </c>
      <c r="K56" s="14">
        <v>0</v>
      </c>
      <c r="L56" s="14" t="s">
        <v>199</v>
      </c>
      <c r="M56" s="13" t="s">
        <v>140</v>
      </c>
      <c r="N56" s="13" t="s">
        <v>200</v>
      </c>
      <c r="O56" s="14" t="s">
        <v>142</v>
      </c>
      <c r="P56" s="14" t="s">
        <v>201</v>
      </c>
    </row>
    <row r="57" ht="14.25" spans="1:16">
      <c r="A57" s="13">
        <v>12357</v>
      </c>
      <c r="B57" s="13" t="s">
        <v>284</v>
      </c>
      <c r="C57" s="14" t="s">
        <v>238</v>
      </c>
      <c r="D57" s="13" t="s">
        <v>238</v>
      </c>
      <c r="E57" s="13" t="s">
        <v>26</v>
      </c>
      <c r="F57" s="13" t="s">
        <v>17</v>
      </c>
      <c r="G57" s="13" t="s">
        <v>68</v>
      </c>
      <c r="H57" s="14" t="s">
        <v>138</v>
      </c>
      <c r="I57" s="14">
        <v>1</v>
      </c>
      <c r="J57" s="14">
        <v>99</v>
      </c>
      <c r="K57" s="14">
        <v>0</v>
      </c>
      <c r="L57" s="14" t="s">
        <v>209</v>
      </c>
      <c r="M57" s="13" t="s">
        <v>106</v>
      </c>
      <c r="N57" s="13" t="s">
        <v>200</v>
      </c>
      <c r="O57" s="14" t="s">
        <v>142</v>
      </c>
      <c r="P57" s="14" t="s">
        <v>201</v>
      </c>
    </row>
    <row r="58" ht="14.25" spans="1:16">
      <c r="A58" s="13">
        <v>12423</v>
      </c>
      <c r="B58" s="13" t="s">
        <v>285</v>
      </c>
      <c r="C58" s="14" t="s">
        <v>238</v>
      </c>
      <c r="D58" s="13" t="s">
        <v>286</v>
      </c>
      <c r="E58" s="13" t="s">
        <v>26</v>
      </c>
      <c r="F58" s="13" t="s">
        <v>17</v>
      </c>
      <c r="G58" s="13" t="s">
        <v>68</v>
      </c>
      <c r="H58" s="14" t="s">
        <v>138</v>
      </c>
      <c r="I58" s="14">
        <v>1</v>
      </c>
      <c r="J58" s="14">
        <v>58</v>
      </c>
      <c r="K58" s="14">
        <v>0</v>
      </c>
      <c r="L58" s="14" t="s">
        <v>199</v>
      </c>
      <c r="M58" s="13" t="s">
        <v>140</v>
      </c>
      <c r="N58" s="13" t="s">
        <v>200</v>
      </c>
      <c r="O58" s="14" t="s">
        <v>142</v>
      </c>
      <c r="P58" s="14" t="s">
        <v>201</v>
      </c>
    </row>
    <row r="59" ht="14.25" spans="1:16">
      <c r="A59" s="13">
        <v>12387</v>
      </c>
      <c r="B59" s="13" t="s">
        <v>287</v>
      </c>
      <c r="C59" s="14" t="s">
        <v>226</v>
      </c>
      <c r="D59" s="13" t="s">
        <v>288</v>
      </c>
      <c r="E59" s="13" t="s">
        <v>23</v>
      </c>
      <c r="F59" s="13" t="s">
        <v>13</v>
      </c>
      <c r="G59" s="13" t="s">
        <v>68</v>
      </c>
      <c r="H59" s="14" t="s">
        <v>142</v>
      </c>
      <c r="I59" s="14">
        <v>2</v>
      </c>
      <c r="J59" s="14">
        <v>70</v>
      </c>
      <c r="K59" s="14">
        <v>2</v>
      </c>
      <c r="L59" s="14" t="s">
        <v>232</v>
      </c>
      <c r="M59" s="13" t="s">
        <v>105</v>
      </c>
      <c r="N59" s="13" t="s">
        <v>200</v>
      </c>
      <c r="O59" s="14" t="s">
        <v>142</v>
      </c>
      <c r="P59" s="14" t="s">
        <v>289</v>
      </c>
    </row>
    <row r="60" ht="14.25" spans="1:16">
      <c r="A60" s="13">
        <v>12388</v>
      </c>
      <c r="B60" s="13" t="s">
        <v>157</v>
      </c>
      <c r="C60" s="14" t="s">
        <v>226</v>
      </c>
      <c r="D60" s="13" t="s">
        <v>288</v>
      </c>
      <c r="E60" s="13" t="s">
        <v>23</v>
      </c>
      <c r="F60" s="13" t="s">
        <v>13</v>
      </c>
      <c r="G60" s="13" t="s">
        <v>68</v>
      </c>
      <c r="H60" s="14" t="s">
        <v>142</v>
      </c>
      <c r="I60" s="14">
        <v>0</v>
      </c>
      <c r="J60" s="14">
        <v>0</v>
      </c>
      <c r="K60" s="14">
        <v>2</v>
      </c>
      <c r="L60" s="14" t="s">
        <v>207</v>
      </c>
      <c r="M60" s="13" t="s">
        <v>105</v>
      </c>
      <c r="N60" s="13" t="s">
        <v>158</v>
      </c>
      <c r="O60" s="14" t="s">
        <v>142</v>
      </c>
      <c r="P60" s="14" t="s">
        <v>289</v>
      </c>
    </row>
    <row r="61" ht="14.25" spans="1:16">
      <c r="A61" s="15">
        <v>12474</v>
      </c>
      <c r="B61" s="15" t="s">
        <v>290</v>
      </c>
      <c r="C61" s="16" t="s">
        <v>286</v>
      </c>
      <c r="D61" s="15" t="s">
        <v>266</v>
      </c>
      <c r="E61" s="15" t="s">
        <v>26</v>
      </c>
      <c r="F61" s="15" t="s">
        <v>18</v>
      </c>
      <c r="G61" s="15" t="s">
        <v>69</v>
      </c>
      <c r="H61" s="16" t="s">
        <v>138</v>
      </c>
      <c r="I61" s="16">
        <v>2</v>
      </c>
      <c r="J61" s="16">
        <v>171</v>
      </c>
      <c r="K61" s="16">
        <v>0</v>
      </c>
      <c r="L61" s="16" t="s">
        <v>199</v>
      </c>
      <c r="M61" s="15" t="s">
        <v>140</v>
      </c>
      <c r="N61" s="15" t="s">
        <v>200</v>
      </c>
      <c r="O61" s="16" t="s">
        <v>138</v>
      </c>
      <c r="P61" s="16" t="s">
        <v>209</v>
      </c>
    </row>
    <row r="62" ht="14.25" spans="1:16">
      <c r="A62" s="15">
        <v>12429</v>
      </c>
      <c r="B62" s="15" t="s">
        <v>291</v>
      </c>
      <c r="C62" s="16" t="s">
        <v>286</v>
      </c>
      <c r="D62" s="15" t="s">
        <v>292</v>
      </c>
      <c r="E62" s="15" t="s">
        <v>23</v>
      </c>
      <c r="F62" s="15" t="s">
        <v>12</v>
      </c>
      <c r="G62" s="15" t="s">
        <v>69</v>
      </c>
      <c r="H62" s="16" t="s">
        <v>138</v>
      </c>
      <c r="I62" s="16">
        <v>2</v>
      </c>
      <c r="J62" s="16">
        <v>510</v>
      </c>
      <c r="K62" s="16">
        <v>0</v>
      </c>
      <c r="L62" s="16" t="s">
        <v>199</v>
      </c>
      <c r="M62" s="15" t="s">
        <v>140</v>
      </c>
      <c r="N62" s="15" t="s">
        <v>200</v>
      </c>
      <c r="O62" s="16" t="s">
        <v>142</v>
      </c>
      <c r="P62" s="16" t="s">
        <v>209</v>
      </c>
    </row>
    <row r="63" ht="14.25" spans="1:16">
      <c r="A63" s="17">
        <v>12424</v>
      </c>
      <c r="B63" s="17" t="s">
        <v>293</v>
      </c>
      <c r="C63" s="18" t="s">
        <v>286</v>
      </c>
      <c r="D63" s="17" t="s">
        <v>101</v>
      </c>
      <c r="E63" s="17" t="s">
        <v>23</v>
      </c>
      <c r="F63" s="17" t="s">
        <v>12</v>
      </c>
      <c r="G63" s="17" t="s">
        <v>69</v>
      </c>
      <c r="H63" s="18" t="s">
        <v>101</v>
      </c>
      <c r="I63" s="18">
        <v>0</v>
      </c>
      <c r="J63" s="18">
        <v>0</v>
      </c>
      <c r="K63" s="18">
        <v>0</v>
      </c>
      <c r="L63" s="18" t="s">
        <v>209</v>
      </c>
      <c r="M63" s="17" t="s">
        <v>106</v>
      </c>
      <c r="N63" s="17" t="s">
        <v>158</v>
      </c>
      <c r="O63" s="18" t="s">
        <v>138</v>
      </c>
      <c r="P63" s="18" t="s">
        <v>201</v>
      </c>
    </row>
    <row r="64" ht="14.25" spans="1:16">
      <c r="A64" s="13">
        <v>12386</v>
      </c>
      <c r="B64" s="13" t="s">
        <v>159</v>
      </c>
      <c r="C64" s="14" t="s">
        <v>286</v>
      </c>
      <c r="D64" s="13" t="s">
        <v>294</v>
      </c>
      <c r="E64" s="13" t="s">
        <v>23</v>
      </c>
      <c r="F64" s="13" t="s">
        <v>12</v>
      </c>
      <c r="G64" s="13" t="s">
        <v>69</v>
      </c>
      <c r="H64" s="14" t="s">
        <v>142</v>
      </c>
      <c r="I64" s="14">
        <v>1</v>
      </c>
      <c r="J64" s="14">
        <v>30.59</v>
      </c>
      <c r="K64" s="14">
        <v>2</v>
      </c>
      <c r="L64" s="14" t="s">
        <v>248</v>
      </c>
      <c r="M64" s="13" t="s">
        <v>105</v>
      </c>
      <c r="N64" s="13" t="s">
        <v>144</v>
      </c>
      <c r="O64" s="14" t="s">
        <v>142</v>
      </c>
      <c r="P64" s="14" t="s">
        <v>295</v>
      </c>
    </row>
    <row r="65" ht="14.25" spans="1:16">
      <c r="A65" s="13">
        <v>12426</v>
      </c>
      <c r="B65" s="13" t="s">
        <v>296</v>
      </c>
      <c r="C65" s="14" t="s">
        <v>286</v>
      </c>
      <c r="D65" s="13" t="s">
        <v>297</v>
      </c>
      <c r="E65" s="13" t="s">
        <v>21</v>
      </c>
      <c r="F65" s="13" t="s">
        <v>12</v>
      </c>
      <c r="G65" s="13" t="s">
        <v>68</v>
      </c>
      <c r="H65" s="14" t="s">
        <v>138</v>
      </c>
      <c r="I65" s="14">
        <v>5</v>
      </c>
      <c r="J65" s="14">
        <v>325</v>
      </c>
      <c r="K65" s="14">
        <v>0</v>
      </c>
      <c r="L65" s="14" t="s">
        <v>199</v>
      </c>
      <c r="M65" s="13" t="s">
        <v>140</v>
      </c>
      <c r="N65" s="13" t="s">
        <v>200</v>
      </c>
      <c r="O65" s="14" t="s">
        <v>142</v>
      </c>
      <c r="P65" s="14" t="s">
        <v>201</v>
      </c>
    </row>
    <row r="66" ht="14.25" spans="1:16">
      <c r="A66" s="15">
        <v>12483</v>
      </c>
      <c r="B66" s="15" t="s">
        <v>298</v>
      </c>
      <c r="C66" s="16" t="s">
        <v>286</v>
      </c>
      <c r="D66" s="15" t="s">
        <v>292</v>
      </c>
      <c r="E66" s="15" t="s">
        <v>21</v>
      </c>
      <c r="F66" s="15" t="s">
        <v>17</v>
      </c>
      <c r="G66" s="15" t="s">
        <v>68</v>
      </c>
      <c r="H66" s="16" t="s">
        <v>138</v>
      </c>
      <c r="I66" s="16">
        <v>2</v>
      </c>
      <c r="J66" s="16">
        <v>257.4</v>
      </c>
      <c r="K66" s="16">
        <v>0</v>
      </c>
      <c r="L66" s="16" t="s">
        <v>199</v>
      </c>
      <c r="M66" s="15" t="s">
        <v>140</v>
      </c>
      <c r="N66" s="15" t="s">
        <v>200</v>
      </c>
      <c r="O66" s="16" t="s">
        <v>138</v>
      </c>
      <c r="P66" s="16" t="s">
        <v>209</v>
      </c>
    </row>
    <row r="67" ht="14.25" spans="1:16">
      <c r="A67" s="15">
        <v>12484</v>
      </c>
      <c r="B67" s="15" t="s">
        <v>299</v>
      </c>
      <c r="C67" s="16" t="s">
        <v>286</v>
      </c>
      <c r="D67" s="15" t="s">
        <v>292</v>
      </c>
      <c r="E67" s="15" t="s">
        <v>21</v>
      </c>
      <c r="F67" s="15" t="s">
        <v>17</v>
      </c>
      <c r="G67" s="15" t="s">
        <v>68</v>
      </c>
      <c r="H67" s="16" t="s">
        <v>138</v>
      </c>
      <c r="I67" s="16">
        <v>2</v>
      </c>
      <c r="J67" s="16">
        <v>232</v>
      </c>
      <c r="K67" s="16">
        <v>0</v>
      </c>
      <c r="L67" s="16" t="s">
        <v>199</v>
      </c>
      <c r="M67" s="15" t="s">
        <v>140</v>
      </c>
      <c r="N67" s="15" t="s">
        <v>200</v>
      </c>
      <c r="O67" s="16" t="s">
        <v>138</v>
      </c>
      <c r="P67" s="16" t="s">
        <v>209</v>
      </c>
    </row>
    <row r="68" ht="14.25" spans="1:16">
      <c r="A68" s="15">
        <v>12414</v>
      </c>
      <c r="B68" s="15" t="s">
        <v>300</v>
      </c>
      <c r="C68" s="16" t="s">
        <v>286</v>
      </c>
      <c r="D68" s="15" t="s">
        <v>101</v>
      </c>
      <c r="E68" s="15" t="s">
        <v>23</v>
      </c>
      <c r="F68" s="15" t="s">
        <v>12</v>
      </c>
      <c r="G68" s="15" t="s">
        <v>69</v>
      </c>
      <c r="H68" s="16" t="s">
        <v>101</v>
      </c>
      <c r="I68" s="16">
        <v>0</v>
      </c>
      <c r="J68" s="16">
        <v>0</v>
      </c>
      <c r="K68" s="16">
        <v>0</v>
      </c>
      <c r="L68" s="16" t="s">
        <v>209</v>
      </c>
      <c r="M68" s="15" t="s">
        <v>106</v>
      </c>
      <c r="N68" s="15" t="s">
        <v>158</v>
      </c>
      <c r="O68" s="16" t="s">
        <v>138</v>
      </c>
      <c r="P68" s="16" t="s">
        <v>209</v>
      </c>
    </row>
    <row r="69" ht="14.25" spans="1:16">
      <c r="A69" s="15">
        <v>12422</v>
      </c>
      <c r="B69" s="15" t="s">
        <v>301</v>
      </c>
      <c r="C69" s="16" t="s">
        <v>286</v>
      </c>
      <c r="D69" s="15" t="s">
        <v>302</v>
      </c>
      <c r="E69" s="15" t="s">
        <v>23</v>
      </c>
      <c r="F69" s="15" t="s">
        <v>12</v>
      </c>
      <c r="G69" s="15" t="s">
        <v>69</v>
      </c>
      <c r="H69" s="16" t="s">
        <v>142</v>
      </c>
      <c r="I69" s="16">
        <v>0</v>
      </c>
      <c r="J69" s="16">
        <v>0</v>
      </c>
      <c r="K69" s="16">
        <v>0</v>
      </c>
      <c r="L69" s="16" t="s">
        <v>199</v>
      </c>
      <c r="M69" s="15" t="s">
        <v>140</v>
      </c>
      <c r="N69" s="15" t="s">
        <v>200</v>
      </c>
      <c r="O69" s="16" t="s">
        <v>138</v>
      </c>
      <c r="P69" s="16" t="s">
        <v>209</v>
      </c>
    </row>
    <row r="70" ht="14.25" spans="1:16">
      <c r="A70" s="15">
        <v>12213</v>
      </c>
      <c r="B70" s="15" t="s">
        <v>303</v>
      </c>
      <c r="C70" s="16" t="s">
        <v>286</v>
      </c>
      <c r="D70" s="15" t="s">
        <v>283</v>
      </c>
      <c r="E70" s="15" t="s">
        <v>26</v>
      </c>
      <c r="F70" s="15" t="s">
        <v>15</v>
      </c>
      <c r="G70" s="15" t="s">
        <v>68</v>
      </c>
      <c r="H70" s="16" t="s">
        <v>138</v>
      </c>
      <c r="I70" s="16">
        <v>18</v>
      </c>
      <c r="J70" s="16">
        <v>630</v>
      </c>
      <c r="K70" s="16">
        <v>4</v>
      </c>
      <c r="L70" s="16" t="s">
        <v>304</v>
      </c>
      <c r="M70" s="15" t="s">
        <v>140</v>
      </c>
      <c r="N70" s="15" t="s">
        <v>200</v>
      </c>
      <c r="O70" s="16" t="s">
        <v>138</v>
      </c>
      <c r="P70" s="16" t="s">
        <v>209</v>
      </c>
    </row>
    <row r="71" ht="14.25" spans="1:16">
      <c r="A71" s="13">
        <v>12461</v>
      </c>
      <c r="B71" s="13" t="s">
        <v>160</v>
      </c>
      <c r="C71" s="14" t="s">
        <v>273</v>
      </c>
      <c r="D71" s="13" t="s">
        <v>305</v>
      </c>
      <c r="E71" s="13" t="s">
        <v>23</v>
      </c>
      <c r="F71" s="13" t="s">
        <v>13</v>
      </c>
      <c r="G71" s="13" t="s">
        <v>69</v>
      </c>
      <c r="H71" s="14" t="s">
        <v>138</v>
      </c>
      <c r="I71" s="14">
        <v>3</v>
      </c>
      <c r="J71" s="14">
        <v>357</v>
      </c>
      <c r="K71" s="14">
        <v>3</v>
      </c>
      <c r="L71" s="14" t="s">
        <v>306</v>
      </c>
      <c r="M71" s="13" t="s">
        <v>105</v>
      </c>
      <c r="N71" s="13" t="s">
        <v>149</v>
      </c>
      <c r="O71" s="14" t="s">
        <v>142</v>
      </c>
      <c r="P71" s="14" t="s">
        <v>201</v>
      </c>
    </row>
    <row r="72" ht="14.25" spans="1:16">
      <c r="A72" s="13">
        <v>12489</v>
      </c>
      <c r="B72" s="13" t="s">
        <v>161</v>
      </c>
      <c r="C72" s="14" t="s">
        <v>307</v>
      </c>
      <c r="D72" s="13" t="s">
        <v>308</v>
      </c>
      <c r="E72" s="13" t="s">
        <v>23</v>
      </c>
      <c r="F72" s="13" t="s">
        <v>14</v>
      </c>
      <c r="G72" s="13" t="s">
        <v>68</v>
      </c>
      <c r="H72" s="14" t="s">
        <v>138</v>
      </c>
      <c r="I72" s="14">
        <v>7</v>
      </c>
      <c r="J72" s="14">
        <v>315</v>
      </c>
      <c r="K72" s="14">
        <v>6</v>
      </c>
      <c r="L72" s="14" t="s">
        <v>309</v>
      </c>
      <c r="M72" s="13" t="s">
        <v>105</v>
      </c>
      <c r="N72" s="13" t="s">
        <v>149</v>
      </c>
      <c r="O72" s="14" t="s">
        <v>142</v>
      </c>
      <c r="P72" s="14" t="s">
        <v>201</v>
      </c>
    </row>
    <row r="73" ht="14.25" spans="1:16">
      <c r="A73" s="17">
        <v>12480</v>
      </c>
      <c r="B73" s="17" t="s">
        <v>310</v>
      </c>
      <c r="C73" s="18" t="s">
        <v>311</v>
      </c>
      <c r="D73" s="17" t="s">
        <v>312</v>
      </c>
      <c r="E73" s="17" t="s">
        <v>26</v>
      </c>
      <c r="F73" s="17" t="s">
        <v>16</v>
      </c>
      <c r="G73" s="17" t="s">
        <v>68</v>
      </c>
      <c r="H73" s="18" t="s">
        <v>138</v>
      </c>
      <c r="I73" s="18">
        <v>1</v>
      </c>
      <c r="J73" s="18">
        <v>45</v>
      </c>
      <c r="K73" s="18">
        <v>2</v>
      </c>
      <c r="L73" s="18" t="s">
        <v>248</v>
      </c>
      <c r="M73" s="17" t="s">
        <v>105</v>
      </c>
      <c r="N73" s="17" t="s">
        <v>200</v>
      </c>
      <c r="O73" s="18" t="s">
        <v>138</v>
      </c>
      <c r="P73" s="18" t="s">
        <v>201</v>
      </c>
    </row>
    <row r="74" ht="14.25" spans="1:16">
      <c r="A74" s="15">
        <v>12558</v>
      </c>
      <c r="B74" s="15" t="s">
        <v>313</v>
      </c>
      <c r="C74" s="16" t="s">
        <v>311</v>
      </c>
      <c r="D74" s="15" t="s">
        <v>101</v>
      </c>
      <c r="E74" s="15" t="s">
        <v>25</v>
      </c>
      <c r="F74" s="15" t="s">
        <v>14</v>
      </c>
      <c r="G74" s="15" t="s">
        <v>68</v>
      </c>
      <c r="H74" s="16" t="s">
        <v>101</v>
      </c>
      <c r="I74" s="16">
        <v>0</v>
      </c>
      <c r="J74" s="16">
        <v>0</v>
      </c>
      <c r="K74" s="16">
        <v>0</v>
      </c>
      <c r="L74" s="16" t="s">
        <v>209</v>
      </c>
      <c r="M74" s="15" t="s">
        <v>106</v>
      </c>
      <c r="N74" s="15" t="s">
        <v>141</v>
      </c>
      <c r="O74" s="16" t="s">
        <v>138</v>
      </c>
      <c r="P74" s="16" t="s">
        <v>209</v>
      </c>
    </row>
    <row r="75" ht="14.25" spans="1:16">
      <c r="A75" s="19">
        <v>12473</v>
      </c>
      <c r="B75" s="19" t="s">
        <v>314</v>
      </c>
      <c r="C75" s="20" t="s">
        <v>311</v>
      </c>
      <c r="D75" s="19" t="s">
        <v>101</v>
      </c>
      <c r="E75" s="19" t="s">
        <v>26</v>
      </c>
      <c r="F75" s="19" t="s">
        <v>15</v>
      </c>
      <c r="G75" s="19" t="s">
        <v>68</v>
      </c>
      <c r="H75" s="20" t="s">
        <v>101</v>
      </c>
      <c r="I75" s="20">
        <v>0</v>
      </c>
      <c r="J75" s="20">
        <v>0</v>
      </c>
      <c r="K75" s="20">
        <v>0</v>
      </c>
      <c r="L75" s="20" t="s">
        <v>209</v>
      </c>
      <c r="M75" s="19" t="s">
        <v>106</v>
      </c>
      <c r="N75" s="19" t="s">
        <v>200</v>
      </c>
      <c r="O75" s="20" t="s">
        <v>142</v>
      </c>
      <c r="P75" s="20" t="s">
        <v>201</v>
      </c>
    </row>
    <row r="76" ht="14.25" spans="1:16">
      <c r="A76" s="17">
        <v>12464</v>
      </c>
      <c r="B76" s="17" t="s">
        <v>315</v>
      </c>
      <c r="C76" s="18" t="s">
        <v>311</v>
      </c>
      <c r="D76" s="17" t="s">
        <v>311</v>
      </c>
      <c r="E76" s="17" t="s">
        <v>23</v>
      </c>
      <c r="F76" s="17" t="s">
        <v>13</v>
      </c>
      <c r="G76" s="17" t="s">
        <v>68</v>
      </c>
      <c r="H76" s="18" t="s">
        <v>138</v>
      </c>
      <c r="I76" s="18">
        <v>0</v>
      </c>
      <c r="J76" s="18">
        <v>0</v>
      </c>
      <c r="K76" s="18">
        <v>0</v>
      </c>
      <c r="L76" s="18" t="s">
        <v>199</v>
      </c>
      <c r="M76" s="17" t="s">
        <v>140</v>
      </c>
      <c r="N76" s="17" t="s">
        <v>200</v>
      </c>
      <c r="O76" s="18" t="s">
        <v>138</v>
      </c>
      <c r="P76" s="18" t="s">
        <v>201</v>
      </c>
    </row>
    <row r="77" ht="14.25" spans="1:16">
      <c r="A77" s="15">
        <v>12540</v>
      </c>
      <c r="B77" s="15" t="s">
        <v>316</v>
      </c>
      <c r="C77" s="16" t="s">
        <v>311</v>
      </c>
      <c r="D77" s="15" t="s">
        <v>101</v>
      </c>
      <c r="E77" s="15" t="s">
        <v>21</v>
      </c>
      <c r="F77" s="15" t="s">
        <v>17</v>
      </c>
      <c r="G77" s="15" t="s">
        <v>68</v>
      </c>
      <c r="H77" s="16" t="s">
        <v>101</v>
      </c>
      <c r="I77" s="16">
        <v>0</v>
      </c>
      <c r="J77" s="16">
        <v>0</v>
      </c>
      <c r="K77" s="16">
        <v>0</v>
      </c>
      <c r="L77" s="16" t="s">
        <v>209</v>
      </c>
      <c r="M77" s="15" t="s">
        <v>106</v>
      </c>
      <c r="N77" s="15" t="s">
        <v>149</v>
      </c>
      <c r="O77" s="16" t="s">
        <v>138</v>
      </c>
      <c r="P77" s="16" t="s">
        <v>209</v>
      </c>
    </row>
    <row r="78" ht="14.25" spans="1:16">
      <c r="A78" s="15">
        <v>12541</v>
      </c>
      <c r="B78" s="15" t="s">
        <v>317</v>
      </c>
      <c r="C78" s="16" t="s">
        <v>311</v>
      </c>
      <c r="D78" s="15" t="s">
        <v>318</v>
      </c>
      <c r="E78" s="15" t="s">
        <v>21</v>
      </c>
      <c r="F78" s="15" t="s">
        <v>17</v>
      </c>
      <c r="G78" s="15" t="s">
        <v>68</v>
      </c>
      <c r="H78" s="16" t="s">
        <v>138</v>
      </c>
      <c r="I78" s="16">
        <v>3</v>
      </c>
      <c r="J78" s="16">
        <v>450</v>
      </c>
      <c r="K78" s="16">
        <v>0</v>
      </c>
      <c r="L78" s="16" t="s">
        <v>199</v>
      </c>
      <c r="M78" s="15" t="s">
        <v>140</v>
      </c>
      <c r="N78" s="15" t="s">
        <v>144</v>
      </c>
      <c r="O78" s="16" t="s">
        <v>138</v>
      </c>
      <c r="P78" s="16" t="s">
        <v>209</v>
      </c>
    </row>
    <row r="79" ht="14.25" spans="1:16">
      <c r="A79" s="15">
        <v>12542</v>
      </c>
      <c r="B79" s="15" t="s">
        <v>319</v>
      </c>
      <c r="C79" s="16" t="s">
        <v>311</v>
      </c>
      <c r="D79" s="15" t="s">
        <v>101</v>
      </c>
      <c r="E79" s="15" t="s">
        <v>21</v>
      </c>
      <c r="F79" s="15" t="s">
        <v>17</v>
      </c>
      <c r="G79" s="15" t="s">
        <v>68</v>
      </c>
      <c r="H79" s="16" t="s">
        <v>101</v>
      </c>
      <c r="I79" s="16">
        <v>0</v>
      </c>
      <c r="J79" s="16">
        <v>0</v>
      </c>
      <c r="K79" s="16">
        <v>0</v>
      </c>
      <c r="L79" s="16" t="s">
        <v>209</v>
      </c>
      <c r="M79" s="15" t="s">
        <v>106</v>
      </c>
      <c r="N79" s="15" t="s">
        <v>275</v>
      </c>
      <c r="O79" s="16" t="s">
        <v>138</v>
      </c>
      <c r="P79" s="16" t="s">
        <v>209</v>
      </c>
    </row>
    <row r="80" ht="14.25" spans="1:16">
      <c r="A80" s="15">
        <v>12543</v>
      </c>
      <c r="B80" s="15" t="s">
        <v>320</v>
      </c>
      <c r="C80" s="16" t="s">
        <v>311</v>
      </c>
      <c r="D80" s="15" t="s">
        <v>321</v>
      </c>
      <c r="E80" s="15" t="s">
        <v>21</v>
      </c>
      <c r="F80" s="15" t="s">
        <v>17</v>
      </c>
      <c r="G80" s="15" t="s">
        <v>68</v>
      </c>
      <c r="H80" s="16" t="s">
        <v>142</v>
      </c>
      <c r="I80" s="16">
        <v>2</v>
      </c>
      <c r="J80" s="16">
        <v>300</v>
      </c>
      <c r="K80" s="16">
        <v>0</v>
      </c>
      <c r="L80" s="16" t="s">
        <v>199</v>
      </c>
      <c r="M80" s="15" t="s">
        <v>140</v>
      </c>
      <c r="N80" s="15" t="s">
        <v>144</v>
      </c>
      <c r="O80" s="16" t="s">
        <v>142</v>
      </c>
      <c r="P80" s="16" t="s">
        <v>209</v>
      </c>
    </row>
    <row r="81" ht="14.25" spans="1:16">
      <c r="A81" s="15">
        <v>12544</v>
      </c>
      <c r="B81" s="15" t="s">
        <v>322</v>
      </c>
      <c r="C81" s="16" t="s">
        <v>311</v>
      </c>
      <c r="D81" s="15" t="s">
        <v>323</v>
      </c>
      <c r="E81" s="15" t="s">
        <v>26</v>
      </c>
      <c r="F81" s="15" t="s">
        <v>17</v>
      </c>
      <c r="G81" s="15" t="s">
        <v>68</v>
      </c>
      <c r="H81" s="16" t="s">
        <v>138</v>
      </c>
      <c r="I81" s="16">
        <v>5</v>
      </c>
      <c r="J81" s="16">
        <v>750</v>
      </c>
      <c r="K81" s="16">
        <v>0</v>
      </c>
      <c r="L81" s="16" t="s">
        <v>199</v>
      </c>
      <c r="M81" s="15" t="s">
        <v>140</v>
      </c>
      <c r="N81" s="15" t="s">
        <v>200</v>
      </c>
      <c r="O81" s="16" t="s">
        <v>138</v>
      </c>
      <c r="P81" s="16" t="s">
        <v>209</v>
      </c>
    </row>
    <row r="82" ht="14.25" spans="1:16">
      <c r="A82" s="15">
        <v>12612</v>
      </c>
      <c r="B82" s="15" t="s">
        <v>324</v>
      </c>
      <c r="C82" s="16" t="s">
        <v>318</v>
      </c>
      <c r="D82" s="15" t="s">
        <v>101</v>
      </c>
      <c r="E82" s="15" t="s">
        <v>24</v>
      </c>
      <c r="F82" s="15" t="s">
        <v>14</v>
      </c>
      <c r="G82" s="15" t="s">
        <v>68</v>
      </c>
      <c r="H82" s="16" t="s">
        <v>101</v>
      </c>
      <c r="I82" s="16">
        <v>0</v>
      </c>
      <c r="J82" s="16">
        <v>0</v>
      </c>
      <c r="K82" s="16">
        <v>0</v>
      </c>
      <c r="L82" s="16" t="s">
        <v>209</v>
      </c>
      <c r="M82" s="15" t="s">
        <v>106</v>
      </c>
      <c r="N82" s="15" t="s">
        <v>200</v>
      </c>
      <c r="O82" s="16" t="s">
        <v>138</v>
      </c>
      <c r="P82" s="16" t="s">
        <v>209</v>
      </c>
    </row>
    <row r="83" ht="14.25" spans="1:16">
      <c r="A83" s="15">
        <v>12651</v>
      </c>
      <c r="B83" s="15" t="s">
        <v>325</v>
      </c>
      <c r="C83" s="16" t="s">
        <v>318</v>
      </c>
      <c r="D83" s="15" t="s">
        <v>323</v>
      </c>
      <c r="E83" s="15" t="s">
        <v>26</v>
      </c>
      <c r="F83" s="15" t="s">
        <v>15</v>
      </c>
      <c r="G83" s="15" t="s">
        <v>68</v>
      </c>
      <c r="H83" s="16" t="s">
        <v>138</v>
      </c>
      <c r="I83" s="16">
        <v>3</v>
      </c>
      <c r="J83" s="16">
        <v>267</v>
      </c>
      <c r="K83" s="16">
        <v>6</v>
      </c>
      <c r="L83" s="16" t="s">
        <v>223</v>
      </c>
      <c r="M83" s="15" t="s">
        <v>105</v>
      </c>
      <c r="N83" s="15" t="s">
        <v>200</v>
      </c>
      <c r="O83" s="16" t="s">
        <v>138</v>
      </c>
      <c r="P83" s="16" t="s">
        <v>209</v>
      </c>
    </row>
    <row r="84" ht="14.25" spans="1:16">
      <c r="A84" s="15">
        <v>12604</v>
      </c>
      <c r="B84" s="15" t="s">
        <v>326</v>
      </c>
      <c r="C84" s="16" t="s">
        <v>302</v>
      </c>
      <c r="D84" s="15" t="s">
        <v>101</v>
      </c>
      <c r="E84" s="15" t="s">
        <v>22</v>
      </c>
      <c r="F84" s="15" t="s">
        <v>13</v>
      </c>
      <c r="G84" s="15" t="s">
        <v>68</v>
      </c>
      <c r="H84" s="16" t="s">
        <v>101</v>
      </c>
      <c r="I84" s="16">
        <v>0</v>
      </c>
      <c r="J84" s="16">
        <v>0</v>
      </c>
      <c r="K84" s="16">
        <v>0</v>
      </c>
      <c r="L84" s="16" t="s">
        <v>209</v>
      </c>
      <c r="M84" s="15" t="s">
        <v>106</v>
      </c>
      <c r="N84" s="15" t="s">
        <v>158</v>
      </c>
      <c r="O84" s="16" t="s">
        <v>138</v>
      </c>
      <c r="P84" s="16" t="s">
        <v>209</v>
      </c>
    </row>
    <row r="85" ht="14.25" spans="1:16">
      <c r="A85" s="15">
        <v>12526</v>
      </c>
      <c r="B85" s="15" t="s">
        <v>327</v>
      </c>
      <c r="C85" s="16" t="s">
        <v>302</v>
      </c>
      <c r="D85" s="15" t="s">
        <v>101</v>
      </c>
      <c r="E85" s="15" t="s">
        <v>22</v>
      </c>
      <c r="F85" s="15" t="s">
        <v>13</v>
      </c>
      <c r="G85" s="15" t="s">
        <v>68</v>
      </c>
      <c r="H85" s="16" t="s">
        <v>101</v>
      </c>
      <c r="I85" s="16">
        <v>0</v>
      </c>
      <c r="J85" s="16">
        <v>0</v>
      </c>
      <c r="K85" s="16">
        <v>0</v>
      </c>
      <c r="L85" s="16" t="s">
        <v>209</v>
      </c>
      <c r="M85" s="15" t="s">
        <v>106</v>
      </c>
      <c r="N85" s="15" t="s">
        <v>158</v>
      </c>
      <c r="O85" s="16" t="s">
        <v>138</v>
      </c>
      <c r="P85" s="16" t="s">
        <v>209</v>
      </c>
    </row>
    <row r="86" ht="14.25" spans="1:16">
      <c r="A86" s="15">
        <v>12590</v>
      </c>
      <c r="B86" s="15" t="s">
        <v>162</v>
      </c>
      <c r="C86" s="16" t="s">
        <v>302</v>
      </c>
      <c r="D86" s="15" t="s">
        <v>328</v>
      </c>
      <c r="E86" s="15" t="s">
        <v>22</v>
      </c>
      <c r="F86" s="15" t="s">
        <v>13</v>
      </c>
      <c r="G86" s="15" t="s">
        <v>68</v>
      </c>
      <c r="H86" s="16" t="s">
        <v>138</v>
      </c>
      <c r="I86" s="16">
        <v>1</v>
      </c>
      <c r="J86" s="16">
        <v>125</v>
      </c>
      <c r="K86" s="16">
        <v>4</v>
      </c>
      <c r="L86" s="16" t="s">
        <v>329</v>
      </c>
      <c r="M86" s="15" t="s">
        <v>105</v>
      </c>
      <c r="N86" s="15" t="s">
        <v>158</v>
      </c>
      <c r="O86" s="16" t="s">
        <v>138</v>
      </c>
      <c r="P86" s="16" t="s">
        <v>209</v>
      </c>
    </row>
    <row r="87" ht="14.25" spans="1:16">
      <c r="A87" s="15">
        <v>12586</v>
      </c>
      <c r="B87" s="15" t="s">
        <v>330</v>
      </c>
      <c r="C87" s="16" t="s">
        <v>302</v>
      </c>
      <c r="D87" s="15" t="s">
        <v>323</v>
      </c>
      <c r="E87" s="15" t="s">
        <v>25</v>
      </c>
      <c r="F87" s="15" t="s">
        <v>15</v>
      </c>
      <c r="G87" s="15" t="s">
        <v>68</v>
      </c>
      <c r="H87" s="16" t="s">
        <v>138</v>
      </c>
      <c r="I87" s="16">
        <v>2</v>
      </c>
      <c r="J87" s="16">
        <v>140</v>
      </c>
      <c r="K87" s="16">
        <v>2</v>
      </c>
      <c r="L87" s="16" t="s">
        <v>248</v>
      </c>
      <c r="M87" s="15" t="s">
        <v>105</v>
      </c>
      <c r="N87" s="15" t="s">
        <v>200</v>
      </c>
      <c r="O87" s="16" t="s">
        <v>138</v>
      </c>
      <c r="P87" s="16" t="s">
        <v>209</v>
      </c>
    </row>
    <row r="88" ht="14.25" spans="1:16">
      <c r="A88" s="15">
        <v>12615</v>
      </c>
      <c r="B88" s="15" t="s">
        <v>164</v>
      </c>
      <c r="C88" s="16" t="s">
        <v>302</v>
      </c>
      <c r="D88" s="15" t="s">
        <v>331</v>
      </c>
      <c r="E88" s="15" t="s">
        <v>22</v>
      </c>
      <c r="F88" s="15" t="s">
        <v>17</v>
      </c>
      <c r="G88" s="15" t="s">
        <v>68</v>
      </c>
      <c r="H88" s="16" t="s">
        <v>101</v>
      </c>
      <c r="I88" s="16">
        <v>0</v>
      </c>
      <c r="J88" s="16">
        <v>0</v>
      </c>
      <c r="K88" s="16">
        <v>1</v>
      </c>
      <c r="L88" s="16" t="s">
        <v>207</v>
      </c>
      <c r="M88" s="15" t="s">
        <v>105</v>
      </c>
      <c r="N88" s="15" t="s">
        <v>149</v>
      </c>
      <c r="O88" s="16" t="s">
        <v>142</v>
      </c>
      <c r="P88" s="16" t="s">
        <v>209</v>
      </c>
    </row>
    <row r="89" ht="14.25" spans="1:16">
      <c r="A89" s="15">
        <v>12616</v>
      </c>
      <c r="B89" s="15" t="s">
        <v>332</v>
      </c>
      <c r="C89" s="16" t="s">
        <v>302</v>
      </c>
      <c r="D89" s="15" t="s">
        <v>333</v>
      </c>
      <c r="E89" s="15" t="s">
        <v>22</v>
      </c>
      <c r="F89" s="15" t="s">
        <v>17</v>
      </c>
      <c r="G89" s="15" t="s">
        <v>68</v>
      </c>
      <c r="H89" s="16" t="s">
        <v>138</v>
      </c>
      <c r="I89" s="16">
        <v>2</v>
      </c>
      <c r="J89" s="16">
        <v>190</v>
      </c>
      <c r="K89" s="16">
        <v>0</v>
      </c>
      <c r="L89" s="16" t="s">
        <v>199</v>
      </c>
      <c r="M89" s="15" t="s">
        <v>140</v>
      </c>
      <c r="N89" s="15" t="s">
        <v>149</v>
      </c>
      <c r="O89" s="16" t="s">
        <v>142</v>
      </c>
      <c r="P89" s="16" t="s">
        <v>209</v>
      </c>
    </row>
    <row r="90" ht="14.25" spans="1:16">
      <c r="A90" s="15">
        <v>12572</v>
      </c>
      <c r="B90" s="15" t="s">
        <v>334</v>
      </c>
      <c r="C90" s="16" t="s">
        <v>302</v>
      </c>
      <c r="D90" s="15" t="s">
        <v>335</v>
      </c>
      <c r="E90" s="15" t="s">
        <v>21</v>
      </c>
      <c r="F90" s="15" t="s">
        <v>17</v>
      </c>
      <c r="G90" s="15" t="s">
        <v>69</v>
      </c>
      <c r="H90" s="16" t="s">
        <v>101</v>
      </c>
      <c r="I90" s="16">
        <v>1</v>
      </c>
      <c r="J90" s="16">
        <v>60</v>
      </c>
      <c r="K90" s="16">
        <v>0</v>
      </c>
      <c r="L90" s="16" t="s">
        <v>209</v>
      </c>
      <c r="M90" s="15" t="s">
        <v>106</v>
      </c>
      <c r="N90" s="15" t="s">
        <v>149</v>
      </c>
      <c r="O90" s="16" t="s">
        <v>138</v>
      </c>
      <c r="P90" s="16" t="s">
        <v>209</v>
      </c>
    </row>
    <row r="91" ht="14.25" spans="1:16">
      <c r="A91" s="15">
        <v>12573</v>
      </c>
      <c r="B91" s="15" t="s">
        <v>336</v>
      </c>
      <c r="C91" s="16" t="s">
        <v>302</v>
      </c>
      <c r="D91" s="15" t="s">
        <v>101</v>
      </c>
      <c r="E91" s="15" t="s">
        <v>21</v>
      </c>
      <c r="F91" s="15" t="s">
        <v>17</v>
      </c>
      <c r="G91" s="15" t="s">
        <v>69</v>
      </c>
      <c r="H91" s="16" t="s">
        <v>101</v>
      </c>
      <c r="I91" s="16">
        <v>0</v>
      </c>
      <c r="J91" s="16">
        <v>0</v>
      </c>
      <c r="K91" s="16">
        <v>0</v>
      </c>
      <c r="L91" s="16" t="s">
        <v>209</v>
      </c>
      <c r="M91" s="15" t="s">
        <v>106</v>
      </c>
      <c r="N91" s="15" t="s">
        <v>144</v>
      </c>
      <c r="O91" s="16" t="s">
        <v>138</v>
      </c>
      <c r="P91" s="16" t="s">
        <v>209</v>
      </c>
    </row>
    <row r="92" ht="14.25" spans="1:16">
      <c r="A92" s="15">
        <v>12650</v>
      </c>
      <c r="B92" s="15" t="s">
        <v>337</v>
      </c>
      <c r="C92" s="16" t="s">
        <v>302</v>
      </c>
      <c r="D92" s="15" t="s">
        <v>101</v>
      </c>
      <c r="E92" s="15" t="s">
        <v>26</v>
      </c>
      <c r="F92" s="15" t="s">
        <v>17</v>
      </c>
      <c r="G92" s="15" t="s">
        <v>68</v>
      </c>
      <c r="H92" s="16" t="s">
        <v>101</v>
      </c>
      <c r="I92" s="16">
        <v>0</v>
      </c>
      <c r="J92" s="16">
        <v>0</v>
      </c>
      <c r="K92" s="16">
        <v>0</v>
      </c>
      <c r="L92" s="16" t="s">
        <v>209</v>
      </c>
      <c r="M92" s="15" t="s">
        <v>106</v>
      </c>
      <c r="N92" s="15" t="s">
        <v>200</v>
      </c>
      <c r="O92" s="16" t="s">
        <v>138</v>
      </c>
      <c r="P92" s="16" t="s">
        <v>209</v>
      </c>
    </row>
    <row r="93" ht="14.25" spans="1:16">
      <c r="A93" s="15">
        <v>12649</v>
      </c>
      <c r="B93" s="15" t="s">
        <v>338</v>
      </c>
      <c r="C93" s="16" t="s">
        <v>302</v>
      </c>
      <c r="D93" s="15" t="s">
        <v>101</v>
      </c>
      <c r="E93" s="15" t="s">
        <v>26</v>
      </c>
      <c r="F93" s="15" t="s">
        <v>17</v>
      </c>
      <c r="G93" s="15" t="s">
        <v>68</v>
      </c>
      <c r="H93" s="16" t="s">
        <v>101</v>
      </c>
      <c r="I93" s="16">
        <v>0</v>
      </c>
      <c r="J93" s="16">
        <v>0</v>
      </c>
      <c r="K93" s="16">
        <v>0</v>
      </c>
      <c r="L93" s="16" t="s">
        <v>209</v>
      </c>
      <c r="M93" s="15" t="s">
        <v>106</v>
      </c>
      <c r="N93" s="15" t="s">
        <v>200</v>
      </c>
      <c r="O93" s="16" t="s">
        <v>138</v>
      </c>
      <c r="P93" s="16" t="s">
        <v>209</v>
      </c>
    </row>
    <row r="94" ht="14.25" spans="1:16">
      <c r="A94" s="19">
        <v>12632</v>
      </c>
      <c r="B94" s="19" t="s">
        <v>339</v>
      </c>
      <c r="C94" s="20" t="s">
        <v>323</v>
      </c>
      <c r="D94" s="19" t="s">
        <v>101</v>
      </c>
      <c r="E94" s="19" t="s">
        <v>23</v>
      </c>
      <c r="F94" s="19" t="s">
        <v>12</v>
      </c>
      <c r="G94" s="19" t="s">
        <v>69</v>
      </c>
      <c r="H94" s="20" t="s">
        <v>101</v>
      </c>
      <c r="I94" s="20">
        <v>0</v>
      </c>
      <c r="J94" s="20">
        <v>0</v>
      </c>
      <c r="K94" s="20">
        <v>0</v>
      </c>
      <c r="L94" s="20" t="s">
        <v>209</v>
      </c>
      <c r="M94" s="19" t="s">
        <v>106</v>
      </c>
      <c r="N94" s="19" t="s">
        <v>200</v>
      </c>
      <c r="O94" s="20" t="s">
        <v>142</v>
      </c>
      <c r="P94" s="20" t="s">
        <v>209</v>
      </c>
    </row>
    <row r="95" ht="14.25" spans="1:16">
      <c r="A95" s="15">
        <v>12631</v>
      </c>
      <c r="B95" s="15" t="s">
        <v>340</v>
      </c>
      <c r="C95" s="16" t="s">
        <v>323</v>
      </c>
      <c r="D95" s="15" t="s">
        <v>323</v>
      </c>
      <c r="E95" s="15" t="s">
        <v>23</v>
      </c>
      <c r="F95" s="15" t="s">
        <v>12</v>
      </c>
      <c r="G95" s="15" t="s">
        <v>68</v>
      </c>
      <c r="H95" s="16" t="s">
        <v>138</v>
      </c>
      <c r="I95" s="16">
        <v>3</v>
      </c>
      <c r="J95" s="16">
        <v>375</v>
      </c>
      <c r="K95" s="16">
        <v>0</v>
      </c>
      <c r="L95" s="16" t="s">
        <v>199</v>
      </c>
      <c r="M95" s="15" t="s">
        <v>140</v>
      </c>
      <c r="N95" s="15" t="s">
        <v>200</v>
      </c>
      <c r="O95" s="16" t="s">
        <v>142</v>
      </c>
      <c r="P95" s="16" t="s">
        <v>209</v>
      </c>
    </row>
    <row r="96" ht="14.25" spans="1:16">
      <c r="A96" s="15">
        <v>12630</v>
      </c>
      <c r="B96" s="15" t="s">
        <v>341</v>
      </c>
      <c r="C96" s="16" t="s">
        <v>323</v>
      </c>
      <c r="D96" s="15" t="s">
        <v>321</v>
      </c>
      <c r="E96" s="15" t="s">
        <v>23</v>
      </c>
      <c r="F96" s="15" t="s">
        <v>12</v>
      </c>
      <c r="G96" s="15" t="s">
        <v>68</v>
      </c>
      <c r="H96" s="16" t="s">
        <v>138</v>
      </c>
      <c r="I96" s="16">
        <v>1</v>
      </c>
      <c r="J96" s="16">
        <v>245</v>
      </c>
      <c r="K96" s="16">
        <v>0</v>
      </c>
      <c r="L96" s="16" t="s">
        <v>199</v>
      </c>
      <c r="M96" s="15" t="s">
        <v>140</v>
      </c>
      <c r="N96" s="15" t="s">
        <v>200</v>
      </c>
      <c r="O96" s="16" t="s">
        <v>142</v>
      </c>
      <c r="P96" s="16" t="s">
        <v>209</v>
      </c>
    </row>
    <row r="97" ht="14.25" spans="1:16">
      <c r="A97" s="15">
        <v>12587</v>
      </c>
      <c r="B97" s="15" t="s">
        <v>342</v>
      </c>
      <c r="C97" s="16" t="s">
        <v>323</v>
      </c>
      <c r="D97" s="15" t="s">
        <v>321</v>
      </c>
      <c r="E97" s="15" t="s">
        <v>24</v>
      </c>
      <c r="F97" s="15" t="s">
        <v>18</v>
      </c>
      <c r="G97" s="15" t="s">
        <v>69</v>
      </c>
      <c r="H97" s="16" t="s">
        <v>138</v>
      </c>
      <c r="I97" s="16">
        <v>4</v>
      </c>
      <c r="J97" s="16">
        <v>152.89</v>
      </c>
      <c r="K97" s="16">
        <v>2</v>
      </c>
      <c r="L97" s="16" t="s">
        <v>309</v>
      </c>
      <c r="M97" s="15" t="s">
        <v>105</v>
      </c>
      <c r="N97" s="15" t="s">
        <v>200</v>
      </c>
      <c r="O97" s="16" t="s">
        <v>138</v>
      </c>
      <c r="P97" s="16" t="s">
        <v>209</v>
      </c>
    </row>
    <row r="98" ht="14.25" spans="1:16">
      <c r="A98" s="15">
        <v>12569</v>
      </c>
      <c r="B98" s="15" t="s">
        <v>343</v>
      </c>
      <c r="C98" s="16" t="s">
        <v>323</v>
      </c>
      <c r="D98" s="15" t="s">
        <v>101</v>
      </c>
      <c r="E98" s="15" t="s">
        <v>26</v>
      </c>
      <c r="F98" s="15" t="s">
        <v>17</v>
      </c>
      <c r="G98" s="15" t="s">
        <v>68</v>
      </c>
      <c r="H98" s="16" t="s">
        <v>101</v>
      </c>
      <c r="I98" s="16">
        <v>0</v>
      </c>
      <c r="J98" s="16">
        <v>0</v>
      </c>
      <c r="K98" s="16">
        <v>0</v>
      </c>
      <c r="L98" s="16" t="s">
        <v>209</v>
      </c>
      <c r="M98" s="15" t="s">
        <v>106</v>
      </c>
      <c r="N98" s="15" t="s">
        <v>200</v>
      </c>
      <c r="O98" s="16" t="s">
        <v>138</v>
      </c>
      <c r="P98" s="16" t="s">
        <v>209</v>
      </c>
    </row>
    <row r="99" ht="14.25" spans="1:16">
      <c r="A99" s="15">
        <v>12575</v>
      </c>
      <c r="B99" s="15" t="s">
        <v>344</v>
      </c>
      <c r="C99" s="16" t="s">
        <v>323</v>
      </c>
      <c r="D99" s="15" t="s">
        <v>335</v>
      </c>
      <c r="E99" s="15" t="s">
        <v>21</v>
      </c>
      <c r="F99" s="15" t="s">
        <v>17</v>
      </c>
      <c r="G99" s="15" t="s">
        <v>69</v>
      </c>
      <c r="H99" s="16" t="s">
        <v>138</v>
      </c>
      <c r="I99" s="16">
        <v>1</v>
      </c>
      <c r="J99" s="16">
        <v>65</v>
      </c>
      <c r="K99" s="16">
        <v>0</v>
      </c>
      <c r="L99" s="16" t="s">
        <v>209</v>
      </c>
      <c r="M99" s="15" t="s">
        <v>140</v>
      </c>
      <c r="N99" s="15" t="s">
        <v>200</v>
      </c>
      <c r="O99" s="16" t="s">
        <v>138</v>
      </c>
      <c r="P99" s="16" t="s">
        <v>209</v>
      </c>
    </row>
    <row r="100" ht="14.25" spans="1:16">
      <c r="A100" s="15">
        <v>12574</v>
      </c>
      <c r="B100" s="15" t="s">
        <v>345</v>
      </c>
      <c r="C100" s="16" t="s">
        <v>323</v>
      </c>
      <c r="D100" s="15" t="s">
        <v>101</v>
      </c>
      <c r="E100" s="15" t="s">
        <v>21</v>
      </c>
      <c r="F100" s="15" t="s">
        <v>17</v>
      </c>
      <c r="G100" s="15" t="s">
        <v>69</v>
      </c>
      <c r="H100" s="16" t="s">
        <v>101</v>
      </c>
      <c r="I100" s="16">
        <v>0</v>
      </c>
      <c r="J100" s="16">
        <v>0</v>
      </c>
      <c r="K100" s="16">
        <v>0</v>
      </c>
      <c r="L100" s="16" t="s">
        <v>209</v>
      </c>
      <c r="M100" s="15" t="s">
        <v>106</v>
      </c>
      <c r="N100" s="15" t="s">
        <v>200</v>
      </c>
      <c r="O100" s="16" t="s">
        <v>138</v>
      </c>
      <c r="P100" s="16" t="s">
        <v>209</v>
      </c>
    </row>
    <row r="101" ht="14.25" spans="1:16">
      <c r="A101" s="15">
        <v>12629</v>
      </c>
      <c r="B101" s="15" t="s">
        <v>346</v>
      </c>
      <c r="C101" s="16" t="s">
        <v>323</v>
      </c>
      <c r="D101" s="15" t="s">
        <v>347</v>
      </c>
      <c r="E101" s="15" t="s">
        <v>22</v>
      </c>
      <c r="F101" s="15" t="s">
        <v>13</v>
      </c>
      <c r="G101" s="15" t="s">
        <v>68</v>
      </c>
      <c r="H101" s="16" t="s">
        <v>138</v>
      </c>
      <c r="I101" s="16">
        <v>1</v>
      </c>
      <c r="J101" s="16">
        <v>35</v>
      </c>
      <c r="K101" s="16">
        <v>9</v>
      </c>
      <c r="L101" s="16" t="s">
        <v>348</v>
      </c>
      <c r="M101" s="15" t="s">
        <v>105</v>
      </c>
      <c r="N101" s="15" t="s">
        <v>200</v>
      </c>
      <c r="O101" s="16" t="s">
        <v>138</v>
      </c>
      <c r="P101" s="16" t="s">
        <v>209</v>
      </c>
    </row>
    <row r="102" ht="14.25" spans="1:16">
      <c r="A102" s="15">
        <v>12591</v>
      </c>
      <c r="B102" s="15" t="s">
        <v>349</v>
      </c>
      <c r="C102" s="16" t="s">
        <v>323</v>
      </c>
      <c r="D102" s="15" t="s">
        <v>101</v>
      </c>
      <c r="E102" s="15" t="s">
        <v>22</v>
      </c>
      <c r="F102" s="15" t="s">
        <v>13</v>
      </c>
      <c r="G102" s="15" t="s">
        <v>68</v>
      </c>
      <c r="H102" s="16" t="s">
        <v>101</v>
      </c>
      <c r="I102" s="16">
        <v>0</v>
      </c>
      <c r="J102" s="16">
        <v>0</v>
      </c>
      <c r="K102" s="16">
        <v>1</v>
      </c>
      <c r="L102" s="16" t="s">
        <v>207</v>
      </c>
      <c r="M102" s="15" t="s">
        <v>105</v>
      </c>
      <c r="N102" s="15" t="s">
        <v>200</v>
      </c>
      <c r="O102" s="16" t="s">
        <v>138</v>
      </c>
      <c r="P102" s="16" t="s">
        <v>209</v>
      </c>
    </row>
    <row r="103" ht="14.25" spans="1:16">
      <c r="A103" s="15">
        <v>12606</v>
      </c>
      <c r="B103" s="15" t="s">
        <v>350</v>
      </c>
      <c r="C103" s="16" t="s">
        <v>323</v>
      </c>
      <c r="D103" s="15" t="s">
        <v>101</v>
      </c>
      <c r="E103" s="15" t="s">
        <v>22</v>
      </c>
      <c r="F103" s="15" t="s">
        <v>13</v>
      </c>
      <c r="G103" s="15" t="s">
        <v>68</v>
      </c>
      <c r="H103" s="16" t="s">
        <v>101</v>
      </c>
      <c r="I103" s="16">
        <v>0</v>
      </c>
      <c r="J103" s="16">
        <v>0</v>
      </c>
      <c r="K103" s="16">
        <v>0</v>
      </c>
      <c r="L103" s="16" t="s">
        <v>209</v>
      </c>
      <c r="M103" s="15" t="s">
        <v>106</v>
      </c>
      <c r="N103" s="15" t="s">
        <v>200</v>
      </c>
      <c r="O103" s="16" t="s">
        <v>138</v>
      </c>
      <c r="P103" s="16" t="s">
        <v>209</v>
      </c>
    </row>
    <row r="104" ht="14.25" spans="1:16">
      <c r="A104" s="15">
        <v>12614</v>
      </c>
      <c r="B104" s="15" t="s">
        <v>351</v>
      </c>
      <c r="C104" s="16" t="s">
        <v>323</v>
      </c>
      <c r="D104" s="15" t="s">
        <v>101</v>
      </c>
      <c r="E104" s="15" t="s">
        <v>25</v>
      </c>
      <c r="F104" s="15" t="s">
        <v>14</v>
      </c>
      <c r="G104" s="15" t="s">
        <v>68</v>
      </c>
      <c r="H104" s="16" t="s">
        <v>101</v>
      </c>
      <c r="I104" s="16">
        <v>0</v>
      </c>
      <c r="J104" s="16">
        <v>0</v>
      </c>
      <c r="K104" s="16">
        <v>0</v>
      </c>
      <c r="L104" s="16" t="s">
        <v>209</v>
      </c>
      <c r="M104" s="15" t="s">
        <v>106</v>
      </c>
      <c r="N104" s="15" t="s">
        <v>200</v>
      </c>
      <c r="O104" s="16" t="s">
        <v>138</v>
      </c>
      <c r="P104" s="16" t="s">
        <v>209</v>
      </c>
    </row>
    <row r="120" spans="2:2">
      <c r="B120"/>
    </row>
    <row r="121" spans="2:2">
      <c r="B121"/>
    </row>
    <row r="122" spans="2:2">
      <c r="B122"/>
    </row>
    <row r="123" spans="2:2">
      <c r="B123"/>
    </row>
    <row r="124" spans="2:2">
      <c r="B124"/>
    </row>
    <row r="125" spans="2:2">
      <c r="B125"/>
    </row>
    <row r="126" spans="2:2">
      <c r="B126"/>
    </row>
    <row r="127" spans="2:2">
      <c r="B127"/>
    </row>
    <row r="128" spans="2:2">
      <c r="B128"/>
    </row>
    <row r="129" spans="2:2">
      <c r="B129"/>
    </row>
    <row r="130" spans="2:2">
      <c r="B130"/>
    </row>
    <row r="131" spans="2:2">
      <c r="B131"/>
    </row>
    <row r="132" spans="2:2">
      <c r="B132"/>
    </row>
    <row r="133" spans="2:2">
      <c r="B133"/>
    </row>
    <row r="134" spans="2:2">
      <c r="B134"/>
    </row>
    <row r="135" spans="2:2">
      <c r="B135"/>
    </row>
    <row r="136" spans="2:2">
      <c r="B136"/>
    </row>
    <row r="137" spans="2:2">
      <c r="B137"/>
    </row>
    <row r="138" spans="2:2">
      <c r="B138"/>
    </row>
    <row r="139" spans="2:2">
      <c r="B139"/>
    </row>
    <row r="140" spans="2:2">
      <c r="B140"/>
    </row>
    <row r="141" spans="2:2">
      <c r="B141"/>
    </row>
    <row r="142" spans="2:2">
      <c r="B142"/>
    </row>
    <row r="143" spans="2:2">
      <c r="B143"/>
    </row>
    <row r="144" spans="2:2">
      <c r="B144"/>
    </row>
    <row r="145" spans="2:2">
      <c r="B145"/>
    </row>
    <row r="146" spans="2:2">
      <c r="B146"/>
    </row>
    <row r="147" spans="2:2">
      <c r="B147"/>
    </row>
    <row r="148" spans="2:2">
      <c r="B148"/>
    </row>
    <row r="149" spans="2:2">
      <c r="B149"/>
    </row>
    <row r="150" spans="2:2">
      <c r="B150"/>
    </row>
    <row r="151" spans="2:2">
      <c r="B151"/>
    </row>
    <row r="152" spans="2:2">
      <c r="B152"/>
    </row>
    <row r="153" spans="2:2">
      <c r="B153"/>
    </row>
    <row r="154" spans="2:2">
      <c r="B154"/>
    </row>
    <row r="155" spans="2:2">
      <c r="B155"/>
    </row>
    <row r="156" spans="2:2">
      <c r="B156"/>
    </row>
    <row r="157" spans="2:2">
      <c r="B157"/>
    </row>
    <row r="158" spans="2:2">
      <c r="B158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3:P104" etc:filterBottomFollowUsedRange="0">
    <extLst/>
  </autoFilter>
  <mergeCells count="4">
    <mergeCell ref="A1:P1"/>
    <mergeCell ref="A2:E2"/>
    <mergeCell ref="F2:J2"/>
    <mergeCell ref="K2:P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</woSheetsProps>
  <woBookProps>
    <bookSettings fileId="501338119922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4"/>
  <pixelatorList sheetStid="6"/>
  <pixelatorList sheetStid="2"/>
  <pixelatorList sheetStid="3"/>
  <pixelatorList sheetStid="5"/>
  <pixelatorList sheetStid="7"/>
  <pixelatorList sheetStid="9"/>
  <pixelatorList sheetStid="10"/>
  <pixelatorList sheetStid="11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WWO_wpscloud_20260409124150-2e61b06350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品线</vt:lpstr>
      <vt:lpstr>分析人</vt:lpstr>
      <vt:lpstr>拓展类型</vt:lpstr>
      <vt:lpstr>分析及时率</vt:lpstr>
      <vt:lpstr>新品出单情况</vt:lpstr>
      <vt:lpstr>新品未出单</vt:lpstr>
      <vt:lpstr>新品低占比</vt:lpstr>
      <vt:lpstr>新品PLP</vt:lpstr>
      <vt:lpstr>新品PLG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2018-06-03T16:28:00Z</dcterms:created>
  <dcterms:modified xsi:type="dcterms:W3CDTF">2026-05-12T09:13:00Z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2052-12.9.0.25970</vt:lpwstr>
  </property>
  <property fmtid="{D5CDD505-2E9C-101B-9397-08002B2CF9AE}" pid="3" name="ICV">
    <vt:lpwstr>815C966F12CD446B9DFA1B0114B7D308_12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